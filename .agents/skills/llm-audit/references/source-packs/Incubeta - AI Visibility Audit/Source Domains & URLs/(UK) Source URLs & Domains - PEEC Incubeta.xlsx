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EC - Domains" sheetId="1" r:id="rId5"/>
    <sheet state="visible" name="PEEC - URLs - All" sheetId="2" r:id="rId6"/>
    <sheet state="visible" name="Title Contains Besttop" sheetId="3" r:id="rId7"/>
    <sheet state="visible" name="URLs YouTube" sheetId="4" r:id="rId8"/>
    <sheet state="visible" name="URLs Incubeta" sheetId="5" r:id="rId9"/>
    <sheet state="visible" name="URLs Instagram" sheetId="6" r:id="rId10"/>
    <sheet state="visible" name="URLs Sortlist" sheetId="7" r:id="rId11"/>
    <sheet state="visible" name="URLs Clutch.co" sheetId="8" r:id="rId12"/>
    <sheet state="visible" name="URLs Semrush" sheetId="9" r:id="rId13"/>
    <sheet state="visible" name="URLs Directive Consulting" sheetId="10" r:id="rId14"/>
    <sheet state="visible" name="URLs Design Rush" sheetId="11" r:id="rId15"/>
    <sheet state="hidden" name="URLs TripAdvisor" sheetId="12" r:id="rId16"/>
    <sheet state="visible" name="URLs Reddit" sheetId="13" r:id="rId17"/>
    <sheet state="visible" name="URLs Quora" sheetId="14" r:id="rId18"/>
    <sheet state="visible" name="URLs Medium" sheetId="15" r:id="rId19"/>
    <sheet state="visible" name="URLs Directories" sheetId="16" r:id="rId20"/>
    <sheet state="visible" name="URLs Facebook" sheetId="17" r:id="rId21"/>
    <sheet state="visible" name="URLs LinkedIn" sheetId="18" r:id="rId22"/>
    <sheet state="visible" name="URLs Wikipedia" sheetId="19" r:id="rId23"/>
    <sheet state="visible" name="Types Alternative" sheetId="20" r:id="rId24"/>
    <sheet state="visible" name="Types Article" sheetId="21" r:id="rId25"/>
    <sheet state="visible" name="Types Category" sheetId="22" r:id="rId26"/>
    <sheet state="visible" name="Types Comparison" sheetId="23" r:id="rId27"/>
    <sheet state="visible" name="Types Discussion" sheetId="24" r:id="rId28"/>
    <sheet state="visible" name="Types Homepage" sheetId="25" r:id="rId29"/>
    <sheet state="visible" name="Types How-to guide" sheetId="26" r:id="rId30"/>
    <sheet state="visible" name="Types Listicle" sheetId="27" r:id="rId31"/>
    <sheet state="visible" name="Types Other" sheetId="28" r:id="rId32"/>
    <sheet state="visible" name="Types Product page" sheetId="29" r:id="rId33"/>
    <sheet state="visible" name="Types Profile" sheetId="30" r:id="rId34"/>
  </sheets>
  <definedNames>
    <definedName hidden="1" localSheetId="0" name="_xlnm._FilterDatabase">'PEEC - Domains'!$A$1:$Z$998</definedName>
    <definedName hidden="1" localSheetId="1" name="_xlnm._FilterDatabase">'PEEC - URLs - All'!$A$1:$Z$2075</definedName>
    <definedName hidden="1" localSheetId="2" name="_xlnm._FilterDatabase">'Title Contains Besttop'!$A$1:$Z$801</definedName>
    <definedName hidden="1" localSheetId="3" name="_xlnm._FilterDatabase">'URLs YouTube'!$A$1:$Z$802</definedName>
    <definedName hidden="1" localSheetId="4" name="_xlnm._FilterDatabase">'URLs Incubeta'!$A$1:$Z$802</definedName>
    <definedName hidden="1" localSheetId="5" name="_xlnm._FilterDatabase">'URLs Instagram'!$A$1:$Z$802</definedName>
    <definedName hidden="1" localSheetId="6" name="_xlnm._FilterDatabase">'URLs Sortlist'!$A$1:$Z$802</definedName>
    <definedName hidden="1" localSheetId="7" name="_xlnm._FilterDatabase">'URLs Clutch.co'!$A$1:$Z$802</definedName>
    <definedName hidden="1" localSheetId="8" name="_xlnm._FilterDatabase">'URLs Semrush'!$A$1:$Z$802</definedName>
    <definedName hidden="1" localSheetId="9" name="_xlnm._FilterDatabase">'URLs Directive Consulting'!$A$1:$Z$802</definedName>
    <definedName hidden="1" localSheetId="10" name="_xlnm._FilterDatabase">'URLs Design Rush'!$A$1:$Z$802</definedName>
    <definedName hidden="1" localSheetId="11" name="_xlnm._FilterDatabase">'URLs TripAdvisor'!$A$1:$Z$802</definedName>
    <definedName hidden="1" localSheetId="12" name="_xlnm._FilterDatabase">'URLs Reddit'!$A$1:$Z$802</definedName>
    <definedName hidden="1" localSheetId="13" name="_xlnm._FilterDatabase">'URLs Quora'!$A$1:$Z$802</definedName>
    <definedName hidden="1" localSheetId="14" name="_xlnm._FilterDatabase">'URLs Medium'!$A$1:$Z$802</definedName>
    <definedName hidden="1" localSheetId="15" name="_xlnm._FilterDatabase">'URLs Directories'!$A$1:$Z$802</definedName>
    <definedName hidden="1" localSheetId="16" name="_xlnm._FilterDatabase">'URLs Facebook'!$A$1:$Z$802</definedName>
    <definedName hidden="1" localSheetId="17" name="_xlnm._FilterDatabase">'URLs LinkedIn'!$A$1:$Z$802</definedName>
    <definedName hidden="1" localSheetId="18" name="_xlnm._FilterDatabase">'URLs Wikipedia'!$A$1:$Z$802</definedName>
    <definedName hidden="1" localSheetId="19" name="_xlnm._FilterDatabase">'Types Alternative'!$A$1:$Z$802</definedName>
    <definedName hidden="1" localSheetId="20" name="_xlnm._FilterDatabase">'Types Article'!$A$1:$Z$802</definedName>
    <definedName hidden="1" localSheetId="21" name="_xlnm._FilterDatabase">'Types Category'!$A$1:$Z$802</definedName>
    <definedName hidden="1" localSheetId="22" name="_xlnm._FilterDatabase">'Types Comparison'!$A$1:$Z$802</definedName>
    <definedName hidden="1" localSheetId="23" name="_xlnm._FilterDatabase">'Types Discussion'!$A$1:$Z$802</definedName>
    <definedName hidden="1" localSheetId="24" name="_xlnm._FilterDatabase">'Types Homepage'!$A$1:$Z$802</definedName>
    <definedName hidden="1" localSheetId="25" name="_xlnm._FilterDatabase">'Types How-to guide'!$A$1:$Z$802</definedName>
    <definedName hidden="1" localSheetId="26" name="_xlnm._FilterDatabase">'Types Listicle'!$A$1:$Z$802</definedName>
    <definedName hidden="1" localSheetId="27" name="_xlnm._FilterDatabase">'Types Other'!$A$1:$Z$802</definedName>
    <definedName hidden="1" localSheetId="28" name="_xlnm._FilterDatabase">'Types Product page'!$A$1:$Z$802</definedName>
    <definedName hidden="1" localSheetId="29" name="_xlnm._FilterDatabase">'Types Profile'!$A$1:$Z$802</definedName>
  </definedNames>
  <calcPr/>
</workbook>
</file>

<file path=xl/sharedStrings.xml><?xml version="1.0" encoding="utf-8"?>
<sst xmlns="http://schemas.openxmlformats.org/spreadsheetml/2006/main" count="12480" uniqueCount="4883">
  <si>
    <t>domain</t>
  </si>
  <si>
    <t>type</t>
  </si>
  <si>
    <t>mentions</t>
  </si>
  <si>
    <t>retrievals</t>
  </si>
  <si>
    <t>retrievals_delta</t>
  </si>
  <si>
    <t>retrieved</t>
  </si>
  <si>
    <t>retrieval_rate</t>
  </si>
  <si>
    <t>citation_rate</t>
  </si>
  <si>
    <t>citation_rate_delta</t>
  </si>
  <si>
    <t>url</t>
  </si>
  <si>
    <t>sortlist.co.uk</t>
  </si>
  <si>
    <t>title</t>
  </si>
  <si>
    <t>url_classification</t>
  </si>
  <si>
    <t>domain_classification</t>
  </si>
  <si>
    <t>mentioned</t>
  </si>
  <si>
    <t>retrieved_percentage</t>
  </si>
  <si>
    <t>Reference</t>
  </si>
  <si>
    <t>Momentum, M3.agency, Ninja Promo, Whitehat, Found, McKinsey &amp; Company, GA Agency, Bird Marketing, Publicis Groupe, Transmission, Impression, Push, Northbeam, Triple Whale, Hallam, Kantar, YouGov</t>
  </si>
  <si>
    <t>clutch.co</t>
  </si>
  <si>
    <t>Corporate</t>
  </si>
  <si>
    <t>Found, Impression, Momentum, The SEO Works, ROAST, Favoured, M3.agency, Push, Ninja Promo, Chello, Polaris, Make Agency, Huge, ClickSlice, Measured, Launch Online, Propeller, Soap Media, GA Agency, Passion Digital, Bird Marketing, Gripped, WebFX, Ignite Visibility, Power Digital, Acadia, Disruptive Advertising, weDiscover, Single Grain, Bind Media, PPC Geeks, Genie Crawl, inBeat, GrowthSpree, NP Digital, IDHL, Incubeta, Propellernet, Omnicom, WPP</t>
  </si>
  <si>
    <t>pushgroup.co.uk</t>
  </si>
  <si>
    <t>https://we-discover.com/blog/the-top-15-performance-marketing-agencies-in-the-uk-updated-2026/</t>
  </si>
  <si>
    <t>Competitor</t>
  </si>
  <si>
    <t>Push Group, Found, Passion Digital, Measured, Impression, Blue Array, Push, Builtvisible, Charle Agency, Propellernet, Disrupt Marketing, Croud, Brainlabs, Open Partners, NoGood, Single Grain, Born Social, VCCP, The Social Shepherd, PPC Geeks, Dentsu, The SEO Works, We Are Social, The Good Marketer, Gripped</t>
  </si>
  <si>
    <t>we-discover.com</t>
  </si>
  <si>
    <t>The Top 15 Performance Marketing Agencies in the UK (Updated 2026) - WeDiscover</t>
  </si>
  <si>
    <t>Croud, Hallam, Impression, Momentum, Bark London, weDiscover, Bind Media, Measured, Journey Further, Propellernet</t>
  </si>
  <si>
    <t>digitalagencynetwork.com</t>
  </si>
  <si>
    <t>LISTICLE</t>
  </si>
  <si>
    <t>COMPETITOR</t>
  </si>
  <si>
    <t>Listicle</t>
  </si>
  <si>
    <t>weDiscover, Momentum, Impression, Croud, Journey Further, Hallam, Propellernet, Bind Media, Bark London, Measured</t>
  </si>
  <si>
    <t>Found, Hallam, Open Partners, ROAST, Favoured, Ninja Promo, FirstMotion, Anicca Digital, Make Agency, Propeller, Bird Marketing, GA Agency, Impression, NoGood, Ignite Visibility, M3.agency, Measured, The SEO Works, Push, Passion Digital, QuantumBlack</t>
  </si>
  <si>
    <t>https://www.vxtx.co.uk/blog/best-performance-marketing-agencies-uk-2026-top-10-ranked</t>
  </si>
  <si>
    <t>semrush.com</t>
  </si>
  <si>
    <t>The Best Performance Marketing Agencies in the UK for 2026 (Top 10 Ranked) | VXTX Performance Marketing Blog</t>
  </si>
  <si>
    <t>vxtx.co.uk</t>
  </si>
  <si>
    <t>Found, Huge, The SEO Works, Passion Digital, Measured, ROAST, Gravity Global, Click Intelligence, Momentum, Bird Marketing, Impression, Soap Media, GA Agency, Whitehat</t>
  </si>
  <si>
    <t>bind.media</t>
  </si>
  <si>
    <t>Incubeta, Hallam, Brainlabs, PMG, Bind Media, Artefact, Push Group, Jellyfish, Croud, Found, Huge, weDiscover, The Social Shepherd, Measured, Impression, Push, Launch Online, PPC Geeks, Soap Media, We Are Social, The Good Marketer</t>
  </si>
  <si>
    <t>open.partners</t>
  </si>
  <si>
    <t>Brainlabs, Impression, Open Partners, Journey Further, Jellyfish, Brandtech, Accenture Song, Measured, WPP, Ogilvy, Dept, Gripped, VCCP, Launch Online, Anicca Digital, Push Group, Croud, Bark London, weDiscover, Bind Media, VXTX, Push, The Brains, Found, ROAST</t>
  </si>
  <si>
    <t>VXTX, weDiscover, Impression, Croud, The Social Shepherd, NP Digital, PPC Geeks, Gravity Global, The Brains, Momentum</t>
  </si>
  <si>
    <t>polarisagency.com</t>
  </si>
  <si>
    <t>Found, The SEO Works, Passion Digital, Polaris, Blue Array, Directive Consulting, Charle Agency, Siege Media, Push Group, ClickSlice, Measured, Digital Landscope, Push, Builtvisible, Impression, Gripped, Transmission</t>
  </si>
  <si>
    <t>https://agencies.semrush.com/list/united-kingdom/</t>
  </si>
  <si>
    <t>clickslice.co.uk</t>
  </si>
  <si>
    <t>ClickSlice, Found, Measured, Propeller, The Social Shepherd, Launch Online, Exposure Ninja, Builtvisible, Bird Marketing, Propellernet, Brainlabs, Huge, Rise at Seven, Screaming Frog</t>
  </si>
  <si>
    <t>Best Digital Marketing Agencies in United Kingdom 2026 | Semrush</t>
  </si>
  <si>
    <t>found.co.uk</t>
  </si>
  <si>
    <t>Found, Favoured, Disrupt Marketing, Jellyfish, ROAST, Dept, Rise at Seven, Koozai, Propeller, Hallam, Propellernet, Power Digital, Push, Huge, Impression, Croud, Journey Further</t>
  </si>
  <si>
    <t>CATEGORY_PAGE</t>
  </si>
  <si>
    <t>CORPORATE</t>
  </si>
  <si>
    <t>Category Page</t>
  </si>
  <si>
    <t>Found, Bird Marketing, Measured, Passion Digital</t>
  </si>
  <si>
    <t>thesocialshepherd.com</t>
  </si>
  <si>
    <t>https://www.pushgroup.co.uk/blog/top-9-ai-marketing-agencies-in-the-uk</t>
  </si>
  <si>
    <t>The Social Shepherd, Rise at Seven, Dentsu, Push, inBeat, Found, Huge, Impression, We Are Social, The Good Marketer, Saatchi &amp; Saatchi, Gripped, BBH London, Ogilvy, Croud, WPP, Monks, Social Chain, The Brains, Clarity Performance, 9AM, Soap Media, Disrupt Marketing, Directive Consulting, Gravity Global</t>
  </si>
  <si>
    <t>Top 9 AI Marketing Agencies in the UK (2026) | PUSH Group</t>
  </si>
  <si>
    <t>tilio.co.uk</t>
  </si>
  <si>
    <t>Found, The SEO Works, Passion Digital, Measured, Tilio, Impression, Blue Array, Screaming Frog, Varn, Digital Landscope, Propeller, Momentum, ClickSlice, NoGood</t>
  </si>
  <si>
    <t>Push, Push Group, Found, Croud, Born Social, Brainlabs, Measured, Disrupt Marketing, NoGood, Impression, Open Partners, Single Grain, VCCP</t>
  </si>
  <si>
    <t>inbeat.agency</t>
  </si>
  <si>
    <t>Found, Measured, Polaris, Artefact, inBeat, Nielsen, WebFX, Tinuiti, Bark London, Bind Media, Darkroom, Push, The Social Shepherd, We Are Social, Impression, Saatchi &amp; Saatchi, Gripped, Make Agency, Soap Media, Social Chain, BBH London, Momentum, NP Digital, ROAST, The Good Marketer, Born Social, Hawke Media, Push Group, Hallam, PMG, Huge, Passion Digital, Northbeam, The Brains, Triple Whale, WPP, Ogilvy, Dept, Genie Crawl, LOCALiQ, Launch Online, PPC Geeks, The SEO Works</t>
  </si>
  <si>
    <t>https://bind.media/insights/top-25-ppc-agencies-in-the-uk-2025</t>
  </si>
  <si>
    <t>Top 25 PPC agencies in the UK [2026]</t>
  </si>
  <si>
    <t>Croud, Impression, Momentum, weDiscover, The Social Shepherd, VXTX, Gravity Global, NP Digital, The Brains, PPC Geeks, Hallam, Gripped, Pablo</t>
  </si>
  <si>
    <t>Found, Bind Media, Hallam, The Social Shepherd, Impression, Push, Push Group, Brainlabs, weDiscover, Soap Media, Croud, Launch Online, PPC Geeks, Jellyfish, Huge, Measured</t>
  </si>
  <si>
    <t>https://clutch.co/agencies/uk</t>
  </si>
  <si>
    <t>rank4ai.co.uk</t>
  </si>
  <si>
    <t>Top Advertising Agencies in the United Kingdom - Jul 2026 Rankings | Clutch.co</t>
  </si>
  <si>
    <t>Found, Rank4AI, Blue Array, Exposure Ninja, Screaming Frog, Buried Agency, Varn, Measured, Impression, Builtvisible, Hallam</t>
  </si>
  <si>
    <t>munro.agency</t>
  </si>
  <si>
    <t>Found, Momentum, Passion Digital, Blue Array, Exposure Ninja, Builtvisible, Genie Crawl, Varn, Bird Marketing, Koozai, Click Intelligence, Omniscient Digital, Siege Media, inBeat, Directive Consulting, Gravity Global, Gripped, The Brains, WebFX, Power Digital, ClickSlice, Impression, Push, Hallam, Favoured, Propeller, Disrupt Marketing, Croud, ROAST, Born Social, Dentsu, Deloitte Digital, Accenture Song, WPP, PwC, Publicis Groupe, Ogilvy, Saatchi &amp; Saatchi, EY, Omnicom, AKQA, Brainlabs, Tinuiti, NoGood, Wpromote, Single Grain, NP Digital, BBH London, AMV BBDO, Adam&amp;eveDDB, Mother London, Soap Media, PPC Geeks, Bind Media, Push Group</t>
  </si>
  <si>
    <t>Favoured, Ninja Promo, Chello, ROAST, M3.agency, The SEO Works, Push</t>
  </si>
  <si>
    <t>https://www.polarisagency.com/marketing-insights/best-geo-services-uk/#:~:text=POLARIS%20earns%20the%20top%20position,broad%2Dbased%20organic%20search%20practice.&amp;text=POLARIS%20offers%20AI%20Search%20and,citation%20building%20through%20digital%20PR.</t>
  </si>
  <si>
    <t>pinpoint-media.global</t>
  </si>
  <si>
    <t>Found, Huge, PinPoint Media, Born Social, Social Chain, The Social Shepherd, Bind Media, Journey Further, Impression, Push, Jellyfish, Hallam, Brainlabs, Dentsu, Tinuiti, Measured, Merkle, Croud, The SEO Works, Koozai</t>
  </si>
  <si>
    <t>reddit.com</t>
  </si>
  <si>
    <t>The 10 Best GEO Agencies in the UK | Agency Reviews</t>
  </si>
  <si>
    <t>UGC</t>
  </si>
  <si>
    <t>Hallam, NoGood, Favoured, Superside, Ninja Promo, Dept, Single Grain, Omniscient Digital, Mother London, Lucky Generals, Uncommon Creative Studio, AMV BBDO, VCCP, BBH London, Huge, Measured, Found, Haus, Rockerbox, Recast, Northbeam, SegmentStream, 9AM, Impression, The SEO Works, Siege Media, Dentsu, Merkle, Bind Media, Passion Digital, PPC Geeks, WPP, Omnicom, ClickSlice, Brainlabs, The Good Marketer, Push, Push Group, The Brains</t>
  </si>
  <si>
    <t>influencer-hero.com</t>
  </si>
  <si>
    <t>OTHER</t>
  </si>
  <si>
    <t>Other</t>
  </si>
  <si>
    <t>Polaris, Passion Digital, Found, Blue Array, Siege Media, Charle Agency, The SEO Works, Directive Consulting</t>
  </si>
  <si>
    <t>https://digitalagencynetwork.com/agencies/uk/ai-marketing/</t>
  </si>
  <si>
    <t>Croud, The Social Shepherd, Impression, Manifest Group, Clarity Performance, Vivify Agency, Disrupt Marketing, Brainlabs, Hallam, Passion Digital</t>
  </si>
  <si>
    <t>koozai.com</t>
  </si>
  <si>
    <t>Top AI Marketing Agencies in UK (2026)</t>
  </si>
  <si>
    <t>Measured, Favoured, Koozai, Hallam, Found, Impression, ClickSlice, Blue Array, The Good Marketer, Exposure Ninja, Gravity Global, Rise at Seven, Click Intelligence, Jellyfish, Brainlabs, Journey Further, Propellernet</t>
  </si>
  <si>
    <t>google.com</t>
  </si>
  <si>
    <t>REFERENCE</t>
  </si>
  <si>
    <t>New Engen, Merkle, Wpromote, Found, Measured, Momentum, Dentsu, Accenture Song, Rockerbox, Kantar, Monks, Nielsen, GroupM, Epsilon, Neustar, Omnicom, YouGov</t>
  </si>
  <si>
    <t>Favoured, Propeller, GA Agency, Make Agency, Anicca Digital, Found, FirstMotion, Bird Marketing, Ninja Promo, ROAST, Open Partners, Hallam</t>
  </si>
  <si>
    <t>https://oski.site/blog/sales-and-marketing-analytics-companies-uk/</t>
  </si>
  <si>
    <t>designrush.com</t>
  </si>
  <si>
    <t>Jellyfish, Found, Impression, Huge, Push, Disruptive Advertising, Ninja Promo, Single Grain, WebFX, Directive Consulting, Passion Digital, Favoured, PPC Geeks, Momentum, Nielsen, Genie Crawl, Bird Marketing, Monks, Ruler Analytics, Ignite Visibility, The SEO Works, Power Digital, NoGood, Polaris, Wpromote, PwC, Dept, Propeller, The Good Marketer</t>
  </si>
  <si>
    <t>Top 16 Sales and Marketing Analytics Companies in the UK (2026)</t>
  </si>
  <si>
    <t>oski.site</t>
  </si>
  <si>
    <t>Momentum, Oski Solutions, Croud, Hallam, Analytic Partners, Directive Consulting</t>
  </si>
  <si>
    <t>Croud, Hallam, Momentum, Directive Consulting, Analytic Partners, Oski Solutions, Brainlabs, Impression, Artefact, Push, Dept</t>
  </si>
  <si>
    <t>https://clutch.co/agencies/digital-marketing/uk</t>
  </si>
  <si>
    <t>measured.com</t>
  </si>
  <si>
    <t>Top Digital Marketing Agencies in the UK - Jul 2026 Rankings | Clutch.co</t>
  </si>
  <si>
    <t>Measured, Analytic Partners, Haus, Rockerbox, Recast, Neustar, Found, Kantar, Nielsen, Gain Theory, WPP</t>
  </si>
  <si>
    <t>M3.agency, Favoured, Ninja Promo, ROAST, Soap Media, GA Agency, The SEO Works, Propeller, Bird Marketing, Launch Online, Passion Digital</t>
  </si>
  <si>
    <t>dontpaniclondon.com</t>
  </si>
  <si>
    <t>https://open.partners/open-partners-insights/top-ai-marketing-agency-uk/#:~:text=Rank,within%20one%20agile%20operating%20system.</t>
  </si>
  <si>
    <t>Huge, Mother London, Lucky Generals, Adam&amp;eveDDB, Disruptive Advertising, Saatchi &amp; Saatchi, Uncommon Creative Studio, BBH London, Pablo, Momentum, Dentsu, WPP, Push, AMV BBDO, Omnicom</t>
  </si>
  <si>
    <t>Top AI Marketing Agencies UK | Why Open Partners Leads the Way</t>
  </si>
  <si>
    <t>thatware.co</t>
  </si>
  <si>
    <t>Open Partners, Brainlabs, Impression, Journey Further</t>
  </si>
  <si>
    <t>Impression, The SEO Works, Blue Array, Exposure Ninja, Click Intelligence, Momentum, ClickSlice, Builtvisible, Rise at Seven, Varn, Bird Marketing, Ninja Promo, Whitehat, Genie Crawl, Found</t>
  </si>
  <si>
    <t>https://wearehumaine.com/best-ai-first-marketing-agencies-uk-2026/</t>
  </si>
  <si>
    <t>whitehat-seo.co.uk</t>
  </si>
  <si>
    <t>Best AI-First Marketing Agencies in the UK 2026 | Humaine</t>
  </si>
  <si>
    <t>wearehumaine.com</t>
  </si>
  <si>
    <t>Found, Whitehat, Ruler Analytics, Measured, PwC, EY, QuantumBlack, Hallam, Croud, Brainlabs, Impression, The SEO Works, PPC Geeks, LOCALiQ, Push</t>
  </si>
  <si>
    <t>Open Partners, Brainlabs, Impression, Journey Further, Koozai, VCCP, Favoured, Push, Push Group</t>
  </si>
  <si>
    <t>Push Group, Brainlabs, Open Partners, Journey Further, Impression, Favoured, Push, VCCP, Koozai</t>
  </si>
  <si>
    <t>https://www.polarisagency.com/marketing-insights/best-aeo-agencies-uk/</t>
  </si>
  <si>
    <t>charle.co.uk</t>
  </si>
  <si>
    <t>The Top 8 AEO Agencies for Businesses in the UK</t>
  </si>
  <si>
    <t>Found, Impression, ClickSlice, Measured, Blue Array, Exposure Ninja, Buried Agency, Rise at Seven, Charle Agency, Polaris</t>
  </si>
  <si>
    <t>PRODUCT_PAGE</t>
  </si>
  <si>
    <t>Product Page</t>
  </si>
  <si>
    <t>Polaris, Push, Push Group, The SEO Works, Digital Landscope, Builtvisible, ClickSlice, Measured</t>
  </si>
  <si>
    <t>nogood.io</t>
  </si>
  <si>
    <t>https://www.clickslice.co.uk/top-performance-marketing-agencies/</t>
  </si>
  <si>
    <t>NoGood, inBeat, Single Grain, Jellyfish, Hallam, Brainlabs, QueryClick, Convosphere, iCrossing, Power Digital, Found, Huge, Measured, Directive Consulting, Wpromote, Disruptive Advertising, Monks, Ignite Visibility, The Social Shepherd, Make Agency, Born Social, Social Chain</t>
  </si>
  <si>
    <t>Top 8 Performance Marketing Agencies in the UK (2026)</t>
  </si>
  <si>
    <t>wearetenet.com</t>
  </si>
  <si>
    <t>Hallam, ClickSlice, Rank4AI, Favoured, Impression, The SEO Works, PPC Geeks, Found, Passion Digital, Measured, Buried Agency, Genie Crawl, Bird Marketing, GA Agency, Ogilvy, Screaming Frog</t>
  </si>
  <si>
    <t>ClickSlice, Launch Online, Measured</t>
  </si>
  <si>
    <t>disruptmarketing.co</t>
  </si>
  <si>
    <t>https://www.dontpaniclondon.com/blog/best-uk-creative-agencies/</t>
  </si>
  <si>
    <t>Croud, Found, The Social Shepherd, Measured, We Are Social, WPP, Publicis Groupe, Ogilvy, Saatchi &amp; Saatchi, Born Social, Disrupt Marketing, Social Chain</t>
  </si>
  <si>
    <t>Compare the UK’s 8 Best Creative Agencies in 2026 (+examples)</t>
  </si>
  <si>
    <t>cometly.com</t>
  </si>
  <si>
    <t>Rockerbox, Northbeam, Ruler Analytics, Triple Whale, Cometly, Impression, Measured, Haus, Recast, Push, Momentum</t>
  </si>
  <si>
    <t>Mother London, Lucky Generals, Pablo, Disruptive Advertising, Huge, Uncommon Creative Studio, Adam&amp;eveDDB, Saatchi &amp; Saatchi, BBH London</t>
  </si>
  <si>
    <t>superhub.biz</t>
  </si>
  <si>
    <t>https://www.pushgroup.co.uk/blog/top-9-paid-social-agencies-uk</t>
  </si>
  <si>
    <t>Tinuiti, The SEO Works, Measured, Merkle, Charle Agency, Found, Push, Croud, The Social Shepherd, We Are Social, The Good Marketer, Born Social, Soap Media, Social Chain, Brainlabs, Journey Further</t>
  </si>
  <si>
    <t>inbeat.co</t>
  </si>
  <si>
    <t>Top 9 Paid Social Agencies UK (2026) | Best for ROAS | PUSH Group</t>
  </si>
  <si>
    <t>Found, Huge, M3.agency, Push, inBeat, Ninja Promo, Dept, NP Digital, Make Agency, Nielsen, iCrossing, Croud, Bark London, The Social Shepherd, Impression, PwC, Clarity Performance, Disrupt Marketing, Measured, Favoured, Adam&amp;eveDDB, PPC Geeks, BBH London, Momentum, Tinuiti, Single Grain, The Brains, 9AM</t>
  </si>
  <si>
    <t>Push, Push Group, The Social Shepherd, We Are Social, The Good Marketer, Impression, Gripped</t>
  </si>
  <si>
    <t>https://nogood.io/blog/marketing-analytics-agency-uk/</t>
  </si>
  <si>
    <t>directiveconsulting.com</t>
  </si>
  <si>
    <t>Top 8 Marketing Analytics Agencies in the UK in 2025 | NoGood</t>
  </si>
  <si>
    <t>Measured, NoGood, Directive Consulting, Single Grain, inBeat, Wpromote, Common Thread Collective, Omniscient Digital, Darkroom, Disrupt Marketing, Jellyfish, Brainlabs, Impression, Dentsu, Merkle, Disruptive Advertising, Dept, WebFX, Power Digital, Croud, Momentum, PMG, Tinuiti, Monks, AKQA, Accenture Song, Deloitte Digital, Push, PwC, Ogilvy</t>
  </si>
  <si>
    <t>geniecrawl.com</t>
  </si>
  <si>
    <t>NoGood, Brainlabs, Jellyfish, iCrossing, Hallam, Convosphere, QueryClick</t>
  </si>
  <si>
    <t>https://www.sortlist.co.uk/s/ai-marketing/united-kingdom-gb</t>
  </si>
  <si>
    <t>Push Group, Croud, Found, Hallam, ClickSlice, The SEO Works, Passion Digital, Polaris, Impression, ROAST, Blue Array, Push, The Good Marketer, Whitehat, Havas Market UK, Propeller, Rise at Seven, Genie Crawl, Varn, Bird Marketing, Koozai, LOCALiQ, Click Intelligence, Momentum</t>
  </si>
  <si>
    <t>havasmarket.co.uk</t>
  </si>
  <si>
    <t>Havas Market UK</t>
  </si>
  <si>
    <t>10+ Top AI Marketing Companies in the UK - 2026 Reviews</t>
  </si>
  <si>
    <t>digitallitmus.com</t>
  </si>
  <si>
    <t>Hallam, Push Group, Jellyfish, Found, Impression, Momentum, The Social Shepherd, Passion Digital, Merkle, Blue Array, Directive Consulting, Push, The Good Marketer, Gravity Global, Builtvisible, Gripped, Omniscient Digital, Soap Media, Koozai, Transmission, AKQA, Disruptive Advertising</t>
  </si>
  <si>
    <t>https://www.geniecrawl.com/top-50-geo-and-ai-marketing-agencies-in-the-uk-2026-rankings/</t>
  </si>
  <si>
    <t>seocompare.co.uk</t>
  </si>
  <si>
    <t>Editorial</t>
  </si>
  <si>
    <t>UK’s Leading GEO &amp; AI Marketing Agencies for 2026</t>
  </si>
  <si>
    <t>Rank4AI, Directive Consulting, Omniscient Digital, Ignite Visibility, Siege Media, ClickSlice, Passion Digital, Impression, Blue Array, Screaming Frog, Builtvisible, Propeller, Found, Measured</t>
  </si>
  <si>
    <t>localiq.co.uk</t>
  </si>
  <si>
    <t>Genie Crawl, ClickSlice, The SEO Works, Hallam, Bird Marketing, Push, Push Group, Propeller, Passion Digital, ROAST, Click Intelligence, Croud, Whitehat, Varn, Polaris, Koozai, Found, Blue Array, Impression, Rise at Seven, Havas Market UK, The Good Marketer, LOCALiQ</t>
  </si>
  <si>
    <t>https://www.influencer-hero.com/blogs/top-paid-media-agencies-in-the-united-kingdom</t>
  </si>
  <si>
    <t>Found, Impression, Huge, LOCALiQ, Measured</t>
  </si>
  <si>
    <t>sunnypatel.co.uk</t>
  </si>
  <si>
    <t>Top 10 Paid Media Agencies in the United Kingdom</t>
  </si>
  <si>
    <t>The SEO Works, Impression, Builtvisible, Rise at Seven, Measured</t>
  </si>
  <si>
    <t>digital-landscope.com</t>
  </si>
  <si>
    <t>Brainlabs, Vivify Agency, Manifest Group, Impression, Hallam, Passion Digital</t>
  </si>
  <si>
    <t>https://www.clickslice.co.uk/top-aeo-agencies-uk/</t>
  </si>
  <si>
    <t>Found, The SEO Works, Digital Landscope</t>
  </si>
  <si>
    <t>webtonic.io</t>
  </si>
  <si>
    <t>Top 10 AEO Agencies in the UK for 2026</t>
  </si>
  <si>
    <t>Accenture Song, Mother London, Lucky Generals, Adam&amp;eveDDB, Ogilvy, Saatchi &amp; Saatchi, Uncommon Creative Studio, AMV BBDO, VCCP, BBH London, Pablo, Impression, Tinuiti, WPP, Superside, Wpromote, Hawke Media, AKQA, Found, Hallam, Momentum, The Social Shepherd, ClickSlice, The SEO Works, ROAST, Favoured, M3.agency, Ninja Promo, Whitehat, FirstMotion, Gripped, Make Agency, Propeller, Omniscient Digital, Soap Media, Bird Marketing, Ignite Visibility, Push Group, Croud, Bind Media, Passion Digital, Push, The Good Marketer, Launch Online, NP Digital, PPC Geeks, Koozai, LOCALiQ, Brainlabs, Measured, We Are Social, inBeat, Born Social, Disrupt Marketing, Social Chain, Anicca Digital</t>
  </si>
  <si>
    <t>ClickSlice</t>
  </si>
  <si>
    <t>domisearch.com</t>
  </si>
  <si>
    <t>https://agencies.semrush.com/list/display-advertising/united-kingdom/</t>
  </si>
  <si>
    <t>Push Group, Found, Tilio, Digital Landscope, Push, Click Intelligence</t>
  </si>
  <si>
    <t>Best Display Ads Agencies in United Kingdom 2026 | Semrush</t>
  </si>
  <si>
    <t>goodfirms.co</t>
  </si>
  <si>
    <t>Found, Passion Digital, Soap Media, GA Agency, The SEO Works</t>
  </si>
  <si>
    <t>Found, Impression, Huge, The Social Shepherd, Mother London, Haus, The SEO Works, Push, WebFX, Bird Marketing, Daydream, Whitehat, VCCP, Omnicom, Favoured</t>
  </si>
  <si>
    <t>https://bind.media/insights/top-11-google-analytics-agencies-in-the-uk-2025</t>
  </si>
  <si>
    <t>nautilusmarketing.co.uk</t>
  </si>
  <si>
    <t>Top 11 Google Analytics Agencies in the UK [2025]</t>
  </si>
  <si>
    <t>Push Group, The Social Shepherd, Impression, Push, Propeller, Clarity Performance, iCrossing, GA Agency, Disrupt Marketing</t>
  </si>
  <si>
    <t>Bind Media, Artefact, Brainlabs, Hallam, Incubeta, PMG</t>
  </si>
  <si>
    <t>bluearray.co.uk</t>
  </si>
  <si>
    <t>https://www.digitallitmus.com/blog/best-marketing-agencies-uk</t>
  </si>
  <si>
    <t>Polaris, Blue Array, Push, Disrupt Marketing, Bind Media, Artefact, Launch Online, NP Digital, Measurelab</t>
  </si>
  <si>
    <t>The Top Marketing Agencies in the UK To Work With In 2026</t>
  </si>
  <si>
    <t>firstmotion.com</t>
  </si>
  <si>
    <t>Momentum, Gripped, Omniscient Digital, Transmission, Gravity Global, Directive Consulting, Merkle, Hallam, Jellyfish, Found, Soap Media, The Good Marketer, The Social Shepherd, Koozai, AKQA, Blue Array, Builtvisible, Passion Digital, Impression, Push, Push Group</t>
  </si>
  <si>
    <t>Found, ClickSlice, Passion Digital, Measured, Rank4AI, Tilio, Impression, Blue Array, FirstMotion, Buried Agency, Varn, Exposure Ninja, Charle Agency, Bird Marketing, Push</t>
  </si>
  <si>
    <t>https://digital-landscope.com/best-geo-agencies-in-the-uk/</t>
  </si>
  <si>
    <t>grizzle.io</t>
  </si>
  <si>
    <t>Found, Croud, Brainlabs, Tinuiti, ClickSlice, Measured, Rise at Seven, Siege Media, Push, Omniscient Digital</t>
  </si>
  <si>
    <t>Best GEO Agencies in the UK</t>
  </si>
  <si>
    <t>consultico.co.uk</t>
  </si>
  <si>
    <t>Push Group, Jellyfish, Croud, Push</t>
  </si>
  <si>
    <t>Digital Landscope, The SEO Works, Found</t>
  </si>
  <si>
    <t>https://localiq.co.uk/digital-marketing-services/display-advertising#:~:text=Whether%20you're%20looking%20to,Media%20Group%20local%20news%20sites.</t>
  </si>
  <si>
    <t>dentsu.com</t>
  </si>
  <si>
    <t>Dentsu, Measured, Found</t>
  </si>
  <si>
    <t>#1 Display Advertising Agency [UK Businesses] | LOCALiQ UK</t>
  </si>
  <si>
    <t>sellforte.com</t>
  </si>
  <si>
    <t>LOCALiQ, Impression, Found, Huge</t>
  </si>
  <si>
    <t>Huge, Measured, Sellforte, Push, Haus, Recast, Found</t>
  </si>
  <si>
    <t>https://www.measured.com/faq/best-incrementality-testing-companies-software-for-marketing-2026/</t>
  </si>
  <si>
    <t>marketingagencyindex.com</t>
  </si>
  <si>
    <t>Best Incrementality Testing Companies &amp;amp; Software for Marketing (2026)</t>
  </si>
  <si>
    <t>Impression, The SEO Works, The Brains, Momentum, Mother London, Adam&amp;eveDDB, Croud, Found, Dentsu, Merkle, WPP, Push, Publicis Groupe, Ogilvy, Saatchi &amp; Saatchi, VCCP, GroupM, Epsilon, Omnicom, BBH London, AKQA, Brandtech, Overdrive Digital, Measured, GA Agency, Jellyfish, Propellernet</t>
  </si>
  <si>
    <t>seoworks.com</t>
  </si>
  <si>
    <t>Measured, Neustar, Rockerbox, Haus, Recast, Analytic Partners</t>
  </si>
  <si>
    <t>https://www.domisearch.com/blog/best-aeo-agencies-uk</t>
  </si>
  <si>
    <t>Jellyfish, Brainlabs, The SEO Works, Measured, Builtvisible, NP Digital, WebFX, Siege Media, Huge, Passion Digital, Digital Landscope, Launch Online, Varn, Propellernet, Click Intelligence, ROAST, Exposure Ninja, Omniscient Digital, GA Agency</t>
  </si>
  <si>
    <t>ensun.io</t>
  </si>
  <si>
    <t>Best AEO Agencies in the UK: 2026 Honest Roundup · DomiSearch</t>
  </si>
  <si>
    <t>QueryClick, Measurelab, SegmentStream</t>
  </si>
  <si>
    <t>Push, Push Group, Tilio, Click Intelligence, Found, Digital Landscope</t>
  </si>
  <si>
    <t>triplewhale.com</t>
  </si>
  <si>
    <t>https://open.partners/open-partners-insights/uk-marketing-agencies-that-work-with-google/#:~:text=Each%20one%20has%20demonstrated%20excellence,TikTok%20Agency%20Partner</t>
  </si>
  <si>
    <t>Ruler Analytics, Triple Whale, Impression, Measured, Haus</t>
  </si>
  <si>
    <t>10 UK marketing agencies that work with Google | Open Partners</t>
  </si>
  <si>
    <t>passion.digital</t>
  </si>
  <si>
    <t>Unknown</t>
  </si>
  <si>
    <t>The SEO Works, Passion Digital, Polaris, Exposure Ninja, Buried Agency, Bird Marketing, Found</t>
  </si>
  <si>
    <t>https://www.sortlist.co.uk/s/display-advertising/united-kingdom-gb</t>
  </si>
  <si>
    <t>aeoagency.co.uk</t>
  </si>
  <si>
    <t>The 10 Best Display Advertising Agencies in The United Kingdom - 2026 Reviews</t>
  </si>
  <si>
    <t>The SEO Works, Digital Landscope, Push</t>
  </si>
  <si>
    <t>techbehemoths.com</t>
  </si>
  <si>
    <t>Found, Momentum, M3.agency, Ninja Promo, Impression</t>
  </si>
  <si>
    <t>https://www.sortlist.co.uk/s/marketing-analytics/united-kingdom-gb</t>
  </si>
  <si>
    <t>Found, Impression, The SEO Works, Disruptive Advertising, Soap Media, Bird Marketing</t>
  </si>
  <si>
    <t>impressiondigital.com</t>
  </si>
  <si>
    <t>The 10 Best Marketing Analytics Companies in The United Kingdom - 2026 Reviews</t>
  </si>
  <si>
    <t>McKinsey &amp; Company, Momentum, M3.agency, Found, Ninja Promo, Bird Marketing</t>
  </si>
  <si>
    <t>https://pinpoint-media.global/insights/top-8-paid-media-agencies-in-the-uk</t>
  </si>
  <si>
    <t>Impression</t>
  </si>
  <si>
    <t>wildishandco.co.uk</t>
  </si>
  <si>
    <t>Top 8 Paid Media Agencies in the UK | PinPoint Media</t>
  </si>
  <si>
    <t>PinPoint Media, The Social Shepherd, Impression, Journey Further, Bind Media, Push</t>
  </si>
  <si>
    <t>https://www.inbeat.co/articles/top-paid-media-agencies-in-the-uk/</t>
  </si>
  <si>
    <t>Momentum, Push, inBeat</t>
  </si>
  <si>
    <t>Top 20 Paid Media Agencies in the UK for 2026 and Beyond</t>
  </si>
  <si>
    <t>segmentstream.com</t>
  </si>
  <si>
    <t>inBeat, Impression, Bark London, The Social Shepherd, Clarity Performance, Croud, Found, Disrupt Marketing, Push, PwC</t>
  </si>
  <si>
    <t>Impression, Measured, Rockerbox, Push, Northbeam, Ruler Analytics, Triple Whale, SegmentStream, Haus, Recast, Found</t>
  </si>
  <si>
    <t>https://thesocialshepherd.com/blog/top-performance-marketing-agencies-uk</t>
  </si>
  <si>
    <t>hunterlodge.co.uk</t>
  </si>
  <si>
    <t>The Social Shepherd | Top 13 Performance Marketing Agencies In The UK…</t>
  </si>
  <si>
    <t>Found, Hallam, ClickSlice, Measured, Blue Array, Exposure Ninja, Buried Agency</t>
  </si>
  <si>
    <t>ARTICLE</t>
  </si>
  <si>
    <t>rebootonline.com</t>
  </si>
  <si>
    <t>Article</t>
  </si>
  <si>
    <t>The Social Shepherd, 9AM, Gravity Global, Directive Consulting, Gripped, The Brains, The Good Marketer</t>
  </si>
  <si>
    <t>https://www.tilio.co.uk/blog/the-top-10-ai-search-agencies-in-the-uk-in-2026</t>
  </si>
  <si>
    <t>Found, Brainlabs, PMG, Bind Media, Journey Further, Directive Consulting, Gravity Global, YouGov, Impression, Tinuiti, NoGood, Disrupt Marketing</t>
  </si>
  <si>
    <t>purealanalytics.co.uk</t>
  </si>
  <si>
    <t>The top 10 AI search agencies in the UK in 2026 | Tilio</t>
  </si>
  <si>
    <t>Pureal Analytics</t>
  </si>
  <si>
    <t>Tilio, Screaming Frog, Found, Varn, Impression, Blue Array, Passion Digital, The SEO Works, Measured</t>
  </si>
  <si>
    <t>https://firstmotion.com/insights/best-geo-agencies-uk#:~:text=One%20thing%20and%20one%20thing,no%20paid%20media%2C%20nothing%20else.</t>
  </si>
  <si>
    <t>eseospace.com</t>
  </si>
  <si>
    <t>Best UK GEO &amp;amp; AI Search Agencies in 2026 | FirstMotion</t>
  </si>
  <si>
    <t>Impression, Screaming Frog, Builtvisible, Rise at Seven</t>
  </si>
  <si>
    <t>brandspeak.co.uk</t>
  </si>
  <si>
    <t>FirstMotion, Rank4AI, Found, Impression, Passion Digital, Measured, Blue Array, Tilio, Varn, Buried Agency, ClickSlice</t>
  </si>
  <si>
    <t>https://www.consultico.co.uk/articles/best-ppc-agencies-uk#:~:text=Its%20track%20record%20spans%20large,automation%20depth%20and%20consistent%20results.</t>
  </si>
  <si>
    <t>Accenture Song, Kantar, YouGov</t>
  </si>
  <si>
    <t>51d.co</t>
  </si>
  <si>
    <t>Best PPC Agencies in the UK (2026): 7 Top Companies Compared | Consultico</t>
  </si>
  <si>
    <t>Measured, McKinsey &amp; Company, QuantumBlack, Momentum, Push, Superside</t>
  </si>
  <si>
    <t>withgoogle.com</t>
  </si>
  <si>
    <t>Acadia</t>
  </si>
  <si>
    <t>Jellyfish, Croud, Push, Push Group</t>
  </si>
  <si>
    <t>charleagency.com</t>
  </si>
  <si>
    <t>https://grizzle.io/blog/best-content-marketing-agencies-uk</t>
  </si>
  <si>
    <t>Found, ClickSlice, Measured, Blue Array, Exposure Ninja, Buried Agency, Charle Agency</t>
  </si>
  <si>
    <t>Best content marketing agencies in the UK</t>
  </si>
  <si>
    <t>propeller.co.uk</t>
  </si>
  <si>
    <t>ClickSlice, Brainlabs, Rise at Seven, Croud, Siege Media, Measured, Tinuiti, Found</t>
  </si>
  <si>
    <t>Impression, Saatchi &amp; Saatchi, Gripped, Propeller, BBH London</t>
  </si>
  <si>
    <t>https://sunnypatel.co.uk/blog/best-aeo-agencies/</t>
  </si>
  <si>
    <t>margen.net</t>
  </si>
  <si>
    <t>Digital Landscope, Whitehat, Buried Agency, Hallam, Found, ClickSlice, Passion Digital, Bird Marketing, The SEO Works, Blue Array, Rise at Seven</t>
  </si>
  <si>
    <t>Best AEO Agencies UK 2026 — AI Search &amp;amp; GEO Specialists | Sunny Patel</t>
  </si>
  <si>
    <t>ppcgeeks.co.uk</t>
  </si>
  <si>
    <t>PROFILE</t>
  </si>
  <si>
    <t>Profile</t>
  </si>
  <si>
    <t>Rise at Seven, Builtvisible, Impression, The SEO Works</t>
  </si>
  <si>
    <t>Push Group, Found, Impression, Push, PPC Geeks, Momentum, Measured, Northbeam, Ruler Analytics</t>
  </si>
  <si>
    <t>https://thesocialshepherd.com/blog/top-paid-social-agencies-uk</t>
  </si>
  <si>
    <t>askattest.com</t>
  </si>
  <si>
    <t>The Social Shepherd | Top 13 Paid Social Agencies In The UK (2026)</t>
  </si>
  <si>
    <t>Huge, Kantar, Nielsen, YouGov</t>
  </si>
  <si>
    <t>digitalreference.co</t>
  </si>
  <si>
    <t>The Social Shepherd, Gripped, The Good Marketer, Found, The Brains, Clarity Performance</t>
  </si>
  <si>
    <t>https://www.havasmarket.co.uk/google-marketing-platform/#:~:text=Google%20Marketing%20Platform%20Partner%20Agency,and%20measure%20in%20one%20place.</t>
  </si>
  <si>
    <t>Momentum, Push</t>
  </si>
  <si>
    <t>blazonagency.com</t>
  </si>
  <si>
    <t>Google Marketing Platform Partner Agency | Havas Market UK</t>
  </si>
  <si>
    <t>Found, Impression, inBeat, Propeller, Rise at Seven, Koozai</t>
  </si>
  <si>
    <t>sbc-performance.com</t>
  </si>
  <si>
    <t>https://www.influencer-hero.com/blogs/top-paid-advertising-agencies-in-the-united-kingdom</t>
  </si>
  <si>
    <t>Found, Impression, The Social Shepherd, Soap Media, Disrupt Marketing</t>
  </si>
  <si>
    <t>techradar.com</t>
  </si>
  <si>
    <t>Top 10 Paid Advertising Agencies in the United Kingdom</t>
  </si>
  <si>
    <t>Found, Huge, Push</t>
  </si>
  <si>
    <t>The Social Shepherd, Vivify Agency, Manifest Group, Clarity Performance, Croud, Impression, Disrupt Marketing</t>
  </si>
  <si>
    <t>https://digitalagencynetwork.com/agencies/london/ai-marketing/</t>
  </si>
  <si>
    <t>helium42.com</t>
  </si>
  <si>
    <t>Measured, Push, PwC, EY, Found, Momentum</t>
  </si>
  <si>
    <t>Top AI Marketing Agencies in London (2026)</t>
  </si>
  <si>
    <t>sortlist.com</t>
  </si>
  <si>
    <t>Favoured, Propeller, FirstMotion, Ninja Promo, Bird Marketing, Found, Make Agency, ROAST, GA Agency</t>
  </si>
  <si>
    <t>Impression, Momentum, M3.agency, Push, Ninja Promo, Measured, Bird Marketing, Found, Northbeam, Triple Whale, WPP</t>
  </si>
  <si>
    <t>https://www.koozai.com/blog/search-marketing/the-best-ai-marketing-agencies-in-the-uk/</t>
  </si>
  <si>
    <t>aargroup.co.uk</t>
  </si>
  <si>
    <t>AI Marketing Agencies in the UK | Koozai</t>
  </si>
  <si>
    <t>AAR Group</t>
  </si>
  <si>
    <t>slashdot.org</t>
  </si>
  <si>
    <t>Koozai, Favoured, Measured</t>
  </si>
  <si>
    <t>Measured, Sellforte, Analytic Partners, Haus, Rockerbox, Recast, Disrupt Marketing</t>
  </si>
  <si>
    <t>https://nautilusmarketing.co.uk/top-15-paid-media-agencies-in-the-uk-2026/#:~:text=B2B%20technology%20sales.-,Impression,Tiles%2C%20and%20Cancer%20Research%20UK.</t>
  </si>
  <si>
    <t>wearesocial.com</t>
  </si>
  <si>
    <t>We Are Social</t>
  </si>
  <si>
    <t>lengreo.com</t>
  </si>
  <si>
    <t>Top 15 Paid Media Agencies in the UK (2026)</t>
  </si>
  <si>
    <t>NoGood, Found, WebFX, The Social Shepherd, Directive Consulting, Gravity Global, Gripped, The Brains, Whitehat</t>
  </si>
  <si>
    <t>edisonmoment.com</t>
  </si>
  <si>
    <t>iCrossing, Push, Push Group, GA Agency, Impression, Disrupt Marketing, Propeller, Clarity Performance, The Social Shepherd</t>
  </si>
  <si>
    <t>https://www.designrush.com/agency/creative-agencies/uk</t>
  </si>
  <si>
    <t>Measured</t>
  </si>
  <si>
    <t>linkedin.com</t>
  </si>
  <si>
    <t>Top Creative Agencies in the United Kingdom | 2026</t>
  </si>
  <si>
    <t>Epsilon, QueryClick, Triple Whale, Measured, Rockerbox, Found, Cometly, Ruler Analytics, Impression, PwC, Born Social, Huge, We Are Social, The Social Shepherd</t>
  </si>
  <si>
    <t>delivix.digital</t>
  </si>
  <si>
    <t>Huge, Directive Consulting</t>
  </si>
  <si>
    <t>Hallam, Found, Open Partners, Push, VCCP, Koozai, Passion Digital, The Good Marketer</t>
  </si>
  <si>
    <t>https://inbeat.agency/blog/top-performance-marketing-agencies-london</t>
  </si>
  <si>
    <t>thedigitalmaze.com</t>
  </si>
  <si>
    <t>Top 31 Performance Marketing Agencies in London as of 2026 - inBeat Agency</t>
  </si>
  <si>
    <t>Croud, Found, Impression, ClickSlice, Journey Further, Push, Rise at Seven, Bird Marketing, Push Group, Jellyfish, Huge, Bind Media, Propeller, PPC Geeks</t>
  </si>
  <si>
    <t>inBeat, Nielsen, The Brains, The Social Shepherd, Triple Whale, Northbeam, PMG, Momentum, Push, Push Group, Found, Passion Digital, NP Digital, Hallam, Huge</t>
  </si>
  <si>
    <t>neuraladx.com</t>
  </si>
  <si>
    <t>https://open.partners/open-partners-insights/10-leading-uk-performance-marketing-agencies-that-deliver-proven-roi/</t>
  </si>
  <si>
    <t>Found, Deloitte Digital, PwC, Siege Media, Measured, QuantumBlack, Momentum, The SEO Works, Blue Array, Digital Landscope, Exposure Ninja, Varn, Bird Marketing, Hallam, Brainlabs, Impression, Screaming Frog, Click Intelligence, Builtvisible, Koozai</t>
  </si>
  <si>
    <t>thedrum.com</t>
  </si>
  <si>
    <t>10 Leading UK Performance Marketing Agencies That Deliver Proven ROI - Open Partners</t>
  </si>
  <si>
    <t>Open Partners, Measured, Croud, Impression, Bind Media, The Brains, Push, Push Group, Bark London, weDiscover, VXTX</t>
  </si>
  <si>
    <t>Propeller, Momentum, Further Group, WPP, Mother London, Lucky Generals, Adam&amp;eveDDB, Ogilvy, Saatchi &amp; Saatchi, Uncommon Creative Studio, AMV BBDO, VCCP, Transmission, BBH London, AKQA, Omnicom, Dentsu, Publicis Groupe, Croud, Impression, Bind Media, The SEO Works, Journey Further, Merkle, Launch Online, Monks, Rise at Seven, Propellernet, Pablo, Found, Gravity Global, Kantar, We Are Social</t>
  </si>
  <si>
    <t>https://www.sortlist.co.uk/s/marketing-analytics/london-england-gb</t>
  </si>
  <si>
    <t>leverdigital.co.uk</t>
  </si>
  <si>
    <t>The 10 Best Marketing Analytics Companies in London - 2026 Reviews</t>
  </si>
  <si>
    <t>Push Group, Brainlabs, Huge, The Social Shepherd, Impression, Push, Gripped, PPC Geeks, Measured</t>
  </si>
  <si>
    <t>Momentum, M3.agency, Whitehat, McKinsey &amp; Company, Found</t>
  </si>
  <si>
    <t>overdrivedigital.co.uk</t>
  </si>
  <si>
    <t>https://bind.media/insights/top-9-paid-social-agencies-in-the-uk-2025</t>
  </si>
  <si>
    <t>Momentum, Directive Consulting, Gripped, Transmission, Overdrive Digital</t>
  </si>
  <si>
    <t>okapiandco.co.uk</t>
  </si>
  <si>
    <t>Top 9 Paid Social Agencies in the UK [2025]</t>
  </si>
  <si>
    <t>Found, Impression, Koozai</t>
  </si>
  <si>
    <t>Bind Media, Measured, Hallam, We Are Social, The Social Shepherd, Croud, The Good Marketer</t>
  </si>
  <si>
    <t>topseobrands.com</t>
  </si>
  <si>
    <t>https://disruptmarketing.co/blog/best-social-media-marketing-agencies/</t>
  </si>
  <si>
    <t>Found, We Are Social</t>
  </si>
  <si>
    <t>Best Social Media Agencies in the UK (2026) | Disrupt</t>
  </si>
  <si>
    <t>panovistamarketing.com</t>
  </si>
  <si>
    <t>Found, Panovista Marketing, Huge, Measured, Whitehat</t>
  </si>
  <si>
    <t>Disrupt Marketing, We Are Social, Found, Social Chain, Born Social, Croud, Ogilvy, Saatchi &amp; Saatchi, Publicis Groupe, The Social Shepherd, WPP, Measured</t>
  </si>
  <si>
    <t>creativemarketingltd.co.uk</t>
  </si>
  <si>
    <t>https://thesocialshepherd.com/blog/paid-media-agencies-uk</t>
  </si>
  <si>
    <t>The Social Shepherd | Top 13 Paid Media Agencies In The UK (2026)</t>
  </si>
  <si>
    <t>The Social Shepherd, Croud, Impression, Clarity Performance, Soap Media, 9AM, Disrupt Marketing</t>
  </si>
  <si>
    <t>ecomone.com</t>
  </si>
  <si>
    <t>https://www.dentsu.com/uk/en/marketing-effectiveness</t>
  </si>
  <si>
    <t>Measured, NP Digital, ClickSlice, Passion Digital, Polaris, Blue Array, Exposure Ninja, Builtvisible, Propellernet, Push Group, Found, Brainlabs, The Social Shepherd, Bind Media, ROAST, Push, Propeller, The SEO Works, Disruptive Advertising, Northbeam, Triple Whale, Bird Marketing, PPC Geeks</t>
  </si>
  <si>
    <t>dentsu</t>
  </si>
  <si>
    <t>compare.agency</t>
  </si>
  <si>
    <t>Jellyfish, Croud, Brainlabs, Brandtech, Journey Further, Impression, Havas Market UK</t>
  </si>
  <si>
    <t>lifesight.io</t>
  </si>
  <si>
    <t>Dentsu, Measured</t>
  </si>
  <si>
    <t>https://ensun.io/search/marketing-analytics/united-kingdom</t>
  </si>
  <si>
    <t>Measured, Haus, Push, Recast, Northbeam, Triple Whale</t>
  </si>
  <si>
    <t>ryesing.com</t>
  </si>
  <si>
    <t>Top 0 Marketing Analytics Companies in United Kingdom (2026) \| ensun</t>
  </si>
  <si>
    <t>Found</t>
  </si>
  <si>
    <t>toasttv.co.uk</t>
  </si>
  <si>
    <t>https://www.pushgroup.co.uk/blog/top-9-geo-agencies-in-the-uk</t>
  </si>
  <si>
    <t>Push</t>
  </si>
  <si>
    <t>builtinlondon.uk</t>
  </si>
  <si>
    <t>Top 9 GEO Agencies UK (2026): Reviewed &amp;amp; Compared | PUSH Group</t>
  </si>
  <si>
    <t>Push, Push Group, Found, Propellernet, Builtvisible, Charle Agency, Blue Array, Passion Digital, Impression, Disrupt Marketing, Measured</t>
  </si>
  <si>
    <t>Kantar, The Good Marketer, Gripped, iCrossing, Mother London, Adam&amp;eveDDB</t>
  </si>
  <si>
    <t>https://aeoagency.co.uk/top-aeo-agencies-uk-list/</t>
  </si>
  <si>
    <t>superside.com</t>
  </si>
  <si>
    <t>Top AEO Agencies in the UK | 2026 &amp;amp; Beyond</t>
  </si>
  <si>
    <t>Impression, Polaris, Favoured, Superside, Found, Accenture Song, Gravity Global, Ogilvy, Deloitte Digital, WPP, Publicis Groupe, GroupM, Momentum, Huge, Push, Jellyfish, Brandtech, NoGood, PwC, VCCP</t>
  </si>
  <si>
    <t>thegoodmarketer.co.uk</t>
  </si>
  <si>
    <t>Digital Landscope, The SEO Works, Push</t>
  </si>
  <si>
    <t>Found, Momentum, Huge, The Good Marketer</t>
  </si>
  <si>
    <t>https://digitalagencynetwork.com/agencies/london/</t>
  </si>
  <si>
    <t>buriedagency.com</t>
  </si>
  <si>
    <t>Best Digital Marketing Agencies in London (2026)</t>
  </si>
  <si>
    <t>Propeller, Found, ClickSlice, Passion Digital, Measured, Impression, Push, Exposure Ninja, Builtvisible, Buried Agency, Charle Agency, Varn, Bird Marketing, Huge</t>
  </si>
  <si>
    <t>Favoured, Hallam, Propeller, Make Agency, Bird Marketing, FirstMotion, Impression, GA Agency, Push, Ninja Promo, ROAST, Found, Passion Digital</t>
  </si>
  <si>
    <t>buzzgen.uk</t>
  </si>
  <si>
    <t>https://www.tilio.co.uk/blog/the-ultimate-guide-to-aeo-agencies-in-the-uk-2026</t>
  </si>
  <si>
    <t>Found, ClickSlice, The SEO Works, Passion Digital, Blue Array, Exposure Ninja, Varn</t>
  </si>
  <si>
    <t>5 AEO agencies in the UK to know in 2026 | Tilio</t>
  </si>
  <si>
    <t>marketingsignals.com</t>
  </si>
  <si>
    <t>Tilio, Found, Propeller, Digital Landscope, Varn</t>
  </si>
  <si>
    <t>https://www.tilio.co.uk/blog/top-geo-agencies-uk</t>
  </si>
  <si>
    <t>Measured, Single Grain, Transmission, Hallam, Brainlabs, Impression, Passion Digital, PPC Geeks, The Social Shepherd</t>
  </si>
  <si>
    <t>superbcompanies.com</t>
  </si>
  <si>
    <t>Top 8 GEO agencies in the UK in 2026 | Tilio</t>
  </si>
  <si>
    <t>Tilio, Screaming Frog, Found, Varn, Impression, Blue Array, The SEO Works</t>
  </si>
  <si>
    <t>https://www.triplewhale.com/blog/best-incrementality-testing-tools</t>
  </si>
  <si>
    <t>Found, Impression, The SEO Works, Dept, Bird Marketing</t>
  </si>
  <si>
    <t>adbeacon.com</t>
  </si>
  <si>
    <t>The Best Incrementality Testing Tools for Marketers in 2026 | Triple Whale</t>
  </si>
  <si>
    <t>Rockerbox, Push, Ruler Analytics, Triple Whale, Northbeam, Cometly</t>
  </si>
  <si>
    <t>50pros.com</t>
  </si>
  <si>
    <t>COMPARISON</t>
  </si>
  <si>
    <t>Comparison</t>
  </si>
  <si>
    <t>Triple Whale, Haus, Measured</t>
  </si>
  <si>
    <t>Found, Huge, Push, Impression, The SEO Works</t>
  </si>
  <si>
    <t>https://www.cometly.com/post/marketing-incrementality-testing-tools</t>
  </si>
  <si>
    <t>clicksgeek.com</t>
  </si>
  <si>
    <t>9 Best Marketing Incrementality Testing Tools 2026</t>
  </si>
  <si>
    <t>Measured, Rockerbox, Northbeam, Ruler Analytics, Triple Whale, Momentum, Impression, Push</t>
  </si>
  <si>
    <t>digitalagencyleaders.net</t>
  </si>
  <si>
    <t>Cometly, Measured, Rockerbox, Northbeam, Haus, Recast, Impression</t>
  </si>
  <si>
    <t>https://digitalagencynetwork.com/agencies/uk/</t>
  </si>
  <si>
    <t>Found, Hallam, Impression, Momentum, ClickSlice, The SEO Works, Passion Digital, Measured, Polaris, Blue Array, Exposure Ninja, Rise at Seven, Panovista Marketing, Favoured, Whitehat, VCCP, Koozai</t>
  </si>
  <si>
    <t>bird.co.uk</t>
  </si>
  <si>
    <t>Best Digital Marketing Agencies in the UK | Digital Agency Network</t>
  </si>
  <si>
    <t>Momentum, Bird Marketing</t>
  </si>
  <si>
    <t>Favoured, Propeller, FirstMotion, The SEO Works, Hallam, Anicca Digital, ROAST, Found, Make Agency, Ninja Promo, Bird Marketing, Push, M3.agency, GA Agency</t>
  </si>
  <si>
    <t>themanifest.com</t>
  </si>
  <si>
    <t>https://www.hunterlodge.co.uk/ai-visibility-research/insights/top-ai-visibility-agencies-in-the-uk/</t>
  </si>
  <si>
    <t>Favoured, Chello, The SEO Works, ROAST, M3.agency, Ninja Promo</t>
  </si>
  <si>
    <t>Top AI Visibility Agencies in the UK - Hunterlodge</t>
  </si>
  <si>
    <t>a-listware.com</t>
  </si>
  <si>
    <t>ClickSlice, Found, Hallam, Blue Array, Exposure Ninja, Measured, Buried Agency</t>
  </si>
  <si>
    <t>Jellyfish, Hallam, Huge, Push, QueryClick, Measurelab, Epsilon, Transmission, SegmentStream</t>
  </si>
  <si>
    <t>https://www.munro.agency/ai-marketing-agency/</t>
  </si>
  <si>
    <t>accuracast.com</t>
  </si>
  <si>
    <t>LOCALiQ</t>
  </si>
  <si>
    <t>10 Best AI Marketing Agencies in the UK for 2026</t>
  </si>
  <si>
    <t>alphaapexgroup.com</t>
  </si>
  <si>
    <t>Hallam, Favoured, Propeller, Disrupt Marketing</t>
  </si>
  <si>
    <t>https://purealanalytics.co.uk/</t>
  </si>
  <si>
    <t>Found, Artefact, McKinsey &amp; Company, Ogilvy, QuantumBlack</t>
  </si>
  <si>
    <t>consultancy.uk</t>
  </si>
  <si>
    <t>Pureal Analytics — Marketing measurement, modelled properly</t>
  </si>
  <si>
    <t>Found, Artefact, PwC, McKinsey &amp; Company, EY, Merkle, Kantar, Ogilvy, Ekimetrics</t>
  </si>
  <si>
    <t>HOMEPAGE</t>
  </si>
  <si>
    <t>evangelistsoftware.com</t>
  </si>
  <si>
    <t>Homepage</t>
  </si>
  <si>
    <t>https://www.pushgroup.co.uk/blog/top-9-answer-engine-optimisation-agencies-uk</t>
  </si>
  <si>
    <t>Top 9 Answer Engine Optimisation Agencies UK (2026 Guide) | PUSH Group</t>
  </si>
  <si>
    <t>getaiready.uk</t>
  </si>
  <si>
    <t>Push, Push Group, Found, The SEO Works, Builtvisible, Dentsu, Impression</t>
  </si>
  <si>
    <t>https://www.sortlist.co.uk/s/paid-media/london-england-gb</t>
  </si>
  <si>
    <t>Momentum, Artefact, Push</t>
  </si>
  <si>
    <t>youtube.com</t>
  </si>
  <si>
    <t>The 10 Best Paid Media Agencies in London - 2026 Reviews</t>
  </si>
  <si>
    <t>Push, Triple Whale, Northbeam, Whitehat, Found</t>
  </si>
  <si>
    <t>NoGood, Polaris, Wpromote, Disruptive Advertising, Single Grain, GrowthSpree, Impression, Huge, Push, Found, ClickSlice, Rank4AI, Varn, Measured, WPP, The Good Marketer, Soap Media, Propeller</t>
  </si>
  <si>
    <t>https://www.charle.co.uk/articles/top-ai-seo-agencies/#:~:text=Buried%20Agency%20is%20a%20UK,Google%20AI%20Overviews%2C%20and%20Perplexity.</t>
  </si>
  <si>
    <t>google.co.uk</t>
  </si>
  <si>
    <t>13 Best AI SEO Agencies UK (2026) | Charle</t>
  </si>
  <si>
    <t>gartner.com</t>
  </si>
  <si>
    <t>Charle Agency, Buried Agency, Impression, Found, Rise at Seven, Exposure Ninja, ClickSlice, Blue Array, Measured</t>
  </si>
  <si>
    <t>Measured, Haus, Recast, SegmentStream, Huge, Accenture Song, Deloitte Digital, Merkle, Ogilvy, Bird Marketing, iCrossing, AKQA</t>
  </si>
  <si>
    <t>https://clutch.co/agencies/creative/uk</t>
  </si>
  <si>
    <t>creativebrief.com</t>
  </si>
  <si>
    <t>Top Creative Agencies in the United Kingdom - Jul 2026 Rankings | Clutch.co</t>
  </si>
  <si>
    <t>We Are Social, Mother London, Saatchi &amp; Saatchi, AMV BBDO, Born Social, BBH London</t>
  </si>
  <si>
    <t>Polaris, Chello, Favoured, Make Agency</t>
  </si>
  <si>
    <t>https://disruptmarketing.co/paid-social/</t>
  </si>
  <si>
    <t>climb-seo.co.uk</t>
  </si>
  <si>
    <t>The SEO Works, Measured, Polaris, Tilio, Charle Agency</t>
  </si>
  <si>
    <t>Paid Social Agency London, UK | Paid Social Ad Services | Disrupt</t>
  </si>
  <si>
    <t>coolnerdsmarketing.com</t>
  </si>
  <si>
    <t>Disrupt Marketing, Found</t>
  </si>
  <si>
    <t>https://eseospace.com/blog/best-aeo-agencies-london-2026/</t>
  </si>
  <si>
    <t>Dentsu, The Social Shepherd, We Are Social, Gravity Global, Transmission, Momentum</t>
  </si>
  <si>
    <t>Best AEO Agencies in London in 2026: Top Answer Engine Optimization Experts in the UK - eSEOspace</t>
  </si>
  <si>
    <t>kinase.co.uk</t>
  </si>
  <si>
    <t>weareroast.com</t>
  </si>
  <si>
    <t>Impression, Builtvisible, Rise at Seven, Screaming Frog</t>
  </si>
  <si>
    <t>https://www.found.co.uk/blog/best-aio-ai-optimisation-agencies/</t>
  </si>
  <si>
    <t>Jellyfish, Brainlabs, Impression, Hallam, Huge, ROAST, Koozai, iCrossing</t>
  </si>
  <si>
    <t>webdesignchoice.co.uk</t>
  </si>
  <si>
    <t>Best AIO (AI Optimisation) Agencies in the UK \| Found</t>
  </si>
  <si>
    <t>Push Group, ClickSlice, The SEO Works, Measured, Digital Landscope, Push, Exposure Ninja, Builtvisible, Charle Agency, Click Intelligence</t>
  </si>
  <si>
    <t>lynchpin.com</t>
  </si>
  <si>
    <t>Found, Dept, Rise at Seven, Jellyfish, ROAST, Koozai</t>
  </si>
  <si>
    <t>https://www.rebootonline.com/paid-media/best-paid-media-agencies/</t>
  </si>
  <si>
    <t>hallam.agency</t>
  </si>
  <si>
    <t>Hallam, Found, Measured, Momentum</t>
  </si>
  <si>
    <t>Best Paid Media Agencies 2026 | Ultimate Top 10 List Ranked &amp;amp; Rated</t>
  </si>
  <si>
    <t>pearllemon.com</t>
  </si>
  <si>
    <t>Impression, Disrupt Marketing, NoGood, Tinuiti, Found</t>
  </si>
  <si>
    <t>Found, Impression, The Social Shepherd, ClickSlice, Disruptive Advertising, Ninja Promo, Make Agency, PPC Geeks, Soap Media, The SEO Works, ROAST, Favoured, Gravity Global</t>
  </si>
  <si>
    <t>https://www.wildishandco.co.uk/blog/best-creative-agencies</t>
  </si>
  <si>
    <t>brainz.digital</t>
  </si>
  <si>
    <t>Power Digital, Found, Brainlabs, Directive Consulting, Push, Omniscient Digital</t>
  </si>
  <si>
    <t>gambitagency.co.uk</t>
  </si>
  <si>
    <t>12 Best Creative Agencies in 2026 | Wildish &amp;amp; Co.</t>
  </si>
  <si>
    <t>Found, The Social Shepherd, Impression, Make Agency, Soap Media, Disrupt Marketing, Push Group, Hallam, Jellyfish, Croud, Brainlabs, Bind Media, Push, Disruptive Advertising, Koozai</t>
  </si>
  <si>
    <t>greenbook.org</t>
  </si>
  <si>
    <t>https://agencies.semrush.com/list/ai-optimization/london-city/</t>
  </si>
  <si>
    <t>YouGov, Found, Accenture Song, Kantar</t>
  </si>
  <si>
    <t>iwantmore.ai</t>
  </si>
  <si>
    <t>Best AI Search Optimization Agencies in London 2026 | Semrush</t>
  </si>
  <si>
    <t>Found, Measured, Passion Digital, The SEO Works, Gravity Global, ROAST</t>
  </si>
  <si>
    <t>sorttheclicks.com</t>
  </si>
  <si>
    <t>https://agencies.semrush.com/list/ai-optimization/united-kingdom/</t>
  </si>
  <si>
    <t>Push Group, Found, The SEO Works, Passion Digital, Tilio, Push, Screaming Frog, Whitehat, Builtvisible, Charle Agency</t>
  </si>
  <si>
    <t>Best AI Search Optimization Agencies in United Kingdom 2026 | Semrush</t>
  </si>
  <si>
    <t>beomniscient.com</t>
  </si>
  <si>
    <t>Found, Measured, Click Intelligence, Passion Digital, The SEO Works, Gravity Global, ROAST, Huge</t>
  </si>
  <si>
    <t>https://agencies.semrush.com/list/display-advertising/london-city/</t>
  </si>
  <si>
    <t>Measured, NoGood, Single Grain, Omniscient Digital, Daydream, Momentum, Directive Consulting, Superside, Disruptive Advertising, NP Digital, Ignite Visibility</t>
  </si>
  <si>
    <t>hikemytraffic.com</t>
  </si>
  <si>
    <t>Best Display Ads Agencies in London 2026 | Semrush</t>
  </si>
  <si>
    <t>Passion Digital, GA Agency, The SEO Works, ROAST, Found</t>
  </si>
  <si>
    <t>Found, Dentsu, The Good Marketer, Propeller, Soap Media, The Social Shepherd, Gripped, Bird Marketing</t>
  </si>
  <si>
    <t>https://www.charleagency.com/articles/best-geo-agencies-uk/</t>
  </si>
  <si>
    <t>netpeak.co.uk</t>
  </si>
  <si>
    <t>13 Best GEO Agencies UK (2026) | Top Generative Engine Optimization Agencies | Charle</t>
  </si>
  <si>
    <t>aether-agency.co.uk</t>
  </si>
  <si>
    <t>Charle Agency, Buried Agency, ClickSlice, Exposure Ninja, Blue Array, Found, Measured</t>
  </si>
  <si>
    <t>https://digitalagencynetwork.com/agencies/uk/creative/</t>
  </si>
  <si>
    <t>phable.io</t>
  </si>
  <si>
    <t>Momentum, Jellyfish, Impression, Mother London, Push, Further Group</t>
  </si>
  <si>
    <t>Top Creative Agencies in UK (2026)</t>
  </si>
  <si>
    <t>zipdo.co</t>
  </si>
  <si>
    <t>Favoured, Propeller, M3.agency, Make Agency, Impression, Bird Marketing</t>
  </si>
  <si>
    <t>https://www.found.co.uk/#:~:text=Found%20is%20the%20AI%2Dfirst,performance%20across%20every%20searchable%20platform.</t>
  </si>
  <si>
    <t>Merkle, Wpromote, PwC, Northbeam, WPP, Publicis Groupe, Dentsu, EY, Impression, Kantar, Nielsen, Ogilvy, GA Agency, AKQA</t>
  </si>
  <si>
    <t>gwi.com</t>
  </si>
  <si>
    <t>Digital Marketing Agency London | Digital Agency UK | Found</t>
  </si>
  <si>
    <t>Found, Power Digital</t>
  </si>
  <si>
    <t>WPP, Kantar, Nielsen, YouGov</t>
  </si>
  <si>
    <t>https://passion.digital/blog/the-best-generative-engine-optimisation-agencies-in-the-uk-2026/</t>
  </si>
  <si>
    <t>deptagency.com</t>
  </si>
  <si>
    <t>Dept, Push</t>
  </si>
  <si>
    <t>The 8 Best Generative Engine Optimisation Agencies in the UK (2026) | Passion Digital®</t>
  </si>
  <si>
    <t>onelinkmedia.co.uk</t>
  </si>
  <si>
    <t>Passion Digital, The SEO Works, Bird Marketing, Buried Agency, Polaris, Exposure Ninja</t>
  </si>
  <si>
    <t>https://www.rank4ai.co.uk/research/rankings/top-geo-agencies-uk-2026/#:~:text=Tests%20all%20six%20platforms.,within%20their%20broader%20SEO%20offering.</t>
  </si>
  <si>
    <t>arytech.com</t>
  </si>
  <si>
    <t>Top GEO Agencies UK 2026 | Rank4AI</t>
  </si>
  <si>
    <t>cornishwebservices.co.uk</t>
  </si>
  <si>
    <t>Push Group, Croud, Found, Brainlabs, Hallam, Impression, Push, Jellyfish, Passion Digital, We Are Social, Social Chain</t>
  </si>
  <si>
    <t>Rank4AI, Blue Array, Buried Agency, Varn, Found</t>
  </si>
  <si>
    <t>https://www.askattest.com/blog/articles/market-research-companies-uk</t>
  </si>
  <si>
    <t>expertsure.com</t>
  </si>
  <si>
    <t>Found, Momentum, ClickSlice</t>
  </si>
  <si>
    <t>Top 14 Market Research Companies in the UK (2026)</t>
  </si>
  <si>
    <t>factoryjet.com</t>
  </si>
  <si>
    <t>Found, Brainlabs, Deloitte Digital, The SEO Works, Passion Digital, Blue Array, Screaming Frog, Builtvisible, Varn, GA Agency, Croud, Whitehat, Rise at Seven</t>
  </si>
  <si>
    <t>Kantar, Nielsen, YouGov, Huge</t>
  </si>
  <si>
    <t>haus.io</t>
  </si>
  <si>
    <t>https://pinpoint-media.global/insights/top-5-uk-paid-social-agencies-2026</t>
  </si>
  <si>
    <t>Found, Momentum, Haus</t>
  </si>
  <si>
    <t>hockeystack.com</t>
  </si>
  <si>
    <t>Top 5 Paid Social Agencies in the UK (2026) | PinPoint Media</t>
  </si>
  <si>
    <t>PinPoint Media, Social Chain, Born Social, Found, Huge</t>
  </si>
  <si>
    <t>Found, Impression, Rockerbox, Push, Northbeam, Ruler Analytics, Triple Whale, Disrupt Marketing</t>
  </si>
  <si>
    <t>icreativez.com</t>
  </si>
  <si>
    <t>https://www.propeller.co.uk/insights/top-digital-marketing-agencies-uk-2025</t>
  </si>
  <si>
    <t>Top Digital Marketing Agencies UK (2026) | Propeller</t>
  </si>
  <si>
    <t>limeup.io</t>
  </si>
  <si>
    <t>Huge, Passion Digital, McKinsey &amp; Company</t>
  </si>
  <si>
    <t>Propeller, Saatchi &amp; Saatchi, Impression, BBH London, Gripped</t>
  </si>
  <si>
    <t>pinemarsh.com</t>
  </si>
  <si>
    <t>https://thatware.co/best-aeo-companies-in-uk/</t>
  </si>
  <si>
    <t>Best AEO Companies in UK - Top 10 AEO Services UK</t>
  </si>
  <si>
    <t>rankshift.ai</t>
  </si>
  <si>
    <t>Found, WebFX</t>
  </si>
  <si>
    <t>ClickSlice, Builtvisible, Rise at Seven, Momentum</t>
  </si>
  <si>
    <t>https://www.vxtx.co.uk/blog/what-is-the-best-performance-marketing-agency-in-the-u-k</t>
  </si>
  <si>
    <t>supermetrics.com</t>
  </si>
  <si>
    <t>What Is the Best Performance Marketing Agency in The U.K? | VXTX Performance Marketing Blog</t>
  </si>
  <si>
    <t>Measured, Haus</t>
  </si>
  <si>
    <t>VXTX, Gripped, Hallam, Momentum</t>
  </si>
  <si>
    <t>https://www.wearetenet.com/blog/ai-seo-agencies-in-london</t>
  </si>
  <si>
    <t>wishu.io</t>
  </si>
  <si>
    <t>7 Best AI SEO Agencies in London</t>
  </si>
  <si>
    <t>joinupscale.com</t>
  </si>
  <si>
    <t>Found, Impression, Croud, Brainlabs, PPC Geeks</t>
  </si>
  <si>
    <t>Rank4AI, ClickSlice, Hallam, Favoured</t>
  </si>
  <si>
    <t>gripped.io</t>
  </si>
  <si>
    <t>https://whitehat-seo.co.uk/blog/best-ppc-agencies-uk</t>
  </si>
  <si>
    <t>Incubeta, Jellyfish, Croud, Brainlabs, Dentsu, Accenture Song, Passion Digital, Measured, We Are Social, Merkle, Push, Publicis Groupe, Gravity Global, Ogilvy, Saatchi &amp; Saatchi, Builtvisible, Gripped, Rise at Seven, VCCP, Clarity Performance, iCrossing, Koozai, Propellernet, Transmission</t>
  </si>
  <si>
    <t>Best PPC Agencies UK: Pricing &amp;amp; Comparison | Whitehat</t>
  </si>
  <si>
    <t>aeoagencyservices.com</t>
  </si>
  <si>
    <t>Whitehat, Brainlabs, Croud, Found, Hallam, Impression, PPC Geeks, The SEO Works, LOCALiQ</t>
  </si>
  <si>
    <t>ey.com</t>
  </si>
  <si>
    <t>https://agencies.semrush.com/list/display-advertising/united-kingdom/enterprise-business/</t>
  </si>
  <si>
    <t>Found, EY, Momentum</t>
  </si>
  <si>
    <t>Best Display Ads Agencies for Enterprise Business in United Kingdom 2026 | Semrush</t>
  </si>
  <si>
    <t>ft.com</t>
  </si>
  <si>
    <t>Found, Soap Media, GA Agency, The SEO Works, ROAST</t>
  </si>
  <si>
    <t>Found, WPP</t>
  </si>
  <si>
    <t>https://blazonagency.com/post/marketing-agency-uk</t>
  </si>
  <si>
    <t>giraffesocialmedia.co.uk</t>
  </si>
  <si>
    <t>Best Marketing Agency UK Picks for 2026 | Blazon Agency</t>
  </si>
  <si>
    <t>Momentum, Huge</t>
  </si>
  <si>
    <t>sourceforge.net</t>
  </si>
  <si>
    <t>Impression, Found, inBeat, Rise at Seven, Koozai, Propeller</t>
  </si>
  <si>
    <t>https://clutch.co/agencies/ppc/uk/england</t>
  </si>
  <si>
    <t>Measured, Sellforte, Analytic Partners, Haus, Rockerbox, Push, Recast</t>
  </si>
  <si>
    <t>stellaheystella.com</t>
  </si>
  <si>
    <t>Top PPC Agencies in England - Jul 2026 Rankings \| Clutch.co</t>
  </si>
  <si>
    <t>Launch Online, M3.agency, ROAST, Soap Media, GA Agency, The SEO Works, Huge, Ninja Promo, Momentum, Propeller, Found</t>
  </si>
  <si>
    <t>Found, Measured, Sellforte, Haus, Northbeam, Triple Whale</t>
  </si>
  <si>
    <t>https://digitalagencynetwork.com/agencies/uk/geo/</t>
  </si>
  <si>
    <t>swifterm.com</t>
  </si>
  <si>
    <t>Push Group, Push, PPC Geeks</t>
  </si>
  <si>
    <t>Top GEO Agencies in UK for Generative Engine Optimization (2026)</t>
  </si>
  <si>
    <t>salocin-group.com</t>
  </si>
  <si>
    <t>Favoured, Measured, Found, Propeller, Anicca Digital, The SEO Works, Bird Marketing, GA Agency, ROAST, FirstMotion</t>
  </si>
  <si>
    <t>https://www.koozai.com/blog/marketing-strategy/top-28-digital-marketing-agencies-in-the-uk/</t>
  </si>
  <si>
    <t>Transmission</t>
  </si>
  <si>
    <t>getrecast.com</t>
  </si>
  <si>
    <t>UK Digital Marketing Agencies: A Resource Guide by Speciality | Koozai</t>
  </si>
  <si>
    <t>Koozai, Click Intelligence, Impression, Rise at Seven, Blue Array, ClickSlice, Exposure Ninja, Hallam, The Good Marketer, Gravity Global, Found</t>
  </si>
  <si>
    <t>Recast</t>
  </si>
  <si>
    <t>https://sbc-performance.com/blog/best-paid-social-media-agencies-uk/</t>
  </si>
  <si>
    <t>s360digital.com</t>
  </si>
  <si>
    <t>Measured, Screaming Frog</t>
  </si>
  <si>
    <t>Best Paid Social Media Agencies in the UK (2026) – Shortlist</t>
  </si>
  <si>
    <t>visarc.uk</t>
  </si>
  <si>
    <t>Huge</t>
  </si>
  <si>
    <t>The Social Shepherd, Impression, Disrupt Marketing, Found, Soap Media</t>
  </si>
  <si>
    <t>agencyvista.com</t>
  </si>
  <si>
    <t>https://www.sortlist.co.uk/s/performance-marketing/united-kingdom-gb</t>
  </si>
  <si>
    <t>Jellyfish, Croud, Brainlabs, Dentsu, Adswerve, Deloitte Digital, Brainlabs, Merkle, Artefact, Ogilvy, Dept, AKQA</t>
  </si>
  <si>
    <t>The 10 Best Performance Marketing Agencies in The United Kingdom - 2026 Reviews</t>
  </si>
  <si>
    <t>ampliflow.ai</t>
  </si>
  <si>
    <t>Momentum, M3.agency, Found, McKinsey &amp; Company, Push</t>
  </si>
  <si>
    <t>Gripped</t>
  </si>
  <si>
    <t>https://clutch.co/agencies/ppc/display/uk</t>
  </si>
  <si>
    <t>appsflyer.com</t>
  </si>
  <si>
    <t>Top Display Advertising Services in the United Kingdom - Jul 2026 Rankings \| Clutch.co</t>
  </si>
  <si>
    <t>Ninja Promo, Soap Media, The SEO Works, GA Agency, Bind Media, Found</t>
  </si>
  <si>
    <t>https://clutch.co/agencies/social-media-marketing/uk</t>
  </si>
  <si>
    <t>Top Social Media Marketing Agencies in the United Kingdom - Jul 2026 Rankings \| Clutch.co</t>
  </si>
  <si>
    <t>Ninja Promo, ROAST, Favoured, Soap Media, Impression, Found, Momentum, M3.agency, Propeller</t>
  </si>
  <si>
    <t>https://www.goodfirms.co/directory/country/top-digital-marketing-companies/gb</t>
  </si>
  <si>
    <t>Top Digital Marketing Agencies in UK - 2026 Reviews | Goodfirms</t>
  </si>
  <si>
    <t>WebFX, The SEO Works, Bird Marketing, Impression, Push, Found</t>
  </si>
  <si>
    <t>https://helium42.com/blog/ai-consultancy-uk-guide</t>
  </si>
  <si>
    <t>AI Consultancy UK: Costs, Pricing Models and Firm Comparison (2026 Guide)</t>
  </si>
  <si>
    <t>HOW_TO_GUIDE</t>
  </si>
  <si>
    <t>How-To Guide</t>
  </si>
  <si>
    <t>Measured, PwC, EY, Push</t>
  </si>
  <si>
    <t>https://sellforte.com/blog/best-incrementality-testing-tools</t>
  </si>
  <si>
    <t>Best Incrementality Testing Tools in 2026: In-depth Vendor Comparison</t>
  </si>
  <si>
    <t>Sellforte, Measured, Haus, Recast</t>
  </si>
  <si>
    <t>https://slashdot.org/software/incrementality-testing/in-uk/</t>
  </si>
  <si>
    <t>Top Incrementality Testing Tools in the UK in 2026</t>
  </si>
  <si>
    <t>EDITORIAL</t>
  </si>
  <si>
    <t>Measured, Sellforte, Rockerbox, Recast, Disrupt Marketing, Haus, Analytic Partners</t>
  </si>
  <si>
    <t>https://www.superhub.biz/top-19-social-media-marketing-agencies-uk-2026</t>
  </si>
  <si>
    <t>Top 19 Social Media Marketing Agencies UK 2026</t>
  </si>
  <si>
    <t>The Social Shepherd, We Are Social, Born Social, Croud, Social Chain, The Good Marketer, Soap Media</t>
  </si>
  <si>
    <t>https://support.google.com/analytics/answer/7237700?hl=en</t>
  </si>
  <si>
    <t>Google Marketing Platform Partners - Analytics Help</t>
  </si>
  <si>
    <t>https://wearesocial.com/uk/</t>
  </si>
  <si>
    <t>Creative Agency - We Are Social UK</t>
  </si>
  <si>
    <t>https://www.51d.co/top-10-ai-strategy-consultants-in-london-for-2026-a-comprehensive-guide/</t>
  </si>
  <si>
    <t>Top 10 AI Strategy Consultants in London in 2026: Comprehensive Guide - Fifty One Degrees</t>
  </si>
  <si>
    <t>McKinsey &amp; Company, Measured, QuantumBlack</t>
  </si>
  <si>
    <t>https://www.bluearray.co.uk/agency-directory/best-generative-engine-optimisation-geo-agencies-in-the-uk/</t>
  </si>
  <si>
    <t>Best Generative Engine Optimisation (GEO) Agencies in the UK | Top AI Search Experts</t>
  </si>
  <si>
    <t>Blue Array, Polaris</t>
  </si>
  <si>
    <t>https://edisonmoment.com/agency/best/performance-marketing-agency-united-kingdom</t>
  </si>
  <si>
    <t>Performance Marketing Agency in the UK | Edison Moment</t>
  </si>
  <si>
    <t>https://www.found.co.uk/services/seo/ai-seo/aeo/</t>
  </si>
  <si>
    <t>AEO Agency \| Answer Engine Optimisation (AEO) SEO Agency \| Found</t>
  </si>
  <si>
    <t>https://inbeat.agency/blog/top-digital-marketing-agencies-in-the-uk</t>
  </si>
  <si>
    <t>Top 31 Digital Marketing Agencies in the UK [2026 Review] - inBeat Agency</t>
  </si>
  <si>
    <t>inBeat, Nielsen, Impression, Found, The Social Shepherd, Social Chain, Saatchi &amp; Saatchi, BBH London, We Are Social, Gripped, Soap Media, Make Agency</t>
  </si>
  <si>
    <t>https://seocompare.co.uk/best-geo-agencies-uk/</t>
  </si>
  <si>
    <t>Best GEO Agencies UK 2026 - Compared | SEOCompare</t>
  </si>
  <si>
    <t>Found, Rank4AI, ClickSlice</t>
  </si>
  <si>
    <t>https://www.sortlist.co.uk/s/display-advertising/england-england-gb</t>
  </si>
  <si>
    <t>The 10 Best Display Advertising Agencies in England - 2026 Reviews</t>
  </si>
  <si>
    <t>Found, Momentum, M3.agency, Ninja Promo</t>
  </si>
  <si>
    <t>https://delivix.digital/marketing/ai-marketing-agencies-in-the-uk/</t>
  </si>
  <si>
    <t>10 best AI marketing agencies in the UK - Delivix</t>
  </si>
  <si>
    <t>Found, Hallam, VCCP, Push, Koozai, Open Partners</t>
  </si>
  <si>
    <t>https://www.sortlist.co.uk/s/performance-marketing/london-england-gb</t>
  </si>
  <si>
    <t>The 10 Best Performance Marketing Agencies in London - 2026 Reviews</t>
  </si>
  <si>
    <t>Push, Triple Whale, Northbeam, Whitehat, Found, Momentum, M3.agency</t>
  </si>
  <si>
    <t>https://thatware.co/top-10-geo-companies-in-uk/</t>
  </si>
  <si>
    <t>Top GEO Companies in UK \| 10 Best UK GEO Agencies</t>
  </si>
  <si>
    <t>Varn, Blue Array, Bird Marketing, Found</t>
  </si>
  <si>
    <t>https://business.google.com/uk/think/measurement/incrementality-testing/</t>
  </si>
  <si>
    <t>Use incrementality testing for effective marketing measurement</t>
  </si>
  <si>
    <t>https://clutch.co/consulting/ai/uk</t>
  </si>
  <si>
    <t>Top AI Consultants in the United Kingdom - Jul 2026 Rankings \| Clutch.co</t>
  </si>
  <si>
    <t>https://www.designrush.com/agency/digital-marketing/uk</t>
  </si>
  <si>
    <t>Top Digital Marketing Agencies in the United Kingdom | 2026</t>
  </si>
  <si>
    <t>Bird Marketing, Genie Crawl, Nielsen, Favoured, WebFX, Directive Consulting, Momentum</t>
  </si>
  <si>
    <t>https://www.leverdigital.co.uk/guides/top-10-google-ad-management-agencies-uk</t>
  </si>
  <si>
    <t>Top 10 Google Ad Management Agencies in the UK (2026 Guide)</t>
  </si>
  <si>
    <t>Gripped, Impression, Brainlabs, Huge, Push, Push Group, PPC Geeks, The Social Shepherd</t>
  </si>
  <si>
    <t>https://www.okapiandco.co.uk/blog/best-geo-agencies-uk-2026</t>
  </si>
  <si>
    <t>Best GEO Agencies in the UK (2026): Who Is Actually Doing AI Search? | Okapi &amp;amp; Co</t>
  </si>
  <si>
    <t>Impression, Koozai, Found</t>
  </si>
  <si>
    <t>https://overdrivedigital.co.uk/five-leading-b2b-performance-marketing-agencies-you-need-to-know-in-the-uk/#:~:text=Based%20in%20the%20UK%20and,genuinely%20full%2Dfunnel%20growth%20model.</t>
  </si>
  <si>
    <t>Five Leading B2B Performance Marketing Agencies You Need to Know in the UK</t>
  </si>
  <si>
    <t>Overdrive Digital, Gripped, Transmission, Directive Consulting, Momentum</t>
  </si>
  <si>
    <t>https://seocompare.co.uk/</t>
  </si>
  <si>
    <t>Compare AI Search Optimisation Agencies &amp;amp; Tools | SEOCompare</t>
  </si>
  <si>
    <t>Rank4AI</t>
  </si>
  <si>
    <t>https://techbehemoths.com/companies/marketing-analytics/united-kingdom</t>
  </si>
  <si>
    <t>Top 20+ Marketing analytics Companies in United Kingdom (2026) - TechBehemoths</t>
  </si>
  <si>
    <t>https://www.influencer-hero.com/fr/blogs/top-paid-advertising-agencies-in-the-united-kingdom</t>
  </si>
  <si>
    <t>Les 10 meilleures agences de publicité payante au Royaume-Uni</t>
  </si>
  <si>
    <t>https://www.munro.agency/top-performance-marketing-agencies/</t>
  </si>
  <si>
    <t>Top 15 Performance Marketing Agencies for 2026</t>
  </si>
  <si>
    <t>WebFX, Gripped, Directive Consulting, The Brains, Gravity Global</t>
  </si>
  <si>
    <t>https://ppcgeeks.co.uk/ppc/marketing-attribution-tools/</t>
  </si>
  <si>
    <t>Marketing Attribution Tools: A Complete Guide - PPC Geeks Blog</t>
  </si>
  <si>
    <t>PPC Geeks, Ruler Analytics, Measured, Northbeam, Impression, Found</t>
  </si>
  <si>
    <t>https://thesocialshepherd.com/blog/top-digital-marketing-agencies-uk#:~:text=They%20believe%20that%20weaving%20stories,Gripped</t>
  </si>
  <si>
    <t>The Social Shepherd | Top 17 Digital Marketing Agencies In The UK…</t>
  </si>
  <si>
    <t>The Social Shepherd, Gripped, Found, The Good Marketer, Impression, We Are Social, Saatchi &amp; Saatchi, Huge, BBH London</t>
  </si>
  <si>
    <t>https://whitehat-seo.co.uk/ai-consultancy-and-implementation#:~:text=This%20gap%20is%20where%20specialist,revenue%2C%20not%20just%20productivity%20metrics.</t>
  </si>
  <si>
    <t>AI Consultancy &amp;amp; Implementation Services UK | Whitehat</t>
  </si>
  <si>
    <t>Whitehat, Found, PwC, Measured</t>
  </si>
  <si>
    <t>https://clutch.co/agencies/ppc/uk</t>
  </si>
  <si>
    <t>Top PPC Agencies in the United Kingdom - Jul 2026 Rankings \| Clutch.co</t>
  </si>
  <si>
    <t>Launch Online, M3.agency, Ninja Promo, ROAST, Soap Media, GA Agency, The SEO Works, Propeller, Impression, ClickSlice, Found, Bind Media, Passion Digital, PPC Geeks, Gripped</t>
  </si>
  <si>
    <t>https://www.compare.agency/7-of-the-top-ppc-agencies-in-the-uk-for-2026</t>
  </si>
  <si>
    <t>7 Top PPC Agencies in the UK for 2026 | Compare.Agency</t>
  </si>
  <si>
    <t>Brainlabs, Jellyfish, Brandtech, Croud, Impression, Journey Further, Havas Market UK</t>
  </si>
  <si>
    <t>https://www.found.co.uk/services/seo/ai-seo/</t>
  </si>
  <si>
    <t>​AI SEO Agency \| Smart AI Search Services London, UK \| Found</t>
  </si>
  <si>
    <t>Found, Favoured, Disrupt Marketing</t>
  </si>
  <si>
    <t>https://www.impressiondigital.com/paid-media/</t>
  </si>
  <si>
    <t>Paid Media Agency | London &amp;amp; Nottingham | Impression</t>
  </si>
  <si>
    <t>https://inbeat.agency/blog/top-marketing-measurement-and-analytics-companies</t>
  </si>
  <si>
    <t>Top 15 Marketing Measurement and Analytics Firms Unlocking ROI Clarity in 2026 - inBeat Agency</t>
  </si>
  <si>
    <t>inBeat, Nielsen, Artefact, Found, Measured, Polaris, WebFX</t>
  </si>
  <si>
    <t>https://lifesight.io/blog/best-incrementality-testing-tools/</t>
  </si>
  <si>
    <t>6 Best Incrementality Testing Tools in 2025 [UPDATED] - Lifesight</t>
  </si>
  <si>
    <t>Haus, Measured, Recast, Push, Northbeam, Triple Whale</t>
  </si>
  <si>
    <t>https://marketingplatform.google.com/about/partners/?hl=uk</t>
  </si>
  <si>
    <t>https://www.panovistamarketing.com/blog/best-ai-seo-agencies-uk#:~:text=1.,is%20not%20the%20same%20thing.</t>
  </si>
  <si>
    <t>Best AI SEO Agencies UK 2026 | How to Choose Wisely</t>
  </si>
  <si>
    <t>Panovista Marketing, Found</t>
  </si>
  <si>
    <t>https://www.polarisagency.com/us/marketing-insights/best-geo-services-uk/</t>
  </si>
  <si>
    <t>https://www.ryesing.com/post/performance-marketing-agencies-uk</t>
  </si>
  <si>
    <t>7 Best Performance Marketing Agencies UK 2026 (Expert Guide)</t>
  </si>
  <si>
    <t>https://www.sortlist.co.uk/s/creative/united-kingdom-gb</t>
  </si>
  <si>
    <t>The 10 Best Creative Agencies in The United Kingdom - 2026 Reviews</t>
  </si>
  <si>
    <t>Ninja Promo, Whitehat, Momentum</t>
  </si>
  <si>
    <t>https://www.sortlist.co.uk/s/paid-media/united-kingdom-gb</t>
  </si>
  <si>
    <t>atomicdigitalmarketing.co.uk</t>
  </si>
  <si>
    <t>The 10 Best Paid Media Agencies in The United Kingdom - 2026 Reviews</t>
  </si>
  <si>
    <t>Push, Triple Whale, Northbeam, Found, Momentum, M3.agency, McKinsey &amp; Company, Impression</t>
  </si>
  <si>
    <t>https://www.toasttv.co.uk/blog/working-with-the-best-in-house-creative-agencies</t>
  </si>
  <si>
    <t>dramatik.com</t>
  </si>
  <si>
    <t>Who are the best In-house creative agencies in the UK?</t>
  </si>
  <si>
    <t>Push Group, The Social Shepherd, Push, The Brains, PPC Geeks, Clarity Performance</t>
  </si>
  <si>
    <t>ecomposer.io</t>
  </si>
  <si>
    <t>Push Group, Croud, Found, Brainlabs, Hallam, Huge, Bind Media, Impression, Push</t>
  </si>
  <si>
    <t>https://www.webtonic.io/blog/best-creative-agencies-london</t>
  </si>
  <si>
    <t>hotwireglobal.co.uk</t>
  </si>
  <si>
    <t>The 30 Best Creative Agencies in London as of 2026</t>
  </si>
  <si>
    <t>loudface.co</t>
  </si>
  <si>
    <t>Measured, NoGood, Omniscient Digital, Siege Media</t>
  </si>
  <si>
    <t>Mother London, Adam&amp;eveDDB, Uncommon Creative Studio, BBH London, AMV BBDO, Accenture Song, VCCP, Ogilvy, Pablo, Lucky Generals, Saatchi &amp; Saatchi</t>
  </si>
  <si>
    <t>openkit.co.uk</t>
  </si>
  <si>
    <t>https://brandspeak.co.uk/blog/top-market-research-agencies-uk/#:~:text=Kantar's%20Blueprint%20for%20Brand%20Growth,intelligence%20it%20brings%20to%20clients.</t>
  </si>
  <si>
    <t>reuters.com</t>
  </si>
  <si>
    <t>Best Market Research Agencies in the UK (2026) | Compared &amp;amp; Reviewed</t>
  </si>
  <si>
    <t>Publicis Groupe</t>
  </si>
  <si>
    <t>semnexus.com</t>
  </si>
  <si>
    <t>Kantar, Accenture Song, YouGov</t>
  </si>
  <si>
    <t>softomatesolutions.com</t>
  </si>
  <si>
    <t>https://www.buriedagency.com/post/top-geo-agencies-uk</t>
  </si>
  <si>
    <t>Found, Measured, QuantumBlack</t>
  </si>
  <si>
    <t>liftlab.com</t>
  </si>
  <si>
    <t>Top 12 GEO (Generative Engine Optimisation) agencies in the UK</t>
  </si>
  <si>
    <t>Buried Agency, Charle Agency, Propeller, Exposure Ninja, Passion Digital, Impression, ClickSlice, Varn, Bird Marketing, Found, Builtvisible, Push, Measured</t>
  </si>
  <si>
    <t>kingsbury.io</t>
  </si>
  <si>
    <t>https://buzzgen.uk/2026/03/04/top-10-geo-and-ai-ranking-agencies-in-the-uk-march-2026/</t>
  </si>
  <si>
    <t>elevenmiles.com</t>
  </si>
  <si>
    <t>Top 10 GEO and AI-Ranking Agencies in the UK - March 2026 -</t>
  </si>
  <si>
    <t>bark.london</t>
  </si>
  <si>
    <t>Bark London, Impression</t>
  </si>
  <si>
    <t>design-intellect.co.uk</t>
  </si>
  <si>
    <t>Found, The SEO Works, Blue Array, Passion Digital, Varn, Exposure Ninja, ClickSlice</t>
  </si>
  <si>
    <t>https://www.clickslice.co.uk/top-digital-marketing-agencies-uk/</t>
  </si>
  <si>
    <t>Found, Huge, Dentsu, We Are Social, Mother London, Publicis Groupe, Ogilvy, Saatchi &amp; Saatchi, AMV BBDO, VCCP, Disrupt Marketing, YouGov, BBH London</t>
  </si>
  <si>
    <t>idhlagency.com</t>
  </si>
  <si>
    <t>Top 10 Digital Marketing Agencies in the UK (2026)</t>
  </si>
  <si>
    <t>ClickSlice, Found, Measured</t>
  </si>
  <si>
    <t>IDHL</t>
  </si>
  <si>
    <t>innovationvisual.com</t>
  </si>
  <si>
    <t>https://www.cometly.com/post/marketing-attribution-tools-for-agencies</t>
  </si>
  <si>
    <t>londence.com</t>
  </si>
  <si>
    <t>Best Marketing Attribution Tools For Agencies 2026</t>
  </si>
  <si>
    <t>Cometly, Triple Whale, Northbeam, Rockerbox, Ruler Analytics</t>
  </si>
  <si>
    <t>originmediameasurement.com</t>
  </si>
  <si>
    <t>https://www.dontpaniclondon.com/blog/best-uk-advertising-agencies/</t>
  </si>
  <si>
    <t>Impression, Measured, Kantar, Omnicom</t>
  </si>
  <si>
    <t>rethinkworks.co.uk</t>
  </si>
  <si>
    <t>The 8 Best UK Advertising Agencies in 2026 (with examples)</t>
  </si>
  <si>
    <t>Omnicom, AMV BBDO, Momentum, Adam&amp;eveDDB, BBH London, Uncommon Creative Studio, Push, Saatchi &amp; Saatchi, WPP, Dentsu</t>
  </si>
  <si>
    <t>selectedfirms.co</t>
  </si>
  <si>
    <t>https://www.koozai.com/blog/pay-per-click-ppc/10-best-paid-media-agencies-in-uk/</t>
  </si>
  <si>
    <t>Momentum, Impression, Whitehat, 9AM</t>
  </si>
  <si>
    <t>seo.com</t>
  </si>
  <si>
    <t>10 Paid Media Agencies in the UK Worth Speaking To | Koozai</t>
  </si>
  <si>
    <t>Koozai, Brainlabs, Found, Impression, Jellyfish, Journey Further, Propellernet</t>
  </si>
  <si>
    <t>https://www.munro.agency/top-paid-media-agencies/</t>
  </si>
  <si>
    <t>The SEO Works, M3.agency, Ninja Promo, WebFX</t>
  </si>
  <si>
    <t>Top 10 Paid Media Agencies for 2026</t>
  </si>
  <si>
    <t>weframetech.com</t>
  </si>
  <si>
    <t>Impression, Push, ClickSlice, inBeat, Power Digital</t>
  </si>
  <si>
    <t>https://partnersdirectory.withgoogle.com/intl/en-GB/</t>
  </si>
  <si>
    <t>Open Partners, Propeller, Koozai</t>
  </si>
  <si>
    <t>wmtips.com</t>
  </si>
  <si>
    <t>Google Partners directory – Find a Partner for business growth</t>
  </si>
  <si>
    <t>warc.com</t>
  </si>
  <si>
    <t>WPP, Ogilvy, Omnicom</t>
  </si>
  <si>
    <t>socialchameleon.com</t>
  </si>
  <si>
    <t>https://www.pushgroup.co.uk/blog/top-9-google-ads-agencies-in-the-uk</t>
  </si>
  <si>
    <t>Top 9 Google Ads Agencies in the UK 2026 | PUSH Group</t>
  </si>
  <si>
    <t>Found, Huge, Dentsu, Mother London, The Good Marketer, Screaming Frog, Ogilvy, BBH London, Push Group, Jellyfish, Hallam, Impression, The SEO Works, Merkle, Push, Saatchi &amp; Saatchi, Builtvisible, Propeller, AMV BBDO</t>
  </si>
  <si>
    <t>Push, Push Group, The Social Shepherd, PPC Geeks, Found</t>
  </si>
  <si>
    <t>elevateai.co.uk</t>
  </si>
  <si>
    <t>https://www.rank4ai.co.uk/research/rankings/ai-search-optimisation-agencies-uk/</t>
  </si>
  <si>
    <t>Measured, Favoured</t>
  </si>
  <si>
    <t>aeodirectory.com</t>
  </si>
  <si>
    <t>AI Search Optimisation Agencies UK 2026 | Rank4AI</t>
  </si>
  <si>
    <t>Rank4AI, Varn, Found, Buried Agency</t>
  </si>
  <si>
    <t>https://segmentstream.com/blog/articles/best-attribution-tools</t>
  </si>
  <si>
    <t>businessinsider.com</t>
  </si>
  <si>
    <t>10 Best Marketing Attribution Tools &amp;amp; Platforms (2026) — SegmentStream</t>
  </si>
  <si>
    <t>Found, Push, PwC, McKinsey &amp; Company, Huge, Measured, WPP</t>
  </si>
  <si>
    <t>copilot-experts.com</t>
  </si>
  <si>
    <t>SegmentStream, Triple Whale, Northbeam, Measured, Rockerbox, Ruler Analytics, Impression, Push</t>
  </si>
  <si>
    <t>https://www.seoworks.com/lists/20-best-geo-agencies-in-the-uk/</t>
  </si>
  <si>
    <t>Measured, PwC, McKinsey &amp; Company, EY, QuantumBlack</t>
  </si>
  <si>
    <t>20 Best GEO Agencies in the UK (2026) | The SEO Works</t>
  </si>
  <si>
    <t>enterprisemarketingportal.google</t>
  </si>
  <si>
    <t>Adswerve, Incubeta, Merkle, Dept, Jellyfish, Monks, Brainlabs, Wpromote, PMG, Tinuiti, Brainlabs</t>
  </si>
  <si>
    <t>getapexanalytics.com</t>
  </si>
  <si>
    <t>The SEO Works, Passion Digital, Huge, Digital Landscope, Click Intelligence, Launch Online, Propellernet, Varn</t>
  </si>
  <si>
    <t>gulftagline.ae</t>
  </si>
  <si>
    <t>https://www.sortlist.co.uk/s/attribution-marketing/london-england-gb</t>
  </si>
  <si>
    <t>The Social Shepherd, Adam&amp;eveDDB, BBH London</t>
  </si>
  <si>
    <t>intellscore.uk</t>
  </si>
  <si>
    <t>The 10 Best Attribution Marketing Agencies in London - 2026 Reviews</t>
  </si>
  <si>
    <t>GA Agency</t>
  </si>
  <si>
    <t>kinesso.co.uk</t>
  </si>
  <si>
    <t>https://www.sortlist.co.uk/s/display-advertising/london-england-gb</t>
  </si>
  <si>
    <t>levelupleads.co.uk</t>
  </si>
  <si>
    <t>Hallam, Found, The SEO Works, Blue Array, Varn</t>
  </si>
  <si>
    <t>megatrendsolutions.com</t>
  </si>
  <si>
    <t>The 10 Best Display Advertising Agencies in London - 2026 Reviews</t>
  </si>
  <si>
    <t>Found, Ninja Promo, Momentum, M3.agency, Transmission</t>
  </si>
  <si>
    <t>https://www.sortlist.co.uk/social-media/united-kingdom-gb</t>
  </si>
  <si>
    <t>ninjapromo.io</t>
  </si>
  <si>
    <t>Ninja Promo, Push Group, Passion Digital, Impression, Push, Publicis Groupe, Dept, LOCALiQ</t>
  </si>
  <si>
    <t>protiviti.com</t>
  </si>
  <si>
    <t>The 10 Best Social Media Agencies in The United Kingdom - 2026 Reviews</t>
  </si>
  <si>
    <t>Publicis Groupe, Found, Momentum, M3.agency</t>
  </si>
  <si>
    <t>https://www.sortlist.co.uk/web-analytics/united-kingdom-gb</t>
  </si>
  <si>
    <t>ruleranalytics.com</t>
  </si>
  <si>
    <t>Impression, Ruler Analytics, Triple Whale</t>
  </si>
  <si>
    <t>The 10 Best Web Analytics Agencies in The United Kingdom - 2026 Reviews</t>
  </si>
  <si>
    <t>snowballcreations.com</t>
  </si>
  <si>
    <t>Found, Whitehat</t>
  </si>
  <si>
    <t>https://a-listware.com/blog/sales-and-marketing-analytics-companies-uk</t>
  </si>
  <si>
    <t>Found, The Good Marketer</t>
  </si>
  <si>
    <t>Sales and Marketing Analytics Firms in the UK</t>
  </si>
  <si>
    <t>startups.co.uk</t>
  </si>
  <si>
    <t>Huge, We Are Social, Favoured</t>
  </si>
  <si>
    <t>thegrowthsyndicate.com</t>
  </si>
  <si>
    <t>Push, Hallam, Epsilon, SegmentStream, Measurelab, QueryClick, Jellyfish, Huge, Transmission</t>
  </si>
  <si>
    <t>https://www.accuracast.com/articles/advertising/ai-marketing-agencies-uk/</t>
  </si>
  <si>
    <t>Push Group, Found, The SEO Works, Passion Digital, Measured, Blue Array, Push, Screaming Frog, Dentsu, The Social Shepherd, Propellernet, LOCALiQ, Incubeta, Croud, Brainlabs, Impression, Huge, Merkle, WPP, Publicis Groupe, Havas Market UK, Born Social, GroupM, Omnicom</t>
  </si>
  <si>
    <t>journeyfurther.com</t>
  </si>
  <si>
    <t>AI Marketing Agencies in the UK: Identifying the True Pioneers - Accuracast</t>
  </si>
  <si>
    <t>Found, Momentum, Journey Further, Kantar, YouGov, Impression</t>
  </si>
  <si>
    <t>fusepointinsights.com</t>
  </si>
  <si>
    <t>https://www.adbeacon.com/19-best-marketing-attribution-software-solutions-in-2026/</t>
  </si>
  <si>
    <t>Power Digital</t>
  </si>
  <si>
    <t>oxdpr.com</t>
  </si>
  <si>
    <t>19 Best Marketing Attribution Software Solutions in 2026 | AdBeacon</t>
  </si>
  <si>
    <t>Found, Mother London, Adam&amp;eveDDB, Saatchi &amp; Saatchi, Uncommon Creative Studio, VCCP, Accenture Song, Measured, Superside, inBeat, Ogilvy</t>
  </si>
  <si>
    <t>agencylist.com</t>
  </si>
  <si>
    <t>Ruler Analytics, Push, Triple Whale, Rockerbox</t>
  </si>
  <si>
    <t>aireadinesspartner.com</t>
  </si>
  <si>
    <t>https://www.adbeacon.com/7-best-marketing-attribution-tools-compared-2026/</t>
  </si>
  <si>
    <t>azurefd.net</t>
  </si>
  <si>
    <t>7 Best Marketing Attribution Tools Compared (2026) | AdBeacon</t>
  </si>
  <si>
    <t>bestwebdevelopers.co.uk</t>
  </si>
  <si>
    <t>https://www.alphaapexgroup.com/blog/top-ai-consulting-firms</t>
  </si>
  <si>
    <t>Top AI Consulting Firms for Business Transformation in 2026 — Alpha Apex Group - Consulting &amp;amp; Executive Search Firm</t>
  </si>
  <si>
    <t>bigspring.co.uk</t>
  </si>
  <si>
    <t>Hallam, Found</t>
  </si>
  <si>
    <t>birdeye.com</t>
  </si>
  <si>
    <t>Artefact, QuantumBlack, Ogilvy, Found, McKinsey &amp; Company</t>
  </si>
  <si>
    <t>https://brandspeak.co.uk/blog/top-market-research-companies-uk/</t>
  </si>
  <si>
    <t>cleandigital.co.uk</t>
  </si>
  <si>
    <t>Top Market Research Companies UK (2026) | Best Agencies Compared</t>
  </si>
  <si>
    <t>Kantar, YouGov</t>
  </si>
  <si>
    <t>https://www.charle.co.uk/articles/best-geo-agencies-uk/</t>
  </si>
  <si>
    <t>creativecircle.co.uk</t>
  </si>
  <si>
    <t>14 Best GEO Agencies UK (2026) | Top Generative Engine Optimisation Agencies | Charle</t>
  </si>
  <si>
    <t>Institutional</t>
  </si>
  <si>
    <t>Saatchi &amp; Saatchi, Uncommon Creative Studio, VCCP, BBH London</t>
  </si>
  <si>
    <t>Charle Agency, Polaris, Buried Agency, ClickSlice, Exposure Ninja, Blue Array, Found, Measured</t>
  </si>
  <si>
    <t>digitalmarketingsupermarket.com</t>
  </si>
  <si>
    <t>https://www.creativemarketingltd.co.uk/blog/top-digital-marketing-agencies</t>
  </si>
  <si>
    <t>Hallam, NoGood, Favoured, Superside, Ninja Promo, Dept, Single Grain, Omniscient Digital</t>
  </si>
  <si>
    <t>Top 20 Digital Marketing Agencies in the UK (2026)</t>
  </si>
  <si>
    <t>experian.com</t>
  </si>
  <si>
    <t>fieldtrip.agency</t>
  </si>
  <si>
    <t>Momentum, inBeat, Dentsu, We Are Social, Nielsen, Omnicom, Found, Measured, NP Digital, Omniscient Digital, WebFX, Siege Media</t>
  </si>
  <si>
    <t>ie.edu</t>
  </si>
  <si>
    <t>https://www.digitalreference.co/design-professionals/best-creative-agencies-in-the-uk</t>
  </si>
  <si>
    <t>Dentsu, Merkle, WPP, Publicis Groupe, Ogilvy, Saatchi &amp; Saatchi, GroupM, Omnicom, BBH London</t>
  </si>
  <si>
    <t>kometadvisory.com</t>
  </si>
  <si>
    <t>Best Creative Agencies &amp;amp; Creative Firms in the UK</t>
  </si>
  <si>
    <t>magnetic-london.co.uk</t>
  </si>
  <si>
    <t>Hallam, Brainlabs, Impression, M3.agency, Push</t>
  </si>
  <si>
    <t>Momentum</t>
  </si>
  <si>
    <t>marketingattribution.com</t>
  </si>
  <si>
    <t>Nielsen</t>
  </si>
  <si>
    <t>modernmarketingpartners.com</t>
  </si>
  <si>
    <t>https://directiveconsulting.com/uk/blog/best-marketing-data-agency/</t>
  </si>
  <si>
    <t>18 Best Marketing Data Agencies for B2B - Directive</t>
  </si>
  <si>
    <t>NoGood, Single Grain, Omniscient Digital, Siege Media, Found, ClickSlice, Click Intelligence</t>
  </si>
  <si>
    <t>nutshell.com</t>
  </si>
  <si>
    <t>Directive Consulting, Brainlabs, Power Digital, Measured</t>
  </si>
  <si>
    <t>The SEO Works, WebFX, Siege Media</t>
  </si>
  <si>
    <t>https://evangelistsoftware.com/blog/top-ai-consulting-firms-in-uk/</t>
  </si>
  <si>
    <t>richclicks.co.uk</t>
  </si>
  <si>
    <t>Best AI Consulting Firms in the UK: Top Picks for 2026</t>
  </si>
  <si>
    <t>scopicstudios.com</t>
  </si>
  <si>
    <t>https://getaiready.uk/</t>
  </si>
  <si>
    <t>Found, NoGood, Epsilon, Measured, Passion Digital, Impression</t>
  </si>
  <si>
    <t>submerge.digital</t>
  </si>
  <si>
    <t>Databricks Partner UK | AI Consulting</t>
  </si>
  <si>
    <t>the7stars.co.uk</t>
  </si>
  <si>
    <t>therubiconagency.com</t>
  </si>
  <si>
    <t>https://lengreo.com/best-answer-engine-optimization-aeo-agencies-for-uk-companies-in-2025/</t>
  </si>
  <si>
    <t>Brainlabs, Measured, Directive Consulting, Gripped, Soap Media</t>
  </si>
  <si>
    <t>Top 10 Answer Engine Optimization (AEO) Companies for UK (2026)</t>
  </si>
  <si>
    <t>ukpaidmediaawards.co.uk</t>
  </si>
  <si>
    <t>Momentum, Huge, Push, Propellernet, LOCALiQ</t>
  </si>
  <si>
    <t>NoGood</t>
  </si>
  <si>
    <t>rzlt.io</t>
  </si>
  <si>
    <t>https://www.rank4ai.co.uk/research/rankings/best-geo-agencies-uk/</t>
  </si>
  <si>
    <t>Jellyfish, NoGood, Polaris, Superside, Wpromote, Monks</t>
  </si>
  <si>
    <t>linea-analytics.com</t>
  </si>
  <si>
    <t>Best GEO Agencies UK 2026 | Rank4AI</t>
  </si>
  <si>
    <t>Ekimetrics, Ebiquity</t>
  </si>
  <si>
    <t>Rank4AI, Blue Array, Buried Agency, Varn, Found, Screaming Frog</t>
  </si>
  <si>
    <t>visionone.co.uk</t>
  </si>
  <si>
    <t>https://www.rank4ai.co.uk/research/rankings/top-ai-search-agencies-london/</t>
  </si>
  <si>
    <t>Momentum, Kantar, Transmission, Dentsu, Merkle, Accenture Song, YouGov, Omnicom, WPP</t>
  </si>
  <si>
    <t>forrester.com</t>
  </si>
  <si>
    <t>Top AI Search Agencies London 2026 | Rank4AI</t>
  </si>
  <si>
    <t>Rank4AI, Found, Exposure Ninja, Blue Array</t>
  </si>
  <si>
    <t>Merkle, Epsilon, Analytic Partners, Kantar, Nielsen, Ekimetrics, Gain Theory</t>
  </si>
  <si>
    <t>https://www.reddit.com/r/advertising/comments/n8z67i/best_uk_based_agencies/</t>
  </si>
  <si>
    <t>aiconsultingfirms.co.uk</t>
  </si>
  <si>
    <t>Best UK Based Agencies?</t>
  </si>
  <si>
    <t>arramton.com</t>
  </si>
  <si>
    <t>DISCUSSION</t>
  </si>
  <si>
    <t>Discussion</t>
  </si>
  <si>
    <t>Lucky Generals, AMV BBDO, VCCP, Uncommon Creative Studio, Mother London, BBH London</t>
  </si>
  <si>
    <t>Push Group, Croud, Found, Impression, Push, Gravity Global</t>
  </si>
  <si>
    <t>https://www.wearetenet.com/blog/google-ads-agencies-in-the-uk</t>
  </si>
  <si>
    <t>b2bmarketing.net</t>
  </si>
  <si>
    <t>Dentsu, Gravity Global, Transmission, Momentum</t>
  </si>
  <si>
    <t>10 Best Google Ads Agencies in the UK to Hire From (2026)</t>
  </si>
  <si>
    <t>clickintelligence.co.uk</t>
  </si>
  <si>
    <t>PPC Geeks, The SEO Works, Impression, Hallam, Favoured</t>
  </si>
  <si>
    <t>https://www.webtonic.io/blog/top-digital-marketing-agencies-uk</t>
  </si>
  <si>
    <t>Click Intelligence, Huge, Whitehat, Found, The SEO Works</t>
  </si>
  <si>
    <t>ebiquity.com</t>
  </si>
  <si>
    <t>Push, Ebiquity</t>
  </si>
  <si>
    <t>Top 46 Digital Marketing Agencies in the UK (Reviewed in 2026)</t>
  </si>
  <si>
    <t>ekimetrics.com</t>
  </si>
  <si>
    <t>ClickSlice, Ignite Visibility, Hallam, The Social Shepherd, Ninja Promo, Favoured, Whitehat, Omniscient Digital, Found, Make Agency, FirstMotion, Soap Media, ROAST, The SEO Works, Bird Marketing, Propeller, Gripped, M3.agency, Momentum</t>
  </si>
  <si>
    <t>https://agencies.semrush.com/list/display-advertising/united-kingdom/small-business/</t>
  </si>
  <si>
    <t>Found, Momentum, Ekimetrics, Measured</t>
  </si>
  <si>
    <t>getapp.co.uk</t>
  </si>
  <si>
    <t>Best Display Ads Agencies for Small Business in United Kingdom 2026 | Semrush</t>
  </si>
  <si>
    <t>Found, Huge</t>
  </si>
  <si>
    <t>growth-labs.co.uk</t>
  </si>
  <si>
    <t>Found, Soap Media, The SEO Works</t>
  </si>
  <si>
    <t>https://www.charle.co.uk/articles/top-geo-agency-for-ecommerce/</t>
  </si>
  <si>
    <t>Found, Hallam, Brainlabs, Momentum, The SEO Works, ROAST, Impression, M3.agency, Push, Rise at Seven, Dept, Propeller, Bird Marketing, AKQA</t>
  </si>
  <si>
    <t>happyhourproductions.co.uk</t>
  </si>
  <si>
    <t>14 Best GEO Agencies UK (2026) \| Top Generative Engine Optimisation Agencies \| Charle</t>
  </si>
  <si>
    <t>Huge, BBH London, AMV BBDO, Adam&amp;eveDDB, Saatchi &amp; Saatchi, VCCP, Found, Mother London</t>
  </si>
  <si>
    <t>https://climb-seo.co.uk/best-aeo-geo-agencies-uk-2026/</t>
  </si>
  <si>
    <t>influencermarketinghub.com</t>
  </si>
  <si>
    <t>The Best AEO and GEO Agencies in the UK (2026 Guide) - Climb SEO</t>
  </si>
  <si>
    <t>Found, Momentum, Dentsu, Wpromote, McKinsey &amp; Company, Directive Consulting, Bird Marketing, Incubeta, Power Digital, Croud, Tinuiti, Measured, NoGood, Merkle, Disruptive Advertising, Dept, The Brains, WebFX, 9AM, Ignite Visibility, GroupM, iCrossing</t>
  </si>
  <si>
    <t>macreativeag.com</t>
  </si>
  <si>
    <t>Tilio, Charle Agency, The SEO Works, Polaris, Measured</t>
  </si>
  <si>
    <t>Found, The Social Shepherd, Disruptive Advertising, Ninja Promo, Gripped, WebFX, Ignite Visibility</t>
  </si>
  <si>
    <t>marketingmary.ai</t>
  </si>
  <si>
    <t>https://clutch.co/consulting/ai/strategy/uk</t>
  </si>
  <si>
    <t>Impression, Whitehat</t>
  </si>
  <si>
    <t>Top AI Strategy Companies in the United Kingdom - Jul 2026 Rankings \| Clutch.co</t>
  </si>
  <si>
    <t>measurelab.co.uk</t>
  </si>
  <si>
    <t>Found, Impression</t>
  </si>
  <si>
    <t>https://directiveconsulting.com/uk/blog/10-ai-marketing-agencies-outperforming-the-market/</t>
  </si>
  <si>
    <t>Measurelab</t>
  </si>
  <si>
    <t>noisemediagroup.co.uk</t>
  </si>
  <si>
    <t>Croud, The Social Shepherd, We Are Social, Dept, Born Social, Disrupt Marketing, Social Chain, Brainlabs, Momentum</t>
  </si>
  <si>
    <t>10 B2B Marketing Agencies Using Proprietary AI to Outperform the Market - Directive UK</t>
  </si>
  <si>
    <t>oyik.ai</t>
  </si>
  <si>
    <t>Directive Consulting, NoGood, Single Grain, Measured</t>
  </si>
  <si>
    <t>PwC, EY</t>
  </si>
  <si>
    <t>paramark.com</t>
  </si>
  <si>
    <t>https://www.found.co.uk/services/data/analytics/</t>
  </si>
  <si>
    <t>Huge, Haus, Recast</t>
  </si>
  <si>
    <t>Data Analytics Agency, London \| Data Analytics Services \| Found</t>
  </si>
  <si>
    <t>piperocket.digital</t>
  </si>
  <si>
    <t>Measured, NoGood, Directive Consulting</t>
  </si>
  <si>
    <t>riseup.agency</t>
  </si>
  <si>
    <t>https://www.kinase.co.uk/measurement-1</t>
  </si>
  <si>
    <t>searchlaboratory.com</t>
  </si>
  <si>
    <t>Kinase Digital Marketing | Paid Search Agency London</t>
  </si>
  <si>
    <t>septemai.com</t>
  </si>
  <si>
    <t>EY</t>
  </si>
  <si>
    <t>softwaresuggest.com</t>
  </si>
  <si>
    <t>https://www.measured.com/faq/best-incrementality-testing-companies-software-for-marketing-2025/</t>
  </si>
  <si>
    <t>Disrupt Marketing</t>
  </si>
  <si>
    <t>stratifyadvisory.co.uk</t>
  </si>
  <si>
    <t>Best Incrementality Testing Companies &amp; Software for Marketing (2026)</t>
  </si>
  <si>
    <t>thesmallbizexpert.co.uk</t>
  </si>
  <si>
    <t>https://superbcompanies.com/categories/creative-agencies-in-the-uk/</t>
  </si>
  <si>
    <t>Found, The SEO Works, Impression, Rise at Seven, Propellernet, Click Intelligence</t>
  </si>
  <si>
    <t>thetimes.co.uk</t>
  </si>
  <si>
    <t>Open Partners, Omnicom, WPP</t>
  </si>
  <si>
    <t>Top 100 Creative Agencies in the United Kingdom - Jul 2026 | Ranking | SuperbCompanies</t>
  </si>
  <si>
    <t>wonderagency.co.uk</t>
  </si>
  <si>
    <t>croud.com</t>
  </si>
  <si>
    <t>Bird Marketing, The SEO Works, Dept, Found, Impression</t>
  </si>
  <si>
    <t>https://www.techradar.com/pro/aeo-vs-seo-whats-the-difference-and-do-you-need-both</t>
  </si>
  <si>
    <t>Croud, Huge, Impression, Measured</t>
  </si>
  <si>
    <t>deducive.com</t>
  </si>
  <si>
    <t>AEO vs SEO: What's the difference &amp;amp; do you need both? | TechRadar</t>
  </si>
  <si>
    <t>aiblmedia.com</t>
  </si>
  <si>
    <t>Jellyfish, Found, Measured</t>
  </si>
  <si>
    <t>global.com</t>
  </si>
  <si>
    <t>https://thatware.co/top-10-ai-seo-companies-in-uk/</t>
  </si>
  <si>
    <t>queryclick.com</t>
  </si>
  <si>
    <t>Momentum, QueryClick, Disrupt Marketing, McKinsey &amp; Company, QuantumBlack, Impression</t>
  </si>
  <si>
    <t>Top 10 AI Search Optimization Companies in UK | ThatWare</t>
  </si>
  <si>
    <t>adcountable.com</t>
  </si>
  <si>
    <t>The SEO Works, Click Intelligence, Exposure Ninja, Impression, Blue Array</t>
  </si>
  <si>
    <t>https://www.thedrum.com/lists/digital-agency-census/award-poll</t>
  </si>
  <si>
    <t>adtrak.co.uk</t>
  </si>
  <si>
    <t>Lists \| UK Digital Agency Census 2022 \| The Drum</t>
  </si>
  <si>
    <t>airconsulting.ai</t>
  </si>
  <si>
    <t>AMV BBDO, Adam&amp;eveDDB, VCCP, Rise at Seven, Croud, Journey Further, Propellernet, Merkle, WPP, Impression, The SEO Works, Monks, Launch Online, Transmission, Pablo, AKQA, Bind Media</t>
  </si>
  <si>
    <t>aisuperior.com</t>
  </si>
  <si>
    <t>https://weareroast.com/news/best-ppc-agencies-in-the-uk-2026-guide/</t>
  </si>
  <si>
    <t>architecturaldigest.com</t>
  </si>
  <si>
    <t>Best PPC Agencies in the UK (2026 Guide) | We Are ROAST</t>
  </si>
  <si>
    <t>ROAST, Brainlabs, iCrossing, Hallam, Impression, Koozai, Huge, Jellyfish</t>
  </si>
  <si>
    <t>arxiv.org</t>
  </si>
  <si>
    <t>https://www.webdesignchoice.co.uk/top-aeo-agencies-uk-2026.html</t>
  </si>
  <si>
    <t>bbntimes.com</t>
  </si>
  <si>
    <t>Best AEO Agencies UK 2026 | Top Answer Engine Optimisation Companies Ranked</t>
  </si>
  <si>
    <t>QuantumBlack, EY, Found</t>
  </si>
  <si>
    <t>bimodal.io</t>
  </si>
  <si>
    <t>ClickSlice, The SEO Works, Push, Push Group, Click Intelligence, Exposure Ninja, Charle Agency, Builtvisible, Measured, Digital Landscope</t>
  </si>
  <si>
    <t>braidr.ai</t>
  </si>
  <si>
    <t>https://www.50pros.com/hire/advertising/attribution-and-measurement</t>
  </si>
  <si>
    <t>Found, Momentum</t>
  </si>
  <si>
    <t>carlosalbamedia.co.uk</t>
  </si>
  <si>
    <t>Top Attribution &amp; Measurement Agencies to Hire in June 2026</t>
  </si>
  <si>
    <t>Jellyfish, Brainlabs, Momentum, Impression, Mother London, AMV BBDO, Rise at Seven, VCCP</t>
  </si>
  <si>
    <t>The SEO Works, Found, Huge</t>
  </si>
  <si>
    <t>carmatec.co.uk</t>
  </si>
  <si>
    <t>https://www.50pros.com/hire/digital-marketing/marketing-attribution</t>
  </si>
  <si>
    <t>WPP, Transmission</t>
  </si>
  <si>
    <t>click.co.uk</t>
  </si>
  <si>
    <t>Top Marketing Attribution Agencies to Hire in June 2026</t>
  </si>
  <si>
    <t>The SEO Works, Found, Huge, Impression</t>
  </si>
  <si>
    <t>cognitute.org</t>
  </si>
  <si>
    <t>https://www.brainz.digital/blog/best-b2b-analytics-agencies/</t>
  </si>
  <si>
    <t>Found, PwC, EY, QuantumBlack, Disrupt Marketing</t>
  </si>
  <si>
    <t>digitalmarketingcompanyinlondon.com</t>
  </si>
  <si>
    <t>Best B2B Analytics Agencies That Drive Results In 2026</t>
  </si>
  <si>
    <t>Found, Push, Directive Consulting, Omniscient Digital, Power Digital, Brainlabs</t>
  </si>
  <si>
    <t>Jellyfish, Croud, Found, Passion Digital, Impression, ROAST, Favoured, The Good Marketer, Hallam</t>
  </si>
  <si>
    <t>https://builtinlondon.uk/articles/digital-marketing-companies-in-london#:~:text=Owned%20by%20Hearst%2C%20iCrossing%20operates,Microsoft%2C%20Google%20Cloud%20and%20Shopify.</t>
  </si>
  <si>
    <t>flyingvgroup.com</t>
  </si>
  <si>
    <t>Found, NoGood, inBeat, Monks, Single Grain, Power Digital, ROAST</t>
  </si>
  <si>
    <t>geointelligence.co.uk</t>
  </si>
  <si>
    <t>21 Digital Marketing Companies in London to Know | Built In London</t>
  </si>
  <si>
    <t>get-ryze.ai</t>
  </si>
  <si>
    <t>Momentum, Triple Whale</t>
  </si>
  <si>
    <t>iCrossing, The Good Marketer, Gripped, Kantar</t>
  </si>
  <si>
    <t>indexly.ai</t>
  </si>
  <si>
    <t>https://clicksgeek.com/marketing-attribution-tracking-services/</t>
  </si>
  <si>
    <t>Croud, Found, Impression, Dentsu, ClickSlice, The SEO Works, Directive Consulting, The Good Marketer, Bird Marketing</t>
  </si>
  <si>
    <t>intellscore.co.uk</t>
  </si>
  <si>
    <t>9 Best Marketing Attribution Tracking Services 2026</t>
  </si>
  <si>
    <t>itprofiles.com</t>
  </si>
  <si>
    <t>Measured, Triple Whale, Northbeam, Ruler Analytics, Rockerbox</t>
  </si>
  <si>
    <t>https://www.clickslice.co.uk/best-generative-engine-optimisation-agencies-uk/</t>
  </si>
  <si>
    <t>Found, The SEO Works, Soap Media, QuantumBlack</t>
  </si>
  <si>
    <t>jdrgroup.co.uk</t>
  </si>
  <si>
    <t>Push Group, Impression, Found, Momentum, Huge, Measured, Push, PPC Geeks, Soap Media</t>
  </si>
  <si>
    <t>8 Best Generative Engine Optimisation (GEO) Agencies in the UK</t>
  </si>
  <si>
    <t>knowanalytics.co.uk</t>
  </si>
  <si>
    <t>leverageconsulting.uk</t>
  </si>
  <si>
    <t>https://clutch.co/consulting/ai/uk/england/london</t>
  </si>
  <si>
    <t>Top AI Consulting Agencies in London - Jul 2026 Rankings \| Clutch.co</t>
  </si>
  <si>
    <t>madebyshape.co.uk</t>
  </si>
  <si>
    <t>Momentum, Impression, Found</t>
  </si>
  <si>
    <t>https://www.cometly.com/post/marketing-attribution-consultant-services</t>
  </si>
  <si>
    <t>Found, Push, Gripped, The Good Marketer</t>
  </si>
  <si>
    <t>mida.so</t>
  </si>
  <si>
    <t>Best Marketing Attribution Consultant Services 2026</t>
  </si>
  <si>
    <t>Tinuiti, Open Partners, NoGood, Journey Further, Impression</t>
  </si>
  <si>
    <t>onelittleweb.com</t>
  </si>
  <si>
    <t>Cometly, Measured, Rockerbox, Northbeam, Triple Whale, Ruler Analytics</t>
  </si>
  <si>
    <t>https://www.consultancy.uk/rankings/top-consulting-firms-in-the-uk-by-area-of-expertise/ai-genai</t>
  </si>
  <si>
    <t>Found, Impression, ClickSlice, Disruptive Advertising, Dept, WebFX</t>
  </si>
  <si>
    <t>peak-agency.co.uk</t>
  </si>
  <si>
    <t>Top AI &amp;amp; Gen AI consulting firms in the UK</t>
  </si>
  <si>
    <t>Huge, Push</t>
  </si>
  <si>
    <t>pentagram.com</t>
  </si>
  <si>
    <t>McKinsey &amp; Company, PwC, EY, Artefact</t>
  </si>
  <si>
    <t>https://coolnerdsmarketing.com/top-creative-agencies-uk/</t>
  </si>
  <si>
    <t>Found, Push</t>
  </si>
  <si>
    <t>prioritypixels.co.uk</t>
  </si>
  <si>
    <t>Top Creative Agencies in the UK (2026)</t>
  </si>
  <si>
    <t>readysetconsultancy.com</t>
  </si>
  <si>
    <t>rocketium.ai</t>
  </si>
  <si>
    <t>We Are Social, Dentsu, The Social Shepherd, Gravity Global, Transmission</t>
  </si>
  <si>
    <t>https://www.creativebrief.com/top-30/agencies</t>
  </si>
  <si>
    <t>Superside</t>
  </si>
  <si>
    <t>saatchi.co.uk</t>
  </si>
  <si>
    <t>The Top 30 most viewed agencies | Creativebrief</t>
  </si>
  <si>
    <t>Push, Adam&amp;eveDDB, Publicis Groupe, Saatchi &amp; Saatchi, Varn</t>
  </si>
  <si>
    <t>smacient.com</t>
  </si>
  <si>
    <t>Mother London, Saatchi &amp; Saatchi, AMV BBDO, BBH London, Born Social, We Are Social</t>
  </si>
  <si>
    <t>https://iwantmore.ai/</t>
  </si>
  <si>
    <t>Hallam, Found, Brainlabs, Open Partners, Impression, Koozai</t>
  </si>
  <si>
    <t>sociallypowerful.com</t>
  </si>
  <si>
    <t>AI Consulting Firm | AI and Automation Consultancy Services UK</t>
  </si>
  <si>
    <t>Croud, The Social Shepherd, We Are Social, WPP, inBeat, The Good Marketer, Monks, Gripped, Born Social, Soap Media, Disrupt Marketing, Social Chain, Measured, Ogilvy, EY, Impression, ROAST, Favoured, M3.agency, Push</t>
  </si>
  <si>
    <t>softblues.io</t>
  </si>
  <si>
    <t>https://www.linkedin.com/pulse/top-performance-marketing-agencies-uk-steve-walker-mrjxe</t>
  </si>
  <si>
    <t>PwC, EY, QuantumBlack</t>
  </si>
  <si>
    <t>tenaciousmarketing.co.uk</t>
  </si>
  <si>
    <t>Top Content on LinkedIn</t>
  </si>
  <si>
    <t>Found, Hallam, Impression, The SEO Works, Measured, Journey Further, Blue Array, Digital Landscope, Builtvisible, Rise at Seven, Charle Agency, Propellernet</t>
  </si>
  <si>
    <t>thegraygency.com</t>
  </si>
  <si>
    <t>Huge, The Social Shepherd, We Are Social, Ninja Promo, Soap Media</t>
  </si>
  <si>
    <t>https://marketingsignals.com/best-digital-marketing-agency-2026-the-top-uk-full-service-agencies-ranked/</t>
  </si>
  <si>
    <t>theverge.com</t>
  </si>
  <si>
    <t>Found, Huge, Push, Publicis Groupe, Recast, Omnicom</t>
  </si>
  <si>
    <t>Best Digital Marketing Agency 2026: The Top UK Full-Service Agencies Ranked - Marketing Signals</t>
  </si>
  <si>
    <t>top-branding-agency.co.uk</t>
  </si>
  <si>
    <t>Impression, Hallam, Passion Digital, Brainlabs, Measured, Transmission</t>
  </si>
  <si>
    <t>ultrascout.ai</t>
  </si>
  <si>
    <t>https://news.digitalagencyleaders.net/the-best-ai-marketing-agencies-in-the-uk-2025/</t>
  </si>
  <si>
    <t>ClickSlice, Charle Agency, Gain Theory, The SEO Works</t>
  </si>
  <si>
    <t>vayro.co.uk</t>
  </si>
  <si>
    <t>The Best AI Marketing Agencies in the UK 2025 - Digital Agency News</t>
  </si>
  <si>
    <t>wowinfotech.co.uk</t>
  </si>
  <si>
    <t>Hallam, Found, Impression, The Social Shepherd</t>
  </si>
  <si>
    <t>Koozai, Found, VCCP, Favoured, Whitehat</t>
  </si>
  <si>
    <t>wsj.com</t>
  </si>
  <si>
    <t>https://www.partnersdirectory.withgoogle.com/</t>
  </si>
  <si>
    <t>brainlabsdigital.com</t>
  </si>
  <si>
    <t>Google Partners Directory - Find a Partner for Business Growth</t>
  </si>
  <si>
    <t>Brainlabs, Measured, Push, The Brains, Impression</t>
  </si>
  <si>
    <t>carrieannsudlow.co.uk</t>
  </si>
  <si>
    <t>https://seocompare.co.uk/ai-seo-agency-uk/</t>
  </si>
  <si>
    <t>AI SEO Agency UK 2026: 7 Best, Compared and Rated | SEOCompare</t>
  </si>
  <si>
    <t>lucatagliaferro.com</t>
  </si>
  <si>
    <t>Rank4AI, ClickSlice, Found</t>
  </si>
  <si>
    <t>https://seocompare.co.uk/best-ai-search-agencies/</t>
  </si>
  <si>
    <t>provokemedia.com</t>
  </si>
  <si>
    <t>Best AI Search Agencies UK: 14 Compared 2026</t>
  </si>
  <si>
    <t>Momentum, Ogilvy, Propeller, VCCP, Manifest Group, Omnicom</t>
  </si>
  <si>
    <t>Rank4AI, Directive Consulting, Omniscient Digital, Siege Media, Ignite Visibility</t>
  </si>
  <si>
    <t>thetechfounders.co.uk</t>
  </si>
  <si>
    <t>https://sorttheclicks.com/insights/best-uk-geo-agencies-2026/</t>
  </si>
  <si>
    <t>YouGov</t>
  </si>
  <si>
    <t>Best UK GEO &amp;amp; AI search agencies in 2026</t>
  </si>
  <si>
    <t>toptenaiagents.co.uk</t>
  </si>
  <si>
    <t>Whitehat, Tilio, Passion Digital, The SEO Works, Found, Push, Push Group, Builtvisible, Charle Agency, Screaming Frog</t>
  </si>
  <si>
    <t>https://www.superhub.biz/top-7-performance-marketing-companies-uk-2026</t>
  </si>
  <si>
    <t>10seos.com</t>
  </si>
  <si>
    <t>The SEO Works</t>
  </si>
  <si>
    <t>7 Best Performance Marketing Companies UK 2026 | Results Focused</t>
  </si>
  <si>
    <t>abbacustechnologies.com</t>
  </si>
  <si>
    <t>Measured, Brainlabs, Journey Further</t>
  </si>
  <si>
    <t>https://thesocialshepherd.com/blog/top-social-media-agencies-uk</t>
  </si>
  <si>
    <t>acxiom.co.uk</t>
  </si>
  <si>
    <t>The Social Shepherd | Top 13 Social Media Agencies In The UK (2026)</t>
  </si>
  <si>
    <t>adassoc.org.uk</t>
  </si>
  <si>
    <t>The Social Shepherd, Social Chain, We Are Social, WPP, Monks, Croud, Gripped</t>
  </si>
  <si>
    <t>https://www.51d.co/ai-consulting-agencies-lead-qualification-uk/</t>
  </si>
  <si>
    <t>Jellyfish, Found, Huge, Dentsu, WPP, Lucky Generals, Adam&amp;eveDDB, Kantar, Publicis Groupe, Ogilvy, Saatchi &amp; Saatchi, Uncommon Creative Studio, Monks, AMV BBDO, VCCP, Omnicom, BBH London, AKQA, Croud, Push</t>
  </si>
  <si>
    <t>adnomics.co.uk</t>
  </si>
  <si>
    <t>Top AI Consulting Agencies for Sales | Fifty One Degrees</t>
  </si>
  <si>
    <t>Superside, Momentum, QuantumBlack, Push</t>
  </si>
  <si>
    <t>agencybyagency.com</t>
  </si>
  <si>
    <t>https://aargroup.co.uk/services-for-marketers/platform-readiness/#:~:text=Prepare%20your%20marketing%20for%20the,tools%3A%20they%20need%20strong%20foundations.</t>
  </si>
  <si>
    <t>weDiscover, Found</t>
  </si>
  <si>
    <t>agenticmarketingpro.com</t>
  </si>
  <si>
    <t>Marketing Technology &amp;amp; AI Strategy Consultancy | AAR</t>
  </si>
  <si>
    <t>ai-expert.co.uk</t>
  </si>
  <si>
    <t>https://agencies.semrush.com/list/display-advertising/london-city/small-business/</t>
  </si>
  <si>
    <t>aitransformation.global</t>
  </si>
  <si>
    <t>amraandelma.com</t>
  </si>
  <si>
    <t>Best Display Ads Agencies for Small Business in London 2026 | Semrush</t>
  </si>
  <si>
    <t>The SEO Works, Found, Measured</t>
  </si>
  <si>
    <t>Momentum, Disrupt Marketing</t>
  </si>
  <si>
    <t>anicca.co.uk</t>
  </si>
  <si>
    <t>https://clutch.co/agencies/digital/uk</t>
  </si>
  <si>
    <t>Found, Anicca Digital</t>
  </si>
  <si>
    <t>Top Full-Service Digital Agencies in the United Kingdom - Jul 2026 Rankings | Clutch.co</t>
  </si>
  <si>
    <t>audigent.com</t>
  </si>
  <si>
    <t>Soap Media, Favoured, Momentum, Impression, M3.agency, The SEO Works</t>
  </si>
  <si>
    <t>https://www.cometly.com/post/marketing-attribution-platform-for-agencies</t>
  </si>
  <si>
    <t>bcg.com</t>
  </si>
  <si>
    <t>Best Marketing Attribution Platform For Agencies 2026</t>
  </si>
  <si>
    <t>brillmedia.co</t>
  </si>
  <si>
    <t>Cometly, Triple Whale, Rockerbox, Northbeam, Ruler Analytics</t>
  </si>
  <si>
    <t>https://www.dentsu.com/uk/en/media-and-investors/elevating-marketing-measurement-for-the-modern-era</t>
  </si>
  <si>
    <t>WebFX</t>
  </si>
  <si>
    <t>byter.com</t>
  </si>
  <si>
    <t>dentsu and Google Meridian: Elevating Marketing Measurement for the Modern Era</t>
  </si>
  <si>
    <t>Dentsu</t>
  </si>
  <si>
    <t>campaignlive.co.uk</t>
  </si>
  <si>
    <t>https://digitalagencynetwork.com/agencies/london/geo/</t>
  </si>
  <si>
    <t>cellsior.com</t>
  </si>
  <si>
    <t>Top GEO Agencies in London for Generative Engine Optimization (2026)</t>
  </si>
  <si>
    <t>Favoured, Measured, Propeller, FirstMotion, Found, Bird Marketing, ROAST, GA Agency</t>
  </si>
  <si>
    <t>Measurelab, Anicca Digital, Screaming Frog</t>
  </si>
  <si>
    <t>https://www.gartner.com/reviews/market/incrementality-measurement-platforms</t>
  </si>
  <si>
    <t>circana.com</t>
  </si>
  <si>
    <t>Best Incrementality Measurement Platforms Reviews 2026 \| Gartner Peer Insights</t>
  </si>
  <si>
    <t>deloitte.co.uk</t>
  </si>
  <si>
    <t>Brainlabs</t>
  </si>
  <si>
    <t>Haus, SegmentStream, Measured, Recast</t>
  </si>
  <si>
    <t>digiscorp.com</t>
  </si>
  <si>
    <t>https://www.google.co.uk/intl/en/ads/publisher/partners/find-a-partner/</t>
  </si>
  <si>
    <t>QuantumBlack</t>
  </si>
  <si>
    <t>dpom.co.uk</t>
  </si>
  <si>
    <t>Find a Publishing Partner</t>
  </si>
  <si>
    <t>Huge, Measured</t>
  </si>
  <si>
    <t>eintelligenceweb.com</t>
  </si>
  <si>
    <t>https://www.greenbook.org/market-research-companies/united-kingdom</t>
  </si>
  <si>
    <t>Huge, ClickSlice, Blue Array</t>
  </si>
  <si>
    <t>experian.co.uk</t>
  </si>
  <si>
    <t>Top Marketing Research Firms in United Kingdom — Greenbook</t>
  </si>
  <si>
    <t>figarodigital.co.uk</t>
  </si>
  <si>
    <t>QueryClick</t>
  </si>
  <si>
    <t>YouGov, Accenture Song, Kantar, Found</t>
  </si>
  <si>
    <t>forvio.com</t>
  </si>
  <si>
    <t>https://inbeat.agency/blog/top-social-media-agencies-in-the-uk</t>
  </si>
  <si>
    <t>funnel.io</t>
  </si>
  <si>
    <t>Top 26 Social Media Agencies in the UK (2026 Guide) - inBeat Agency</t>
  </si>
  <si>
    <t>Found, Push, Northbeam, SegmentStream, Huge</t>
  </si>
  <si>
    <t>inBeat, Nielsen, Social Chain, The Good Marketer, ROAST, We Are Social, Born Social, The Social Shepherd, Soap Media</t>
  </si>
  <si>
    <t>https://lengreo.com/top-answer-engine-optimization-aeo-agencies-for-uk-businesses-in-2025/</t>
  </si>
  <si>
    <t>groupcaliber.com</t>
  </si>
  <si>
    <t>10 Best AEO Companies for UK (2026)</t>
  </si>
  <si>
    <t>hatchly.co.uk</t>
  </si>
  <si>
    <t>NoGood, WebFX, Found</t>
  </si>
  <si>
    <t>https://www.lynchpin.com/services/marketing-attribution/</t>
  </si>
  <si>
    <t>havas.com</t>
  </si>
  <si>
    <t>Marketing Attribution - Lynchpin - Independent analytics consultancy</t>
  </si>
  <si>
    <t>hawkemedia.com</t>
  </si>
  <si>
    <t>https://www.margen.net/best-aeo-agencies-uk-2026-answer-engine-optimisation-experts-compared/</t>
  </si>
  <si>
    <t>Power Digital, New Engen, Tinuiti, Measured, NoGood, Merkle, Wpromote, Disruptive Advertising, Ogilvy, Monks, NP Digital, WebFX, Ignite Visibility, Hawke Media, Siege Media</t>
  </si>
  <si>
    <t>ikigai.je</t>
  </si>
  <si>
    <t>Best AEO Agencies UK 2026: Answer Engine Optimisation Experts Compared | MarGen</t>
  </si>
  <si>
    <t>ikon.london</t>
  </si>
  <si>
    <t>Mother London, Ogilvy, AKQA</t>
  </si>
  <si>
    <t>improvado.io</t>
  </si>
  <si>
    <t>Whitehat, Digital Landscope, Buried Agency</t>
  </si>
  <si>
    <t>https://www.marketingagencyindex.com/uk/industries/ai</t>
  </si>
  <si>
    <t>Push, Rockerbox, Northbeam, Ruler Analytics, Triple Whale, Neustar, SegmentStream</t>
  </si>
  <si>
    <t>inceptiontoaction.ai</t>
  </si>
  <si>
    <t>Best AI Marketing Agencies in the UK | Agency Index</t>
  </si>
  <si>
    <t>incremental.com</t>
  </si>
  <si>
    <t>Impression, The SEO Works, The Brains, Propellernet</t>
  </si>
  <si>
    <t>incrmntal.com</t>
  </si>
  <si>
    <t>https://www.munro.agency/best-data-analysis-agencies/</t>
  </si>
  <si>
    <t>15 Best Data Analysis Agencies</t>
  </si>
  <si>
    <t>ink-digital.co.uk</t>
  </si>
  <si>
    <t>Huge, Momentum</t>
  </si>
  <si>
    <t>itpro.com</t>
  </si>
  <si>
    <t>kpmg.com</t>
  </si>
  <si>
    <t>inBeat</t>
  </si>
  <si>
    <t>latentview.com</t>
  </si>
  <si>
    <t>https://netpeak.co.uk/services/marketing-analytics/</t>
  </si>
  <si>
    <t>Measured, Haus, Push, Recast</t>
  </si>
  <si>
    <t>m1-project.com</t>
  </si>
  <si>
    <t>▷ Marketing BI Analytics Services — Netpeak Agency UK</t>
  </si>
  <si>
    <t>Found, Measured, Push, Ninja Promo, Ignite Visibility</t>
  </si>
  <si>
    <t>marketingiq.co.uk</t>
  </si>
  <si>
    <t>https://neuraladx.com/the-10-best-generative-engine-optimisation-companies-in-the-uk/</t>
  </si>
  <si>
    <t>WPP, Omnicom</t>
  </si>
  <si>
    <t>masoncircle.com</t>
  </si>
  <si>
    <t>The 10 best generative engine optimisation companies in the uk</t>
  </si>
  <si>
    <t>mcsaatchiperformance.com</t>
  </si>
  <si>
    <t>Measured, Found, Bird Marketing, The SEO Works, Digital Landscope, Varn, Exposure Ninja, Momentum, Blue Array</t>
  </si>
  <si>
    <t>https://open.partners/open-partners-insights/best-full-service-agencies-uk/</t>
  </si>
  <si>
    <t>medianug.com</t>
  </si>
  <si>
    <t>Best Full-Service Marketing Agencies UK | Open Partners</t>
  </si>
  <si>
    <t>Power Digital, Found, Tinuiti, Directive Consulting, Wpromote, Disruptive Advertising, NP Digital, WebFX, Disrupt Marketing, Momentum</t>
  </si>
  <si>
    <t>Open Partners, Measured, VCCP, Ogilvy, WPP, Dept, Jellyfish, Brandtech, Gripped, Impression, Accenture Song</t>
  </si>
  <si>
    <t>mediaperformance.co.uk</t>
  </si>
  <si>
    <t>https://thedigitalmaze.com/blog/top-10-digital-marketing-agencies-in-the-uk-2026/</t>
  </si>
  <si>
    <t>mintcopywritingstudios.com</t>
  </si>
  <si>
    <t>Found, Huge, The SEO Works, Measured, NoGood, Single Grain, Omniscient Digital, WebFX, Siege Media</t>
  </si>
  <si>
    <t>Push, Impression, Croud, Journey Further, Rise at Seven, Bird Marketing, ClickSlice</t>
  </si>
  <si>
    <t>miramarketing.co.uk</t>
  </si>
  <si>
    <t>https://www.wearetenet.com/blog/best-geo-agencies-london</t>
  </si>
  <si>
    <t>10 Best GEO Agencies in London to Hire in 2026</t>
  </si>
  <si>
    <t>mobitsolutions.com</t>
  </si>
  <si>
    <t>Found, Genie Crawl, ClickSlice, GA Agency, Buried Agency, Bird Marketing, Passion Digital, Measured, Hallam, Favoured</t>
  </si>
  <si>
    <t>Found, Impression, NoGood, The Good Marketer, Bird Marketing</t>
  </si>
  <si>
    <t>https://aargroup.co.uk/services-for-marketers/platform-readiness/genai-readiness-assessment/</t>
  </si>
  <si>
    <t>moreaboutadvertising.com</t>
  </si>
  <si>
    <t>Generative AI Readiness Assessment Consulting | AAR</t>
  </si>
  <si>
    <t>WPP, Lucky Generals, Adam&amp;eveDDB, Publicis Groupe, Ogilvy, Saatchi &amp; Saatchi, Nielsen, AMV BBDO, VCCP, Omnicom, BBH London</t>
  </si>
  <si>
    <t>mqlflow.com</t>
  </si>
  <si>
    <t>https://agencies.semrush.com/list/display-advertising/london-city/mid-business/</t>
  </si>
  <si>
    <t>netmonkeys.co.uk</t>
  </si>
  <si>
    <t>Best Display Ads Agencies for Mid Business in London 2026 | Semrush</t>
  </si>
  <si>
    <t>Passion Digital, The SEO Works, ROAST, Found</t>
  </si>
  <si>
    <t>nuundigital.com</t>
  </si>
  <si>
    <t>https://arytech.com/uk/services/ai-consulting-services/</t>
  </si>
  <si>
    <t>omnius.so</t>
  </si>
  <si>
    <t>AI Consulting Company In UK - AI Consulting Services UK</t>
  </si>
  <si>
    <t>Found, Single Grain, Omniscient Digital</t>
  </si>
  <si>
    <t>oneday.agency</t>
  </si>
  <si>
    <t>https://www.clickslice.co.uk/best-ai-aeo-agencies-uk/</t>
  </si>
  <si>
    <t>optimisemedia.com</t>
  </si>
  <si>
    <t>6 Best AI Answer Engine Optimisation Agencies in the UK (2026)</t>
  </si>
  <si>
    <t>orm-tech.com</t>
  </si>
  <si>
    <t>https://clutch.co/agencies/digital-marketing/uk/england/london</t>
  </si>
  <si>
    <t>outrightcrm.com</t>
  </si>
  <si>
    <t>Top London Digital Marketing Agencies - Jul 2026 Rankings | Clutch.co</t>
  </si>
  <si>
    <t>Power Digital, Jellyfish, Huge, Merkle, Directive Consulting, Push, Wpromote, Disruptive Advertising, NP Digital, Ignite Visibility</t>
  </si>
  <si>
    <t>phosailabs.com</t>
  </si>
  <si>
    <t>M3.agency, Ninja Promo, ROAST, Favoured, GA Agency, Propeller, Bird Marketing, Passion Digital, Impression</t>
  </si>
  <si>
    <t>https://clutch.co/agencies/media-buying/uk</t>
  </si>
  <si>
    <t>primelis.co.uk</t>
  </si>
  <si>
    <t>Top Media Buying Agencies in the United Kingdom - Jul 2026 Rankings | Clutch.co</t>
  </si>
  <si>
    <t>psychemeta.com</t>
  </si>
  <si>
    <t>ROAST, Impression, NP Digital, Propellernet</t>
  </si>
  <si>
    <t>https://clutch.co/agencies/ppc/google-adwords/uk</t>
  </si>
  <si>
    <t>rezaid.co.uk</t>
  </si>
  <si>
    <t>Top Adwords PPC Agencies in the United Kingdom - Jul 2026 Rankings | Clutch.co</t>
  </si>
  <si>
    <t>Propeller, Push, ROAST, M3.agency, Momentum, Launch Online, Huge, Ninja Promo, The SEO Works, Soap Media, GA Agency, Measured, Impression, ClickSlice, Found</t>
  </si>
  <si>
    <t>rightfirms.co</t>
  </si>
  <si>
    <t>https://www.expertsure.com/uk/ai-tools/best-ai-consultants/</t>
  </si>
  <si>
    <t>silverspoonagency.com</t>
  </si>
  <si>
    <t>Best AI Automation Consultants UK 2026 | ExpertSure</t>
  </si>
  <si>
    <t>simplicity.media</t>
  </si>
  <si>
    <t>https://www.gambitagency.co.uk/blog/10-best-paid-social-agencies</t>
  </si>
  <si>
    <t>socialander.com</t>
  </si>
  <si>
    <t>Found, Hallam, Impression, Huge, We Are Social, ROAST, Favoured, M3.agency, Gripped, Propeller, Soap Media</t>
  </si>
  <si>
    <t>sourceloop.ai</t>
  </si>
  <si>
    <t>Top 10 Paid Social Agencies UK 2025 - Gambit Agency</t>
  </si>
  <si>
    <t>Measured, Sellforte, Analytic Partners, Rockerbox, Push, Recast, Northbeam, Nielsen, Triple Whale, Cometly</t>
  </si>
  <si>
    <t>spicyadvisory.com</t>
  </si>
  <si>
    <t>The Social Shepherd, Impression, Found, Soap Media, Make Agency, Disrupt Marketing</t>
  </si>
  <si>
    <t>https://www.google.co.uk/intl/en-GB/ads/publisher/partners/find-a-partner/</t>
  </si>
  <si>
    <t>Measured, QuantumBlack</t>
  </si>
  <si>
    <t>theaiconsultancy.ai</t>
  </si>
  <si>
    <t>theaustralian.com.au</t>
  </si>
  <si>
    <t>Momentum, Huge, Accenture Song</t>
  </si>
  <si>
    <t>https://www.gwi.com/blog/market-research-companies-uk</t>
  </si>
  <si>
    <t>trendfingers.com</t>
  </si>
  <si>
    <t>Found, Measured, Cometly</t>
  </si>
  <si>
    <t>20+ Market Research Companies In The UK For Consumer Insights (2026)</t>
  </si>
  <si>
    <t>trendygrandad.com</t>
  </si>
  <si>
    <t>Triple Whale</t>
  </si>
  <si>
    <t>trinitybps.com</t>
  </si>
  <si>
    <t>https://www.haus.io/use-cases/incrementality</t>
  </si>
  <si>
    <t>weareagentsofchange.com</t>
  </si>
  <si>
    <t>Haus Incrementality Testing</t>
  </si>
  <si>
    <t>Found, Momentum, Transmission</t>
  </si>
  <si>
    <t>weareaudiences.com</t>
  </si>
  <si>
    <t>Found, Haus, Momentum</t>
  </si>
  <si>
    <t>https://www.icreativez.com/marketing-companies-by-country/industry-leading-digital-marketing-partners-uk-2026.html</t>
  </si>
  <si>
    <t>wikipedia.org</t>
  </si>
  <si>
    <t>Found, Impression, EY, Epsilon, Dentsu, Deloitte Digital, WPP, PwC, Omnicom</t>
  </si>
  <si>
    <t>10 Industry-Leading Digital Marketing Partners in UK | Definitive List 2026</t>
  </si>
  <si>
    <t>worldmetrics.org</t>
  </si>
  <si>
    <t>Dentsu, Merkle, WPP, Kantar, Publicis Groupe, EY, Momentum, PwC</t>
  </si>
  <si>
    <t>xamun.ai</t>
  </si>
  <si>
    <t>https://limeup.io/blog/digital-marketing-agency/</t>
  </si>
  <si>
    <t>Measured, EY, Found</t>
  </si>
  <si>
    <t>Top 15 Digital Marketing Agencies in the UK (2026)</t>
  </si>
  <si>
    <t>zendikt.com</t>
  </si>
  <si>
    <t>Passion Digital, McKinsey &amp; Company, Huge</t>
  </si>
  <si>
    <t>https://www.margen.net/best-geo-agencies-uk-2026-the-complete-comparison-guide/</t>
  </si>
  <si>
    <t>securitysenses.com</t>
  </si>
  <si>
    <t>Best GEO Agencies UK 2026: The Complete Comparison Guide | MarGen</t>
  </si>
  <si>
    <t>Hallam, Brainlabs, Impression</t>
  </si>
  <si>
    <t>wpp.com</t>
  </si>
  <si>
    <t>Buried Agency, ClickSlice, Found, Whitehat, Hallam, Passion Digital, Bird Marketing</t>
  </si>
  <si>
    <t>https://www.marketingagencyindex.com/uk/services/social-media-advertising</t>
  </si>
  <si>
    <t>WPP, Ogilvy, AKQA, Huge</t>
  </si>
  <si>
    <t>wearespark.ai</t>
  </si>
  <si>
    <t>Best Social Media Advertising Agencies in the UK | Agency Index</t>
  </si>
  <si>
    <t>agencylocator.io</t>
  </si>
  <si>
    <t>Momentum, GA Agency, The SEO Works, Measured</t>
  </si>
  <si>
    <t>https://www.onelinkmedia.co.uk/strategy/attribution/</t>
  </si>
  <si>
    <t>AKQA, Push, Accenture Song, Deloitte Digital, Huge, Found, WPP, Power Digital</t>
  </si>
  <si>
    <t>ecimediamanagement.com</t>
  </si>
  <si>
    <t>Data Attribution Agency London | Onelink</t>
  </si>
  <si>
    <t>Impression, Measured</t>
  </si>
  <si>
    <t>flypix.ai</t>
  </si>
  <si>
    <t>https://pinemarsh.com/</t>
  </si>
  <si>
    <t>mass-analytics.com</t>
  </si>
  <si>
    <t>Pinemarsh — Independent Marketing Measurement</t>
  </si>
  <si>
    <t>monks.com</t>
  </si>
  <si>
    <t>https://www.rank4ai.co.uk/research/rankings/best-ai-seo-agencies-uk/</t>
  </si>
  <si>
    <t>Momentum, Monks</t>
  </si>
  <si>
    <t>scanmarqed.com</t>
  </si>
  <si>
    <t>Best AI SEO Agencies UK 2026 | Rank4AI</t>
  </si>
  <si>
    <t>WPP</t>
  </si>
  <si>
    <t>service.gov.uk</t>
  </si>
  <si>
    <t>Rank4AI, Measured, Varn, Found, Buried Agency</t>
  </si>
  <si>
    <t>https://www.rankshift.ai/blog/best-geo-agencies/</t>
  </si>
  <si>
    <t>solvid.co.uk</t>
  </si>
  <si>
    <t>20 Best GEO Agencies in 2026 for Generative Engine Optimization</t>
  </si>
  <si>
    <t>Push, Whitehat, Momentum</t>
  </si>
  <si>
    <t>11x.marketing</t>
  </si>
  <si>
    <t>20northmarketing.com</t>
  </si>
  <si>
    <t>https://segmentstream.com/blog/articles/top-10-incrementality-testing-tools</t>
  </si>
  <si>
    <t>Siege Media</t>
  </si>
  <si>
    <t>21digital.agency</t>
  </si>
  <si>
    <t>10 Best Incrementality Testing Tools (2026) — SegmentStream</t>
  </si>
  <si>
    <t>2pointagency.com</t>
  </si>
  <si>
    <t>SegmentStream, Measured, Haus, Rockerbox, Recast</t>
  </si>
  <si>
    <t>https://www.superhub.biz/top-5-aeo-and-geo-agencies-uk-2026</t>
  </si>
  <si>
    <t>303.london</t>
  </si>
  <si>
    <t>360strategy.co.uk</t>
  </si>
  <si>
    <t>Top 5 AEO and GEO Agencies UK 2026 (Compared)</t>
  </si>
  <si>
    <t>Tinuiti, Measured, The SEO Works, Charle Agency, Merkle</t>
  </si>
  <si>
    <t>https://supermetrics.com/blog/incrementality-testing</t>
  </si>
  <si>
    <t>94n.digital</t>
  </si>
  <si>
    <t>aatechlab.co.uk</t>
  </si>
  <si>
    <t>Incrementality Testing – The Only Guide You Need</t>
  </si>
  <si>
    <t>ada-digital.co.uk</t>
  </si>
  <si>
    <t>Haus, Measured</t>
  </si>
  <si>
    <t>adobe.com</t>
  </si>
  <si>
    <t>https://tilio.co.uk/blog/best-aeo-agencies-2026-uk</t>
  </si>
  <si>
    <t>adstellar.ai</t>
  </si>
  <si>
    <t>What are the best UK AEO Agencies in 2026? \| Tilio Blog</t>
  </si>
  <si>
    <t>Tilio, Found, Passion Digital, ClickSlice, Momentum, The SEO Works, Digital Landscope, NoGood</t>
  </si>
  <si>
    <t>Cometly</t>
  </si>
  <si>
    <t>https://www.topseobrands.com/uk/best-display-advertising-firms-in-uk</t>
  </si>
  <si>
    <t>advance-adtech.com</t>
  </si>
  <si>
    <t>Best Display Advertising Firms in United Kingdom | Top SEO Brands</t>
  </si>
  <si>
    <t>advanced-television.com</t>
  </si>
  <si>
    <t>We Are Social, Found</t>
  </si>
  <si>
    <t>https://whitehat-seo.co.uk/blog/digital-marketing-agency-london#:~:text=Yes%E2%80%94this%20is%20Whitehat's%20core,needed%20for%20confident%20board%20conversations.</t>
  </si>
  <si>
    <t>advanttechnology.com</t>
  </si>
  <si>
    <t>adzooma.com</t>
  </si>
  <si>
    <t>Digital Marketing Agency London That Proves ROI | Whitehat</t>
  </si>
  <si>
    <t>Found, Adam&amp;eveDDB, Ogilvy, Saatchi &amp; Saatchi, The Brains, BBH London</t>
  </si>
  <si>
    <t>Whitehat, Found, LOCALiQ</t>
  </si>
  <si>
    <t>aeo-rex.com</t>
  </si>
  <si>
    <t>https://aeoagencyservices.com/aeo-uk</t>
  </si>
  <si>
    <t>Push, ClickSlice, Varn, Push Group, The SEO Works</t>
  </si>
  <si>
    <t>aeoengine.ai</t>
  </si>
  <si>
    <t>Top AEO Services UK | Expert AEO Agency United Kingdom</t>
  </si>
  <si>
    <t>Found, NoGood</t>
  </si>
  <si>
    <t>afiniti.co.uk</t>
  </si>
  <si>
    <t>Push, Momentum</t>
  </si>
  <si>
    <t>https://agencies.semrush.com/list/analytics-data-science/united-kingdom/</t>
  </si>
  <si>
    <t>agencysort.com</t>
  </si>
  <si>
    <t>Best Data Analytics Services in United Kingdom 2026 | Semrush</t>
  </si>
  <si>
    <t>Found, Hallam, Brainlabs, The SEO Works, Impression, Artefact, Favoured, Screaming Frog, FirstMotion, Builtvisible, Anicca Digital, Propeller, VCCP, PPC Geeks, Bird Marketing, GA Agency, Koozai</t>
  </si>
  <si>
    <t>Found, The SEO Works, Huge</t>
  </si>
  <si>
    <t>agilitytech.ai</t>
  </si>
  <si>
    <t>https://beomniscient.com/blog/best-ai-marketing-agencies/</t>
  </si>
  <si>
    <t>aiadvantageagency.com</t>
  </si>
  <si>
    <t>The 5 Best AI Marketing Agencies For B2B (2026 Update) - Omniscient Digital</t>
  </si>
  <si>
    <t>Impression, Northbeam, Triple Whale</t>
  </si>
  <si>
    <t>Omniscient Digital, NoGood, Daydream, Single Grain, Measured</t>
  </si>
  <si>
    <t>aigeo360.com</t>
  </si>
  <si>
    <t>https://www.bluearray.co.uk/agency-directory/best-paid-social-agencies-in-the-uk/</t>
  </si>
  <si>
    <t>aimerce.ai</t>
  </si>
  <si>
    <t>Best Paid Social Agencies in the UK - Blue Array SEO</t>
  </si>
  <si>
    <t>Measured, Northbeam, Triple Whale</t>
  </si>
  <si>
    <t>Blue Array, Bind Media, Launch Online, Disrupt Marketing</t>
  </si>
  <si>
    <t>https://www.clickslice.co.uk/top-answer-engine-optimisation-agencies-uk/</t>
  </si>
  <si>
    <t>alexbirkett.com</t>
  </si>
  <si>
    <t>Power Digital, Omniscient Digital</t>
  </si>
  <si>
    <t>7 Top Answer Engine Optimisation (AEO) Specialists UK Brands Should Know</t>
  </si>
  <si>
    <t>ality.co.uk</t>
  </si>
  <si>
    <t>https://clutch.co/agencies/programmatic/uk</t>
  </si>
  <si>
    <t>altorise.com</t>
  </si>
  <si>
    <t>Top Programmatic Advertising Companies in the United Kingdom - Jul 2026 Rankings \| Clutch.co</t>
  </si>
  <si>
    <t>ROAST, Ninja Promo, The SEO Works, M3.agency</t>
  </si>
  <si>
    <t>https://clutch.co/agencies/sem/uk</t>
  </si>
  <si>
    <t>Top Search Engine Marketing Agencies in the United Kingdom - Jul 2026 Rankings | Clutch.co</t>
  </si>
  <si>
    <t>Found, The Social Shepherd, Measured, Passion Digital, NoGood, The Good Marketer, LOCALiQ</t>
  </si>
  <si>
    <t>Huge, The SEO Works, ROAST, M3.agency, GA Agency, Ninja Promo, Propeller, Soap Media, Found, ClickSlice, Impression, Passion Digital, Genie Crawl</t>
  </si>
  <si>
    <t>https://www.digitalreference.co/insights/marketing-professionals/best-digital-marketing-agencies-companies-in-uk</t>
  </si>
  <si>
    <t>amplitude.com</t>
  </si>
  <si>
    <t>Best Digital Marketing Agencies &amp;amp; Digital Marketing Firms in the UK</t>
  </si>
  <si>
    <t>analytics.co.uk</t>
  </si>
  <si>
    <t>https://www.ecomone.com/insights/top-geo-agencies-uk/</t>
  </si>
  <si>
    <t>anglux.uk</t>
  </si>
  <si>
    <t>Top 10 Best GEO Agencies in the UK (2026) - eComOne</t>
  </si>
  <si>
    <t>Haus</t>
  </si>
  <si>
    <t>appearonline.co.uk</t>
  </si>
  <si>
    <t>Passion Digital, Blue Array, Exposure Ninja, ClickSlice, Builtvisible, Propellernet, Polaris</t>
  </si>
  <si>
    <t>https://factoryjet.com/blog/best-ai-seo-agencies-uk</t>
  </si>
  <si>
    <t>Hallam, Found, The SEO Works, Blue Array, Impression, Builtvisible, Rise at Seven</t>
  </si>
  <si>
    <t>artefact.com</t>
  </si>
  <si>
    <t>The 10 Best AI SEO Agencies in the UK (2026)</t>
  </si>
  <si>
    <t>Found, Measured, Merkle, Artefact, Push</t>
  </si>
  <si>
    <t>assemblyglobal.com</t>
  </si>
  <si>
    <t>Found, The SEO Works, Blue Array, Screaming Frog, Varn, GA Agency, Passion Digital, Brainlabs, Builtvisible, Deloitte Digital</t>
  </si>
  <si>
    <t>https://www.giraffesocialmedia.co.uk/</t>
  </si>
  <si>
    <t>assertive-media.co.uk</t>
  </si>
  <si>
    <t>Social Media Agency UK | Human-First | Giraffe Social</t>
  </si>
  <si>
    <t>Found, Screaming Frog</t>
  </si>
  <si>
    <t>atigro.com</t>
  </si>
  <si>
    <t>https://gripped.io/b2b-marketing/top-marketing-agencies-uk/</t>
  </si>
  <si>
    <t>atlas-mapping.com</t>
  </si>
  <si>
    <t>Top 50 UK Marketing Agencies: Expert Picks for SEO, PPC &amp;amp; ABM</t>
  </si>
  <si>
    <t>attnagency.com</t>
  </si>
  <si>
    <t>Gripped, Brainlabs, Transmission, Clarity Performance, Koozai, We Are Social, Croud, Jellyfish, Ogilvy, Measured, Saatchi &amp; Saatchi, Accenture Song, Dentsu, Publicis Groupe, iCrossing, Merkle, Push, Propellernet, Rise at Seven, Builtvisible, Passion Digital, Gravity Global, Incubeta, VCCP</t>
  </si>
  <si>
    <t>https://hallam.agency/about-us/google-premier-partner-agency/#:~:text=Google%20Premier%20Partner%20Agency%20%7C%20Hallam,the%20world's%20best%20media%20agencies.&amp;text=We%20use%20exclusive%20technologies%2C%20data,media%20strategies%20for%20your%20brand.</t>
  </si>
  <si>
    <t>auditynow.com</t>
  </si>
  <si>
    <t>Google Premier Partner Agency | Hallam</t>
  </si>
  <si>
    <t>Hallam</t>
  </si>
  <si>
    <t>Found, Momentum, NoGood</t>
  </si>
  <si>
    <t>https://www.hockeystack.com/blog-posts/best-marketing-attribution-software</t>
  </si>
  <si>
    <t>avaus.com</t>
  </si>
  <si>
    <t>avixa.org</t>
  </si>
  <si>
    <t>19 Best Marketing Attribution Software Solutions Reviewed for 2026</t>
  </si>
  <si>
    <t>avorioproductions.com</t>
  </si>
  <si>
    <t>Ruler Analytics, Disrupt Marketing, Push, Triple Whale, Rockerbox, Impression, Northbeam</t>
  </si>
  <si>
    <t>https://joinupscale.com/blog/top-google-shopping-ads-agencies-uk/</t>
  </si>
  <si>
    <t>awarenessai.co.uk</t>
  </si>
  <si>
    <t>Top Google Shopping Ads Agencies UK: Shortlist &amp;amp; RFP Guide 2026</t>
  </si>
  <si>
    <t>back9.co.nz</t>
  </si>
  <si>
    <t>Impression, Found</t>
  </si>
  <si>
    <t>https://seocompare.co.uk/best-ai-seo-agencies/</t>
  </si>
  <si>
    <t>backhouse.com</t>
  </si>
  <si>
    <t>AI SEO Agency Rankings: 7 Compared for 2026 (with Prices) | SEOCompare</t>
  </si>
  <si>
    <t>Directive Consulting, Rank4AI, Siege Media, Omniscient Digital, Measured</t>
  </si>
  <si>
    <t>bcn.co.uk</t>
  </si>
  <si>
    <t>https://www.seoworks.com/lists/best-aeo-answer-engine-optimisation-agencies/</t>
  </si>
  <si>
    <t>belkins.io</t>
  </si>
  <si>
    <t>20 Best Answer Engine Optimisation (AEO) Agencies (2026) | The SEO Works</t>
  </si>
  <si>
    <t>Dept, Hawke Media</t>
  </si>
  <si>
    <t>The SEO Works, Measured, Jellyfish, Builtvisible, Siege Media, NP Digital, Brainlabs, WebFX</t>
  </si>
  <si>
    <t>benchmarketing.org</t>
  </si>
  <si>
    <t>https://www.sortlist.co.uk/s/performance-marketing/england-england-gb</t>
  </si>
  <si>
    <t>Builtvisible, Croud, Favoured</t>
  </si>
  <si>
    <t>The 10 Best Performance Marketing Agencies in England - 2026 Reviews</t>
  </si>
  <si>
    <t>benly.ai</t>
  </si>
  <si>
    <t>Momentum, M3.agency, Found, McKinsey &amp; Company</t>
  </si>
  <si>
    <t>Measured, Rockerbox, Northbeam, Ruler Analytics, Triple Whale</t>
  </si>
  <si>
    <t>https://sourceforge.net/software/incrementality-testing/uk/</t>
  </si>
  <si>
    <t>best-ai-readiness-assessments.com</t>
  </si>
  <si>
    <t>Best Incrementality Testing Tools in the UK of 2026 - Reviews &amp;amp; Comparison</t>
  </si>
  <si>
    <t>Deloitte Digital</t>
  </si>
  <si>
    <t>bestadsontv.com</t>
  </si>
  <si>
    <t>Measured, Sellforte, Rockerbox, Recast, Haus, Analytic Partners, Push</t>
  </si>
  <si>
    <t>https://www.stellaheystella.com/blog/incrementality-testing-platforms-the-complete-guide-to-measuring-true-marketing-impact-2025</t>
  </si>
  <si>
    <t>bhavpro.com</t>
  </si>
  <si>
    <t>Incrementality Testing Platforms: The Complete Guide to Measuring True Marketing Impact (2025) | Stella</t>
  </si>
  <si>
    <t>Huge, 9AM</t>
  </si>
  <si>
    <t>bizzabo.com</t>
  </si>
  <si>
    <t>Push, BBH London, AMV BBDO, Adam&amp;eveDDB, Saatchi &amp; Saatchi, Merkle, VCCP, WPP, Lucky Generals, Mother London</t>
  </si>
  <si>
    <t>blendb2b.com</t>
  </si>
  <si>
    <t>Sellforte, Found, Measured, Haus, Northbeam, Triple Whale</t>
  </si>
  <si>
    <t>https://swifterm.com/top-google-ad-agencies-in-the-united-kingdom/</t>
  </si>
  <si>
    <t>Passion Digital, Measured, Single Grain, Siege Media</t>
  </si>
  <si>
    <t>blueduckagency.com</t>
  </si>
  <si>
    <t>Top Google-Ad Agencies In The UK - SwiftERM AI Technology</t>
  </si>
  <si>
    <t>bluefrontier.co.uk</t>
  </si>
  <si>
    <t>Push, Push Group, PPC Geeks</t>
  </si>
  <si>
    <t>https://thedigitalmaze.com/blog/top-10-ppc-agencies-in-the-uk-2026/</t>
  </si>
  <si>
    <t>Top 10 PPC Agencies in the UK (2026)</t>
  </si>
  <si>
    <t>blueprintdemand.com</t>
  </si>
  <si>
    <t>Found, Croud, Huge, Impression, Journey Further, Bind Media, Push, Push Group, Jellyfish, PPC Geeks, Propeller</t>
  </si>
  <si>
    <t>https://thegoodmarketer.co.uk/what-we-do/display-advertising/#:~:text=Perfect%20For%20Brands%20With%20Strong,help%20of%20Google%20Display%20Ads.</t>
  </si>
  <si>
    <t>Momentum, Measured, Impression, Single Grain</t>
  </si>
  <si>
    <t>brandedagency.com</t>
  </si>
  <si>
    <t>Display Advertising Agency London | The Good Marketer</t>
  </si>
  <si>
    <t>Found, Measured, Ninja Promo, WebFX, Ignite Visibility</t>
  </si>
  <si>
    <t>brandience.com</t>
  </si>
  <si>
    <t>The Good Marketer, Found, Momentum, Huge</t>
  </si>
  <si>
    <t>https://themanifest.com/creative/agencies/uk</t>
  </si>
  <si>
    <t>brandlective.com</t>
  </si>
  <si>
    <t>The Best Creative Companies in United Kingdom - Jul 2026 | The Manifest</t>
  </si>
  <si>
    <t>brandnation.co.uk</t>
  </si>
  <si>
    <t>Chello, Favoured</t>
  </si>
  <si>
    <t>https://wishu.io/the-100-uk-creative-agencies/</t>
  </si>
  <si>
    <t>brandsandagencies.co.uk</t>
  </si>
  <si>
    <t>The Insane Founder – Your guide to the latest news from the creator economy. Informative, witty, and everything you need to understand the world of creators.</t>
  </si>
  <si>
    <t>MSQ Partners, WPP, Soap Media</t>
  </si>
  <si>
    <t>brentonway.com</t>
  </si>
  <si>
    <t>https://aether-agency.co.uk/insights/incrementality-testing-marketing-guide-uk-2026</t>
  </si>
  <si>
    <t>Power Digital, NoGood, Directive Consulting, Push, inBeat, Disruptive Advertising</t>
  </si>
  <si>
    <t>brightnetwork.co.uk</t>
  </si>
  <si>
    <t>Ekimetrics</t>
  </si>
  <si>
    <t>brysa.co.uk</t>
  </si>
  <si>
    <t>https://agencies.semrush.com/list/advertising/united-kingdom/</t>
  </si>
  <si>
    <t>builtin.com</t>
  </si>
  <si>
    <t>Tinuiti, Push</t>
  </si>
  <si>
    <t>Best Advertising Agencies in United Kingdom 2026 | Semrush</t>
  </si>
  <si>
    <t>businessofapps.com</t>
  </si>
  <si>
    <t>Found, Impression, Click Intelligence, Passion Digital, Soap Media</t>
  </si>
  <si>
    <t>https://agencies.semrush.com/list/display-advertising/united-kingdom/mid-business/</t>
  </si>
  <si>
    <t>Incubeta, The Social Shepherd, Measured, Favoured, Push</t>
  </si>
  <si>
    <t>careerfoundry.com</t>
  </si>
  <si>
    <t>Best Display Ads Agencies for Mid Business in United Kingdom 2026 | Semrush</t>
  </si>
  <si>
    <t>Found, Passion Digital, Soap Media, The SEO Works</t>
  </si>
  <si>
    <t>Momentum, Huge, Dentsu, WPP, Publicis Groupe, Disruptive Advertising, Ogilvy, WebFX, GroupM, Omnicom</t>
  </si>
  <si>
    <t>https://agencyvista.com/lists/google-marketing-platform-sales-partners/</t>
  </si>
  <si>
    <t>causalityengine.ai</t>
  </si>
  <si>
    <t>Measured, Rockerbox, Recast, Northbeam, Triple Whale</t>
  </si>
  <si>
    <t>Google Marketing Platform Sales Partners. May 2025 Reviews. | Agency Vista</t>
  </si>
  <si>
    <t>cbinsights.com</t>
  </si>
  <si>
    <t>Northbeam, Measured, Rockerbox</t>
  </si>
  <si>
    <t>AKQA, Brainlabs, Artefact, Merkle, Jellyfish, Adswerve, Deloitte Digital, Dentsu, Croud, Brainlabs, Ogilvy, Dept</t>
  </si>
  <si>
    <t>cdp.com</t>
  </si>
  <si>
    <t>https://ampliflow.ai/blog/best-ai-agencies-uk-2026</t>
  </si>
  <si>
    <t>Nielsen, Neustar</t>
  </si>
  <si>
    <t>Best AI Agencies in the UK: The 2026 Definitive Guide</t>
  </si>
  <si>
    <t>ceek.co.uk</t>
  </si>
  <si>
    <t>Push, Measured</t>
  </si>
  <si>
    <t>cgi.com</t>
  </si>
  <si>
    <t>https://www.appsflyer.com/blog/tips-strategy/incrementality-testing-for-marketers/</t>
  </si>
  <si>
    <t>chaosdesign.com</t>
  </si>
  <si>
    <t>Incrementality testing 101: Marketers 2023 guide | AppsFlyer</t>
  </si>
  <si>
    <t>choreograph.com</t>
  </si>
  <si>
    <t>https://atomicdigitalmarketing.co.uk/</t>
  </si>
  <si>
    <t>WPP, GroupM</t>
  </si>
  <si>
    <t>cigen.io</t>
  </si>
  <si>
    <t>Top Digital Marketing Agency UK | Full Service Online Marketing Company</t>
  </si>
  <si>
    <t>circusppc.com</t>
  </si>
  <si>
    <t>clickmarketing.co.uk</t>
  </si>
  <si>
    <t>https://www.cornishwebservices.co.uk/articles/marketing/Top-10-PPC-Agencies-in-the-UK-in-2026.html</t>
  </si>
  <si>
    <t>clickstrike.com</t>
  </si>
  <si>
    <t>Found, NoGood, Directive Consulting, Ninja Promo, Single Grain</t>
  </si>
  <si>
    <t>clicktrain.com</t>
  </si>
  <si>
    <t>Impression, Brainlabs, Hallam, Croud, Found, Push, Push Group</t>
  </si>
  <si>
    <t>Anicca Digital</t>
  </si>
  <si>
    <t>https://dramatik.com/blog/google-ads-agencies-uk/</t>
  </si>
  <si>
    <t>colossalinfluence.com</t>
  </si>
  <si>
    <t>Best Google Ads Agencies in the UK (Updated for 2025) - Dramatik</t>
  </si>
  <si>
    <t>Found, Momentum, Measured, WPP, Omnicom</t>
  </si>
  <si>
    <t>companies.london</t>
  </si>
  <si>
    <t>PMG, The Social Shepherd, Bind Media, inBeat</t>
  </si>
  <si>
    <t>Push, Push Group, The Social Shepherd, PPC Geeks, The Brains, Clarity Performance</t>
  </si>
  <si>
    <t>connective3.com</t>
  </si>
  <si>
    <t>https://ecomposer.io/blogs/comparison/data-driven-marketing-agencies-uk</t>
  </si>
  <si>
    <t>10 Best Data-Driven Marketing Agencies in the UK for 2026 – EComposer</t>
  </si>
  <si>
    <t>consultancy.eu</t>
  </si>
  <si>
    <t>Jellyfish, Croud, Labelium, Brainlabs, Merkle, Artefact</t>
  </si>
  <si>
    <t>corbieredigital.co.uk</t>
  </si>
  <si>
    <t>Found, Impression, Croud, Brainlabs, Hallam, Push, Push Group, Huge, Bind Media</t>
  </si>
  <si>
    <t>https://www.found.co.uk/services/seo/ai-seo/geo-seo/#:~:text=Powered%20by%20our%20Everysearch%E2%84%A2,strategy%20to%20keep%20you%20ahead.</t>
  </si>
  <si>
    <t>corsactech.com</t>
  </si>
  <si>
    <t>GEO Agency \| GEO SEO for Every Searchable Platform \| Found</t>
  </si>
  <si>
    <t>https://getrecast.com/experimentation/</t>
  </si>
  <si>
    <t>createscale.com</t>
  </si>
  <si>
    <t>Experimentation - Recast</t>
  </si>
  <si>
    <t>creativecorner.studio</t>
  </si>
  <si>
    <t>Found, The Social Shepherd, Saatchi &amp; Saatchi</t>
  </si>
  <si>
    <t>https://www.havasmarket.co.uk/data-science-analytics/</t>
  </si>
  <si>
    <t>creativepool.com</t>
  </si>
  <si>
    <t>Ogilvy, Saatchi &amp; Saatchi, VCCP, BBH London</t>
  </si>
  <si>
    <t>Data Science &amp;amp; Analytics Agency | Havas Market UK</t>
  </si>
  <si>
    <t>dacgroup.com</t>
  </si>
  <si>
    <t>https://www.hotwireglobal.co.uk/our-services/ai-consulting-tech/</t>
  </si>
  <si>
    <t>daio.uk</t>
  </si>
  <si>
    <t>AI Consulting &amp;amp; Tech | Hotwire UK</t>
  </si>
  <si>
    <t>darkroomagency.com</t>
  </si>
  <si>
    <t>https://inbeat.agency/blog/incrementality-testing</t>
  </si>
  <si>
    <t>Power Digital, Tinuiti, Measured, Wpromote, Disruptive Advertising, Common Thread Collective, WebFX, Ignite Visibility, Darkroom</t>
  </si>
  <si>
    <t>dataally.ai</t>
  </si>
  <si>
    <t>Incrementality Testing: Calculations, Examples, and More for 2025 - inBeat Agency</t>
  </si>
  <si>
    <t>Found, The Social Shepherd, Push, inBeat, Disruptive Advertising, Ninja Promo, NP Digital, WebFX, Darkroom</t>
  </si>
  <si>
    <t>inBeat, Nielsen, Measured, Found, Push</t>
  </si>
  <si>
    <t>https://www.influencer-hero.com/de/blogs/top-paid-media-agencies-in-the-united-kingdom</t>
  </si>
  <si>
    <t>decentriq.com</t>
  </si>
  <si>
    <t>Found, Impression, Push</t>
  </si>
  <si>
    <t>Die Top 10 Paid-Media-Agenturen im Vereinigten Königreich</t>
  </si>
  <si>
    <t>decipher.agency</t>
  </si>
  <si>
    <t>decisionfoundry.com</t>
  </si>
  <si>
    <t>https://marketingplatform.google.com/about/partners/find-a-partner?category=206</t>
  </si>
  <si>
    <t>dedote.co.uk</t>
  </si>
  <si>
    <t>https://openkit.co.uk/ai-services/ai-consulting</t>
  </si>
  <si>
    <t>dejongphillips.co.uk</t>
  </si>
  <si>
    <t>AI Consulting for UK SMEs | ISO 27001 | OpenKit</t>
  </si>
  <si>
    <t>delve.ai</t>
  </si>
  <si>
    <t>Momentum, YouGov</t>
  </si>
  <si>
    <t>https://pearllemon.com/top-paid-media-agencies-uk/</t>
  </si>
  <si>
    <t>designity.com</t>
  </si>
  <si>
    <t>Jellyfish, Found, Momentum, NoGood, Single Grain, Omniscient Digital, Siege Media</t>
  </si>
  <si>
    <t>Top Paid Media Agencies In The UK For Business Services</t>
  </si>
  <si>
    <t>devopsschool.com</t>
  </si>
  <si>
    <t>The Social Shepherd, Disruptive Advertising, Ninja Promo, Impression, ClickSlice, PPC Geeks, Found, Make Agency, Soap Media</t>
  </si>
  <si>
    <t>https://pinpoint-media.global/insights/top-10-paid-media-agencies-in-london</t>
  </si>
  <si>
    <t>devsdata.com</t>
  </si>
  <si>
    <t>Top 10 Paid Media Agencies in London | PinPoint Media</t>
  </si>
  <si>
    <t>digiactus.co.uk</t>
  </si>
  <si>
    <t>PinPoint Media, Jellyfish, Brainlabs, Push, Hallam, Dentsu</t>
  </si>
  <si>
    <t>https://www.pushgroup.co.uk/</t>
  </si>
  <si>
    <t>digicatapult.org.uk</t>
  </si>
  <si>
    <t>Push UK | Marketing Transformation. AI Acceleration | Agency</t>
  </si>
  <si>
    <t>Push, Push Group</t>
  </si>
  <si>
    <t>https://www.rank4ai.co.uk/research/rankings/#:~:text=Leading%20Generative%20Engine%20Optimisation%20agencies,AI%20Search%20Specialist%20Landscape%202026</t>
  </si>
  <si>
    <t>digitalapplied.com</t>
  </si>
  <si>
    <t>AI Search Agency Rankings UK | Rank4AI</t>
  </si>
  <si>
    <t>Found, Push, PwC, Transmission</t>
  </si>
  <si>
    <t>https://www.reddit.com/r/Superframeworks/comments/1twfxf1/10_best_ai_seo_geoaeo_agencies_for_2026_no/</t>
  </si>
  <si>
    <t>digitalmarketingagencyuk.com</t>
  </si>
  <si>
    <t>10 Best AI SEO (GEO/AEO) Agencies for 2026: No Self-Ranking, Verified by Clutch Reviews and Real AI-Citation Proof</t>
  </si>
  <si>
    <t>Single Grain, NoGood</t>
  </si>
  <si>
    <t>disruptiveadvertising.com</t>
  </si>
  <si>
    <t>https://www.reddit.com/r/Topagencies/comments/1spi0q0/top_ppc_agencies_in_england_packages_pricing_cost/</t>
  </si>
  <si>
    <t>inBeat, Disruptive Advertising</t>
  </si>
  <si>
    <t>Top PPC Agencies in England — Packages, Pricing, Cost &amp;amp; Services Guide</t>
  </si>
  <si>
    <t>droga5.com</t>
  </si>
  <si>
    <t>Impression, PPC Geeks, Bind Media, The SEO Works, Passion Digital</t>
  </si>
  <si>
    <t>https://www.reuters.com/business/publicis-raises-growth-target-ai-driven-marketing-demand-stays-strong-2026-07-16/</t>
  </si>
  <si>
    <t>Impression, Found, Accenture Song</t>
  </si>
  <si>
    <t>eakwire.com</t>
  </si>
  <si>
    <t>Publicis raises growth target as AI-driven marketing demand stays strong \| Reuters</t>
  </si>
  <si>
    <t>Jellyfish, Tinuiti, NoGood, Polaris, Wpromote, Single Grain</t>
  </si>
  <si>
    <t>easyinsights.ai</t>
  </si>
  <si>
    <t>https://s360digital.com/capabilities/data/incrementality-testing/</t>
  </si>
  <si>
    <t>economictimes.com</t>
  </si>
  <si>
    <t>Prove marketing impact with Incrementality Testing | s360</t>
  </si>
  <si>
    <t>Found, Momentum, WPP, Kantar, Disrupt Marketing</t>
  </si>
  <si>
    <t>efficiencymedia.com</t>
  </si>
  <si>
    <t>https://salocin-group.com/our-services/ai-consulting-services/</t>
  </si>
  <si>
    <t>eightandfour.com</t>
  </si>
  <si>
    <t>AI consulting services and AI enablement \| Salocin Group</t>
  </si>
  <si>
    <t>ekcs.co</t>
  </si>
  <si>
    <t>https://sellforte.com/</t>
  </si>
  <si>
    <t>emarketer.com</t>
  </si>
  <si>
    <t>MMM, Incrementality Testing &amp;amp; Attribution | Sellforte</t>
  </si>
  <si>
    <t>WPP, Push, Publicis Groupe, Omnicom</t>
  </si>
  <si>
    <t>Sellforte, Huge, Measured, Push</t>
  </si>
  <si>
    <t>enrichlabs.ai</t>
  </si>
  <si>
    <t>https://semnexus.com/top-aeo-agencies-london</t>
  </si>
  <si>
    <t>enzuzo.com</t>
  </si>
  <si>
    <t>Top AEO Agencies in London: Dominating AI Search in 2026 | SEM Nexus</t>
  </si>
  <si>
    <t>exchangewire.com</t>
  </si>
  <si>
    <t>https://www.seoworks.com/lists/20-best-digital-marketing-companies-in-the-uk/</t>
  </si>
  <si>
    <t>exposureninja.com</t>
  </si>
  <si>
    <t>20 Best Digital Marketing Companies in the UK (2026) | January 15, 2026</t>
  </si>
  <si>
    <t>NoGood, NP Digital, Exposure Ninja, Found</t>
  </si>
  <si>
    <t>extradigital.co.uk</t>
  </si>
  <si>
    <t>The SEO Works, Brainlabs, Builtvisible, Propellernet, Varn, ROAST</t>
  </si>
  <si>
    <t>https://www.softomatesolutions.com/blog/best-ai-strategy-consultants-london/</t>
  </si>
  <si>
    <t>extraordinaryengagement.co.uk</t>
  </si>
  <si>
    <t>Best AI Strategy Consultants London 2026: Hire Vetted Experts for Your AI Roadmap</t>
  </si>
  <si>
    <t>BBH London, AMV BBDO, Saatchi &amp; Saatchi, Ogilvy, Omnicom, WPP, Publicis Groupe</t>
  </si>
  <si>
    <t>f6s.com</t>
  </si>
  <si>
    <t>Found, QuantumBlack, Measured</t>
  </si>
  <si>
    <t>https://www.sortlist.co.uk/s/artificial-intelligence/london-england-gb</t>
  </si>
  <si>
    <t>fibbler.co</t>
  </si>
  <si>
    <t>Found, Impression, Ruler Analytics, Cometly, SegmentStream</t>
  </si>
  <si>
    <t>The 10 Best Artificial Intelligence Agencies in London - 2026 Reviews</t>
  </si>
  <si>
    <t>fibr.ai</t>
  </si>
  <si>
    <t>https://www.sortlist.com/attribution-marketing</t>
  </si>
  <si>
    <t>fifty-five.com</t>
  </si>
  <si>
    <t>The 100 Best Attribution Marketing Agencies - 2026 Reviews</t>
  </si>
  <si>
    <t>finnpartners.com</t>
  </si>
  <si>
    <t>Impression, Push, Triple Whale, Northbeam, WPP</t>
  </si>
  <si>
    <t>https://www.superside.com/blog/creative-agencies-london</t>
  </si>
  <si>
    <t>fntmanagement.com</t>
  </si>
  <si>
    <t>The Good Marketer, WebFX, Siege Media</t>
  </si>
  <si>
    <t>15 Best Ad Creative Agencies in London To Hire in 2026</t>
  </si>
  <si>
    <t>forlinux.co.uk</t>
  </si>
  <si>
    <t>Superside, Favoured, Polaris, Impression</t>
  </si>
  <si>
    <t>Hallam, Brainlabs, The Social Shepherd, PPC Geeks</t>
  </si>
  <si>
    <t>https://support.google.com/tagmanager/answer/7237700?hl=en-GB</t>
  </si>
  <si>
    <t>fortismedia.com</t>
  </si>
  <si>
    <t>Google Marketing Platform Partners - Tag Manager Help</t>
  </si>
  <si>
    <t>foundersworkshop.com</t>
  </si>
  <si>
    <t>https://techbehemoths.com/companies/google-ads/united-kingdom</t>
  </si>
  <si>
    <t>Top 20+ Google Ads Agencies in United Kingdom (2026) - TechBehemoths</t>
  </si>
  <si>
    <t>freshegg.co.uk</t>
  </si>
  <si>
    <t>Found, Bird Marketing, Soap Media, The SEO Works, Disruptive Advertising, Impression</t>
  </si>
  <si>
    <t>https://www.wildishandco.co.uk/blog/best-creative-agencies-lifestyle-brands-uk</t>
  </si>
  <si>
    <t>frontier15.com</t>
  </si>
  <si>
    <t>Best Creative Agencies for Lifestyle Brands in the UK | Wildish &amp;amp; Co.</t>
  </si>
  <si>
    <t>fueler.io</t>
  </si>
  <si>
    <t>https://zipdo.co/service/marketing-attribution/</t>
  </si>
  <si>
    <t>Top 10 Best Marketing Attribution Services | Top Picks 2026</t>
  </si>
  <si>
    <t>Power Digital, Dentsu, Tinuiti, NoGood, Merkle, Wpromote, Publicis Groupe, Disruptive Advertising, Common Thread Collective, NP Digital, WebFX</t>
  </si>
  <si>
    <t>futuresupply.io</t>
  </si>
  <si>
    <t>Northbeam, Merkle, Wpromote, PwC</t>
  </si>
  <si>
    <t>Ogilvy, Saatchi &amp; Saatchi, AKQA</t>
  </si>
  <si>
    <t>https://agencies.semrush.com/list/search-engine-marketing/united-kingdom/</t>
  </si>
  <si>
    <t>ga.agency</t>
  </si>
  <si>
    <t>gaintheory.com</t>
  </si>
  <si>
    <t>Best Search Engine Marketing Companies in United Kingdom 2026 | Semrush</t>
  </si>
  <si>
    <t>Found, Impression, Bird Marketing, Measured, Click Intelligence, Passion Digital, Soap Media</t>
  </si>
  <si>
    <t>Gain Theory, WPP</t>
  </si>
  <si>
    <t>gen-optima.com</t>
  </si>
  <si>
    <t>https://bird.co.uk/ai/</t>
  </si>
  <si>
    <t>Single Grain, Omniscient Digital, Siege Media</t>
  </si>
  <si>
    <t>AI Agency Consultants UK - Implement AI in Business - Bird Marketing</t>
  </si>
  <si>
    <t>get-found.co.uk</t>
  </si>
  <si>
    <t>Bird Marketing, Momentum</t>
  </si>
  <si>
    <t>giantleapdigital.co.uk</t>
  </si>
  <si>
    <t>https://www.dentsu.com/uk/en/marketing-effectiveness/our-capabilities</t>
  </si>
  <si>
    <t>gigawattgroup.com</t>
  </si>
  <si>
    <t>Dentsu, Found</t>
  </si>
  <si>
    <t>https://www.design-intellect.co.uk/top_50_advertising_marketing_agencies_list.html</t>
  </si>
  <si>
    <t>ginitalent.com</t>
  </si>
  <si>
    <t>List of 50 of the top award winning advertising and marketing agencies in the UK</t>
  </si>
  <si>
    <t>AMV BBDO, Found, BBH London, Huge, YouGov, Dentsu, Saatchi &amp; Saatchi, Mother London, Ogilvy, Publicis Groupe, VCCP, We Are Social, Disrupt Marketing</t>
  </si>
  <si>
    <t>gohighlevel.com</t>
  </si>
  <si>
    <t>https://digitalagencynetwork.com/agencies/uk/branding/</t>
  </si>
  <si>
    <t>goup.co.uk</t>
  </si>
  <si>
    <t>Top Branding Agencies in UK (2026)</t>
  </si>
  <si>
    <t>Favoured, Bird Marketing, Hallam, M3.agency, Impression</t>
  </si>
  <si>
    <t>grapefruitseo.london</t>
  </si>
  <si>
    <t>https://directiveconsulting.com/uk/blog/top-performance-marketing-agencies/#:~:text=Graysen%20Christopher</t>
  </si>
  <si>
    <t>growth-rocket.com</t>
  </si>
  <si>
    <t>growth.cx</t>
  </si>
  <si>
    <t>18 Best Performance Marketing Agencies For B2B - Directive</t>
  </si>
  <si>
    <t>Tinuiti, NoGood, Wpromote, Ignite Visibility, iCrossing</t>
  </si>
  <si>
    <t>Directive Consulting, NoGood, Common Thread Collective, Wpromote, Darkroom, inBeat, Single Grain, Omniscient Digital, Measured, Disrupt Marketing</t>
  </si>
  <si>
    <t>growthcurve.co</t>
  </si>
  <si>
    <t>https://www.elevenmiles.com/</t>
  </si>
  <si>
    <t>growthmanager.ai</t>
  </si>
  <si>
    <t>GAIN Creative Studios</t>
  </si>
  <si>
    <t>growthspreeofficial.com</t>
  </si>
  <si>
    <t>https://www.google.co.uk/intl/en/ads/publisher/partners/work-with-a-partner/</t>
  </si>
  <si>
    <t>Found, Measured, GrowthSpree</t>
  </si>
  <si>
    <t>hashmeta.com</t>
  </si>
  <si>
    <t>Measured, Blue Array, Siege Media</t>
  </si>
  <si>
    <t>https://www.google.com/intl/en_GB/ads/publisher/partners/find-a-partner/</t>
  </si>
  <si>
    <t>hawksem.com</t>
  </si>
  <si>
    <t>Tinuiti, Polaris, Merkle, Wpromote, iCrossing</t>
  </si>
  <si>
    <t>hellogameplan.com</t>
  </si>
  <si>
    <t>https://hikemytraffic.com/ai-social-media-marketing-agencies-in-uk/</t>
  </si>
  <si>
    <t>12 Best AI social media marketing agencies in UK (2026)</t>
  </si>
  <si>
    <t>heydigital.co</t>
  </si>
  <si>
    <t>Found, NoGood, Directive Consulting, Single Grain, Omniscient Digital, Siege Media</t>
  </si>
  <si>
    <t>hubspot.com</t>
  </si>
  <si>
    <t>https://www.idhlagency.com/digital-marketing/measurement-attribution</t>
  </si>
  <si>
    <t>Push, Whitehat</t>
  </si>
  <si>
    <t>humanise.world</t>
  </si>
  <si>
    <t>Marketing Attribution Services | Marketing Attribution Agency | IDHL</t>
  </si>
  <si>
    <t>icpnet.com</t>
  </si>
  <si>
    <t>insanelogic.co.uk</t>
  </si>
  <si>
    <t>https://www.innovationvisual.com/about/partnerships/google/</t>
  </si>
  <si>
    <t>Single Grain</t>
  </si>
  <si>
    <t>UK Google Agency Partner | Specialist Expertise on Google Ads</t>
  </si>
  <si>
    <t>insideoutdigital.co.uk</t>
  </si>
  <si>
    <t>intellectyx.com</t>
  </si>
  <si>
    <t>https://londence.com/</t>
  </si>
  <si>
    <t>ipa.co.uk</t>
  </si>
  <si>
    <t>Londence | Strategic AI Advisory for UK SMEs</t>
  </si>
  <si>
    <t>iprospect.com</t>
  </si>
  <si>
    <t>https://www.loudface.co/blog/best-aeo-agencies-2026</t>
  </si>
  <si>
    <t>jake-jorgovan.com</t>
  </si>
  <si>
    <t>Best AEO &amp;amp; AI Search Agencies in 2026 (Ranked) | LoudFace</t>
  </si>
  <si>
    <t>Power Digital, The Social Shepherd, Measured, NoGood, inBeat, Disrupt Marketing</t>
  </si>
  <si>
    <t>jampictures.co.uk</t>
  </si>
  <si>
    <t>NoGood, Omniscient Digital, Siege Media, Measured</t>
  </si>
  <si>
    <t>https://nautilusmarketing.co.uk/top-15-paid-media-agencies-in-the-uk-2025/</t>
  </si>
  <si>
    <t>jellyfish.com</t>
  </si>
  <si>
    <t>k2l.co.uk</t>
  </si>
  <si>
    <t>https://neuraladx.com/top-5-geo-agencies-uk-2026-review/</t>
  </si>
  <si>
    <t>Push Group, Found, Huge, Push, Dept, Saatchi &amp; Saatchi, Gripped, The Brains, Transmission, LOCALiQ, BBH London</t>
  </si>
  <si>
    <t>kaweb.co.uk</t>
  </si>
  <si>
    <t>Top 5 GEO Agencies UK (2026 Review) - NeuralAdX Ltd</t>
  </si>
  <si>
    <t>NoGood, Push, Ninja Promo, PPC Geeks, Bind Media, Push Group, NP Digital, The Social Shepherd, Found, Koozai, Impression, inBeat, Momentum</t>
  </si>
  <si>
    <t>Found, Exposure Ninja, Measured</t>
  </si>
  <si>
    <t>kiwop.com</t>
  </si>
  <si>
    <t>https://originmediameasurement.com/</t>
  </si>
  <si>
    <t>Measured, Rockerbox, Northbeam</t>
  </si>
  <si>
    <t>knownandcited.com</t>
  </si>
  <si>
    <t>Home | Origin</t>
  </si>
  <si>
    <t>Rank4AI, Tilio</t>
  </si>
  <si>
    <t>lbbonline.com</t>
  </si>
  <si>
    <t>Measured, Kantar, Impression, Omnicom</t>
  </si>
  <si>
    <t>AMV BBDO, Huge, Omnicom</t>
  </si>
  <si>
    <t>https://www.rank4ai.co.uk/research/rankings/ai-search-agencies-for-small-business-uk/</t>
  </si>
  <si>
    <t>leadtheway.io</t>
  </si>
  <si>
    <t>AI Search Agencies for Small Business UK | Rank4AI</t>
  </si>
  <si>
    <t>learn-ai.io</t>
  </si>
  <si>
    <t>Rank4AI, Found</t>
  </si>
  <si>
    <t>https://www.rank4ai.co.uk/research/rankings/top-ai-seo-agencies-uk-2026/</t>
  </si>
  <si>
    <t>leoburnett.co.uk</t>
  </si>
  <si>
    <t>Top 10 AI Search &amp;amp; AI SEO Agencies UK 2026 | Rank4AI</t>
  </si>
  <si>
    <t>Publicis Groupe, Ogilvy, VCCP</t>
  </si>
  <si>
    <t>Rank4AI, Varn, Found, Buried Agency, Screaming Frog, Blue Array, Exposure Ninja, Hallam</t>
  </si>
  <si>
    <t>lightworksconsulting.uk</t>
  </si>
  <si>
    <t>https://www.reddit.com/r/MktgSupermarket/comments/1qom30j/compiled_a_directory_of_25_ai_marketing_agencies/</t>
  </si>
  <si>
    <t>loomdigital.co.uk</t>
  </si>
  <si>
    <t>Compiled a directory of 25 AI marketing agencies — here's the breakdown by category</t>
  </si>
  <si>
    <t>Single Grain, Superside, Dept, NoGood, Ninja Promo, Omniscient Digital, Hallam, Favoured</t>
  </si>
  <si>
    <t>https://www.reddit.com/r/aeo/comments/1sf4z2h/what_are_the_top_ai_visibility_agencies_in_the_uk/</t>
  </si>
  <si>
    <t>lunarailab.com</t>
  </si>
  <si>
    <t>what are the top AI visibility agencies in the UK? Looking for recommendations</t>
  </si>
  <si>
    <t>mapleforest.co.uk</t>
  </si>
  <si>
    <t>https://rethinkworks.co.uk/</t>
  </si>
  <si>
    <t>Rethink Works | Practical AI Services for Growing Businesses</t>
  </si>
  <si>
    <t>marketerhire.com</t>
  </si>
  <si>
    <t>Momentum, Measured, Impression, Push, inBeat, Single Grain</t>
  </si>
  <si>
    <t>marketingweek.com</t>
  </si>
  <si>
    <t>https://selectedfirms.co/companies/aeo-companies</t>
  </si>
  <si>
    <t>Adam&amp;eveDDB, Saatchi &amp; Saatchi</t>
  </si>
  <si>
    <t>marketri.com</t>
  </si>
  <si>
    <t>Top AEO Companies Companies (2026) — SelectedFirms</t>
  </si>
  <si>
    <t>Huge, Disrupt Marketing</t>
  </si>
  <si>
    <t>martal.ca</t>
  </si>
  <si>
    <t>Found, Momentum, Impression, Whitehat, 9AM</t>
  </si>
  <si>
    <t>https://sellforte.com/blog/what-is-incrementality-testing</t>
  </si>
  <si>
    <t>Found, Dentsu, Measured, Push</t>
  </si>
  <si>
    <t>martechoutlook.com</t>
  </si>
  <si>
    <t>What is Incrementality Testing? Guide for Marketers</t>
  </si>
  <si>
    <t>Sellforte, Huge, Measured, Found</t>
  </si>
  <si>
    <t>Push, Impression</t>
  </si>
  <si>
    <t>https://www.seo.com/agency/best-digital-marketing-companies-uk/</t>
  </si>
  <si>
    <t>matomo.org</t>
  </si>
  <si>
    <t>measuremindsgroup.com</t>
  </si>
  <si>
    <t>The 10 Best Digital Marketing Companies in the UK in 2026</t>
  </si>
  <si>
    <t>mediaaddict.co.uk</t>
  </si>
  <si>
    <t>WebFX, M3.agency, The SEO Works, Ninja Promo</t>
  </si>
  <si>
    <t>https://weframetech.com/blog/top-ai-marketing-agencies-in-london-2026-for-growth</t>
  </si>
  <si>
    <t>mediascape.ltd.uk</t>
  </si>
  <si>
    <t>London’s 7 Best AI Marketing Agencies to Boost Growth 2026</t>
  </si>
  <si>
    <t>9AM, Huge</t>
  </si>
  <si>
    <t>mediaworxfilms.com</t>
  </si>
  <si>
    <t>Koozai, Open Partners, Propeller</t>
  </si>
  <si>
    <t>AKQA, Saatchi &amp; Saatchi, VCCP, Ogilvy, WPP, Mother London, Publicis Groupe</t>
  </si>
  <si>
    <t>https://www.wmtips.com/technologies/marketing-attribution/country/gb/</t>
  </si>
  <si>
    <t>microsoft.com</t>
  </si>
  <si>
    <t>Bot check</t>
  </si>
  <si>
    <t>mint.ai</t>
  </si>
  <si>
    <t>https://www.aeodirectory.com/aeo/search/?country=United+Kingdom&amp;page=7</t>
  </si>
  <si>
    <t>mitochonpixel.co.uk</t>
  </si>
  <si>
    <t>PwC, Deloitte Digital</t>
  </si>
  <si>
    <t>mma.com</t>
  </si>
  <si>
    <t>mobileappdaily.com</t>
  </si>
  <si>
    <t>https://agencies.semrush.com/list/ai-optimization/united-kingdom/enterprise-business/</t>
  </si>
  <si>
    <t>ClickSlice, The SEO Works, Impression, ROAST, Blue Array, Favoured, PwC, WebFX, Bird Marketing</t>
  </si>
  <si>
    <t>mooreks.co.uk</t>
  </si>
  <si>
    <t>Best AI Search Optimization Agencies for Enterprise Business in United Kingdom 2026 | Semrush</t>
  </si>
  <si>
    <t>Found, Measured, Click Intelligence, Momentum, The SEO Works, Gravity Global, ROAST, Huge</t>
  </si>
  <si>
    <t>mrs.digital</t>
  </si>
  <si>
    <t>https://agencies.semrush.com/list/analytics-data-science/business-professional-services/united-kingdom/</t>
  </si>
  <si>
    <t>n-ix.com</t>
  </si>
  <si>
    <t>Best B2B Services Data Analytics Services in United Kingdom 2026 | Semrush</t>
  </si>
  <si>
    <t>nalaber.com</t>
  </si>
  <si>
    <t>Found, The SEO Works, Huge, Measured</t>
  </si>
  <si>
    <t>https://www.bluearray.co.uk/agency-directory/best-google-analytics-agencies-in-the-uk/</t>
  </si>
  <si>
    <t>Found, Impression, Measured, Rise at Seven</t>
  </si>
  <si>
    <t>nealschaffer.com</t>
  </si>
  <si>
    <t>Best Google Analytics Agencies in the UK - Blue Array SEO</t>
  </si>
  <si>
    <t>nexacognition.com</t>
  </si>
  <si>
    <t>Blue Array, Bind Media, NP Digital, Launch Online, Measurelab, Artefact</t>
  </si>
  <si>
    <t>https://clutch.co/agencies/ppc/display</t>
  </si>
  <si>
    <t>nikaconsulting.co.nz</t>
  </si>
  <si>
    <t>Top Display Advertising Agencies - Jul 2026 Rankings | Clutch.co</t>
  </si>
  <si>
    <t>Ninja Promo, Soap Media, Found, The SEO Works, GA Agency</t>
  </si>
  <si>
    <t>https://copilot-experts.com/top-ai-consulting-firm/</t>
  </si>
  <si>
    <t>niracore.com</t>
  </si>
  <si>
    <t>Top 10 AI Consulting Firms in 2026 - Copilot Experts</t>
  </si>
  <si>
    <t>noirandblanco.com</t>
  </si>
  <si>
    <t>McKinsey &amp; Company, QuantumBlack, EY, PwC, Measured</t>
  </si>
  <si>
    <t>Found, The Social Shepherd, The Good Marketer, Gripped</t>
  </si>
  <si>
    <t>https://www.elevateai.co.uk/blog/ai-automation-agencies-uk-2026</t>
  </si>
  <si>
    <t>oaknorth.co.uk</t>
  </si>
  <si>
    <t>Croud, Born Social</t>
  </si>
  <si>
    <t>oakpool.xyz</t>
  </si>
  <si>
    <t>Best AI Automation Agencies UK 2026: Shortlist by Price, Proof, and SME Fit</t>
  </si>
  <si>
    <t>Impression, NoGood</t>
  </si>
  <si>
    <t>objectiveplatform.com</t>
  </si>
  <si>
    <t>Favoured, Measured</t>
  </si>
  <si>
    <t>https://www.ey.com/en_uk/services/consulting/ai-adoption</t>
  </si>
  <si>
    <t>Measured, Merkle, WPP, Analytic Partners, Kantar, Ekimetrics, Gain Theory</t>
  </si>
  <si>
    <t>ofspace.co</t>
  </si>
  <si>
    <t>AI Adoption | EY - UK</t>
  </si>
  <si>
    <t>Found, Momentum, Push</t>
  </si>
  <si>
    <t>ogilvy.com</t>
  </si>
  <si>
    <t>EY, Found, Momentum</t>
  </si>
  <si>
    <t>Found, Dentsu, WPP, Publicis Groupe, Ogilvy, Saatchi &amp; Saatchi, Omnicom</t>
  </si>
  <si>
    <t>https://www.ft.com/content/dfaff23c-9e47-43f7-8c0f-393939c1c16f</t>
  </si>
  <si>
    <t>omnibound.ai</t>
  </si>
  <si>
    <t>UK’s Leading Management Consultants 2026: the ratings</t>
  </si>
  <si>
    <t>Found, Deloitte Digital, Measured</t>
  </si>
  <si>
    <t>omnicommedia.com</t>
  </si>
  <si>
    <t>https://www.getapexanalytics.com/</t>
  </si>
  <si>
    <t>Omnicom</t>
  </si>
  <si>
    <t>oneclub.org</t>
  </si>
  <si>
    <t>Apex Analytics: Marketing Attribution &amp;amp; Incrementality Measurement</t>
  </si>
  <si>
    <t>onely.com</t>
  </si>
  <si>
    <t>Power Digital, Found, Directive Consulting, Disruptive Advertising, Ninja Promo, Single Grain, NP Digital, WebFX, Ignite Visibility, Siege Media</t>
  </si>
  <si>
    <t>https://gulftagline.ae/2025/03/06/the-5-best-advertising-and-marketing-agencies-in-the-uk/</t>
  </si>
  <si>
    <t>onlineoptimism.com</t>
  </si>
  <si>
    <t>The 5 Best Advertising and Marketing Agencies in the UK – GulfTagline Magazine</t>
  </si>
  <si>
    <t>opace.agency</t>
  </si>
  <si>
    <t>openleaf.com</t>
  </si>
  <si>
    <t>BBH London, Adam&amp;eveDDB, The Social Shepherd</t>
  </si>
  <si>
    <t>opinosis-analytics.com</t>
  </si>
  <si>
    <t>https://www.impressiondigital.com/media-solutions/measurement/</t>
  </si>
  <si>
    <t>opticomm.co.uk</t>
  </si>
  <si>
    <t>Marketing Mix Modelling Company | Ad Effectiveness Consultancy</t>
  </si>
  <si>
    <t>https://inbeat.agency/blog/top-go-to-market-agencies-uk</t>
  </si>
  <si>
    <t>osmos.ai</t>
  </si>
  <si>
    <t>15 Best UK Go-to-Market Agencies Turning Strategy Into Sales in 2026 - inBeat Agency</t>
  </si>
  <si>
    <t>Found, Impression, Nielsen, YouGov</t>
  </si>
  <si>
    <t>inBeat, Nielsen, Push, Momentum, Polaris, Found</t>
  </si>
  <si>
    <t>ourdigitalteam.com</t>
  </si>
  <si>
    <t>https://www.intellscore.uk/</t>
  </si>
  <si>
    <t>outreachz.com</t>
  </si>
  <si>
    <t>Found, Huge, NoGood, Ninja Promo, Single Grain, NP Digital, Hawke Media</t>
  </si>
  <si>
    <t>panorama-consulting.com</t>
  </si>
  <si>
    <t>https://kinesso.co.uk/services/data-tech/gmp-sales-partner/</t>
  </si>
  <si>
    <t>GMP Partner - KINESSO UK &amp;amp; IE</t>
  </si>
  <si>
    <t>pario.agency</t>
  </si>
  <si>
    <t>pearllemonleads.com</t>
  </si>
  <si>
    <t>https://www.kingsbury.io/advisory</t>
  </si>
  <si>
    <t>penji.co</t>
  </si>
  <si>
    <t>Dentsu, Ogilvy, Saatchi &amp; Saatchi</t>
  </si>
  <si>
    <t>AI Advisory Services | Strategy to Production | Kingsbury</t>
  </si>
  <si>
    <t>performancemarketingadvisors.com</t>
  </si>
  <si>
    <t>https://lengreo.com/performance-marketing-agencies-in-the-uk/</t>
  </si>
  <si>
    <t>Found, inBeat, Publicis Groupe, Nielsen, QuantumBlack, 9AM</t>
  </si>
  <si>
    <t>pgammedia.com</t>
  </si>
  <si>
    <t>pitchkitchen.com</t>
  </si>
  <si>
    <t>Unlocking Success: Top Performance Marketing Agencies in the UK</t>
  </si>
  <si>
    <t>Directive Consulting</t>
  </si>
  <si>
    <t>The Social Shepherd, Directive Consulting, The Brains, Gravity Global, Gripped</t>
  </si>
  <si>
    <t>pitchsite.io</t>
  </si>
  <si>
    <t>https://levelupleads.co.uk/best-ai-seo-agency-uk/</t>
  </si>
  <si>
    <t>position.digital</t>
  </si>
  <si>
    <t>7 Best AI SEO Agencies in the UK (2026)</t>
  </si>
  <si>
    <t>Huge, Ignite Visibility</t>
  </si>
  <si>
    <t>ppckingdom.com</t>
  </si>
  <si>
    <t>Found, Blue Array, The SEO Works, Hallam, Varn</t>
  </si>
  <si>
    <t>https://liftlab.com/platform/incrementality-testing-engine/</t>
  </si>
  <si>
    <t>prescientai.com</t>
  </si>
  <si>
    <t>Found, Measured, Sellforte, Recast, Northbeam</t>
  </si>
  <si>
    <t>Incrementality Testing &amp;amp; GEO Experimentation Platform | LiftLab</t>
  </si>
  <si>
    <t>presenc.ai</t>
  </si>
  <si>
    <t>https://liftlab.com/solutions/incrementality-testing/</t>
  </si>
  <si>
    <t>pressat.co.uk</t>
  </si>
  <si>
    <t>Incrementality Testing &amp;amp; MMM Calibration | LiftLab</t>
  </si>
  <si>
    <t>prolificnorth.co.uk</t>
  </si>
  <si>
    <t>https://www.measured.com/</t>
  </si>
  <si>
    <t>Journey Further</t>
  </si>
  <si>
    <t>promodo.com</t>
  </si>
  <si>
    <t>Measured | Media Effectiveness Platform</t>
  </si>
  <si>
    <t>Found, Impression, The SEO Works, Measured, Directive Consulting, Siege Media</t>
  </si>
  <si>
    <t>promoguy.nl</t>
  </si>
  <si>
    <t>https://megatrendsolutions.com/</t>
  </si>
  <si>
    <t>Megatrend Solutions | Independent AI Readiness Consulting</t>
  </si>
  <si>
    <t>publicisgroupeuk.com</t>
  </si>
  <si>
    <t>q5partners.com</t>
  </si>
  <si>
    <t>https://pinpoint-media.global/insights/top-5-performance-growth-agencies-in-the-uk-2026</t>
  </si>
  <si>
    <t>raddinteractive.com</t>
  </si>
  <si>
    <t>Top 5 Performance Growth Agencies in the UK for 2026 | PinPoint Media</t>
  </si>
  <si>
    <t>Impression, Huge</t>
  </si>
  <si>
    <t>PinPoint Media, Measured, Brainlabs, Jellyfish, Merkle</t>
  </si>
  <si>
    <t>radyant.io</t>
  </si>
  <si>
    <t>https://www.protiviti.com/uk-en/artificial-intelligence-services</t>
  </si>
  <si>
    <t>Found, Measured</t>
  </si>
  <si>
    <t>redcowmedia.co.uk</t>
  </si>
  <si>
    <t>Artificial Intelligence (AI) Consulting Services | Protiviti UK</t>
  </si>
  <si>
    <t>reflectdigital.co.uk</t>
  </si>
  <si>
    <t>https://www.rank4ai.co.uk/research/rankings/best-ai-search-visibility-agencies/</t>
  </si>
  <si>
    <t>repindia.com</t>
  </si>
  <si>
    <t>Best AI Search Visibility Agencies UK 2026 | Rank4AI</t>
  </si>
  <si>
    <t>reply.io</t>
  </si>
  <si>
    <t>https://www.reddit.com/r/PPC/comments/15afa5c/best_agencies_for_paid_media_ld_uk/#:~:text=In%20the%20UK%2C%20many%20big,enjoy%20the%20outstanding%20training%20programs.</t>
  </si>
  <si>
    <t>Huge, EY</t>
  </si>
  <si>
    <t>respona.com</t>
  </si>
  <si>
    <t>Best agencies for Paid Media L&amp;amp;D (UK)</t>
  </si>
  <si>
    <t>Click Intelligence, Whitehat, Power Digital, The SEO Works</t>
  </si>
  <si>
    <t>Merkle, Dentsu</t>
  </si>
  <si>
    <t>https://snowballcreations.com/the-11-top-google-ads-agencies-in-the-uk-2026/</t>
  </si>
  <si>
    <t>reverbico.com</t>
  </si>
  <si>
    <t>Momentum, NoGood, Directive Consulting, Ogilvy</t>
  </si>
  <si>
    <t>Best Google Ads Agencies in the UK: Top 11 Picks for PPC | Snowball Creations</t>
  </si>
  <si>
    <t>rightsideup.com</t>
  </si>
  <si>
    <t>Measured, Found</t>
  </si>
  <si>
    <t>The Good Marketer, Found</t>
  </si>
  <si>
    <t>rockerbox.com</t>
  </si>
  <si>
    <t>https://www.sortlist.co.uk/s/ai-marketing/greater-london-england-gb</t>
  </si>
  <si>
    <t>Rockerbox</t>
  </si>
  <si>
    <t>saleshive.com</t>
  </si>
  <si>
    <t>The 10 Best AI Marketing Companies in Greater London - 2026 Reviews</t>
  </si>
  <si>
    <t>Push, Ruler Analytics, Impression</t>
  </si>
  <si>
    <t>scaleforte.co.uk</t>
  </si>
  <si>
    <t>https://www.sortlist.co.uk/s/paid-media/england-england-gb</t>
  </si>
  <si>
    <t>scalewithfuture.com</t>
  </si>
  <si>
    <t>The 10 Best Paid Media Agencies in England - 2026 Reviews</t>
  </si>
  <si>
    <t>Push, Triple Whale, Northbeam, Found, Momentum, M3.agency, McKinsey &amp; Company</t>
  </si>
  <si>
    <t>https://www.sortlist.com/display-advertising</t>
  </si>
  <si>
    <t>scalixai.com</t>
  </si>
  <si>
    <t>Found, NoGood, Wpromote, Single Grain, Common Thread Collective, Omniscient Digital, Darkroom</t>
  </si>
  <si>
    <t>The 100 Best Display Advertising Agencies - 2026 Reviews</t>
  </si>
  <si>
    <t>searchable.com</t>
  </si>
  <si>
    <t>https://startups.co.uk/marketing/best-social-media-marketing-agencies-uk/</t>
  </si>
  <si>
    <t>searchbloom.com</t>
  </si>
  <si>
    <t>Tinuiti, The SEO Works, Single Grain, Omniscient Digital, Siege Media</t>
  </si>
  <si>
    <t>10 Best social media marketing agencies in the UK | Startups.co.uk</t>
  </si>
  <si>
    <t>semfirms.com</t>
  </si>
  <si>
    <t>Bird Marketing</t>
  </si>
  <si>
    <t>We Are Social, Favoured, Huge</t>
  </si>
  <si>
    <t>seo-london.com</t>
  </si>
  <si>
    <t>https://www.techradar.com/pro/how-to-use-an-aeo-tool-for-your-small-business</t>
  </si>
  <si>
    <t>Found, ClickSlice</t>
  </si>
  <si>
    <t>seo-ranks.co.uk</t>
  </si>
  <si>
    <t>How to use an AEO tool for your small business | TechRadar</t>
  </si>
  <si>
    <t>Genie Crawl, Measured, Click Intelligence, Found, The SEO Works</t>
  </si>
  <si>
    <t>seoworks.co.uk</t>
  </si>
  <si>
    <t>Huge, The SEO Works</t>
  </si>
  <si>
    <t>sevenatoms.com</t>
  </si>
  <si>
    <t>https://thegoodmarketer.co.uk/</t>
  </si>
  <si>
    <t>Huge, Deloitte Digital, PPC Geeks</t>
  </si>
  <si>
    <t>shopify.com</t>
  </si>
  <si>
    <t>Digital Marketing Agency London | The Good Marketer</t>
  </si>
  <si>
    <t>siegemedia.com</t>
  </si>
  <si>
    <t>https://visarc.uk/services/digital-marketing-agency/display-advertising-agency/</t>
  </si>
  <si>
    <t>Power Digital, Found, Single Grain, NP Digital, Omniscient Digital, Siege Media</t>
  </si>
  <si>
    <t>signaldepth.com</t>
  </si>
  <si>
    <t>Display Advertising Agency UK, Remarketing Specialist | Visarc</t>
  </si>
  <si>
    <t>singleframe.co.uk</t>
  </si>
  <si>
    <t>https://www.warc.com/en/data-benchmarks/rankings-creative-100-overview</t>
  </si>
  <si>
    <t>slateandmortar.com</t>
  </si>
  <si>
    <t>Creative 100 Overview</t>
  </si>
  <si>
    <t>softwareadvice.co.uk</t>
  </si>
  <si>
    <t>Ogilvy, WPP, Omnicom</t>
  </si>
  <si>
    <t>https://www.warc.com/en/rankings/creative-100</t>
  </si>
  <si>
    <t>sogolytics.com</t>
  </si>
  <si>
    <t>WPP, Push, Kantar, Nielsen, YouGov</t>
  </si>
  <si>
    <t>https://zipdo.co/service/attribution/</t>
  </si>
  <si>
    <t>spaceandtime.co.uk</t>
  </si>
  <si>
    <t>Top 10 Best Attribution Services (2026 Expert Review)</t>
  </si>
  <si>
    <t>Kantar, Nielsen, PwC, Merkle, WPP, Publicis Groupe, Impression</t>
  </si>
  <si>
    <t>spotlightgb.co</t>
  </si>
  <si>
    <t>https://aireadinesspartner.com/</t>
  </si>
  <si>
    <t>sqdigital.co.uk</t>
  </si>
  <si>
    <t>AI Readiness Audit &amp;amp; Consultancy UK | AI Readiness Partner</t>
  </si>
  <si>
    <t>stackadapt.com</t>
  </si>
  <si>
    <t>https://bark.london/</t>
  </si>
  <si>
    <t>stamp.productions</t>
  </si>
  <si>
    <t>Performance Marketing Agency London | Bark.London</t>
  </si>
  <si>
    <t>starfishco.com</t>
  </si>
  <si>
    <t>Bark London</t>
  </si>
  <si>
    <t>https://bestwebdevelopers.co.uk/display-advertising/</t>
  </si>
  <si>
    <t>Found, Impression, Momentum, Superside</t>
  </si>
  <si>
    <t>sugarnova.com</t>
  </si>
  <si>
    <t>The Best Display Advertising Agencies in UK</t>
  </si>
  <si>
    <t>susodigital.com</t>
  </si>
  <si>
    <t>Found, Blue Array, WebFX, Ignite Visibility</t>
  </si>
  <si>
    <t>synapgrowth.agency</t>
  </si>
  <si>
    <t>https://bigspring.co.uk/</t>
  </si>
  <si>
    <t>synscribe.com</t>
  </si>
  <si>
    <t>Saatchi &amp; Saatchi</t>
  </si>
  <si>
    <t>B2B Digital Marketing Agency \| Multi-Award Winning \| Hallam</t>
  </si>
  <si>
    <t>syntermedia.ai</t>
  </si>
  <si>
    <t>Found, Impression, Push, Ruler Analytics, Triple Whale, Cometly, SegmentStream</t>
  </si>
  <si>
    <t>https://birdeye.com/blog/ai-companies-uk/</t>
  </si>
  <si>
    <t>tabular.email</t>
  </si>
  <si>
    <t>talisman-ai.co.uk</t>
  </si>
  <si>
    <t>AI for Multi-Location Marketing UK: Top 11 Platforms (2026)</t>
  </si>
  <si>
    <t>taylorherring.com</t>
  </si>
  <si>
    <t>https://clutch.co/agencies/performance-marketing</t>
  </si>
  <si>
    <t>Top Performance Marketing Agencies - Jul 2026 Rankings | Clutch.co</t>
  </si>
  <si>
    <t>teamai.com</t>
  </si>
  <si>
    <t>Disruptive Advertising, Launch Online, Found, Momentum, GA Agency</t>
  </si>
  <si>
    <t>https://clutch.co/agencies/ppc/display/uk?page=1</t>
  </si>
  <si>
    <t>technologyarch.com</t>
  </si>
  <si>
    <t>Page 2 - Top Display Advertising Services in the United Kingdom - Jul 2026 Rankings \| Clutch.co</t>
  </si>
  <si>
    <t>theadlounge.co.uk</t>
  </si>
  <si>
    <t>https://www.cometly.com/post/incrementality-measurement-tool</t>
  </si>
  <si>
    <t>9 Best Incrementality Measurement Tools: 2026 Guide</t>
  </si>
  <si>
    <t>theatdb.com</t>
  </si>
  <si>
    <t>Cometly, Measured, Rockerbox, Northbeam, Recast, Haus</t>
  </si>
  <si>
    <t>https://www.creativecircle.co.uk/rankings</t>
  </si>
  <si>
    <t>Dentsu, AMV BBDO, Omnicom</t>
  </si>
  <si>
    <t>thebusinessjournal.co.uk</t>
  </si>
  <si>
    <t>Creative Circle Rankings | Creative Circle</t>
  </si>
  <si>
    <t>Hallam, Impression, The SEO Works, Passion Digital, Measured, Builtvisible</t>
  </si>
  <si>
    <t>thecmo.com</t>
  </si>
  <si>
    <t>INSTITUTIONAL</t>
  </si>
  <si>
    <t>Found, Huge, Push, Ruler Analytics, Triple Whale, Neustar</t>
  </si>
  <si>
    <t>Uncommon Creative Studio, BBH London, Saatchi &amp; Saatchi, VCCP</t>
  </si>
  <si>
    <t>https://www.designrush.com/agency/social-media-marketing/uk</t>
  </si>
  <si>
    <t>thedca.co</t>
  </si>
  <si>
    <t>ROAST</t>
  </si>
  <si>
    <t>Top Social Media Marketing Companies in the United Kingdom | 2026</t>
  </si>
  <si>
    <t>thedigitalelevator.com</t>
  </si>
  <si>
    <t>WebFX, Nielsen, Bird Marketing, Genie Crawl, Favoured, Impression, The SEO Works</t>
  </si>
  <si>
    <t>Directive Consulting, Siege Media</t>
  </si>
  <si>
    <t>https://digitalmarketingsupermarket.com/blog/best-ai-marketing-agencies-2026/</t>
  </si>
  <si>
    <t>theguardian.com</t>
  </si>
  <si>
    <t>Huge, WPP, Publicis Groupe, Ogilvy, Omnicom, AKQA</t>
  </si>
  <si>
    <t>thekeenfolks.com</t>
  </si>
  <si>
    <t>Best AI Marketing Agencies: The Definitive 2026 Guide to Finding Your Perfect Partner - Digital Marketing Supermarket</t>
  </si>
  <si>
    <t>Croud, Tinuiti, Disruptive Advertising, Dept, WebFX, Ignite Visibility</t>
  </si>
  <si>
    <t>thelaneagency.com</t>
  </si>
  <si>
    <t>Superside, Single Grain, Dept, NoGood, Ninja Promo, Omniscient Digital, Hallam, Favoured</t>
  </si>
  <si>
    <t>https://directiveconsulting.com/uk/blog/25-best-paid-media-agencies-that-turn-ad-spend-into-revenue/</t>
  </si>
  <si>
    <t>thelogocreative.co.uk</t>
  </si>
  <si>
    <t>25 Best Paid Media Agencies For B2B - Directive</t>
  </si>
  <si>
    <t>themartechsummit.com</t>
  </si>
  <si>
    <t>Directive Consulting, Jellyfish, Brainlabs, Dept, Wpromote, Merkle, WebFX, Disruptive Advertising, Dentsu, Impression</t>
  </si>
  <si>
    <t>https://www.ecomone.com/insights/best-ppc-agencies/</t>
  </si>
  <si>
    <t>themill.com</t>
  </si>
  <si>
    <t>Top 10 Best PPC Agencies in the UK | eComOne</t>
  </si>
  <si>
    <t>Found, Brainlabs, Bind Media, Propeller, ROAST, Push, Push Group, The Social Shepherd</t>
  </si>
  <si>
    <t>thetradedesk.com</t>
  </si>
  <si>
    <t>https://enterprisemarketingportal.google/work-with-partners</t>
  </si>
  <si>
    <t>thewowcompany.com</t>
  </si>
  <si>
    <t>Work with Partners</t>
  </si>
  <si>
    <t>Croud, Journey Further, Born Social, Rise at Seven</t>
  </si>
  <si>
    <t>https://www.found.co.uk/blog/best-generative-engine-optimisation-agencies/</t>
  </si>
  <si>
    <t>thinkwithalec.com</t>
  </si>
  <si>
    <t>The Best Generative Engine Optimisation (GEO) Agencies 2026 \| Found</t>
  </si>
  <si>
    <t>Found, Jellyfish, Propellernet, Propeller, Hallam</t>
  </si>
  <si>
    <t>thriveagency.com</t>
  </si>
  <si>
    <t>https://fusepointinsights.com/service/incrementality-experiments/</t>
  </si>
  <si>
    <t>tillison.co.uk</t>
  </si>
  <si>
    <t>Incrementality Experiments for Marketing Measurement | fusepoint</t>
  </si>
  <si>
    <t>tinuiti.com</t>
  </si>
  <si>
    <t>https://www.goodfirms.co/advertising-companies/creative/uk</t>
  </si>
  <si>
    <t>Tinuiti, Measured, Push</t>
  </si>
  <si>
    <t>tivradigital.co.uk</t>
  </si>
  <si>
    <t>Top Creative Agencies in the United Kingdom - 2026 Reviews | Goodfirms</t>
  </si>
  <si>
    <t>Haus, Found</t>
  </si>
  <si>
    <t>https://www.goodfirms.co/directory/country/top-digital-marketing-companies/advertising-ppc/uk</t>
  </si>
  <si>
    <t>tofuhq.com</t>
  </si>
  <si>
    <t>Top PPC Agencies in the UK - 2026 Reviews | Goodfirms</t>
  </si>
  <si>
    <t>topgeoagencies.com</t>
  </si>
  <si>
    <t>WebFX, The SEO Works, Bird Marketing, Push, Found</t>
  </si>
  <si>
    <t>https://www.google.com/partners</t>
  </si>
  <si>
    <t>tripledart.com</t>
  </si>
  <si>
    <t>https://www.ie.edu/uncover-ie/the-big-six-agencies-marcom-ie-business-school/</t>
  </si>
  <si>
    <t>Measured, NoGood, Whitehat, Omniscient Digital, WebFX, Siege Media</t>
  </si>
  <si>
    <t>trustpilot.com</t>
  </si>
  <si>
    <t>Big Six Agency Networks: Owners, Brands &amp;amp; Services (2026)</t>
  </si>
  <si>
    <t>tryinhouse.co</t>
  </si>
  <si>
    <t>WPP, Omnicom, Dentsu, Ogilvy, GroupM, Publicis Groupe, Saatchi &amp; Saatchi, BBH London, Merkle</t>
  </si>
  <si>
    <t>https://www.inbeat.co/articles/marketing-agencies-in-uk/</t>
  </si>
  <si>
    <t>ukagencies.co.uk</t>
  </si>
  <si>
    <t>16 Best Marketing Agencies in the UK as of 2026</t>
  </si>
  <si>
    <t>understoryagency.com</t>
  </si>
  <si>
    <t>inBeat, M3.agency, Dept, Ninja Promo, Nielsen, iCrossing, NP Digital, Push, Huge, Found, Make Agency</t>
  </si>
  <si>
    <t>https://www.journeyfurther.com/en-gb/solutions/marketing-science#:~:text=Diagnose,Focus%20where%20it%20matters</t>
  </si>
  <si>
    <t>unusualgroup.com</t>
  </si>
  <si>
    <t>Marketing Science | Journey Further UK</t>
  </si>
  <si>
    <t>updigital.co.uk</t>
  </si>
  <si>
    <t>Momentum, Kantar, YouGov, Journey Further, Found</t>
  </si>
  <si>
    <t>Bind Media</t>
  </si>
  <si>
    <t>https://www.kingsbury.io/</t>
  </si>
  <si>
    <t>upscale-digital.com</t>
  </si>
  <si>
    <t>Kingsbury | AI that ships. Strategy and systems from the same team.</t>
  </si>
  <si>
    <t>Measured, Kantar</t>
  </si>
  <si>
    <t>urbanmedia.co.uk</t>
  </si>
  <si>
    <t>https://www.kometadvisory.com/</t>
  </si>
  <si>
    <t>usercentrics.com</t>
  </si>
  <si>
    <t>Komet Advisory — AI transformation for industrial SMBs</t>
  </si>
  <si>
    <t>vedaai.co.uk</t>
  </si>
  <si>
    <t>https://www.magnetic-london.co.uk/post/best-digital-marketing-agencies-in-the-uk-for-2026-what-they-do-why-it-matters-and-top-picks</t>
  </si>
  <si>
    <t>verdtek.com</t>
  </si>
  <si>
    <t>Best Digital Marketing Agencies in the UK for 2026: What They Do, Why It Matters, and Top Picks</t>
  </si>
  <si>
    <t>vertius.com</t>
  </si>
  <si>
    <t>Push, Hallam, Impression, M3.agency, Brainlabs</t>
  </si>
  <si>
    <t>vibebranding.com</t>
  </si>
  <si>
    <t>https://www.marketingattribution.com/</t>
  </si>
  <si>
    <t>Found, Impression, Momentum</t>
  </si>
  <si>
    <t>Know What Works | Marketing Attribution</t>
  </si>
  <si>
    <t>videofactory.agency</t>
  </si>
  <si>
    <t>virayo.com</t>
  </si>
  <si>
    <t>Siege Media, Directive Consulting, WebFX</t>
  </si>
  <si>
    <t>https://marketingplatform.google.com/intl/en_uk/about/</t>
  </si>
  <si>
    <t>visuosofts.com</t>
  </si>
  <si>
    <t>Found, ClickSlice, Passion Digital, Push, Born Social, WebFX, Social Chain</t>
  </si>
  <si>
    <t>Google Marketing Platform – Unified Advertising and Analytics</t>
  </si>
  <si>
    <t>wagada.co.uk</t>
  </si>
  <si>
    <t>https://ninjapromo.io/top-digital-marketing-agencies-in-the-uk</t>
  </si>
  <si>
    <t>walkeragency.co.uk</t>
  </si>
  <si>
    <t>14 Best Digital Marketing Agencies in the UK for 2026</t>
  </si>
  <si>
    <t>wamdigital.com</t>
  </si>
  <si>
    <t>Ninja Promo, Publicis Groupe, Push, Push Group, Impression, LOCALiQ, Passion Digital, Dept</t>
  </si>
  <si>
    <t>Superside, Dept</t>
  </si>
  <si>
    <t>https://www.nutshell.com/blog/top-geo-agencies</t>
  </si>
  <si>
    <t>weareamnet.com</t>
  </si>
  <si>
    <t>The 10 Top GEO Agencies of 2026 (Reviewed)</t>
  </si>
  <si>
    <t>wearema.com</t>
  </si>
  <si>
    <t>WebFX, Siege Media, The SEO Works</t>
  </si>
  <si>
    <t>https://www.phable.io/top-branding-agencies/top-branding-agencies-in-the-uk-2025-leaders-in-creative-identity</t>
  </si>
  <si>
    <t>wearemetric.co.uk</t>
  </si>
  <si>
    <t>weareqry.com</t>
  </si>
  <si>
    <t>Top Branding Agencies for Technology Companies in the UK in 2026: 12 Firms Reviewed by Specialism, Stage and Fit — Branding And Content Marketing For Technology</t>
  </si>
  <si>
    <t>Power Digital, Tinuiti, Polaris, Wpromote, Single Grain, WebFX, Omnicom, Disrupt Marketing</t>
  </si>
  <si>
    <t>web-in-a-click.com</t>
  </si>
  <si>
    <t>Hallam, Propeller, Disrupt Marketing, Favoured</t>
  </si>
  <si>
    <t>webdesignreviews.co.uk</t>
  </si>
  <si>
    <t>https://www.phable.io/top-branding-agencies/top-branding-agencies-in-the-uk-experts-in-building-iconic-identities</t>
  </si>
  <si>
    <t>AKQA, Ninja Promo, Bird Marketing, WPP</t>
  </si>
  <si>
    <t>webfx.com</t>
  </si>
  <si>
    <t>Top Branding Agencies in the UK | Leaders in Building Iconic Identities — Branding And Content Marketing For Technology</t>
  </si>
  <si>
    <t>The SEO Works, WebFX</t>
  </si>
  <si>
    <t>Momentum, Further Group</t>
  </si>
  <si>
    <t>welcometothejungle.com</t>
  </si>
  <si>
    <t>https://ppcgeeks.co.uk/ppc/programmatic-advertising-companies/</t>
  </si>
  <si>
    <t>Ekimetrics, Transmission</t>
  </si>
  <si>
    <t>7 Top Programmatic Advertising Companies in the UK (2026) - PPC Geeks Blog</t>
  </si>
  <si>
    <t>wested.org</t>
  </si>
  <si>
    <t>PPC Geeks, Measured, Found</t>
  </si>
  <si>
    <t>https://prod-dentsu-website-afd-ep-dcdpenekezfnd0hn.a02.azurefd.net/uk/en/marketing-effectiveness</t>
  </si>
  <si>
    <t>whito.co.uk</t>
  </si>
  <si>
    <t>Found, Measured, Tilio, Whitehat</t>
  </si>
  <si>
    <t>wifitalents.com</t>
  </si>
  <si>
    <t>Momentum, PwC</t>
  </si>
  <si>
    <t>workingmedia.com</t>
  </si>
  <si>
    <t>https://www.richclicks.co.uk/services/ai-adoption</t>
  </si>
  <si>
    <t>workmagic.io</t>
  </si>
  <si>
    <t>AI Consulting &amp;amp; Adoption for Businesses | Richclicks</t>
  </si>
  <si>
    <t>xanthosdigital.com</t>
  </si>
  <si>
    <t>https://www.ruleranalytics.com/</t>
  </si>
  <si>
    <t>xo3d.co.uk</t>
  </si>
  <si>
    <t>Unified Marketing Measurement, Attribution &amp;amp; AI | Ruler Analytics</t>
  </si>
  <si>
    <t>yell.com</t>
  </si>
  <si>
    <t>yesoptimist.com</t>
  </si>
  <si>
    <t>Impression, Ruler Analytics</t>
  </si>
  <si>
    <t>https://socialchameleon.com/30-marketing-agencies-uk/</t>
  </si>
  <si>
    <t>Found, Measured, Omniscient Digital, Siege Media</t>
  </si>
  <si>
    <t>zealcreative.com</t>
  </si>
  <si>
    <t>Top 30 Marketing Agencies in the UK | Social Chameleon</t>
  </si>
  <si>
    <t>zetaglobal.com</t>
  </si>
  <si>
    <t>Found, Impression, Measured</t>
  </si>
  <si>
    <t>Found, Ogilvy, Huge, BBH London, Dentsu, Mother London, Screaming Frog, The Good Marketer</t>
  </si>
  <si>
    <t>https://www.sortlist.co.uk/branding/united-kingdom-gb</t>
  </si>
  <si>
    <t>zoominfo.com</t>
  </si>
  <si>
    <t>The 10 Best Branding Agencies in The United Kingdom - 2026 Reviews</t>
  </si>
  <si>
    <t>zyppy.com</t>
  </si>
  <si>
    <t>https://www.sortlist.co.uk/digital-marketing/united-kingdom-gb</t>
  </si>
  <si>
    <t>Blue Array</t>
  </si>
  <si>
    <t>100+ Top Digital Marketing Agencies in the UK - 2026 Reviews</t>
  </si>
  <si>
    <t>Found, Momentum, M3.agency</t>
  </si>
  <si>
    <t>https://www.sortlist.co.uk/media-planning/united-kingdom-gb</t>
  </si>
  <si>
    <t>The 10 Best Media Agencies in The United Kingdom - 2026 Reviews</t>
  </si>
  <si>
    <t>Momentum, M3.agency, Ninja Promo, YouGov, Kantar</t>
  </si>
  <si>
    <t>https://www.sortlist.co.uk/s/attribution-marketing/united-kingdom-gb</t>
  </si>
  <si>
    <t>The 10 Best Attribution Marketing Agencies in The United Kingdom - 2026 Reviews</t>
  </si>
  <si>
    <t>https://www.sortlist.com/i/s/data-driven-marketing/united-kingdom-gb</t>
  </si>
  <si>
    <t>The 10 Best Data Driven Marketing Agencies in The United Kingdom - 2026 Reviews</t>
  </si>
  <si>
    <t>Momentum, M3.agency, Ninja Promo, Bird Marketing</t>
  </si>
  <si>
    <t>https://submerge.digital/measurement/marketing-attribution-agency/</t>
  </si>
  <si>
    <t>Marketing Attribution Agency - Powering Insights - Submerge</t>
  </si>
  <si>
    <t>https://sunnypatel.co.uk/blog/top-geo-agencies/#:~:text=Rise%20at%20Seven%3A%20Best%20for,to%20earn%20national%20press%20coverage.</t>
  </si>
  <si>
    <t>Top GEO Agencies UK 2026: Generative Engine Specialists | Sunny Patel</t>
  </si>
  <si>
    <t>Rise at Seven, Builtvisible, Impression, Measured</t>
  </si>
  <si>
    <t>https://www.superside.com/blog/ai-powered-agencies</t>
  </si>
  <si>
    <t>10 AI-Powered Agencies Blending Automation and Creativity in 2026</t>
  </si>
  <si>
    <t>Superside, PwC, Found, Jellyfish, Brandtech, VCCP, NoGood, Impression</t>
  </si>
  <si>
    <t>https://www.the7stars.co.uk/blog/the7stars-becomes-a-google-marketing-platform-certified-partner/</t>
  </si>
  <si>
    <t>the7stars | The UKs largest Independent Media Agency | the7stars</t>
  </si>
  <si>
    <t>https://www.thedrum.com/news/world-creative-rankings-2026-several-dublin-agencies-break-into-uk-ireland-top-spots</t>
  </si>
  <si>
    <t>World Creative Rankings 2026: Dublin agencies break into UK &amp;amp; Ireland top spots | The Drum</t>
  </si>
  <si>
    <t>Omnicom, AMV BBDO, Adam&amp;eveDDB, VCCP, BBH London</t>
  </si>
  <si>
    <t>https://therubiconagency.com/technology-marketing-blog/top-10-b2b-ppc-agencies-uk/</t>
  </si>
  <si>
    <t>Top 10 B2B PPC Agencies in the UK (2026 Guide)</t>
  </si>
  <si>
    <t>Measured, Gripped, Brainlabs, Soap Media, Directive Consulting</t>
  </si>
  <si>
    <t>https://thesocialshepherd.com/blog/creative-agencies-uk</t>
  </si>
  <si>
    <t>The Social Shepherd | Top 17 Creative Agencies in the UK (2022)</t>
  </si>
  <si>
    <t>The Social Shepherd, Rise at Seven</t>
  </si>
  <si>
    <t>https://www.topseobrands.com/uk/london/best-display-advertising-firms</t>
  </si>
  <si>
    <t>Best Display Advertising Firms in London | Top SEO Brands</t>
  </si>
  <si>
    <t>https://ukpaidmediaawards.co.uk/2026-winners/</t>
  </si>
  <si>
    <t>2026 Winners | UK Paid Media Awards</t>
  </si>
  <si>
    <t>Propellernet, Push, LOCALiQ, Momentum, Huge</t>
  </si>
  <si>
    <t>https://aiconsultingfirms.co.uk/</t>
  </si>
  <si>
    <t>AI Consulting Firms \| Strategic AI Planning &amp; Implementation</t>
  </si>
  <si>
    <t>https://arramton.com/blogs/performance-marketing-agencies</t>
  </si>
  <si>
    <t>Top Performance Marketing Agencies in the UK \| 2025 Guide</t>
  </si>
  <si>
    <t>Impression, Found, Croud, Gravity Global, Push, Push Group</t>
  </si>
  <si>
    <t>https://business.google.com/en-all/support/work-with-a-partner/?hl=uk</t>
  </si>
  <si>
    <t>https://clutch.co/agencies/branding/uk</t>
  </si>
  <si>
    <t>Top Branding Agencies in the United Kingdom - Jul 2026 Rankings \| Clutch.co</t>
  </si>
  <si>
    <t>Chello, Impression, Polaris, Favoured, Found</t>
  </si>
  <si>
    <t>https://clutch.co/agencies/ppc/advertising-industry/uk</t>
  </si>
  <si>
    <t>Top PPC Agencies for Ad Agencies in the United Kingdom - Jul 2026 Rankings \| Clutch.co</t>
  </si>
  <si>
    <t>Launch Online, Ninja Promo, M3.agency, ClickSlice, Gripped, Genie Crawl, Impression</t>
  </si>
  <si>
    <t>https://clutch.co/agencies/ppc/display/uk/england/london</t>
  </si>
  <si>
    <t>Top Display Advertising Agencies - Jul 2026 Rankings \| Clutch.co</t>
  </si>
  <si>
    <t>Ninja Promo, Soap Media, Huge, Found, The SEO Works, GA Agency</t>
  </si>
  <si>
    <t>https://www.designrush.com/agency/ad-agencies/uk</t>
  </si>
  <si>
    <t>Top Advertising Agencies in the United Kingdom | 2026</t>
  </si>
  <si>
    <t>Favoured, PPC Geeks, Passion Digital</t>
  </si>
  <si>
    <t>https://www.experian.com/business/solutions/marketing-solutions/marketing-measurement-tools</t>
  </si>
  <si>
    <t>Marketing measurement and attribution solutions | Experian</t>
  </si>
  <si>
    <t>https://www.found.co.uk/about-us/awards/</t>
  </si>
  <si>
    <t>Digital Marketing Awards &amp;amp; Accreditations | Found</t>
  </si>
  <si>
    <t>https://www.getapp.co.uk/software/103447/agency-analytics</t>
  </si>
  <si>
    <t>AgencyAnalytics Reviews, Prices &amp; Ratings \| GetApp UK 2026</t>
  </si>
  <si>
    <t>Huge, Found</t>
  </si>
  <si>
    <t>https://www.google.co.uk/intl/en-GB/ads/publisher/partners/</t>
  </si>
  <si>
    <t>https://www.impressiondigital.com/about/google-partner-agency/</t>
  </si>
  <si>
    <t>Google Premier Partner Agency | Google Partner | Impression</t>
  </si>
  <si>
    <t>https://linea-analytics.com/articles/best-marketing-mix-modeling-tools-uk/article.html</t>
  </si>
  <si>
    <t>Linea Analytics - Top 6 Marketing Mix Modelling Tools for UK Brands in 2026</t>
  </si>
  <si>
    <t>https://macreativeag.com/digital-marketing/uk-top-digital-marketing-agencies/</t>
  </si>
  <si>
    <t>Top 10 Digital Marketing Agencies in the UK (2026) - Best for Startups &amp;amp; SMEs</t>
  </si>
  <si>
    <t>WebFX, Disruptive Advertising, Ninja Promo, Ignite Visibility, The Social Shepherd, Found, Gripped</t>
  </si>
  <si>
    <t>https://www.marketingagencyindex.com/uk/services/ppc</t>
  </si>
  <si>
    <t>Best PPC Agencies in the UK | Agency Index</t>
  </si>
  <si>
    <t>https://www.marketingmary.ai/blog/marketing-attribution-models-guide</t>
  </si>
  <si>
    <t>Marketing Attribution Models 2026: Multi-Touch vs Last Click</t>
  </si>
  <si>
    <t>https://marketingplatform.google.com/about/partners/?authuser=1</t>
  </si>
  <si>
    <t>Meet Your New Marketing Partner - Google Marketing Platform Partners</t>
  </si>
  <si>
    <t>https://marketingplatform.google.com/intl/en_uk/about/support/</t>
  </si>
  <si>
    <t>Services and Support – Google Marketing Platform</t>
  </si>
  <si>
    <t>https://www.measured.com/incremental-lift-tests/</t>
  </si>
  <si>
    <t>Measured: Incrementality Testing</t>
  </si>
  <si>
    <t>https://www.measurelab.co.uk/</t>
  </si>
  <si>
    <t>Measurelab: Trusted data, intelligent decisions</t>
  </si>
  <si>
    <t>https://nogood.io/blog/performance-marketing-agencies/</t>
  </si>
  <si>
    <t>Top Performance Marketing Agencies in 2026 | NoGood</t>
  </si>
  <si>
    <t>NoGood, inBeat, Ignite Visibility, Disruptive Advertising, Wpromote, Power Digital, Monks, Measured, Found, Directive Consulting, Huge</t>
  </si>
  <si>
    <t>https://nogood.io/blog/social-media-marketing-agency-london/</t>
  </si>
  <si>
    <t>Top 10 Social Media Marketing Agencies London (2026) | NoGood</t>
  </si>
  <si>
    <t>NoGood, Social Chain, The Social Shepherd, Born Social, Make Agency</t>
  </si>
  <si>
    <t>https://oyik.ai/automation/the-top-consulting-firms-in-the-uk-for-ai-gen-ai-services/</t>
  </si>
  <si>
    <t>Top AI Consulting Firms in the UK | Oyik.AI</t>
  </si>
  <si>
    <t>https://paramark.com/incrementality-testing</t>
  </si>
  <si>
    <t>Bridge Gaps with Incrementality Testing: Experimentation with Paramark</t>
  </si>
  <si>
    <t>https://passion.digital/services/ai-search/#:~:text=Make%20sure%20when%20your%20customers%20ask%20a,%E2%9C%93%20Always%2Don%20alignment%3A%20%2D%20%E2%9C%93%20Proven%20performance%3A</t>
  </si>
  <si>
    <t>GEO Agency London | AI SEO Agency | Passion Digital</t>
  </si>
  <si>
    <t>Passion Digital</t>
  </si>
  <si>
    <t>https://piperocket.digital/list/best-paid-social-agencies/</t>
  </si>
  <si>
    <t>9 Best Paid Social Agencies for 2026 (Honest Review)</t>
  </si>
  <si>
    <t>Directive Consulting, NoGood, Measured</t>
  </si>
  <si>
    <t>https://www.reddit.com/r/LLMTraffic/comments/1t44tn7/which_geo_marketing_agencies_are_actually_worth/</t>
  </si>
  <si>
    <t>Which "GEO marketing" agencies are actually worth talking to?</t>
  </si>
  <si>
    <t>9AM, Measured</t>
  </si>
  <si>
    <t>https://www.reddit.com/r/PPC/comments/1tkc7rr/which_ppc_agencies_are_actually_considered_the/</t>
  </si>
  <si>
    <t>Which PPC agencies are actually considered the best right now?</t>
  </si>
  <si>
    <t>Dentsu, Measured, WPP, Omnicom</t>
  </si>
  <si>
    <t>https://www.reddit.com/r/agency/comments/1ok212i/performance_marketing_incrementality/</t>
  </si>
  <si>
    <t>Performance Marketing Incrementality</t>
  </si>
  <si>
    <t>Haus, Measured, Found, Recast, Impression</t>
  </si>
  <si>
    <t>https://riseup.agency/data-analytics/</t>
  </si>
  <si>
    <t>Marketing Analytics Agency | Attribution &amp;amp; GA4 | RiseUp</t>
  </si>
  <si>
    <t>https://www.rzlt.io/blog/best-ai-marketing-agencies-in-2026-the-definitive-guide-by-specialty#:~:text=That%20is%20not%20how%20this%20works%20here.,top.%20%2D%20HikeMyTraffic%3A%20Award%2DWinning%20AI%20Digital%20Marketing.</t>
  </si>
  <si>
    <t>Best AI Marketing Agencies in 2026: The Definitive Guide</t>
  </si>
  <si>
    <t>Monks, NoGood, Superside, Wpromote, Polaris, Jellyfish</t>
  </si>
  <si>
    <t>https://www.searchlaboratory.com/google-marketing-platform/</t>
  </si>
  <si>
    <t>Google Marketing Platform Partner Agency \| Havas Market UK</t>
  </si>
  <si>
    <t>https://septemai.com/blog/top-ai-consulting-firms-companies-uk-2026</t>
  </si>
  <si>
    <t>Top AI Consulting Firms &amp;amp; Companies UK 2026 | SeptemAI</t>
  </si>
  <si>
    <t>https://www.softwaresuggest.com/services/marketing-analytics-companies/uk</t>
  </si>
  <si>
    <t>Top Marketing analytics Companies in the UK for 2025</t>
  </si>
  <si>
    <t>https://www.sortlist.co.uk/s/ai-marketing/england-england-gb</t>
  </si>
  <si>
    <t>The 10 Best AI Marketing Companies in England - 2026 Reviews</t>
  </si>
  <si>
    <t>https://www.sortlist.co.uk/s/attribution-marketing/england-england-gb#:~:text=Up%20Analytics%20consist%20of%20a,for%20work%20in%20Attribution%20Marketing</t>
  </si>
  <si>
    <t>The 10 Best Attribution Marketing Agencies in England - 2026 Reviews</t>
  </si>
  <si>
    <t>https://www.sortlist.co.uk/s/marketing-analytics/west-midlands-england-gb</t>
  </si>
  <si>
    <t>The 10 Best Marketing Analytics Companies in West Midlands - 2026 Reviews</t>
  </si>
  <si>
    <t>Momentum, M3.agency, Ninja Promo</t>
  </si>
  <si>
    <t>https://www.stratifyadvisory.co.uk/</t>
  </si>
  <si>
    <t>Stratify Advisory | AI Strategy &amp;amp; Commercial Transformation</t>
  </si>
  <si>
    <t>https://www.techradar.com/pro/hubspot-increased-leads-by-1850-percent-and-we-asked-them-how-the-aeo-playbook</t>
  </si>
  <si>
    <t>HubSpot increased leads by 1850%, and we asked them how: The AEO playbook | TechRadar</t>
  </si>
  <si>
    <t>https://www.thesmallbizexpert.co.uk/blog/best-ai-seo-agencies-uk</t>
  </si>
  <si>
    <t>Best AI SEO Agencies UK | The Small Biz Expert</t>
  </si>
  <si>
    <t>Found, The SEO Works, Click Intelligence, Impression, Propellernet, Rise at Seven</t>
  </si>
  <si>
    <t>https://www.triplewhale.com/blog/incrementality-testing-methods</t>
  </si>
  <si>
    <t>A Guide to Incrementality Testing Methods: Different Ways to Measure True Marketing Impact | Triple Whale</t>
  </si>
  <si>
    <t>Triple Whale, Impression</t>
  </si>
  <si>
    <t>https://whitehat-seo.co.uk/blog/ai-consulting-process-methodology</t>
  </si>
  <si>
    <t>The AI Consulting Process | Whitehat</t>
  </si>
  <si>
    <t>Whitehat, QuantumBlack, EY, PwC</t>
  </si>
  <si>
    <t>https://wonderagency.co.uk/services/marketing-analytics/marketing-attribution-analytics/</t>
  </si>
  <si>
    <t>Marketing Attribution &amp;amp; Analytics - The Wonder Agency</t>
  </si>
  <si>
    <t>https://www.adcountable.com/</t>
  </si>
  <si>
    <t>https://www.adtrak.co.uk/services/ai-digital-marketing-agency</t>
  </si>
  <si>
    <t>AI Digital Marketing Agency | Adtrak</t>
  </si>
  <si>
    <t>https://aether-agency.co.uk/insights/incrementality-testing-marketing-guide-2026</t>
  </si>
  <si>
    <t>Incrementality Testing Marketing: Complete Guide 2026 | UK</t>
  </si>
  <si>
    <t>https://agencies.semrush.com/list/market-analysis/united-kingdom/</t>
  </si>
  <si>
    <t>Best Market Research Companies in United Kingdom 2026 | Semrush</t>
  </si>
  <si>
    <t>Found, GA Agency, Huge</t>
  </si>
  <si>
    <t>https://agencylist.com/data-and-analytics/gb/</t>
  </si>
  <si>
    <t>Top Data and Analytics Agencies in United Kingdom</t>
  </si>
  <si>
    <t>https://www.airconsulting.ai/</t>
  </si>
  <si>
    <t>https://aisuperior.com/ai-consulting-companies-in-the-uk/</t>
  </si>
  <si>
    <t>19 Best AI Consulting Companies in the UK (2026)</t>
  </si>
  <si>
    <t>https://www.architecturaldigest.com/story/is-your-business-ready-for-the-ai-overview-era</t>
  </si>
  <si>
    <t>Is Your Business Ready for the AI Overview Era? | Architectural Digest</t>
  </si>
  <si>
    <t>https://www.b2bmarketing.net/reports/top-b2b-marketing-agencies-uk-2026/</t>
  </si>
  <si>
    <t>Top Marketing Agencies In The UK 2026 - B2B Marketing</t>
  </si>
  <si>
    <t>Dentsu, Gravity Global, Transmission</t>
  </si>
  <si>
    <t>https://www.bbntimes.com/companies/top-10-uk-based-ai-consulting-firms-2025</t>
  </si>
  <si>
    <t>Top 10 UK-Based AI Consulting Firms (2025)</t>
  </si>
  <si>
    <t>https://www.bimodal.io/</t>
  </si>
  <si>
    <t>Marketing Science Platform. Experiment, validate, and optimise your marketing with Bimodal</t>
  </si>
  <si>
    <t>https://bird.co.uk/</t>
  </si>
  <si>
    <t>Full Service Digital Marketing Agency UK - Award Winning - Top Rated - Bird Marketing</t>
  </si>
  <si>
    <t>https://blog.tenaciousmarketing.co.uk/top-15-best-geo-agencies-in-the-uk-2026</t>
  </si>
  <si>
    <t>Top 15 GEO Agencies in the UK for 2026 |AI Search Visibility</t>
  </si>
  <si>
    <t>Measured, Charle Agency, Blue Array, The SEO Works, Impression, Digital Landscope, Rise at Seven, Propellernet, Builtvisible, Hallam, Journey Further, Found</t>
  </si>
  <si>
    <t>https://braidr.ai/intelligence/ai-strategy-readiness-consulting/</t>
  </si>
  <si>
    <t>AI Strategy Consulting | AI Readiness Consulting | Braidr</t>
  </si>
  <si>
    <t>Momentum, Found</t>
  </si>
  <si>
    <t>https://builtinlondon.uk/articles/advertising-companies-london#:~:text=Adam%26EveDDB%2C%20founded%20in%202008%2C%20is,campaigns%20for%20John%20Lewis%20%26%20Partners.</t>
  </si>
  <si>
    <t>20 Advertising Companies in London to Know | Built In London</t>
  </si>
  <si>
    <t>Adam&amp;eveDDB, Mother London</t>
  </si>
  <si>
    <t>https://business.google.com/en-all/support/become-a-partner/</t>
  </si>
  <si>
    <t>Google Partners Programme: Become a Partner – Google Ads</t>
  </si>
  <si>
    <t>New Engen, Merkle</t>
  </si>
  <si>
    <t>https://carlosalbamedia.co.uk/best-marketing-agency-uk/</t>
  </si>
  <si>
    <t>7 Best Marketing Agency UK Picks for 2026 – Carlos Alba Media</t>
  </si>
  <si>
    <t>Jellyfish, Brainlabs, VCCP, Mother London, AMV BBDO, Impression, Rise at Seven, Momentum</t>
  </si>
  <si>
    <t>https://carmatec.co.uk/blog/top-10-ai-consultancies-in-the-uk/</t>
  </si>
  <si>
    <t>Top 10 AI Consultancies in the UK (2026) - Carmatec Digital UK</t>
  </si>
  <si>
    <t>https://www.click.co.uk/services/paid-media/display-advertising/</t>
  </si>
  <si>
    <t>Display Advertising Agency Services | Click Consult</t>
  </si>
  <si>
    <t>https://www.clickslice.co.uk/best-social-media-agencies-uk/</t>
  </si>
  <si>
    <t>10 Best Social Media Agencies in the UK (2026 Review)</t>
  </si>
  <si>
    <t>ClickSlice, The Social Shepherd, Propeller</t>
  </si>
  <si>
    <t>https://www.clickslice.co.uk/top-geo-agencies-uk/</t>
  </si>
  <si>
    <t>Top 10 GEO Agencies UK (2026 Review)</t>
  </si>
  <si>
    <t>ClickSlice, Exposure Ninja, Propellernet, Builtvisible, Bird Marketing</t>
  </si>
  <si>
    <t>https://clutch.co/agencies/ppc/display/uk?page=2</t>
  </si>
  <si>
    <t>https://www.cognitute.org/blogs/top-ai-strategy-consulting-firms-globally</t>
  </si>
  <si>
    <t>Top AI Strategy Consulting Firms Globally for Enterprise Transformation | 2026</t>
  </si>
  <si>
    <t>Found, QuantumBlack, EY, PwC, Disrupt Marketing</t>
  </si>
  <si>
    <t>https://www.deptagency.com/en-dk/partner/google-marketing-platform/</t>
  </si>
  <si>
    <t>GMP Agency Partner | Reseller | Google Premier Partner - DEPT®</t>
  </si>
  <si>
    <t>https://www.deptagency.com/en-uki/partner/google/</t>
  </si>
  <si>
    <t>Google Premier Partner | Reseller | GMP &amp;amp; GCP - DEPT®</t>
  </si>
  <si>
    <t>Dept</t>
  </si>
  <si>
    <t>https://edisonmoment.com/agency/best/digital-marketing-agency-united-kingdom</t>
  </si>
  <si>
    <t>Digital Marketing Agency in the UK | Edison Moment</t>
  </si>
  <si>
    <t>https://www.ey.com/en_uk/services/consulting/artificial-intelligence-consulting-services</t>
  </si>
  <si>
    <t>Artificial Intelligence Consulting Services | EY - UK</t>
  </si>
  <si>
    <t>EY, Found</t>
  </si>
  <si>
    <t>https://www.found.co.uk/services/paid-media/</t>
  </si>
  <si>
    <t>Paid Media Agency London \| Award-winning Paid Media Services \| Found</t>
  </si>
  <si>
    <t>https://www.found.co.uk/services/paid-media/display/#:~:text=Showcase%20your%20brand%20with%20Found's,buyers%20and%20building%20brand%20loyalty.</t>
  </si>
  <si>
    <t>Display Advertising Agency London \| Display Marketing Services \| Found</t>
  </si>
  <si>
    <t>https://www.found.co.uk/services/paid-media/programmatic/</t>
  </si>
  <si>
    <t>Programmatic Advertising Agency London \| Growth-Focused \| Found</t>
  </si>
  <si>
    <t>https://www.ft.com/content/ccf5ea33-1398-4b9d-8bf6-a403f2f5493e</t>
  </si>
  <si>
    <t>Subscribe to read</t>
  </si>
  <si>
    <t>https://www.geointelligence.co.uk/</t>
  </si>
  <si>
    <t>GEO Intelligence — AI Search Marketing Agency | Generative Engine Optimisation</t>
  </si>
  <si>
    <t>https://www.get-ryze.ai/blog/how-agencies-scale-ad-creative-production</t>
  </si>
  <si>
    <t>How Advertising Agencies Scale Ad Creative Production</t>
  </si>
  <si>
    <t>https://global.com/outdoor/#:~:text=With%20an%20extensive%20and%20diverse,in%20prime%20locations%20and%20more.</t>
  </si>
  <si>
    <t>Outdoor Advertising | Bus | Billboard | Retail | Global</t>
  </si>
  <si>
    <t>https://www.goodfirms.co/advertising-companies/creative/uk?sort_by=rating</t>
  </si>
  <si>
    <t>https://www.goodfirms.co/directory/country/top-digital-marketing-companies/gb?sort_by=rating</t>
  </si>
  <si>
    <t>Bird Marketing, Found</t>
  </si>
  <si>
    <t>https://www.google.com/ads/publisher/partners/find-a-partner/</t>
  </si>
  <si>
    <t>Find a Publishing Partner \| Certified Publishing Partner – Google</t>
  </si>
  <si>
    <t>https://growth-labs.co.uk/best-uk-digital-marketing-agencies-2026/</t>
  </si>
  <si>
    <t>Best UK Digital Marketing Agencies 2026 | Growthlabs</t>
  </si>
  <si>
    <t>Hallam, Momentum, Impression, ROAST, Push, Brainlabs, M3.agency, Rise at Seven, Found, The SEO Works</t>
  </si>
  <si>
    <t>https://www.happyhourproductions.co.uk/insights/top-creative-agencies-2026</t>
  </si>
  <si>
    <t>Happy Hour Ranked in Campaign Magazine's Top 20 UK Creative Agencies for 2026 | Happy Hour Productions</t>
  </si>
  <si>
    <t>https://indexly.ai/blog/top-10-seo-agencies-in-london/</t>
  </si>
  <si>
    <t>10 Best SEO Agencies in London (2026 Pricing, Reviews &amp; Services)</t>
  </si>
  <si>
    <t>Directive Consulting, Impression, Found, ClickSlice, Bird Marketing, Dentsu, The SEO Works, Croud, The Good Marketer</t>
  </si>
  <si>
    <t>https://www.intellscore.co.uk/</t>
  </si>
  <si>
    <t>https://www.jdrgroup.co.uk/blog/best-ppc-agency-uk</t>
  </si>
  <si>
    <t>12 Of The Best PPC &amp;amp; Google Ads Agencies In The UK - JDR Group</t>
  </si>
  <si>
    <t>Huge, Momentum, Found, Measured, Push, Push Group, PPC Geeks, Impression, Soap Media</t>
  </si>
  <si>
    <t>https://knowanalytics.co.uk/</t>
  </si>
  <si>
    <t>https://leverageconsulting.uk/</t>
  </si>
  <si>
    <t>Leverage Consulting — AI Audits &amp;amp; Strategy for UK Businesses</t>
  </si>
  <si>
    <t>https://www.margen.net/margen-ranked-uk-number-one-ai-seo-agency-2026/</t>
  </si>
  <si>
    <t>MarGen Ranked the UK&amp;#39;s #1 AI SEO Agency for 2026 | MarGen</t>
  </si>
  <si>
    <t>The SEO Works, Blue Array, Rise at Seven, Found</t>
  </si>
  <si>
    <t>https://www.marketingagencyindex.com/uk/services/creative-ai-agencies</t>
  </si>
  <si>
    <t>Creative agencies for AI - AgencyIndex</t>
  </si>
  <si>
    <t>The Brains</t>
  </si>
  <si>
    <t>https://www.marketingagencyindex.com/uk/services/programmatic</t>
  </si>
  <si>
    <t>Best Programmatic Agencies in the UK | Agency Index</t>
  </si>
  <si>
    <t>Found, Measured, Propellernet, Saatchi &amp; Saatchi, Jellyfish, Brandtech, GroupM, Omnicom, Dentsu, Push</t>
  </si>
  <si>
    <t>https://marketingplatform.google.com/intl/en_uk/about/contact-us/</t>
  </si>
  <si>
    <t>https://www.mida.so/cro-agency/service/a-b-testing</t>
  </si>
  <si>
    <t>Top 95 CRO Agencies Offering A/B testing (2026) | Mida</t>
  </si>
  <si>
    <t>Impression, Journey Further, NoGood, Open Partners, Tinuiti</t>
  </si>
  <si>
    <t>https://www.modernmarketingpartners.com/2026/05/06/7-recommended-aeo-geo-agencies-for-ecommerce-brands/</t>
  </si>
  <si>
    <t>7 Recommended AEO &amp;amp; GEO Agencies for eCommerce Brands | Modern Marketing Partners</t>
  </si>
  <si>
    <t>ClickSlice, Click Intelligence, Found</t>
  </si>
  <si>
    <t>https://www.munro.agency/best-ai-seo-agencies-in-the-uk/</t>
  </si>
  <si>
    <t>20 Best AI SEO Agencies in the UK</t>
  </si>
  <si>
    <t>Found, Blue Array, Varn, Click Intelligence, Momentum, Bird Marketing, Exposure Ninja, Builtvisible, Genie Crawl, Passion Digital, Koozai</t>
  </si>
  <si>
    <t>https://neuraladx.com/best-ai-search-optimisation-agency-saas-companies-uk/</t>
  </si>
  <si>
    <t>Best AI Search Optimisation Agency for SaaS Companies UK</t>
  </si>
  <si>
    <t>Measured, QuantumBlack, Found, Siege Media</t>
  </si>
  <si>
    <t>https://onelittleweb.com/top-agencies/top-performance-marketing-agencies/</t>
  </si>
  <si>
    <t>Top Performance Marketing Agencies 2026 – Ranked &amp;amp; Reviewed</t>
  </si>
  <si>
    <t>Impression, WebFX, Disruptive Advertising, Dept, ClickSlice, Found</t>
  </si>
  <si>
    <t>https://oxdpr.com/creative-strategy-agencies/#:~:text=strategy%20agencies%20worldwide.-,Superside,5x%20faster%20than%20traditional%20agencies.</t>
  </si>
  <si>
    <t>Top 7 Creative Strategy Agencies Shaping Brands in 2026 - OXDPR - Digital Marketing</t>
  </si>
  <si>
    <t>Superside, inBeat, Ogilvy, Mother London, Accenture Song, Measured, Found</t>
  </si>
  <si>
    <t>https://peak-agency.co.uk/</t>
  </si>
  <si>
    <t>Performance Marketing Agency | PEAK - Data-Driven Growth</t>
  </si>
  <si>
    <t>https://pearllemon.com/top-performance-marketing-agencies-uk/</t>
  </si>
  <si>
    <t>Top 10 Performance Marketing Agencies In UK (2025)</t>
  </si>
  <si>
    <t>Favoured, The SEO Works, ROAST</t>
  </si>
  <si>
    <t>https://www.pentagram.com/#:~:text=Data%2Ddriven%20digital%20redesign%20of,for%20over%20half%20a%20century.</t>
  </si>
  <si>
    <t>Pentagram — The world’s largest independent design consultancy</t>
  </si>
  <si>
    <t>https://www.rank4ai.co.uk/research/rankings/best-ai-search-agencies-uk/</t>
  </si>
  <si>
    <t>Best AI Search Agencies UK 2026 | Rank4AI</t>
  </si>
  <si>
    <t>https://www.readysetconsultancy.com/aeo</t>
  </si>
  <si>
    <t>AEO Certification Consultant UK | Trusted Trader Status | Readyset — Readyset Consultancy</t>
  </si>
  <si>
    <t>https://rocketium.ai/academy/all/ai-tools-scaling-creative-production</t>
  </si>
  <si>
    <t>Top 6 AI tools for scaling creative production in 2026</t>
  </si>
  <si>
    <t>https://saatchi.co.uk/news/john-lewis-partnership-appoints-saatchi/</t>
  </si>
  <si>
    <t>John Lewis Partnership appoints Saatchi &amp;amp; Saatchi as new creative partner - Saatchi &amp;amp; Saatchi London</t>
  </si>
  <si>
    <t>Saatchi &amp; Saatchi, Adam&amp;eveDDB, Publicis Groupe, Push, Varn</t>
  </si>
  <si>
    <t>https://segmentstream.com/glossary/incrementality-testing</t>
  </si>
  <si>
    <t>What Is Incrementality Testing? — SegmentStream</t>
  </si>
  <si>
    <t>SegmentStream, Measured, Found</t>
  </si>
  <si>
    <t>https://seocompare.co.uk/ai-search-agencies-uk/</t>
  </si>
  <si>
    <t>19 Best AI SEO Agencies UK | SEOCompare</t>
  </si>
  <si>
    <t>Rank4AI, ClickSlice, Propeller, Screaming Frog, Blue Array, Passion Digital, Impression, Builtvisible</t>
  </si>
  <si>
    <t>https://www.seoworks.com/lists/the-20-best-geo-agencies/</t>
  </si>
  <si>
    <t>20 Best GEO Agencies (2026) | The SEO Works</t>
  </si>
  <si>
    <t>The SEO Works, Omniscient Digital, GA Agency, Exposure Ninja</t>
  </si>
  <si>
    <t>https://smacient.com/top-ai-marketing-agencies-in-the-uk/</t>
  </si>
  <si>
    <t>Top AI Marketing Agencies in the UK - Smacient</t>
  </si>
  <si>
    <t>Impression, Open Partners, Brainlabs, Hallam, Koozai, Found</t>
  </si>
  <si>
    <t>https://softblues.io/blog/best-ai-consulting-companies-uk</t>
  </si>
  <si>
    <t>Best AI Consulting Companies in the UK (2026): Who's Good at What | SoftBlues Blog</t>
  </si>
  <si>
    <t>EY, PwC, QuantumBlack</t>
  </si>
  <si>
    <t>https://www.sortlist.co.uk/s/data-driven-marketing/united-kingdom-gb</t>
  </si>
  <si>
    <t>https://staging.polarisagency.com/marketing-insights/best-geo-services-uk/</t>
  </si>
  <si>
    <t>https://support.google.com/tagmanager/answer/7237700?hl=en</t>
  </si>
  <si>
    <t>https://thegraygency.com/the-11-top-paid-social-agencies-for-social-media-growth/</t>
  </si>
  <si>
    <t>The 11 Top Paid Social Agencies for Social Media Growth - The Graygency</t>
  </si>
  <si>
    <t>Soap Media, We Are Social, Huge, Ninja Promo, The Social Shepherd</t>
  </si>
  <si>
    <t>https://www.thegrowthsyndicate.com/agencies/best-b2b-performance-marketing-agencies-europe</t>
  </si>
  <si>
    <t>The 12 Best B2B Performance Marketing Agencies in Europe</t>
  </si>
  <si>
    <t>Brainlabs, WPP, GroupM, Incubeta, Croud, Born Social, Measured, Havas Market UK, Huge, Publicis Groupe, Omnicom, Dentsu, Merkle, Impression</t>
  </si>
  <si>
    <t>https://themanifest.com/advertising/agencies/uk</t>
  </si>
  <si>
    <t>The Best Advertising Companies in United Kingdom - Jul 2026 | The Manifest</t>
  </si>
  <si>
    <t>Ninja Promo, ROAST, Favoured, M3.agency, Chello, The SEO Works</t>
  </si>
  <si>
    <t>https://thesocialshepherd.com/blog/top-advertising-agencies-uk</t>
  </si>
  <si>
    <t>The Social Shepherd | Top 17 Advertising Agencies in the UK | The…</t>
  </si>
  <si>
    <t>The Social Shepherd, BBH London, Dentsu, Ogilvy</t>
  </si>
  <si>
    <t>https://top-branding-agency.co.uk/creative/</t>
  </si>
  <si>
    <t>https://ultrascout.ai/guides/agency-directory/</t>
  </si>
  <si>
    <t>Top GEO &amp;amp; AEO Agencies UK 2026: Definitive Guide | #1 UltraScout</t>
  </si>
  <si>
    <t>Charle Agency, ClickSlice, The SEO Works, Gain Theory</t>
  </si>
  <si>
    <t>https://visionone.co.uk/#:~:text=Why%20Choose%20Vision%20One%20as,%2C%20competitor%20analysis%2C%20and%20forecasting.</t>
  </si>
  <si>
    <t>Vision One Research Agency, UK Market Research Companies, London</t>
  </si>
  <si>
    <t>Momentum, Kantar, Transmission</t>
  </si>
  <si>
    <t>https://www.webtonic.io/blog/best-ppc-agencies-uk</t>
  </si>
  <si>
    <t>The 44 Best PPC Agencies in the UK as of 2026</t>
  </si>
  <si>
    <t>PPC Geeks, Bind Media, Impression, Found, The SEO Works, Gripped, Hallam, Croud, The Social Shepherd, Koozai, Soap Media, Push, Push Group, Launch Online, The Good Marketer, LOCALiQ, Passion Digital, ClickSlice, NP Digital</t>
  </si>
  <si>
    <t>https://whitehat-seo.co.uk/blog/marketing-attribution-that-works</t>
  </si>
  <si>
    <t>Marketing Attribution That Actually Works | Whitehat</t>
  </si>
  <si>
    <t>Whitehat, Found, Ruler Analytics</t>
  </si>
  <si>
    <t>https://www.wowinfotech.co.uk/blog/google-ads-agency-uk</t>
  </si>
  <si>
    <t>10 Best Google Ads Agency UK [Updated List 2026]</t>
  </si>
  <si>
    <t>The Social Shepherd, Impression, Hallam, Found</t>
  </si>
  <si>
    <t>https://www.wsj.com/cio-journal/the-ai-superfans-companies-count-on-to-convert-the-skeptics-5b301a90</t>
  </si>
  <si>
    <t>The AI Superfans Companies Count On to Convert the Skeptics - WSJ</t>
  </si>
  <si>
    <t>https://www.youtube.com/watch?v=5K95qPc0HJs</t>
  </si>
  <si>
    <t>Top 10 AI Digital Marketing Agencies in UK | AI Agents Will Change Digital Marketing</t>
  </si>
  <si>
    <t>https://www.youtube.com/watch?v=fdPFLXFJlwo&amp;t=55</t>
  </si>
  <si>
    <t>6 Best Revenue Attribution Agencies for B2B SaaS in 2026</t>
  </si>
  <si>
    <t>GrowthSpree, NoGood, Single Grain, Disruptive Advertising, Wpromote, Polaris</t>
  </si>
  <si>
    <t>https://www.10seos.com/gb/display-advertising-companies-in-uk</t>
  </si>
  <si>
    <t>Top 10 Display Advertising Companies For Best Services. UK | July 2026</t>
  </si>
  <si>
    <t>https://www.abbacustechnologies.com/top-ecommerce-development-companies-in-the-uk/</t>
  </si>
  <si>
    <t>Top Ecommerce Development Companies in the UK</t>
  </si>
  <si>
    <t>https://www.acxiom.co.uk/data-analytics-strategy/campaign-measurement/</t>
  </si>
  <si>
    <t>Measure the Incremental Impact of Your Marketing | Acxiom</t>
  </si>
  <si>
    <t>https://www.adnomics.co.uk/</t>
  </si>
  <si>
    <t>Adnomics - The Revenue Reality Agency</t>
  </si>
  <si>
    <t>https://aeoagency.co.uk/</t>
  </si>
  <si>
    <t>UK AEO Agency | Answer Engine Optimisation on ChatGPT Search</t>
  </si>
  <si>
    <t>Digital Landscope</t>
  </si>
  <si>
    <t>https://agencies.semrush.com/list/ai-optimization/london-city/mid-business/</t>
  </si>
  <si>
    <t>Best AI Search Optimization Agencies for Mid Business in London 2026 | Semrush</t>
  </si>
  <si>
    <t>https://agencies.semrush.com/list/analytics-data-science/london-city/</t>
  </si>
  <si>
    <t>Best Data Analytics Services in London 2026 | Semrush</t>
  </si>
  <si>
    <t>https://agencies.semrush.com/list/ppc/london-city/</t>
  </si>
  <si>
    <t>Best PPC Agencies in London 2026 | Semrush</t>
  </si>
  <si>
    <t>Impression, Passion Digital, Found, GA Agency, The SEO Works, ROAST</t>
  </si>
  <si>
    <t>https://agencies.semrush.com/list/programmatic-advertising/united-kingdom/</t>
  </si>
  <si>
    <t>Best Programmatic Advertising Agencies in United Kingdom 2026 | Semrush</t>
  </si>
  <si>
    <t>Found, Passion Digital, GA Agency, The SEO Works, ROAST</t>
  </si>
  <si>
    <t>https://agencylist.com/services/programmatic-display-and-video/gb/</t>
  </si>
  <si>
    <t>Top Programmatic Display and Video Agencies in United Kingdom</t>
  </si>
  <si>
    <t>https://agenticmarketingpro.com/incrementality-testing/</t>
  </si>
  <si>
    <t>Modern Incrementality Testing: Moving the Needle in 2026</t>
  </si>
  <si>
    <t>https://aiblmedia.com/ai-enablement-directory/</t>
  </si>
  <si>
    <t>AI Enablement Directory | 50+ Verified UK AI Partners | aibl</t>
  </si>
  <si>
    <t>Found, Jellyfish</t>
  </si>
  <si>
    <t>https://www.aitransformation.global/</t>
  </si>
  <si>
    <t>AI Readiness Assessment for UK SMEs | AI Transformation</t>
  </si>
  <si>
    <t>https://anicca.co.uk/blog/map-of-uk-google-ads-premier-partner-agencies-march-2022/</t>
  </si>
  <si>
    <t>Interactive Map of UK Google Ads Premier Partner Agencies (2022)</t>
  </si>
  <si>
    <t>Anicca Digital, Found</t>
  </si>
  <si>
    <t>https://www.bcg.com/capabilities/artificial-intelligence</t>
  </si>
  <si>
    <t>AI @ Scale | AI Consulting and Strategy | BCG</t>
  </si>
  <si>
    <t>https://bird.co.uk/seo/generative-engine-optimisation/</t>
  </si>
  <si>
    <t>Generative Engine Optimisation - GEO Agency UK - Bird Marketing</t>
  </si>
  <si>
    <t>https://bird.co.uk/social-media/</t>
  </si>
  <si>
    <t>Top Social Media Agency UK - Award Winning - UK Based</t>
  </si>
  <si>
    <t>https://www.brainlabsdigital.com/</t>
  </si>
  <si>
    <t>Brainlabs, Push, Measured</t>
  </si>
  <si>
    <t>https://brillmedia.co/resources/best-display-advertising-agencies/</t>
  </si>
  <si>
    <t>Best Display Advertising Agencies | Brill Media</t>
  </si>
  <si>
    <t>https://business.google.com/en-all/support/work-with-a-partner/</t>
  </si>
  <si>
    <t>Work with a Google Partner for a Successful Campaign – Google Ads</t>
  </si>
  <si>
    <t>New Engen, Wpromote</t>
  </si>
  <si>
    <t>https://business.google.com/uk/support/become-a-partner/</t>
  </si>
  <si>
    <t>https://www.businessinsider.com/ai-adoption-strategies-companies-2026-7</t>
  </si>
  <si>
    <t>Adopting AI Is Easy. Using AI Effectively Is Hard. - Business Insider</t>
  </si>
  <si>
    <t>Found, McKinsey &amp; Company, PwC</t>
  </si>
  <si>
    <t>https://www.businessinsider.com/how-coach-american-eagle-cmos-stand-out-ai-platforms-2026-7</t>
  </si>
  <si>
    <t>How Coach, American Eagle Are Standing Out on AI Platforms - Business Insider</t>
  </si>
  <si>
    <t>https://byter.com/social-media-advertising/</t>
  </si>
  <si>
    <t>Social Media Advertising | Byter</t>
  </si>
  <si>
    <t>https://www.campaignlive.co.uk/article/lists-2024-top-five-advertisers/1900249</t>
  </si>
  <si>
    <t>https://www.carrieannsudlow.co.uk/ai-seo-agency/#:~:text=For%20optimisation%20we%20use%20SEMrush%2C%20Ahrefs%20and,always%20invest%20in%20the%20very%20best%20software.</t>
  </si>
  <si>
    <t>AI SEO Agency UK | Rank Higher in Google &amp;amp; AI Search</t>
  </si>
  <si>
    <t>https://cellsior.com/best-analytics-agencies-uk/</t>
  </si>
  <si>
    <t>Best Analytics and Reporting Agencies in the UK</t>
  </si>
  <si>
    <t>https://www.circana.com/liquid-testing</t>
  </si>
  <si>
    <t>Liquid Testing: Self-Serve Incrementality Testing | Circana</t>
  </si>
  <si>
    <t>https://cleandigital.co.uk/blog/clean-digital-achieves-google-premier-partner-status</t>
  </si>
  <si>
    <t>Clean Digital Achieves Google Premier Partner Status</t>
  </si>
  <si>
    <t>https://cleandigital.co.uk/paid-social</t>
  </si>
  <si>
    <t>Paid Social Management Agency | Better Leads &amp;amp; ROAS | Clean Digital</t>
  </si>
  <si>
    <t>https://www.clickintelligence.co.uk/guides/agency-lists/seo/best-aeo-seo-agencies/</t>
  </si>
  <si>
    <t>6 Best AEO SEO Agencies and Companies (2026) — UK, US &amp;amp; Global</t>
  </si>
  <si>
    <t>Click Intelligence, Whitehat, The SEO Works, Found</t>
  </si>
  <si>
    <t>https://www.clickslice.co.uk/best-generative-engine-optimisation-specialist-uk/</t>
  </si>
  <si>
    <t>7 Best GEO (Generative Engine Optimisation) Specialists in the UK for 2025</t>
  </si>
  <si>
    <t>https://clutch.co/agencies</t>
  </si>
  <si>
    <t>Top Advertising Agencies &amp;amp; Marketing Companies - Jul 2026 Rankings | Clutch.co</t>
  </si>
  <si>
    <t>Power Digital, Ignite Visibility, Favoured, Ninja Promo, WebFX, Chello, ROAST, M3.agency, The SEO Works</t>
  </si>
  <si>
    <t>https://clutch.co/agencies/market-research/shopper-marketing/uk</t>
  </si>
  <si>
    <t>Top Shopper Marketing Agencies in the United Kingdom - Jul 2026 Rankings | Clutch.co</t>
  </si>
  <si>
    <t>https://clutch.co/agencies/ppc/display/uk/england</t>
  </si>
  <si>
    <t>https://clutch.co/agencies/social-media-marketing/influencer/uk</t>
  </si>
  <si>
    <t>Top Influencer Advertising Agencies in the United Kingdom - Jul 2026 Rankings \| Clutch.co</t>
  </si>
  <si>
    <t>Ninja Promo, Favoured, Found, Momentum, Propeller, Impression</t>
  </si>
  <si>
    <t>https://clutch.co/consulting/ai/uk?page=3</t>
  </si>
  <si>
    <t>Page 3 - Top AI Consultants in the United Kingdom - Jul 2026 Rankings \| Clutch.co</t>
  </si>
  <si>
    <t>https://croud.com/en-gb/services/audience-suite/measurement/#:~:text=The%20MAMM%20framework%20assesses%20everything,Unified%20Measurement</t>
  </si>
  <si>
    <t>Measurement | Croud UK</t>
  </si>
  <si>
    <t>Croud</t>
  </si>
  <si>
    <t>https://www.deducive.com/</t>
  </si>
  <si>
    <t>Deducive - Decision-Grade Marketing Measurement</t>
  </si>
  <si>
    <t>https://www.deloitte.co.uk/fast50/winners/2016/winner-profiles/brainlabs/</t>
  </si>
  <si>
    <t>Brainlabs | UK Technology Fast 50 | Deloitte UK</t>
  </si>
  <si>
    <t>https://www.deptagency.com/partner/google-marketing-platform/</t>
  </si>
  <si>
    <t>GMP Agency Partner - Google Premier Partner - DEPT®</t>
  </si>
  <si>
    <t>https://www.designrush.com/agency/digital-marketing/artificial-intelligence</t>
  </si>
  <si>
    <t>Top AI Marketing Companies in 2026</t>
  </si>
  <si>
    <t>Single Grain, Jellyfish, Push, Huge, Found, Disruptive Advertising, Ninja Promo, PwC, Impression, WebFX</t>
  </si>
  <si>
    <t>https://www.designrush.com/agency/digital-marketing/performance-marketing-agencies</t>
  </si>
  <si>
    <t>Top Performance Marketing Agencies in 2026</t>
  </si>
  <si>
    <t>Wpromote, Polaris, NoGood, Power Digital, Found, Huge, Push, Disruptive Advertising, Impression, PwC, Propeller, Dept</t>
  </si>
  <si>
    <t>https://www.designrush.com/agency/paid-media-pay-per-click/display-advertising-agency</t>
  </si>
  <si>
    <t>Top Display Advertising Agencies in 2026</t>
  </si>
  <si>
    <t>Push, Huge, Disruptive Advertising, Bird Marketing, Impression, WebFX, Found</t>
  </si>
  <si>
    <t>https://digiscorp.com/best-ai-consulting-firms-in-london-top-ai-experts-for-your-business/</t>
  </si>
  <si>
    <t>Best AI Consulting Firms in London</t>
  </si>
  <si>
    <t>https://www.digitalagencyleaders.net/blog/best-ai-seo-agencies-uk</t>
  </si>
  <si>
    <t>The 15 Best AI SEO Agencies in the UK (2026): GEO &amp;amp; AEO Specialists Ranked — Digital Agency Leaders Blog</t>
  </si>
  <si>
    <t>The SEO Works, Momentum, Found, Measured, Blue Array, Rise at Seven, Exposure Ninja, Impression, Passion Digital, Polaris, ClickSlice, Panovista Marketing, Hallam</t>
  </si>
  <si>
    <t>https://digitalagencynetwork.com/agencies/uk/online-advertising/</t>
  </si>
  <si>
    <t>Best Online Advertising Agencies in UK</t>
  </si>
  <si>
    <t>Favoured, GA Agency, Measured, Propeller, M3.agency, Bird Marketing, Passion Digital</t>
  </si>
  <si>
    <t>https://digitalagencynetwork.com/agencies/usa/ai-marketing/</t>
  </si>
  <si>
    <t>Top AI Marketing Agencies in USA (2026)</t>
  </si>
  <si>
    <t>Favoured, NoGood, Ignite Visibility, Propeller, Ninja Promo, Bird Marketing, ROAST, Found, Impression</t>
  </si>
  <si>
    <t>https://digitalmarketingcompanyinlondon.com/best-10-paid-media-agencies-in-london-2025/</t>
  </si>
  <si>
    <t>Best 10 Paid Media Agencies in London (2025) – Digital Marketing Company in London</t>
  </si>
  <si>
    <t>Found, ROAST, Croud, Jellyfish, Favoured, The Good Marketer, Impression, Passion Digital</t>
  </si>
  <si>
    <t>https://directiveconsulting.com/blog/top-performance-marketing-agencies/</t>
  </si>
  <si>
    <t>https://directiveconsulting.com/uk/blog/25-best-advertising-agencies-built-for-media-momentum/</t>
  </si>
  <si>
    <t>25 Best Advertising Agencies For B2B - Directive</t>
  </si>
  <si>
    <t>Directive Consulting, Momentum, Tinuiti, PMG, Jellyfish, Wpromote, Merkle, Croud, Impression, Monks, AKQA, Measured</t>
  </si>
  <si>
    <t>https://www.dpom.co.uk/social-media-advertising/</t>
  </si>
  <si>
    <t>Social Media Advertising Agency | Paid Social UK | DPOM</t>
  </si>
  <si>
    <t>https://ebiquity.com/#:~:text=Most%20global.%20We%20are%20a%20community%20of,local%20relevancy.%20Learn%20more%20about%20our%20people.</t>
  </si>
  <si>
    <t>Ebiquity - The Independent Authority in Marketing Effectiveness</t>
  </si>
  <si>
    <t>https://ebiquity.com/solutions/grow/testmatch/</t>
  </si>
  <si>
    <t>TestMatch - Ebiquity</t>
  </si>
  <si>
    <t>Ebiquity</t>
  </si>
  <si>
    <t>https://eintelligenceweb.com/blog/top-generative-engine-optimisation-geo-agencies/</t>
  </si>
  <si>
    <t>Top Generative Engine Optimisation (GEO) Agencies in UK</t>
  </si>
  <si>
    <t>ClickSlice, Blue Array, Huge</t>
  </si>
  <si>
    <t>https://www.ekimetrics.com/articles/incrementality-testing-how-to-measure-what-marketing-actually-causes</t>
  </si>
  <si>
    <t>Incrementality testing: measure true marketing impact</t>
  </si>
  <si>
    <t>Found, Ekimetrics</t>
  </si>
  <si>
    <t>https://www.elevenmiles.com/sandbox-home</t>
  </si>
  <si>
    <t>Sandbox (home) — GAIN Creative Studios</t>
  </si>
  <si>
    <t>https://www.experian.co.uk/business-products/marketing-campaign-measurement/</t>
  </si>
  <si>
    <t>Marketing Campaign Measurement | Experian Business</t>
  </si>
  <si>
    <t>https://www.fieldtrip.agency/post/overcoming-creative-production-challenges-for-large-brand</t>
  </si>
  <si>
    <t>Overcoming Challenges in Creative Production for Large-Scale Brands</t>
  </si>
  <si>
    <t>inBeat, Momentum</t>
  </si>
  <si>
    <t>https://www.fieldtrip.agency/post/top-geo-agencies#:~:text=First%20Page%20Sage%20has%20built,%2C%20Alcoa%2C%20and%20U.S.%20Bancorp.</t>
  </si>
  <si>
    <t>Top Generative Engine Optimization (GEO) Agencies for Brands in AI Search</t>
  </si>
  <si>
    <t>Siege Media, WebFX, NP Digital, Omniscient Digital, Measured, Found, inBeat</t>
  </si>
  <si>
    <t>https://figarodigital.co.uk/companies/queryclick/</t>
  </si>
  <si>
    <t>QueryClick - Figaro Digital</t>
  </si>
  <si>
    <t>https://www.forrester.com/blogs/picking-an-agency-to-maximize-the-value-of-your-first-party-data/</t>
  </si>
  <si>
    <t>Picking An Agency To Maximize The Value Of Your First-Party Data</t>
  </si>
  <si>
    <t>https://www.forrester.com/blogs/the-latest-and-greatest-mmo-service-providers/</t>
  </si>
  <si>
    <t>The Latest And Greatest Marketing Measurement Service Providers</t>
  </si>
  <si>
    <t>Analytic Partners, Ekimetrics, Gain Theory, Kantar, Nielsen</t>
  </si>
  <si>
    <t>https://www.forvio.com/product/geo-lift-tests</t>
  </si>
  <si>
    <t>GEO Lift Testing</t>
  </si>
  <si>
    <t>https://www.found.co.uk/blog/how-to-measure-incrementality/</t>
  </si>
  <si>
    <t>Marketing Incrementality | How to Measure Incrementality | Found</t>
  </si>
  <si>
    <t>https://www.goodfirms.co/advertising-companies/creative/uk?page=2</t>
  </si>
  <si>
    <t>The Social Shepherd, Mother London, Huge, Impression, Found</t>
  </si>
  <si>
    <t>https://www.goodfirms.co/directory/country/top-digital-marketing-companies/advertising-ppc/uk?sort_by=reviews</t>
  </si>
  <si>
    <t>Bird Marketing, WebFX, Found</t>
  </si>
  <si>
    <t>https://www.groupcaliber.com/top-reputation-monitoring-tools-and-why-stakeholder-intelligence-is-next/</t>
  </si>
  <si>
    <t>Top Reputation Monitoring Tools 2026 | Caliber</t>
  </si>
  <si>
    <t>YouGov, Kantar</t>
  </si>
  <si>
    <t>https://www.hatchly.co.uk/design-services/creative-production</t>
  </si>
  <si>
    <t>Creative Production Services for In-House Teams | Hatchly</t>
  </si>
  <si>
    <t>https://hawkemedia.com/insights/top-performance-marketing-agencies/</t>
  </si>
  <si>
    <t>Top 25 Performance Marketing Agencies In The U.S. 2026 | Hawke Media</t>
  </si>
  <si>
    <t>Hawke Media, Tinuiti, Wpromote, Power Digital, WebFX, Measured, Disruptive Advertising, Ignite Visibility, NP Digital, New Engen, NoGood, Ogilvy, Monks, Merkle, Siege Media</t>
  </si>
  <si>
    <t>https://helium42.com/blog/ai-consultant-london</t>
  </si>
  <si>
    <t>AI Consultant in London: Pricing and How to Choose (2026)</t>
  </si>
  <si>
    <t>https://hikemytraffic.com/ai-digital-marketing-agencies-in-uk/</t>
  </si>
  <si>
    <t>Top 10 AI Digital Marketing Agencies in UK (2026)</t>
  </si>
  <si>
    <t>Found, The Good Marketer, Dentsu</t>
  </si>
  <si>
    <t>https://hikemytraffic.com/ai-digital-marketing-services-in-uk/</t>
  </si>
  <si>
    <t>20 Best AI Digital Marketing Services in UK</t>
  </si>
  <si>
    <t>Gripped, The Social Shepherd, Found, The Good Marketer, Bird Marketing</t>
  </si>
  <si>
    <t>https://www.ikigai.je/services/performance-marketing</t>
  </si>
  <si>
    <t>AI Performance Marketing Agency UK | Paid Media | Ikigai | AI Growth Marketing | ikigai</t>
  </si>
  <si>
    <t>https://ikon.london/articles/best-creative-agencies</t>
  </si>
  <si>
    <t>Best Creative Agencies in London &amp;amp; Beyond | 2026 | Top 10</t>
  </si>
  <si>
    <t>AKQA, Ogilvy, Mother London</t>
  </si>
  <si>
    <t>https://www.impressiondigital.com/generative-engine-optimisation-agency/</t>
  </si>
  <si>
    <t>Generative Engine Optimisation (GEO) Agency | Impression</t>
  </si>
  <si>
    <t>https://inbeat.agency/blog/top-creative-agencies</t>
  </si>
  <si>
    <t>Top 16 Creative Agencies Setting the Standard in 2026 - inBeat Agency</t>
  </si>
  <si>
    <t>inBeat, Nielsen, WPP, Dept, Momentum, Ogilvy</t>
  </si>
  <si>
    <t>https://inbeat.agency/blog/top-marketing-analytics-agencies</t>
  </si>
  <si>
    <t>Top 15 Marketing Analytics Agencies Defining 2026 - inBeat Agency</t>
  </si>
  <si>
    <t>inBeat, Nielsen, NP Digital, Artefact, Momentum, Found, WebFX</t>
  </si>
  <si>
    <t>https://inbeat.agency/blog/top-media-buying-agencies</t>
  </si>
  <si>
    <t>14 Media Buying Agencies That Actually Stretch a Budget - inBeat Agency</t>
  </si>
  <si>
    <t>inBeat, Nielsen, Impression, Push, Hawke Media, Measured</t>
  </si>
  <si>
    <t>https://www.inbeat.co/articles/advertising-agencies-in-the-uk/</t>
  </si>
  <si>
    <t>Top 20 Advertising Agencies in the UK as of 2026</t>
  </si>
  <si>
    <t>inBeat, The Social Shepherd, Adam&amp;eveDDB, BBH London, Disrupt Marketing, Measured, PPC Geeks, Favoured, Found</t>
  </si>
  <si>
    <t>https://www.inceptiontoaction.ai/</t>
  </si>
  <si>
    <t>ItoA · Inception to Action — AI venture validation, expansion &amp;amp; enterprise AI readiness</t>
  </si>
  <si>
    <t>https://www.incremental.com/</t>
  </si>
  <si>
    <t>Incremental | Causal Intelligence for Commerce Media</t>
  </si>
  <si>
    <t>https://www.incrmntal.com/</t>
  </si>
  <si>
    <t>AI-Powered Incremental Marketing &amp;amp; Measurement | INCRMNTAL</t>
  </si>
  <si>
    <t>https://influencermarketinghub.com/ai-marketing-agencies/</t>
  </si>
  <si>
    <t>Best AI Marketing Agencies For 2026</t>
  </si>
  <si>
    <t>McKinsey &amp; Company, Momentum, Found, Wpromote, Dentsu</t>
  </si>
  <si>
    <t>https://www.itpro.com/business/business-strategy/ai-projects-are-stalling-at-mid-market-firms-google-cloud-and-accenture-want-to-solve-that</t>
  </si>
  <si>
    <t>AI projects are stalling at mid-market firms – Google Cloud and Accenture want to solve that | IT Pro</t>
  </si>
  <si>
    <t>Push, Found</t>
  </si>
  <si>
    <t>https://itprofiles.com/services/ppc/uk</t>
  </si>
  <si>
    <t>Top 100+ PPC Companies in United Kingdom - Jul 2026 Rankings | ITProfiles</t>
  </si>
  <si>
    <t>The SEO Works, Soap Media, Found</t>
  </si>
  <si>
    <t>https://kpmg.com/uk/en/services/ai/trusted-ai-services.html</t>
  </si>
  <si>
    <t>KPMG Trusted AI Services | KPMG UK</t>
  </si>
  <si>
    <t>https://www.latentview.com/glossary/incrementality-testing/</t>
  </si>
  <si>
    <t>What Is Incrementality Testing? Purpose, Best Practices &amp;amp; Frameworks</t>
  </si>
  <si>
    <t>Measured, Haus, Recast, Push</t>
  </si>
  <si>
    <t>https://liftlab.com/</t>
  </si>
  <si>
    <t>Agile MMM &amp;amp; Incrementality Testing Built for Growth Leaders | LiftLab</t>
  </si>
  <si>
    <t>https://linea-analytics.com/</t>
  </si>
  <si>
    <t>Linea Analytics — True Marketing Impact Measurement (Always-on MMM)</t>
  </si>
  <si>
    <t>https://lon.havas.com/havas-london/</t>
  </si>
  <si>
    <t>Havas London - UK Advertising Agency</t>
  </si>
  <si>
    <t>https://www.lucatagliaferro.com/recommended-aeo-freelance-consultants-for-ai-visibility/</t>
  </si>
  <si>
    <t>7 AEO Freelance Consultants Leading the Way in the UK (2026)</t>
  </si>
  <si>
    <t>https://www.lynchpin.com/attribution/</t>
  </si>
  <si>
    <t>Attribution - Lynchpin - Independent analytics consultancy</t>
  </si>
  <si>
    <t>https://www.m1-project.com/blog/10-best-ai-marketing-agencies-in-depth-comparison</t>
  </si>
  <si>
    <t>10 Best AI Marketing Agencies: In-Depth Comparison | M1-Project</t>
  </si>
  <si>
    <t>Ninja Promo, Ignite Visibility, Found, Push, Measured</t>
  </si>
  <si>
    <t>https://madebyshape.co.uk/web-design-blog/the-best-social-media-agencies-in-the-uk/</t>
  </si>
  <si>
    <t>The Best Social Media Agencies in the UK | MadeByShape</t>
  </si>
  <si>
    <t>The Good Marketer</t>
  </si>
  <si>
    <t>https://www.margen.net/geo-agency-uk/</t>
  </si>
  <si>
    <t>GEO Agency UK: National Generative Engine Optimisation Coverage | MarGen</t>
  </si>
  <si>
    <t>https://www.marketingagencyindex.com/uk/ownership-model/network/wpp</t>
  </si>
  <si>
    <t>WPP marketing agencies in the UK - AgencyIndex</t>
  </si>
  <si>
    <t>WPP, Ogilvy, AKQA, GroupM, Publicis Groupe, Omnicom, Brandtech</t>
  </si>
  <si>
    <t>https://www.marketingagencyindex.com/uk/services/creative</t>
  </si>
  <si>
    <t>Best Creative Agencies in the UK | Agency Index</t>
  </si>
  <si>
    <t>Momentum, Mother London, Adam&amp;eveDDB</t>
  </si>
  <si>
    <t>https://marketingplatform.google.com/about/partners/find-a-partner</t>
  </si>
  <si>
    <t>https://marketingplatform.google.com/intl/en_uk/about/optimize/</t>
  </si>
  <si>
    <t>https://marketingsignals.com/best-geo-agency-2026-the-top-generative-engine-optimisation-agencies-ranked/</t>
  </si>
  <si>
    <t>Best GEO Agency 2026: The Top Generative Engine Optimisation Agencies Ranked - Marketing Signals</t>
  </si>
  <si>
    <t>Single Grain, Measured, Transmission</t>
  </si>
  <si>
    <t>https://www.masoncircle.com/blog/</t>
  </si>
  <si>
    <t>Digital Marketing Services in London &amp;amp; Dubai | Social Marketing Agency London</t>
  </si>
  <si>
    <t>https://www.measured.com/incrementality-testing/</t>
  </si>
  <si>
    <t>https://www.mintcopywritingstudios.com/blog/ai-search-optimization-geo-agencies</t>
  </si>
  <si>
    <t>Top Generative Engine Optimization (GEO) Agencies in 2026: 10+ AI Search Specialists Compared | Mint Studios</t>
  </si>
  <si>
    <t>Found, NoGood, WebFX, The SEO Works, Siege Media, Omniscient Digital, Single Grain, Huge, Measured</t>
  </si>
  <si>
    <t>https://miramarketing.co.uk/services/paid-social</t>
  </si>
  <si>
    <t>Paid Social Agency · Meta, TikTok, LinkedIn · Mira Marketing</t>
  </si>
  <si>
    <t>https://www.mobitsolutions.com/digital-marketing-in-the-uk-what-agencies-charge-vs-what-you-get-back/</t>
  </si>
  <si>
    <t>Digital Marketing in the UK: What Agencies Charge vs. What You Get Back - Mobit Solutions Presents Cost Effective IT Solutions</t>
  </si>
  <si>
    <t>Found, Bird Marketing, Impression, The Good Marketer, NoGood</t>
  </si>
  <si>
    <t>https://www.modernmarketingpartners.com/2026/03/19/14-best-answer-engine-optimization-agencies-aeo-insights-company-rankings-for-2026/</t>
  </si>
  <si>
    <t>15 Best Answer Engine Optimization Agencies: AEO Insights Company Rankings for 2026</t>
  </si>
  <si>
    <t>Siege Media, Single Grain, Omniscient Digital, NoGood</t>
  </si>
  <si>
    <t>https://www.moreaboutadvertising.com/2025/03/saatchi-saatchi-tops-uk-billings-table-publicis-is-top-group/</t>
  </si>
  <si>
    <t>Saatchi &amp; Saatchi tops UK billings table, Publicis is top group - More About Advertising</t>
  </si>
  <si>
    <t>Nielsen, Saatchi &amp; Saatchi, VCCP, BBH London, Publicis Groupe, WPP, Ogilvy, Omnicom, Adam&amp;eveDDB, AMV BBDO, Lucky Generals</t>
  </si>
  <si>
    <t>https://mqlflow.com/</t>
  </si>
  <si>
    <t>Best AI Automation Agency UK | MQLFlow</t>
  </si>
  <si>
    <t>https://www.munro.agency/best-digital-marketing-agencies-in-london/</t>
  </si>
  <si>
    <t>10 Best Digital Marketing Agencies in London for 2026</t>
  </si>
  <si>
    <t>Found, Croud, Born Social, ROAST</t>
  </si>
  <si>
    <t>https://www.munro.agency/insights/top-marketing-companies-in-the-world/</t>
  </si>
  <si>
    <t>Top 50 Marketing Companies in the World Ranked by Revenue - The Munro Agency</t>
  </si>
  <si>
    <t>Croud, Saatchi &amp; Saatchi, AKQA, Ogilvy, WPP, Dentsu, Omnicom, Publicis Groupe, Accenture Song, Deloitte Digital, PwC, EY</t>
  </si>
  <si>
    <t>https://netmonkeys.co.uk/top-10-ai-gen-ai-consultancy-firms-in-the-uk-netmonkeys</t>
  </si>
  <si>
    <t>Top 10 AI &amp;amp; Gen AI Consultancy Firms in the UK | NetMonkeys</t>
  </si>
  <si>
    <t>EY, PwC</t>
  </si>
  <si>
    <t>https://neuraladx.com/best-ai-search-optimisation-agency-property-companies-uk/</t>
  </si>
  <si>
    <t>Best AI Search Optimisation Agency for Property Companies UK</t>
  </si>
  <si>
    <t>PwC, Siege Media, Found, Deloitte Digital</t>
  </si>
  <si>
    <t>https://neuraladx.com/top-10-geo-agencies-uk/</t>
  </si>
  <si>
    <t>Top 10 GEO Agencies UK for ChatGPT, Perplexity, Copilot &amp;amp; Google AI Mode</t>
  </si>
  <si>
    <t>Impression, Blue Array, Koozai, Hallam, Found, Builtvisible</t>
  </si>
  <si>
    <t>https://nogood.io/blog/ai-marketing-agency/</t>
  </si>
  <si>
    <t>Top 5 AI Marketing Agencies for Growth in 2026 | NoGood</t>
  </si>
  <si>
    <t>NoGood, Single Grain, inBeat</t>
  </si>
  <si>
    <t>https://www.noisemediagroup.co.uk/insights/the-best-social-media-marketing-agencies-in-london-2026</t>
  </si>
  <si>
    <t>The Best Social Media Marketing Agencies in London (2026)</t>
  </si>
  <si>
    <t>The Social Shepherd, Born Social, Croud, Social Chain, We Are Social, Dept, Disrupt Marketing</t>
  </si>
  <si>
    <t>https://www.noisemediagroup.co.uk/insights/the-best-tiktok-marketing-agencies-in-the-uk-2026</t>
  </si>
  <si>
    <t>The Best TikTok Marketing Agencies in the UK (2026)</t>
  </si>
  <si>
    <t>The Social Shepherd, Disrupt Marketing, Social Chain, Brainlabs, Momentum</t>
  </si>
  <si>
    <t>https://www.nuundigital.com/services/data-analytics/marketing-analytics-attribution</t>
  </si>
  <si>
    <t>NUUN Digital | Revenue-accountable partner</t>
  </si>
  <si>
    <t>https://www.omnius.so/blog/best-answer-engine-optimization-agencies</t>
  </si>
  <si>
    <t>16 Best Answer Engine Optimization (AEO) Agencies in 2026</t>
  </si>
  <si>
    <t>Omniscient Digital, Single Grain, Found</t>
  </si>
  <si>
    <t>https://oneday.agency/out-of-home-advertising</t>
  </si>
  <si>
    <t>Out of Home Advertising Agency UK &amp;gt; OOH Marketing and Billboards - One Day</t>
  </si>
  <si>
    <t>https://open.partners/open-partners-insights/top-uk-independent-marketing-agencies-5m-budgets/</t>
  </si>
  <si>
    <t>Top UK Marketing Agencies for £5m+ Budgets | Open Partners</t>
  </si>
  <si>
    <t>Open Partners, Brainlabs, Journey Further, Found, ROAST</t>
  </si>
  <si>
    <t>https://optimisemedia.com/agency-services/</t>
  </si>
  <si>
    <t>Full-Service Media Agency | Optimise Media</t>
  </si>
  <si>
    <t>https://orm-tech.com/blog/best-marketing-attribution-software/</t>
  </si>
  <si>
    <t>9 Best Marketing Attribution Software for B2B (2026) | ORM</t>
  </si>
  <si>
    <t>https://www.outrightcrm.com/blog/roi-focused-digital-marketing-agencies/</t>
  </si>
  <si>
    <t>15 Best ROI-Focused Digital Marketing Firms in 2026 | OutrightCRM</t>
  </si>
  <si>
    <t>Disruptive Advertising, Power Digital, Wpromote, Ignite Visibility, Directive Consulting, Jellyfish, Merkle, NP Digital, Huge, Push</t>
  </si>
  <si>
    <t>https://oxdpr.com/advertising-firms-london/</t>
  </si>
  <si>
    <t>7 Outstanding Advertising Firms London to Watch in 2026 - OXDPR - Digital Marketing</t>
  </si>
  <si>
    <t>Mother London, VCCP, Adam&amp;eveDDB, Uncommon Creative Studio, Saatchi &amp; Saatchi, Found</t>
  </si>
  <si>
    <t>https://phosailabs.com/blog/best-ai-consulting-firms-marketing-agencies</t>
  </si>
  <si>
    <t>Best AI Consulting for Marketing Agencies (2026)</t>
  </si>
  <si>
    <t>https://pinpoint-media.global/insights/best-10-digital-marketing-companies-in-the-uk-2026</t>
  </si>
  <si>
    <t>Best 10 Digital Marketing Companies in the UK for 2026 | PinPoint Media</t>
  </si>
  <si>
    <t>PinPoint Media, Found, Social Chain, Born Social, Impression, Hallam, Croud, Brainlabs, Koozai, The SEO Works</t>
  </si>
  <si>
    <t>https://ppcgeeks.co.uk/ppc/top-7-google-ads-agencies-in-the-uk-for-exceptional-ppc-results/</t>
  </si>
  <si>
    <t>Top 7 Google Ads Agencies in the UK: Achieve Exceptional Results</t>
  </si>
  <si>
    <t>PPC Geeks, Push, Push Group, Impression, Found</t>
  </si>
  <si>
    <t>https://primelis.co.uk/</t>
  </si>
  <si>
    <t>https://prioritypixels.co.uk/about/accreditations/google-partner/</t>
  </si>
  <si>
    <t>Google Partner Agency - Certified Google Ads Specialists</t>
  </si>
  <si>
    <t>https://psychemeta.com/paid-socials.html</t>
  </si>
  <si>
    <t>Paid Socials | Meta · LinkedIn · TikTok Ad Management | Psychemeta</t>
  </si>
  <si>
    <t>https://www.rank4ai.co.uk/research/rankings/ai-search-agencies-compared/</t>
  </si>
  <si>
    <t>AI Search Agencies Compared - UK 2026 | Rank4AI</t>
  </si>
  <si>
    <t>Rank4AI, Found, Varn, Buried Agency, Hallam, Screaming Frog</t>
  </si>
  <si>
    <t>https://www.rank4ai.co.uk/research/rankings/top-ai-search-visibility-agencies-2026/</t>
  </si>
  <si>
    <t>Top AI Search Visibility Agencies UK 2026 | Rank4AI</t>
  </si>
  <si>
    <t>Rank4AI, Varn, Impression, Builtvisible, Found</t>
  </si>
  <si>
    <t>https://www.reddit.com/r/b2bmarketing/comments/1rl47cr/the_10_best_visibility_companies_and_agencies_for/#:~:text=AEO%20Collective%20is%20good%2C%20they,3mo%20ago</t>
  </si>
  <si>
    <t>The 10 Best Visibility Companies and Agencies for SEO and GEO?</t>
  </si>
  <si>
    <t>Huge, Siege Media, Single Grain</t>
  </si>
  <si>
    <t>https://www.rezaid.co.uk/top-7-display-advertising-agencies-2025/</t>
  </si>
  <si>
    <t>https://www.rightfirms.co/directory/geo-services/country/united-kingdom</t>
  </si>
  <si>
    <t>Top GEO Services Companies in the United Kingdom | RightFirms</t>
  </si>
  <si>
    <t>https://scopicstudios.com/blog/top-performance-marketing-agencies/</t>
  </si>
  <si>
    <t>Top 10 Performance Marketing Agencies for ROI in 2025</t>
  </si>
  <si>
    <t>https://silverspoonagency.com/best-performance-marketing-agencies/</t>
  </si>
  <si>
    <t>7 Best Performance marketing agencies to Drive ROI in 2026</t>
  </si>
  <si>
    <t>https://simplicity.media/</t>
  </si>
  <si>
    <t>Simplicity Media | Independent UK Advertising Agency</t>
  </si>
  <si>
    <t>https://socialander.com/top-digital-marketing-company-in-the-united-kingdom/</t>
  </si>
  <si>
    <t>Top Digital Marketing Company in the United Kingdom</t>
  </si>
  <si>
    <t>Huge, Impression, M3.agency, Favoured, Soap Media, Propeller, Hallam, ROAST, Gripped, We Are Social, Found</t>
  </si>
  <si>
    <t>https://www.sortlist.co.uk/s/ai-marketing/london-england-gb</t>
  </si>
  <si>
    <t>The 10 Best AI Marketing Companies in London - 2026 Reviews</t>
  </si>
  <si>
    <t>https://www.sortlist.co.uk/s/attribution-marketing/essex-england-gb</t>
  </si>
  <si>
    <t>The 10 Best Attribution Marketing Agencies in Essex - 2026 Reviews</t>
  </si>
  <si>
    <t>https://www.sortlist.co.uk/s/creative/england-england-gb</t>
  </si>
  <si>
    <t>The 10 Best Creative Agencies in England - 2026 Reviews</t>
  </si>
  <si>
    <t>https://www.sortlist.co.uk/s/digital-advertising/united-kingdom-gb</t>
  </si>
  <si>
    <t>The 10 Best Digital Advertising Agencies in The United Kingdom - 2026 Reviews</t>
  </si>
  <si>
    <t>https://www.sortlist.co.uk/s/marketing-analytics/birmingham-england-gb</t>
  </si>
  <si>
    <t>The 10 Best Marketing Analytics Companies in Birmingham - 2026 Reviews</t>
  </si>
  <si>
    <t>https://www.sortlist.co.uk/s/paid-media/greater-london-england-gb</t>
  </si>
  <si>
    <t>The 10 Best Paid Media Agencies in Greater London - 2026 Reviews</t>
  </si>
  <si>
    <t>Push, Triple Whale, Northbeam, McKinsey &amp; Company, Momentum, M3.agency</t>
  </si>
  <si>
    <t>https://www.sortlist.co.uk/s/programmatic-advertising/united-kingdom-gb</t>
  </si>
  <si>
    <t>100+ Top Programmatic Advertising Companies in the UK - 2026 Reviews</t>
  </si>
  <si>
    <t>Push, Triple Whale, Northbeam, Momentum, M3.agency, Impression</t>
  </si>
  <si>
    <t>https://www.sortlist.com/marketing-analytics</t>
  </si>
  <si>
    <t>The 100 Best Marketing Analytics Companies - 2026 Reviews</t>
  </si>
  <si>
    <t>Ninja Promo</t>
  </si>
  <si>
    <t>https://sourceloop.ai/blog/best-marketing-measurement-tools/</t>
  </si>
  <si>
    <t>10 Best Marketing Measurement Tools: Compared in 2026 | SourceLoop</t>
  </si>
  <si>
    <t>Northbeam, Triple Whale, Measured, Recast, Rockerbox, Sellforte, Analytic Partners, Push, Cometly, Nielsen</t>
  </si>
  <si>
    <t>https://spicyadvisory.com/blog/best-ai-consulting-firms-london-uk-2026</t>
  </si>
  <si>
    <t>Best AI Consulting Firms in London &amp;amp; the UK (2026): An Honest Comparison | Spicy Advisory</t>
  </si>
  <si>
    <t>QuantumBlack, Measured</t>
  </si>
  <si>
    <t>https://superbcompanies.com/categories/digital-marketing-companies-in-the-uk/</t>
  </si>
  <si>
    <t>Top 100 Digital Marketing Companies in the United Kingdom - Jul 2026 | Ranking | SuperbCompanies</t>
  </si>
  <si>
    <t>Bird Marketing, The SEO Works, Found, Impression</t>
  </si>
  <si>
    <t>https://support.google.com/google-ads/answer/11410677?hl=en</t>
  </si>
  <si>
    <t>Google Partners directory - Google Ads Help</t>
  </si>
  <si>
    <t>https://techbehemoths.com/companies/google-marketing-platform/united-kingdom</t>
  </si>
  <si>
    <t>Top 20+ Google Marketing Platform Companies in United Kingdom (2026) - TechBehemoths</t>
  </si>
  <si>
    <t>https://thatware.co/top-10-seo-companies-in-uk/</t>
  </si>
  <si>
    <t>Top SEO Companies in UK | 10 Best UK SEO Agencies</t>
  </si>
  <si>
    <t>Ninja Promo, Impression, Genie Crawl, Rise at Seven, Builtvisible, Whitehat</t>
  </si>
  <si>
    <t>https://theaiconsultancy.ai/</t>
  </si>
  <si>
    <t>AI Consultancy for UK Businesses | The AI Consultancy</t>
  </si>
  <si>
    <t>https://www.thedrum.com/lists/world-creative-rankings/companies/the-most-awarded-agencies-uk-ireland/2026</t>
  </si>
  <si>
    <t>The Drum</t>
  </si>
  <si>
    <t>AMV BBDO, Adam&amp;eveDDB, VCCP, Mother London, Saatchi &amp; Saatchi, Ogilvy, BBH London, AKQA, Uncommon Creative Studio, WPP, Lucky Generals, Transmission, Further Group, Propeller, Momentum</t>
  </si>
  <si>
    <t>https://www.thegrowthsyndicate.com/agencies/best-b2b-digital-marketing-agencies-uk</t>
  </si>
  <si>
    <t>The 11 Best B2B Digital Marketing Agencies in the UK (2026)</t>
  </si>
  <si>
    <t>The Social Shepherd, Propellernet, Dentsu, LOCALiQ, Found</t>
  </si>
  <si>
    <t>https://themanifest.com/programmatic/agencies/uk</t>
  </si>
  <si>
    <t>The Best Programmatic Advertising Companies in United Kingdom - Jun 2026 \| The Manifest</t>
  </si>
  <si>
    <t>https://thetechfounders.co.uk/guides/10-best-ai-readiness-assessment-platforms-available-in-2026/#:~:text=Avanade's%20assessment%20is%20informed%20by,human%20side%20of%20AI%20adoption.</t>
  </si>
  <si>
    <t>10 Best AI Readiness Assessment Platforms Available in 2026 | The Tech Founders</t>
  </si>
  <si>
    <t>https://www.thetimes.co.uk/article/open-communication-partners-fastest-growing-sunday-times-100-3m3klfjkf</t>
  </si>
  <si>
    <t>Open Partners</t>
  </si>
  <si>
    <t>https://www.theverge.com/tech/900302/ai-seo-industry-google-search-chatgpt-gemini-marketing</t>
  </si>
  <si>
    <t>Can AI responses be influenced? The SEO industry is trying | The Verge</t>
  </si>
  <si>
    <t>Huge, Found, Recast</t>
  </si>
  <si>
    <t>https://www.tilio.co.uk/ai-search-agency</t>
  </si>
  <si>
    <t>UK AI Search Agency | AI Search Optimisation Services | Tilio</t>
  </si>
  <si>
    <t>Tilio, Found, Measured</t>
  </si>
  <si>
    <t>https://www.topseobrands.com/uk/best-display-advertising-firms-in-uk/page/8</t>
  </si>
  <si>
    <t>https://trendfingers.com/signals/marketing-attribution-models-2026.html</t>
  </si>
  <si>
    <t>Marketing Attribution Models in 2026: What Actually Works for UK Agencies | Trendfingers</t>
  </si>
  <si>
    <t>Measured, Cometly, Found</t>
  </si>
  <si>
    <t>https://www.trinitybps.com/ai-consulting</t>
  </si>
  <si>
    <t>AI Adoption Consulting — ARTHA &amp;amp; PRISM | Trinity Bridge PS</t>
  </si>
  <si>
    <t>https://uk.linkedin.com/company/lynchpin-analytics-ltd</t>
  </si>
  <si>
    <t>Lynchpin | LinkedIn</t>
  </si>
  <si>
    <t>https://uk.linkedin.com/company/queryclick</t>
  </si>
  <si>
    <t>QueryClick | LinkedIn</t>
  </si>
  <si>
    <t>https://www.vayro.co.uk/ai-consulting</t>
  </si>
  <si>
    <t>AI Consulting for UK Businesses | VAYRO</t>
  </si>
  <si>
    <t>https://visarc.uk/services/digital-marketing-agency/web-analytics-agency/#:~:text=Web%20Analytics%20and%20Product%20Analytics,analytics%20workflows%20like%20software%20engineers</t>
  </si>
  <si>
    <t>Web Analytics and Product Analytics Agency UK, Enterprise Solutions | Visarc</t>
  </si>
  <si>
    <t>https://weareagentsofchange.com/services/ai-consultancy/</t>
  </si>
  <si>
    <t>AI Consultancy for Marketing Agencies - Agents of Change</t>
  </si>
  <si>
    <t>https://weareaudiences.com/</t>
  </si>
  <si>
    <t>AUDIENCES | In-Cloud Signal Distribution for First-Party Data</t>
  </si>
  <si>
    <t>https://www.webtonic.io/blog/top-conversion-rate-optimisation-agencies-london</t>
  </si>
  <si>
    <t>25 Top Conversion Rate Optimisation Agencies in London for 2026</t>
  </si>
  <si>
    <t>Impression, Anicca Digital</t>
  </si>
  <si>
    <t>https://www.webtonic.io/blog/top-social-media-agencies-uk</t>
  </si>
  <si>
    <t>Top 48 Social Media Agencies in the UK (Reviewed in 2026)</t>
  </si>
  <si>
    <t>The Social Shepherd, We Are Social, Social Chain, WPP, Born Social, Brainlabs, Ninja Promo, Make Agency, Croud, The Good Marketer, Gripped, Measured, inBeat, Bird Marketing, Disrupt Marketing, Soap Media</t>
  </si>
  <si>
    <t>https://whitehat-seo.co.uk/blog/ai-consultancy-ai-consulting</t>
  </si>
  <si>
    <t>AI Consultancy &amp; Implementation Services UK \| Whitehat</t>
  </si>
  <si>
    <t>https://www.xamun.ai/ai-consulting-uk</t>
  </si>
  <si>
    <t>AI Consulting UK | AI Transformation Company in London | Xamun</t>
  </si>
  <si>
    <t>Found, Measured, EY</t>
  </si>
  <si>
    <t>https://www.zendikt.com/top-10-marketing-attribution-software/united-kingdom</t>
  </si>
  <si>
    <t>https://www.11x.marketing/blog/what-is-performance-marketing-agency</t>
  </si>
  <si>
    <t>What Is a Performance Marketing Agency? - 11x Marketing</t>
  </si>
  <si>
    <t>https://www.20northmarketing.com/blog/top-ai-optimization-agencies</t>
  </si>
  <si>
    <t>Top AI Optimization Agencies | 20North Marketing | 20North</t>
  </si>
  <si>
    <t>https://www.21digital.agency/blog/were-a-google-premier-partner-for-2026/</t>
  </si>
  <si>
    <t>We’re A Google Premier Partner For 2026 | 21Digital</t>
  </si>
  <si>
    <t>https://www.2pointagency.com/glossary/data-activation-and-first-party-data-strategy-a-comprehensive-guide-for-businesses/</t>
  </si>
  <si>
    <t>Data Activation and First-Party Data Strategy: A Comprehensive Guide for Businesses - 2POINT Agency - Best Digital Marketing Agency</t>
  </si>
  <si>
    <t>https://www.303.london/blog/top-creative-agencies-uk</t>
  </si>
  <si>
    <t>Top Creative Agencies in the UK 2023/24</t>
  </si>
  <si>
    <t>https://www.360strategy.co.uk/ai-consulting-and-governance-scotland-uk</t>
  </si>
  <si>
    <t>AI Readiness Audit &amp;amp; Consulting | 360 Strategy</t>
  </si>
  <si>
    <t>https://www.50pros.com/hire/market-research</t>
  </si>
  <si>
    <t>Top Market Research Agencies to Hire in June 2026</t>
  </si>
  <si>
    <t>Huge, Found, Push</t>
  </si>
  <si>
    <t>https://94n.digital/best-paid-media-agency-for-shopify-brands-uk/</t>
  </si>
  <si>
    <t>https://www.aatechlab.co.uk/blog</t>
  </si>
  <si>
    <t>Digital Marketing Blog | Local SEO, Google Ads &amp;amp; Growth Tips | AA Tech Lab</t>
  </si>
  <si>
    <t>https://www.ada-digital.co.uk/google-partner</t>
  </si>
  <si>
    <t>Google Partners | Google Certified Agency</t>
  </si>
  <si>
    <t>https://adassoc.org.uk/creative-leaders/</t>
  </si>
  <si>
    <t>UK Creative Leaders - Advertising Association</t>
  </si>
  <si>
    <t>Kantar, Ogilvy, Huge, Saatchi &amp; Saatchi, Found, Omnicom, Adam&amp;eveDDB, Lucky Generals, AMV BBDO, BBH London, Dentsu, AKQA, WPP, Uncommon Creative Studio, Jellyfish, VCCP, Publicis Groupe, Monks</t>
  </si>
  <si>
    <t>https://adassoc.org.uk/ukadvertising-companies/</t>
  </si>
  <si>
    <t>UKAEG Companies Archive - Advertising Association</t>
  </si>
  <si>
    <t>Adam&amp;eveDDB, Huge, Croud, Push, Found, VCCP</t>
  </si>
  <si>
    <t>https://adoption.microsoft.com/en-us/ai-readiness-wizard/</t>
  </si>
  <si>
    <t>AI Readiness Wizard – Microsoft Adoption</t>
  </si>
  <si>
    <t>https://ads.google.com/home/resources/advanced/agency-directory/</t>
  </si>
  <si>
    <t>Find a trusted Google App campaigns creative agency</t>
  </si>
  <si>
    <t>https://www.adstellar.ai/blog/media-buying-automation-tools</t>
  </si>
  <si>
    <t>Top 9 Media Buying Automation Tools: 2026… | AdStellar</t>
  </si>
  <si>
    <t>https://www.advance-adtech.com/people</t>
  </si>
  <si>
    <t>Advance Adtech | Marketing Measurement &amp;amp; Analytics Agency UK (MMM, Attribution, Incrementality) experts — ADVANCE</t>
  </si>
  <si>
    <t>https://www.advanced-television.com/2026/03/17/smartly-acquires-incrmntal-measurement-platform/</t>
  </si>
  <si>
    <t>Smartly set to acquire Incrmntal | Advanced Television</t>
  </si>
  <si>
    <t>https://advanttechnology.com/programmatic-agency-london-meet-the-experts/</t>
  </si>
  <si>
    <t>Programmatic Agency London: Meet the Experts | Blog</t>
  </si>
  <si>
    <t>https://adzooma.com/blog/top-10-advertising-agencies-in-the-uk/</t>
  </si>
  <si>
    <t>Top 10 Advertising Agencies In The UK | Adzooma</t>
  </si>
  <si>
    <t>Ogilvy, Saatchi &amp; Saatchi, The Brains, Adam&amp;eveDDB, BBH London, Found</t>
  </si>
  <si>
    <t>https://aeo-rex.com/blog/best-aeo-agencies-uk-2026</t>
  </si>
  <si>
    <t>Best AEO Agencies in the UK (2026), Answer Engine Optimisation Consultancies Ranked</t>
  </si>
  <si>
    <t>ClickSlice, The SEO Works, Push, Push Group, Varn</t>
  </si>
  <si>
    <t>https://aeoengine.ai/blog</t>
  </si>
  <si>
    <t>AEO Engine Blog</t>
  </si>
  <si>
    <t>https://www.afiniti.co.uk/insights/ai-adoption/</t>
  </si>
  <si>
    <t>AI Adoption: A Playbook for People-First Transformation - Afiniti</t>
  </si>
  <si>
    <t>Push, Momentum, Found</t>
  </si>
  <si>
    <t>https://agencies.semrush.com/list/advertising/united-kingdom/small-business/</t>
  </si>
  <si>
    <t>Best Advertising Agencies for Small Business in United Kingdom 2026 | Semrush</t>
  </si>
  <si>
    <t>Found, Impression, Click Intelligence, Soap Media</t>
  </si>
  <si>
    <t>https://agencies.semrush.com/list/ai-optimization/united-kingdom/mid-business/</t>
  </si>
  <si>
    <t>Best AI Search Optimization Agencies for Mid Business in United Kingdom 2026 | Semrush</t>
  </si>
  <si>
    <t>https://agencies.semrush.com/list/display-advertising/</t>
  </si>
  <si>
    <t>Best Display Ads Agencies in the World 2026 | Semrush</t>
  </si>
  <si>
    <t>https://agencies.semrush.com/list/los-angeles/</t>
  </si>
  <si>
    <t>Best Digital Marketing Agencies in Los Angeles 2026 | Semrush</t>
  </si>
  <si>
    <t>https://agencies.semrush.com/list/machine-learning-and-ai/london-city/</t>
  </si>
  <si>
    <t>Best Machine Learning and AI Services in London 2026 | Semrush</t>
  </si>
  <si>
    <t>https://agencies.semrush.com/list/ppc/united-kingdom/</t>
  </si>
  <si>
    <t>Best PPC Agencies in United Kingdom 2026 | Semrush</t>
  </si>
  <si>
    <t>Found, Impression, Passion Digital, Soap Media</t>
  </si>
  <si>
    <t>https://agencies.semrush.com/list/ppc/united-states/</t>
  </si>
  <si>
    <t>Best PPC Agencies in United States 2026 | Semrush</t>
  </si>
  <si>
    <t>Whitehat</t>
  </si>
  <si>
    <t>https://agencybyagency.com/</t>
  </si>
  <si>
    <t>Agency by Agency</t>
  </si>
  <si>
    <t>Found, weDiscover</t>
  </si>
  <si>
    <t>https://agencybyagency.com/atlas/</t>
  </si>
  <si>
    <t>The Agency by Agency Atlas 2026</t>
  </si>
  <si>
    <t>https://agencylocator.io/r-ga-vs-accenture-interactive</t>
  </si>
  <si>
    <t>R/GA vs AKQA: Which Digital Agency Suits Your Needs Best? · agencylocator</t>
  </si>
  <si>
    <t>AKQA, WPP, Deloitte Digital, Huge, Accenture Song, Push, Found</t>
  </si>
  <si>
    <t>https://agencylocator.io/rga-vs-sapient-nitro</t>
  </si>
  <si>
    <t>R/GA vs AKQA: Agency Titans Compared for Digital Transformation · agencylocator</t>
  </si>
  <si>
    <t>AKQA, Deloitte Digital, WPP, Accenture Song, Push, Found, Huge, Power Digital</t>
  </si>
  <si>
    <t>https://agencysort.com/agencies</t>
  </si>
  <si>
    <t>Browse Marketing Agencies | AgencySort | AgencySort</t>
  </si>
  <si>
    <t>Found, Anicca Digital, Artefact, Bird Marketing, Brainlabs, Builtvisible, Favoured, FirstMotion, GA Agency, Hallam, Impression, Koozai, PPC Geeks, Propeller, Screaming Frog, The SEO Works, VCCP</t>
  </si>
  <si>
    <t>https://www.agilitytech.ai/ai-consulting-uk</t>
  </si>
  <si>
    <t>AI Consulting UK \| Agility Tech</t>
  </si>
  <si>
    <t>https://www.ai-expert.co.uk/</t>
  </si>
  <si>
    <t>AI Consultancy UK, Artificial Intelligence Consulting Firm</t>
  </si>
  <si>
    <t>https://www.ai-expert.co.uk/blog/how-do-i-know-if-ai-consulting-firms-are-legitimate</t>
  </si>
  <si>
    <t>How Do I Know If AI Consulting Firms Are Legitimate? | AI Expert</t>
  </si>
  <si>
    <t>https://aiadvantageagency.com/first-party-data-strategy/</t>
  </si>
  <si>
    <t>First-Party Data Strategy for AI Advertising in 2026</t>
  </si>
  <si>
    <t>Impression, Triple Whale, Northbeam</t>
  </si>
  <si>
    <t>https://aiblmedia.com/posts/ai-readiness-assessment/</t>
  </si>
  <si>
    <t>AI Readiness Assessment: 10-Point Checklist | aibl</t>
  </si>
  <si>
    <t>https://aiblmedia.com/practical-ai-insights/research/</t>
  </si>
  <si>
    <t>UK AI Adoption Research Reports 2026 | aibl</t>
  </si>
  <si>
    <t>https://aigeo360.com/gis-companies-in-uk/</t>
  </si>
  <si>
    <t>Top 10 GIS Companies in UK | Best Geospatial Firms in 2025</t>
  </si>
  <si>
    <t>https://www.aimerce.ai/blogs/seo/top-5-incrementality-testing-tools-for-dtc-brands-in-2026</t>
  </si>
  <si>
    <t>Top 5 Incrementality Testing Tools for DTC Brands in 2026</t>
  </si>
  <si>
    <t>Northbeam, Triple Whale, Measured</t>
  </si>
  <si>
    <t>https://alexbirkett.com/digital-pr-agencies/</t>
  </si>
  <si>
    <t>The 7 Best Digital PR Agencies in 2026 - Alex Birkett</t>
  </si>
  <si>
    <t>Omniscient Digital, Power Digital</t>
  </si>
  <si>
    <t>https://ality.co.uk/</t>
  </si>
  <si>
    <t>ality™ Advertising Agency │ Performance Marketing Agency</t>
  </si>
  <si>
    <t>https://altorise.com/hub/content-marketing-agency-in-london/</t>
  </si>
  <si>
    <t>Best 15 Content Marketing Agency in London in 2026 - Altorise Hub</t>
  </si>
  <si>
    <t>Passion Digital, The Good Marketer, The Social Shepherd, Found, NoGood, LOCALiQ, Measured</t>
  </si>
  <si>
    <t>https://amplitude.com/explore/digital-marketing/marketing-attribution-guide</t>
  </si>
  <si>
    <t>A Quick Guide to Marketing Attribution</t>
  </si>
  <si>
    <t>https://www.amraandelma.com/influencer-growth-agencies-in-the-us/</t>
  </si>
  <si>
    <t>7 INFLUENCER GROWTH AGENCIES CRUSHING REACH REVENUE AND VIRALITY IN 2026</t>
  </si>
  <si>
    <t>https://www.amraandelma.com/sports-social-media-management-agencies/</t>
  </si>
  <si>
    <t>7 BEST SPORTS SOCIAL MEDIA MANAGEMENT AGENCIES SECRETLY DOMINATING FAN CULTURE IN 2026</t>
  </si>
  <si>
    <t>https://analytics.co.uk/</t>
  </si>
  <si>
    <t>Digital Marketing Analytics Agency | Up Analytics</t>
  </si>
  <si>
    <t>https://anglux.uk/</t>
  </si>
  <si>
    <t>Anglux - Boutique SEO Agency &amp;amp; AI Search Consultants London</t>
  </si>
  <si>
    <t>https://www.appearonline.co.uk/blog/best-uk-digital-marketing-agencies</t>
  </si>
  <si>
    <t>10 Best UK Digital Marketing Agencies (2026) | Appear Online</t>
  </si>
  <si>
    <t>The SEO Works, Blue Array, Builtvisible, Impression, Hallam, Found, Rise at Seven</t>
  </si>
  <si>
    <t>https://www.applytosupply.digitalmarketplace.service.gov.uk/g-cloud/services/602733690017788</t>
  </si>
  <si>
    <t>AI Introduction Readiness - Digital Marketplace</t>
  </si>
  <si>
    <t>https://www.applytosupply.digitalmarketplace.service.gov.uk/g-cloud/services/608005596200288</t>
  </si>
  <si>
    <t>AI Readiness Assessment - Digital Marketplace</t>
  </si>
  <si>
    <t>https://apps.digicatapult.org.uk/ai-adoption-toolkit/#:~:text=AI%20Adoption%20Toolkit%20%2D%20Digital%20Catapult</t>
  </si>
  <si>
    <t>AI Adoption Toolkit - Digital Catapult</t>
  </si>
  <si>
    <t>https://www.artefact.com/blog/unleash-the-power-of-first-party-data-with-a-customer-data-platform/</t>
  </si>
  <si>
    <t>Unleash the power of first-party data with a Customer Data Platform - Artefact</t>
  </si>
  <si>
    <t>Artefact, Merkle, Push, Measured, Found</t>
  </si>
  <si>
    <t>https://arxiv.org/abs/2509.08919</t>
  </si>
  <si>
    <t>[2509.08919] Generative Engine Optimization: How to Dominate AI Search</t>
  </si>
  <si>
    <t>https://arxiv.org/abs/2604.07585</t>
  </si>
  <si>
    <t>[2604.07585] Don't Measure Once: Measuring Visibility in AI Search (GEO)</t>
  </si>
  <si>
    <t>https://arxiv.org/abs/2606.04362</t>
  </si>
  <si>
    <t>[2606.04362] Disentangling Answer Engine Optimization from Platform Growth: A Log-Based Natural Experiment on ChatGPT Referral Traffic</t>
  </si>
  <si>
    <t>https://www.assertive-media.co.uk/digital-marketing/ppc/</t>
  </si>
  <si>
    <t>PPC Services | UK Pay Per Click Management Agency - Assertive | Assertive Media</t>
  </si>
  <si>
    <t>https://www.atigro.com/consulting/ai-integration-strategy/</t>
  </si>
  <si>
    <t>AI Integration Strategy | Atigro</t>
  </si>
  <si>
    <t>https://www.attnagency.com/blog/first-party-data-activation-cdp-ad-platform-strategy</t>
  </si>
  <si>
    <t>First-Party Data Activation: From CDP to Ad Platform Profitability | ATTN Agency</t>
  </si>
  <si>
    <t>https://audigent.com/#:~:text=Audigent%20%7C%20The%20Leading%20Data%20Activation,activation%2C%20curation%20and%20identity%20platform.</t>
  </si>
  <si>
    <t>Audigent | The Leading Data Activation, Curation and Identity Platform</t>
  </si>
  <si>
    <t>https://audigent.com/caseStudies/</t>
  </si>
  <si>
    <t>https://auditynow.com/blog/best-ai-readiness-assessment-tools</t>
  </si>
  <si>
    <t>8 Best AI Readiness Assessment Tools for Consulting Firms (2026)</t>
  </si>
  <si>
    <t>Found, NoGood, Momentum</t>
  </si>
  <si>
    <t>https://www.avaus.com/blog/how-media-agencies-can-utilize-first-party-data-to-drive-better-results/</t>
  </si>
  <si>
    <t>How media agencies can utilize first-party data to drive better results - Avaus</t>
  </si>
  <si>
    <t>https://www.avorioproductions.com/</t>
  </si>
  <si>
    <t>Avorio | Subscription Video Production &amp;amp; Fractional Creative Teams</t>
  </si>
  <si>
    <t>https://www.awarenessai.co.uk/blogs/top-geo-and-ai-visibility-agencies-in-the-uk-2026</t>
  </si>
  <si>
    <t>Top GEO and AI Visibility Agencies in the UK (2026) | AwarenessAI Blog</t>
  </si>
  <si>
    <t>https://www.b2bmarketing.net/top-10-uk-marketing-agencies-blog/</t>
  </si>
  <si>
    <t>Revealed: Top 10 B2B UK Agencies 2026 - B2B Marketing</t>
  </si>
  <si>
    <t>https://www.back9.co.nz/how-to-find-a-certified-google-partner/</t>
  </si>
  <si>
    <t>Certified Google Partner: How to find the best one for you - Back9 Digital</t>
  </si>
  <si>
    <t>https://www.backhouse.com/</t>
  </si>
  <si>
    <t>Backhouse // Embedded production company for brands, agencies, and studios</t>
  </si>
  <si>
    <t>https://bark.london/services/data-science/attribution-modelling/</t>
  </si>
  <si>
    <t>Attribution Modelling Agency — BARK</t>
  </si>
  <si>
    <t>https://bark.london/services/paid-media/paid-social/</t>
  </si>
  <si>
    <t>Paid Social Agency London — BARK</t>
  </si>
  <si>
    <t>https://bcn.co.uk/resources/ai-consultants/</t>
  </si>
  <si>
    <t>AI Consultants - BCN</t>
  </si>
  <si>
    <t>https://belkins.io/blog/best-appointment-setting-companies-uk</t>
  </si>
  <si>
    <t>7 Best B2B Appointment Setting Companies in UK for 2024</t>
  </si>
  <si>
    <t>https://www.benchmarketing.org/performance-marketing-agency/london</t>
  </si>
  <si>
    <t>Performance Marketing Agencies in London | Benchmarketing</t>
  </si>
  <si>
    <t>Croud, Builtvisible, Favoured</t>
  </si>
  <si>
    <t>https://benly.ai/learn/ai-marketing/best-attribution-tools-2026</t>
  </si>
  <si>
    <t>11 Best Marketing Attribution Tools in 2026</t>
  </si>
  <si>
    <t>Northbeam, Triple Whale, Rockerbox, Measured, Ruler Analytics</t>
  </si>
  <si>
    <t>https://beomniscient.com/blog/growth-marketing-agency/</t>
  </si>
  <si>
    <t>The 16 Best Growth Marketing Agencies in 2026 - Omniscient Digital</t>
  </si>
  <si>
    <t>Omniscient Digital, Ignite Visibility, Single Grain, Disruptive Advertising, NoGood, Directive Consulting, NP Digital, Superside, Momentum</t>
  </si>
  <si>
    <t>https://beomniscient.com/blog/marketing-agencies/</t>
  </si>
  <si>
    <t>The 6 Best Marketing Agencies in 2026 - Omniscient Digital</t>
  </si>
  <si>
    <t>Omniscient Digital, Disruptive Advertising, NoGood</t>
  </si>
  <si>
    <t>https://best-ai-readiness-assessments.com/</t>
  </si>
  <si>
    <t>Best AI Readiness Assessments of 2026: Top 9 Ranked</t>
  </si>
  <si>
    <t>https://www.bestadsontv.com/rankings.php?category=All&amp;country=United_Kingdom&amp;period=2025&amp;role=agency</t>
  </si>
  <si>
    <t>https://bhavpro.com/ai-seo-agency/</t>
  </si>
  <si>
    <t>AI SEO Agency UK | AI SEO, AEO &amp;amp; GEO Services</t>
  </si>
  <si>
    <t>https://bind.media/</t>
  </si>
  <si>
    <t>Bind Media | Performance Marketing Agency | Paid Media, Creative, CRO…</t>
  </si>
  <si>
    <t>Bind Media, Push</t>
  </si>
  <si>
    <t>https://bind.media/services/paid-media</t>
  </si>
  <si>
    <t>Paid Media Agency | Bind Media</t>
  </si>
  <si>
    <t>https://bird.co.uk/enterprise/</t>
  </si>
  <si>
    <t>Enterprise Digital Marketing Agency UK - Bird Marketing</t>
  </si>
  <si>
    <t>https://www.bizzabo.com/blog/top-uk-event-agencies</t>
  </si>
  <si>
    <t>The Top UK Event Agencies for 2024</t>
  </si>
  <si>
    <t>Adam&amp;eveDDB, AMV BBDO, BBH London, Push, Lucky Generals, Merkle, Mother London, Saatchi &amp; Saatchi, VCCP, WPP</t>
  </si>
  <si>
    <t>https://www.blendb2b.com/resources/best-aeo-agencies-for-b2b-companies</t>
  </si>
  <si>
    <t>The 6 best B2B AEO agencies in 2026</t>
  </si>
  <si>
    <t>Passion Digital, Single Grain, Siege Media, Measured</t>
  </si>
  <si>
    <t>https://www.bluearray.co.uk/agency-directory/best-influencer-agencies-in-the-uk/</t>
  </si>
  <si>
    <t>Best Influencer Agencies in the UK - Blue Array SEO</t>
  </si>
  <si>
    <t>Blue Array, Disrupt Marketing, Push</t>
  </si>
  <si>
    <t>https://www.blueduckagency.com/blog/incrementality</t>
  </si>
  <si>
    <t>How to Add Incrementality Testing to Your Marketing Campaigns | Blue Duck Agency</t>
  </si>
  <si>
    <t>https://www.bluefrontier.co.uk/digital-marketing/seo</t>
  </si>
  <si>
    <t>SEO Agency | Search Engine Optimisation Services | UK</t>
  </si>
  <si>
    <t>https://blueprintdemand.com/top-10-display-advertising-agency-partners-for-2026/</t>
  </si>
  <si>
    <t>10 Best B2B Display Advertising Agency Partners (2026) – Blueprint Demand: Demand Generation Experts</t>
  </si>
  <si>
    <t>Measured, Impression, Momentum, Single Grain</t>
  </si>
  <si>
    <t>https://www.brainlabsdigital.com/home/</t>
  </si>
  <si>
    <t>Home - Brainlabs</t>
  </si>
  <si>
    <t>Brainlabs, The Brains</t>
  </si>
  <si>
    <t>https://www.brainlabsdigital.com/navigating-ga4-attribution-shifts-and-elevating-paid-search-performance/</t>
  </si>
  <si>
    <t>Navigating GA4 Attribution Shifts and Elevating Paid Search Performance</t>
  </si>
  <si>
    <t>Brainlabs, Impression</t>
  </si>
  <si>
    <t>https://www.brandedagency.com/blog/top-digital-marketing-agencies</t>
  </si>
  <si>
    <t>Best Digital Marketing Agencies for Growth in 2026</t>
  </si>
  <si>
    <t>Found, Measured, WebFX, Ignite Visibility, Ninja Promo</t>
  </si>
  <si>
    <t>https://brandience.com/insights/measuring-success-attribution-models-explained-by-a-full-service-agency</t>
  </si>
  <si>
    <t>Measuring Success: Attribution Models Explained by a Full‑Service Agency | Brandience</t>
  </si>
  <si>
    <t>https://www.brandlective.com/2025/11/03/how-reddit-fits-into-a-geo-aeo-strategy/</t>
  </si>
  <si>
    <t>How Reddit Fits Into a GEO &amp;amp; AEO Strategy – Brandlective Communications Ltd</t>
  </si>
  <si>
    <t>https://brandnation.co.uk/paid-media-agency/</t>
  </si>
  <si>
    <t>Paid Media Agency | Brandnation London: Creativity. Multiplied.</t>
  </si>
  <si>
    <t>https://www.brandsandagencies.co.uk/news-insights/uk-best-integrated-marketing-agencies/</t>
  </si>
  <si>
    <t>Top UK Integrated Marketing Agencies 2025 | Insight guide | Brands &amp;amp; Agencies</t>
  </si>
  <si>
    <t>https://brandspeak.co.uk/blog/top-10-market-research-agencies/</t>
  </si>
  <si>
    <t>Best Market Research Agencies in the UK (2026) \| Compared &amp; Reviewed</t>
  </si>
  <si>
    <t>https://brentonway.com/blog/top-performance-marketing-agencies</t>
  </si>
  <si>
    <t>Top 25 Performance Marketing Agencies in 2026 | Brenton Way</t>
  </si>
  <si>
    <t>Push, NoGood, inBeat, Disruptive Advertising, Directive Consulting, Power Digital</t>
  </si>
  <si>
    <t>https://www.brightnetwork.co.uk/graduate-jobs/ekimetrics/data-science-marketing-effectiveness-summer-internship-london-2026</t>
  </si>
  <si>
    <t>Data Science &amp;amp; Marketing Effectiveness Summer Internship 2026 - Ekimetrics | Bright Network</t>
  </si>
  <si>
    <t>https://brysa.co.uk/insights/top-ai-consulting-companies-uk</t>
  </si>
  <si>
    <t>Top AI Transformation Consulting Companies in the UK</t>
  </si>
  <si>
    <t>https://builtin.com/articles/marketing-companies-uk</t>
  </si>
  <si>
    <t>24 Marketing Companies in the UK to Know | Built In</t>
  </si>
  <si>
    <t>https://www.buriedagency.com/services/geo</t>
  </si>
  <si>
    <t>GEO Agency: Generative Engine Optimisation Services | BURIED</t>
  </si>
  <si>
    <t>Buried Agency, Measured, Huge, Impression</t>
  </si>
  <si>
    <t>https://business.adobe.com/blog/basics/marketing-attribution</t>
  </si>
  <si>
    <t>Marketing attribution — models and best practices</t>
  </si>
  <si>
    <t>https://business.google.com/us/think/measurement/incrementality-testing/</t>
  </si>
  <si>
    <t>https://business.yell.com/features/paid-media/display/</t>
  </si>
  <si>
    <t>Expertly Managed Display Advertising Campaigns for Growth</t>
  </si>
  <si>
    <t>https://www.businessinsider.com/ai-search-reshapes-seo-fueling-geo-gold-rush-2025-11</t>
  </si>
  <si>
    <t>AI Search Reshapes SEO, Fueling GEO Gold Rush - Business Insider</t>
  </si>
  <si>
    <t>Huge, Found, Measured, WPP</t>
  </si>
  <si>
    <t>https://www.businessinsider.com/bain-cmo-erika-serow-cannes-lions-2026-7</t>
  </si>
  <si>
    <t>Bain's Erika Serow Says AI Strategy Has Evolved for the Better - Business Insider</t>
  </si>
  <si>
    <t>https://www.businessofapps.com/marketplace/performance-marketing/</t>
  </si>
  <si>
    <t>Top Performance Marketing Agencies (2026) - Business of Apps</t>
  </si>
  <si>
    <t>Push, The Social Shepherd, Measured, Favoured, Incubeta</t>
  </si>
  <si>
    <t>https://careerfoundry.com/en/blog/digital-marketing/top-digital-marketing-agencies/</t>
  </si>
  <si>
    <t>The Top 10 Best Digital Marketing Agencies in the World</t>
  </si>
  <si>
    <t>Momentum, Huge, WebFX, Disruptive Advertising, WPP, Ogilvy, GroupM, Omnicom, Publicis Groupe, Dentsu</t>
  </si>
  <si>
    <t>https://www.causalityengine.ai/resources/best-incrementality-testing-platforms</t>
  </si>
  <si>
    <t>Best Incrementality Testing Platforms for True ROI. Causality Engine</t>
  </si>
  <si>
    <t>Measured, Recast, Triple Whale, Northbeam, Rockerbox</t>
  </si>
  <si>
    <t>https://www.cbinsights.com/esp/enterprise-tech/marketing-&amp;-ad-tech/marketing-attribution</t>
  </si>
  <si>
    <t>Marketing Attribution - ESP on CB Insights</t>
  </si>
  <si>
    <t>Measured, Northbeam, Rockerbox</t>
  </si>
  <si>
    <t>https://cdp.com/glossary/data-management-platform-dmp-vendors/</t>
  </si>
  <si>
    <t>DMP Vendors 2026: Top Data Management Platforms | CDP.com</t>
  </si>
  <si>
    <t>Neustar, Nielsen</t>
  </si>
  <si>
    <t>https://ceek.co.uk/</t>
  </si>
  <si>
    <t>CEEK Marketing \| Best Digital Marketing Agency In London</t>
  </si>
  <si>
    <t>https://www.cgi.com/uk/en-gb/geospatial-services</t>
  </si>
  <si>
    <t>Geospatial Services | CGI UK</t>
  </si>
  <si>
    <t>https://www.chaosdesign.com/who-we-are/</t>
  </si>
  <si>
    <t>Who We Are | Award Winning Agency | Chaos</t>
  </si>
  <si>
    <t>https://www.choreograph.com/#:~:text=As%20a%20Google%20Marketing%20Platform,technology%20investment%20and%20media%20performance.</t>
  </si>
  <si>
    <t>Welcome To Choreograph.com, WPP’s global data company</t>
  </si>
  <si>
    <t>https://www.cigen.io/services/ai-adoption-strategy-consulting</t>
  </si>
  <si>
    <t>AI Strategy Consulting &amp;amp; Adoption Roadmap Services</t>
  </si>
  <si>
    <t>https://circusppc.com/</t>
  </si>
  <si>
    <t>Strategic PPC Agency | Paid Ads Specialists | Circus PPC</t>
  </si>
  <si>
    <t>https://cleandigital.co.uk/</t>
  </si>
  <si>
    <t>PPC Agency UK | Paid Media Specialists | Clean Digital</t>
  </si>
  <si>
    <t>https://www.clickintelligence.co.uk/</t>
  </si>
  <si>
    <t>SEO Agency UK | SEO, AI Search, Link Building &amp;amp; Digital PR | Click Intelligence</t>
  </si>
  <si>
    <t>Click Intelligence</t>
  </si>
  <si>
    <t>https://www.clickintelligence.co.uk/guides/agency-lists/seo/best-geo-seo-agencies/</t>
  </si>
  <si>
    <t>6 Best GEO SEO Companies and Agencies (2026) — UK, US &amp; Global</t>
  </si>
  <si>
    <t>Click Intelligence, Whitehat, Huge</t>
  </si>
  <si>
    <t>https://clickmarketing.co.uk/answer-engine-optimisation/</t>
  </si>
  <si>
    <t>Answer Engine Optimisation (AEO) | Click Marketing UK</t>
  </si>
  <si>
    <t>https://clicksgeek.com/best-marketing-agency-for-roi/</t>
  </si>
  <si>
    <t>Best Marketing Agency For ROI: 7 Proven Strategies</t>
  </si>
  <si>
    <t>https://clicksgeek.com/best-paid-advertising-platforms-for-small-business/</t>
  </si>
  <si>
    <t>Best Paid Advertising Platforms For Small Business 2026</t>
  </si>
  <si>
    <t>https://clicksgeek.com/best-roi-digital-marketing-agencies/</t>
  </si>
  <si>
    <t>Best ROI Digital Marketing Agencies: Expert Guide 2026</t>
  </si>
  <si>
    <t>https://clicksgeek.com/best-roi-focused-marketing-agencies/</t>
  </si>
  <si>
    <t>Best ROI Focused Marketing Agencies: 2026 Guide &amp;amp; Tips</t>
  </si>
  <si>
    <t>https://clicksgeek.com/best-roi-focused-marketing-agency/</t>
  </si>
  <si>
    <t>Best ROI Focused Marketing Agency: 7 Proven Strategies</t>
  </si>
  <si>
    <t>https://clicksgeek.com/best-roi-marketing-agencies/</t>
  </si>
  <si>
    <t>Best ROI Marketing Agencies: 7 Proven Strategies 2026</t>
  </si>
  <si>
    <t>Measured, Push</t>
  </si>
  <si>
    <t>https://www.clickslice.co.uk/best-ecommerce-seo-agencies-uk/</t>
  </si>
  <si>
    <t>10 Best eCommerce SEO Agencies in the UK 2026</t>
  </si>
  <si>
    <t>ClickSlice, Rise at Seven, Builtvisible, Brainlabs, Screaming Frog</t>
  </si>
  <si>
    <t>https://www.clickslice.co.uk/generative-engine-optimisation-geo-services/</t>
  </si>
  <si>
    <t>Generative Engine Optimisation (GEO) – Dominate AI Search</t>
  </si>
  <si>
    <t>https://www.clickslice.co.uk/local-seo-services-london/</t>
  </si>
  <si>
    <t>Local SEO Services London | UK Company | ClickSlice - ClickSlice</t>
  </si>
  <si>
    <t>ClickSlice, Huge</t>
  </si>
  <si>
    <t>https://www.clickslice.co.uk/recommended-aeo-agencies-for-ai-visibility/</t>
  </si>
  <si>
    <t>7 Recommended UK Agencies Leading the Way in AI Visibility</t>
  </si>
  <si>
    <t>https://www.clickslice.co.uk/roi-focused-ecommerce-seo-agencies/</t>
  </si>
  <si>
    <t>9 ROI-Focused eCommerce SEO Agencies – 2026 List &amp;amp; Buyer’s Guide</t>
  </si>
  <si>
    <t>ClickSlice, Builtvisible, Brainlabs, Bird Marketing</t>
  </si>
  <si>
    <t>https://clickstrike.com/blog/ai-marketing-agencies/</t>
  </si>
  <si>
    <t>Top AI Marketing Agencies in 2026: 7 Best Partners for AI Companies | Clickstrike</t>
  </si>
  <si>
    <t>NoGood, Directive Consulting, Single Grain, Ninja Promo, Found</t>
  </si>
  <si>
    <t>https://clicktrain.com/en-gb/ppc-agencies/</t>
  </si>
  <si>
    <t>PPC Agencies in the United Kingdom 2026 Rankings</t>
  </si>
  <si>
    <t>https://clutch.co/agencies/account-based-marketing/uk</t>
  </si>
  <si>
    <t>Top Account Based Marketing Agencies in the United Kingdom - Jul 2026 Rankings \| Clutch.co</t>
  </si>
  <si>
    <t>Found, Gripped, Momentum</t>
  </si>
  <si>
    <t>https://clutch.co/agencies/conversion-optimization/uk</t>
  </si>
  <si>
    <t>Top Conversion Rate Optimization Services in the United Kingdom - Jul 2026 Rankings \| Clutch.co</t>
  </si>
  <si>
    <t>Soap Media, Launch Online, Propeller, Found, Gripped, Bind Media</t>
  </si>
  <si>
    <t>https://clutch.co/agencies/digital-marketing#:~:text=Disruptive%20Advertising%20is%20a%20digital,driven%20approaches%20and%20proactive%20communication.</t>
  </si>
  <si>
    <t>Best Digital Marketing Agencies - Jul 2026 Rankings \| Clutch.co</t>
  </si>
  <si>
    <t>Ignite Visibility, Disruptive Advertising, Propeller, Power Digital, WebFX, GA Agency, Ninja Promo, M3.agency, ROAST, Acadia, Impression</t>
  </si>
  <si>
    <t>https://clutch.co/agencies/digital-marketing/enterprise/uk/england/london</t>
  </si>
  <si>
    <t>Top Digital Marketing Agencies for Enterprise in London - Jul 2026 Rankings \| Clutch.co</t>
  </si>
  <si>
    <t>Impression, M3.agency, Ninja Promo, ROAST, Favoured, GA Agency, Propeller, Bird Marketing, Found</t>
  </si>
  <si>
    <t>https://clutch.co/agencies/market-research/uk</t>
  </si>
  <si>
    <t>Top Market Research Companies in the United Kingdom - Jul 2026 Rankings \| Clutch.co</t>
  </si>
  <si>
    <t>https://clutch.co/agencies/performance-marketing%3Fpage%3D0</t>
  </si>
  <si>
    <t>Top Performance Marketing Agencies - Jul 2026 Rankings \| Clutch.co</t>
  </si>
  <si>
    <t>Disruptive Advertising, Launch Online, Momentum, GA Agency, Found</t>
  </si>
  <si>
    <t>https://clutch.co/agencies/ppc/display%3Fpage%3D0</t>
  </si>
  <si>
    <t>Ninja Promo, Soap Media, Found, Impression, Huge, The SEO Works, GA Agency</t>
  </si>
  <si>
    <t>https://clutch.co/agencies/ppc/uk/england/nottingham</t>
  </si>
  <si>
    <t>Top PPC Agencies - Jul 2026 Rankings \| Clutch.co</t>
  </si>
  <si>
    <t>Propeller, Disruptive Advertising, Single Grain, Launch Online, Ninja Promo</t>
  </si>
  <si>
    <t>https://clutch.co/agencies/programmatic/uk/england/london</t>
  </si>
  <si>
    <t>Top Programmatic Advertising Agencies in London - Jul 2026 Rankings \| Clutch.co</t>
  </si>
  <si>
    <t>ROAST, Ninja Promo, Push, WPP, Omnicom</t>
  </si>
  <si>
    <t>https://clutch.co/agencies/programmatic/uk/england/manchester</t>
  </si>
  <si>
    <t>Top Programmatic Advertising Companies in Manchester - Jul 2026 Rankings \| Clutch.co</t>
  </si>
  <si>
    <t>M3.agency, The SEO Works</t>
  </si>
  <si>
    <t>https://clutch.co/agencies/programmatic/uk?page=2</t>
  </si>
  <si>
    <t>Page 2 - Top Programmatic Advertising Companies in the United Kingdom - Jul 2026 Rankings \| Clutch.co</t>
  </si>
  <si>
    <t>https://clutch.co/agencies/social-media-marketing/tik-tok/uk</t>
  </si>
  <si>
    <t>Top TikTok Advertising Agencies in the United Kingdom - Jul 2026 Rankings \| Clutch.co</t>
  </si>
  <si>
    <t>Favoured, Ninja Promo, Soap Media, M3.agency, Huge, Propeller, Impression, Found</t>
  </si>
  <si>
    <t>https://clutch.co/developers/ecommerce</t>
  </si>
  <si>
    <t>Top E-Commerce Development Agencies - Jul 2026 Rankings | Clutch.co</t>
  </si>
  <si>
    <t>Found, Launch Online</t>
  </si>
  <si>
    <t>https://clutch.co/seo-firms/amazon/uk</t>
  </si>
  <si>
    <t>Top Amazon SEO Services in the United Kingdom - Jul 2026 Rankings \| Clutch.co</t>
  </si>
  <si>
    <t>https://clutch.co/seo-firms/link-building</t>
  </si>
  <si>
    <t>Top Link Building Companies - Jul 2026 Rankings \| Clutch.co</t>
  </si>
  <si>
    <t>Bird Marketing, WebFX, Ignite Visibility, Huge</t>
  </si>
  <si>
    <t>https://www.colossalinfluence.com/biggest-marketing-agencies-uk/</t>
  </si>
  <si>
    <t>7 Biggest Marketing Agencies UK: Your 2025 Guide .</t>
  </si>
  <si>
    <t>Measured, Momentum, WPP, Omnicom, Found</t>
  </si>
  <si>
    <t>https://www.cometly.com/post/agency-marketing-attribution-tools</t>
  </si>
  <si>
    <t>Top Agency Marketing Attribution Tools for 2026 Tips</t>
  </si>
  <si>
    <t>https://www.cometly.com/post/ai-powered-ad-optimization-platform</t>
  </si>
  <si>
    <t>9 Best AI Powered Ad Optimization Platforms 2026 Guide</t>
  </si>
  <si>
    <t>Cometly, Impression</t>
  </si>
  <si>
    <t>https://www.cometly.com/post/attribution-platforms-for-agencies</t>
  </si>
  <si>
    <t>Top Attribution Platforms For Agencies: 2026 Guide</t>
  </si>
  <si>
    <t>https://www.cometly.com/post/attribution-tools-for-digital-marketing-agencies</t>
  </si>
  <si>
    <t>9 Best Attribution Tools For Digital Marketing Agencies</t>
  </si>
  <si>
    <t>https://www.cometly.com/post/first-party-data-tracking-solutions</t>
  </si>
  <si>
    <t>9 Best First Party Data Tracking Solutions for 2026</t>
  </si>
  <si>
    <t>Cometly, Push</t>
  </si>
  <si>
    <t>https://www.cometly.com/post/incrementality-testing-software</t>
  </si>
  <si>
    <t>Best Incrementality Testing Software Tools Guide 2026</t>
  </si>
  <si>
    <t>Cometly, Measured, Rockerbox, Northbeam, Haus, Recast</t>
  </si>
  <si>
    <t>https://www.cometly.com/post/marketing-attribution-platforms-for-agencies</t>
  </si>
  <si>
    <t>Best Marketing Attribution Platforms For Agencies 2026</t>
  </si>
  <si>
    <t>https://www.cometly.com/post/marketing-measurement-and-attribution</t>
  </si>
  <si>
    <t>Marketing Measurement And Attribution: Complete Guide</t>
  </si>
  <si>
    <t>Cometly, Impression, Measured</t>
  </si>
  <si>
    <t>https://www.cometly.com/post/media-buying-optimization-tool</t>
  </si>
  <si>
    <t>Best Media Buying Optimization Tool for Ad Teams 2026</t>
  </si>
  <si>
    <t>Cometly, Momentum, Northbeam</t>
  </si>
  <si>
    <t>https://www.cometly.com/post/tools-for-marketing-analytics</t>
  </si>
  <si>
    <t>7 Essential Tools For Marketing Analytics You Need Today</t>
  </si>
  <si>
    <t>https://companies.london/performance-marketing-companies/</t>
  </si>
  <si>
    <t>Top 10 Performance Marketing Companies in London | ROI Driven</t>
  </si>
  <si>
    <t>inBeat, The Social Shepherd, PMG, Bind Media</t>
  </si>
  <si>
    <t>https://www.comparisonshoppingpartners.withgoogle.com/find_a_partner/</t>
  </si>
  <si>
    <t>https://connective3.com/services/paid-media/google-premier-partners/</t>
  </si>
  <si>
    <t>Google Premier Partner Agency | Connective3</t>
  </si>
  <si>
    <t>https://www.consultancy.eu/news/7008/googles-top-emea-premier-partner-digital-marketing-consultancies</t>
  </si>
  <si>
    <t>Google’s top EMEA premier partner digital marketing consultancies</t>
  </si>
  <si>
    <t>Merkle, Croud, Labelium, Brainlabs, Jellyfish, Artefact</t>
  </si>
  <si>
    <t>https://www.consultancy.uk/rankings/top-consulting-firms-in-the-uk-by-area-of-expertise/marketing#:~:text=Simon%2DKucher%20is%20a%20global,Publicis%20Sapient</t>
  </si>
  <si>
    <t>Top Marketing consulting firms in the UK</t>
  </si>
  <si>
    <t>EY, Ogilvy, Kantar, PwC, McKinsey &amp; Company, Merkle, Artefact, Ekimetrics</t>
  </si>
  <si>
    <t>https://www.consultancy.uk/services/expertise/ai-genai</t>
  </si>
  <si>
    <t>AI &amp;amp; Gen AI consulting services in the UK | Consultancy.uk</t>
  </si>
  <si>
    <t>https://coolnerdsmarketing.com/top-creative-agencies-us/</t>
  </si>
  <si>
    <t>Top 15 Creative Agencies in the U.S. (2026)</t>
  </si>
  <si>
    <t>Dentsu, Momentum</t>
  </si>
  <si>
    <t>https://corbieredigital.co.uk/ppc-services/</t>
  </si>
  <si>
    <t>PPC Service | Corbiere Digital</t>
  </si>
  <si>
    <t>https://www.cornishwebservices.co.uk/articles/marketing/Top-10-Social-Media-Agencies-in-the-UK-in-2026.html</t>
  </si>
  <si>
    <t>Top 10 Social Media Agencies in the UK (2026)</t>
  </si>
  <si>
    <t>Social Chain, We Are Social, Jellyfish, Passion Digital</t>
  </si>
  <si>
    <t>https://www.cornishwebservices.co.uk/articles/marketing/Top-Digital-Marketing-Agencies-in-the-UK.html</t>
  </si>
  <si>
    <t>Top Digital Marketing Agencies in the UK (2026)</t>
  </si>
  <si>
    <t>Impression, Brainlabs, Hallam, Found, Croud</t>
  </si>
  <si>
    <t>https://corsactech.com/cloud-migration-service-providers</t>
  </si>
  <si>
    <t>Best 22 Cloud Migration Service Providers to Watch in 2026</t>
  </si>
  <si>
    <t>https://createscale.com/production</t>
  </si>
  <si>
    <t>https://www.creativebrief.com/</t>
  </si>
  <si>
    <t>Creativebrief | Stay Connected</t>
  </si>
  <si>
    <t>Mother London</t>
  </si>
  <si>
    <t>https://www.creativebrief.com/agency/zeal-1/info</t>
  </si>
  <si>
    <t>About ZEAL | Creativebrief | Stay Connected</t>
  </si>
  <si>
    <t>https://www.creativecorner.studio/blog/best-marketing-agencies-in-europe</t>
  </si>
  <si>
    <t>11 Best Marketing Agencies in Europe [2026]</t>
  </si>
  <si>
    <t>https://www.creativemarketingltd.co.uk/</t>
  </si>
  <si>
    <t>UK's #1 AI Marketing Agency | Creative Marketing</t>
  </si>
  <si>
    <t>https://www.creativemarketingltd.co.uk/blog/top-fashion-marketing-agencies</t>
  </si>
  <si>
    <t>Top 20 Fashion Marketing Agencies in the UK (2026)</t>
  </si>
  <si>
    <t>https://creativepool.com/advertising-agency</t>
  </si>
  <si>
    <t>Advertising Agencies</t>
  </si>
  <si>
    <t>VCCP, Ogilvy, Saatchi &amp; Saatchi, BBH London</t>
  </si>
  <si>
    <t>https://croud.com/en-gb/</t>
  </si>
  <si>
    <t>Croud UK | Global media, creative &amp;amp; data agency</t>
  </si>
  <si>
    <t>https://croud.com/en-gb/services/audience-suite/analytics/attributiongeni/</t>
  </si>
  <si>
    <t>AttributionGeni | Croud UK</t>
  </si>
  <si>
    <t>Croud, Impression, Measured</t>
  </si>
  <si>
    <t>https://croud.com/resources/custom-attribution/</t>
  </si>
  <si>
    <t>The Complete Guide to Custom Attribution Models | Croud</t>
  </si>
  <si>
    <t>Croud, Huge</t>
  </si>
  <si>
    <t>https://cw.semrush.com/agencies/list/analytics-data-science/united-kingdom</t>
  </si>
  <si>
    <t>https://daio.uk/</t>
  </si>
  <si>
    <t>Daio — AI operations for independent marketing &amp;amp; PR agencies</t>
  </si>
  <si>
    <t>https://www.darkroomagency.com/observatory/best-performance-marketing-agencies-in-2026</t>
  </si>
  <si>
    <t>Best Performance Marketing Agencies for Ecommerce in 2026</t>
  </si>
  <si>
    <t>Darkroom, Tinuiti, Wpromote, Power Digital, Common Thread Collective, Disruptive Advertising, Ignite Visibility, WebFX, Measured</t>
  </si>
  <si>
    <t>https://www.dataally.ai/blog/top-paid-media-agencies</t>
  </si>
  <si>
    <t>Top 15 Paid Media Agencies in 2026</t>
  </si>
  <si>
    <t>Ninja Promo, inBeat, The Social Shepherd, Darkroom, Disruptive Advertising, NP Digital, WebFX, Found, Push</t>
  </si>
  <si>
    <t>https://www.decentriq.com/article/best-data-management-platforms</t>
  </si>
  <si>
    <t>Best data management platforms for advertising (2026)</t>
  </si>
  <si>
    <t>Found, Push, Impression</t>
  </si>
  <si>
    <t>https://www.decipher.agency/about</t>
  </si>
  <si>
    <t>About decipher. | Your AI Search Optimisation Experts</t>
  </si>
  <si>
    <t>https://www.decisionfoundry.com/marketing-measurement-analytics-services/</t>
  </si>
  <si>
    <t>Marketing Measurement Analytics Services</t>
  </si>
  <si>
    <t>https://dedote.co.uk/social-media-agency-london/paid-social</t>
  </si>
  <si>
    <t>https://www.deducive.com/marketing-attribution#:~:text=Executive%2Dready%20readout%20that%20translates%20performance%20into%20business,clickstream%2Fserver%2Dside%20when%20needed).%203)%20Model%20%26%20validate.</t>
  </si>
  <si>
    <t>Marketing Attribution Services — Deducive</t>
  </si>
  <si>
    <t>https://www.dejongphillips.co.uk/2023/05/23/five-key-metrics-every-digital-marketing-agency-must-track/</t>
  </si>
  <si>
    <t>Tracking the ROI of Agency Business: Essential Metrics - de Jong Phillips</t>
  </si>
  <si>
    <t>https://delivix.digital/marketing/marketing-agencies-in-the-uk/</t>
  </si>
  <si>
    <t>Top 10 marketing agencies in the UK for business growth</t>
  </si>
  <si>
    <t>The Good Marketer, Passion Digital, Found</t>
  </si>
  <si>
    <t>https://www.delve.ai/blog/audience-insights-tools</t>
  </si>
  <si>
    <t>Top 13 Audience Insights Tools For Marketers in 2026 [Free+Paid]</t>
  </si>
  <si>
    <t>https://www.deptagency.com/</t>
  </si>
  <si>
    <t>DEPT® \| Growth Invention \| Tech &amp; Marketing</t>
  </si>
  <si>
    <t>https://www.deptagency.com/en-uki/partner/google-marketing-platform/</t>
  </si>
  <si>
    <t>https://www.designity.com/blog/ai-marketing-agency</t>
  </si>
  <si>
    <t>10 Powerhouse AI Marketing Agencies Leading the Future - Designity</t>
  </si>
  <si>
    <t>Single Grain, Omniscient Digital, NoGood, Siege Media, Jellyfish, Momentum, Found</t>
  </si>
  <si>
    <t>https://www.designrush.com/agency/digital-marketing/analytics</t>
  </si>
  <si>
    <t>Top Marketing Analytics Agencies in 2026</t>
  </si>
  <si>
    <t>Huge, Monks, Found, Ignite Visibility, Ruler Analytics</t>
  </si>
  <si>
    <t>https://www.designrush.com/agency/digital-marketing/integrated-marketing</t>
  </si>
  <si>
    <t>Top Integrated Marketing Agencies in 2026</t>
  </si>
  <si>
    <t>Momentum, PwC, Wpromote</t>
  </si>
  <si>
    <t>https://www.designrush.com/agency/profile/the-good-marketer</t>
  </si>
  <si>
    <t>The Good Marketer Reviews | View Portfolios | DesignRush</t>
  </si>
  <si>
    <t>The Good Marketer, WebFX, Found</t>
  </si>
  <si>
    <t>https://www.devopsschool.com/blog/top-10-brand-tracking-tools-features-pros-cons-comparison/</t>
  </si>
  <si>
    <t>Top 10 Brand Tracking Tools: Features, Pros, Cons &amp;amp; Comparison</t>
  </si>
  <si>
    <t>https://devsdata.com/digital-analytics-agency-top-firms/</t>
  </si>
  <si>
    <t>Digital Analytics Agency: Top 8 Firms</t>
  </si>
  <si>
    <t>https://digiactus.co.uk/</t>
  </si>
  <si>
    <t>Smarter Growth with trusted Digital Marketing Agency | Digiactus</t>
  </si>
  <si>
    <t>https://digitalagencynetwork.com/agencies/london/creative/</t>
  </si>
  <si>
    <t>Top Creative Agencies in London (2026)</t>
  </si>
  <si>
    <t>Favoured, Propeller, FirstMotion, Impression, Make Agency, Bird Marketing</t>
  </si>
  <si>
    <t>https://digitalagencynetwork.com/agency/ga-agency/</t>
  </si>
  <si>
    <t>GA Agency Reviews (2026) | Digital Agency Network</t>
  </si>
  <si>
    <t>Favoured, GA Agency</t>
  </si>
  <si>
    <t>https://digitalagencynetwork.com/agency/jaywing/</t>
  </si>
  <si>
    <t>Jaywing Agency Reviews (2026) | Digital Agency Network</t>
  </si>
  <si>
    <t>Favoured</t>
  </si>
  <si>
    <t>https://digitalagencynetwork.com/geo-agency/</t>
  </si>
  <si>
    <t>What is a GEO Agency? Top 10 GEO Agencies Leading AI Search Optimization</t>
  </si>
  <si>
    <t>Favoured, QuantumBlack, Propeller, GA Agency, The SEO Works, Found</t>
  </si>
  <si>
    <t>https://www.digitalapplied.com/blog/first-party-data-activation-2026-server-side-tracking-playbook</t>
  </si>
  <si>
    <t>First-Party Data Activation: 2026 Server-Side Playbook</t>
  </si>
  <si>
    <t>Transmission, Push, PwC, Found</t>
  </si>
  <si>
    <t>https://www.digitallitmus.com/blog/best-linkedin-marketing-agencies-for-2024</t>
  </si>
  <si>
    <t>Best LinkedIn Marketing Agencies in the UK (2025)</t>
  </si>
  <si>
    <t>The Good Marketer, Disruptive Advertising, The Social Shepherd</t>
  </si>
  <si>
    <t>https://www.digitalmarketingagencyuk.com/</t>
  </si>
  <si>
    <t>https://digitalmarketingcompanyinlondon.com/top-8-display-advertising-agencies-in-london/</t>
  </si>
  <si>
    <t>Top 8 Display Advertising Agencies in London – Digital Marketing Company in London</t>
  </si>
  <si>
    <t>Found, ROAST, Croud, Passion Digital, The Good Marketer, Jellyfish, Impression, Hallam</t>
  </si>
  <si>
    <t>https://www.digitalreference.co/insights/engineering-professionals/best-ai-machine-learning-consulting-services-in-the-uk</t>
  </si>
  <si>
    <t>Top United Kingdom AI &amp;amp; Machine Learning Consultants</t>
  </si>
  <si>
    <t>https://directiveconsulting.com/blog/17-leading-llm-agencies-powering-ai-innovation-for-modern-b2b-teams/</t>
  </si>
  <si>
    <t>17 Best LLM Agencies For B2B - Directive</t>
  </si>
  <si>
    <t>Directive Consulting, Measured, Momentum</t>
  </si>
  <si>
    <t>https://directiveconsulting.com/blog/25-best-advertising-agencies-built-for-media-momentum/</t>
  </si>
  <si>
    <t>https://directiveconsulting.com/blog/25-best-paid-media-agencies-that-turn-ad-spend-into-revenue/</t>
  </si>
  <si>
    <t>https://directiveconsulting.com/uk/blog/top-25-b2b-enterprise-marketing-agencies/</t>
  </si>
  <si>
    <t>25 Best Enterprise Marketing Agencies For B2B - Directive</t>
  </si>
  <si>
    <t>Directive Consulting, Merkle, Accenture Song, Deloitte Digital, Wpromote, Dentsu, Ogilvy, Brainlabs, PwC, Monks, Momentum, Push</t>
  </si>
  <si>
    <t>https://disruptiveadvertising.com/blog/business/top-us-digital-marketing-agencies/</t>
  </si>
  <si>
    <t>Top U.S. Digital Marketing Agencies In 2026 | Disruptive Advertising</t>
  </si>
  <si>
    <t>Disruptive Advertising, inBeat</t>
  </si>
  <si>
    <t>https://droga5.com/</t>
  </si>
  <si>
    <t>Home | Droga5</t>
  </si>
  <si>
    <t>Accenture Song, Impression, Found</t>
  </si>
  <si>
    <t>https://eakwire.com/top-8-ai-marketing-agencies-tools-strategies/</t>
  </si>
  <si>
    <t>Top 8 AI Marketing Agencies in 2026: Tools &amp;amp; Strategies</t>
  </si>
  <si>
    <t>Wpromote, Polaris, Jellyfish, NoGood, Single Grain, Tinuiti</t>
  </si>
  <si>
    <t>https://easyinsights.ai/blog/first-party-data-activation-platforms/</t>
  </si>
  <si>
    <t>First-Party Data Activation Platforms</t>
  </si>
  <si>
    <t>https://ecimediamanagement.com/media-performance-consulting</t>
  </si>
  <si>
    <t>Media performance consulting for better ROI | ECI Media Management</t>
  </si>
  <si>
    <t>https://ecimediamanagement.com/tv-ctv-audits</t>
  </si>
  <si>
    <t>TV &amp;amp; CTV audit services | ECI Media Management</t>
  </si>
  <si>
    <t>Measured, Impression</t>
  </si>
  <si>
    <t>https://www.ecomone.com/insights/ai-seo-agencies-uk/</t>
  </si>
  <si>
    <t>Top 10 AI SEO Agencies in 2026 - eComOne</t>
  </si>
  <si>
    <t>NP Digital, Measured</t>
  </si>
  <si>
    <t>https://www.ecomone.com/insights/best-facebook-advertising-agencies-uk/</t>
  </si>
  <si>
    <t>10 Best Facebook Advertising Agencies in the UK 2026</t>
  </si>
  <si>
    <t>The Social Shepherd, Push, Push Group, ClickSlice, Disruptive Advertising, Bird Marketing, The SEO Works, Triple Whale, Northbeam</t>
  </si>
  <si>
    <t>https://www.ecomone.com/insights/top-best-ppc-agencies-in-the-uk-2/</t>
  </si>
  <si>
    <t>Top 5 Best PPC Agencies in the UK for 2025 | eComOne</t>
  </si>
  <si>
    <t>PPC Geeks, Bind Media, Found</t>
  </si>
  <si>
    <t>https://ecosystem.hubspot.com/marketplace/solutions/greece</t>
  </si>
  <si>
    <t>The 32 Best Agencies or Service Providers in Greece \| HubSpot</t>
  </si>
  <si>
    <t>Whitehat, Push</t>
  </si>
  <si>
    <t>https://efficiencymedia.com/</t>
  </si>
  <si>
    <t>Efficiency Media – Maximizing your media to showcase your brand.</t>
  </si>
  <si>
    <t>https://www.eightandfour.com/</t>
  </si>
  <si>
    <t>eight&amp;amp;four | The UK’s Leading Social &amp;amp; Content Agency</t>
  </si>
  <si>
    <t>https://www.ekcs.co/</t>
  </si>
  <si>
    <t>EKCS | Your Global Creative Production Partner</t>
  </si>
  <si>
    <t>https://www.ekimetrics.com/</t>
  </si>
  <si>
    <t>AI Business Solutions – Ekimetrics</t>
  </si>
  <si>
    <t>Ekimetrics, Measured</t>
  </si>
  <si>
    <t>https://www.ekimetrics.com/articles/marketing-mix-modeling-how-to-measure-marketing-impact-and-optimize-budget-allocation</t>
  </si>
  <si>
    <t>Marketing Mix Modeling: How to Measure Marketing Impact and Optimize Budget Allocation</t>
  </si>
  <si>
    <t>Found, Momentum, Ekimetrics</t>
  </si>
  <si>
    <t>https://www.emarketer.com/content/faq-on-ai-media-buying--platform-tools--agency-strategy--how-win-2026</t>
  </si>
  <si>
    <t>FAQ on AI media buying: Platform tools, agency strategy, and how to win in 2026</t>
  </si>
  <si>
    <t>Push, Publicis Groupe, Omnicom, WPP</t>
  </si>
  <si>
    <t>https://en.wikipedia.org/wiki/Advertising_agency</t>
  </si>
  <si>
    <t>Advertising agency - Wikipedia</t>
  </si>
  <si>
    <t>PwC, Deloitte Digital, WPP, Omnicom, Dentsu</t>
  </si>
  <si>
    <t>https://en.wikipedia.org/wiki/Attribution_(marketing)</t>
  </si>
  <si>
    <t>Attribution (marketing) - Wikipedia</t>
  </si>
  <si>
    <t>Impression, Found, Epsilon, EY</t>
  </si>
  <si>
    <t>https://www.enrichlabs.ai/blog/what-is-an-ai-marketing-agent</t>
  </si>
  <si>
    <t>What Is an AI Marketing Agent? Complete 2026 Definition + Examples | Enrich Labs</t>
  </si>
  <si>
    <t>https://ensun.io/search/ai-consulting/united-kingdom</t>
  </si>
  <si>
    <t>Top 100 AI Consulting Companies in United Kingdom (2026) \| ensun</t>
  </si>
  <si>
    <t>https://ensun.io/search/geospatial-data/united-kingdom</t>
  </si>
  <si>
    <t>Top 100 Geospatial Data Companies in United Kingdom (2026) \| ensun</t>
  </si>
  <si>
    <t>https://ensun.io/search/geospatial-gis/united-kingdom</t>
  </si>
  <si>
    <t>Top 100 Geospatial (Gis) Companies in United Kingdom (2026) \| ensun</t>
  </si>
  <si>
    <t>https://enterprisemarketingportal.google/find-a-partner</t>
  </si>
  <si>
    <t>Find a Partner Gallery</t>
  </si>
  <si>
    <t>Brainlabs, Jellyfish, Incubeta, Brainlabs, Monks, Adswerve, Merkle, Dept, Wpromote, PMG, Tinuiti</t>
  </si>
  <si>
    <t>https://www.enzuzo.com/blog/best-performance-marketing-agencies</t>
  </si>
  <si>
    <t>9 Top Performance Marketing Agencies [2024 Review]</t>
  </si>
  <si>
    <t>https://www.exchangewire.com/blog/2023/02/16/fifty-fives-record-setting-growth-in-2022-sparks-an-expansion-of-services-brand-refresh/</t>
  </si>
  <si>
    <t>fifty-five’s Record-Setting Growth in 2022 Sparks an Expansion of Services &amp;amp; Brand Refresh - ExchangeWire.com</t>
  </si>
  <si>
    <t>https://www.experian.com/blogs/marketing-forward/first-party-data-activation-2026/</t>
  </si>
  <si>
    <t>How activation drives first-party value | Experian Marketing</t>
  </si>
  <si>
    <t>https://exposureninja.com/blog/best-ai-search-optimisation-agencies/</t>
  </si>
  <si>
    <t>Best AI Search Optimisation Agencies in 2026 (Reviewed)</t>
  </si>
  <si>
    <t>Exposure Ninja, Found, NP Digital, NoGood</t>
  </si>
  <si>
    <t>https://www.extradigital.co.uk/ppc/</t>
  </si>
  <si>
    <t>PPC Management Agency UK | ROI-Focused, Google Premier Partner | ExtraDigital</t>
  </si>
  <si>
    <t>https://extraordinaryengagement.co.uk/what-are-the-big-four-creative-agencies/</t>
  </si>
  <si>
    <t>Extraordinary Engagement | What are the big four creative agencies?</t>
  </si>
  <si>
    <t>Publicis Groupe, WPP, Omnicom, Saatchi &amp; Saatchi, Ogilvy, BBH London, AMV BBDO</t>
  </si>
  <si>
    <t>https://www.f6s.com/software/category/first-party-data-activation</t>
  </si>
  <si>
    <t>Best First-Party Data Activation Software • March 2026 \| F6S</t>
  </si>
  <si>
    <t>https://factoryjet.com/blog/best-seo-agencies-uk</t>
  </si>
  <si>
    <t>The 10 Best SEO Agencies in the UK (2026)</t>
  </si>
  <si>
    <t>Brainlabs, Builtvisible, The SEO Works, Croud, Rise at Seven, Screaming Frog, Blue Array, Whitehat</t>
  </si>
  <si>
    <t>https://www.fibbler.co/blog/b2b-marketing-attribution-software</t>
  </si>
  <si>
    <t>15 Best B2B Marketing Attribution Software for 2026 | Fibbler | Fibbler</t>
  </si>
  <si>
    <t>Impression, Ruler Analytics, SegmentStream, Cometly, Found</t>
  </si>
  <si>
    <t>https://fibr.ai/geo/best-generative-engine-optimization-brands-for-ai</t>
  </si>
  <si>
    <t>11 Best GEO Agencies for AI Search Visibility (2026)</t>
  </si>
  <si>
    <t>https://www.fieldtrip.agency/post/best-creative-agencies-for-global-brands</t>
  </si>
  <si>
    <t>Top 14 Creative Agencies Powering Global Branding This Year</t>
  </si>
  <si>
    <t>inBeat, Dentsu, We Are Social, Omnicom, Nielsen</t>
  </si>
  <si>
    <t>https://www.fifty-five.com/tea-house/incrementality-testing-marketing</t>
  </si>
  <si>
    <t>fifty-five Tea House: How to Measure Marketing Impact With Incrementality Testing</t>
  </si>
  <si>
    <t>https://www.finnpartners.com/uk/service/digital-marketing/</t>
  </si>
  <si>
    <t>Digital Agency London | UK Marketing Services - FINN Partners</t>
  </si>
  <si>
    <t>https://firstmotion.com/generative-engine-optimisation-agency</t>
  </si>
  <si>
    <t>GEO &amp;amp; AI Search Agency for B2B SaaS | FirstMotion</t>
  </si>
  <si>
    <t>FirstMotion</t>
  </si>
  <si>
    <t>https://firstmotion.com/insights/best-geo-agencies-in-london-10-top-partners-for-ai-search-in-2026</t>
  </si>
  <si>
    <t>Best GEO Agencies in London for AI Search (2026) | FirstMotion</t>
  </si>
  <si>
    <t>FirstMotion, Passion Digital, Found, Bird Marketing, Exposure Ninja, Blue Array, Varn, Buried Agency, Charle Agency, Measured</t>
  </si>
  <si>
    <t>https://www.flyingvgroup.com/ai-marketing-agency/</t>
  </si>
  <si>
    <t>Best 18 AI Marketing Agencies in 2026 | Top AI-Powered Marketing Firms Ranked</t>
  </si>
  <si>
    <t>NoGood, Single Grain, inBeat, Monks, Found</t>
  </si>
  <si>
    <t>https://www.flyingvgroup.com/franchise-marketing-agency/</t>
  </si>
  <si>
    <t>Best 12 Franchise Marketing Agencies in 2026 – Flying V Group</t>
  </si>
  <si>
    <t>https://www.flyingvgroup.com/programmatic-agency/</t>
  </si>
  <si>
    <t>Top 16 Programmatic Agencies of 2026 (Expert List) – Flying V Group</t>
  </si>
  <si>
    <t>ROAST, Single Grain, Power Digital</t>
  </si>
  <si>
    <t>https://flypix.ai/geospatial-companies-in-london/</t>
  </si>
  <si>
    <t>Top Geospatial Companies in London: Industry Leaders</t>
  </si>
  <si>
    <t>https://flypix.ai/geospatial-companies-in-the-uk/</t>
  </si>
  <si>
    <t>5 Best UK Geospatial Companies in the UK (2026)</t>
  </si>
  <si>
    <t>https://fntmanagement.com/top-marketing-agencies/</t>
  </si>
  <si>
    <t>Best Marketing Agencies 2026: Rating | Expert ROI Guide</t>
  </si>
  <si>
    <t>Siege Media, WebFX, The Good Marketer</t>
  </si>
  <si>
    <t>https://forlinux.co.uk/best-ppc-agencies-in-the-uk-for-scalable-advertising-success</t>
  </si>
  <si>
    <t>Best PPC Agencies in the UK for Scalable Advertising Success</t>
  </si>
  <si>
    <t>Brainlabs, Hallam, The Social Shepherd, PPC Geeks</t>
  </si>
  <si>
    <t>https://www.forrester.com/report/the-forrester-wave-tm-customer-data-strategy-and-activation-services-q2-2022/RES177490</t>
  </si>
  <si>
    <t>The Forrester Wave™: Customer Data Strategy And Activation Services, Q2 2022 | Forrester</t>
  </si>
  <si>
    <t>https://www.fortismedia.com/en/articles/roi-marketing-agency/</t>
  </si>
  <si>
    <t>Articles - Fortis Media</t>
  </si>
  <si>
    <t>https://www.found.co.uk/blog/top-10-ppc-agencies/</t>
  </si>
  <si>
    <t>Best PPC Agencies 2026 UK | Top 10 PPC Companies | Found</t>
  </si>
  <si>
    <t>Found, Propeller, Jellyfish, Impression, Journey Further, Hallam, Croud</t>
  </si>
  <si>
    <t>https://www.found.co.uk/services/content-marketing/</t>
  </si>
  <si>
    <t>Content Marketing Agency London, UK \| Digital Content Services \| Found</t>
  </si>
  <si>
    <t>https://www.found.co.uk/services/paid-media/ppc/</t>
  </si>
  <si>
    <t>PPC Agency London \| Standout PPC Agency of the Year 2026 \| Found</t>
  </si>
  <si>
    <t>https://www.found.co.uk/services/paid-media/ppc/ppc-consultancy/</t>
  </si>
  <si>
    <t>PPC Consultancy Agency \| PPC Consultancy Services UK \| Found</t>
  </si>
  <si>
    <t>https://foundersworkshop.com/feeds/service/ai-adoption-readiness-consulting-enterprises</t>
  </si>
  <si>
    <t>AI Adoption &amp;amp; Readiness Consulting for Enterprises – Since 2008</t>
  </si>
  <si>
    <t>https://www.freshegg.co.uk/analytics/google-analytics-360/</t>
  </si>
  <si>
    <t>Google Analytics Agency \| GA4 Services and Support \| Fresh Egg \| Fresh Egg</t>
  </si>
  <si>
    <t>https://www.frontier15.com/</t>
  </si>
  <si>
    <t>Generative Search Optimisation Agency London, UK | FRONTIER15</t>
  </si>
  <si>
    <t>https://fueler.io/blog/performance-marketing-agencies-that-prove-roi-with-real-client-results</t>
  </si>
  <si>
    <t>Performance Marketing Agencies That Prove ROI With Real Client Results (2026 Edition)</t>
  </si>
  <si>
    <t>Tinuiti, Merkle, Wpromote, WebFX, NP Digital, NoGood, Common Thread Collective, Power Digital, Disruptive Advertising, Dentsu, Publicis Groupe</t>
  </si>
  <si>
    <t>https://funnel.io/blog/incrementality-testing</t>
  </si>
  <si>
    <t>What is incrementality testing?</t>
  </si>
  <si>
    <t>https://funnel.io/blog/top-mta-tools</t>
  </si>
  <si>
    <t>Top multi-touch attribution (MTA) tools for 2026</t>
  </si>
  <si>
    <t>Found, SegmentStream, Northbeam, Push</t>
  </si>
  <si>
    <t>https://www.futuresupply.io/</t>
  </si>
  <si>
    <t>Scale Creative Production Without Hiring | FutureSupply</t>
  </si>
  <si>
    <t>Saatchi &amp; Saatchi, Ogilvy, AKQA</t>
  </si>
  <si>
    <t>https://ga.agency/en/</t>
  </si>
  <si>
    <t>GA Agency | Global Omnichannel Digital Marketing Agency</t>
  </si>
  <si>
    <t>https://gaintheory.com/#:~:text=We%20are%20a%20global%20marketing%20effectiveness%20and,named%20a%20Leader%20in%20The%20Forrester%20Wave%E2%84%A2%3A</t>
  </si>
  <si>
    <t>Marketing Effectiveness Consultancy | Gain Theory</t>
  </si>
  <si>
    <t>https://www.gambitagency.co.uk/blog/the-best-ppc-agencies</t>
  </si>
  <si>
    <t>Top 19 PPC Agencies in the UK - Gambit Agency</t>
  </si>
  <si>
    <t>Jellyfish, Brainlabs, Bind Media, Impression, Koozai, Croud, Push, Push Group, Disruptive Advertising, Hallam</t>
  </si>
  <si>
    <t>https://www.gambitagency.co.uk/services/paid-search-agency</t>
  </si>
  <si>
    <t>UK Paid Search Agency Experts - Gambit Agency</t>
  </si>
  <si>
    <t>https://www.gartner.com/reviews/market/global-digital-marketing-agencies</t>
  </si>
  <si>
    <t>Best Global Digital Marketing Agencies Reviews 2026 | Gartner Peer Insights</t>
  </si>
  <si>
    <t>Accenture Song, Deloitte Digital, Huge, Merkle, AKQA, Ogilvy, iCrossing, Bird Marketing</t>
  </si>
  <si>
    <t>https://www.gartner.com/reviews/market/global-digital-marketing-agencies/vendor/r-ga/product/r-ga-global-digital-marketing-services/alternatives</t>
  </si>
  <si>
    <t>Top R/GA Global Digital Marketing Services Alternatives &amp; Competitors 2026 \| Gartner Peer Insights</t>
  </si>
  <si>
    <t>ALTERNATIVE</t>
  </si>
  <si>
    <t>Alternative</t>
  </si>
  <si>
    <t>Accenture Song, Huge, AKQA</t>
  </si>
  <si>
    <t>https://www.gartner.com/reviews/market/global-digital-marketing-agencies/vendor/r-ga/product/r-ga-global-digital-marketing-services?marketSeoName=global-digital-marketing-agencies&amp;productSeoName=r-ga-global-digital-marketing-services&amp;vendorSeoName=r-ga</t>
  </si>
  <si>
    <t>R/GA Global Digital Marketing Services Reviews &amp; Ratings 2026 \| Gartner Peer Insights</t>
  </si>
  <si>
    <t>Accenture Song</t>
  </si>
  <si>
    <t>https://www.gartner.com/reviews/product/r-ga-global-digital-marketing-services/alternatives</t>
  </si>
  <si>
    <t>Top R/GA Global Digital Marketing Services Alternatives &amp;amp; Competitors 2026 | Gartner Peer Insights</t>
  </si>
  <si>
    <t>Accenture Song, Huge, AKQA, Merkle, Deloitte Digital</t>
  </si>
  <si>
    <t>https://www.gen-optima.com/geo/top-generative-ai-search-engine-optimization-agencies-2026/</t>
  </si>
  <si>
    <t>Top AI Search Optimization Agencies in 2026 (Q1 2026 Update)</t>
  </si>
  <si>
    <t>Siege Media, Omniscient Digital, Single Grain</t>
  </si>
  <si>
    <t>https://www.geniecrawl.com/top-50-seo-agencies-in-the-uk-2026-rankings/</t>
  </si>
  <si>
    <t>Top 50 Search Engine Optimisation (SEO) Agencies in the UK (2026 Rankings)</t>
  </si>
  <si>
    <t>Genie Crawl, ClickSlice, The SEO Works, Bird Marketing, Found, Passion Digital, Momentum, The Good Marketer, LOCALiQ, Hallam, Push, Push Group, Propeller</t>
  </si>
  <si>
    <t>https://get-found.co.uk/services/aeo-agency</t>
  </si>
  <si>
    <t>AEO Agency UK | Answer Engine Optimisation | Get-Found</t>
  </si>
  <si>
    <t>https://getrecast.com/</t>
  </si>
  <si>
    <t>Planning &amp;amp; Analysis Infrastructure - Recast</t>
  </si>
  <si>
    <t>https://giantleapdigital.co.uk/why-us/</t>
  </si>
  <si>
    <t>Why Us \| Luxury Marketing Agency</t>
  </si>
  <si>
    <t>https://gigawattgroup.com/insights/best-geo-agencies-in-2026-who-actually-drives-ai-visibility-and-citations/</t>
  </si>
  <si>
    <t>Best GEO Agencies in 2026: Who Actually Drives AI Visibility and Citations - Gigawatt Group</t>
  </si>
  <si>
    <t>https://ginitalent.com/top-10-creative-agencies-in-the-uk-2025-guide/</t>
  </si>
  <si>
    <t>Top 10 Creative Agencies in the UK (2025 Guide) - Gini Talent</t>
  </si>
  <si>
    <t>https://www.gohighlevel.com/post/the-ai-ready-agency-what-the-top-5-are-doing-differently</t>
  </si>
  <si>
    <t>The AI-ready agency: What the top 5% are doing differently</t>
  </si>
  <si>
    <t>https://www.goodfirms.co/advertising-companies/creative</t>
  </si>
  <si>
    <t>Top Creative Agencies - 2026 Reviews | Goodfirms</t>
  </si>
  <si>
    <t>Found, Daydream</t>
  </si>
  <si>
    <t>https://www.goodfirms.co/advertising-companies/creative/uk?sort_by=reviews</t>
  </si>
  <si>
    <t>https://www.goodfirms.co/advertising-companies/programmatic</t>
  </si>
  <si>
    <t>Top Programmatic Advertising Companies - 2026 Reviews | Goodfirms</t>
  </si>
  <si>
    <t>The SEO Works, Found, Daydream</t>
  </si>
  <si>
    <t>https://www.goodfirms.co/directory/city/top-digital-marketing-companies/advertising-ppc/london?sort_by=reviews</t>
  </si>
  <si>
    <t>Top PPC Agencies in London - 2026 Reviews | Goodfirms</t>
  </si>
  <si>
    <t>https://www.goodfirms.co/directory/country/top-digital-marketing-companies/advertising-ppc/uk?sort_by=matrix</t>
  </si>
  <si>
    <t>Bird Marketing, WebFX, The SEO Works, Found</t>
  </si>
  <si>
    <t>https://www.goodfirms.co/directory/country/top-digital-marketing-companies/gb?hss_channel=fbp-687194624745812utm_content%3D126613956&amp;page=2</t>
  </si>
  <si>
    <t>Whitehat, Found, Bird Marketing</t>
  </si>
  <si>
    <t>https://www.goodfirms.co/directory/country/top-digital-marketing-companies/media-planning-buying/uk</t>
  </si>
  <si>
    <t>Top Media Buying Agencies in the United Kingdom - 2026 Reviews | Goodfirms</t>
  </si>
  <si>
    <t>WebFX, VCCP, Favoured, Omnicom, Found, Bird Marketing</t>
  </si>
  <si>
    <t>https://google.assemblyglobal.com/licensing#:~:text=Own%20Your%20Tech.,Access%20Advanced%20Features.</t>
  </si>
  <si>
    <t>Assembly | Your Google Sales Partner for Expert Marketing &amp;amp; Advertising</t>
  </si>
  <si>
    <t>https://www.google.co.uk/partners/agency?id=6371674378</t>
  </si>
  <si>
    <t>https://www.google.com/searchviewer/10?svid=CAwSGxIZCgNwdnESEkNnc3ZaeTh4ZEd4ZmJEWXhlURgK</t>
  </si>
  <si>
    <t>https://www.google.com/searchviewer/10?svid=CAwSGxIZCgNwdnESEkNnc3ZaeTh4ZEdONGVqbG9OZxgK</t>
  </si>
  <si>
    <t>https://www.google.com/searchviewer/10?svid=CAwSGxIZCgNwdnESEkNnc3ZaeTh4ZEdRMFpEQnpPQRgK</t>
  </si>
  <si>
    <t>https://www.google.com/searchviewer/10?svid=CAwSGxIZCgNwdnESEkNnc3ZaeTh4ZEdSNVgyWjNOZxgK</t>
  </si>
  <si>
    <t>https://www.google.com/searchviewer/10?svid=CAwSGxIZCgNwdnESEkNnc3ZaeTh4ZEdjMWVqTXpaQRgK</t>
  </si>
  <si>
    <t>https://www.google.com/searchviewer/10?svid=CAwSGxIZCgNwdnESEkNnc3ZaeTh4ZEdka2MyMXhiQRgK</t>
  </si>
  <si>
    <t>https://www.google.com/searchviewer/10?svid=CAwSGxIZCgNwdnESEkNnc3ZaeTh4ZEdvemEydHFhQRgK</t>
  </si>
  <si>
    <t>https://www.google.com/searchviewer/10?svid=CAwSGxIZCgNwdnESEkNnc3ZaeTh4ZGpnek1HeHFadxgK</t>
  </si>
  <si>
    <t>https://www.google.com/searchviewer/10?svid=CAwSHBIaCgNwdnESE0Nnd3ZaeTh4TVRObWN6TTROWFEYCg</t>
  </si>
  <si>
    <t>https://www.google.com/searchviewer/10?svid=CAwSHBIaCgNwdnESE0Nnd3ZaeTh4TW0wNU9ERnJOM2sYCg</t>
  </si>
  <si>
    <t>https://www.google.com/searchviewer/10?svid=CAwSHBIaCgNwdnESE0Nnd3ZaeTh4TW0xc01ubDNkMkkYCg</t>
  </si>
  <si>
    <t>https://www.google.com/searchviewer/10?svid=CAwSHBIaCgNwdnESE0Nnd3ZaeTh4TW1Od01qTnNNV2cYCg</t>
  </si>
  <si>
    <t>https://www.google.com/searchviewer/10?svid=CAwSHBIaCgNwdnESE0Nnd3ZaeTh4Y0hSMmRtb3dZMkkYCg</t>
  </si>
  <si>
    <t>https://www.google.com/searchviewer/10?svid=CAwSHBIaCgNwdnESE0Nnd3ZaeTh4Y1RacVkyMDFlVFUYCg</t>
  </si>
  <si>
    <t>https://www.google.com/searchviewer/10?svid=CAwSHBIaCgNwdnESE0Nnd3ZaeTh4YW1kdE1XWjVjMjQYCg</t>
  </si>
  <si>
    <t>https://www.google.com/searchviewer/10?svid=CAwSHRIbCgNwdnESFENnMHZaeTh4TVc1aWFtUjVORGR1GAo</t>
  </si>
  <si>
    <t>https://www.google.com/searchviewer/10?svid=CAwSHRIbCgNwdnESFENnMHZaeTh4TVdJMlkzQjRNbUl6GAo</t>
  </si>
  <si>
    <t>https://www.google.com/searchviewer/10?svid=CAwSHRIbCgNwdnESFENnMHZaeTh4TVdKM1p6bGZjbUkwGAo</t>
  </si>
  <si>
    <t>https://www.google.com/searchviewer/10?svid=CAwSHRIbCgNwdnESFENnMHZaeTh4TVdKMGJUbHdYM1JzGAo</t>
  </si>
  <si>
    <t>https://www.google.com/searchviewer/10?svid=CAwSHRIbCgNwdnESFENnMHZaeTh4TVdKaWRESnFkRFp6GAo</t>
  </si>
  <si>
    <t>https://www.google.com/searchviewer/10?svid=CAwSHRIbCgNwdnESFENnMHZaeTh4TVdNMFltZDBNekZ1GAo</t>
  </si>
  <si>
    <t>https://www.google.com/searchviewer/10?svid=CAwSHRIbCgNwdnESFENnMHZaeTh4TVdNMU5IWm1aMlF5GAo</t>
  </si>
  <si>
    <t>https://www.google.com/searchviewer/10?svid=CAwSHRIbCgNwdnESFENnMHZaeTh4TVdOek0zcHNjblp5GAo</t>
  </si>
  <si>
    <t>https://www.google.com/searchviewer/10?svid=CAwSHRIbCgNwdnESFENnMHZaeTh4TVdZNGFITjZhM1J0GAo</t>
  </si>
  <si>
    <t>https://www.google.com/searchviewer/10?svid=CAwSHRIbCgNwdnESFENnMHZaeTh4TVdZd05ESnpjMTlrGAo</t>
  </si>
  <si>
    <t>https://www.google.com/searchviewer/10?svid=CAwSHRIbCgNwdnESFENnMHZaeTh4TVdkMFp6bHhhbmRuGAo</t>
  </si>
  <si>
    <t>https://www.google.com/searchviewer/10?svid=CAwSHRIbCgNwdnESFENnMHZaeTh4TVdneE9HZHRjak53GAo</t>
  </si>
  <si>
    <t>https://www.google.com/searchviewer/10?svid=CAwSHRIbCgNwdnESFENnMHZaeTh4TVdnelluUjJkekJ0GAo</t>
  </si>
  <si>
    <t>https://www.google.com/searchviewer/10?svid=CAwSHRIbCgNwdnESFENnMHZaeTh4TVdoMGVuTTBObmt3GAo</t>
  </si>
  <si>
    <t>https://www.google.com/searchviewer/10?svid=CAwSHRIbCgNwdnESFENnMHZaeTh4TVdoa05uZDZkRFJuGAo</t>
  </si>
  <si>
    <t>https://www.google.com/searchviewer/10?svid=CAwSHRIbCgNwdnESFENnMHZaeTh4TVdveWMyMXVPVEprGAo</t>
  </si>
  <si>
    <t>https://www.google.com/searchviewer/10?svid=CAwSHRIbCgNwdnESFENnMHZaeTh4TVdzd05qZG9lRGx1GAo</t>
  </si>
  <si>
    <t>https://www.google.com/searchviewer/10?svid=CAwSHRIbCgNwdnESFENnMHZaeTh4TVhGaWRqVnRNSEZzGAo</t>
  </si>
  <si>
    <t>https://www.google.com/searchviewer/10?svid=CAwSHRIbCgNwdnESFENnMHZaeTh4TVhGbk1EQnJNV0pqGAo</t>
  </si>
  <si>
    <t>https://www.google.com/searchviewer/10?svid=CAwSHRIbCgNwdnESFENnMHZaeTh4TVhNM1puYzNjRE56GAo</t>
  </si>
  <si>
    <t>https://www.google.com/searchviewer/10?svid=CAwSHRIbCgNwdnESFENnMHZaeTh4TVhONVl6RnFlR2RzGAo</t>
  </si>
  <si>
    <t>https://www.google.com/searchviewer/10?svid=CAwSHRIbCgNwdnESFENnMHZaeTh4TVhScVp6aHRjM0o2GAo</t>
  </si>
  <si>
    <t>https://www.google.com/searchviewer/10?svid=CAwSHRIbCgNwdnESFENnMHZaeTh4TVhaa05teDNjVGQzGAo</t>
  </si>
  <si>
    <t>https://www.google.com/searchviewer/10?svid=CAwSHRIbCgNwdnESFENnMHZaeTh4TVhkM2VqSnpjMmh3GAo</t>
  </si>
  <si>
    <t>https://www.google.com/searchviewer/10?svid=CAwSHRIbCgNwdnESFENnMHZaeTh4TVhkcU5XUndiVEUxGAo</t>
  </si>
  <si>
    <t>https://www.goup.co.uk/</t>
  </si>
  <si>
    <t>SEO Agency London | London's Leading SEO Services</t>
  </si>
  <si>
    <t>https://grapefruitseo.london/as-featured-on/</t>
  </si>
  <si>
    <t>As Featured On - Grapefruit Digital SEO Agency</t>
  </si>
  <si>
    <t>https://www.greenbook.org/market-research-firms/tracking</t>
  </si>
  <si>
    <t>Top Tracking Research Companies — Greenbook</t>
  </si>
  <si>
    <t>https://grizzle.io/blog/best-generative-engine-optimization-agencies-for-b2b</t>
  </si>
  <si>
    <t>6 best generative engine optimization (GEO) agencies for B2B to grow AI visibility in 2026</t>
  </si>
  <si>
    <t>Siege Media, Omniscient Digital, Found, Push, Rise at Seven, Measured, Brainlabs, Tinuiti</t>
  </si>
  <si>
    <t>https://growth-labs.co.uk/top-50-uk-web-development-companies-2026-rankings/</t>
  </si>
  <si>
    <t>Top 50 UK Web Development Companies | 2026 Rankings | Growthlabs</t>
  </si>
  <si>
    <t>Propeller, Impression, Dept, AKQA, Hallam, Bird Marketing</t>
  </si>
  <si>
    <t>https://www.growth-rocket.com/blog/what-high-performing-agencies-do-differently-with-first-party-data-strategy/</t>
  </si>
  <si>
    <t>What High-Performing Agencies Do Differently With First-Party Data Strategy - Growth Rocket</t>
  </si>
  <si>
    <t>https://growth.cx/blog/best-performance-marketing-agencies/</t>
  </si>
  <si>
    <t>13 Best Performance Marketing Agencies to Boost ROI in 2026</t>
  </si>
  <si>
    <t>Ignite Visibility, Tinuiti, NoGood, iCrossing, Wpromote</t>
  </si>
  <si>
    <t>https://growthcurve.co/agency/digital-marketing-agency/best-growth-marketing-agencies#:~:text=Growthcurve%20gives%20you%20a%20complete,more%20shipped%20and%20fewer%20handoffs.</t>
  </si>
  <si>
    <t>Best Growth Marketing Agencies | Growthcurve</t>
  </si>
  <si>
    <t>https://growthmanager.ai/best-geo-agency</t>
  </si>
  <si>
    <t>Best GEO agencies in 2026, reviewed and ranked</t>
  </si>
  <si>
    <t>https://www.growthspreeofficial.com/blogs/top-6-ai-powered-b2b-saas-marketing-agencies-in-the-united-states-2026</t>
  </si>
  <si>
    <t>Top 6 AI-Powered B2B SaaS Marketing Agencies USA 2026</t>
  </si>
  <si>
    <t>GrowthSpree, Measured, Found</t>
  </si>
  <si>
    <t>https://hallam.agency/</t>
  </si>
  <si>
    <t>B2B Digital Marketing Agency | Multi-Award Winning | Hallam</t>
  </si>
  <si>
    <t>https://hallam.agency/analytics/</t>
  </si>
  <si>
    <t>Web Analytics Agency | B2B Marketing Analytics | Hallam</t>
  </si>
  <si>
    <t>Hallam, Momentum, Measured</t>
  </si>
  <si>
    <t>https://hallam.agency/contact/</t>
  </si>
  <si>
    <t>Get in touch | Hallam</t>
  </si>
  <si>
    <t>https://hallam.agency/media-planning/</t>
  </si>
  <si>
    <t>Media Planning Agency | Media Planning for B2B | Hallam</t>
  </si>
  <si>
    <t>https://www.happyhourproductions.co.uk/insights/top-tv-advertising-agencies-uk</t>
  </si>
  <si>
    <t>Top 8 TV Advertising Agencies in the UK (2026) | Happy Hour Productions</t>
  </si>
  <si>
    <t>Saatchi &amp; Saatchi, VCCP, BBH London, Mother London, AMV BBDO, Adam&amp;eveDDB, Found</t>
  </si>
  <si>
    <t>https://hashmeta.com/blog/10-best-aeo-geo-agencies-for-ai-search-optimization/</t>
  </si>
  <si>
    <t>10 Best AEO/GEO Agencies for AI Search Optimization | Hashmeta</t>
  </si>
  <si>
    <t>Siege Media, Blue Array, Measured</t>
  </si>
  <si>
    <t>https://www.havasmarket.co.uk/ad-technology-resale-partner/google-marketing-platform-sales-partner/</t>
  </si>
  <si>
    <t>Google Marketing Platform Sales Partner | Havas Market</t>
  </si>
  <si>
    <t>https://www.havasmarket.co.uk/paid-search/</t>
  </si>
  <si>
    <t>PPC &amp;amp; Paid Search Agency | Havas Market</t>
  </si>
  <si>
    <t>https://hawksem.com/blog/performance-marketing-agency-list/</t>
  </si>
  <si>
    <t>Top 10 Performance Marketing Agencies in 2026</t>
  </si>
  <si>
    <t>Tinuiti, Merkle, Wpromote, Polaris, iCrossing</t>
  </si>
  <si>
    <t>https://helium42.com/blog/ai-consultancy-uk</t>
  </si>
  <si>
    <t>AI Consultancy UK: Complete Guide to AI Services, Pricing, and Providers</t>
  </si>
  <si>
    <t>https://helium42.com/blog/how-to-choose-ai-consultant</t>
  </si>
  <si>
    <t>Choosing an AI Consultant: 12-Point Evaluation Guide (2026)</t>
  </si>
  <si>
    <t>https://hellogameplan.com/</t>
  </si>
  <si>
    <t>GAMEPLAN. Performance, media and technology.</t>
  </si>
  <si>
    <t>https://www.heydigital.co/blog/saas-marketing-agencies</t>
  </si>
  <si>
    <t>The 16 Best SaaS Marketing Agencies in 2026 | Hey Digital</t>
  </si>
  <si>
    <t>Found, Directive Consulting, NoGood, Single Grain, Omniscient Digital, Siege Media</t>
  </si>
  <si>
    <t>https://hikemytraffic.com/ai-digital-marketing-companies-in-uk/</t>
  </si>
  <si>
    <t>15 Best AI Digital Marketing Companies in UK (Updated 2026)</t>
  </si>
  <si>
    <t>The Good Marketer, Propeller, Soap Media</t>
  </si>
  <si>
    <t>https://www.hockeystack.com/blog-posts/how-to-measure-marketing-attribution</t>
  </si>
  <si>
    <t>How to Measure Marketing Attribution: A Step-By-Step Guide</t>
  </si>
  <si>
    <t>https://humanise.world/blog/first-party-data-activation</t>
  </si>
  <si>
    <t>Three Truths About First-Party Data Activation | Humanise</t>
  </si>
  <si>
    <t>https://www.icpnet.com/resources/blog/scaling-creative-production-without-changing-your-stack-agency-lens</t>
  </si>
  <si>
    <t>Scaling Creative Production Without Changing Your Stack (Agency Lens) - ICP</t>
  </si>
  <si>
    <t>https://improvado.io/blog/marketing-attribution-models</t>
  </si>
  <si>
    <t>Marketing Attribution Models: Multi-Touch, Offline &amp;amp; Revenue Guide</t>
  </si>
  <si>
    <t>https://improvado.io/blog/multi-touch-attribution-solutions</t>
  </si>
  <si>
    <t>12 Best Multi-Touch Attribution Solutions (2026)</t>
  </si>
  <si>
    <t>Rockerbox, Triple Whale, SegmentStream, Northbeam, Ruler Analytics, Neustar</t>
  </si>
  <si>
    <t>https://inbeat.agency/blog/top-dynamic-creative-optimization-companies</t>
  </si>
  <si>
    <t>Top 11 Dynamic Creative Optimization Companies Revolutionizing Personalized Advertising - inBeat Agency</t>
  </si>
  <si>
    <t>inBeat, Nielsen, Impression, Momentum, Found</t>
  </si>
  <si>
    <t>https://inbeat.agency/blog/top-performance-creative-agencies</t>
  </si>
  <si>
    <t>Performance Creative Agencies: 15 Worth a First Call (2026) - inBeat Agency</t>
  </si>
  <si>
    <t>inBeat, Nielsen, Bind Media, Tinuiti, Darkroom, Found, Bark London</t>
  </si>
  <si>
    <t>https://inbeat.agency/blog/top-ppc-agencies-uk</t>
  </si>
  <si>
    <t>Top 32 PPC Agencies in the United Kingdom for 2025 - Reviewed - inBeat Agency</t>
  </si>
  <si>
    <t>inBeat, Nielsen, PPC Geeks, Impression, Found, The SEO Works, Soap Media, Launch Online, The Good Marketer, Genie Crawl, LOCALiQ</t>
  </si>
  <si>
    <t>https://www.inbeat.co/articles/top-performance-marketing-agencies/</t>
  </si>
  <si>
    <t>Top 30 Performance Marketing Agencies for 2026 and Beyond</t>
  </si>
  <si>
    <t>inBeat, 9AM, Momentum, Tinuiti, Bark London, The Brains, Single Grain, Found</t>
  </si>
  <si>
    <t>https://influencermarketinghub.com/geo-agencies/</t>
  </si>
  <si>
    <t>6 Best GEO Agencies Driving AI Search Visibility</t>
  </si>
  <si>
    <t>Bird Marketing, McKinsey &amp; Company, Directive Consulting</t>
  </si>
  <si>
    <t>https://influencermarketinghub.com/performance-marketing-agencies/</t>
  </si>
  <si>
    <t>Top 54 Performance Marketing Agencies to Boost Your ROI in 2026</t>
  </si>
  <si>
    <t>McKinsey &amp; Company, Momentum, 9AM, Measured, WebFX, Ignite Visibility, Tinuiti, GroupM, Wpromote, Dept, Dentsu, iCrossing, Merkle, Power Digital, Croud, The Brains, Incubeta, NoGood, Disruptive Advertising, Directive Consulting</t>
  </si>
  <si>
    <t>https://ink-digital.co.uk/services/paid-media/display-advertising/</t>
  </si>
  <si>
    <t>Display Adverting Agency | Ink Digital</t>
  </si>
  <si>
    <t>https://ink-digital.co.uk/services/paid-media/paid-social/</t>
  </si>
  <si>
    <t>Paid Social Agency &amp;amp; Management Services | Ink Digital</t>
  </si>
  <si>
    <t>https://insanelogic.co.uk/top-uk-geo-agencies-for-scaling-visibility-in-generative-engines</t>
  </si>
  <si>
    <t>Top UK GEO Agencies for Scaling Visibility in Generative Engines</t>
  </si>
  <si>
    <t>https://insideoutdigital.co.uk/</t>
  </si>
  <si>
    <t>James Taylor — Paid Media &amp;amp; Measurement Specialist</t>
  </si>
  <si>
    <t>https://insight.atlas-mapping.com/blog/top-8-gis-mapping-companies</t>
  </si>
  <si>
    <t>Top 8 GIS Mapping Companies (2026)</t>
  </si>
  <si>
    <t>https://www.intellectyx.com/ai-agent-development-companies-in-usa/</t>
  </si>
  <si>
    <t>Top AI Agent Development Companies in USA (2026)</t>
  </si>
  <si>
    <t>https://ipa.co.uk/knowledge/publications-reports/making-effectiveness-work/</t>
  </si>
  <si>
    <t>IPA | Making effectiveness work</t>
  </si>
  <si>
    <t>https://www.iprospect.com/en-gb/services/paid-social-services</t>
  </si>
  <si>
    <t>Paid Social Media | Paid Social Media Agency | iProspect</t>
  </si>
  <si>
    <t>https://itprofiles.com/services/ai-consulting/uk</t>
  </si>
  <si>
    <t>22 Best-Rated AI Consulting Companies in United Kingdom- Jul 2026 Rankings | ITProfiles</t>
  </si>
  <si>
    <t>https://jake-jorgovan.com/blog/tiktok-marketing-agencies</t>
  </si>
  <si>
    <t>Top 30 TikTok Marketing Agencies in 2025 — Jake Jorgovan</t>
  </si>
  <si>
    <t>inBeat, NoGood, Measured, Power Digital, Disrupt Marketing, The Social Shepherd</t>
  </si>
  <si>
    <t>https://www.jampictures.co.uk/</t>
  </si>
  <si>
    <t>Creative Production Company | Jam Pictures</t>
  </si>
  <si>
    <t>https://www.jellyfish.com/en-gb/expertise/data/advanced-analytics-modeling/</t>
  </si>
  <si>
    <t>https://www.journeyfurther.com/en-gb/solutions#:~:text=We%20reveal%20how%20your%20audience,Discovery%20is%20no%20longer%20linear.</t>
  </si>
  <si>
    <t>The Discovery System | Journey Further UK</t>
  </si>
  <si>
    <t>Found, Momentum, Impression, Journey Further</t>
  </si>
  <si>
    <t>https://www.k2l.co.uk/top-25-digital-marketing-agencies-in-the-uk-2024/</t>
  </si>
  <si>
    <t>Top 25 Digital Marketing Agencies in the UK (2024) | K2L Marketing</t>
  </si>
  <si>
    <t>Found, Push, Push Group, Dept, Gripped, The Brains, Huge, LOCALiQ, Saatchi &amp; Saatchi, BBH London, Transmission</t>
  </si>
  <si>
    <t>https://www.kaweb.co.uk/blog/best-ppc-agencies-uk</t>
  </si>
  <si>
    <t>13 Best PPC Agencies in the UK | Kaweb 2025 Guide | Kaweb</t>
  </si>
  <si>
    <t>The Social Shepherd, PPC Geeks, Impression, inBeat, NP Digital, Koozai, Ninja Promo, Bind Media, Found, Push, Push Group, NoGood, Momentum</t>
  </si>
  <si>
    <t>https://www.kiwop.com/en/marketing-attribution</t>
  </si>
  <si>
    <t>Marketing Attribution &amp;amp; MMM | Measure True ROI | Kiwop</t>
  </si>
  <si>
    <t>Rockerbox, Northbeam, Measured</t>
  </si>
  <si>
    <t>https://knownandcited.com/blog/leading-uk-ai-visibility-agencies-2026</t>
  </si>
  <si>
    <t>Leading AI Visibility Agencies in the UK | Known &amp;amp; Cited</t>
  </si>
  <si>
    <t>Tilio, Rank4AI</t>
  </si>
  <si>
    <t>https://lbbonline.com/companies/amv-bbdo/about</t>
  </si>
  <si>
    <t>https://www.leadtheway.io/</t>
  </si>
  <si>
    <t>Lead The Way - AI Consultancy &amp;amp; Implementation for UK Businesses</t>
  </si>
  <si>
    <t>https://learn-ai.io/articles/ai-readiness-for-uk-smes</t>
  </si>
  <si>
    <t>AI Readiness for UK SMEs: A Self-Assessment Framework | Learn AI</t>
  </si>
  <si>
    <t>https://lengreo.com/erotic-lead-generation-agencies/</t>
  </si>
  <si>
    <t>Top 13 Erotic Lead Generation Companies (2026)</t>
  </si>
  <si>
    <t>https://leoburnett.co.uk</t>
  </si>
  <si>
    <t>Home - Leo Burnett</t>
  </si>
  <si>
    <t>Publicis Groupe, VCCP, Ogilvy</t>
  </si>
  <si>
    <t>https://www.leverdigital.co.uk/post/best-ppc-agencies-uk</t>
  </si>
  <si>
    <t>Best PPC Agencies UK 2026 | Lever Digital</t>
  </si>
  <si>
    <t>Impression, PPC Geeks, Brainlabs, Measured</t>
  </si>
  <si>
    <t>https://www.lightworksconsulting.uk/</t>
  </si>
  <si>
    <t>Lightworks Consulting | Business Change, Sustainability &amp;amp; AI Consultancy — London, UK</t>
  </si>
  <si>
    <t>https://www.linkedin.com/pulse/deconstructing-common-solutions-first-party-data-pierre-cholet-booce</t>
  </si>
  <si>
    <t>Deconstructing common solutions for first-party data activation</t>
  </si>
  <si>
    <t>Epsilon</t>
  </si>
  <si>
    <t>https://www.linkedin.com/pulse/top-21-data-science-consulting-companies-2026-saurabh-sharma-kzwge</t>
  </si>
  <si>
    <t>Top 21 Data Science Consulting Companies in 2026</t>
  </si>
  <si>
    <t>PwC</t>
  </si>
  <si>
    <t>https://localiq.co.uk/digital-marketing-services/seo/ai-search</t>
  </si>
  <si>
    <t>Boost your visibility across traditional and AI-driven search with SEO services from LOCALiQ.</t>
  </si>
  <si>
    <t>LOCALiQ, Huge, Measured</t>
  </si>
  <si>
    <t>https://www.loomdigital.co.uk/paid-search-ppc/google-ads/</t>
  </si>
  <si>
    <t>Google Ads Management | Google Partner | Loom</t>
  </si>
  <si>
    <t>https://www.loudface.co/blog/best-aeo-agencies-b2b-saas-2026</t>
  </si>
  <si>
    <t>Best AEO &amp;amp; GEO Agencies for B2B SaaS in 2026 | LoudFace</t>
  </si>
  <si>
    <t>Siege Media, NoGood</t>
  </si>
  <si>
    <t>https://lunarailab.com/blog/2026/03/04/top-5-ai-agent-adoption-agencies-in-2026/</t>
  </si>
  <si>
    <t>Top 5 AI Agent Adoption Agencies in 2026 - Lunar AI Lab</t>
  </si>
  <si>
    <t>https://www.lynchpin.com/about-us/</t>
  </si>
  <si>
    <t>About Us - Lynchpin - Independent analytics consultancy</t>
  </si>
  <si>
    <t>https://www.lynchpin.com/services/digital-analytics/adobe-analytics-and-target-support/</t>
  </si>
  <si>
    <t>Adobe Analytics Consulting - Lynchpin - Independent analytics consultancy</t>
  </si>
  <si>
    <t>https://m.economictimes.com/industry/services/advertising/bcg-sees-wider-ai-execution-gap-in-india-as-marketers-prepare-for-agentic-ai/articleshow/132398248.cms</t>
  </si>
  <si>
    <t>BCG sees wider AI execution gap in India as marketers prepare for agentic AI - The Economic Times</t>
  </si>
  <si>
    <t>Found, Kantar, WPP, Disrupt Marketing, Momentum</t>
  </si>
  <si>
    <t>https://madebyshape.co.uk/web-design-blog/the-best-branding-agencies-to-work-for-in-the-uk/</t>
  </si>
  <si>
    <t>The Best Branding Agencies to Work For in the UK | MadeByShape</t>
  </si>
  <si>
    <t>Push, Gripped, Found</t>
  </si>
  <si>
    <t>https://www.mapleforest.co.uk/</t>
  </si>
  <si>
    <t>Certified PPC Agency | Google Ads Experts – Maple Forest</t>
  </si>
  <si>
    <t>https://www.margen.net/ai-seo-agency-uk/</t>
  </si>
  <si>
    <t>AI SEO Agency UK | Get Cited by ChatGPT, Perplexity &amp;amp; Google AI | MarGen</t>
  </si>
  <si>
    <t>https://marketerhire.com/blog/display-advertising-agency</t>
  </si>
  <si>
    <t>10 Top Display Advertising Agencies to Lower CPMs and Lift Conversions</t>
  </si>
  <si>
    <t>Push, Measured, Impression, Single Grain, Momentum, inBeat</t>
  </si>
  <si>
    <t>https://marketing-attribution-and-consulting.martechoutlook.com/vendors/top-marketing-attribution-and-consulting-services.html</t>
  </si>
  <si>
    <t>Top Marketing Attribution and Consulting Services</t>
  </si>
  <si>
    <t>https://www.marketingagencyindex.com/uk</t>
  </si>
  <si>
    <t>Agency Index | Find the Best Digital Marketing Agencies in the UK</t>
  </si>
  <si>
    <t>WPP, Publicis Groupe, Omnicom, Brandtech, Croud, Overdrive Digital</t>
  </si>
  <si>
    <t>https://www.marketingagencyindex.com/uk/ownership-model/network</t>
  </si>
  <si>
    <t>Best Network Agencies in the UK | Agency Index</t>
  </si>
  <si>
    <t>WPP, Omnicom, Dentsu, Croud, Ogilvy, AKQA, GroupM, Publicis Groupe, Saatchi &amp; Saatchi, BBH London, Epsilon, Merkle, VCCP, Found, Push</t>
  </si>
  <si>
    <t>https://www.marketingiq.co.uk/</t>
  </si>
  <si>
    <t>We support agencies with MMM, Customer Analytics, Influencer Analytics and Training</t>
  </si>
  <si>
    <t>Omnicom, WPP</t>
  </si>
  <si>
    <t>https://www.marketingiq.co.uk/about-simon-foster-mmm-consultant/</t>
  </si>
  <si>
    <t>Simon Foster MMM consultant</t>
  </si>
  <si>
    <t>https://marketingplatform.google.com/about/partners/find-a-partner?category=206&amp;geo=united+kingdom&amp;q=&amp;region=EU</t>
  </si>
  <si>
    <t>https://marketingsignals.com/best-ppc-agency-2026-the-top-uk-pay-per-click-agencies-ranked/</t>
  </si>
  <si>
    <t>Best PPC Agency 2026: The Top UK Pay-Per-Click Agencies Ranked - Marketing Signals</t>
  </si>
  <si>
    <t>Brainlabs, Hallam, PPC Geeks, The Social Shepherd, Transmission</t>
  </si>
  <si>
    <t>https://www.marketingweek.com/john-lewis-new-agency/</t>
  </si>
  <si>
    <t>Emphasising ‘the John Lewis difference’: Inside the Partnership’s choice of new agency</t>
  </si>
  <si>
    <t>Saatchi &amp; Saatchi, Adam&amp;eveDDB</t>
  </si>
  <si>
    <t>https://marketri.com/ai-marketing-consulting/</t>
  </si>
  <si>
    <t>AI Consulting for Sales &amp; Marketing Teams \| Marketri</t>
  </si>
  <si>
    <t>https://martal.ca/integrated-marketing-agencies-lb/</t>
  </si>
  <si>
    <t>Top Integrated Marketing Agencies: ROI-Driven Guide for 2026</t>
  </si>
  <si>
    <t>Found, Push, Measured, Dentsu</t>
  </si>
  <si>
    <t>https://mass-analytics.com/mmm-solutions/mmm-consultancy/#:~:text=We%20work%20side%2Dby%2Dside%20with%20your%20teams%20to,into%20action%20and%20action%20into%20measurable%20growth.</t>
  </si>
  <si>
    <t>Marketing Mix Modeling Consultancy Services | MASS Analytics</t>
  </si>
  <si>
    <t>https://matomo.org/blog/2024/03/incrementality-testing/</t>
  </si>
  <si>
    <t>Incrementality Testing: Quick-Start Guide (With Calculations) - Analytics Platform - Matomo</t>
  </si>
  <si>
    <t>https://www.mcsaatchiperformance.com/london/#:~:text=Launched%20in%202006%20as%20one,full%2Dservice%20performance%20media%20agency.</t>
  </si>
  <si>
    <t>Performance Marketing Agency London | M+C Saatchi</t>
  </si>
  <si>
    <t>https://www.mcsaatchiperformance.com/what-we-do/display/</t>
  </si>
  <si>
    <t>Display Advertising Agency | M+C Saatchi Performance</t>
  </si>
  <si>
    <t>https://www.measured.com/faq/incrementality-testing-how-to-choose-the-right-platform/</t>
  </si>
  <si>
    <t>Incrementality Testing: How To Choose The Right Platform | Measured®</t>
  </si>
  <si>
    <t>https://www.measured.com/faq/top-11-best-media-mix-modeling-companies-software-for-2026/#:~:text=Rating%3A%20(4.1%2F5%20G2%2C%204.0%2F5%20Capterra)%20Best%20For%3A,Sources%20*%20ScanmarQED.%20*%20G2%20ScanmarQED%20Reviews.</t>
  </si>
  <si>
    <t>Top 11 Best Media Mix Modeling Companies &amp;amp; Software for 2026 | Measured®</t>
  </si>
  <si>
    <t>Measured, Nielsen, Analytic Partners, Kantar, Neustar, Gain Theory, WPP, Recast, Haus, Rockerbox</t>
  </si>
  <si>
    <t>https://www.measured.com/faq/what-is-incrementality-testing/</t>
  </si>
  <si>
    <t>What is Incrementality Testing (w/ Calculations &amp;amp; Examples)</t>
  </si>
  <si>
    <t>https://measuremindsgroup.com/</t>
  </si>
  <si>
    <t>MeasureMinds | Digital Analytics Agency: Data Empowerment</t>
  </si>
  <si>
    <t>https://mediaaddict.co.uk/</t>
  </si>
  <si>
    <t>Media Addict | Independent UK media agency. Bought direct, priced on the outcome.</t>
  </si>
  <si>
    <t>https://www.medianug.com/blog/10-paid-media-agencies-to-elevate-your-marketing-strategy-in-2026</t>
  </si>
  <si>
    <t>10 Paid Media Agencies to Elevate Your Marketing Strategy in 2026</t>
  </si>
  <si>
    <t>Directive Consulting, Power Digital, Wpromote, Tinuiti, NP Digital, Disruptive Advertising, WebFX, Disrupt Marketing, Found</t>
  </si>
  <si>
    <t>https://www.medianug.com/blog/paid-social-advertising-agency-vs-performance-marketing-agency-which-does-your-business-actually-need</t>
  </si>
  <si>
    <t>Paid Social Advertising Agency vs. Performance Marketing Agency: Which Does Your Business Actually Need?</t>
  </si>
  <si>
    <t>https://www.mediaperformance.co.uk/what-we-do/cro/</t>
  </si>
  <si>
    <t>Conversion Rate Optimisation - Media Performance</t>
  </si>
  <si>
    <t>https://www.mediaperformance.co.uk/what-we-do/measurement-attribution-strategy/</t>
  </si>
  <si>
    <t>Measurement and Attribution Strategy - Media Performance</t>
  </si>
  <si>
    <t>https://mediascape.ltd.uk/av-insights/top-digital-screen-companies-in-the-uk/</t>
  </si>
  <si>
    <t>Top 10 Digital Screen Companies in the UK</t>
  </si>
  <si>
    <t>https://www.mediaworxfilms.com/post/best-10-creative-agencies-in-london-2025</t>
  </si>
  <si>
    <t>Best 10 Creative Agencies in London 2025</t>
  </si>
  <si>
    <t>Mother London, Saatchi &amp; Saatchi, VCCP, Ogilvy, WPP, Publicis Groupe, AKQA</t>
  </si>
  <si>
    <t>https://www.mint.ai/agentic-ai</t>
  </si>
  <si>
    <t>Agentic AI</t>
  </si>
  <si>
    <t>https://www.mitochonpixel.co.uk/blogs/top-10-analytics-and-reporting-companies-in-uk</t>
  </si>
  <si>
    <t>Top 10 Analytics and Reporting Agencies in UK | Mitochon Pixel</t>
  </si>
  <si>
    <t>Deloitte Digital, PwC</t>
  </si>
  <si>
    <t>https://mma.com/solutions/unified-marketing-measurement/</t>
  </si>
  <si>
    <t>Unified Marketing Measurement Solutions | Ipsos MMA</t>
  </si>
  <si>
    <t>https://www.mobileappdaily.com/directory/digital-marketing-companies/uk</t>
  </si>
  <si>
    <t>Top Digital Marketing Agencies in the UK - 2026 Reviews | MobileAppDaily</t>
  </si>
  <si>
    <t>Favoured, WebFX, PwC, Bird Marketing, The SEO Works, Blue Array, ClickSlice, Impression, ROAST</t>
  </si>
  <si>
    <t>https://www.monks.com/google-partnership</t>
  </si>
  <si>
    <t>Google-Certified Partner Agency | GMP, Google Cloud, and Media</t>
  </si>
  <si>
    <t>Monks</t>
  </si>
  <si>
    <t>https://www.monks.com/partners/google-marketing-platform</t>
  </si>
  <si>
    <t>Google Marketing Platform | Partnerships | Monks</t>
  </si>
  <si>
    <t>Monks, Momentum</t>
  </si>
  <si>
    <t>https://mooreks.co.uk/annual-survey/</t>
  </si>
  <si>
    <t>Moore Kingston Smith's Annual Survey – Moore Kingston Smith</t>
  </si>
  <si>
    <t>https://mrs.digital/ppc/healthcare-ppc-agency/</t>
  </si>
  <si>
    <t>PPC Services for Healthcare - MRS Digital</t>
  </si>
  <si>
    <t>https://www.munro.agency/best-growth-marketing-agencies/</t>
  </si>
  <si>
    <t>14 Best Growth Marketing Agencies</t>
  </si>
  <si>
    <t>Momentum, NoGood, Brainlabs, Tinuiti, Wpromote, Impression, Single Grain, NP Digital, Favoured</t>
  </si>
  <si>
    <t>https://www.munro.agency/creative-advertising-agencies/</t>
  </si>
  <si>
    <t>Top 15 creative advertising agencies</t>
  </si>
  <si>
    <t>BBH London, WPP, Mother London, Adam&amp;eveDDB, AMV BBDO</t>
  </si>
  <si>
    <t>https://www.munro.agency/google-ads-agencies/</t>
  </si>
  <si>
    <t>Top 15 Google Ads Agencies</t>
  </si>
  <si>
    <t>Impression, Gripped, Soap Media, PPC Geeks, Brainlabs, Croud, Push, Push Group, Bind Media</t>
  </si>
  <si>
    <t>https://www.munro.agency/top-10-paid-media-agencies/</t>
  </si>
  <si>
    <t>https://www.munro.agency/top-geo-agencies/</t>
  </si>
  <si>
    <t>Top 13 GEO Agencies</t>
  </si>
  <si>
    <t>Siege Media, Omniscient Digital, Exposure Ninja, Varn, Bird Marketing</t>
  </si>
  <si>
    <t>https://www.n-ix.com/ai-outsourcing-how-to-get-it-right/</t>
  </si>
  <si>
    <t>Artificial Intelligence outsourcing: How to get it right - N-iX</t>
  </si>
  <si>
    <t>https://nalaber.com/insights/best-ai-seo-agencies-uk</t>
  </si>
  <si>
    <t>Best AI SEO Agencies in the UK (2026) | Nalaber</t>
  </si>
  <si>
    <t>Found, Impression, Rise at Seven, Measured</t>
  </si>
  <si>
    <t>https://nealschaffer.com/ai-marketing-agency/</t>
  </si>
  <si>
    <t>15 Best AI Marketing Agencies Helping Brands Grow in 2026</t>
  </si>
  <si>
    <t>QuantumBlack, Found, Measured</t>
  </si>
  <si>
    <t>https://netpeak.co.uk/about/</t>
  </si>
  <si>
    <t>About Netpeak Agency UK | Since 2006</t>
  </si>
  <si>
    <t>https://neuraladx.com/about-neuraladx-ltd-what-we-do/</t>
  </si>
  <si>
    <t>About NeuralAdX Ltd</t>
  </si>
  <si>
    <t>https://neuraladx.com/best-perplexity-optimisation-agency-uk/</t>
  </si>
  <si>
    <t>Best Perplexity Optimisation Agency UK | NeuralAdX Ltd</t>
  </si>
  <si>
    <t>Found, Measured, Screaming Frog, Impression, Hallam, Brainlabs</t>
  </si>
  <si>
    <t>https://neuraladx.com/comparison-of-the-top-10-generative-engine-optimisation-geo-service-agencies-2026/</t>
  </si>
  <si>
    <t>Comparison of the Top 10 Generative Engine Optimisation (GEO) Service Agencies (2026) - NeuralAdX Ltd</t>
  </si>
  <si>
    <t>Varn, Impression, Exposure Ninja, Click Intelligence, Measured</t>
  </si>
  <si>
    <t>https://nexacognition.com/ai-strategy-consulting</t>
  </si>
  <si>
    <t>AI Strategy Consulting UK | AI Roadmaps, Transformation &amp;amp; ROI-Driven Adoption</t>
  </si>
  <si>
    <t>https://www.nikaconsulting.co.nz/advertising-agencies-auckland/</t>
  </si>
  <si>
    <t>7 Best Advertising Agencies Auckland Offers in 2025 » Award-Winning Creative Digital Marketing Agency NZ</t>
  </si>
  <si>
    <t>https://ninjapromo.io/best-ai-marketing-agencies</t>
  </si>
  <si>
    <t>Top 8 AI Marketing Agencies for AI-Driven Digital Campaigns in 2026</t>
  </si>
  <si>
    <t>https://www.niracore.com/top-ai-consulting-companies-in-the-uk/</t>
  </si>
  <si>
    <t>AI Consulting Companies in the UK | Top Firms</t>
  </si>
  <si>
    <t>https://noirandblanco.com/best-digital-marketing-agencies-in-the-uk/</t>
  </si>
  <si>
    <t>11 Best Digital Marketing Agencies in the UK for D2C &amp;amp; Small Businesses (2026)</t>
  </si>
  <si>
    <t>The Social Shepherd, Gripped, Found, The Good Marketer</t>
  </si>
  <si>
    <t>https://oaknorth.co.uk/press/eci-partners-acquires-majority-stake-in-digital-marketing-agency-croud-to-accelerate-growth-following-77-6m-club-loan-from-oaknorth/</t>
  </si>
  <si>
    <t>ECI Partners acquires majority stake in digital marketing agency, Croud, to accelerate growth, following £77.6m club loan from OakNorth | OakNorth Bank | Business Loans &amp;amp; Savings Accounts</t>
  </si>
  <si>
    <t>https://oakpool.xyz/drift/top-10-geo-aeo-ai-search-agencies/</t>
  </si>
  <si>
    <t>Top 10 GEO Agencies for AI Search in 2026</t>
  </si>
  <si>
    <t>NoGood, Impression</t>
  </si>
  <si>
    <t>https://www.objectiveplatform.com/blog/marketing-mix-modelling-solutions-compared</t>
  </si>
  <si>
    <t>Marketing Mix Modelling Solutions Compared 2026</t>
  </si>
  <si>
    <t>Analytic Partners, Gain Theory, Ekimetrics, Kantar, Merkle, Measured, WPP</t>
  </si>
  <si>
    <t>https://www.ofspace.co/blog/digital-product-design-agency-london</t>
  </si>
  <si>
    <t>Top 9 Best Digital Product Design Agencies in London (2026 Rankings &amp;amp; Reviews)</t>
  </si>
  <si>
    <t>Momentum, Push, Found</t>
  </si>
  <si>
    <t>https://www.ogilvy.com/about</t>
  </si>
  <si>
    <t>About | Ogilvy</t>
  </si>
  <si>
    <t>Ogilvy, WPP, Publicis Groupe, Saatchi &amp; Saatchi, Dentsu, Omnicom, Found</t>
  </si>
  <si>
    <t>https://www.omnibound.ai/blog/first-party-data-statistics</t>
  </si>
  <si>
    <t>First-Party Data Statistics (2026): 52+ Data Points on Adoption, ROI, Privacy Drivers, and the CDP Transition</t>
  </si>
  <si>
    <t>Found, Measured, Deloitte Digital</t>
  </si>
  <si>
    <t>https://omnicommedia.com/uk/omnicom-consultancy-trkkn-launches-in-uk/</t>
  </si>
  <si>
    <t>Omnicom consultancy TRKKN launches in UK – Omnicom Media United Kingdom</t>
  </si>
  <si>
    <t>https://www.oneclub.org/awards/theoneshow/-agency/Droga5%20%5Bs%5D%20London/2025</t>
  </si>
  <si>
    <t>https://www.onely.com/blog/best-digital-marketing-agencies/</t>
  </si>
  <si>
    <t>Top 16 Digital Marketing Agencies in 2026: Evaluated by AI Search Readiness, Technical Depth, and Measurable Visibility Impact - Onely</t>
  </si>
  <si>
    <t>Directive Consulting, Siege Media, Power Digital, Disruptive Advertising, Single Grain, NP Digital, WebFX, Ignite Visibility, Ninja Promo, Found</t>
  </si>
  <si>
    <t>https://onlineoptimism.com/learn/top-b2b-social-media-agencies-in-the-world/</t>
  </si>
  <si>
    <t>Top B2B Social Media Agencies in the World | Online Optimism</t>
  </si>
  <si>
    <t>https://opace.agency/services/artificial-intelligence/ai-strategy-consulting/</t>
  </si>
  <si>
    <t>AI Strategy Consulting | AI Consultancy Services UK</t>
  </si>
  <si>
    <t>https://www.openleaf.com/</t>
  </si>
  <si>
    <t>Openleaf AI Consultancy — AI Adoption, Automation &amp;amp; Agent Implementation for SMEs</t>
  </si>
  <si>
    <t>https://www.opinosis-analytics.com/ai-consulting-in-united-kingdom/</t>
  </si>
  <si>
    <t>AI Consulting Company in United Kingdom | UK | Machine Learning Consulting | Generative AI</t>
  </si>
  <si>
    <t>https://www.opticomm.co.uk/</t>
  </si>
  <si>
    <t>Opticomm Media – London Advertising Help Media Agency</t>
  </si>
  <si>
    <t>https://oski.site/blog/sales-and-marketing-analytics-companies-europe/#:~:text=Brainlabs%20focuses%20on%20scientific%20marketing,rely%20on%20modeling%20and%20testing.</t>
  </si>
  <si>
    <t>Top Sales and Marketing Analytics Companies in Europe</t>
  </si>
  <si>
    <t>Oski Solutions, Push, Dept, Brainlabs, Croud, Impression, Artefact</t>
  </si>
  <si>
    <t>https://www.osmos.ai/blog/first-party-data-in-retail-media-the-complete-targeting-guide</t>
  </si>
  <si>
    <t>First-Party Shopper Data in Retail Media: 2026 Playbook</t>
  </si>
  <si>
    <t>Impression, Nielsen, YouGov, Found</t>
  </si>
  <si>
    <t>https://www.ourdigitalteam.com/google-partner-agency/</t>
  </si>
  <si>
    <t>Google partner agency - Our Digital Team</t>
  </si>
  <si>
    <t>https://outreachz.com/blog/best-ai-marketing-agencies-2026/</t>
  </si>
  <si>
    <t>Best AI Marketing Agencies (2026): 10 Top Picks for Brands That Want Smarter Growth</t>
  </si>
  <si>
    <t>NoGood, Single Grain, Ninja Promo, NP Digital, Hawke Media, Huge, Found</t>
  </si>
  <si>
    <t>https://www.panorama-consulting.com/services/ai-readiness-and-enablement-service-offering/</t>
  </si>
  <si>
    <t>AI Readiness &amp;amp; Integration Service | Generatiive AI Consulting</t>
  </si>
  <si>
    <t>https://www.panovistamarketing.com/blog/ai-local-seo-agency</t>
  </si>
  <si>
    <t>AI Local SEO Agency | Forensic AI Search Optimization</t>
  </si>
  <si>
    <t>https://www.panovistamarketing.com/blog/best-seo-company-uk</t>
  </si>
  <si>
    <t>Best Local SEO Company UK | Panovista</t>
  </si>
  <si>
    <t>Panovista Marketing, Whitehat, Measured, Huge, Found</t>
  </si>
  <si>
    <t>https://www.pario.agency/</t>
  </si>
  <si>
    <t>https://partnersdirectory.withgoogle.com/?_gl=1*1tz1h94*_ga*MTQ1NTE5OTU1NC4xNzQ3MTI3Mjk4*_ga_BXYLHC2HPB*czE3NDgzNDMwODckbzEkZzEkdDE3NDgzNDQ1MDgkajU0JGwwJGgwJGRDSkJuSnJEdU9naGhxWFM4MnVXYzJiQ3NUVnNSQ2tpMWZR&amp;authuser=0&amp;premier=true&amp;subid=uk-en-awhp-g-aw-m-par-w-hero-bgc%21o2</t>
  </si>
  <si>
    <t>https://partnersdirectory.withgoogle.com/?authuser=0&amp;gad_source=1&amp;gclsrc=aw.ds&amp;premier=true&amp;subid=gb-en-ha-aw-sk-c-bau%21o3%7ECj0KCQjw99e4BhDiARIsAISE7P_AKK8sUW0wxb3wRcAycqgV_kOr1CAvwurP2Zh74h49W64Fdq6R2BkaAhBkEALw_wcB%7E169785216468%7Ekwd-6084504794%7E19691765913%7E698238993598</t>
  </si>
  <si>
    <t>https://partnersdirectory.withgoogle.com/?authuser=0&amp;gad_source=1&amp;mcsubid=gb-en-max-mc-pr-c-max%21o3&amp;premier=true&amp;subid=uk-en-awhp-g-aw-m-par-w-hero-bgc%21o2</t>
  </si>
  <si>
    <t>https://passion.digital/</t>
  </si>
  <si>
    <t>Digital Marketing Agency London, UK | Passion Digital</t>
  </si>
  <si>
    <t>Passion Digital, Found</t>
  </si>
  <si>
    <t>https://pearllemon.com/top-performance-marketing-agencies-uk-2/</t>
  </si>
  <si>
    <t>Best 13 Performance Marketing Agencies In The UK</t>
  </si>
  <si>
    <t>The Social Shepherd, Favoured, ROAST, Gravity Global, The SEO Works</t>
  </si>
  <si>
    <t>https://pearllemonleads.com/lead-generation-for-apartment-locators/</t>
  </si>
  <si>
    <t>Reliable Lead Generation Services for Apartment Locators UK</t>
  </si>
  <si>
    <t>https://penji.co/biggest-creative-agencies/</t>
  </si>
  <si>
    <t>The 10 Biggest Creative Agencies in the World for 2024 - Unlimited Graphic Design Service</t>
  </si>
  <si>
    <t>Ogilvy, Dentsu, Saatchi &amp; Saatchi</t>
  </si>
  <si>
    <t>https://www.performancemarketingadvisors.com/insights/10-powerful-ai-applications-for-business-marketing-leaders</t>
  </si>
  <si>
    <t>10 Powerful AI Applications for Business Marketing Leaders</t>
  </si>
  <si>
    <t>QuantumBlack, Found, inBeat, Nielsen, Publicis Groupe, 9AM</t>
  </si>
  <si>
    <t>https://www.pgammedia.com/</t>
  </si>
  <si>
    <t>https://www.phable.io/top-creative-agencies/in-east-london-masters-of-branding-content-creation-and-digital-innovation</t>
  </si>
  <si>
    <t>Top Creative Agencies in East London | Leaders in Branding, Content Creation, and Digital Innovation — Branding And Content Marketing For Technology</t>
  </si>
  <si>
    <t>Impression, Mother London, Push, Jellyfish</t>
  </si>
  <si>
    <t>https://pinpoint-media.global/</t>
  </si>
  <si>
    <t>PinPoint Media | Performance Creative &amp;amp; Paid Media Agency</t>
  </si>
  <si>
    <t>PinPoint Media</t>
  </si>
  <si>
    <t>https://pinpoint-media.global/about</t>
  </si>
  <si>
    <t>About | PinPoint Media | Performance Creative &amp;amp; Paid Media Agency</t>
  </si>
  <si>
    <t>PinPoint Media, Push</t>
  </si>
  <si>
    <t>https://pinpoint-media.global/insights/top-10-full-service-marketing-agencies-in-london</t>
  </si>
  <si>
    <t>Top 10 Full-Service Marketing Agencies in London | PinPoint Media</t>
  </si>
  <si>
    <t>PinPoint Media, Dentsu, Brainlabs, Impression, Found, Tinuiti</t>
  </si>
  <si>
    <t>https://pinpoint-media.global/insights/top-10-tailored-paid-media-agencies-in-london</t>
  </si>
  <si>
    <t>Top 10 Tailored Paid Media Agencies in London | PinPoint Media</t>
  </si>
  <si>
    <t>PinPoint Media, Social Chain, Jellyfish</t>
  </si>
  <si>
    <t>https://pinpoint-media.global/insights/top-5-paid-media-performance-agencies-for-health-wellness-brands</t>
  </si>
  <si>
    <t>Top 5 Paid Media Performance Agencies for Health &amp;amp; Wellness Brands | PinPoint Media</t>
  </si>
  <si>
    <t>PinPoint Media, The Social Shepherd</t>
  </si>
  <si>
    <t>https://pipeline.zoominfo.com/sales/intent-data-platform</t>
  </si>
  <si>
    <t>Best Intent Data Platforms in 2026: Identify In-Market B2B Accounts Fast</t>
  </si>
  <si>
    <t>https://www.pitchkitchen.com/best-ai-sales-marketing-agencies</t>
  </si>
  <si>
    <t>Best AI Sales and Marketing Agencies for B2B in 2026 | PitchKitchen</t>
  </si>
  <si>
    <t>https://pitchsite.io/tools/uk-agency-benchmarks</t>
  </si>
  <si>
    <t>UK Agency Financial Benchmarks, Profit Margins, Revenue &amp;amp; Survival Rates | Pitchsite | Pitchsite</t>
  </si>
  <si>
    <t>https://www.polarisagency.com/marketing-insights/best-demand-gen-agencies-b2b-uk/</t>
  </si>
  <si>
    <t>The Top 8 Demand Generation Agencies for Businesses in the UK</t>
  </si>
  <si>
    <t>Polaris, Gripped, Transmission, Impression, Measured, Directive Consulting, The SEO Works, Found, Push</t>
  </si>
  <si>
    <t>https://www.polarisagency.com/us/marketing-insights/top-branding-agencies-in-london-2024/</t>
  </si>
  <si>
    <t>Top Branding Agencies in London 2024 - POLARIS</t>
  </si>
  <si>
    <t>Polaris, Impression, Push</t>
  </si>
  <si>
    <t>https://www.position.digital/blog/top-geo-agencies/</t>
  </si>
  <si>
    <t>Top 13 Generative Engine Optimization (GEO) Agencies in 2026</t>
  </si>
  <si>
    <t>https://ppcgeeks.co.uk/ecommerce-ppc/</t>
  </si>
  <si>
    <t>eCommerce PPC: The Best in The Business - PPC Geeks</t>
  </si>
  <si>
    <t>PPC Geeks, Momentum</t>
  </si>
  <si>
    <t>https://ppckingdom.com/</t>
  </si>
  <si>
    <t>Leading PPC Agency in the UK | Welcome to PPC Kingdom</t>
  </si>
  <si>
    <t>https://prescientai.com/blog/best-mmm-tools-for-e-commerce-brands</t>
  </si>
  <si>
    <t>Best MMM Tools for E-Commerce Brands [2026 Guide]</t>
  </si>
  <si>
    <t>Recast, Northbeam, Measured, Sellforte, Found</t>
  </si>
  <si>
    <t>https://presenc.ai/compare/measured-vs-haus-vs-statsig</t>
  </si>
  <si>
    <t>Measured vs Haus vs Statsig: Lift Testing Vendors | Presenc AI</t>
  </si>
  <si>
    <t>https://pressat.co.uk/releases/london-agency-launches-ai-marketing-tool-for-smes-built-by-a-marketer-priced-from-19-a-month-ae1361779b0a2aeaed5797f786c22cad/</t>
  </si>
  <si>
    <t>London Agency Launches AI Marketing Tool for SMEs, Built by a Marketer, Priced From £19 a Month | Pressat</t>
  </si>
  <si>
    <t>https://prioritypixels.co.uk/about/google-partner/</t>
  </si>
  <si>
    <t>https://www.prolificnorth.co.uk/news/hsl-completes-competitive-pitch-process-for-7-figure-media-account/</t>
  </si>
  <si>
    <t>HSL completes competitive pitch process for 7-figure media account - Prolific North</t>
  </si>
  <si>
    <t>https://www.promodo.com/blog/best-geo-agencies</t>
  </si>
  <si>
    <t>Top GEO Agencies in 2026: Get Your Brand Cited by AI Search</t>
  </si>
  <si>
    <t>Found, Directive Consulting, Siege Media, Impression, The SEO Works, Measured</t>
  </si>
  <si>
    <t>https://promoguy.nl/blog/2026/02/12/incrementality-testing-for-marketing-promotion/</t>
  </si>
  <si>
    <t>Incrementality Testing For Marketing &amp;amp; Promotion - Promoguy Digital Marketing Agency</t>
  </si>
  <si>
    <t>https://proove.dacgroup.com/en-gb/services/measurement-optimization/incrementality/</t>
  </si>
  <si>
    <t>Incrementality Testing | Proove by DAC</t>
  </si>
  <si>
    <t>https://www.propeller.co.uk/luxury-marketing-agency</t>
  </si>
  <si>
    <t>Luxury Marketing Agency | Targeting UHNWIs | Propeller Digital</t>
  </si>
  <si>
    <t>Propeller</t>
  </si>
  <si>
    <t>https://www.provokemedia.com/events-awards/agencies-of-the-year/the-best-agencies-in-emea-2026/the-70-best-agencies-in-the-uk</t>
  </si>
  <si>
    <t>Manifest Group, Ogilvy, Propeller, VCCP, Omnicom</t>
  </si>
  <si>
    <t>https://www.provokemedia.com/events-awards/agencies-of-the-year/the-best-agencies-in-emea-2026/the-70-best-agencies-in-the-uk/hope-glory</t>
  </si>
  <si>
    <t>Ogilvy, Omnicom, Manifest Group, Propeller, VCCP</t>
  </si>
  <si>
    <t>https://www.provokemedia.com/events-awards/agencies-of-the-year/the-best-agencies-in-emea-2026/the-70-best-agencies-in-the-uk/pangolin</t>
  </si>
  <si>
    <t>Momentum, Ogilvy, Omnicom, Manifest Group, Propeller, VCCP</t>
  </si>
  <si>
    <t>https://www.publicisgroupeuk.com/what-we-do/production/</t>
  </si>
  <si>
    <t>Production - Publicis Groupe</t>
  </si>
  <si>
    <t>https://www.pushgroup.co.uk/ai-marketing-adoption-old</t>
  </si>
  <si>
    <t>Ai Marketing Agency</t>
  </si>
  <si>
    <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t>
  </si>
  <si>
    <t>Top 9 AI Marketing Agencies in the UK (2026) | PUSH</t>
  </si>
  <si>
    <t>https://www.pushgroup.co.uk/blog/top-9-e-commerce-agencies-in-the-uk</t>
  </si>
  <si>
    <t>Top 9 Ecommerce Agencies in the UK (2026) | PUSH Group</t>
  </si>
  <si>
    <t>Push, Push Group, Found, Impression, Croud</t>
  </si>
  <si>
    <t>https://www.pushgroup.co.uk/google-ads-adwords-google-ppc-management-agency-london</t>
  </si>
  <si>
    <t>Google Ads and PPC Management Agency in London | PUSH</t>
  </si>
  <si>
    <t>https://www.q5partners.com/where-we-work/media/</t>
  </si>
  <si>
    <t>Media Business Consulting | Q5</t>
  </si>
  <si>
    <t>https://queryclick.com/</t>
  </si>
  <si>
    <t>QueryClick Performance Marketing - QueryClick</t>
  </si>
  <si>
    <t>QueryClick, Impression</t>
  </si>
  <si>
    <t>https://queryclick.com/about-queryclick/</t>
  </si>
  <si>
    <t>QueryClick: Our History &amp;amp; Values - QueryClick</t>
  </si>
  <si>
    <t>QueryClick, Momentum, Disrupt Marketing</t>
  </si>
  <si>
    <t>https://queryclick.com/analytics-insights-attribution/</t>
  </si>
  <si>
    <t>Analytics Insights &amp;amp; Attribution - QueryClick</t>
  </si>
  <si>
    <t>https://queryclick.com/insights/ecommerce-insights-conversions-rebound-external-factors/</t>
  </si>
  <si>
    <t>eCommerce Insights: Conversions Rebound &amp;amp; External Factors - QueryClick</t>
  </si>
  <si>
    <t>McKinsey &amp; Company, QuantumBlack, QueryClick</t>
  </si>
  <si>
    <t>https://raddinteractive.com/the-best-social-media-sites-for-marketing-and-most-popular/</t>
  </si>
  <si>
    <t>The Best Social Media Sites for Marketing (and Most Popular)</t>
  </si>
  <si>
    <t>https://www.radyant.io/comparison/6-best-organic-growth-agencies-in-europe</t>
  </si>
  <si>
    <t>6 best organic growth agencies in Europe · Radyant</t>
  </si>
  <si>
    <t>https://www.rank4ai.co.uk/research/rankings/ai-seo-agency-comparison-uk/</t>
  </si>
  <si>
    <t>AI SEO Agency Comparison UK 2026 | Rank4AI</t>
  </si>
  <si>
    <t>Rank4AI, Varn, Found, Blue Array, Buried Agency, Screaming Frog, Exposure Ninja</t>
  </si>
  <si>
    <t>https://www.rank4ai.co.uk/research/rankings/geo-vs-aeo-agencies-uk/</t>
  </si>
  <si>
    <t>GEO vs AEO Agencies UK 2026 | Rank4AI</t>
  </si>
  <si>
    <t>Rank4AI, Measured, Found</t>
  </si>
  <si>
    <t>https://www.rank4ai.co.uk/research/rankings/top-ai-search-agencies-uk/</t>
  </si>
  <si>
    <t>Top AI Search Agencies UK 2026 | Rank4AI</t>
  </si>
  <si>
    <t>https://www.rebootonline.com/data-marketing/best-data-marketing-agencies/#:~:text=PMG%20Advertising%20Agency%20is%20a,%2C%20affiliate%20marketing%2C%20and%20SEO.</t>
  </si>
  <si>
    <t>Best Data Marketing Agencies 2026 | Ultimate Top 10 List Ranked &amp;amp; Rated</t>
  </si>
  <si>
    <t>Brainlabs, Bind Media, Gravity Global, PMG, Journey Further, YouGov, Directive Consulting, Found</t>
  </si>
  <si>
    <t>https://www.redcowmedia.co.uk/about-us/google-partners/</t>
  </si>
  <si>
    <t>Google Partner Agency UK | Google Certified Agency Manchester | Red Cow Media</t>
  </si>
  <si>
    <t>https://www.reddit.com/r/Analyzify/comments/1d2js1n</t>
  </si>
  <si>
    <t>The Best PPC Agencies in London 2024</t>
  </si>
  <si>
    <t>Push, Push Group, The Brains, PPC Geeks</t>
  </si>
  <si>
    <t>https://www.reddit.com/r/DigitalMarketing/comments/1tdfcjb/every_seo_agency_now_lists_ai_search_optimization/</t>
  </si>
  <si>
    <t>Every SEO agency now lists AI search optimization. Most are describing the wrong thing.</t>
  </si>
  <si>
    <t>https://www.reddit.com/r/MktgSupermarket/comments/1rqsemv/i_spent_weeks_researching_london_digital/</t>
  </si>
  <si>
    <t>I spent weeks researching London digital marketing agencies - here is what I actually found</t>
  </si>
  <si>
    <t>Dept, Brainlabs, ClickSlice, Found, The Good Marketer</t>
  </si>
  <si>
    <t>https://www.reddit.com/r/aeo/comments/1twcbr2/best_aeo_agency_guide_what_to_look_for_in_an/</t>
  </si>
  <si>
    <t>Best AEO Agency Guide What to Look for in an Answer Engine Partner?</t>
  </si>
  <si>
    <t>https://www.reddit.com/r/agency/comments/1j8nw3r/digital_marketing_attribution_challenges/</t>
  </si>
  <si>
    <t>Digital Marketing  &amp;amp; attribution challenges</t>
  </si>
  <si>
    <t>https://www.reddit.com/r/branding/comments/d6zp5l/what_are_the_top_branding_agencies_out_there/</t>
  </si>
  <si>
    <t>What are the top branding agencies out there?</t>
  </si>
  <si>
    <t>https://www.reddit.com/r/digital_marketing/comments/1sd6dxn/whats_the_best_aeogeo_agency_that_actually_gets/</t>
  </si>
  <si>
    <t>What's the best AEO/GEO Agency that actually gets results?</t>
  </si>
  <si>
    <t>https://www.reddit.com/r/ecommerce/comments/1qusfa4/looking_for_best_incrementality_testing_tools/</t>
  </si>
  <si>
    <t>Looking for best incrementality testing tools (advice/recommendation)</t>
  </si>
  <si>
    <t>Haus, Measured, SegmentStream, Recast, Rockerbox, Northbeam, Found</t>
  </si>
  <si>
    <t>https://www.reddit.com/r/smallbusiness/comments/1r3lo3y/good_agency_for_performance_marketing/</t>
  </si>
  <si>
    <t>Good agency for performance marketing</t>
  </si>
  <si>
    <t>https://www.reddit.com/r/u_Temporary_Meeting182/comments/1tp4iah/best_saas_geo_agencies_in_2026_who_should/</t>
  </si>
  <si>
    <t>Best SaaS GEO agencies in 2026 - who should enterprises consider?</t>
  </si>
  <si>
    <t>https://www.reflectdigital.co.uk/paid-social</t>
  </si>
  <si>
    <t>Paid Social Agency ▷ Next-Level Paid Social Media Services in London &amp;amp; Kent</t>
  </si>
  <si>
    <t>https://www.repindia.com/performace/performance-marketing-agency-in-uk</t>
  </si>
  <si>
    <t>Performance Marketing Company/Agency in UK | Performance Marketing Services</t>
  </si>
  <si>
    <t>https://reply.io/blog/how-to-build-an-ai-agency/</t>
  </si>
  <si>
    <t>How to Build an AI Agency: Your Quick-Start Guide for 2026 – Reply</t>
  </si>
  <si>
    <t>https://respona.com/blog/ai-seo-agency/</t>
  </si>
  <si>
    <t>My Top 21 AI SEO Agency List for 2026</t>
  </si>
  <si>
    <t>The SEO Works, Click Intelligence, Power Digital, Whitehat</t>
  </si>
  <si>
    <t>https://reverbico.com/blog/top-digital-agencies-for-early-stage-brand-launches/</t>
  </si>
  <si>
    <t>Top Digital Agencies For Early-Stage Brand Launches | REVERB</t>
  </si>
  <si>
    <t>Momentum, NoGood, Ogilvy, Directive Consulting</t>
  </si>
  <si>
    <t>https://www.rightsideup.com/blog/guide-to-marketing-incrementality-testing</t>
  </si>
  <si>
    <t>Marketing Incrementality Testing: A Complete Guide to Measuring What Matters</t>
  </si>
  <si>
    <t>https://www.rockerbox.com/testing</t>
  </si>
  <si>
    <t>Unlock Incrementality with Rockerbox Testing for Data-Backed Decisions | Rockerbox</t>
  </si>
  <si>
    <t>https://www.ruleranalytics.com/blog/analytics/marketing-attribution-software/</t>
  </si>
  <si>
    <t>12 Marketing Attribution Software and Tools to Level Up Your Measurement in 2026 | Ruler Analytics</t>
  </si>
  <si>
    <t>Ruler Analytics, Impression, Triple Whale</t>
  </si>
  <si>
    <t>https://s360digital.com/about/careers/</t>
  </si>
  <si>
    <t>Careers at s360 | s360</t>
  </si>
  <si>
    <t>Screaming Frog</t>
  </si>
  <si>
    <t>https://saleshive.com/vendors/ruler-analytics</t>
  </si>
  <si>
    <t>Ruler Analytics Review 2026: Pricing, Features, Pros &amp;amp; Cons | SalesHive</t>
  </si>
  <si>
    <t>Ruler Analytics, Impression, Push</t>
  </si>
  <si>
    <t>https://scaleforte.co.uk/paid-social-services/</t>
  </si>
  <si>
    <t>Scaleforte: Paid Social Services | Hire Social Media Experts</t>
  </si>
  <si>
    <t>https://www.scalewithfuture.com/resources/from-concept-to-completion-choosing-the-right-creative-production-agency</t>
  </si>
  <si>
    <t>Choosing the Right Creative Production Agency</t>
  </si>
  <si>
    <t>https://scalixai.com/blog/best-performance-marketing-agencies</t>
  </si>
  <si>
    <t>The Best Performance Marketing Agencies for 2026 | ScalixAI</t>
  </si>
  <si>
    <t>NoGood, Single Grain, Wpromote, Omniscient Digital, Darkroom, Common Thread Collective, Found</t>
  </si>
  <si>
    <t>https://www.scanmarqed.com/marketing-mix-modeling#:~:text=Fully%20serviced%2C%20cooperative%2C%20or%20fully%20in%2Dhouse%2C%20the,certified%20and%20GDPR%20compliant.%20Connect%20your%20tools.</t>
  </si>
  <si>
    <t>Marketing mix modeling and planning: build better media mix models</t>
  </si>
  <si>
    <t>https://scopicstudios.com/blog/best-geo-agencies-ai-search-visibility-2026/</t>
  </si>
  <si>
    <t>10 Best GEO Agencies for AI Search Brand Visibility</t>
  </si>
  <si>
    <t>https://scopicstudios.com/blog/best-incrementality-testing-tools-2026/</t>
  </si>
  <si>
    <t>8 Best Incrementality Testing Tools for Measurement</t>
  </si>
  <si>
    <t>https://scopicstudios.com/blog/first-party-data-adoption-statistics-every-marketer-must-know/</t>
  </si>
  <si>
    <t>First-Party Data Strategies: Key Stats for Marketers in 2026</t>
  </si>
  <si>
    <t>Epsilon, NoGood, Found</t>
  </si>
  <si>
    <t>https://www.searchable.com/</t>
  </si>
  <si>
    <t>Searchable — AI Search Visibility &amp;amp; Analytics Platform</t>
  </si>
  <si>
    <t>https://www.searchbloom.com/strategy/best-ai-seo-agency-companies-services-usa/</t>
  </si>
  <si>
    <t>Best AI SEO Companies + Services in the US 2026 (AEO/GEO) - Best AEO Agencies in USA</t>
  </si>
  <si>
    <t>The SEO Works, Tinuiti, Omniscient Digital, Single Grain, Siege Media</t>
  </si>
  <si>
    <t>https://www.securitysenses.com/posts/best-saas-ai-seo-companies-united-kingdom-technical-seo-scale#:~:text=B2B%20SaaS%20technical%20SEO%2C%20AI%20search%2C%20LLMO%2C,the%20UK%20market%20for%20enterprise%2Dscale%20SaaS%20organisations.</t>
  </si>
  <si>
    <t>Best SaaS AI SEO Companies in the United Kingdom for Technical SEO at Scale | SecuritySenses</t>
  </si>
  <si>
    <t>Brainlabs, Impression, Hallam</t>
  </si>
  <si>
    <t>https://segmentstream.com/blog/articles/top-enterprise-marketing-analytics-and-attribution-platforms</t>
  </si>
  <si>
    <t>10 Best Enterprise Marketing Analytics &amp;amp; Attribution Platforms in 2026 — SegmentStream</t>
  </si>
  <si>
    <t>SegmentStream, Measured, Rockerbox</t>
  </si>
  <si>
    <t>https://segmentstream.com/blog/articles/top-haus-io-alternatives-for-geo-lift-incrementality-testing</t>
  </si>
  <si>
    <t>5 Best Haus.io Alternatives (2026) — SegmentStream</t>
  </si>
  <si>
    <t>SegmentStream, Haus, Measured, Recast</t>
  </si>
  <si>
    <t>https://sellforte.com/support/sellforte-experiments-geo-lift</t>
  </si>
  <si>
    <t>Sellforte Experiments: Geo Lift</t>
  </si>
  <si>
    <t>Sellforte</t>
  </si>
  <si>
    <t>https://www.semfirms.com/uk/london/display-advertising-firms</t>
  </si>
  <si>
    <t>Top Display Advertising Firms in London, United Kingdom | SEM Firms</t>
  </si>
  <si>
    <t>https://www.seo-london.com/agencies/</t>
  </si>
  <si>
    <t>Agencies – SEO London</t>
  </si>
  <si>
    <t>ClickSlice, Found</t>
  </si>
  <si>
    <t>https://seo-ranks.co.uk/best-seo-agencies-uk-aeo-geo-2026/</t>
  </si>
  <si>
    <t>Best SEO Agencies UK for AEO and GEO 2026 | SEO Ranks</t>
  </si>
  <si>
    <t>Found, Click Intelligence, The SEO Works, Genie Crawl, Measured</t>
  </si>
  <si>
    <t>https://www.seoworks.co.uk/</t>
  </si>
  <si>
    <t>Award-Winning UK SEO Company - The SEO Works</t>
  </si>
  <si>
    <t>The SEO Works, Huge</t>
  </si>
  <si>
    <t>https://www.sevenatoms.com/blog/facebook-advertising-companies</t>
  </si>
  <si>
    <t>Top 7 Facebook Advertising Companies</t>
  </si>
  <si>
    <t>Deloitte Digital, PPC Geeks, Huge</t>
  </si>
  <si>
    <t>https://www.shopify.com/blog/paid-media</t>
  </si>
  <si>
    <t>What Is Paid Media? Guide for Ecommerce Business Owners - Shopify</t>
  </si>
  <si>
    <t>https://www.siegemedia.com/strategy/content-strategy-agency</t>
  </si>
  <si>
    <t>12 Best Content Strategy Agencies That Drive Results (2026)</t>
  </si>
  <si>
    <t>Siege Media, Omniscient Digital, NP Digital, Power Digital, Single Grain, Found</t>
  </si>
  <si>
    <t>https://www.signaldepth.com/about/</t>
  </si>
  <si>
    <t>About Signal Depth - Signal Depth</t>
  </si>
  <si>
    <t>https://www.singleframe.co.uk/</t>
  </si>
  <si>
    <t>Singleframe - Cinematic Creative Production Studio</t>
  </si>
  <si>
    <t>https://www.slateandmortar.com/</t>
  </si>
  <si>
    <t>Video Production Company Birmingham - Corporate Video Agency West Midlands</t>
  </si>
  <si>
    <t>https://socialchameleon.com/top-30-marketing-agencies-in-london/</t>
  </si>
  <si>
    <t>Top 30 Marketing Agencies in London - Social Chameleon</t>
  </si>
  <si>
    <t>Ogilvy, AMV BBDO, Hallam, Saatchi &amp; Saatchi, Impression, Found, Push, Push Group, Propeller, Jellyfish, Builtvisible, Merkle, The SEO Works</t>
  </si>
  <si>
    <t>https://sociallypowerful.com/post/top-20-advertising-agencies-uk</t>
  </si>
  <si>
    <t>Top 20 Advertising Agencies in the UK in 2024 | Socially Powerful</t>
  </si>
  <si>
    <t>Push, M3.agency, ROAST, Favoured, Impression, Measured</t>
  </si>
  <si>
    <t>https://sociallypowerful.com/post/top-social-media-marketing-agencies-uk</t>
  </si>
  <si>
    <t>Top 30 Social Media Marketing Agencies in the UK (2025)</t>
  </si>
  <si>
    <t>We Are Social, Social Chain, Born Social, Soap Media, Disrupt Marketing, The Social Shepherd, Croud, Gripped, inBeat, The Good Marketer, WPP, Monks</t>
  </si>
  <si>
    <t>https://sociallypowerful.com/why-us</t>
  </si>
  <si>
    <t>Why Us | About Socially Powerful</t>
  </si>
  <si>
    <t>EY, WPP, Measured, Ogilvy</t>
  </si>
  <si>
    <t>https://www.softwareadvice.co.uk/directory/4315/marketing-attribution/software</t>
  </si>
  <si>
    <t>Best Marketing Attribution Software - 2026 Reviews, Pricing &amp; Demos</t>
  </si>
  <si>
    <t>https://www.sogolytics.com/blog/top-full-service-market-research-firms/</t>
  </si>
  <si>
    <t>25 Best Full Service Market Research Firms - Sogolytics</t>
  </si>
  <si>
    <t>Nielsen, Kantar, YouGov, WPP, Push</t>
  </si>
  <si>
    <t>https://solvid.co.uk/</t>
  </si>
  <si>
    <t>SEO Agency | International SEO Company | Solvid</t>
  </si>
  <si>
    <t>Momentum, Whitehat</t>
  </si>
  <si>
    <t>https://solvid.co.uk/services/geo-ai-seo/</t>
  </si>
  <si>
    <t>Generative Engine Optimisation and AI SEO Services | Solvid</t>
  </si>
  <si>
    <t>https://www.sortlist.co.uk/advertising/england-england-gb</t>
  </si>
  <si>
    <t>The 10 Best Advertising Agencies in England - 2026 Reviews</t>
  </si>
  <si>
    <t>Momentum, M3.agency, McKinsey &amp; Company, Ninja Promo</t>
  </si>
  <si>
    <t>https://www.sortlist.co.uk/s/attribution-marketing/greater-london-england-gb</t>
  </si>
  <si>
    <t>The 10 Best Attribution Marketing Agencies in Greater London - 2026 Reviews</t>
  </si>
  <si>
    <t>https://www.sortlist.co.uk/s/creative/united-kingdom-gb?custom=creative</t>
  </si>
  <si>
    <t>https://www.sortlist.co.uk/s/display-advertising/birmingham-england-gb</t>
  </si>
  <si>
    <t>The 10 Best Display Advertising Agencies in Birmingham - 2026 Reviews</t>
  </si>
  <si>
    <t>Push, Triple Whale, Northbeam, Momentum, M3.agency, Ninja Promo</t>
  </si>
  <si>
    <t>https://www.sortlist.co.uk/s/display-advertising/greater-london-england-gb</t>
  </si>
  <si>
    <t>The 10 Best Display Advertising Agencies in Greater London - 2026 Reviews</t>
  </si>
  <si>
    <t>Push, Triple Whale, Northbeam, Ninja Promo, Momentum, M3.agency</t>
  </si>
  <si>
    <t>https://www.sortlist.co.uk/s/display-advertising/luton-england-gb</t>
  </si>
  <si>
    <t>The 10 Best Display Advertising Agencies in Luton - 2026 Reviews</t>
  </si>
  <si>
    <t>Push, Triple Whale, Northbeam, Found, Ninja Promo</t>
  </si>
  <si>
    <t>https://www.sortlist.co.uk/s/display-advertising/manchester-england-gb</t>
  </si>
  <si>
    <t>The 10 Best Display Advertising Agencies in Manchester - 2026 Reviews</t>
  </si>
  <si>
    <t>Push, Triple Whale, Northbeam, Ninja Promo</t>
  </si>
  <si>
    <t>https://www.sortlist.co.uk/s/google-ads/united-kingdom-gb</t>
  </si>
  <si>
    <t>The 10 Best Google Ads Agencies in The United Kingdom - 2026 Reviews</t>
  </si>
  <si>
    <t>https://www.sortlist.co.uk/s/international-branding/united-kingdom-gb</t>
  </si>
  <si>
    <t>The 10 Best International Branding Agencies in The United Kingdom - 2026 Reviews</t>
  </si>
  <si>
    <t>Momentum, M3.agency</t>
  </si>
  <si>
    <t>https://www.sortlist.co.uk/s/paid-media/united-kingdom-gb?page=4</t>
  </si>
  <si>
    <t>https://www.sortlist.co.uk/s/performance-marketing/greater-london-england-gb</t>
  </si>
  <si>
    <t>The 10 Best Performance Marketing Agencies in Greater London - 2026 Reviews</t>
  </si>
  <si>
    <t>Push, Triple Whale, Northbeam, McKinsey &amp; Company, Momentum, M3.agency, Whitehat</t>
  </si>
  <si>
    <t>https://www.sortlist.co.uk/s/programmatic-advertising/london-england-gb</t>
  </si>
  <si>
    <t>The 10 Best Programmatic Advertising Companies in London - 2026 Reviews</t>
  </si>
  <si>
    <t>https://www.sortlist.co.uk/s/storytelling/london-england-gb</t>
  </si>
  <si>
    <t>The 10 Best Storytelling Agencies in London - 2026 Reviews</t>
  </si>
  <si>
    <t>Push, Ninja Promo, McKinsey &amp; Company</t>
  </si>
  <si>
    <t>https://www.sortlist.co.uk/s/testing-services/united-kingdom-gb</t>
  </si>
  <si>
    <t>The 10 Best Testing Services Companies in The United Kingdom - 2026 Reviews</t>
  </si>
  <si>
    <t>Momentum, M3.agency, Whitehat</t>
  </si>
  <si>
    <t>https://www.sortlist.co.uk/web-analytics/london-england-gb</t>
  </si>
  <si>
    <t>The 10 Best Web Analytics Agencies in London - 2026 Reviews</t>
  </si>
  <si>
    <t>Whitehat, Found</t>
  </si>
  <si>
    <t>https://www.sortlist.com/l/dubai-ae</t>
  </si>
  <si>
    <t>Sortlist</t>
  </si>
  <si>
    <t>Impression, Momentum, M3.agency, Ninja Promo, Push</t>
  </si>
  <si>
    <t>https://www.sortlist.com/marketing-communication</t>
  </si>
  <si>
    <t>The 100 Best Marketing Communication Agencies - 2026 Reviews</t>
  </si>
  <si>
    <t>https://www.sortlist.com/performance-marketing</t>
  </si>
  <si>
    <t>The 100 Best Performance Marketing Agencies - 2026 Reviews</t>
  </si>
  <si>
    <t>Push, Triple Whale, Northbeam, Measured, Found</t>
  </si>
  <si>
    <t>https://www.sortlist.com/social-media-optimization</t>
  </si>
  <si>
    <t>The 100 Best Social Media Optimization Agencies - 2026 Reviews</t>
  </si>
  <si>
    <t>https://spaceandtime.co.uk/media/programmatic-agency</t>
  </si>
  <si>
    <t>Our Programmatic Expertise Covers Online Display to CTV, DOOH - Space &amp;amp; Time</t>
  </si>
  <si>
    <t>https://www.spotlightgb.co/</t>
  </si>
  <si>
    <t>Full Service Marketing Agency UK | Spotlight GB</t>
  </si>
  <si>
    <t>https://www.sqdigital.co.uk/geo-agency/#:~:text=Source%20and%20signal%20mapping%3A%20We,video%20content%20in%20technical%20searches.</t>
  </si>
  <si>
    <t>AI/GEO/LLM Search Visibility Services | SQ Digital</t>
  </si>
  <si>
    <t>https://www.stackadapt.com/resources/blog/first-party-data-strategy</t>
  </si>
  <si>
    <t>First-party data strategy: An in-depth guide for marketers</t>
  </si>
  <si>
    <t>https://staging.lynchpin.com/services/digital-analytics/</t>
  </si>
  <si>
    <t>https://stamp.productions/</t>
  </si>
  <si>
    <t>Stamp Productions</t>
  </si>
  <si>
    <t>https://www.starfishco.com/branding/10-must%E2%80%91know-branding-agencies-in-2026-for-creative-campaigns/</t>
  </si>
  <si>
    <t>10 Must‑Know Branding Agencies in 2026 for Creative Campaigns - Starfish</t>
  </si>
  <si>
    <t>Momentum, Superside, Found, Impression</t>
  </si>
  <si>
    <t>https://www.sugarnova.com/digital-marketing-agency</t>
  </si>
  <si>
    <t>Digital Marketing Agency UK for DTC &amp;amp; eCommerce | SugarNova</t>
  </si>
  <si>
    <t>https://www.superhub.biz/top-digital-marketing-companies-for-small-business-uk</t>
  </si>
  <si>
    <t>Best Digital Marketing Companies for Small Business UK 2026</t>
  </si>
  <si>
    <t>https://www.superside.com/</t>
  </si>
  <si>
    <t>Superside: Your creative team’s creative team™</t>
  </si>
  <si>
    <t>Superside, Huge, Momentum</t>
  </si>
  <si>
    <t>https://www.superside.com/blog/ad-creative-agencies</t>
  </si>
  <si>
    <t>12 Top Ad Creative Agencies for Enterprises &amp;amp; Brands (2026)</t>
  </si>
  <si>
    <t>Superside, Found, Gravity Global, Ogilvy, Accenture Song</t>
  </si>
  <si>
    <t>https://www.superside.com/blog/creative-agencies</t>
  </si>
  <si>
    <t>14 Best Creative Agencies That Make Brands Stand Out in 2026</t>
  </si>
  <si>
    <t>Superside, Huge, Ogilvy, Found, Impression</t>
  </si>
  <si>
    <t>https://www.superside.com/blog/creative-at-scale</t>
  </si>
  <si>
    <t>Driving Creative at Scale for Brands To Achieve Success (Services &amp;amp; Tips)</t>
  </si>
  <si>
    <t>Superside, GroupM, WPP, Publicis Groupe, Accenture Song, Deloitte Digital</t>
  </si>
  <si>
    <t>https://www.superside.com/blog/creative-content-agencies</t>
  </si>
  <si>
    <t>10 Creative Content Agencies Making Brands Shine in 2026</t>
  </si>
  <si>
    <t>Superside, Impression, Push</t>
  </si>
  <si>
    <t>https://support.google.com/analytics/answer/7237700?hl=en-AU</t>
  </si>
  <si>
    <t>https://support.google.com/analytics/answer/7237700?hl=en-uk</t>
  </si>
  <si>
    <t>https://support.google.com/displayvideo/answer/9030625?hl=en-GB</t>
  </si>
  <si>
    <t>Ad technology providers - Display &amp; Video 360 Help</t>
  </si>
  <si>
    <t>Epsilon, GroupM, Kantar, Neustar, Nielsen, Rockerbox, Accenture Song, Dentsu, Monks, Merkle, Momentum, Omnicom, YouGov</t>
  </si>
  <si>
    <t>https://support.google.com/google-ads/answer/9702452?hl=en-GB</t>
  </si>
  <si>
    <t>How to become a Google Partner or Premier Partner</t>
  </si>
  <si>
    <t>https://support.google.com/tagmanager/answer/7237700?hl=en-au</t>
  </si>
  <si>
    <t>https://susodigital.com/thoughts/12-best-generative-seo-service-agencies/</t>
  </si>
  <si>
    <t>Top 12 GEO Agencies in 2026 - SUSO</t>
  </si>
  <si>
    <t>Blue Array, Ignite Visibility, WebFX, Found</t>
  </si>
  <si>
    <t>https://www.synapgrowth.agency/paid-social-marketing-agency-uk/</t>
  </si>
  <si>
    <t>Paid Social Media Agency London | Meta, TikTok, LinkedIn | Synap Growth</t>
  </si>
  <si>
    <t>https://www.synscribe.com/blog/marketing-agencies-singapore</t>
  </si>
  <si>
    <t>11 Types of Marketing Agencies in Singapore (Ranked &amp;amp; Updated 2026) | Synscribe</t>
  </si>
  <si>
    <t>https://syntermedia.ai/blog/best-attribution-software-marketing-teams</t>
  </si>
  <si>
    <t>10 Best Attribution Software for Marketing Teams (2026 Compared) | Synter</t>
  </si>
  <si>
    <t>Ruler Analytics, SegmentStream, Impression, Push, Found, Cometly, Triple Whale</t>
  </si>
  <si>
    <t>https://tabular.email/blog/agency-pricing-models</t>
  </si>
  <si>
    <t>10 Proven Agency Pricing Models to Double Your Profit Margins This Month</t>
  </si>
  <si>
    <t>https://www.talisman-ai.co.uk/</t>
  </si>
  <si>
    <t>Talisman AI Wayfinder | Independent AI Guidance UK</t>
  </si>
  <si>
    <t>https://www.taylorherring.com/about-us/</t>
  </si>
  <si>
    <t>About Us | Taylor Herring</t>
  </si>
  <si>
    <t>https://teamai.com/blog/generative-ai-and-business/top-geo-agencies-for-ai-visibility/</t>
  </si>
  <si>
    <t>The Best GEO Agencies to Explore in 2026</t>
  </si>
  <si>
    <t>https://techbehemoths.com/companies/advertising/united-kingdom</t>
  </si>
  <si>
    <t>Top 20+ Advertising Agencies in United Kingdom (2026) - TechBehemoths</t>
  </si>
  <si>
    <t>Found, The SEO Works</t>
  </si>
  <si>
    <t>https://technologyarch.com/it-consulting/ai-adoption/</t>
  </si>
  <si>
    <t>AI Adoption Consulting in Minneapolis, Green Bay &amp;amp; Denver</t>
  </si>
  <si>
    <t>https://www.techradar.com/pro/companies-that-can-serve-both-human-and-agent-audiences-will-be-the-ones-that-survive-wordpress-vip-cto-spells-out-the-future-of-seo-geo-and-more</t>
  </si>
  <si>
    <t>States push back against rising AI-driven electricity infrastructure costs | TechRadar</t>
  </si>
  <si>
    <t>https://www.techradar.com/pro/how-ai-has-made-bad-measurement-worse</t>
  </si>
  <si>
    <t>How AI has made bad measurement worse | TechRadar</t>
  </si>
  <si>
    <t>https://www.techradar.com/pro/many-businesses-are-deploying-ai-faster-than-theyre-preparing-employees-leading-to-an-ai-underclass-at-some-firms</t>
  </si>
  <si>
    <t>Many businesses are deploying AI faster than they’re preparing employees — leading to an 'AI underclass' at some firms | TechRadar</t>
  </si>
  <si>
    <t>https://www.techradar.com/pro/marketing-doesnt-have-a-data-problem-it-has-an-action-problem</t>
  </si>
  <si>
    <t>Marketing doesn’t have a data problem: it has an action problem | TechRadar</t>
  </si>
  <si>
    <t>https://www.theadlounge.co.uk/</t>
  </si>
  <si>
    <t>The Ad Lounge | Profit Focused Ecom UK Digital Marketing Agency</t>
  </si>
  <si>
    <t>https://www.theatdb.com/companies/amv-bbdo</t>
  </si>
  <si>
    <t>AMV BBDO — Creative Advertising Agency | ATDb</t>
  </si>
  <si>
    <t>AMV BBDO, Omnicom, Dentsu</t>
  </si>
  <si>
    <t>https://www.theaustralian.com.au/business/growth-agenda/marketers-trapped-in-roi-death-spiral-need-to-think-like-investors/news-story/4103c5b9879892d34bcaee3dc85a71fa</t>
  </si>
  <si>
    <t>Subscribe to The Australian \| Newspaper home delivery, website, iPad, iPhone &amp; Android apps</t>
  </si>
  <si>
    <t>https://www.theaustralian.com.au/business/growth-agenda/reinventing-media-how-accenture-song-plans-to-overhaul-media/news-story/69b59fae5073dde8984e001927f62bfd</t>
  </si>
  <si>
    <t>Accenture Song to reinvent media \| The Australian</t>
  </si>
  <si>
    <t>Accenture Song, Huge, Momentum</t>
  </si>
  <si>
    <t>https://thebusinessjournal.co.uk/b2b-supplier/best-ai-seo-agencies/</t>
  </si>
  <si>
    <t>Best AI SEO Agencies in 2026 - The Business Journal</t>
  </si>
  <si>
    <t>Impression, Passion Digital, Hallam, The SEO Works, Builtvisible, Measured</t>
  </si>
  <si>
    <t>https://thecmo.com/tools/best-marketing-attribution-software/</t>
  </si>
  <si>
    <t>10 Best Marketing Attribution Software Reviewed For 2026</t>
  </si>
  <si>
    <t>Triple Whale, Found, Ruler Analytics, Neustar, Push, Huge</t>
  </si>
  <si>
    <t>https://www.thedca.co/services/production</t>
  </si>
  <si>
    <t>The best Production Agencies | DCA</t>
  </si>
  <si>
    <t>https://thedigitalelevator.com/blog/best-generative-engine-optimization-geo-agencies/</t>
  </si>
  <si>
    <t>The 12 Best Generative Engine Optimization (GEO) Agencies of 2026 | Digital Elevator</t>
  </si>
  <si>
    <t>https://www.thedrum.com/lists/world-creative-rankings/companies/the-most-awarded-agencies-uk-ireland</t>
  </si>
  <si>
    <t>https://www.thedrum.com/news/end-era-creatives-reflect-adameveddb-s-best-john-lewis-ads</t>
  </si>
  <si>
    <t>End of an era: creatives reflect on Adam&amp;EveDDB’s best John Lewis ads \| The Drum</t>
  </si>
  <si>
    <t>Adam&amp;eveDDB, Ogilvy, AMV BBDO, We Are Social, Kantar</t>
  </si>
  <si>
    <t>https://www.thedrum.com/news/serviceplan-reclaims-emea-agency-top-spot-in-2026-world-creative-rankings</t>
  </si>
  <si>
    <t>Serviceplan reclaims EMEA agency top spot in 2026 World Creative Rankings | The Drum</t>
  </si>
  <si>
    <t>Omnicom, AMV BBDO, WPP</t>
  </si>
  <si>
    <t>https://www.thedrum.com/news/world-creative-rankings-the-top-holding-companies-and-best-agency-networks-the</t>
  </si>
  <si>
    <t>Advertising's most-awarded holding companies and agency networks of 2021 | The Drum</t>
  </si>
  <si>
    <t>WPP, Omnicom, Publicis Groupe, Dentsu, Ogilvy, AMV BBDO, Saatchi &amp; Saatchi, AKQA</t>
  </si>
  <si>
    <t>https://www.thedrum.com/opinion/10-recommended-agencies-you-can-trust-data-services</t>
  </si>
  <si>
    <t>10 recommended agencies you can trust for data services | The Drum</t>
  </si>
  <si>
    <t>Bind Media, Gravity Global, Found</t>
  </si>
  <si>
    <t>https://www.thedrum.com/profile/jaywing/article/jaywing-bolsters-senior-team-with-two-new-hires</t>
  </si>
  <si>
    <t>Jaywing bolsters senior team with two new hires \| The Drum</t>
  </si>
  <si>
    <t>https://www.thegrowthsyndicate.com/agencies/chatgpt-ads-agencies-uk</t>
  </si>
  <si>
    <t>Top 11 ChatGPT Ads Agencies in the UK (2026)</t>
  </si>
  <si>
    <t>Blue Array, The SEO Works, Found, Passion Digital, Push, Push Group, Screaming Frog, Measured</t>
  </si>
  <si>
    <t>https://www.theguardian.com/business/2026/feb/26/wpp-merge-ad-agencies-cut-jobs-ai-threat-advertising</t>
  </si>
  <si>
    <t>WPP to sell assets and cut jobs in radical shake-up to counter AI threat | WPP | The Guardian</t>
  </si>
  <si>
    <t>WPP, Ogilvy, AKQA, Huge, Publicis Groupe, Omnicom</t>
  </si>
  <si>
    <t>https://www.thekeenfolks.com/blog-article/best-performance-marketing-agencies</t>
  </si>
  <si>
    <t>The Best Performance Marketing Agencies for Enterprise Growth</t>
  </si>
  <si>
    <t>Tinuiti, Dept, Croud, Ignite Visibility, Disruptive Advertising, WebFX</t>
  </si>
  <si>
    <t>https://www.thelaneagency.com/media/paid-social/</t>
  </si>
  <si>
    <t>Paid Social Agency Edinburgh – Boost Reach &amp;amp; Engagement</t>
  </si>
  <si>
    <t>https://www.thelogocreative.co.uk/7-top-branding-agencies-in-the-uk/</t>
  </si>
  <si>
    <t>7 Top Branding Agencies in the UK</t>
  </si>
  <si>
    <t>https://themanifest.com/programmatic/agencies/uk?page=1</t>
  </si>
  <si>
    <t>https://themartechsummit.com/sponsors/ekimetrics/</t>
  </si>
  <si>
    <t>Ekimetrics. - The MarTech Summit Sponsor</t>
  </si>
  <si>
    <t>https://www.themill.com/</t>
  </si>
  <si>
    <t>Creative craft, designed to scale. — The Mill</t>
  </si>
  <si>
    <t>https://thesocialshepherd.com/blog/top-creative-agencies-us</t>
  </si>
  <si>
    <t>The Social Shepherd | Top 17 Creative Agencies in the U.S. (2026)</t>
  </si>
  <si>
    <t>The Social Shepherd, inBeat, Push, Dentsu</t>
  </si>
  <si>
    <t>https://www.thetimes.co.uk/article/jman-group-fastest-growing-sunday-times-100-8vl7jfw3p</t>
  </si>
  <si>
    <t>JMAN Group</t>
  </si>
  <si>
    <t>https://www.thetimes.co.uk/article/wpp-publicis-or-omnicom-ipg-which-is-the-best-buy-in-adland-3hfhgjl6m</t>
  </si>
  <si>
    <t>WPP, Publicis or Omnicom-IPG: which is the best buy in adland?</t>
  </si>
  <si>
    <t>https://www.thetradedesk.com/resources/premium-internet-reach-audiences-activate-first-party-data</t>
  </si>
  <si>
    <t>How to activate your data on the premium internet | The Trade Desk</t>
  </si>
  <si>
    <t>https://www.theverge.com/podcast/959792/digitas-ceo-amy-lanzi-cannes-ad-industry-marketing-ai-creators</t>
  </si>
  <si>
    <t>AI won’t save advertising, says Digitas’ Amy Lanzi | The Verge</t>
  </si>
  <si>
    <t>Publicis Groupe, Huge, Found, Push, Omnicom, Recast</t>
  </si>
  <si>
    <t>https://www.thewowcompany.com/most-admired-agencies-list-2025</t>
  </si>
  <si>
    <t>Most Admired Agencies List 2025</t>
  </si>
  <si>
    <t>Rise at Seven, Journey Further, Born Social, Croud</t>
  </si>
  <si>
    <t>https://thinkwithalec.com/2025/03/02/best-marketing-platforms-for-tracking-first-party-data/</t>
  </si>
  <si>
    <t>Best Marketing Platforms for Tracking First-Party Data – THINK WITH ALEC</t>
  </si>
  <si>
    <t>https://thriveagency.com/london-digital-marketing-agency/</t>
  </si>
  <si>
    <t>London Digital Marketing Agency | Best Online Marketing Services</t>
  </si>
  <si>
    <t>https://www.tilio.co.uk/</t>
  </si>
  <si>
    <t>UK AEO Agency for AI Search Visibility</t>
  </si>
  <si>
    <t>Tilio, Found</t>
  </si>
  <si>
    <t>https://www.tilio.co.uk/geo-agency</t>
  </si>
  <si>
    <t>GEO agency UK | Generative engine optimisation services | Tilio</t>
  </si>
  <si>
    <t>Tilio, Measured, Found</t>
  </si>
  <si>
    <t>https://www.tilio.co.uk/learn/how-to-choose-an-aeo-agency-in-the-uk</t>
  </si>
  <si>
    <t>How to choose an AEO agency in the UK | Tilio</t>
  </si>
  <si>
    <t>Tilio, Measured</t>
  </si>
  <si>
    <t>https://tillison.co.uk/about/google-premier-partner/</t>
  </si>
  <si>
    <t>Google Premier Partner Agency - Tillison Consulting</t>
  </si>
  <si>
    <t>https://tinuiti.com/blog/measurement/incrementality-in-marketing/</t>
  </si>
  <si>
    <t>Incrementality in Marketing: What It Is &amp;amp; How to Calculate</t>
  </si>
  <si>
    <t>https://tivradigital.co.uk/</t>
  </si>
  <si>
    <t>Tivra Digital Marketing - Tivra Digital</t>
  </si>
  <si>
    <t>https://www.tofuhq.com/post/best-ai-agents-for-marketing</t>
  </si>
  <si>
    <t>The 7 Best AI Agents for Marketing in 2026</t>
  </si>
  <si>
    <t>https://topgeoagencies.com/</t>
  </si>
  <si>
    <t>The GEO 250 — Best Generative Engine Optimization (GEO) Agencies | TopGEOAgencies.com</t>
  </si>
  <si>
    <t>https://www.topseobrands.com/uk/best-display-advertising-firms-in-uk/page/7</t>
  </si>
  <si>
    <t>https://toptenaiagents.co.uk/lists/top-10-uk-ai-agencies-midsize.html#:~:text=Mesh%2DAI-,Decentralising%20Data%20for%20Enterprise%20Agility,of%20AI%20failure%3A%20data%20inaccessibility.</t>
  </si>
  <si>
    <t>Top 10 UK AI Agencies for Mid-Size Businesses (2026) | Expert Reviews - TopTenAIAgents.co.uk</t>
  </si>
  <si>
    <t>https://toptenaiagents.co.uk/lists/top-10-uk-ai-agencies-sme.html</t>
  </si>
  <si>
    <t>Top 10 AI Agencies for UK SMEs (2026) | Expert Reviews - TopTenAIAgents.co.uk</t>
  </si>
  <si>
    <t>https://www.trendygrandad.com/blog/best-youtube-video-production-companies-in-london</t>
  </si>
  <si>
    <t>Best Youtube video production companies in London | By a UK London Video Production Company</t>
  </si>
  <si>
    <t>https://www.trendygrandad.com/blog/top-5-performance-creative-agencies-sept-2024</t>
  </si>
  <si>
    <t>Top 5 Performance Creative Agencies | Sept 2024 | By a UK London Video Production Company</t>
  </si>
  <si>
    <t>https://www.tripledart.com/ai-seo/ai-seo-agencies</t>
  </si>
  <si>
    <t>Best AI SEO Agencies in 2026</t>
  </si>
  <si>
    <t>WebFX, NoGood, Omniscient Digital, Siege Media, Whitehat, Measured</t>
  </si>
  <si>
    <t>https://www.triplewhale.com/blog/marketing-attribution</t>
  </si>
  <si>
    <t>Marketing Attribution: Models, Benefits, and Best Practices | Triple Whale</t>
  </si>
  <si>
    <t>Triple Whale, Ruler Analytics</t>
  </si>
  <si>
    <t>https://tryinhouse.co/</t>
  </si>
  <si>
    <t>https://uk.linkedin.com/company/ruleranalytics</t>
  </si>
  <si>
    <t>Ruler Analytics | LinkedIn</t>
  </si>
  <si>
    <t>Ruler Analytics, Impression, Found, Measured, Cometly, Rockerbox, Triple Whale</t>
  </si>
  <si>
    <t>https://uk.linkedin.com/company/the-social-shepherd</t>
  </si>
  <si>
    <t>The Social Shepherd | LinkedIn</t>
  </si>
  <si>
    <t>The Social Shepherd, Huge, We Are Social, Born Social</t>
  </si>
  <si>
    <t>https://uk.linkedin.com/in/digantika-mitra</t>
  </si>
  <si>
    <t>https://uk.trustpilot.com/categories/topography_company</t>
  </si>
  <si>
    <t>https://ukagencies.co.uk/services/ppc/</t>
  </si>
  <si>
    <t>Best PPC Agencies in the UK (2026) - Google Ads Experts | UKAgencies.co.uk</t>
  </si>
  <si>
    <t>https://understoryagency.com/blog/paid-organic-earned-media-saas-guide</t>
  </si>
  <si>
    <t>Your complete guide to paid, organic, and earned media \| Understory</t>
  </si>
  <si>
    <t>https://www.unusualgroup.com/consulting/ai-transformation</t>
  </si>
  <si>
    <t>Artificial Intelligence Consulting &amp;amp; AI Strategy | Unusual Group</t>
  </si>
  <si>
    <t>https://www.updigital.co.uk/the-top-5-bristol-ppc-agencies-in-2026/</t>
  </si>
  <si>
    <t>The Top 5 Bristol PPC Agencies in 2026 | Up Digital</t>
  </si>
  <si>
    <t>https://upscale-digital.com/blog/how-much-should-companies-invest-in-marketing/</t>
  </si>
  <si>
    <t>How much should companies invest in marketing? - Upscale Digital</t>
  </si>
  <si>
    <t>Kantar, Measured</t>
  </si>
  <si>
    <t>https://urbanmedia.co.uk/display-advertising-agency/</t>
  </si>
  <si>
    <t>Display Advertising Agency - Urban Media</t>
  </si>
  <si>
    <t>https://usercentrics.com/guides/future-of-data-in-marketing/first-party-data-marketing/</t>
  </si>
  <si>
    <t>First-Party Data Marketing | Tips &amp;amp; Strategies for 2026</t>
  </si>
  <si>
    <t>https://www.vayro.co.uk/ai-consulting/tunbridge-wells</t>
  </si>
  <si>
    <t>AI Consulting Tunbridge Wells \| VAYRO \| AI Management</t>
  </si>
  <si>
    <t>https://www.vedaai.co.uk/services/ai-adoption#:~:text=Veda%20is%20the%20AI%20consulting,first%20AI%2C%20done%20with%20care.</t>
  </si>
  <si>
    <t>AI Consulting &amp;amp; Adoption for Growing Businesses | Veda AI</t>
  </si>
  <si>
    <t>https://verdtek.com/ai-adoption/</t>
  </si>
  <si>
    <t>AI Adoption - Verdtek</t>
  </si>
  <si>
    <t>https://www.vertius.com/</t>
  </si>
  <si>
    <t>Vertius | Practitioner-Led AI Consulting for Enterprise</t>
  </si>
  <si>
    <t>https://vibebranding.com/blog/best-performance-marketing-agencies/</t>
  </si>
  <si>
    <t>Best Performance Marketing Agencies for ROI Growth 2025</t>
  </si>
  <si>
    <t>Impression, Found, Momentum</t>
  </si>
  <si>
    <t>https://videofactory.agency/</t>
  </si>
  <si>
    <t>Video Factory - Infrastructure to scale ads</t>
  </si>
  <si>
    <t>https://virayo.com/blog/b2b-seo-agencies</t>
  </si>
  <si>
    <t>10 Best B2B SEO Agencies for 2026 [By Category]</t>
  </si>
  <si>
    <t>https://visionone.co.uk/news/top-market-research-companies-in-the-uk-2026/</t>
  </si>
  <si>
    <t>Top Market Research Companies In The UK For 2026 VIsion One</t>
  </si>
  <si>
    <t>Kantar, YouGov, Momentum, WPP, Accenture Song, Omnicom, Merkle, Dentsu, Transmission</t>
  </si>
  <si>
    <t>https://www.visuosofts.com/blog/top-digital-marketing-agencies-in-the-uk-2026-the-complete-comparison-guide</t>
  </si>
  <si>
    <t>Top Digital Marketing Agencies in the UK 2026: The Complete Comparison Guide | Visuosofts Blog</t>
  </si>
  <si>
    <t>WebFX, Social Chain, Born Social, Passion Digital, Push, ClickSlice, Found</t>
  </si>
  <si>
    <t>https://www.vxtx.co.uk/</t>
  </si>
  <si>
    <t>Data-Driven Performance Marketing | VXTX Performance Marketing</t>
  </si>
  <si>
    <t>VXTX, Pablo</t>
  </si>
  <si>
    <t>https://www.wagada.co.uk/ai-marketing-agency/</t>
  </si>
  <si>
    <t>AI Marketing Agency | Wagada Digital</t>
  </si>
  <si>
    <t>https://www.walkeragency.co.uk/creative-agency</t>
  </si>
  <si>
    <t>Creative Agency</t>
  </si>
  <si>
    <t>https://wamdigital.com/blog/top-5-creative-and-web-development-agencies-for-scalable-production-in-2026</t>
  </si>
  <si>
    <t>Top Creative &amp;amp; Web Development Agencies for Scalable Production in 2026</t>
  </si>
  <si>
    <t>https://we-discover.com/services/analysis-and-modelling/#:~:text=To%20evolve%20your%20data%20we,to%20best%20fulfil%20your%20objectives.</t>
  </si>
  <si>
    <t>Advanced Analysis and Modelling Services | WeDiscover</t>
  </si>
  <si>
    <t>weDiscover</t>
  </si>
  <si>
    <t>https://www.weareamnet.com/blog/choosing-the-right-creative-production-agency/</t>
  </si>
  <si>
    <t>Choosing the Right Creative Production Agency: Key Tips</t>
  </si>
  <si>
    <t>https://www.wearema.com/</t>
  </si>
  <si>
    <t>ma - Independent Full Service Media &amp;amp; Creative Agency</t>
  </si>
  <si>
    <t>https://www.wearemetric.co.uk/</t>
  </si>
  <si>
    <t>https://www.weareqry.com/blog/best-paid-media-agencies</t>
  </si>
  <si>
    <t>Best Paid Media Agencies for 2026 | QRY</t>
  </si>
  <si>
    <t>Wpromote, Polaris, Power Digital, WebFX, Single Grain, Omnicom, Disrupt Marketing, Tinuiti</t>
  </si>
  <si>
    <t>https://www.wearespark.ai/#:~:text=We%20work%20with%20you%20to%20build%20the%20skills%2C%20governance%20and,across%20people%2C%20process%20and%20systems</t>
  </si>
  <si>
    <t>Spark AI - Leading AI Consultancy for Creative Agencies and Brand Teams | AI Training, Transformation, Workshops and Workflow Builds</t>
  </si>
  <si>
    <t>https://www.wearetenet.com/uk/growth/ai-seo-services</t>
  </si>
  <si>
    <t>AI SEO Services London, UK | Best AI SEO Agency</t>
  </si>
  <si>
    <t>Ogilvy, Screaming Frog</t>
  </si>
  <si>
    <t>http://www.web-in-a-click.com/index-296.html</t>
  </si>
  <si>
    <t>https://webdesignreviews.co.uk/news/best-web-design-agencies-london/</t>
  </si>
  <si>
    <t>15 Best Web Design Agencies in London (2026) — Web Design Reviews</t>
  </si>
  <si>
    <t>AKQA, WPP, Bird Marketing, Ninja Promo</t>
  </si>
  <si>
    <t>https://www.webfx.com/blog/ai/best-geo-agencies/</t>
  </si>
  <si>
    <t>The Best GEO Agencies for AI Visibility in 2026</t>
  </si>
  <si>
    <t>WebFX, The SEO Works</t>
  </si>
  <si>
    <t>https://www.webtonic.io/blog/top-creative-performance-agencies</t>
  </si>
  <si>
    <t>37 Top Creative Performance Agencies for 2026</t>
  </si>
  <si>
    <t>Tinuiti, Wpromote, WPP, Hawke Media, AKQA, Accenture Song, Superside, Impression</t>
  </si>
  <si>
    <t>https://www.welcometothejungle.com/en/companies/ekimetrics/jobs/marketing-commercial-intern-6-months_london</t>
  </si>
  <si>
    <t>Marketing &amp;amp; Commercial Intern, 6 months – Ekimetrics – Internship in London</t>
  </si>
  <si>
    <t>https://www.wested.org/support/ai-readiness-and-integration/</t>
  </si>
  <si>
    <t>AI Readiness and Integration&amp;nbsp; – WestEd</t>
  </si>
  <si>
    <t>https://whitehat-seo.co.uk/blog/ai-impact-on-consulting</t>
  </si>
  <si>
    <t>How AI Is Reshaping Consulting in 2026 | Whitehat</t>
  </si>
  <si>
    <t>Whitehat, Found, EY, PwC, QuantumBlack, Measured, Push</t>
  </si>
  <si>
    <t>https://whito.co.uk/build/best-uk-resources-ai-search-visibility-aeo/</t>
  </si>
  <si>
    <t>Best UK Resources for AI Search Visibility (AEO/GEO) 2026</t>
  </si>
  <si>
    <t>Found, Tilio, Whitehat, Measured</t>
  </si>
  <si>
    <t>https://wifitalents.com/service/ai-adoption/</t>
  </si>
  <si>
    <t>Top AI Adoption Services (2026)</t>
  </si>
  <si>
    <t>PwC, Momentum</t>
  </si>
  <si>
    <t>https://wishu.io/top-10-creative-agencies-in-the-uk/</t>
  </si>
  <si>
    <t>https://workingmedia.com/</t>
  </si>
  <si>
    <t>Home - Working Media</t>
  </si>
  <si>
    <t>https://www.workmagic.io/</t>
  </si>
  <si>
    <t>WorkMagic | Growth by Science</t>
  </si>
  <si>
    <t>https://worldmetrics.org/service/ai-adoption/</t>
  </si>
  <si>
    <t>Top 10 Best AI Adoption Services | 2026 Expert Picks</t>
  </si>
  <si>
    <t>PwC, EY, Momentum</t>
  </si>
  <si>
    <t>https://worldmetrics.org/service/data-marketing/</t>
  </si>
  <si>
    <t>Best Data Marketing Services (2026)</t>
  </si>
  <si>
    <t>Merkle, Dentsu, Publicis Groupe, WPP, EY, Kantar</t>
  </si>
  <si>
    <t>https://www.wpp.com/en/about/our-company</t>
  </si>
  <si>
    <t>Our company | WPP</t>
  </si>
  <si>
    <t>WPP, Ogilvy, AKQA</t>
  </si>
  <si>
    <t>https://www.wpp.com/en/news/2025/03/wpp-claims-top-honours-on-the-warc-creative-100</t>
  </si>
  <si>
    <t>WPP claims top honours on the WARC Creative 100 for third consecutive year | WPP</t>
  </si>
  <si>
    <t>https://www.wpp.com/en/news/2025/06/wpp-wins-creative-company-of-the-year-at-cannes-lions-2025</t>
  </si>
  <si>
    <t>WPP wins Creative Company of the Year at Cannes Lions 2025 | WPP</t>
  </si>
  <si>
    <t>WPP, Ogilvy, Huge, AKQA</t>
  </si>
  <si>
    <t>https://www.wpp.com/en/news/2026/03/wpp-claims-top-spot-on-warc-creative-100-for-fourth-consecutive-year</t>
  </si>
  <si>
    <t>WPP claims top spot on WARC Creative 100 for fourth consecutive year | WPP</t>
  </si>
  <si>
    <t>https://www.xanthosdigital.com/services/digital-marketing/paid-social</t>
  </si>
  <si>
    <t>Paid Social Agency Cambridge | Paid Social Media Management Services UK</t>
  </si>
  <si>
    <t>https://xchange.avixa.org/posts/top-hire-ecommerce-developers-in-uk-2026</t>
  </si>
  <si>
    <t>Top Hire Ecommerce Developers in UK (2026) | AVIXA Xchange</t>
  </si>
  <si>
    <t>https://xo3d.co.uk/blog/3d-creative-agency-for-marketing-professionals/</t>
  </si>
  <si>
    <t>3D Creative Studios: A Guide for Marketing Professionals | XO3D</t>
  </si>
  <si>
    <t>https://www.yesoptimist.com/best-geo-agencies/</t>
  </si>
  <si>
    <t>The 7 Best GEO Agencies Driving Real Revenue from AI in 2026 | Optimist</t>
  </si>
  <si>
    <t>Found, Measured, Siege Media, Omniscient Digital</t>
  </si>
  <si>
    <t>https://www.youtube.com/watch?v=J3TiyuWqYng</t>
  </si>
  <si>
    <t>The #1 AI Creative Strategy That Helped This Agency Scale to 2k+ Ads Per Month</t>
  </si>
  <si>
    <t>Huge, Found, Push, Impression, Measured</t>
  </si>
  <si>
    <t>https://www.youtube.com/watch?v=KjRgCP-x_Dw</t>
  </si>
  <si>
    <t>Creative Production Operations on a Global Scale: An Agency Perspective</t>
  </si>
  <si>
    <t>WPP, Found</t>
  </si>
  <si>
    <t>https://www.youtube.com/watch?v=OR58Odpst7Q</t>
  </si>
  <si>
    <t>Top 12 Digital Marketing Agencies to Hire in 2026</t>
  </si>
  <si>
    <t>Disruptive Advertising</t>
  </si>
  <si>
    <t>https://www.youtube.com/watch?v=XGLA7lE-TLo#:~:text=In%20this%20video%2C%20I'll%20show%20you%20the,Known%20for%20clear%20results%20and%20honest%20reporting.</t>
  </si>
  <si>
    <t>15 Best AI-Powered Digital Marketing Companies in UK | Turn Your Small Business Into a Brand</t>
  </si>
  <si>
    <t>https://www.youtube.com/watch?v=dtlZTULGX4A</t>
  </si>
  <si>
    <t>GEO Keyword Research and Tracking AI Search Results For Your Main Keywords</t>
  </si>
  <si>
    <t>https://www.youtube.com/watch?v=osffLDnwyR8</t>
  </si>
  <si>
    <t>Attribution vs. MMM: What Really Works? | Stefan Hock (About You)</t>
  </si>
  <si>
    <t>Huge, Impression, Push</t>
  </si>
  <si>
    <t>https://www.youtube.com/watch?v=qnrNaTO7nCs</t>
  </si>
  <si>
    <t>Marketing Attribution at Lynchpin</t>
  </si>
  <si>
    <t>https://www.youtube.com/watch?v=wfXrhCjh9mA</t>
  </si>
  <si>
    <t>Top AI SEO Agencies in the UK now ‑ 3i SEO</t>
  </si>
  <si>
    <t>Rank4AI, ClickSlice, Found, Varn</t>
  </si>
  <si>
    <t>https://www.zealcreative.com/</t>
  </si>
  <si>
    <t>ZEAL Creative | Integrated Marketing Agency</t>
  </si>
  <si>
    <t>https://zetaglobal.com/resource-center/ai-first-party-data-agency-growth/</t>
  </si>
  <si>
    <t>AI-Powered First-Party Data for Agency Growth | Zeta</t>
  </si>
  <si>
    <t>Found, Measured, Impression</t>
  </si>
  <si>
    <t>https://zipdo.co/service/creative-advertising/</t>
  </si>
  <si>
    <t>Top 10 Best Creative Advertising Services | Tested in 2026</t>
  </si>
  <si>
    <t>WPP, Ogilvy, Publicis Groupe, GA Agency, AKQA</t>
  </si>
  <si>
    <t>https://zipdo.co/service/customer-data-platform/</t>
  </si>
  <si>
    <t>Best Customer Data Platform Services (2026)</t>
  </si>
  <si>
    <t>PwC, WPP, Publicis Groupe</t>
  </si>
  <si>
    <t>https://zipdo.co/service/first-party-data/</t>
  </si>
  <si>
    <t>First Party Data Services: Best Picks (2026)</t>
  </si>
  <si>
    <t>Merkle, Dentsu, Publicis Groupe, PwC, EY</t>
  </si>
  <si>
    <t>https://zyppy.com/companies/c/generative-ai-seo/united-kingdom/london/</t>
  </si>
  <si>
    <t>Top Generative AI Search Companies in London - July 2026</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</si>
</sst>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rgb="FFFFFFFF"/>
      <name val="Arial"/>
    </font>
    <font>
      <u/>
      <color rgb="FF0000FF"/>
    </font>
    <font>
      <color theme="1"/>
      <name val="Arial"/>
      <scheme val="minor"/>
    </font>
    <font>
      <color theme="1"/>
      <name val="Arial"/>
    </font>
    <font>
      <color rgb="FFFFFFFF"/>
      <name val="Arial"/>
    </font>
    <font>
      <u/>
      <color rgb="FF0000FF"/>
    </font>
    <font>
      <u/>
      <color rgb="FF0000FF"/>
    </font>
    <font>
      <u/>
      <color theme="1"/>
      <name val="Arial"/>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5" numFmtId="0" xfId="0" applyAlignment="1" applyFont="1">
      <alignment readingOrder="0" vertical="bottom"/>
    </xf>
    <xf borderId="0" fillId="2" fontId="5" numFmtId="0" xfId="0" applyAlignment="1" applyFont="1">
      <alignment vertical="bottom"/>
    </xf>
    <xf borderId="0" fillId="2" fontId="4" numFmtId="0" xfId="0" applyAlignment="1" applyFont="1">
      <alignment vertical="bottom"/>
    </xf>
    <xf borderId="0" fillId="0" fontId="6" numFmtId="0" xfId="0" applyAlignment="1" applyFont="1">
      <alignment readingOrder="0"/>
    </xf>
    <xf borderId="0" fillId="0" fontId="4" numFmtId="0" xfId="0" applyAlignment="1" applyFont="1">
      <alignment readingOrder="0" vertical="bottom"/>
    </xf>
    <xf borderId="0" fillId="0" fontId="4" numFmtId="0" xfId="0" applyAlignment="1" applyFont="1">
      <alignment vertical="bottom"/>
    </xf>
    <xf borderId="0" fillId="0" fontId="4" numFmtId="0" xfId="0" applyAlignment="1" applyFont="1">
      <alignment vertical="bottom"/>
    </xf>
    <xf borderId="0" fillId="0" fontId="7" numFmtId="0" xfId="0" applyFont="1"/>
    <xf borderId="0" fillId="0" fontId="3" numFmtId="0" xfId="0" applyFont="1"/>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4" Type="http://schemas.openxmlformats.org/officeDocument/2006/relationships/worksheet" Target="worksheets/sheet30.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elevateai.co.uk" TargetMode="External"/><Relationship Id="rId194" Type="http://schemas.openxmlformats.org/officeDocument/2006/relationships/hyperlink" Target="http://getapexanalytics.com" TargetMode="External"/><Relationship Id="rId193" Type="http://schemas.openxmlformats.org/officeDocument/2006/relationships/hyperlink" Target="http://copilot-experts.com" TargetMode="External"/><Relationship Id="rId192" Type="http://schemas.openxmlformats.org/officeDocument/2006/relationships/hyperlink" Target="http://businessinsider.com" TargetMode="External"/><Relationship Id="rId191" Type="http://schemas.openxmlformats.org/officeDocument/2006/relationships/hyperlink" Target="http://aeodirectory.com" TargetMode="External"/><Relationship Id="rId187" Type="http://schemas.openxmlformats.org/officeDocument/2006/relationships/hyperlink" Target="http://wmtips.com" TargetMode="External"/><Relationship Id="rId186" Type="http://schemas.openxmlformats.org/officeDocument/2006/relationships/hyperlink" Target="http://weframetech.com" TargetMode="External"/><Relationship Id="rId185" Type="http://schemas.openxmlformats.org/officeDocument/2006/relationships/hyperlink" Target="http://seo.com" TargetMode="External"/><Relationship Id="rId184" Type="http://schemas.openxmlformats.org/officeDocument/2006/relationships/hyperlink" Target="http://selectedfirms.co" TargetMode="External"/><Relationship Id="rId189" Type="http://schemas.openxmlformats.org/officeDocument/2006/relationships/hyperlink" Target="http://socialchameleon.com" TargetMode="External"/><Relationship Id="rId188" Type="http://schemas.openxmlformats.org/officeDocument/2006/relationships/hyperlink" Target="http://warc.com" TargetMode="External"/><Relationship Id="rId183" Type="http://schemas.openxmlformats.org/officeDocument/2006/relationships/hyperlink" Target="http://rethinkworks.co.uk" TargetMode="External"/><Relationship Id="rId182" Type="http://schemas.openxmlformats.org/officeDocument/2006/relationships/hyperlink" Target="http://originmediameasurement.com" TargetMode="External"/><Relationship Id="rId181" Type="http://schemas.openxmlformats.org/officeDocument/2006/relationships/hyperlink" Target="http://londence.com" TargetMode="External"/><Relationship Id="rId180" Type="http://schemas.openxmlformats.org/officeDocument/2006/relationships/hyperlink" Target="http://innovationvisual.com" TargetMode="External"/><Relationship Id="rId176" Type="http://schemas.openxmlformats.org/officeDocument/2006/relationships/hyperlink" Target="http://kingsbury.io" TargetMode="External"/><Relationship Id="rId297" Type="http://schemas.openxmlformats.org/officeDocument/2006/relationships/hyperlink" Target="http://tenaciousmarketing.co.uk" TargetMode="External"/><Relationship Id="rId175" Type="http://schemas.openxmlformats.org/officeDocument/2006/relationships/hyperlink" Target="http://liftlab.com" TargetMode="External"/><Relationship Id="rId296" Type="http://schemas.openxmlformats.org/officeDocument/2006/relationships/hyperlink" Target="http://softblues.io" TargetMode="External"/><Relationship Id="rId174" Type="http://schemas.openxmlformats.org/officeDocument/2006/relationships/hyperlink" Target="http://softomatesolutions.com" TargetMode="External"/><Relationship Id="rId295" Type="http://schemas.openxmlformats.org/officeDocument/2006/relationships/hyperlink" Target="http://sociallypowerful.com" TargetMode="External"/><Relationship Id="rId173" Type="http://schemas.openxmlformats.org/officeDocument/2006/relationships/hyperlink" Target="http://semnexus.com" TargetMode="External"/><Relationship Id="rId294" Type="http://schemas.openxmlformats.org/officeDocument/2006/relationships/hyperlink" Target="http://smacient.com" TargetMode="External"/><Relationship Id="rId179" Type="http://schemas.openxmlformats.org/officeDocument/2006/relationships/hyperlink" Target="http://idhlagency.com" TargetMode="External"/><Relationship Id="rId178" Type="http://schemas.openxmlformats.org/officeDocument/2006/relationships/hyperlink" Target="http://design-intellect.co.uk" TargetMode="External"/><Relationship Id="rId299" Type="http://schemas.openxmlformats.org/officeDocument/2006/relationships/hyperlink" Target="http://theverge.com" TargetMode="External"/><Relationship Id="rId177" Type="http://schemas.openxmlformats.org/officeDocument/2006/relationships/hyperlink" Target="http://elevenmiles.com" TargetMode="External"/><Relationship Id="rId298" Type="http://schemas.openxmlformats.org/officeDocument/2006/relationships/hyperlink" Target="http://thegraygency.com" TargetMode="External"/><Relationship Id="rId198" Type="http://schemas.openxmlformats.org/officeDocument/2006/relationships/hyperlink" Target="http://levelupleads.co.uk" TargetMode="External"/><Relationship Id="rId197" Type="http://schemas.openxmlformats.org/officeDocument/2006/relationships/hyperlink" Target="http://kinesso.co.uk" TargetMode="External"/><Relationship Id="rId196" Type="http://schemas.openxmlformats.org/officeDocument/2006/relationships/hyperlink" Target="http://intellscore.uk" TargetMode="External"/><Relationship Id="rId195" Type="http://schemas.openxmlformats.org/officeDocument/2006/relationships/hyperlink" Target="http://gulftagline.ae" TargetMode="External"/><Relationship Id="rId199" Type="http://schemas.openxmlformats.org/officeDocument/2006/relationships/hyperlink" Target="http://megatrendsolutions.com" TargetMode="External"/><Relationship Id="rId150" Type="http://schemas.openxmlformats.org/officeDocument/2006/relationships/hyperlink" Target="http://joinupscale.com" TargetMode="External"/><Relationship Id="rId271" Type="http://schemas.openxmlformats.org/officeDocument/2006/relationships/hyperlink" Target="http://carlosalbamedia.co.uk" TargetMode="External"/><Relationship Id="rId392" Type="http://schemas.openxmlformats.org/officeDocument/2006/relationships/hyperlink" Target="http://mass-analytics.com" TargetMode="External"/><Relationship Id="rId270" Type="http://schemas.openxmlformats.org/officeDocument/2006/relationships/hyperlink" Target="http://braidr.ai" TargetMode="External"/><Relationship Id="rId391" Type="http://schemas.openxmlformats.org/officeDocument/2006/relationships/hyperlink" Target="http://flypix.ai" TargetMode="External"/><Relationship Id="rId390" Type="http://schemas.openxmlformats.org/officeDocument/2006/relationships/hyperlink" Target="http://ecimediamanagement.com" TargetMode="External"/><Relationship Id="rId1" Type="http://schemas.openxmlformats.org/officeDocument/2006/relationships/hyperlink" Target="http://sortlist.co.uk" TargetMode="External"/><Relationship Id="rId2" Type="http://schemas.openxmlformats.org/officeDocument/2006/relationships/hyperlink" Target="http://clutch.co" TargetMode="External"/><Relationship Id="rId3" Type="http://schemas.openxmlformats.org/officeDocument/2006/relationships/hyperlink" Target="http://pushgroup.co.uk" TargetMode="External"/><Relationship Id="rId149" Type="http://schemas.openxmlformats.org/officeDocument/2006/relationships/hyperlink" Target="http://wishu.io" TargetMode="External"/><Relationship Id="rId4" Type="http://schemas.openxmlformats.org/officeDocument/2006/relationships/hyperlink" Target="http://we-discover.com" TargetMode="External"/><Relationship Id="rId148" Type="http://schemas.openxmlformats.org/officeDocument/2006/relationships/hyperlink" Target="http://supermetrics.com" TargetMode="External"/><Relationship Id="rId269" Type="http://schemas.openxmlformats.org/officeDocument/2006/relationships/hyperlink" Target="http://bimodal.io" TargetMode="External"/><Relationship Id="rId9" Type="http://schemas.openxmlformats.org/officeDocument/2006/relationships/hyperlink" Target="http://found.co.uk" TargetMode="External"/><Relationship Id="rId143" Type="http://schemas.openxmlformats.org/officeDocument/2006/relationships/hyperlink" Target="http://hockeystack.com" TargetMode="External"/><Relationship Id="rId264" Type="http://schemas.openxmlformats.org/officeDocument/2006/relationships/hyperlink" Target="http://airconsulting.ai" TargetMode="External"/><Relationship Id="rId385" Type="http://schemas.openxmlformats.org/officeDocument/2006/relationships/hyperlink" Target="http://zendikt.com" TargetMode="External"/><Relationship Id="rId142" Type="http://schemas.openxmlformats.org/officeDocument/2006/relationships/hyperlink" Target="http://haus.io" TargetMode="External"/><Relationship Id="rId263" Type="http://schemas.openxmlformats.org/officeDocument/2006/relationships/hyperlink" Target="http://adtrak.co.uk" TargetMode="External"/><Relationship Id="rId384" Type="http://schemas.openxmlformats.org/officeDocument/2006/relationships/hyperlink" Target="http://xamun.ai" TargetMode="External"/><Relationship Id="rId141" Type="http://schemas.openxmlformats.org/officeDocument/2006/relationships/hyperlink" Target="http://factoryjet.com" TargetMode="External"/><Relationship Id="rId262" Type="http://schemas.openxmlformats.org/officeDocument/2006/relationships/hyperlink" Target="http://adcountable.com" TargetMode="External"/><Relationship Id="rId383" Type="http://schemas.openxmlformats.org/officeDocument/2006/relationships/hyperlink" Target="http://worldmetrics.org" TargetMode="External"/><Relationship Id="rId140" Type="http://schemas.openxmlformats.org/officeDocument/2006/relationships/hyperlink" Target="http://expertsure.com" TargetMode="External"/><Relationship Id="rId261" Type="http://schemas.openxmlformats.org/officeDocument/2006/relationships/hyperlink" Target="http://queryclick.com" TargetMode="External"/><Relationship Id="rId382" Type="http://schemas.openxmlformats.org/officeDocument/2006/relationships/hyperlink" Target="http://wikipedia.org" TargetMode="External"/><Relationship Id="rId5" Type="http://schemas.openxmlformats.org/officeDocument/2006/relationships/hyperlink" Target="http://digitalagencynetwork.com" TargetMode="External"/><Relationship Id="rId147" Type="http://schemas.openxmlformats.org/officeDocument/2006/relationships/hyperlink" Target="http://rankshift.ai" TargetMode="External"/><Relationship Id="rId268" Type="http://schemas.openxmlformats.org/officeDocument/2006/relationships/hyperlink" Target="http://bbntimes.com" TargetMode="External"/><Relationship Id="rId389" Type="http://schemas.openxmlformats.org/officeDocument/2006/relationships/hyperlink" Target="http://agencylocator.io" TargetMode="External"/><Relationship Id="rId6" Type="http://schemas.openxmlformats.org/officeDocument/2006/relationships/hyperlink" Target="http://semrush.com" TargetMode="External"/><Relationship Id="rId146" Type="http://schemas.openxmlformats.org/officeDocument/2006/relationships/hyperlink" Target="http://pinemarsh.com" TargetMode="External"/><Relationship Id="rId267" Type="http://schemas.openxmlformats.org/officeDocument/2006/relationships/hyperlink" Target="http://arxiv.org" TargetMode="External"/><Relationship Id="rId388" Type="http://schemas.openxmlformats.org/officeDocument/2006/relationships/hyperlink" Target="http://wearespark.ai" TargetMode="External"/><Relationship Id="rId7" Type="http://schemas.openxmlformats.org/officeDocument/2006/relationships/hyperlink" Target="http://polarisagency.com" TargetMode="External"/><Relationship Id="rId145" Type="http://schemas.openxmlformats.org/officeDocument/2006/relationships/hyperlink" Target="http://limeup.io" TargetMode="External"/><Relationship Id="rId266" Type="http://schemas.openxmlformats.org/officeDocument/2006/relationships/hyperlink" Target="http://architecturaldigest.com" TargetMode="External"/><Relationship Id="rId387" Type="http://schemas.openxmlformats.org/officeDocument/2006/relationships/hyperlink" Target="http://wpp.com" TargetMode="External"/><Relationship Id="rId8" Type="http://schemas.openxmlformats.org/officeDocument/2006/relationships/hyperlink" Target="http://clickslice.co.uk" TargetMode="External"/><Relationship Id="rId144" Type="http://schemas.openxmlformats.org/officeDocument/2006/relationships/hyperlink" Target="http://icreativez.com" TargetMode="External"/><Relationship Id="rId265" Type="http://schemas.openxmlformats.org/officeDocument/2006/relationships/hyperlink" Target="http://aisuperior.com" TargetMode="External"/><Relationship Id="rId386" Type="http://schemas.openxmlformats.org/officeDocument/2006/relationships/hyperlink" Target="http://securitysenses.com" TargetMode="External"/><Relationship Id="rId260" Type="http://schemas.openxmlformats.org/officeDocument/2006/relationships/hyperlink" Target="http://global.com" TargetMode="External"/><Relationship Id="rId381" Type="http://schemas.openxmlformats.org/officeDocument/2006/relationships/hyperlink" Target="http://weareaudiences.com" TargetMode="External"/><Relationship Id="rId380" Type="http://schemas.openxmlformats.org/officeDocument/2006/relationships/hyperlink" Target="http://weareagentsofchange.com" TargetMode="External"/><Relationship Id="rId139" Type="http://schemas.openxmlformats.org/officeDocument/2006/relationships/hyperlink" Target="http://cornishwebservices.co.uk" TargetMode="External"/><Relationship Id="rId138" Type="http://schemas.openxmlformats.org/officeDocument/2006/relationships/hyperlink" Target="http://arytech.com" TargetMode="External"/><Relationship Id="rId259" Type="http://schemas.openxmlformats.org/officeDocument/2006/relationships/hyperlink" Target="http://aiblmedia.com" TargetMode="External"/><Relationship Id="rId137" Type="http://schemas.openxmlformats.org/officeDocument/2006/relationships/hyperlink" Target="http://onelinkmedia.co.uk" TargetMode="External"/><Relationship Id="rId258" Type="http://schemas.openxmlformats.org/officeDocument/2006/relationships/hyperlink" Target="http://deducive.com" TargetMode="External"/><Relationship Id="rId379" Type="http://schemas.openxmlformats.org/officeDocument/2006/relationships/hyperlink" Target="http://trinitybps.com" TargetMode="External"/><Relationship Id="rId132" Type="http://schemas.openxmlformats.org/officeDocument/2006/relationships/hyperlink" Target="http://aether-agency.co.uk" TargetMode="External"/><Relationship Id="rId253" Type="http://schemas.openxmlformats.org/officeDocument/2006/relationships/hyperlink" Target="http://stratifyadvisory.co.uk" TargetMode="External"/><Relationship Id="rId374" Type="http://schemas.openxmlformats.org/officeDocument/2006/relationships/hyperlink" Target="http://spicyadvisory.com" TargetMode="External"/><Relationship Id="rId495" Type="http://schemas.openxmlformats.org/officeDocument/2006/relationships/hyperlink" Target="http://eakwire.com" TargetMode="External"/><Relationship Id="rId131" Type="http://schemas.openxmlformats.org/officeDocument/2006/relationships/hyperlink" Target="http://netpeak.co.uk" TargetMode="External"/><Relationship Id="rId252" Type="http://schemas.openxmlformats.org/officeDocument/2006/relationships/hyperlink" Target="http://softwaresuggest.com" TargetMode="External"/><Relationship Id="rId373" Type="http://schemas.openxmlformats.org/officeDocument/2006/relationships/hyperlink" Target="http://sourceloop.ai" TargetMode="External"/><Relationship Id="rId494" Type="http://schemas.openxmlformats.org/officeDocument/2006/relationships/hyperlink" Target="http://droga5.com" TargetMode="External"/><Relationship Id="rId130" Type="http://schemas.openxmlformats.org/officeDocument/2006/relationships/hyperlink" Target="http://hikemytraffic.com" TargetMode="External"/><Relationship Id="rId251" Type="http://schemas.openxmlformats.org/officeDocument/2006/relationships/hyperlink" Target="http://septemai.com" TargetMode="External"/><Relationship Id="rId372" Type="http://schemas.openxmlformats.org/officeDocument/2006/relationships/hyperlink" Target="http://socialander.com" TargetMode="External"/><Relationship Id="rId493" Type="http://schemas.openxmlformats.org/officeDocument/2006/relationships/hyperlink" Target="http://disruptiveadvertising.com" TargetMode="External"/><Relationship Id="rId250" Type="http://schemas.openxmlformats.org/officeDocument/2006/relationships/hyperlink" Target="http://searchlaboratory.com" TargetMode="External"/><Relationship Id="rId371" Type="http://schemas.openxmlformats.org/officeDocument/2006/relationships/hyperlink" Target="http://silverspoonagency.com" TargetMode="External"/><Relationship Id="rId492" Type="http://schemas.openxmlformats.org/officeDocument/2006/relationships/hyperlink" Target="http://digitalmarketingagencyuk.com" TargetMode="External"/><Relationship Id="rId136" Type="http://schemas.openxmlformats.org/officeDocument/2006/relationships/hyperlink" Target="http://deptagency.com" TargetMode="External"/><Relationship Id="rId257" Type="http://schemas.openxmlformats.org/officeDocument/2006/relationships/hyperlink" Target="http://croud.com" TargetMode="External"/><Relationship Id="rId378" Type="http://schemas.openxmlformats.org/officeDocument/2006/relationships/hyperlink" Target="http://trendygrandad.com" TargetMode="External"/><Relationship Id="rId499" Type="http://schemas.openxmlformats.org/officeDocument/2006/relationships/hyperlink" Target="http://eightandfour.com" TargetMode="External"/><Relationship Id="rId135" Type="http://schemas.openxmlformats.org/officeDocument/2006/relationships/hyperlink" Target="http://gwi.com" TargetMode="External"/><Relationship Id="rId256" Type="http://schemas.openxmlformats.org/officeDocument/2006/relationships/hyperlink" Target="http://wonderagency.co.uk" TargetMode="External"/><Relationship Id="rId377" Type="http://schemas.openxmlformats.org/officeDocument/2006/relationships/hyperlink" Target="http://trendfingers.com" TargetMode="External"/><Relationship Id="rId498" Type="http://schemas.openxmlformats.org/officeDocument/2006/relationships/hyperlink" Target="http://efficiencymedia.com" TargetMode="External"/><Relationship Id="rId134" Type="http://schemas.openxmlformats.org/officeDocument/2006/relationships/hyperlink" Target="http://zipdo.co" TargetMode="External"/><Relationship Id="rId255" Type="http://schemas.openxmlformats.org/officeDocument/2006/relationships/hyperlink" Target="http://thetimes.co.uk" TargetMode="External"/><Relationship Id="rId376" Type="http://schemas.openxmlformats.org/officeDocument/2006/relationships/hyperlink" Target="http://theaustralian.com.au" TargetMode="External"/><Relationship Id="rId497" Type="http://schemas.openxmlformats.org/officeDocument/2006/relationships/hyperlink" Target="http://economictimes.com" TargetMode="External"/><Relationship Id="rId133" Type="http://schemas.openxmlformats.org/officeDocument/2006/relationships/hyperlink" Target="http://phable.io" TargetMode="External"/><Relationship Id="rId254" Type="http://schemas.openxmlformats.org/officeDocument/2006/relationships/hyperlink" Target="http://thesmallbizexpert.co.uk" TargetMode="External"/><Relationship Id="rId375" Type="http://schemas.openxmlformats.org/officeDocument/2006/relationships/hyperlink" Target="http://theaiconsultancy.ai" TargetMode="External"/><Relationship Id="rId496" Type="http://schemas.openxmlformats.org/officeDocument/2006/relationships/hyperlink" Target="http://easyinsights.ai" TargetMode="External"/><Relationship Id="rId172" Type="http://schemas.openxmlformats.org/officeDocument/2006/relationships/hyperlink" Target="http://reuters.com" TargetMode="External"/><Relationship Id="rId293" Type="http://schemas.openxmlformats.org/officeDocument/2006/relationships/hyperlink" Target="http://saatchi.co.uk" TargetMode="External"/><Relationship Id="rId171" Type="http://schemas.openxmlformats.org/officeDocument/2006/relationships/hyperlink" Target="http://openkit.co.uk" TargetMode="External"/><Relationship Id="rId292" Type="http://schemas.openxmlformats.org/officeDocument/2006/relationships/hyperlink" Target="http://rocketium.ai" TargetMode="External"/><Relationship Id="rId170" Type="http://schemas.openxmlformats.org/officeDocument/2006/relationships/hyperlink" Target="http://loudface.co" TargetMode="External"/><Relationship Id="rId291" Type="http://schemas.openxmlformats.org/officeDocument/2006/relationships/hyperlink" Target="http://readysetconsultancy.com" TargetMode="External"/><Relationship Id="rId290" Type="http://schemas.openxmlformats.org/officeDocument/2006/relationships/hyperlink" Target="http://prioritypixels.co.uk" TargetMode="External"/><Relationship Id="rId165" Type="http://schemas.openxmlformats.org/officeDocument/2006/relationships/hyperlink" Target="http://appsflyer.com" TargetMode="External"/><Relationship Id="rId286" Type="http://schemas.openxmlformats.org/officeDocument/2006/relationships/hyperlink" Target="http://mida.so" TargetMode="External"/><Relationship Id="rId164" Type="http://schemas.openxmlformats.org/officeDocument/2006/relationships/hyperlink" Target="http://ampliflow.ai" TargetMode="External"/><Relationship Id="rId285" Type="http://schemas.openxmlformats.org/officeDocument/2006/relationships/hyperlink" Target="http://madebyshape.co.uk" TargetMode="External"/><Relationship Id="rId163" Type="http://schemas.openxmlformats.org/officeDocument/2006/relationships/hyperlink" Target="http://agencyvista.com" TargetMode="External"/><Relationship Id="rId284" Type="http://schemas.openxmlformats.org/officeDocument/2006/relationships/hyperlink" Target="http://leverageconsulting.uk" TargetMode="External"/><Relationship Id="rId162" Type="http://schemas.openxmlformats.org/officeDocument/2006/relationships/hyperlink" Target="http://visarc.uk" TargetMode="External"/><Relationship Id="rId283" Type="http://schemas.openxmlformats.org/officeDocument/2006/relationships/hyperlink" Target="http://knowanalytics.co.uk" TargetMode="External"/><Relationship Id="rId169" Type="http://schemas.openxmlformats.org/officeDocument/2006/relationships/hyperlink" Target="http://hotwireglobal.co.uk" TargetMode="External"/><Relationship Id="rId168" Type="http://schemas.openxmlformats.org/officeDocument/2006/relationships/hyperlink" Target="http://ecomposer.io" TargetMode="External"/><Relationship Id="rId289" Type="http://schemas.openxmlformats.org/officeDocument/2006/relationships/hyperlink" Target="http://pentagram.com" TargetMode="External"/><Relationship Id="rId167" Type="http://schemas.openxmlformats.org/officeDocument/2006/relationships/hyperlink" Target="http://dramatik.com" TargetMode="External"/><Relationship Id="rId288" Type="http://schemas.openxmlformats.org/officeDocument/2006/relationships/hyperlink" Target="http://peak-agency.co.uk" TargetMode="External"/><Relationship Id="rId166" Type="http://schemas.openxmlformats.org/officeDocument/2006/relationships/hyperlink" Target="http://atomicdigitalmarketing.co.uk" TargetMode="External"/><Relationship Id="rId287" Type="http://schemas.openxmlformats.org/officeDocument/2006/relationships/hyperlink" Target="http://onelittleweb.com" TargetMode="External"/><Relationship Id="rId161" Type="http://schemas.openxmlformats.org/officeDocument/2006/relationships/hyperlink" Target="http://s360digital.com" TargetMode="External"/><Relationship Id="rId282" Type="http://schemas.openxmlformats.org/officeDocument/2006/relationships/hyperlink" Target="http://jdrgroup.co.uk" TargetMode="External"/><Relationship Id="rId160" Type="http://schemas.openxmlformats.org/officeDocument/2006/relationships/hyperlink" Target="http://getrecast.com" TargetMode="External"/><Relationship Id="rId281" Type="http://schemas.openxmlformats.org/officeDocument/2006/relationships/hyperlink" Target="http://itprofiles.com" TargetMode="External"/><Relationship Id="rId280" Type="http://schemas.openxmlformats.org/officeDocument/2006/relationships/hyperlink" Target="http://intellscore.co.uk" TargetMode="External"/><Relationship Id="rId159" Type="http://schemas.openxmlformats.org/officeDocument/2006/relationships/hyperlink" Target="http://salocin-group.com" TargetMode="External"/><Relationship Id="rId154" Type="http://schemas.openxmlformats.org/officeDocument/2006/relationships/hyperlink" Target="http://ft.com" TargetMode="External"/><Relationship Id="rId275" Type="http://schemas.openxmlformats.org/officeDocument/2006/relationships/hyperlink" Target="http://digitalmarketingcompanyinlondon.com" TargetMode="External"/><Relationship Id="rId396" Type="http://schemas.openxmlformats.org/officeDocument/2006/relationships/hyperlink" Target="http://solvid.co.uk" TargetMode="External"/><Relationship Id="rId153" Type="http://schemas.openxmlformats.org/officeDocument/2006/relationships/hyperlink" Target="http://ey.com" TargetMode="External"/><Relationship Id="rId274" Type="http://schemas.openxmlformats.org/officeDocument/2006/relationships/hyperlink" Target="http://cognitute.org" TargetMode="External"/><Relationship Id="rId395" Type="http://schemas.openxmlformats.org/officeDocument/2006/relationships/hyperlink" Target="http://service.gov.uk" TargetMode="External"/><Relationship Id="rId152" Type="http://schemas.openxmlformats.org/officeDocument/2006/relationships/hyperlink" Target="http://aeoagencyservices.com" TargetMode="External"/><Relationship Id="rId273" Type="http://schemas.openxmlformats.org/officeDocument/2006/relationships/hyperlink" Target="http://click.co.uk" TargetMode="External"/><Relationship Id="rId394" Type="http://schemas.openxmlformats.org/officeDocument/2006/relationships/hyperlink" Target="http://scanmarqed.com" TargetMode="External"/><Relationship Id="rId151" Type="http://schemas.openxmlformats.org/officeDocument/2006/relationships/hyperlink" Target="http://gripped.io" TargetMode="External"/><Relationship Id="rId272" Type="http://schemas.openxmlformats.org/officeDocument/2006/relationships/hyperlink" Target="http://carmatec.co.uk" TargetMode="External"/><Relationship Id="rId393" Type="http://schemas.openxmlformats.org/officeDocument/2006/relationships/hyperlink" Target="http://monks.com" TargetMode="External"/><Relationship Id="rId158" Type="http://schemas.openxmlformats.org/officeDocument/2006/relationships/hyperlink" Target="http://swifterm.com" TargetMode="External"/><Relationship Id="rId279" Type="http://schemas.openxmlformats.org/officeDocument/2006/relationships/hyperlink" Target="http://indexly.ai" TargetMode="External"/><Relationship Id="rId157" Type="http://schemas.openxmlformats.org/officeDocument/2006/relationships/hyperlink" Target="http://stellaheystella.com" TargetMode="External"/><Relationship Id="rId278" Type="http://schemas.openxmlformats.org/officeDocument/2006/relationships/hyperlink" Target="http://get-ryze.ai" TargetMode="External"/><Relationship Id="rId399" Type="http://schemas.openxmlformats.org/officeDocument/2006/relationships/hyperlink" Target="http://360strategy.co.uk" TargetMode="External"/><Relationship Id="rId156" Type="http://schemas.openxmlformats.org/officeDocument/2006/relationships/hyperlink" Target="http://sourceforge.net" TargetMode="External"/><Relationship Id="rId277" Type="http://schemas.openxmlformats.org/officeDocument/2006/relationships/hyperlink" Target="http://geointelligence.co.uk" TargetMode="External"/><Relationship Id="rId398" Type="http://schemas.openxmlformats.org/officeDocument/2006/relationships/hyperlink" Target="http://2pointagency.com" TargetMode="External"/><Relationship Id="rId155" Type="http://schemas.openxmlformats.org/officeDocument/2006/relationships/hyperlink" Target="http://giraffesocialmedia.co.uk" TargetMode="External"/><Relationship Id="rId276" Type="http://schemas.openxmlformats.org/officeDocument/2006/relationships/hyperlink" Target="http://flyingvgroup.com" TargetMode="External"/><Relationship Id="rId397" Type="http://schemas.openxmlformats.org/officeDocument/2006/relationships/hyperlink" Target="http://20northmarketing.com" TargetMode="External"/><Relationship Id="rId40" Type="http://schemas.openxmlformats.org/officeDocument/2006/relationships/hyperlink" Target="http://domisearch.com" TargetMode="External"/><Relationship Id="rId42" Type="http://schemas.openxmlformats.org/officeDocument/2006/relationships/hyperlink" Target="http://nautilusmarketing.co.uk" TargetMode="External"/><Relationship Id="rId41" Type="http://schemas.openxmlformats.org/officeDocument/2006/relationships/hyperlink" Target="http://goodfirms.co" TargetMode="External"/><Relationship Id="rId44" Type="http://schemas.openxmlformats.org/officeDocument/2006/relationships/hyperlink" Target="http://firstmotion.com" TargetMode="External"/><Relationship Id="rId43" Type="http://schemas.openxmlformats.org/officeDocument/2006/relationships/hyperlink" Target="http://bluearray.co.uk" TargetMode="External"/><Relationship Id="rId46" Type="http://schemas.openxmlformats.org/officeDocument/2006/relationships/hyperlink" Target="http://consultico.co.uk" TargetMode="External"/><Relationship Id="rId45" Type="http://schemas.openxmlformats.org/officeDocument/2006/relationships/hyperlink" Target="http://grizzle.io" TargetMode="External"/><Relationship Id="rId509" Type="http://schemas.openxmlformats.org/officeDocument/2006/relationships/hyperlink" Target="http://fibbler.co" TargetMode="External"/><Relationship Id="rId508" Type="http://schemas.openxmlformats.org/officeDocument/2006/relationships/hyperlink" Target="http://f6s.com" TargetMode="External"/><Relationship Id="rId629" Type="http://schemas.openxmlformats.org/officeDocument/2006/relationships/hyperlink" Target="http://searchable.com" TargetMode="External"/><Relationship Id="rId503" Type="http://schemas.openxmlformats.org/officeDocument/2006/relationships/hyperlink" Target="http://enzuzo.com" TargetMode="External"/><Relationship Id="rId624" Type="http://schemas.openxmlformats.org/officeDocument/2006/relationships/hyperlink" Target="http://rockerbox.com" TargetMode="External"/><Relationship Id="rId502" Type="http://schemas.openxmlformats.org/officeDocument/2006/relationships/hyperlink" Target="http://enrichlabs.ai" TargetMode="External"/><Relationship Id="rId623" Type="http://schemas.openxmlformats.org/officeDocument/2006/relationships/hyperlink" Target="http://rightsideup.com" TargetMode="External"/><Relationship Id="rId501" Type="http://schemas.openxmlformats.org/officeDocument/2006/relationships/hyperlink" Target="http://emarketer.com" TargetMode="External"/><Relationship Id="rId622" Type="http://schemas.openxmlformats.org/officeDocument/2006/relationships/hyperlink" Target="http://reverbico.com" TargetMode="External"/><Relationship Id="rId500" Type="http://schemas.openxmlformats.org/officeDocument/2006/relationships/hyperlink" Target="http://ekcs.co" TargetMode="External"/><Relationship Id="rId621" Type="http://schemas.openxmlformats.org/officeDocument/2006/relationships/hyperlink" Target="http://respona.com" TargetMode="External"/><Relationship Id="rId507" Type="http://schemas.openxmlformats.org/officeDocument/2006/relationships/hyperlink" Target="http://extraordinaryengagement.co.uk" TargetMode="External"/><Relationship Id="rId628" Type="http://schemas.openxmlformats.org/officeDocument/2006/relationships/hyperlink" Target="http://scalixai.com" TargetMode="External"/><Relationship Id="rId506" Type="http://schemas.openxmlformats.org/officeDocument/2006/relationships/hyperlink" Target="http://extradigital.co.uk" TargetMode="External"/><Relationship Id="rId627" Type="http://schemas.openxmlformats.org/officeDocument/2006/relationships/hyperlink" Target="http://scalewithfuture.com" TargetMode="External"/><Relationship Id="rId505" Type="http://schemas.openxmlformats.org/officeDocument/2006/relationships/hyperlink" Target="http://exposureninja.com" TargetMode="External"/><Relationship Id="rId626" Type="http://schemas.openxmlformats.org/officeDocument/2006/relationships/hyperlink" Target="http://scaleforte.co.uk" TargetMode="External"/><Relationship Id="rId504" Type="http://schemas.openxmlformats.org/officeDocument/2006/relationships/hyperlink" Target="http://exchangewire.com" TargetMode="External"/><Relationship Id="rId625" Type="http://schemas.openxmlformats.org/officeDocument/2006/relationships/hyperlink" Target="http://saleshive.com" TargetMode="External"/><Relationship Id="rId48" Type="http://schemas.openxmlformats.org/officeDocument/2006/relationships/hyperlink" Target="http://sellforte.com" TargetMode="External"/><Relationship Id="rId47" Type="http://schemas.openxmlformats.org/officeDocument/2006/relationships/hyperlink" Target="http://dentsu.com" TargetMode="External"/><Relationship Id="rId49" Type="http://schemas.openxmlformats.org/officeDocument/2006/relationships/hyperlink" Target="http://marketingagencyindex.com" TargetMode="External"/><Relationship Id="rId620" Type="http://schemas.openxmlformats.org/officeDocument/2006/relationships/hyperlink" Target="http://reply.io" TargetMode="External"/><Relationship Id="rId31" Type="http://schemas.openxmlformats.org/officeDocument/2006/relationships/hyperlink" Target="http://directiveconsulting.com" TargetMode="External"/><Relationship Id="rId30" Type="http://schemas.openxmlformats.org/officeDocument/2006/relationships/hyperlink" Target="http://inbeat.co" TargetMode="External"/><Relationship Id="rId33" Type="http://schemas.openxmlformats.org/officeDocument/2006/relationships/hyperlink" Target="http://havasmarket.co.uk" TargetMode="External"/><Relationship Id="rId32" Type="http://schemas.openxmlformats.org/officeDocument/2006/relationships/hyperlink" Target="http://geniecrawl.com" TargetMode="External"/><Relationship Id="rId35" Type="http://schemas.openxmlformats.org/officeDocument/2006/relationships/hyperlink" Target="http://seocompare.co.uk" TargetMode="External"/><Relationship Id="rId34" Type="http://schemas.openxmlformats.org/officeDocument/2006/relationships/hyperlink" Target="http://digitallitmus.com" TargetMode="External"/><Relationship Id="rId619" Type="http://schemas.openxmlformats.org/officeDocument/2006/relationships/hyperlink" Target="http://repindia.com" TargetMode="External"/><Relationship Id="rId618" Type="http://schemas.openxmlformats.org/officeDocument/2006/relationships/hyperlink" Target="http://reflectdigital.co.uk" TargetMode="External"/><Relationship Id="rId613" Type="http://schemas.openxmlformats.org/officeDocument/2006/relationships/hyperlink" Target="http://publicisgroupeuk.com" TargetMode="External"/><Relationship Id="rId612" Type="http://schemas.openxmlformats.org/officeDocument/2006/relationships/hyperlink" Target="http://promoguy.nl" TargetMode="External"/><Relationship Id="rId611" Type="http://schemas.openxmlformats.org/officeDocument/2006/relationships/hyperlink" Target="http://promodo.com" TargetMode="External"/><Relationship Id="rId610" Type="http://schemas.openxmlformats.org/officeDocument/2006/relationships/hyperlink" Target="http://prolificnorth.co.uk" TargetMode="External"/><Relationship Id="rId617" Type="http://schemas.openxmlformats.org/officeDocument/2006/relationships/hyperlink" Target="http://redcowmedia.co.uk" TargetMode="External"/><Relationship Id="rId616" Type="http://schemas.openxmlformats.org/officeDocument/2006/relationships/hyperlink" Target="http://radyant.io" TargetMode="External"/><Relationship Id="rId615" Type="http://schemas.openxmlformats.org/officeDocument/2006/relationships/hyperlink" Target="http://raddinteractive.com" TargetMode="External"/><Relationship Id="rId614" Type="http://schemas.openxmlformats.org/officeDocument/2006/relationships/hyperlink" Target="http://q5partners.com" TargetMode="External"/><Relationship Id="rId37" Type="http://schemas.openxmlformats.org/officeDocument/2006/relationships/hyperlink" Target="http://sunnypatel.co.uk" TargetMode="External"/><Relationship Id="rId36" Type="http://schemas.openxmlformats.org/officeDocument/2006/relationships/hyperlink" Target="http://localiq.co.uk" TargetMode="External"/><Relationship Id="rId39" Type="http://schemas.openxmlformats.org/officeDocument/2006/relationships/hyperlink" Target="http://webtonic.io" TargetMode="External"/><Relationship Id="rId38" Type="http://schemas.openxmlformats.org/officeDocument/2006/relationships/hyperlink" Target="http://digital-landscope.com" TargetMode="External"/><Relationship Id="rId20" Type="http://schemas.openxmlformats.org/officeDocument/2006/relationships/hyperlink" Target="http://dontpaniclondon.com" TargetMode="External"/><Relationship Id="rId22" Type="http://schemas.openxmlformats.org/officeDocument/2006/relationships/hyperlink" Target="http://whitehat-seo.co.uk" TargetMode="External"/><Relationship Id="rId21" Type="http://schemas.openxmlformats.org/officeDocument/2006/relationships/hyperlink" Target="http://thatware.co" TargetMode="External"/><Relationship Id="rId24" Type="http://schemas.openxmlformats.org/officeDocument/2006/relationships/hyperlink" Target="http://charle.co.uk" TargetMode="External"/><Relationship Id="rId23" Type="http://schemas.openxmlformats.org/officeDocument/2006/relationships/hyperlink" Target="http://wearehumaine.com" TargetMode="External"/><Relationship Id="rId409" Type="http://schemas.openxmlformats.org/officeDocument/2006/relationships/hyperlink" Target="http://aeoengine.ai" TargetMode="External"/><Relationship Id="rId404" Type="http://schemas.openxmlformats.org/officeDocument/2006/relationships/hyperlink" Target="http://advance-adtech.com" TargetMode="External"/><Relationship Id="rId525" Type="http://schemas.openxmlformats.org/officeDocument/2006/relationships/hyperlink" Target="http://gigawattgroup.com" TargetMode="External"/><Relationship Id="rId646" Type="http://schemas.openxmlformats.org/officeDocument/2006/relationships/hyperlink" Target="http://stackadapt.com" TargetMode="External"/><Relationship Id="rId403" Type="http://schemas.openxmlformats.org/officeDocument/2006/relationships/hyperlink" Target="http://adstellar.ai" TargetMode="External"/><Relationship Id="rId524" Type="http://schemas.openxmlformats.org/officeDocument/2006/relationships/hyperlink" Target="http://giantleapdigital.co.uk" TargetMode="External"/><Relationship Id="rId645" Type="http://schemas.openxmlformats.org/officeDocument/2006/relationships/hyperlink" Target="http://sqdigital.co.uk" TargetMode="External"/><Relationship Id="rId402" Type="http://schemas.openxmlformats.org/officeDocument/2006/relationships/hyperlink" Target="http://adobe.com" TargetMode="External"/><Relationship Id="rId523" Type="http://schemas.openxmlformats.org/officeDocument/2006/relationships/hyperlink" Target="http://get-found.co.uk" TargetMode="External"/><Relationship Id="rId644" Type="http://schemas.openxmlformats.org/officeDocument/2006/relationships/hyperlink" Target="http://spotlightgb.co" TargetMode="External"/><Relationship Id="rId401" Type="http://schemas.openxmlformats.org/officeDocument/2006/relationships/hyperlink" Target="http://ada-digital.co.uk" TargetMode="External"/><Relationship Id="rId522" Type="http://schemas.openxmlformats.org/officeDocument/2006/relationships/hyperlink" Target="http://gen-optima.com" TargetMode="External"/><Relationship Id="rId643" Type="http://schemas.openxmlformats.org/officeDocument/2006/relationships/hyperlink" Target="http://spaceandtime.co.uk" TargetMode="External"/><Relationship Id="rId408" Type="http://schemas.openxmlformats.org/officeDocument/2006/relationships/hyperlink" Target="http://aeo-rex.com" TargetMode="External"/><Relationship Id="rId529" Type="http://schemas.openxmlformats.org/officeDocument/2006/relationships/hyperlink" Target="http://growth-rocket.com" TargetMode="External"/><Relationship Id="rId407" Type="http://schemas.openxmlformats.org/officeDocument/2006/relationships/hyperlink" Target="http://adzooma.com" TargetMode="External"/><Relationship Id="rId528" Type="http://schemas.openxmlformats.org/officeDocument/2006/relationships/hyperlink" Target="http://goup.co.uk" TargetMode="External"/><Relationship Id="rId649" Type="http://schemas.openxmlformats.org/officeDocument/2006/relationships/hyperlink" Target="http://susodigital.com" TargetMode="External"/><Relationship Id="rId406" Type="http://schemas.openxmlformats.org/officeDocument/2006/relationships/hyperlink" Target="http://advanttechnology.com" TargetMode="External"/><Relationship Id="rId527" Type="http://schemas.openxmlformats.org/officeDocument/2006/relationships/hyperlink" Target="http://gohighlevel.com" TargetMode="External"/><Relationship Id="rId648" Type="http://schemas.openxmlformats.org/officeDocument/2006/relationships/hyperlink" Target="http://sugarnova.com" TargetMode="External"/><Relationship Id="rId405" Type="http://schemas.openxmlformats.org/officeDocument/2006/relationships/hyperlink" Target="http://advanced-television.com" TargetMode="External"/><Relationship Id="rId526" Type="http://schemas.openxmlformats.org/officeDocument/2006/relationships/hyperlink" Target="http://ginitalent.com" TargetMode="External"/><Relationship Id="rId647" Type="http://schemas.openxmlformats.org/officeDocument/2006/relationships/hyperlink" Target="http://starfishco.com" TargetMode="External"/><Relationship Id="rId26" Type="http://schemas.openxmlformats.org/officeDocument/2006/relationships/hyperlink" Target="http://wearetenet.com" TargetMode="External"/><Relationship Id="rId25" Type="http://schemas.openxmlformats.org/officeDocument/2006/relationships/hyperlink" Target="http://nogood.io" TargetMode="External"/><Relationship Id="rId28" Type="http://schemas.openxmlformats.org/officeDocument/2006/relationships/hyperlink" Target="http://cometly.com" TargetMode="External"/><Relationship Id="rId27" Type="http://schemas.openxmlformats.org/officeDocument/2006/relationships/hyperlink" Target="http://disruptmarketing.co" TargetMode="External"/><Relationship Id="rId400" Type="http://schemas.openxmlformats.org/officeDocument/2006/relationships/hyperlink" Target="http://aatechlab.co.uk" TargetMode="External"/><Relationship Id="rId521" Type="http://schemas.openxmlformats.org/officeDocument/2006/relationships/hyperlink" Target="http://gaintheory.com" TargetMode="External"/><Relationship Id="rId642" Type="http://schemas.openxmlformats.org/officeDocument/2006/relationships/hyperlink" Target="http://sogolytics.com" TargetMode="External"/><Relationship Id="rId29" Type="http://schemas.openxmlformats.org/officeDocument/2006/relationships/hyperlink" Target="http://superhub.biz" TargetMode="External"/><Relationship Id="rId520" Type="http://schemas.openxmlformats.org/officeDocument/2006/relationships/hyperlink" Target="http://futuresupply.io" TargetMode="External"/><Relationship Id="rId641" Type="http://schemas.openxmlformats.org/officeDocument/2006/relationships/hyperlink" Target="http://softwareadvice.co.uk" TargetMode="External"/><Relationship Id="rId640" Type="http://schemas.openxmlformats.org/officeDocument/2006/relationships/hyperlink" Target="http://slateandmortar.com" TargetMode="External"/><Relationship Id="rId11" Type="http://schemas.openxmlformats.org/officeDocument/2006/relationships/hyperlink" Target="http://tilio.co.uk" TargetMode="External"/><Relationship Id="rId10" Type="http://schemas.openxmlformats.org/officeDocument/2006/relationships/hyperlink" Target="http://thesocialshepherd.com" TargetMode="External"/><Relationship Id="rId13" Type="http://schemas.openxmlformats.org/officeDocument/2006/relationships/hyperlink" Target="http://rank4ai.co.uk" TargetMode="External"/><Relationship Id="rId12" Type="http://schemas.openxmlformats.org/officeDocument/2006/relationships/hyperlink" Target="http://vxtx.co.uk" TargetMode="External"/><Relationship Id="rId519" Type="http://schemas.openxmlformats.org/officeDocument/2006/relationships/hyperlink" Target="http://fueler.io" TargetMode="External"/><Relationship Id="rId514" Type="http://schemas.openxmlformats.org/officeDocument/2006/relationships/hyperlink" Target="http://forlinux.co.uk" TargetMode="External"/><Relationship Id="rId635" Type="http://schemas.openxmlformats.org/officeDocument/2006/relationships/hyperlink" Target="http://sevenatoms.com" TargetMode="External"/><Relationship Id="rId513" Type="http://schemas.openxmlformats.org/officeDocument/2006/relationships/hyperlink" Target="http://fntmanagement.com" TargetMode="External"/><Relationship Id="rId634" Type="http://schemas.openxmlformats.org/officeDocument/2006/relationships/hyperlink" Target="http://seoworks.co.uk" TargetMode="External"/><Relationship Id="rId512" Type="http://schemas.openxmlformats.org/officeDocument/2006/relationships/hyperlink" Target="http://finnpartners.com" TargetMode="External"/><Relationship Id="rId633" Type="http://schemas.openxmlformats.org/officeDocument/2006/relationships/hyperlink" Target="http://seo-ranks.co.uk" TargetMode="External"/><Relationship Id="rId511" Type="http://schemas.openxmlformats.org/officeDocument/2006/relationships/hyperlink" Target="http://fifty-five.com" TargetMode="External"/><Relationship Id="rId632" Type="http://schemas.openxmlformats.org/officeDocument/2006/relationships/hyperlink" Target="http://seo-london.com" TargetMode="External"/><Relationship Id="rId518" Type="http://schemas.openxmlformats.org/officeDocument/2006/relationships/hyperlink" Target="http://frontier15.com" TargetMode="External"/><Relationship Id="rId639" Type="http://schemas.openxmlformats.org/officeDocument/2006/relationships/hyperlink" Target="http://singleframe.co.uk" TargetMode="External"/><Relationship Id="rId517" Type="http://schemas.openxmlformats.org/officeDocument/2006/relationships/hyperlink" Target="http://freshegg.co.uk" TargetMode="External"/><Relationship Id="rId638" Type="http://schemas.openxmlformats.org/officeDocument/2006/relationships/hyperlink" Target="http://signaldepth.com" TargetMode="External"/><Relationship Id="rId516" Type="http://schemas.openxmlformats.org/officeDocument/2006/relationships/hyperlink" Target="http://foundersworkshop.com" TargetMode="External"/><Relationship Id="rId637" Type="http://schemas.openxmlformats.org/officeDocument/2006/relationships/hyperlink" Target="http://siegemedia.com" TargetMode="External"/><Relationship Id="rId515" Type="http://schemas.openxmlformats.org/officeDocument/2006/relationships/hyperlink" Target="http://fortismedia.com" TargetMode="External"/><Relationship Id="rId636" Type="http://schemas.openxmlformats.org/officeDocument/2006/relationships/hyperlink" Target="http://shopify.com" TargetMode="External"/><Relationship Id="rId15" Type="http://schemas.openxmlformats.org/officeDocument/2006/relationships/hyperlink" Target="http://influencer-hero.com" TargetMode="External"/><Relationship Id="rId14" Type="http://schemas.openxmlformats.org/officeDocument/2006/relationships/hyperlink" Target="http://reddit.com" TargetMode="External"/><Relationship Id="rId17" Type="http://schemas.openxmlformats.org/officeDocument/2006/relationships/hyperlink" Target="http://google.com" TargetMode="External"/><Relationship Id="rId16" Type="http://schemas.openxmlformats.org/officeDocument/2006/relationships/hyperlink" Target="http://koozai.com" TargetMode="External"/><Relationship Id="rId19" Type="http://schemas.openxmlformats.org/officeDocument/2006/relationships/hyperlink" Target="http://measured.com" TargetMode="External"/><Relationship Id="rId510" Type="http://schemas.openxmlformats.org/officeDocument/2006/relationships/hyperlink" Target="http://fibr.ai" TargetMode="External"/><Relationship Id="rId631" Type="http://schemas.openxmlformats.org/officeDocument/2006/relationships/hyperlink" Target="http://semfirms.com" TargetMode="External"/><Relationship Id="rId18" Type="http://schemas.openxmlformats.org/officeDocument/2006/relationships/hyperlink" Target="http://designrush.com" TargetMode="External"/><Relationship Id="rId630" Type="http://schemas.openxmlformats.org/officeDocument/2006/relationships/hyperlink" Target="http://searchbloom.com" TargetMode="External"/><Relationship Id="rId84" Type="http://schemas.openxmlformats.org/officeDocument/2006/relationships/hyperlink" Target="http://thedrum.com" TargetMode="External"/><Relationship Id="rId83" Type="http://schemas.openxmlformats.org/officeDocument/2006/relationships/hyperlink" Target="http://neuraladx.com" TargetMode="External"/><Relationship Id="rId86" Type="http://schemas.openxmlformats.org/officeDocument/2006/relationships/hyperlink" Target="http://overdrivedigital.co.uk" TargetMode="External"/><Relationship Id="rId85" Type="http://schemas.openxmlformats.org/officeDocument/2006/relationships/hyperlink" Target="http://leverdigital.co.uk" TargetMode="External"/><Relationship Id="rId88" Type="http://schemas.openxmlformats.org/officeDocument/2006/relationships/hyperlink" Target="http://topseobrands.com" TargetMode="External"/><Relationship Id="rId87" Type="http://schemas.openxmlformats.org/officeDocument/2006/relationships/hyperlink" Target="http://okapiandco.co.uk" TargetMode="External"/><Relationship Id="rId89" Type="http://schemas.openxmlformats.org/officeDocument/2006/relationships/hyperlink" Target="http://panovistamarketing.com" TargetMode="External"/><Relationship Id="rId709" Type="http://schemas.openxmlformats.org/officeDocument/2006/relationships/hyperlink" Target="http://xanthosdigital.com" TargetMode="External"/><Relationship Id="rId708" Type="http://schemas.openxmlformats.org/officeDocument/2006/relationships/hyperlink" Target="http://workmagic.io" TargetMode="External"/><Relationship Id="rId707" Type="http://schemas.openxmlformats.org/officeDocument/2006/relationships/hyperlink" Target="http://workingmedia.com" TargetMode="External"/><Relationship Id="rId706" Type="http://schemas.openxmlformats.org/officeDocument/2006/relationships/hyperlink" Target="http://wifitalents.com" TargetMode="External"/><Relationship Id="rId80" Type="http://schemas.openxmlformats.org/officeDocument/2006/relationships/hyperlink" Target="http://edisonmoment.com" TargetMode="External"/><Relationship Id="rId82" Type="http://schemas.openxmlformats.org/officeDocument/2006/relationships/hyperlink" Target="http://thedigitalmaze.com" TargetMode="External"/><Relationship Id="rId81" Type="http://schemas.openxmlformats.org/officeDocument/2006/relationships/hyperlink" Target="http://linkedin.com" TargetMode="External"/><Relationship Id="rId701" Type="http://schemas.openxmlformats.org/officeDocument/2006/relationships/hyperlink" Target="http://webdesignreviews.co.uk" TargetMode="External"/><Relationship Id="rId700" Type="http://schemas.openxmlformats.org/officeDocument/2006/relationships/hyperlink" Target="http://web-in-a-click.com" TargetMode="External"/><Relationship Id="rId705" Type="http://schemas.openxmlformats.org/officeDocument/2006/relationships/hyperlink" Target="http://whito.co.uk" TargetMode="External"/><Relationship Id="rId704" Type="http://schemas.openxmlformats.org/officeDocument/2006/relationships/hyperlink" Target="http://wested.org" TargetMode="External"/><Relationship Id="rId703" Type="http://schemas.openxmlformats.org/officeDocument/2006/relationships/hyperlink" Target="http://welcometothejungle.com" TargetMode="External"/><Relationship Id="rId702" Type="http://schemas.openxmlformats.org/officeDocument/2006/relationships/hyperlink" Target="http://webfx.com" TargetMode="External"/><Relationship Id="rId73" Type="http://schemas.openxmlformats.org/officeDocument/2006/relationships/hyperlink" Target="http://techradar.com" TargetMode="External"/><Relationship Id="rId72" Type="http://schemas.openxmlformats.org/officeDocument/2006/relationships/hyperlink" Target="http://sbc-performance.com" TargetMode="External"/><Relationship Id="rId75" Type="http://schemas.openxmlformats.org/officeDocument/2006/relationships/hyperlink" Target="http://sortlist.com" TargetMode="External"/><Relationship Id="rId74" Type="http://schemas.openxmlformats.org/officeDocument/2006/relationships/hyperlink" Target="http://helium42.com" TargetMode="External"/><Relationship Id="rId77" Type="http://schemas.openxmlformats.org/officeDocument/2006/relationships/hyperlink" Target="http://slashdot.org" TargetMode="External"/><Relationship Id="rId76" Type="http://schemas.openxmlformats.org/officeDocument/2006/relationships/hyperlink" Target="http://aargroup.co.uk" TargetMode="External"/><Relationship Id="rId79" Type="http://schemas.openxmlformats.org/officeDocument/2006/relationships/hyperlink" Target="http://lengreo.com" TargetMode="External"/><Relationship Id="rId78" Type="http://schemas.openxmlformats.org/officeDocument/2006/relationships/hyperlink" Target="http://wearesocial.com" TargetMode="External"/><Relationship Id="rId71" Type="http://schemas.openxmlformats.org/officeDocument/2006/relationships/hyperlink" Target="http://blazonagency.com" TargetMode="External"/><Relationship Id="rId70" Type="http://schemas.openxmlformats.org/officeDocument/2006/relationships/hyperlink" Target="http://digitalreference.co" TargetMode="External"/><Relationship Id="rId62" Type="http://schemas.openxmlformats.org/officeDocument/2006/relationships/hyperlink" Target="http://brandspeak.co.uk" TargetMode="External"/><Relationship Id="rId61" Type="http://schemas.openxmlformats.org/officeDocument/2006/relationships/hyperlink" Target="http://eseospace.com" TargetMode="External"/><Relationship Id="rId64" Type="http://schemas.openxmlformats.org/officeDocument/2006/relationships/hyperlink" Target="http://withgoogle.com" TargetMode="External"/><Relationship Id="rId63" Type="http://schemas.openxmlformats.org/officeDocument/2006/relationships/hyperlink" Target="http://51d.co" TargetMode="External"/><Relationship Id="rId66" Type="http://schemas.openxmlformats.org/officeDocument/2006/relationships/hyperlink" Target="http://propeller.co.uk" TargetMode="External"/><Relationship Id="rId65" Type="http://schemas.openxmlformats.org/officeDocument/2006/relationships/hyperlink" Target="http://charleagency.com" TargetMode="External"/><Relationship Id="rId68" Type="http://schemas.openxmlformats.org/officeDocument/2006/relationships/hyperlink" Target="http://ppcgeeks.co.uk" TargetMode="External"/><Relationship Id="rId67" Type="http://schemas.openxmlformats.org/officeDocument/2006/relationships/hyperlink" Target="http://margen.net" TargetMode="External"/><Relationship Id="rId609" Type="http://schemas.openxmlformats.org/officeDocument/2006/relationships/hyperlink" Target="http://pressat.co.uk" TargetMode="External"/><Relationship Id="rId608" Type="http://schemas.openxmlformats.org/officeDocument/2006/relationships/hyperlink" Target="http://presenc.ai" TargetMode="External"/><Relationship Id="rId607" Type="http://schemas.openxmlformats.org/officeDocument/2006/relationships/hyperlink" Target="http://prescientai.com" TargetMode="External"/><Relationship Id="rId60" Type="http://schemas.openxmlformats.org/officeDocument/2006/relationships/hyperlink" Target="http://purealanalytics.co.uk" TargetMode="External"/><Relationship Id="rId602" Type="http://schemas.openxmlformats.org/officeDocument/2006/relationships/hyperlink" Target="http://performancemarketingadvisors.com" TargetMode="External"/><Relationship Id="rId601" Type="http://schemas.openxmlformats.org/officeDocument/2006/relationships/hyperlink" Target="http://penji.co" TargetMode="External"/><Relationship Id="rId600" Type="http://schemas.openxmlformats.org/officeDocument/2006/relationships/hyperlink" Target="http://pearllemonleads.com" TargetMode="External"/><Relationship Id="rId606" Type="http://schemas.openxmlformats.org/officeDocument/2006/relationships/hyperlink" Target="http://ppckingdom.com" TargetMode="External"/><Relationship Id="rId605" Type="http://schemas.openxmlformats.org/officeDocument/2006/relationships/hyperlink" Target="http://pitchsite.io" TargetMode="External"/><Relationship Id="rId604" Type="http://schemas.openxmlformats.org/officeDocument/2006/relationships/hyperlink" Target="http://pitchkitchen.com" TargetMode="External"/><Relationship Id="rId603" Type="http://schemas.openxmlformats.org/officeDocument/2006/relationships/hyperlink" Target="http://pgammedia.com" TargetMode="External"/><Relationship Id="rId69" Type="http://schemas.openxmlformats.org/officeDocument/2006/relationships/hyperlink" Target="http://askattest.com" TargetMode="External"/><Relationship Id="rId51" Type="http://schemas.openxmlformats.org/officeDocument/2006/relationships/hyperlink" Target="http://ensun.io" TargetMode="External"/><Relationship Id="rId50" Type="http://schemas.openxmlformats.org/officeDocument/2006/relationships/hyperlink" Target="http://seoworks.com" TargetMode="External"/><Relationship Id="rId53" Type="http://schemas.openxmlformats.org/officeDocument/2006/relationships/hyperlink" Target="http://aeoagency.co.uk" TargetMode="External"/><Relationship Id="rId52" Type="http://schemas.openxmlformats.org/officeDocument/2006/relationships/hyperlink" Target="http://triplewhale.com" TargetMode="External"/><Relationship Id="rId55" Type="http://schemas.openxmlformats.org/officeDocument/2006/relationships/hyperlink" Target="http://impressiondigital.com" TargetMode="External"/><Relationship Id="rId54" Type="http://schemas.openxmlformats.org/officeDocument/2006/relationships/hyperlink" Target="http://techbehemoths.com" TargetMode="External"/><Relationship Id="rId57" Type="http://schemas.openxmlformats.org/officeDocument/2006/relationships/hyperlink" Target="http://segmentstream.com" TargetMode="External"/><Relationship Id="rId56" Type="http://schemas.openxmlformats.org/officeDocument/2006/relationships/hyperlink" Target="http://wildishandco.co.uk" TargetMode="External"/><Relationship Id="rId717" Type="http://schemas.openxmlformats.org/officeDocument/2006/relationships/drawing" Target="../drawings/drawing1.xml"/><Relationship Id="rId712" Type="http://schemas.openxmlformats.org/officeDocument/2006/relationships/hyperlink" Target="http://yesoptimist.com" TargetMode="External"/><Relationship Id="rId711" Type="http://schemas.openxmlformats.org/officeDocument/2006/relationships/hyperlink" Target="http://yell.com" TargetMode="External"/><Relationship Id="rId710" Type="http://schemas.openxmlformats.org/officeDocument/2006/relationships/hyperlink" Target="http://xo3d.co.uk" TargetMode="External"/><Relationship Id="rId716" Type="http://schemas.openxmlformats.org/officeDocument/2006/relationships/hyperlink" Target="http://zyppy.com" TargetMode="External"/><Relationship Id="rId715" Type="http://schemas.openxmlformats.org/officeDocument/2006/relationships/hyperlink" Target="http://zoominfo.com" TargetMode="External"/><Relationship Id="rId714" Type="http://schemas.openxmlformats.org/officeDocument/2006/relationships/hyperlink" Target="http://zetaglobal.com" TargetMode="External"/><Relationship Id="rId713" Type="http://schemas.openxmlformats.org/officeDocument/2006/relationships/hyperlink" Target="http://zealcreative.com" TargetMode="External"/><Relationship Id="rId59" Type="http://schemas.openxmlformats.org/officeDocument/2006/relationships/hyperlink" Target="http://rebootonline.com" TargetMode="External"/><Relationship Id="rId58" Type="http://schemas.openxmlformats.org/officeDocument/2006/relationships/hyperlink" Target="http://hunterlodge.co.uk" TargetMode="External"/><Relationship Id="rId590" Type="http://schemas.openxmlformats.org/officeDocument/2006/relationships/hyperlink" Target="http://oneclub.org" TargetMode="External"/><Relationship Id="rId107" Type="http://schemas.openxmlformats.org/officeDocument/2006/relationships/hyperlink" Target="http://themanifest.com" TargetMode="External"/><Relationship Id="rId228" Type="http://schemas.openxmlformats.org/officeDocument/2006/relationships/hyperlink" Target="http://therubiconagency.com" TargetMode="External"/><Relationship Id="rId349" Type="http://schemas.openxmlformats.org/officeDocument/2006/relationships/hyperlink" Target="http://m1-project.com" TargetMode="External"/><Relationship Id="rId106" Type="http://schemas.openxmlformats.org/officeDocument/2006/relationships/hyperlink" Target="http://bird.co.uk" TargetMode="External"/><Relationship Id="rId227" Type="http://schemas.openxmlformats.org/officeDocument/2006/relationships/hyperlink" Target="http://the7stars.co.uk" TargetMode="External"/><Relationship Id="rId348" Type="http://schemas.openxmlformats.org/officeDocument/2006/relationships/hyperlink" Target="http://latentview.com" TargetMode="External"/><Relationship Id="rId469" Type="http://schemas.openxmlformats.org/officeDocument/2006/relationships/hyperlink" Target="http://clickstrike.com" TargetMode="External"/><Relationship Id="rId105" Type="http://schemas.openxmlformats.org/officeDocument/2006/relationships/hyperlink" Target="http://digitalagencyleaders.net" TargetMode="External"/><Relationship Id="rId226" Type="http://schemas.openxmlformats.org/officeDocument/2006/relationships/hyperlink" Target="http://scopicstudios.com" TargetMode="External"/><Relationship Id="rId347" Type="http://schemas.openxmlformats.org/officeDocument/2006/relationships/hyperlink" Target="http://kpmg.com" TargetMode="External"/><Relationship Id="rId468" Type="http://schemas.openxmlformats.org/officeDocument/2006/relationships/hyperlink" Target="http://clickmarketing.co.uk" TargetMode="External"/><Relationship Id="rId589" Type="http://schemas.openxmlformats.org/officeDocument/2006/relationships/hyperlink" Target="http://omnicommedia.com" TargetMode="External"/><Relationship Id="rId104" Type="http://schemas.openxmlformats.org/officeDocument/2006/relationships/hyperlink" Target="http://clicksgeek.com" TargetMode="External"/><Relationship Id="rId225" Type="http://schemas.openxmlformats.org/officeDocument/2006/relationships/hyperlink" Target="http://richclicks.co.uk" TargetMode="External"/><Relationship Id="rId346" Type="http://schemas.openxmlformats.org/officeDocument/2006/relationships/hyperlink" Target="http://itpro.com" TargetMode="External"/><Relationship Id="rId467" Type="http://schemas.openxmlformats.org/officeDocument/2006/relationships/hyperlink" Target="http://circusppc.com" TargetMode="External"/><Relationship Id="rId588" Type="http://schemas.openxmlformats.org/officeDocument/2006/relationships/hyperlink" Target="http://omnibound.ai" TargetMode="External"/><Relationship Id="rId109" Type="http://schemas.openxmlformats.org/officeDocument/2006/relationships/hyperlink" Target="http://accuracast.com" TargetMode="External"/><Relationship Id="rId108" Type="http://schemas.openxmlformats.org/officeDocument/2006/relationships/hyperlink" Target="http://a-listware.com" TargetMode="External"/><Relationship Id="rId229" Type="http://schemas.openxmlformats.org/officeDocument/2006/relationships/hyperlink" Target="http://ukpaidmediaawards.co.uk" TargetMode="External"/><Relationship Id="rId220" Type="http://schemas.openxmlformats.org/officeDocument/2006/relationships/hyperlink" Target="http://kometadvisory.com" TargetMode="External"/><Relationship Id="rId341" Type="http://schemas.openxmlformats.org/officeDocument/2006/relationships/hyperlink" Target="http://improvado.io" TargetMode="External"/><Relationship Id="rId462" Type="http://schemas.openxmlformats.org/officeDocument/2006/relationships/hyperlink" Target="http://ceek.co.uk" TargetMode="External"/><Relationship Id="rId583" Type="http://schemas.openxmlformats.org/officeDocument/2006/relationships/hyperlink" Target="http://oaknorth.co.uk" TargetMode="External"/><Relationship Id="rId340" Type="http://schemas.openxmlformats.org/officeDocument/2006/relationships/hyperlink" Target="http://ikigai.je" TargetMode="External"/><Relationship Id="rId461" Type="http://schemas.openxmlformats.org/officeDocument/2006/relationships/hyperlink" Target="http://cdp.com" TargetMode="External"/><Relationship Id="rId582" Type="http://schemas.openxmlformats.org/officeDocument/2006/relationships/hyperlink" Target="http://noirandblanco.com" TargetMode="External"/><Relationship Id="rId460" Type="http://schemas.openxmlformats.org/officeDocument/2006/relationships/hyperlink" Target="http://cbinsights.com" TargetMode="External"/><Relationship Id="rId581" Type="http://schemas.openxmlformats.org/officeDocument/2006/relationships/hyperlink" Target="http://niracore.com" TargetMode="External"/><Relationship Id="rId580" Type="http://schemas.openxmlformats.org/officeDocument/2006/relationships/hyperlink" Target="http://nikaconsulting.co.nz" TargetMode="External"/><Relationship Id="rId103" Type="http://schemas.openxmlformats.org/officeDocument/2006/relationships/hyperlink" Target="http://50pros.com" TargetMode="External"/><Relationship Id="rId224" Type="http://schemas.openxmlformats.org/officeDocument/2006/relationships/hyperlink" Target="http://nutshell.com" TargetMode="External"/><Relationship Id="rId345" Type="http://schemas.openxmlformats.org/officeDocument/2006/relationships/hyperlink" Target="http://ink-digital.co.uk" TargetMode="External"/><Relationship Id="rId466" Type="http://schemas.openxmlformats.org/officeDocument/2006/relationships/hyperlink" Target="http://cigen.io" TargetMode="External"/><Relationship Id="rId587" Type="http://schemas.openxmlformats.org/officeDocument/2006/relationships/hyperlink" Target="http://ogilvy.com" TargetMode="External"/><Relationship Id="rId102" Type="http://schemas.openxmlformats.org/officeDocument/2006/relationships/hyperlink" Target="http://adbeacon.com" TargetMode="External"/><Relationship Id="rId223" Type="http://schemas.openxmlformats.org/officeDocument/2006/relationships/hyperlink" Target="http://modernmarketingpartners.com" TargetMode="External"/><Relationship Id="rId344" Type="http://schemas.openxmlformats.org/officeDocument/2006/relationships/hyperlink" Target="http://incrmntal.com" TargetMode="External"/><Relationship Id="rId465" Type="http://schemas.openxmlformats.org/officeDocument/2006/relationships/hyperlink" Target="http://choreograph.com" TargetMode="External"/><Relationship Id="rId586" Type="http://schemas.openxmlformats.org/officeDocument/2006/relationships/hyperlink" Target="http://ofspace.co" TargetMode="External"/><Relationship Id="rId101" Type="http://schemas.openxmlformats.org/officeDocument/2006/relationships/hyperlink" Target="http://superbcompanies.com" TargetMode="External"/><Relationship Id="rId222" Type="http://schemas.openxmlformats.org/officeDocument/2006/relationships/hyperlink" Target="http://marketingattribution.com" TargetMode="External"/><Relationship Id="rId343" Type="http://schemas.openxmlformats.org/officeDocument/2006/relationships/hyperlink" Target="http://incremental.com" TargetMode="External"/><Relationship Id="rId464" Type="http://schemas.openxmlformats.org/officeDocument/2006/relationships/hyperlink" Target="http://chaosdesign.com" TargetMode="External"/><Relationship Id="rId585" Type="http://schemas.openxmlformats.org/officeDocument/2006/relationships/hyperlink" Target="http://objectiveplatform.com" TargetMode="External"/><Relationship Id="rId100" Type="http://schemas.openxmlformats.org/officeDocument/2006/relationships/hyperlink" Target="http://marketingsignals.com" TargetMode="External"/><Relationship Id="rId221" Type="http://schemas.openxmlformats.org/officeDocument/2006/relationships/hyperlink" Target="http://magnetic-london.co.uk" TargetMode="External"/><Relationship Id="rId342" Type="http://schemas.openxmlformats.org/officeDocument/2006/relationships/hyperlink" Target="http://inceptiontoaction.ai" TargetMode="External"/><Relationship Id="rId463" Type="http://schemas.openxmlformats.org/officeDocument/2006/relationships/hyperlink" Target="http://cgi.com" TargetMode="External"/><Relationship Id="rId584" Type="http://schemas.openxmlformats.org/officeDocument/2006/relationships/hyperlink" Target="http://oakpool.xyz" TargetMode="External"/><Relationship Id="rId217" Type="http://schemas.openxmlformats.org/officeDocument/2006/relationships/hyperlink" Target="http://digitalmarketingsupermarket.com" TargetMode="External"/><Relationship Id="rId338" Type="http://schemas.openxmlformats.org/officeDocument/2006/relationships/hyperlink" Target="http://havas.com" TargetMode="External"/><Relationship Id="rId459" Type="http://schemas.openxmlformats.org/officeDocument/2006/relationships/hyperlink" Target="http://causalityengine.ai" TargetMode="External"/><Relationship Id="rId216" Type="http://schemas.openxmlformats.org/officeDocument/2006/relationships/hyperlink" Target="http://creativecircle.co.uk" TargetMode="External"/><Relationship Id="rId337" Type="http://schemas.openxmlformats.org/officeDocument/2006/relationships/hyperlink" Target="http://hatchly.co.uk" TargetMode="External"/><Relationship Id="rId458" Type="http://schemas.openxmlformats.org/officeDocument/2006/relationships/hyperlink" Target="http://careerfoundry.com" TargetMode="External"/><Relationship Id="rId579" Type="http://schemas.openxmlformats.org/officeDocument/2006/relationships/hyperlink" Target="http://nexacognition.com" TargetMode="External"/><Relationship Id="rId215" Type="http://schemas.openxmlformats.org/officeDocument/2006/relationships/hyperlink" Target="http://cleandigital.co.uk" TargetMode="External"/><Relationship Id="rId336" Type="http://schemas.openxmlformats.org/officeDocument/2006/relationships/hyperlink" Target="http://groupcaliber.com" TargetMode="External"/><Relationship Id="rId457" Type="http://schemas.openxmlformats.org/officeDocument/2006/relationships/hyperlink" Target="http://businessofapps.com" TargetMode="External"/><Relationship Id="rId578" Type="http://schemas.openxmlformats.org/officeDocument/2006/relationships/hyperlink" Target="http://nealschaffer.com" TargetMode="External"/><Relationship Id="rId699" Type="http://schemas.openxmlformats.org/officeDocument/2006/relationships/hyperlink" Target="http://weareqry.com" TargetMode="External"/><Relationship Id="rId214" Type="http://schemas.openxmlformats.org/officeDocument/2006/relationships/hyperlink" Target="http://birdeye.com" TargetMode="External"/><Relationship Id="rId335" Type="http://schemas.openxmlformats.org/officeDocument/2006/relationships/hyperlink" Target="http://funnel.io" TargetMode="External"/><Relationship Id="rId456" Type="http://schemas.openxmlformats.org/officeDocument/2006/relationships/hyperlink" Target="http://builtin.com" TargetMode="External"/><Relationship Id="rId577" Type="http://schemas.openxmlformats.org/officeDocument/2006/relationships/hyperlink" Target="http://nalaber.com" TargetMode="External"/><Relationship Id="rId698" Type="http://schemas.openxmlformats.org/officeDocument/2006/relationships/hyperlink" Target="http://wearemetric.co.uk" TargetMode="External"/><Relationship Id="rId219" Type="http://schemas.openxmlformats.org/officeDocument/2006/relationships/hyperlink" Target="http://ie.edu" TargetMode="External"/><Relationship Id="rId218" Type="http://schemas.openxmlformats.org/officeDocument/2006/relationships/hyperlink" Target="http://experian.com" TargetMode="External"/><Relationship Id="rId339" Type="http://schemas.openxmlformats.org/officeDocument/2006/relationships/hyperlink" Target="http://hawkemedia.com" TargetMode="External"/><Relationship Id="rId330" Type="http://schemas.openxmlformats.org/officeDocument/2006/relationships/hyperlink" Target="http://dpom.co.uk" TargetMode="External"/><Relationship Id="rId451" Type="http://schemas.openxmlformats.org/officeDocument/2006/relationships/hyperlink" Target="http://brandnation.co.uk" TargetMode="External"/><Relationship Id="rId572" Type="http://schemas.openxmlformats.org/officeDocument/2006/relationships/hyperlink" Target="http://mitochonpixel.co.uk" TargetMode="External"/><Relationship Id="rId693" Type="http://schemas.openxmlformats.org/officeDocument/2006/relationships/hyperlink" Target="http://wagada.co.uk" TargetMode="External"/><Relationship Id="rId450" Type="http://schemas.openxmlformats.org/officeDocument/2006/relationships/hyperlink" Target="http://brandlective.com" TargetMode="External"/><Relationship Id="rId571" Type="http://schemas.openxmlformats.org/officeDocument/2006/relationships/hyperlink" Target="http://mint.ai" TargetMode="External"/><Relationship Id="rId692" Type="http://schemas.openxmlformats.org/officeDocument/2006/relationships/hyperlink" Target="http://visuosofts.com" TargetMode="External"/><Relationship Id="rId570" Type="http://schemas.openxmlformats.org/officeDocument/2006/relationships/hyperlink" Target="http://microsoft.com" TargetMode="External"/><Relationship Id="rId691" Type="http://schemas.openxmlformats.org/officeDocument/2006/relationships/hyperlink" Target="http://virayo.com" TargetMode="External"/><Relationship Id="rId690" Type="http://schemas.openxmlformats.org/officeDocument/2006/relationships/hyperlink" Target="http://vibebranding.com" TargetMode="External"/><Relationship Id="rId213" Type="http://schemas.openxmlformats.org/officeDocument/2006/relationships/hyperlink" Target="http://bigspring.co.uk" TargetMode="External"/><Relationship Id="rId334" Type="http://schemas.openxmlformats.org/officeDocument/2006/relationships/hyperlink" Target="http://forvio.com" TargetMode="External"/><Relationship Id="rId455" Type="http://schemas.openxmlformats.org/officeDocument/2006/relationships/hyperlink" Target="http://brysa.co.uk" TargetMode="External"/><Relationship Id="rId576" Type="http://schemas.openxmlformats.org/officeDocument/2006/relationships/hyperlink" Target="http://n-ix.com" TargetMode="External"/><Relationship Id="rId697" Type="http://schemas.openxmlformats.org/officeDocument/2006/relationships/hyperlink" Target="http://wearema.com" TargetMode="External"/><Relationship Id="rId212" Type="http://schemas.openxmlformats.org/officeDocument/2006/relationships/hyperlink" Target="http://bestwebdevelopers.co.uk" TargetMode="External"/><Relationship Id="rId333" Type="http://schemas.openxmlformats.org/officeDocument/2006/relationships/hyperlink" Target="http://figarodigital.co.uk" TargetMode="External"/><Relationship Id="rId454" Type="http://schemas.openxmlformats.org/officeDocument/2006/relationships/hyperlink" Target="http://brightnetwork.co.uk" TargetMode="External"/><Relationship Id="rId575" Type="http://schemas.openxmlformats.org/officeDocument/2006/relationships/hyperlink" Target="http://mooreks.co.uk" TargetMode="External"/><Relationship Id="rId696" Type="http://schemas.openxmlformats.org/officeDocument/2006/relationships/hyperlink" Target="http://weareamnet.com" TargetMode="External"/><Relationship Id="rId211" Type="http://schemas.openxmlformats.org/officeDocument/2006/relationships/hyperlink" Target="http://azurefd.net" TargetMode="External"/><Relationship Id="rId332" Type="http://schemas.openxmlformats.org/officeDocument/2006/relationships/hyperlink" Target="http://experian.co.uk" TargetMode="External"/><Relationship Id="rId453" Type="http://schemas.openxmlformats.org/officeDocument/2006/relationships/hyperlink" Target="http://brentonway.com" TargetMode="External"/><Relationship Id="rId574" Type="http://schemas.openxmlformats.org/officeDocument/2006/relationships/hyperlink" Target="http://mobileappdaily.com" TargetMode="External"/><Relationship Id="rId695" Type="http://schemas.openxmlformats.org/officeDocument/2006/relationships/hyperlink" Target="http://wamdigital.com" TargetMode="External"/><Relationship Id="rId210" Type="http://schemas.openxmlformats.org/officeDocument/2006/relationships/hyperlink" Target="http://aireadinesspartner.com" TargetMode="External"/><Relationship Id="rId331" Type="http://schemas.openxmlformats.org/officeDocument/2006/relationships/hyperlink" Target="http://eintelligenceweb.com" TargetMode="External"/><Relationship Id="rId452" Type="http://schemas.openxmlformats.org/officeDocument/2006/relationships/hyperlink" Target="http://brandsandagencies.co.uk" TargetMode="External"/><Relationship Id="rId573" Type="http://schemas.openxmlformats.org/officeDocument/2006/relationships/hyperlink" Target="http://mma.com" TargetMode="External"/><Relationship Id="rId694" Type="http://schemas.openxmlformats.org/officeDocument/2006/relationships/hyperlink" Target="http://walkeragency.co.uk" TargetMode="External"/><Relationship Id="rId370" Type="http://schemas.openxmlformats.org/officeDocument/2006/relationships/hyperlink" Target="http://rightfirms.co" TargetMode="External"/><Relationship Id="rId491" Type="http://schemas.openxmlformats.org/officeDocument/2006/relationships/hyperlink" Target="http://digitalapplied.com" TargetMode="External"/><Relationship Id="rId490" Type="http://schemas.openxmlformats.org/officeDocument/2006/relationships/hyperlink" Target="http://digicatapult.org.uk" TargetMode="External"/><Relationship Id="rId129" Type="http://schemas.openxmlformats.org/officeDocument/2006/relationships/hyperlink" Target="http://beomniscient.com" TargetMode="External"/><Relationship Id="rId128" Type="http://schemas.openxmlformats.org/officeDocument/2006/relationships/hyperlink" Target="http://sorttheclicks.com" TargetMode="External"/><Relationship Id="rId249" Type="http://schemas.openxmlformats.org/officeDocument/2006/relationships/hyperlink" Target="http://paramark.com" TargetMode="External"/><Relationship Id="rId127" Type="http://schemas.openxmlformats.org/officeDocument/2006/relationships/hyperlink" Target="http://iwantmore.ai" TargetMode="External"/><Relationship Id="rId248" Type="http://schemas.openxmlformats.org/officeDocument/2006/relationships/hyperlink" Target="http://oyik.ai" TargetMode="External"/><Relationship Id="rId369" Type="http://schemas.openxmlformats.org/officeDocument/2006/relationships/hyperlink" Target="http://rezaid.co.uk" TargetMode="External"/><Relationship Id="rId126" Type="http://schemas.openxmlformats.org/officeDocument/2006/relationships/hyperlink" Target="http://greenbook.org" TargetMode="External"/><Relationship Id="rId247" Type="http://schemas.openxmlformats.org/officeDocument/2006/relationships/hyperlink" Target="http://noisemediagroup.co.uk" TargetMode="External"/><Relationship Id="rId368" Type="http://schemas.openxmlformats.org/officeDocument/2006/relationships/hyperlink" Target="http://psychemeta.com" TargetMode="External"/><Relationship Id="rId489" Type="http://schemas.openxmlformats.org/officeDocument/2006/relationships/hyperlink" Target="http://digiactus.co.uk" TargetMode="External"/><Relationship Id="rId121" Type="http://schemas.openxmlformats.org/officeDocument/2006/relationships/hyperlink" Target="http://weareroast.com" TargetMode="External"/><Relationship Id="rId242" Type="http://schemas.openxmlformats.org/officeDocument/2006/relationships/hyperlink" Target="http://happyhourproductions.co.uk" TargetMode="External"/><Relationship Id="rId363" Type="http://schemas.openxmlformats.org/officeDocument/2006/relationships/hyperlink" Target="http://optimisemedia.com" TargetMode="External"/><Relationship Id="rId484" Type="http://schemas.openxmlformats.org/officeDocument/2006/relationships/hyperlink" Target="http://dejongphillips.co.uk" TargetMode="External"/><Relationship Id="rId120" Type="http://schemas.openxmlformats.org/officeDocument/2006/relationships/hyperlink" Target="http://kinase.co.uk" TargetMode="External"/><Relationship Id="rId241" Type="http://schemas.openxmlformats.org/officeDocument/2006/relationships/hyperlink" Target="http://growth-labs.co.uk" TargetMode="External"/><Relationship Id="rId362" Type="http://schemas.openxmlformats.org/officeDocument/2006/relationships/hyperlink" Target="http://omnius.so" TargetMode="External"/><Relationship Id="rId483" Type="http://schemas.openxmlformats.org/officeDocument/2006/relationships/hyperlink" Target="http://dedote.co.uk" TargetMode="External"/><Relationship Id="rId240" Type="http://schemas.openxmlformats.org/officeDocument/2006/relationships/hyperlink" Target="http://getapp.co.uk" TargetMode="External"/><Relationship Id="rId361" Type="http://schemas.openxmlformats.org/officeDocument/2006/relationships/hyperlink" Target="http://nuundigital.com" TargetMode="External"/><Relationship Id="rId482" Type="http://schemas.openxmlformats.org/officeDocument/2006/relationships/hyperlink" Target="http://decisionfoundry.com" TargetMode="External"/><Relationship Id="rId360" Type="http://schemas.openxmlformats.org/officeDocument/2006/relationships/hyperlink" Target="http://netmonkeys.co.uk" TargetMode="External"/><Relationship Id="rId481" Type="http://schemas.openxmlformats.org/officeDocument/2006/relationships/hyperlink" Target="http://decentriq.com" TargetMode="External"/><Relationship Id="rId125" Type="http://schemas.openxmlformats.org/officeDocument/2006/relationships/hyperlink" Target="http://gambitagency.co.uk" TargetMode="External"/><Relationship Id="rId246" Type="http://schemas.openxmlformats.org/officeDocument/2006/relationships/hyperlink" Target="http://measurelab.co.uk" TargetMode="External"/><Relationship Id="rId367" Type="http://schemas.openxmlformats.org/officeDocument/2006/relationships/hyperlink" Target="http://primelis.co.uk" TargetMode="External"/><Relationship Id="rId488" Type="http://schemas.openxmlformats.org/officeDocument/2006/relationships/hyperlink" Target="http://devsdata.com" TargetMode="External"/><Relationship Id="rId124" Type="http://schemas.openxmlformats.org/officeDocument/2006/relationships/hyperlink" Target="http://pearllemon.com" TargetMode="External"/><Relationship Id="rId245" Type="http://schemas.openxmlformats.org/officeDocument/2006/relationships/hyperlink" Target="http://marketingmary.ai" TargetMode="External"/><Relationship Id="rId366" Type="http://schemas.openxmlformats.org/officeDocument/2006/relationships/hyperlink" Target="http://phosailabs.com" TargetMode="External"/><Relationship Id="rId487" Type="http://schemas.openxmlformats.org/officeDocument/2006/relationships/hyperlink" Target="http://devopsschool.com" TargetMode="External"/><Relationship Id="rId123" Type="http://schemas.openxmlformats.org/officeDocument/2006/relationships/hyperlink" Target="http://lynchpin.com" TargetMode="External"/><Relationship Id="rId244" Type="http://schemas.openxmlformats.org/officeDocument/2006/relationships/hyperlink" Target="http://macreativeag.com" TargetMode="External"/><Relationship Id="rId365" Type="http://schemas.openxmlformats.org/officeDocument/2006/relationships/hyperlink" Target="http://outrightcrm.com" TargetMode="External"/><Relationship Id="rId486" Type="http://schemas.openxmlformats.org/officeDocument/2006/relationships/hyperlink" Target="http://designity.com" TargetMode="External"/><Relationship Id="rId122" Type="http://schemas.openxmlformats.org/officeDocument/2006/relationships/hyperlink" Target="http://webdesignchoice.co.uk" TargetMode="External"/><Relationship Id="rId243" Type="http://schemas.openxmlformats.org/officeDocument/2006/relationships/hyperlink" Target="http://influencermarketinghub.com" TargetMode="External"/><Relationship Id="rId364" Type="http://schemas.openxmlformats.org/officeDocument/2006/relationships/hyperlink" Target="http://orm-tech.com" TargetMode="External"/><Relationship Id="rId485" Type="http://schemas.openxmlformats.org/officeDocument/2006/relationships/hyperlink" Target="http://delve.ai" TargetMode="External"/><Relationship Id="rId95" Type="http://schemas.openxmlformats.org/officeDocument/2006/relationships/hyperlink" Target="http://builtinlondon.uk" TargetMode="External"/><Relationship Id="rId94" Type="http://schemas.openxmlformats.org/officeDocument/2006/relationships/hyperlink" Target="http://toasttv.co.uk" TargetMode="External"/><Relationship Id="rId97" Type="http://schemas.openxmlformats.org/officeDocument/2006/relationships/hyperlink" Target="http://thegoodmarketer.co.uk" TargetMode="External"/><Relationship Id="rId96" Type="http://schemas.openxmlformats.org/officeDocument/2006/relationships/hyperlink" Target="http://superside.com" TargetMode="External"/><Relationship Id="rId99" Type="http://schemas.openxmlformats.org/officeDocument/2006/relationships/hyperlink" Target="http://buzzgen.uk" TargetMode="External"/><Relationship Id="rId480" Type="http://schemas.openxmlformats.org/officeDocument/2006/relationships/hyperlink" Target="http://dataally.ai" TargetMode="External"/><Relationship Id="rId98" Type="http://schemas.openxmlformats.org/officeDocument/2006/relationships/hyperlink" Target="http://buriedagency.com" TargetMode="External"/><Relationship Id="rId91" Type="http://schemas.openxmlformats.org/officeDocument/2006/relationships/hyperlink" Target="http://ecomone.com" TargetMode="External"/><Relationship Id="rId90" Type="http://schemas.openxmlformats.org/officeDocument/2006/relationships/hyperlink" Target="http://creativemarketingltd.co.uk" TargetMode="External"/><Relationship Id="rId93" Type="http://schemas.openxmlformats.org/officeDocument/2006/relationships/hyperlink" Target="http://ryesing.com" TargetMode="External"/><Relationship Id="rId92" Type="http://schemas.openxmlformats.org/officeDocument/2006/relationships/hyperlink" Target="http://lifesight.io" TargetMode="External"/><Relationship Id="rId118" Type="http://schemas.openxmlformats.org/officeDocument/2006/relationships/hyperlink" Target="http://climb-seo.co.uk" TargetMode="External"/><Relationship Id="rId239" Type="http://schemas.openxmlformats.org/officeDocument/2006/relationships/hyperlink" Target="http://ekimetrics.com" TargetMode="External"/><Relationship Id="rId117" Type="http://schemas.openxmlformats.org/officeDocument/2006/relationships/hyperlink" Target="http://creativebrief.com" TargetMode="External"/><Relationship Id="rId238" Type="http://schemas.openxmlformats.org/officeDocument/2006/relationships/hyperlink" Target="http://ebiquity.com" TargetMode="External"/><Relationship Id="rId359" Type="http://schemas.openxmlformats.org/officeDocument/2006/relationships/hyperlink" Target="http://mqlflow.com" TargetMode="External"/><Relationship Id="rId116" Type="http://schemas.openxmlformats.org/officeDocument/2006/relationships/hyperlink" Target="http://gartner.com" TargetMode="External"/><Relationship Id="rId237" Type="http://schemas.openxmlformats.org/officeDocument/2006/relationships/hyperlink" Target="http://clickintelligence.co.uk" TargetMode="External"/><Relationship Id="rId358" Type="http://schemas.openxmlformats.org/officeDocument/2006/relationships/hyperlink" Target="http://moreaboutadvertising.com" TargetMode="External"/><Relationship Id="rId479" Type="http://schemas.openxmlformats.org/officeDocument/2006/relationships/hyperlink" Target="http://darkroomagency.com" TargetMode="External"/><Relationship Id="rId115" Type="http://schemas.openxmlformats.org/officeDocument/2006/relationships/hyperlink" Target="http://google.co.uk" TargetMode="External"/><Relationship Id="rId236" Type="http://schemas.openxmlformats.org/officeDocument/2006/relationships/hyperlink" Target="http://b2bmarketing.net" TargetMode="External"/><Relationship Id="rId357" Type="http://schemas.openxmlformats.org/officeDocument/2006/relationships/hyperlink" Target="http://mobitsolutions.com" TargetMode="External"/><Relationship Id="rId478" Type="http://schemas.openxmlformats.org/officeDocument/2006/relationships/hyperlink" Target="http://daio.uk" TargetMode="External"/><Relationship Id="rId599" Type="http://schemas.openxmlformats.org/officeDocument/2006/relationships/hyperlink" Target="http://panorama-consulting.com" TargetMode="External"/><Relationship Id="rId119" Type="http://schemas.openxmlformats.org/officeDocument/2006/relationships/hyperlink" Target="http://coolnerdsmarketing.com" TargetMode="External"/><Relationship Id="rId110" Type="http://schemas.openxmlformats.org/officeDocument/2006/relationships/hyperlink" Target="http://alphaapexgroup.com" TargetMode="External"/><Relationship Id="rId231" Type="http://schemas.openxmlformats.org/officeDocument/2006/relationships/hyperlink" Target="http://linea-analytics.com" TargetMode="External"/><Relationship Id="rId352" Type="http://schemas.openxmlformats.org/officeDocument/2006/relationships/hyperlink" Target="http://mcsaatchiperformance.com" TargetMode="External"/><Relationship Id="rId473" Type="http://schemas.openxmlformats.org/officeDocument/2006/relationships/hyperlink" Target="http://corbieredigital.co.uk" TargetMode="External"/><Relationship Id="rId594" Type="http://schemas.openxmlformats.org/officeDocument/2006/relationships/hyperlink" Target="http://opinosis-analytics.com" TargetMode="External"/><Relationship Id="rId230" Type="http://schemas.openxmlformats.org/officeDocument/2006/relationships/hyperlink" Target="http://rzlt.io" TargetMode="External"/><Relationship Id="rId351" Type="http://schemas.openxmlformats.org/officeDocument/2006/relationships/hyperlink" Target="http://masoncircle.com" TargetMode="External"/><Relationship Id="rId472" Type="http://schemas.openxmlformats.org/officeDocument/2006/relationships/hyperlink" Target="http://connective3.com" TargetMode="External"/><Relationship Id="rId593" Type="http://schemas.openxmlformats.org/officeDocument/2006/relationships/hyperlink" Target="http://openleaf.com" TargetMode="External"/><Relationship Id="rId350" Type="http://schemas.openxmlformats.org/officeDocument/2006/relationships/hyperlink" Target="http://marketingiq.co.uk" TargetMode="External"/><Relationship Id="rId471" Type="http://schemas.openxmlformats.org/officeDocument/2006/relationships/hyperlink" Target="http://colossalinfluence.com" TargetMode="External"/><Relationship Id="rId592" Type="http://schemas.openxmlformats.org/officeDocument/2006/relationships/hyperlink" Target="http://onlineoptimism.com" TargetMode="External"/><Relationship Id="rId470" Type="http://schemas.openxmlformats.org/officeDocument/2006/relationships/hyperlink" Target="http://clicktrain.com" TargetMode="External"/><Relationship Id="rId591" Type="http://schemas.openxmlformats.org/officeDocument/2006/relationships/hyperlink" Target="http://onely.com" TargetMode="External"/><Relationship Id="rId114" Type="http://schemas.openxmlformats.org/officeDocument/2006/relationships/hyperlink" Target="http://youtube.com" TargetMode="External"/><Relationship Id="rId235" Type="http://schemas.openxmlformats.org/officeDocument/2006/relationships/hyperlink" Target="http://arramton.com" TargetMode="External"/><Relationship Id="rId356" Type="http://schemas.openxmlformats.org/officeDocument/2006/relationships/hyperlink" Target="http://miramarketing.co.uk" TargetMode="External"/><Relationship Id="rId477" Type="http://schemas.openxmlformats.org/officeDocument/2006/relationships/hyperlink" Target="http://dacgroup.com" TargetMode="External"/><Relationship Id="rId598" Type="http://schemas.openxmlformats.org/officeDocument/2006/relationships/hyperlink" Target="http://outreachz.com" TargetMode="External"/><Relationship Id="rId113" Type="http://schemas.openxmlformats.org/officeDocument/2006/relationships/hyperlink" Target="http://getaiready.uk" TargetMode="External"/><Relationship Id="rId234" Type="http://schemas.openxmlformats.org/officeDocument/2006/relationships/hyperlink" Target="http://aiconsultingfirms.co.uk" TargetMode="External"/><Relationship Id="rId355" Type="http://schemas.openxmlformats.org/officeDocument/2006/relationships/hyperlink" Target="http://mintcopywritingstudios.com" TargetMode="External"/><Relationship Id="rId476" Type="http://schemas.openxmlformats.org/officeDocument/2006/relationships/hyperlink" Target="http://creativepool.com" TargetMode="External"/><Relationship Id="rId597" Type="http://schemas.openxmlformats.org/officeDocument/2006/relationships/hyperlink" Target="http://ourdigitalteam.com" TargetMode="External"/><Relationship Id="rId112" Type="http://schemas.openxmlformats.org/officeDocument/2006/relationships/hyperlink" Target="http://evangelistsoftware.com" TargetMode="External"/><Relationship Id="rId233" Type="http://schemas.openxmlformats.org/officeDocument/2006/relationships/hyperlink" Target="http://forrester.com" TargetMode="External"/><Relationship Id="rId354" Type="http://schemas.openxmlformats.org/officeDocument/2006/relationships/hyperlink" Target="http://mediaperformance.co.uk" TargetMode="External"/><Relationship Id="rId475" Type="http://schemas.openxmlformats.org/officeDocument/2006/relationships/hyperlink" Target="http://createscale.com" TargetMode="External"/><Relationship Id="rId596" Type="http://schemas.openxmlformats.org/officeDocument/2006/relationships/hyperlink" Target="http://osmos.ai" TargetMode="External"/><Relationship Id="rId111" Type="http://schemas.openxmlformats.org/officeDocument/2006/relationships/hyperlink" Target="http://consultancy.uk" TargetMode="External"/><Relationship Id="rId232" Type="http://schemas.openxmlformats.org/officeDocument/2006/relationships/hyperlink" Target="http://visionone.co.uk" TargetMode="External"/><Relationship Id="rId353" Type="http://schemas.openxmlformats.org/officeDocument/2006/relationships/hyperlink" Target="http://medianug.com" TargetMode="External"/><Relationship Id="rId474" Type="http://schemas.openxmlformats.org/officeDocument/2006/relationships/hyperlink" Target="http://corsactech.com" TargetMode="External"/><Relationship Id="rId595" Type="http://schemas.openxmlformats.org/officeDocument/2006/relationships/hyperlink" Target="http://opticomm.co.uk" TargetMode="External"/><Relationship Id="rId305" Type="http://schemas.openxmlformats.org/officeDocument/2006/relationships/hyperlink" Target="http://brainlabsdigital.com" TargetMode="External"/><Relationship Id="rId426" Type="http://schemas.openxmlformats.org/officeDocument/2006/relationships/hyperlink" Target="http://atigro.com" TargetMode="External"/><Relationship Id="rId547" Type="http://schemas.openxmlformats.org/officeDocument/2006/relationships/hyperlink" Target="http://jellyfish.com" TargetMode="External"/><Relationship Id="rId668" Type="http://schemas.openxmlformats.org/officeDocument/2006/relationships/hyperlink" Target="http://thetradedesk.com" TargetMode="External"/><Relationship Id="rId304" Type="http://schemas.openxmlformats.org/officeDocument/2006/relationships/hyperlink" Target="http://wsj.com" TargetMode="External"/><Relationship Id="rId425" Type="http://schemas.openxmlformats.org/officeDocument/2006/relationships/hyperlink" Target="http://assertive-media.co.uk" TargetMode="External"/><Relationship Id="rId546" Type="http://schemas.openxmlformats.org/officeDocument/2006/relationships/hyperlink" Target="http://jampictures.co.uk" TargetMode="External"/><Relationship Id="rId667" Type="http://schemas.openxmlformats.org/officeDocument/2006/relationships/hyperlink" Target="http://themill.com" TargetMode="External"/><Relationship Id="rId303" Type="http://schemas.openxmlformats.org/officeDocument/2006/relationships/hyperlink" Target="http://wowinfotech.co.uk" TargetMode="External"/><Relationship Id="rId424" Type="http://schemas.openxmlformats.org/officeDocument/2006/relationships/hyperlink" Target="http://assemblyglobal.com" TargetMode="External"/><Relationship Id="rId545" Type="http://schemas.openxmlformats.org/officeDocument/2006/relationships/hyperlink" Target="http://jake-jorgovan.com" TargetMode="External"/><Relationship Id="rId666" Type="http://schemas.openxmlformats.org/officeDocument/2006/relationships/hyperlink" Target="http://themartechsummit.com" TargetMode="External"/><Relationship Id="rId302" Type="http://schemas.openxmlformats.org/officeDocument/2006/relationships/hyperlink" Target="http://vayro.co.uk" TargetMode="External"/><Relationship Id="rId423" Type="http://schemas.openxmlformats.org/officeDocument/2006/relationships/hyperlink" Target="http://artefact.com" TargetMode="External"/><Relationship Id="rId544" Type="http://schemas.openxmlformats.org/officeDocument/2006/relationships/hyperlink" Target="http://iprospect.com" TargetMode="External"/><Relationship Id="rId665" Type="http://schemas.openxmlformats.org/officeDocument/2006/relationships/hyperlink" Target="http://thelogocreative.co.uk" TargetMode="External"/><Relationship Id="rId309" Type="http://schemas.openxmlformats.org/officeDocument/2006/relationships/hyperlink" Target="http://thetechfounders.co.uk" TargetMode="External"/><Relationship Id="rId308" Type="http://schemas.openxmlformats.org/officeDocument/2006/relationships/hyperlink" Target="http://provokemedia.com" TargetMode="External"/><Relationship Id="rId429" Type="http://schemas.openxmlformats.org/officeDocument/2006/relationships/hyperlink" Target="http://auditynow.com" TargetMode="External"/><Relationship Id="rId307" Type="http://schemas.openxmlformats.org/officeDocument/2006/relationships/hyperlink" Target="http://lucatagliaferro.com" TargetMode="External"/><Relationship Id="rId428" Type="http://schemas.openxmlformats.org/officeDocument/2006/relationships/hyperlink" Target="http://attnagency.com" TargetMode="External"/><Relationship Id="rId549" Type="http://schemas.openxmlformats.org/officeDocument/2006/relationships/hyperlink" Target="http://kaweb.co.uk" TargetMode="External"/><Relationship Id="rId306" Type="http://schemas.openxmlformats.org/officeDocument/2006/relationships/hyperlink" Target="http://carrieannsudlow.co.uk" TargetMode="External"/><Relationship Id="rId427" Type="http://schemas.openxmlformats.org/officeDocument/2006/relationships/hyperlink" Target="http://atlas-mapping.com" TargetMode="External"/><Relationship Id="rId548" Type="http://schemas.openxmlformats.org/officeDocument/2006/relationships/hyperlink" Target="http://k2l.co.uk" TargetMode="External"/><Relationship Id="rId669" Type="http://schemas.openxmlformats.org/officeDocument/2006/relationships/hyperlink" Target="http://thewowcompany.com" TargetMode="External"/><Relationship Id="rId660" Type="http://schemas.openxmlformats.org/officeDocument/2006/relationships/hyperlink" Target="http://thedca.co" TargetMode="External"/><Relationship Id="rId301" Type="http://schemas.openxmlformats.org/officeDocument/2006/relationships/hyperlink" Target="http://ultrascout.ai" TargetMode="External"/><Relationship Id="rId422" Type="http://schemas.openxmlformats.org/officeDocument/2006/relationships/hyperlink" Target="http://appearonline.co.uk" TargetMode="External"/><Relationship Id="rId543" Type="http://schemas.openxmlformats.org/officeDocument/2006/relationships/hyperlink" Target="http://ipa.co.uk" TargetMode="External"/><Relationship Id="rId664" Type="http://schemas.openxmlformats.org/officeDocument/2006/relationships/hyperlink" Target="http://thelaneagency.com" TargetMode="External"/><Relationship Id="rId300" Type="http://schemas.openxmlformats.org/officeDocument/2006/relationships/hyperlink" Target="http://top-branding-agency.co.uk" TargetMode="External"/><Relationship Id="rId421" Type="http://schemas.openxmlformats.org/officeDocument/2006/relationships/hyperlink" Target="http://anglux.uk" TargetMode="External"/><Relationship Id="rId542" Type="http://schemas.openxmlformats.org/officeDocument/2006/relationships/hyperlink" Target="http://intellectyx.com" TargetMode="External"/><Relationship Id="rId663" Type="http://schemas.openxmlformats.org/officeDocument/2006/relationships/hyperlink" Target="http://thekeenfolks.com" TargetMode="External"/><Relationship Id="rId420" Type="http://schemas.openxmlformats.org/officeDocument/2006/relationships/hyperlink" Target="http://analytics.co.uk" TargetMode="External"/><Relationship Id="rId541" Type="http://schemas.openxmlformats.org/officeDocument/2006/relationships/hyperlink" Target="http://insideoutdigital.co.uk" TargetMode="External"/><Relationship Id="rId662" Type="http://schemas.openxmlformats.org/officeDocument/2006/relationships/hyperlink" Target="http://theguardian.com" TargetMode="External"/><Relationship Id="rId540" Type="http://schemas.openxmlformats.org/officeDocument/2006/relationships/hyperlink" Target="http://insanelogic.co.uk" TargetMode="External"/><Relationship Id="rId661" Type="http://schemas.openxmlformats.org/officeDocument/2006/relationships/hyperlink" Target="http://thedigitalelevator.com" TargetMode="External"/><Relationship Id="rId415" Type="http://schemas.openxmlformats.org/officeDocument/2006/relationships/hyperlink" Target="http://aimerce.ai" TargetMode="External"/><Relationship Id="rId536" Type="http://schemas.openxmlformats.org/officeDocument/2006/relationships/hyperlink" Target="http://hellogameplan.com" TargetMode="External"/><Relationship Id="rId657" Type="http://schemas.openxmlformats.org/officeDocument/2006/relationships/hyperlink" Target="http://theatdb.com" TargetMode="External"/><Relationship Id="rId414" Type="http://schemas.openxmlformats.org/officeDocument/2006/relationships/hyperlink" Target="http://aigeo360.com" TargetMode="External"/><Relationship Id="rId535" Type="http://schemas.openxmlformats.org/officeDocument/2006/relationships/hyperlink" Target="http://hawksem.com" TargetMode="External"/><Relationship Id="rId656" Type="http://schemas.openxmlformats.org/officeDocument/2006/relationships/hyperlink" Target="http://theadlounge.co.uk" TargetMode="External"/><Relationship Id="rId413" Type="http://schemas.openxmlformats.org/officeDocument/2006/relationships/hyperlink" Target="http://aiadvantageagency.com" TargetMode="External"/><Relationship Id="rId534" Type="http://schemas.openxmlformats.org/officeDocument/2006/relationships/hyperlink" Target="http://hashmeta.com" TargetMode="External"/><Relationship Id="rId655" Type="http://schemas.openxmlformats.org/officeDocument/2006/relationships/hyperlink" Target="http://technologyarch.com" TargetMode="External"/><Relationship Id="rId412" Type="http://schemas.openxmlformats.org/officeDocument/2006/relationships/hyperlink" Target="http://agilitytech.ai" TargetMode="External"/><Relationship Id="rId533" Type="http://schemas.openxmlformats.org/officeDocument/2006/relationships/hyperlink" Target="http://growthspreeofficial.com" TargetMode="External"/><Relationship Id="rId654" Type="http://schemas.openxmlformats.org/officeDocument/2006/relationships/hyperlink" Target="http://teamai.com" TargetMode="External"/><Relationship Id="rId419" Type="http://schemas.openxmlformats.org/officeDocument/2006/relationships/hyperlink" Target="http://amplitude.com" TargetMode="External"/><Relationship Id="rId418" Type="http://schemas.openxmlformats.org/officeDocument/2006/relationships/hyperlink" Target="http://altorise.com" TargetMode="External"/><Relationship Id="rId539" Type="http://schemas.openxmlformats.org/officeDocument/2006/relationships/hyperlink" Target="http://icpnet.com" TargetMode="External"/><Relationship Id="rId417" Type="http://schemas.openxmlformats.org/officeDocument/2006/relationships/hyperlink" Target="http://ality.co.uk" TargetMode="External"/><Relationship Id="rId538" Type="http://schemas.openxmlformats.org/officeDocument/2006/relationships/hyperlink" Target="http://hubspot.com" TargetMode="External"/><Relationship Id="rId659" Type="http://schemas.openxmlformats.org/officeDocument/2006/relationships/hyperlink" Target="http://thecmo.com" TargetMode="External"/><Relationship Id="rId416" Type="http://schemas.openxmlformats.org/officeDocument/2006/relationships/hyperlink" Target="http://alexbirkett.com" TargetMode="External"/><Relationship Id="rId537" Type="http://schemas.openxmlformats.org/officeDocument/2006/relationships/hyperlink" Target="http://heydigital.co" TargetMode="External"/><Relationship Id="rId658" Type="http://schemas.openxmlformats.org/officeDocument/2006/relationships/hyperlink" Target="http://thebusinessjournal.co.uk" TargetMode="External"/><Relationship Id="rId411" Type="http://schemas.openxmlformats.org/officeDocument/2006/relationships/hyperlink" Target="http://agencysort.com" TargetMode="External"/><Relationship Id="rId532" Type="http://schemas.openxmlformats.org/officeDocument/2006/relationships/hyperlink" Target="http://growthmanager.ai" TargetMode="External"/><Relationship Id="rId653" Type="http://schemas.openxmlformats.org/officeDocument/2006/relationships/hyperlink" Target="http://taylorherring.com" TargetMode="External"/><Relationship Id="rId410" Type="http://schemas.openxmlformats.org/officeDocument/2006/relationships/hyperlink" Target="http://afiniti.co.uk" TargetMode="External"/><Relationship Id="rId531" Type="http://schemas.openxmlformats.org/officeDocument/2006/relationships/hyperlink" Target="http://growthcurve.co" TargetMode="External"/><Relationship Id="rId652" Type="http://schemas.openxmlformats.org/officeDocument/2006/relationships/hyperlink" Target="http://talisman-ai.co.uk" TargetMode="External"/><Relationship Id="rId530" Type="http://schemas.openxmlformats.org/officeDocument/2006/relationships/hyperlink" Target="http://growth.cx" TargetMode="External"/><Relationship Id="rId651" Type="http://schemas.openxmlformats.org/officeDocument/2006/relationships/hyperlink" Target="http://syntermedia.ai" TargetMode="External"/><Relationship Id="rId650" Type="http://schemas.openxmlformats.org/officeDocument/2006/relationships/hyperlink" Target="http://synscribe.com" TargetMode="External"/><Relationship Id="rId206" Type="http://schemas.openxmlformats.org/officeDocument/2006/relationships/hyperlink" Target="http://journeyfurther.com" TargetMode="External"/><Relationship Id="rId327" Type="http://schemas.openxmlformats.org/officeDocument/2006/relationships/hyperlink" Target="http://circana.com" TargetMode="External"/><Relationship Id="rId448" Type="http://schemas.openxmlformats.org/officeDocument/2006/relationships/hyperlink" Target="http://brandedagency.com" TargetMode="External"/><Relationship Id="rId569" Type="http://schemas.openxmlformats.org/officeDocument/2006/relationships/hyperlink" Target="http://mediaworxfilms.com" TargetMode="External"/><Relationship Id="rId205" Type="http://schemas.openxmlformats.org/officeDocument/2006/relationships/hyperlink" Target="http://thegrowthsyndicate.com" TargetMode="External"/><Relationship Id="rId326" Type="http://schemas.openxmlformats.org/officeDocument/2006/relationships/hyperlink" Target="http://cellsior.com" TargetMode="External"/><Relationship Id="rId447" Type="http://schemas.openxmlformats.org/officeDocument/2006/relationships/hyperlink" Target="http://blueprintdemand.com" TargetMode="External"/><Relationship Id="rId568" Type="http://schemas.openxmlformats.org/officeDocument/2006/relationships/hyperlink" Target="http://mediascape.ltd.uk" TargetMode="External"/><Relationship Id="rId689" Type="http://schemas.openxmlformats.org/officeDocument/2006/relationships/hyperlink" Target="http://vertius.com" TargetMode="External"/><Relationship Id="rId204" Type="http://schemas.openxmlformats.org/officeDocument/2006/relationships/hyperlink" Target="http://startups.co.uk" TargetMode="External"/><Relationship Id="rId325" Type="http://schemas.openxmlformats.org/officeDocument/2006/relationships/hyperlink" Target="http://campaignlive.co.uk" TargetMode="External"/><Relationship Id="rId446" Type="http://schemas.openxmlformats.org/officeDocument/2006/relationships/hyperlink" Target="http://bluefrontier.co.uk" TargetMode="External"/><Relationship Id="rId567" Type="http://schemas.openxmlformats.org/officeDocument/2006/relationships/hyperlink" Target="http://mediaaddict.co.uk" TargetMode="External"/><Relationship Id="rId688" Type="http://schemas.openxmlformats.org/officeDocument/2006/relationships/hyperlink" Target="http://verdtek.com" TargetMode="External"/><Relationship Id="rId203" Type="http://schemas.openxmlformats.org/officeDocument/2006/relationships/hyperlink" Target="http://snowballcreations.com" TargetMode="External"/><Relationship Id="rId324" Type="http://schemas.openxmlformats.org/officeDocument/2006/relationships/hyperlink" Target="http://byter.com" TargetMode="External"/><Relationship Id="rId445" Type="http://schemas.openxmlformats.org/officeDocument/2006/relationships/hyperlink" Target="http://blueduckagency.com" TargetMode="External"/><Relationship Id="rId566" Type="http://schemas.openxmlformats.org/officeDocument/2006/relationships/hyperlink" Target="http://measuremindsgroup.com" TargetMode="External"/><Relationship Id="rId687" Type="http://schemas.openxmlformats.org/officeDocument/2006/relationships/hyperlink" Target="http://vedaai.co.uk" TargetMode="External"/><Relationship Id="rId209" Type="http://schemas.openxmlformats.org/officeDocument/2006/relationships/hyperlink" Target="http://agencylist.com" TargetMode="External"/><Relationship Id="rId208" Type="http://schemas.openxmlformats.org/officeDocument/2006/relationships/hyperlink" Target="http://oxdpr.com" TargetMode="External"/><Relationship Id="rId329" Type="http://schemas.openxmlformats.org/officeDocument/2006/relationships/hyperlink" Target="http://digiscorp.com" TargetMode="External"/><Relationship Id="rId207" Type="http://schemas.openxmlformats.org/officeDocument/2006/relationships/hyperlink" Target="http://fusepointinsights.com" TargetMode="External"/><Relationship Id="rId328" Type="http://schemas.openxmlformats.org/officeDocument/2006/relationships/hyperlink" Target="http://deloitte.co.uk" TargetMode="External"/><Relationship Id="rId449" Type="http://schemas.openxmlformats.org/officeDocument/2006/relationships/hyperlink" Target="http://brandience.com" TargetMode="External"/><Relationship Id="rId440" Type="http://schemas.openxmlformats.org/officeDocument/2006/relationships/hyperlink" Target="http://best-ai-readiness-assessments.com" TargetMode="External"/><Relationship Id="rId561" Type="http://schemas.openxmlformats.org/officeDocument/2006/relationships/hyperlink" Target="http://marketingweek.com" TargetMode="External"/><Relationship Id="rId682" Type="http://schemas.openxmlformats.org/officeDocument/2006/relationships/hyperlink" Target="http://unusualgroup.com" TargetMode="External"/><Relationship Id="rId560" Type="http://schemas.openxmlformats.org/officeDocument/2006/relationships/hyperlink" Target="http://marketerhire.com" TargetMode="External"/><Relationship Id="rId681" Type="http://schemas.openxmlformats.org/officeDocument/2006/relationships/hyperlink" Target="http://understoryagency.com" TargetMode="External"/><Relationship Id="rId680" Type="http://schemas.openxmlformats.org/officeDocument/2006/relationships/hyperlink" Target="http://ukagencies.co.uk" TargetMode="External"/><Relationship Id="rId202" Type="http://schemas.openxmlformats.org/officeDocument/2006/relationships/hyperlink" Target="http://ruleranalytics.com" TargetMode="External"/><Relationship Id="rId323" Type="http://schemas.openxmlformats.org/officeDocument/2006/relationships/hyperlink" Target="http://brillmedia.co" TargetMode="External"/><Relationship Id="rId444" Type="http://schemas.openxmlformats.org/officeDocument/2006/relationships/hyperlink" Target="http://blendb2b.com" TargetMode="External"/><Relationship Id="rId565" Type="http://schemas.openxmlformats.org/officeDocument/2006/relationships/hyperlink" Target="http://matomo.org" TargetMode="External"/><Relationship Id="rId686" Type="http://schemas.openxmlformats.org/officeDocument/2006/relationships/hyperlink" Target="http://usercentrics.com" TargetMode="External"/><Relationship Id="rId201" Type="http://schemas.openxmlformats.org/officeDocument/2006/relationships/hyperlink" Target="http://protiviti.com" TargetMode="External"/><Relationship Id="rId322" Type="http://schemas.openxmlformats.org/officeDocument/2006/relationships/hyperlink" Target="http://bcg.com" TargetMode="External"/><Relationship Id="rId443" Type="http://schemas.openxmlformats.org/officeDocument/2006/relationships/hyperlink" Target="http://bizzabo.com" TargetMode="External"/><Relationship Id="rId564" Type="http://schemas.openxmlformats.org/officeDocument/2006/relationships/hyperlink" Target="http://martechoutlook.com" TargetMode="External"/><Relationship Id="rId685" Type="http://schemas.openxmlformats.org/officeDocument/2006/relationships/hyperlink" Target="http://urbanmedia.co.uk" TargetMode="External"/><Relationship Id="rId200" Type="http://schemas.openxmlformats.org/officeDocument/2006/relationships/hyperlink" Target="http://ninjapromo.io" TargetMode="External"/><Relationship Id="rId321" Type="http://schemas.openxmlformats.org/officeDocument/2006/relationships/hyperlink" Target="http://audigent.com" TargetMode="External"/><Relationship Id="rId442" Type="http://schemas.openxmlformats.org/officeDocument/2006/relationships/hyperlink" Target="http://bhavpro.com" TargetMode="External"/><Relationship Id="rId563" Type="http://schemas.openxmlformats.org/officeDocument/2006/relationships/hyperlink" Target="http://martal.ca" TargetMode="External"/><Relationship Id="rId684" Type="http://schemas.openxmlformats.org/officeDocument/2006/relationships/hyperlink" Target="http://upscale-digital.com" TargetMode="External"/><Relationship Id="rId320" Type="http://schemas.openxmlformats.org/officeDocument/2006/relationships/hyperlink" Target="http://anicca.co.uk" TargetMode="External"/><Relationship Id="rId441" Type="http://schemas.openxmlformats.org/officeDocument/2006/relationships/hyperlink" Target="http://bestadsontv.com" TargetMode="External"/><Relationship Id="rId562" Type="http://schemas.openxmlformats.org/officeDocument/2006/relationships/hyperlink" Target="http://marketri.com" TargetMode="External"/><Relationship Id="rId683" Type="http://schemas.openxmlformats.org/officeDocument/2006/relationships/hyperlink" Target="http://updigital.co.uk" TargetMode="External"/><Relationship Id="rId316" Type="http://schemas.openxmlformats.org/officeDocument/2006/relationships/hyperlink" Target="http://agencybyagency.com" TargetMode="External"/><Relationship Id="rId437" Type="http://schemas.openxmlformats.org/officeDocument/2006/relationships/hyperlink" Target="http://belkins.io" TargetMode="External"/><Relationship Id="rId558" Type="http://schemas.openxmlformats.org/officeDocument/2006/relationships/hyperlink" Target="http://lunarailab.com" TargetMode="External"/><Relationship Id="rId679" Type="http://schemas.openxmlformats.org/officeDocument/2006/relationships/hyperlink" Target="http://tryinhouse.co" TargetMode="External"/><Relationship Id="rId315" Type="http://schemas.openxmlformats.org/officeDocument/2006/relationships/hyperlink" Target="http://adnomics.co.uk" TargetMode="External"/><Relationship Id="rId436" Type="http://schemas.openxmlformats.org/officeDocument/2006/relationships/hyperlink" Target="http://bcn.co.uk" TargetMode="External"/><Relationship Id="rId557" Type="http://schemas.openxmlformats.org/officeDocument/2006/relationships/hyperlink" Target="http://loomdigital.co.uk" TargetMode="External"/><Relationship Id="rId678" Type="http://schemas.openxmlformats.org/officeDocument/2006/relationships/hyperlink" Target="http://trustpilot.com" TargetMode="External"/><Relationship Id="rId314" Type="http://schemas.openxmlformats.org/officeDocument/2006/relationships/hyperlink" Target="http://adassoc.org.uk" TargetMode="External"/><Relationship Id="rId435" Type="http://schemas.openxmlformats.org/officeDocument/2006/relationships/hyperlink" Target="http://backhouse.com" TargetMode="External"/><Relationship Id="rId556" Type="http://schemas.openxmlformats.org/officeDocument/2006/relationships/hyperlink" Target="http://lightworksconsulting.uk" TargetMode="External"/><Relationship Id="rId677" Type="http://schemas.openxmlformats.org/officeDocument/2006/relationships/hyperlink" Target="http://tripledart.com" TargetMode="External"/><Relationship Id="rId313" Type="http://schemas.openxmlformats.org/officeDocument/2006/relationships/hyperlink" Target="http://acxiom.co.uk" TargetMode="External"/><Relationship Id="rId434" Type="http://schemas.openxmlformats.org/officeDocument/2006/relationships/hyperlink" Target="http://back9.co.nz" TargetMode="External"/><Relationship Id="rId555" Type="http://schemas.openxmlformats.org/officeDocument/2006/relationships/hyperlink" Target="http://leoburnett.co.uk" TargetMode="External"/><Relationship Id="rId676" Type="http://schemas.openxmlformats.org/officeDocument/2006/relationships/hyperlink" Target="http://topgeoagencies.com" TargetMode="External"/><Relationship Id="rId319" Type="http://schemas.openxmlformats.org/officeDocument/2006/relationships/hyperlink" Target="http://amraandelma.com" TargetMode="External"/><Relationship Id="rId318" Type="http://schemas.openxmlformats.org/officeDocument/2006/relationships/hyperlink" Target="http://ai-expert.co.uk" TargetMode="External"/><Relationship Id="rId439" Type="http://schemas.openxmlformats.org/officeDocument/2006/relationships/hyperlink" Target="http://benly.ai" TargetMode="External"/><Relationship Id="rId317" Type="http://schemas.openxmlformats.org/officeDocument/2006/relationships/hyperlink" Target="http://agenticmarketingpro.com" TargetMode="External"/><Relationship Id="rId438" Type="http://schemas.openxmlformats.org/officeDocument/2006/relationships/hyperlink" Target="http://benchmarketing.org" TargetMode="External"/><Relationship Id="rId559" Type="http://schemas.openxmlformats.org/officeDocument/2006/relationships/hyperlink" Target="http://mapleforest.co.uk" TargetMode="External"/><Relationship Id="rId550" Type="http://schemas.openxmlformats.org/officeDocument/2006/relationships/hyperlink" Target="http://kiwop.com" TargetMode="External"/><Relationship Id="rId671" Type="http://schemas.openxmlformats.org/officeDocument/2006/relationships/hyperlink" Target="http://thriveagency.com" TargetMode="External"/><Relationship Id="rId670" Type="http://schemas.openxmlformats.org/officeDocument/2006/relationships/hyperlink" Target="http://thinkwithalec.com" TargetMode="External"/><Relationship Id="rId312" Type="http://schemas.openxmlformats.org/officeDocument/2006/relationships/hyperlink" Target="http://abbacustechnologies.com" TargetMode="External"/><Relationship Id="rId433" Type="http://schemas.openxmlformats.org/officeDocument/2006/relationships/hyperlink" Target="http://awarenessai.co.uk" TargetMode="External"/><Relationship Id="rId554" Type="http://schemas.openxmlformats.org/officeDocument/2006/relationships/hyperlink" Target="http://learn-ai.io" TargetMode="External"/><Relationship Id="rId675" Type="http://schemas.openxmlformats.org/officeDocument/2006/relationships/hyperlink" Target="http://tofuhq.com" TargetMode="External"/><Relationship Id="rId311" Type="http://schemas.openxmlformats.org/officeDocument/2006/relationships/hyperlink" Target="http://10seos.com" TargetMode="External"/><Relationship Id="rId432" Type="http://schemas.openxmlformats.org/officeDocument/2006/relationships/hyperlink" Target="http://avorioproductions.com" TargetMode="External"/><Relationship Id="rId553" Type="http://schemas.openxmlformats.org/officeDocument/2006/relationships/hyperlink" Target="http://leadtheway.io" TargetMode="External"/><Relationship Id="rId674" Type="http://schemas.openxmlformats.org/officeDocument/2006/relationships/hyperlink" Target="http://tivradigital.co.uk" TargetMode="External"/><Relationship Id="rId310" Type="http://schemas.openxmlformats.org/officeDocument/2006/relationships/hyperlink" Target="http://toptenaiagents.co.uk" TargetMode="External"/><Relationship Id="rId431" Type="http://schemas.openxmlformats.org/officeDocument/2006/relationships/hyperlink" Target="http://avixa.org" TargetMode="External"/><Relationship Id="rId552" Type="http://schemas.openxmlformats.org/officeDocument/2006/relationships/hyperlink" Target="http://lbbonline.com" TargetMode="External"/><Relationship Id="rId673" Type="http://schemas.openxmlformats.org/officeDocument/2006/relationships/hyperlink" Target="http://tinuiti.com" TargetMode="External"/><Relationship Id="rId430" Type="http://schemas.openxmlformats.org/officeDocument/2006/relationships/hyperlink" Target="http://avaus.com" TargetMode="External"/><Relationship Id="rId551" Type="http://schemas.openxmlformats.org/officeDocument/2006/relationships/hyperlink" Target="http://knownandcited.com" TargetMode="External"/><Relationship Id="rId672" Type="http://schemas.openxmlformats.org/officeDocument/2006/relationships/hyperlink" Target="http://tillison.co.uk"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news.digitalagencyleaders.net/the-best-ai-marketing-agencies-in-the-uk-2025/" TargetMode="External"/><Relationship Id="rId391" Type="http://schemas.openxmlformats.org/officeDocument/2006/relationships/hyperlink" Target="http://marketingsignals.com" TargetMode="External"/><Relationship Id="rId390" Type="http://schemas.openxmlformats.org/officeDocument/2006/relationships/hyperlink" Target="https://marketingsignals.com/best-digital-marketing-agency-2026-the-top-uk-full-service-agencies-ranked/" TargetMode="External"/><Relationship Id="rId1" Type="http://schemas.openxmlformats.org/officeDocument/2006/relationships/hyperlink" Target="https://we-discover.com/blog/the-top-15-performance-marketing-agencies-in-the-uk-updated-2026/" TargetMode="External"/><Relationship Id="rId2" Type="http://schemas.openxmlformats.org/officeDocument/2006/relationships/hyperlink" Target="http://we-discover.com" TargetMode="External"/><Relationship Id="rId3" Type="http://schemas.openxmlformats.org/officeDocument/2006/relationships/hyperlink" Target="https://www.vxtx.co.uk/blog/best-performance-marketing-agencies-uk-2026-top-10-ranked" TargetMode="External"/><Relationship Id="rId4" Type="http://schemas.openxmlformats.org/officeDocument/2006/relationships/hyperlink" Target="http://vxtx.co.uk" TargetMode="External"/><Relationship Id="rId2180" Type="http://schemas.openxmlformats.org/officeDocument/2006/relationships/hyperlink" Target="http://k2l.co.uk" TargetMode="External"/><Relationship Id="rId2181" Type="http://schemas.openxmlformats.org/officeDocument/2006/relationships/hyperlink" Target="https://www.kaweb.co.uk/blog/best-ppc-agencies-uk" TargetMode="External"/><Relationship Id="rId2182" Type="http://schemas.openxmlformats.org/officeDocument/2006/relationships/hyperlink" Target="http://kaweb.co.uk" TargetMode="External"/><Relationship Id="rId2183" Type="http://schemas.openxmlformats.org/officeDocument/2006/relationships/hyperlink" Target="https://www.kiwop.com/en/marketing-attribution" TargetMode="External"/><Relationship Id="rId9" Type="http://schemas.openxmlformats.org/officeDocument/2006/relationships/hyperlink" Target="https://bind.media/insights/top-25-ppc-agencies-in-the-uk-2025" TargetMode="External"/><Relationship Id="rId385" Type="http://schemas.openxmlformats.org/officeDocument/2006/relationships/hyperlink" Target="http://creativebrief.com" TargetMode="External"/><Relationship Id="rId2184" Type="http://schemas.openxmlformats.org/officeDocument/2006/relationships/hyperlink" Target="http://kiwop.com" TargetMode="External"/><Relationship Id="rId384" Type="http://schemas.openxmlformats.org/officeDocument/2006/relationships/hyperlink" Target="https://www.creativebrief.com/top-30/agencies" TargetMode="External"/><Relationship Id="rId2185" Type="http://schemas.openxmlformats.org/officeDocument/2006/relationships/hyperlink" Target="https://knownandcited.com/blog/leading-uk-ai-visibility-agencies-2026" TargetMode="External"/><Relationship Id="rId383" Type="http://schemas.openxmlformats.org/officeDocument/2006/relationships/hyperlink" Target="http://coolnerdsmarketing.com" TargetMode="External"/><Relationship Id="rId2186" Type="http://schemas.openxmlformats.org/officeDocument/2006/relationships/hyperlink" Target="http://knownandcited.com" TargetMode="External"/><Relationship Id="rId382" Type="http://schemas.openxmlformats.org/officeDocument/2006/relationships/hyperlink" Target="https://coolnerdsmarketing.com/top-creative-agencies-uk/" TargetMode="External"/><Relationship Id="rId2187" Type="http://schemas.openxmlformats.org/officeDocument/2006/relationships/hyperlink" Target="https://lbbonline.com/companies/amv-bbdo/about" TargetMode="External"/><Relationship Id="rId5" Type="http://schemas.openxmlformats.org/officeDocument/2006/relationships/hyperlink" Target="https://agencies.semrush.com/list/united-kingdom/" TargetMode="External"/><Relationship Id="rId389" Type="http://schemas.openxmlformats.org/officeDocument/2006/relationships/hyperlink" Target="http://linkedin.com" TargetMode="External"/><Relationship Id="rId2188" Type="http://schemas.openxmlformats.org/officeDocument/2006/relationships/hyperlink" Target="http://lbbonline.com" TargetMode="External"/><Relationship Id="rId6" Type="http://schemas.openxmlformats.org/officeDocument/2006/relationships/hyperlink" Target="http://semrush.com" TargetMode="External"/><Relationship Id="rId388" Type="http://schemas.openxmlformats.org/officeDocument/2006/relationships/hyperlink" Target="https://www.linkedin.com/pulse/top-performance-marketing-agencies-uk-steve-walker-mrjxe" TargetMode="External"/><Relationship Id="rId2189" Type="http://schemas.openxmlformats.org/officeDocument/2006/relationships/hyperlink" Target="https://www.leadtheway.io/" TargetMode="External"/><Relationship Id="rId7" Type="http://schemas.openxmlformats.org/officeDocument/2006/relationships/hyperlink" Target="https://www.pushgroup.co.uk/blog/top-9-ai-marketing-agencies-in-the-uk" TargetMode="External"/><Relationship Id="rId387" Type="http://schemas.openxmlformats.org/officeDocument/2006/relationships/hyperlink" Target="http://iwantmore.ai" TargetMode="External"/><Relationship Id="rId8" Type="http://schemas.openxmlformats.org/officeDocument/2006/relationships/hyperlink" Target="http://pushgroup.co.uk" TargetMode="External"/><Relationship Id="rId386" Type="http://schemas.openxmlformats.org/officeDocument/2006/relationships/hyperlink" Target="https://iwantmore.ai/" TargetMode="External"/><Relationship Id="rId381" Type="http://schemas.openxmlformats.org/officeDocument/2006/relationships/hyperlink" Target="http://consultancy.uk" TargetMode="External"/><Relationship Id="rId380" Type="http://schemas.openxmlformats.org/officeDocument/2006/relationships/hyperlink" Target="https://www.consultancy.uk/rankings/top-consulting-firms-in-the-uk-by-area-of-expertise/ai-genai" TargetMode="External"/><Relationship Id="rId379" Type="http://schemas.openxmlformats.org/officeDocument/2006/relationships/hyperlink" Target="http://cometly.com" TargetMode="External"/><Relationship Id="rId2170" Type="http://schemas.openxmlformats.org/officeDocument/2006/relationships/hyperlink" Target="http://itprofiles.com" TargetMode="External"/><Relationship Id="rId2171" Type="http://schemas.openxmlformats.org/officeDocument/2006/relationships/hyperlink" Target="https://jake-jorgovan.com/blog/tiktok-marketing-agencies" TargetMode="External"/><Relationship Id="rId2172" Type="http://schemas.openxmlformats.org/officeDocument/2006/relationships/hyperlink" Target="http://jake-jorgovan.com" TargetMode="External"/><Relationship Id="rId374" Type="http://schemas.openxmlformats.org/officeDocument/2006/relationships/hyperlink" Target="https://www.clickslice.co.uk/best-generative-engine-optimisation-agencies-uk/" TargetMode="External"/><Relationship Id="rId2173" Type="http://schemas.openxmlformats.org/officeDocument/2006/relationships/hyperlink" Target="https://www.jampictures.co.uk/" TargetMode="External"/><Relationship Id="rId373" Type="http://schemas.openxmlformats.org/officeDocument/2006/relationships/hyperlink" Target="http://clicksgeek.com" TargetMode="External"/><Relationship Id="rId2174" Type="http://schemas.openxmlformats.org/officeDocument/2006/relationships/hyperlink" Target="http://jampictures.co.uk" TargetMode="External"/><Relationship Id="rId372" Type="http://schemas.openxmlformats.org/officeDocument/2006/relationships/hyperlink" Target="https://clicksgeek.com/marketing-attribution-tracking-services/" TargetMode="External"/><Relationship Id="rId2175" Type="http://schemas.openxmlformats.org/officeDocument/2006/relationships/hyperlink" Target="https://www.jellyfish.com/en-gb/expertise/data/advanced-analytics-modeling/" TargetMode="External"/><Relationship Id="rId371" Type="http://schemas.openxmlformats.org/officeDocument/2006/relationships/hyperlink" Target="http://builtinlondon.uk" TargetMode="External"/><Relationship Id="rId2176" Type="http://schemas.openxmlformats.org/officeDocument/2006/relationships/hyperlink" Target="http://jellyfish.com" TargetMode="External"/><Relationship Id="rId378" Type="http://schemas.openxmlformats.org/officeDocument/2006/relationships/hyperlink" Target="https://www.cometly.com/post/marketing-attribution-consultant-services" TargetMode="External"/><Relationship Id="rId2177" Type="http://schemas.openxmlformats.org/officeDocument/2006/relationships/hyperlink" Target="https://www.journeyfurther.com/en-gb/solutions" TargetMode="External"/><Relationship Id="rId377" Type="http://schemas.openxmlformats.org/officeDocument/2006/relationships/hyperlink" Target="http://clutch.co" TargetMode="External"/><Relationship Id="rId2178" Type="http://schemas.openxmlformats.org/officeDocument/2006/relationships/hyperlink" Target="http://journeyfurther.com" TargetMode="External"/><Relationship Id="rId376" Type="http://schemas.openxmlformats.org/officeDocument/2006/relationships/hyperlink" Target="https://clutch.co/consulting/ai/uk/england/london" TargetMode="External"/><Relationship Id="rId2179" Type="http://schemas.openxmlformats.org/officeDocument/2006/relationships/hyperlink" Target="https://www.k2l.co.uk/top-25-digital-marketing-agencies-in-the-uk-2024/" TargetMode="External"/><Relationship Id="rId375" Type="http://schemas.openxmlformats.org/officeDocument/2006/relationships/hyperlink" Target="http://clickslice.co.uk" TargetMode="External"/><Relationship Id="rId2190" Type="http://schemas.openxmlformats.org/officeDocument/2006/relationships/hyperlink" Target="http://leadtheway.io" TargetMode="External"/><Relationship Id="rId2191" Type="http://schemas.openxmlformats.org/officeDocument/2006/relationships/hyperlink" Target="https://learn-ai.io/articles/ai-readiness-for-uk-smes" TargetMode="External"/><Relationship Id="rId2192" Type="http://schemas.openxmlformats.org/officeDocument/2006/relationships/hyperlink" Target="http://learn-ai.io" TargetMode="External"/><Relationship Id="rId2193" Type="http://schemas.openxmlformats.org/officeDocument/2006/relationships/hyperlink" Target="https://lengreo.com/erotic-lead-generation-agencies/" TargetMode="External"/><Relationship Id="rId2194" Type="http://schemas.openxmlformats.org/officeDocument/2006/relationships/hyperlink" Target="http://lengreo.com" TargetMode="External"/><Relationship Id="rId396" Type="http://schemas.openxmlformats.org/officeDocument/2006/relationships/hyperlink" Target="https://seocompare.co.uk/ai-seo-agency-uk/" TargetMode="External"/><Relationship Id="rId2195" Type="http://schemas.openxmlformats.org/officeDocument/2006/relationships/hyperlink" Target="https://leoburnett.co.uk" TargetMode="External"/><Relationship Id="rId395" Type="http://schemas.openxmlformats.org/officeDocument/2006/relationships/hyperlink" Target="http://withgoogle.com" TargetMode="External"/><Relationship Id="rId2196" Type="http://schemas.openxmlformats.org/officeDocument/2006/relationships/hyperlink" Target="http://leoburnett.co.uk" TargetMode="External"/><Relationship Id="rId394" Type="http://schemas.openxmlformats.org/officeDocument/2006/relationships/hyperlink" Target="https://www.partnersdirectory.withgoogle.com/" TargetMode="External"/><Relationship Id="rId2197" Type="http://schemas.openxmlformats.org/officeDocument/2006/relationships/hyperlink" Target="https://www.leverdigital.co.uk/post/best-ppc-agencies-uk" TargetMode="External"/><Relationship Id="rId393" Type="http://schemas.openxmlformats.org/officeDocument/2006/relationships/hyperlink" Target="http://digitalagencyleaders.net" TargetMode="External"/><Relationship Id="rId2198" Type="http://schemas.openxmlformats.org/officeDocument/2006/relationships/hyperlink" Target="http://leverdigital.co.uk" TargetMode="External"/><Relationship Id="rId2199" Type="http://schemas.openxmlformats.org/officeDocument/2006/relationships/hyperlink" Target="https://www.lightworksconsulting.uk/" TargetMode="External"/><Relationship Id="rId399" Type="http://schemas.openxmlformats.org/officeDocument/2006/relationships/hyperlink" Target="http://seocompare.co.uk" TargetMode="External"/><Relationship Id="rId398" Type="http://schemas.openxmlformats.org/officeDocument/2006/relationships/hyperlink" Target="https://seocompare.co.uk/best-ai-search-agencies/" TargetMode="External"/><Relationship Id="rId397" Type="http://schemas.openxmlformats.org/officeDocument/2006/relationships/hyperlink" Target="http://seocompare.co.uk" TargetMode="External"/><Relationship Id="rId1730" Type="http://schemas.openxmlformats.org/officeDocument/2006/relationships/hyperlink" Target="https://www.cometly.com/post/attribution-tools-for-digital-marketing-agencies" TargetMode="External"/><Relationship Id="rId1731" Type="http://schemas.openxmlformats.org/officeDocument/2006/relationships/hyperlink" Target="http://cometly.com" TargetMode="External"/><Relationship Id="rId1732" Type="http://schemas.openxmlformats.org/officeDocument/2006/relationships/hyperlink" Target="https://www.cometly.com/post/first-party-data-tracking-solutions" TargetMode="External"/><Relationship Id="rId1733" Type="http://schemas.openxmlformats.org/officeDocument/2006/relationships/hyperlink" Target="http://cometly.com" TargetMode="External"/><Relationship Id="rId1734" Type="http://schemas.openxmlformats.org/officeDocument/2006/relationships/hyperlink" Target="https://www.cometly.com/post/incrementality-testing-software" TargetMode="External"/><Relationship Id="rId1735" Type="http://schemas.openxmlformats.org/officeDocument/2006/relationships/hyperlink" Target="http://cometly.com" TargetMode="External"/><Relationship Id="rId1736" Type="http://schemas.openxmlformats.org/officeDocument/2006/relationships/hyperlink" Target="https://www.cometly.com/post/marketing-attribution-platforms-for-agencies" TargetMode="External"/><Relationship Id="rId1737" Type="http://schemas.openxmlformats.org/officeDocument/2006/relationships/hyperlink" Target="http://cometly.com" TargetMode="External"/><Relationship Id="rId1738" Type="http://schemas.openxmlformats.org/officeDocument/2006/relationships/hyperlink" Target="https://www.cometly.com/post/marketing-measurement-and-attribution" TargetMode="External"/><Relationship Id="rId1739" Type="http://schemas.openxmlformats.org/officeDocument/2006/relationships/hyperlink" Target="http://cometly.com" TargetMode="External"/><Relationship Id="rId1720" Type="http://schemas.openxmlformats.org/officeDocument/2006/relationships/hyperlink" Target="https://clutch.co/seo-firms/link-building" TargetMode="External"/><Relationship Id="rId1721" Type="http://schemas.openxmlformats.org/officeDocument/2006/relationships/hyperlink" Target="http://clutch.co" TargetMode="External"/><Relationship Id="rId1722" Type="http://schemas.openxmlformats.org/officeDocument/2006/relationships/hyperlink" Target="https://www.colossalinfluence.com/biggest-marketing-agencies-uk/" TargetMode="External"/><Relationship Id="rId1723" Type="http://schemas.openxmlformats.org/officeDocument/2006/relationships/hyperlink" Target="http://colossalinfluence.com" TargetMode="External"/><Relationship Id="rId1724" Type="http://schemas.openxmlformats.org/officeDocument/2006/relationships/hyperlink" Target="https://www.cometly.com/post/agency-marketing-attribution-tools" TargetMode="External"/><Relationship Id="rId1725" Type="http://schemas.openxmlformats.org/officeDocument/2006/relationships/hyperlink" Target="http://cometly.com" TargetMode="External"/><Relationship Id="rId1726" Type="http://schemas.openxmlformats.org/officeDocument/2006/relationships/hyperlink" Target="https://www.cometly.com/post/ai-powered-ad-optimization-platform" TargetMode="External"/><Relationship Id="rId1727" Type="http://schemas.openxmlformats.org/officeDocument/2006/relationships/hyperlink" Target="http://cometly.com" TargetMode="External"/><Relationship Id="rId1728" Type="http://schemas.openxmlformats.org/officeDocument/2006/relationships/hyperlink" Target="https://www.cometly.com/post/attribution-platforms-for-agencies" TargetMode="External"/><Relationship Id="rId1729" Type="http://schemas.openxmlformats.org/officeDocument/2006/relationships/hyperlink" Target="http://cometly.com" TargetMode="External"/><Relationship Id="rId1752" Type="http://schemas.openxmlformats.org/officeDocument/2006/relationships/hyperlink" Target="https://www.consultancy.uk/services/expertise/ai-genai" TargetMode="External"/><Relationship Id="rId1753" Type="http://schemas.openxmlformats.org/officeDocument/2006/relationships/hyperlink" Target="http://consultancy.uk" TargetMode="External"/><Relationship Id="rId2600" Type="http://schemas.openxmlformats.org/officeDocument/2006/relationships/hyperlink" Target="http://spaceandtime.co.uk" TargetMode="External"/><Relationship Id="rId1754" Type="http://schemas.openxmlformats.org/officeDocument/2006/relationships/hyperlink" Target="https://coolnerdsmarketing.com/top-creative-agencies-us/" TargetMode="External"/><Relationship Id="rId2601" Type="http://schemas.openxmlformats.org/officeDocument/2006/relationships/hyperlink" Target="https://www.spotlightgb.co/" TargetMode="External"/><Relationship Id="rId1755" Type="http://schemas.openxmlformats.org/officeDocument/2006/relationships/hyperlink" Target="http://coolnerdsmarketing.com" TargetMode="External"/><Relationship Id="rId2602" Type="http://schemas.openxmlformats.org/officeDocument/2006/relationships/hyperlink" Target="http://spotlightgb.co" TargetMode="External"/><Relationship Id="rId1756" Type="http://schemas.openxmlformats.org/officeDocument/2006/relationships/hyperlink" Target="https://corbieredigital.co.uk/ppc-services/" TargetMode="External"/><Relationship Id="rId2603" Type="http://schemas.openxmlformats.org/officeDocument/2006/relationships/hyperlink" Target="https://www.sqdigital.co.uk/geo-agency/" TargetMode="External"/><Relationship Id="rId1757" Type="http://schemas.openxmlformats.org/officeDocument/2006/relationships/hyperlink" Target="http://corbieredigital.co.uk" TargetMode="External"/><Relationship Id="rId2604" Type="http://schemas.openxmlformats.org/officeDocument/2006/relationships/hyperlink" Target="http://sqdigital.co.uk" TargetMode="External"/><Relationship Id="rId1758" Type="http://schemas.openxmlformats.org/officeDocument/2006/relationships/hyperlink" Target="https://www.cornishwebservices.co.uk/articles/marketing/Top-10-Social-Media-Agencies-in-the-UK-in-2026.html" TargetMode="External"/><Relationship Id="rId2605" Type="http://schemas.openxmlformats.org/officeDocument/2006/relationships/hyperlink" Target="https://www.stackadapt.com/resources/blog/first-party-data-strategy" TargetMode="External"/><Relationship Id="rId1759" Type="http://schemas.openxmlformats.org/officeDocument/2006/relationships/hyperlink" Target="http://cornishwebservices.co.uk" TargetMode="External"/><Relationship Id="rId2606" Type="http://schemas.openxmlformats.org/officeDocument/2006/relationships/hyperlink" Target="http://stackadapt.com" TargetMode="External"/><Relationship Id="rId808" Type="http://schemas.openxmlformats.org/officeDocument/2006/relationships/hyperlink" Target="https://prod-dentsu-website-afd-ep-dcdpenekezfnd0hn.a02.azurefd.net/uk/en/marketing-effectiveness" TargetMode="External"/><Relationship Id="rId2607" Type="http://schemas.openxmlformats.org/officeDocument/2006/relationships/hyperlink" Target="https://staging.lynchpin.com/services/digital-analytics/" TargetMode="External"/><Relationship Id="rId807" Type="http://schemas.openxmlformats.org/officeDocument/2006/relationships/hyperlink" Target="http://ppcgeeks.co.uk" TargetMode="External"/><Relationship Id="rId2608" Type="http://schemas.openxmlformats.org/officeDocument/2006/relationships/hyperlink" Target="http://lynchpin.com" TargetMode="External"/><Relationship Id="rId806" Type="http://schemas.openxmlformats.org/officeDocument/2006/relationships/hyperlink" Target="https://ppcgeeks.co.uk/ppc/programmatic-advertising-companies/" TargetMode="External"/><Relationship Id="rId2609" Type="http://schemas.openxmlformats.org/officeDocument/2006/relationships/hyperlink" Target="https://stamp.productions/" TargetMode="External"/><Relationship Id="rId805" Type="http://schemas.openxmlformats.org/officeDocument/2006/relationships/hyperlink" Target="http://phable.io" TargetMode="External"/><Relationship Id="rId809" Type="http://schemas.openxmlformats.org/officeDocument/2006/relationships/hyperlink" Target="http://azurefd.net" TargetMode="External"/><Relationship Id="rId800" Type="http://schemas.openxmlformats.org/officeDocument/2006/relationships/hyperlink" Target="https://www.nutshell.com/blog/top-geo-agencies" TargetMode="External"/><Relationship Id="rId804" Type="http://schemas.openxmlformats.org/officeDocument/2006/relationships/hyperlink" Target="https://www.phable.io/top-branding-agencies/top-branding-agencies-in-the-uk-experts-in-building-iconic-identities" TargetMode="External"/><Relationship Id="rId803" Type="http://schemas.openxmlformats.org/officeDocument/2006/relationships/hyperlink" Target="http://phable.io" TargetMode="External"/><Relationship Id="rId802" Type="http://schemas.openxmlformats.org/officeDocument/2006/relationships/hyperlink" Target="https://www.phable.io/top-branding-agencies/top-branding-agencies-in-the-uk-2025-leaders-in-creative-identity" TargetMode="External"/><Relationship Id="rId801" Type="http://schemas.openxmlformats.org/officeDocument/2006/relationships/hyperlink" Target="http://nutshell.com" TargetMode="External"/><Relationship Id="rId1750" Type="http://schemas.openxmlformats.org/officeDocument/2006/relationships/hyperlink" Target="https://www.consultancy.uk/rankings/top-consulting-firms-in-the-uk-by-area-of-expertise/marketing" TargetMode="External"/><Relationship Id="rId1751" Type="http://schemas.openxmlformats.org/officeDocument/2006/relationships/hyperlink" Target="http://consultancy.uk" TargetMode="External"/><Relationship Id="rId1741" Type="http://schemas.openxmlformats.org/officeDocument/2006/relationships/hyperlink" Target="http://cometly.com" TargetMode="External"/><Relationship Id="rId1742" Type="http://schemas.openxmlformats.org/officeDocument/2006/relationships/hyperlink" Target="https://www.cometly.com/post/tools-for-marketing-analytics" TargetMode="External"/><Relationship Id="rId1743" Type="http://schemas.openxmlformats.org/officeDocument/2006/relationships/hyperlink" Target="http://cometly.com" TargetMode="External"/><Relationship Id="rId1744" Type="http://schemas.openxmlformats.org/officeDocument/2006/relationships/hyperlink" Target="https://companies.london/performance-marketing-companies/" TargetMode="External"/><Relationship Id="rId1745" Type="http://schemas.openxmlformats.org/officeDocument/2006/relationships/hyperlink" Target="https://www.comparisonshoppingpartners.withgoogle.com/find_a_partner/" TargetMode="External"/><Relationship Id="rId1746" Type="http://schemas.openxmlformats.org/officeDocument/2006/relationships/hyperlink" Target="http://withgoogle.com" TargetMode="External"/><Relationship Id="rId1747" Type="http://schemas.openxmlformats.org/officeDocument/2006/relationships/hyperlink" Target="https://connective3.com/services/paid-media/google-premier-partners/" TargetMode="External"/><Relationship Id="rId1748" Type="http://schemas.openxmlformats.org/officeDocument/2006/relationships/hyperlink" Target="http://connective3.com" TargetMode="External"/><Relationship Id="rId1749" Type="http://schemas.openxmlformats.org/officeDocument/2006/relationships/hyperlink" Target="https://www.consultancy.eu/news/7008/googles-top-emea-premier-partner-digital-marketing-consultancies" TargetMode="External"/><Relationship Id="rId1740" Type="http://schemas.openxmlformats.org/officeDocument/2006/relationships/hyperlink" Target="https://www.cometly.com/post/media-buying-optimization-tool" TargetMode="External"/><Relationship Id="rId1710" Type="http://schemas.openxmlformats.org/officeDocument/2006/relationships/hyperlink" Target="https://clutch.co/agencies/programmatic/uk/england/manchester" TargetMode="External"/><Relationship Id="rId1711" Type="http://schemas.openxmlformats.org/officeDocument/2006/relationships/hyperlink" Target="http://clutch.co" TargetMode="External"/><Relationship Id="rId1712" Type="http://schemas.openxmlformats.org/officeDocument/2006/relationships/hyperlink" Target="https://clutch.co/agencies/programmatic/uk?page=2" TargetMode="External"/><Relationship Id="rId1713" Type="http://schemas.openxmlformats.org/officeDocument/2006/relationships/hyperlink" Target="http://clutch.co" TargetMode="External"/><Relationship Id="rId1714" Type="http://schemas.openxmlformats.org/officeDocument/2006/relationships/hyperlink" Target="https://clutch.co/agencies/social-media-marketing/tik-tok/uk" TargetMode="External"/><Relationship Id="rId1715" Type="http://schemas.openxmlformats.org/officeDocument/2006/relationships/hyperlink" Target="http://clutch.co" TargetMode="External"/><Relationship Id="rId1716" Type="http://schemas.openxmlformats.org/officeDocument/2006/relationships/hyperlink" Target="https://clutch.co/developers/ecommerce" TargetMode="External"/><Relationship Id="rId1717" Type="http://schemas.openxmlformats.org/officeDocument/2006/relationships/hyperlink" Target="http://clutch.co" TargetMode="External"/><Relationship Id="rId1718" Type="http://schemas.openxmlformats.org/officeDocument/2006/relationships/hyperlink" Target="https://clutch.co/seo-firms/amazon/uk" TargetMode="External"/><Relationship Id="rId1719" Type="http://schemas.openxmlformats.org/officeDocument/2006/relationships/hyperlink" Target="http://clutch.co" TargetMode="External"/><Relationship Id="rId1700" Type="http://schemas.openxmlformats.org/officeDocument/2006/relationships/hyperlink" Target="https://clutch.co/agencies/market-research/uk" TargetMode="External"/><Relationship Id="rId1701" Type="http://schemas.openxmlformats.org/officeDocument/2006/relationships/hyperlink" Target="http://clutch.co" TargetMode="External"/><Relationship Id="rId1702" Type="http://schemas.openxmlformats.org/officeDocument/2006/relationships/hyperlink" Target="https://clutch.co/agencies/performance-marketing%3Fpage%3D0" TargetMode="External"/><Relationship Id="rId1703" Type="http://schemas.openxmlformats.org/officeDocument/2006/relationships/hyperlink" Target="http://clutch.co" TargetMode="External"/><Relationship Id="rId1704" Type="http://schemas.openxmlformats.org/officeDocument/2006/relationships/hyperlink" Target="https://clutch.co/agencies/ppc/display%3Fpage%3D0" TargetMode="External"/><Relationship Id="rId1705" Type="http://schemas.openxmlformats.org/officeDocument/2006/relationships/hyperlink" Target="http://clutch.co" TargetMode="External"/><Relationship Id="rId1706" Type="http://schemas.openxmlformats.org/officeDocument/2006/relationships/hyperlink" Target="https://clutch.co/agencies/ppc/uk/england/nottingham" TargetMode="External"/><Relationship Id="rId1707" Type="http://schemas.openxmlformats.org/officeDocument/2006/relationships/hyperlink" Target="http://clutch.co" TargetMode="External"/><Relationship Id="rId1708" Type="http://schemas.openxmlformats.org/officeDocument/2006/relationships/hyperlink" Target="https://clutch.co/agencies/programmatic/uk/england/london" TargetMode="External"/><Relationship Id="rId1709" Type="http://schemas.openxmlformats.org/officeDocument/2006/relationships/hyperlink" Target="http://clutch.co" TargetMode="External"/><Relationship Id="rId40" Type="http://schemas.openxmlformats.org/officeDocument/2006/relationships/hyperlink" Target="https://agencies.semrush.com/list/display-advertising/united-kingdom/" TargetMode="External"/><Relationship Id="rId1334" Type="http://schemas.openxmlformats.org/officeDocument/2006/relationships/hyperlink" Target="http://primelis.co.uk" TargetMode="External"/><Relationship Id="rId2665" Type="http://schemas.openxmlformats.org/officeDocument/2006/relationships/hyperlink" Target="http://theatdb.com" TargetMode="External"/><Relationship Id="rId1335" Type="http://schemas.openxmlformats.org/officeDocument/2006/relationships/hyperlink" Target="https://prioritypixels.co.uk/about/accreditations/google-partner/" TargetMode="External"/><Relationship Id="rId2666" Type="http://schemas.openxmlformats.org/officeDocument/2006/relationships/hyperlink" Target="https://www.theaustralian.com.au/business/growth-agenda/marketers-trapped-in-roi-death-spiral-need-to-think-like-investors/news-story/4103c5b9879892d34bcaee3dc85a71fa" TargetMode="External"/><Relationship Id="rId42" Type="http://schemas.openxmlformats.org/officeDocument/2006/relationships/hyperlink" Target="https://bind.media/insights/top-11-google-analytics-agencies-in-the-uk-2025" TargetMode="External"/><Relationship Id="rId1336" Type="http://schemas.openxmlformats.org/officeDocument/2006/relationships/hyperlink" Target="http://prioritypixels.co.uk" TargetMode="External"/><Relationship Id="rId2667" Type="http://schemas.openxmlformats.org/officeDocument/2006/relationships/hyperlink" Target="http://theaustralian.com.au" TargetMode="External"/><Relationship Id="rId41" Type="http://schemas.openxmlformats.org/officeDocument/2006/relationships/hyperlink" Target="http://semrush.com" TargetMode="External"/><Relationship Id="rId1337" Type="http://schemas.openxmlformats.org/officeDocument/2006/relationships/hyperlink" Target="https://psychemeta.com/paid-socials.html" TargetMode="External"/><Relationship Id="rId2668" Type="http://schemas.openxmlformats.org/officeDocument/2006/relationships/hyperlink" Target="https://www.theaustralian.com.au/business/growth-agenda/reinventing-media-how-accenture-song-plans-to-overhaul-media/news-story/69b59fae5073dde8984e001927f62bfd" TargetMode="External"/><Relationship Id="rId44" Type="http://schemas.openxmlformats.org/officeDocument/2006/relationships/hyperlink" Target="http://digitallitmus.com" TargetMode="External"/><Relationship Id="rId1338" Type="http://schemas.openxmlformats.org/officeDocument/2006/relationships/hyperlink" Target="http://psychemeta.com" TargetMode="External"/><Relationship Id="rId2669" Type="http://schemas.openxmlformats.org/officeDocument/2006/relationships/hyperlink" Target="http://theaustralian.com.au" TargetMode="External"/><Relationship Id="rId43" Type="http://schemas.openxmlformats.org/officeDocument/2006/relationships/hyperlink" Target="https://www.digitallitmus.com/blog/best-marketing-agencies-uk" TargetMode="External"/><Relationship Id="rId1339" Type="http://schemas.openxmlformats.org/officeDocument/2006/relationships/hyperlink" Target="https://www.rank4ai.co.uk/research/rankings/ai-search-agencies-compared/" TargetMode="External"/><Relationship Id="rId46" Type="http://schemas.openxmlformats.org/officeDocument/2006/relationships/hyperlink" Target="http://digital-landscope.com" TargetMode="External"/><Relationship Id="rId45" Type="http://schemas.openxmlformats.org/officeDocument/2006/relationships/hyperlink" Target="https://digital-landscope.com/best-geo-agencies-in-the-uk/" TargetMode="External"/><Relationship Id="rId745" Type="http://schemas.openxmlformats.org/officeDocument/2006/relationships/hyperlink" Target="http://zipdo.co" TargetMode="External"/><Relationship Id="rId744" Type="http://schemas.openxmlformats.org/officeDocument/2006/relationships/hyperlink" Target="https://zipdo.co/service/attribution/" TargetMode="External"/><Relationship Id="rId743" Type="http://schemas.openxmlformats.org/officeDocument/2006/relationships/hyperlink" Target="http://warc.com" TargetMode="External"/><Relationship Id="rId742" Type="http://schemas.openxmlformats.org/officeDocument/2006/relationships/hyperlink" Target="https://www.warc.com/en/rankings/creative-100" TargetMode="External"/><Relationship Id="rId749" Type="http://schemas.openxmlformats.org/officeDocument/2006/relationships/hyperlink" Target="https://bestwebdevelopers.co.uk/display-advertising/" TargetMode="External"/><Relationship Id="rId748" Type="http://schemas.openxmlformats.org/officeDocument/2006/relationships/hyperlink" Target="https://bark.london/" TargetMode="External"/><Relationship Id="rId747" Type="http://schemas.openxmlformats.org/officeDocument/2006/relationships/hyperlink" Target="http://aireadinesspartner.com" TargetMode="External"/><Relationship Id="rId746" Type="http://schemas.openxmlformats.org/officeDocument/2006/relationships/hyperlink" Target="https://aireadinesspartner.com/" TargetMode="External"/><Relationship Id="rId48" Type="http://schemas.openxmlformats.org/officeDocument/2006/relationships/hyperlink" Target="http://localiq.co.uk" TargetMode="External"/><Relationship Id="rId47" Type="http://schemas.openxmlformats.org/officeDocument/2006/relationships/hyperlink" Target="https://localiq.co.uk/digital-marketing-services/display-advertising" TargetMode="External"/><Relationship Id="rId49" Type="http://schemas.openxmlformats.org/officeDocument/2006/relationships/hyperlink" Target="https://www.measured.com/faq/best-incrementality-testing-companies-software-for-marketing-2026/" TargetMode="External"/><Relationship Id="rId2660" Type="http://schemas.openxmlformats.org/officeDocument/2006/relationships/hyperlink" Target="https://www.techradar.com/pro/marketing-doesnt-have-a-data-problem-it-has-an-action-problem" TargetMode="External"/><Relationship Id="rId741" Type="http://schemas.openxmlformats.org/officeDocument/2006/relationships/hyperlink" Target="http://warc.com" TargetMode="External"/><Relationship Id="rId1330" Type="http://schemas.openxmlformats.org/officeDocument/2006/relationships/hyperlink" Target="https://pinpoint-media.global/insights/best-10-digital-marketing-companies-in-the-uk-2026" TargetMode="External"/><Relationship Id="rId2661" Type="http://schemas.openxmlformats.org/officeDocument/2006/relationships/hyperlink" Target="http://techradar.com" TargetMode="External"/><Relationship Id="rId740" Type="http://schemas.openxmlformats.org/officeDocument/2006/relationships/hyperlink" Target="https://www.warc.com/en/data-benchmarks/rankings-creative-100-overview" TargetMode="External"/><Relationship Id="rId1331" Type="http://schemas.openxmlformats.org/officeDocument/2006/relationships/hyperlink" Target="https://ppcgeeks.co.uk/ppc/top-7-google-ads-agencies-in-the-uk-for-exceptional-ppc-results/" TargetMode="External"/><Relationship Id="rId2662" Type="http://schemas.openxmlformats.org/officeDocument/2006/relationships/hyperlink" Target="https://www.theadlounge.co.uk/" TargetMode="External"/><Relationship Id="rId1332" Type="http://schemas.openxmlformats.org/officeDocument/2006/relationships/hyperlink" Target="http://ppcgeeks.co.uk" TargetMode="External"/><Relationship Id="rId2663" Type="http://schemas.openxmlformats.org/officeDocument/2006/relationships/hyperlink" Target="http://theadlounge.co.uk" TargetMode="External"/><Relationship Id="rId1333" Type="http://schemas.openxmlformats.org/officeDocument/2006/relationships/hyperlink" Target="https://primelis.co.uk/" TargetMode="External"/><Relationship Id="rId2664" Type="http://schemas.openxmlformats.org/officeDocument/2006/relationships/hyperlink" Target="https://www.theatdb.com/companies/amv-bbdo" TargetMode="External"/><Relationship Id="rId1323" Type="http://schemas.openxmlformats.org/officeDocument/2006/relationships/hyperlink" Target="http://orm-tech.com" TargetMode="External"/><Relationship Id="rId2654" Type="http://schemas.openxmlformats.org/officeDocument/2006/relationships/hyperlink" Target="https://www.techradar.com/pro/companies-that-can-serve-both-human-and-agent-audiences-will-be-the-ones-that-survive-wordpress-vip-cto-spells-out-the-future-of-seo-geo-and-more" TargetMode="External"/><Relationship Id="rId1324" Type="http://schemas.openxmlformats.org/officeDocument/2006/relationships/hyperlink" Target="https://www.outrightcrm.com/blog/roi-focused-digital-marketing-agencies/" TargetMode="External"/><Relationship Id="rId2655" Type="http://schemas.openxmlformats.org/officeDocument/2006/relationships/hyperlink" Target="http://techradar.com" TargetMode="External"/><Relationship Id="rId31" Type="http://schemas.openxmlformats.org/officeDocument/2006/relationships/hyperlink" Target="http://nogood.io" TargetMode="External"/><Relationship Id="rId1325" Type="http://schemas.openxmlformats.org/officeDocument/2006/relationships/hyperlink" Target="http://outrightcrm.com" TargetMode="External"/><Relationship Id="rId2656" Type="http://schemas.openxmlformats.org/officeDocument/2006/relationships/hyperlink" Target="https://www.techradar.com/pro/how-ai-has-made-bad-measurement-worse" TargetMode="External"/><Relationship Id="rId30" Type="http://schemas.openxmlformats.org/officeDocument/2006/relationships/hyperlink" Target="https://nogood.io/blog/marketing-analytics-agency-uk/" TargetMode="External"/><Relationship Id="rId1326" Type="http://schemas.openxmlformats.org/officeDocument/2006/relationships/hyperlink" Target="https://oxdpr.com/advertising-firms-london/" TargetMode="External"/><Relationship Id="rId2657" Type="http://schemas.openxmlformats.org/officeDocument/2006/relationships/hyperlink" Target="http://techradar.com" TargetMode="External"/><Relationship Id="rId33" Type="http://schemas.openxmlformats.org/officeDocument/2006/relationships/hyperlink" Target="http://sortlist.co.uk" TargetMode="External"/><Relationship Id="rId1327" Type="http://schemas.openxmlformats.org/officeDocument/2006/relationships/hyperlink" Target="http://oxdpr.com" TargetMode="External"/><Relationship Id="rId2658" Type="http://schemas.openxmlformats.org/officeDocument/2006/relationships/hyperlink" Target="https://www.techradar.com/pro/many-businesses-are-deploying-ai-faster-than-theyre-preparing-employees-leading-to-an-ai-underclass-at-some-firms" TargetMode="External"/><Relationship Id="rId32" Type="http://schemas.openxmlformats.org/officeDocument/2006/relationships/hyperlink" Target="https://www.sortlist.co.uk/s/ai-marketing/united-kingdom-gb" TargetMode="External"/><Relationship Id="rId1328" Type="http://schemas.openxmlformats.org/officeDocument/2006/relationships/hyperlink" Target="https://phosailabs.com/blog/best-ai-consulting-firms-marketing-agencies" TargetMode="External"/><Relationship Id="rId2659" Type="http://schemas.openxmlformats.org/officeDocument/2006/relationships/hyperlink" Target="http://techradar.com" TargetMode="External"/><Relationship Id="rId35" Type="http://schemas.openxmlformats.org/officeDocument/2006/relationships/hyperlink" Target="http://geniecrawl.com" TargetMode="External"/><Relationship Id="rId1329" Type="http://schemas.openxmlformats.org/officeDocument/2006/relationships/hyperlink" Target="http://phosailabs.com" TargetMode="External"/><Relationship Id="rId34" Type="http://schemas.openxmlformats.org/officeDocument/2006/relationships/hyperlink" Target="https://www.geniecrawl.com/top-50-geo-and-ai-marketing-agencies-in-the-uk-2026-rankings/" TargetMode="External"/><Relationship Id="rId739" Type="http://schemas.openxmlformats.org/officeDocument/2006/relationships/hyperlink" Target="http://visarc.uk" TargetMode="External"/><Relationship Id="rId734" Type="http://schemas.openxmlformats.org/officeDocument/2006/relationships/hyperlink" Target="https://www.techradar.com/pro/how-to-use-an-aeo-tool-for-your-small-business" TargetMode="External"/><Relationship Id="rId733" Type="http://schemas.openxmlformats.org/officeDocument/2006/relationships/hyperlink" Target="http://startups.co.uk" TargetMode="External"/><Relationship Id="rId732" Type="http://schemas.openxmlformats.org/officeDocument/2006/relationships/hyperlink" Target="https://startups.co.uk/marketing/best-social-media-marketing-agencies-uk/" TargetMode="External"/><Relationship Id="rId731" Type="http://schemas.openxmlformats.org/officeDocument/2006/relationships/hyperlink" Target="http://sortlist.com" TargetMode="External"/><Relationship Id="rId738" Type="http://schemas.openxmlformats.org/officeDocument/2006/relationships/hyperlink" Target="https://visarc.uk/services/digital-marketing-agency/display-advertising-agency/" TargetMode="External"/><Relationship Id="rId737" Type="http://schemas.openxmlformats.org/officeDocument/2006/relationships/hyperlink" Target="http://thegoodmarketer.co.uk" TargetMode="External"/><Relationship Id="rId736" Type="http://schemas.openxmlformats.org/officeDocument/2006/relationships/hyperlink" Target="https://thegoodmarketer.co.uk/" TargetMode="External"/><Relationship Id="rId735" Type="http://schemas.openxmlformats.org/officeDocument/2006/relationships/hyperlink" Target="http://techradar.com" TargetMode="External"/><Relationship Id="rId37" Type="http://schemas.openxmlformats.org/officeDocument/2006/relationships/hyperlink" Target="http://influencer-hero.com" TargetMode="External"/><Relationship Id="rId36" Type="http://schemas.openxmlformats.org/officeDocument/2006/relationships/hyperlink" Target="https://www.influencer-hero.com/blogs/top-paid-media-agencies-in-the-united-kingdom" TargetMode="External"/><Relationship Id="rId39" Type="http://schemas.openxmlformats.org/officeDocument/2006/relationships/hyperlink" Target="http://clickslice.co.uk" TargetMode="External"/><Relationship Id="rId38" Type="http://schemas.openxmlformats.org/officeDocument/2006/relationships/hyperlink" Target="https://www.clickslice.co.uk/top-aeo-agencies-uk/" TargetMode="External"/><Relationship Id="rId730" Type="http://schemas.openxmlformats.org/officeDocument/2006/relationships/hyperlink" Target="https://www.sortlist.com/display-advertising" TargetMode="External"/><Relationship Id="rId2650" Type="http://schemas.openxmlformats.org/officeDocument/2006/relationships/hyperlink" Target="https://techbehemoths.com/companies/advertising/united-kingdom" TargetMode="External"/><Relationship Id="rId1320" Type="http://schemas.openxmlformats.org/officeDocument/2006/relationships/hyperlink" Target="https://optimisemedia.com/agency-services/" TargetMode="External"/><Relationship Id="rId2651" Type="http://schemas.openxmlformats.org/officeDocument/2006/relationships/hyperlink" Target="http://techbehemoths.com" TargetMode="External"/><Relationship Id="rId1321" Type="http://schemas.openxmlformats.org/officeDocument/2006/relationships/hyperlink" Target="http://optimisemedia.com" TargetMode="External"/><Relationship Id="rId2652" Type="http://schemas.openxmlformats.org/officeDocument/2006/relationships/hyperlink" Target="https://technologyarch.com/it-consulting/ai-adoption/" TargetMode="External"/><Relationship Id="rId1322" Type="http://schemas.openxmlformats.org/officeDocument/2006/relationships/hyperlink" Target="https://orm-tech.com/blog/best-marketing-attribution-software/" TargetMode="External"/><Relationship Id="rId2653" Type="http://schemas.openxmlformats.org/officeDocument/2006/relationships/hyperlink" Target="http://technologyarch.com" TargetMode="External"/><Relationship Id="rId1356" Type="http://schemas.openxmlformats.org/officeDocument/2006/relationships/hyperlink" Target="https://www.sortlist.co.uk/s/ai-marketing/london-england-gb" TargetMode="External"/><Relationship Id="rId2203" Type="http://schemas.openxmlformats.org/officeDocument/2006/relationships/hyperlink" Target="https://www.linkedin.com/pulse/top-21-data-science-consulting-companies-2026-saurabh-sharma-kzwge" TargetMode="External"/><Relationship Id="rId2687" Type="http://schemas.openxmlformats.org/officeDocument/2006/relationships/hyperlink" Target="http://thedrum.com" TargetMode="External"/><Relationship Id="rId1357" Type="http://schemas.openxmlformats.org/officeDocument/2006/relationships/hyperlink" Target="http://sortlist.co.uk" TargetMode="External"/><Relationship Id="rId2204" Type="http://schemas.openxmlformats.org/officeDocument/2006/relationships/hyperlink" Target="http://linkedin.com" TargetMode="External"/><Relationship Id="rId2688" Type="http://schemas.openxmlformats.org/officeDocument/2006/relationships/hyperlink" Target="https://www.thedrum.com/profile/jaywing/article/jaywing-bolsters-senior-team-with-two-new-hires" TargetMode="External"/><Relationship Id="rId20" Type="http://schemas.openxmlformats.org/officeDocument/2006/relationships/hyperlink" Target="https://wearehumaine.com/best-ai-first-marketing-agencies-uk-2026/" TargetMode="External"/><Relationship Id="rId1358" Type="http://schemas.openxmlformats.org/officeDocument/2006/relationships/hyperlink" Target="https://www.sortlist.co.uk/s/attribution-marketing/essex-england-gb" TargetMode="External"/><Relationship Id="rId2205" Type="http://schemas.openxmlformats.org/officeDocument/2006/relationships/hyperlink" Target="https://localiq.co.uk/digital-marketing-services/seo/ai-search" TargetMode="External"/><Relationship Id="rId2689" Type="http://schemas.openxmlformats.org/officeDocument/2006/relationships/hyperlink" Target="http://thedrum.com" TargetMode="External"/><Relationship Id="rId1359" Type="http://schemas.openxmlformats.org/officeDocument/2006/relationships/hyperlink" Target="http://sortlist.co.uk" TargetMode="External"/><Relationship Id="rId2206" Type="http://schemas.openxmlformats.org/officeDocument/2006/relationships/hyperlink" Target="http://localiq.co.uk" TargetMode="External"/><Relationship Id="rId22" Type="http://schemas.openxmlformats.org/officeDocument/2006/relationships/hyperlink" Target="https://www.polarisagency.com/marketing-insights/best-aeo-agencies-uk/" TargetMode="External"/><Relationship Id="rId2207" Type="http://schemas.openxmlformats.org/officeDocument/2006/relationships/hyperlink" Target="https://www.loomdigital.co.uk/paid-search-ppc/google-ads/" TargetMode="External"/><Relationship Id="rId21" Type="http://schemas.openxmlformats.org/officeDocument/2006/relationships/hyperlink" Target="http://wearehumaine.com" TargetMode="External"/><Relationship Id="rId2208" Type="http://schemas.openxmlformats.org/officeDocument/2006/relationships/hyperlink" Target="http://loomdigital.co.uk" TargetMode="External"/><Relationship Id="rId24" Type="http://schemas.openxmlformats.org/officeDocument/2006/relationships/hyperlink" Target="https://www.clickslice.co.uk/top-performance-marketing-agencies/" TargetMode="External"/><Relationship Id="rId2209" Type="http://schemas.openxmlformats.org/officeDocument/2006/relationships/hyperlink" Target="https://www.loudface.co/blog/best-aeo-agencies-b2b-saas-2026" TargetMode="External"/><Relationship Id="rId23" Type="http://schemas.openxmlformats.org/officeDocument/2006/relationships/hyperlink" Target="http://polarisagency.com" TargetMode="External"/><Relationship Id="rId767" Type="http://schemas.openxmlformats.org/officeDocument/2006/relationships/hyperlink" Target="https://directiveconsulting.com/uk/blog/25-best-paid-media-agencies-that-turn-ad-spend-into-revenue/" TargetMode="External"/><Relationship Id="rId766" Type="http://schemas.openxmlformats.org/officeDocument/2006/relationships/hyperlink" Target="http://digitalmarketingsupermarket.com" TargetMode="External"/><Relationship Id="rId765" Type="http://schemas.openxmlformats.org/officeDocument/2006/relationships/hyperlink" Target="https://digitalmarketingsupermarket.com/blog/best-ai-marketing-agencies-2026/" TargetMode="External"/><Relationship Id="rId764" Type="http://schemas.openxmlformats.org/officeDocument/2006/relationships/hyperlink" Target="http://designrush.com" TargetMode="External"/><Relationship Id="rId769" Type="http://schemas.openxmlformats.org/officeDocument/2006/relationships/hyperlink" Target="https://www.ecomone.com/insights/best-ppc-agencies/" TargetMode="External"/><Relationship Id="rId768" Type="http://schemas.openxmlformats.org/officeDocument/2006/relationships/hyperlink" Target="http://directiveconsulting.com" TargetMode="External"/><Relationship Id="rId26" Type="http://schemas.openxmlformats.org/officeDocument/2006/relationships/hyperlink" Target="https://www.dontpaniclondon.com/blog/best-uk-creative-agencies/" TargetMode="External"/><Relationship Id="rId25" Type="http://schemas.openxmlformats.org/officeDocument/2006/relationships/hyperlink" Target="http://clickslice.co.uk" TargetMode="External"/><Relationship Id="rId2680" Type="http://schemas.openxmlformats.org/officeDocument/2006/relationships/hyperlink" Target="https://www.thedrum.com/news/end-era-creatives-reflect-adameveddb-s-best-john-lewis-ads" TargetMode="External"/><Relationship Id="rId28" Type="http://schemas.openxmlformats.org/officeDocument/2006/relationships/hyperlink" Target="https://www.pushgroup.co.uk/blog/top-9-paid-social-agencies-uk" TargetMode="External"/><Relationship Id="rId1350" Type="http://schemas.openxmlformats.org/officeDocument/2006/relationships/hyperlink" Target="http://scopicstudios.com" TargetMode="External"/><Relationship Id="rId2681" Type="http://schemas.openxmlformats.org/officeDocument/2006/relationships/hyperlink" Target="http://thedrum.com" TargetMode="External"/><Relationship Id="rId27" Type="http://schemas.openxmlformats.org/officeDocument/2006/relationships/hyperlink" Target="http://dontpaniclondon.com" TargetMode="External"/><Relationship Id="rId1351" Type="http://schemas.openxmlformats.org/officeDocument/2006/relationships/hyperlink" Target="https://silverspoonagency.com/best-performance-marketing-agencies/" TargetMode="External"/><Relationship Id="rId2682" Type="http://schemas.openxmlformats.org/officeDocument/2006/relationships/hyperlink" Target="https://www.thedrum.com/news/serviceplan-reclaims-emea-agency-top-spot-in-2026-world-creative-rankings" TargetMode="External"/><Relationship Id="rId763" Type="http://schemas.openxmlformats.org/officeDocument/2006/relationships/hyperlink" Target="https://www.designrush.com/agency/social-media-marketing/uk" TargetMode="External"/><Relationship Id="rId1352" Type="http://schemas.openxmlformats.org/officeDocument/2006/relationships/hyperlink" Target="http://silverspoonagency.com" TargetMode="External"/><Relationship Id="rId2683" Type="http://schemas.openxmlformats.org/officeDocument/2006/relationships/hyperlink" Target="http://thedrum.com" TargetMode="External"/><Relationship Id="rId29" Type="http://schemas.openxmlformats.org/officeDocument/2006/relationships/hyperlink" Target="http://pushgroup.co.uk" TargetMode="External"/><Relationship Id="rId762" Type="http://schemas.openxmlformats.org/officeDocument/2006/relationships/hyperlink" Target="http://creativecircle.co.uk" TargetMode="External"/><Relationship Id="rId1353" Type="http://schemas.openxmlformats.org/officeDocument/2006/relationships/hyperlink" Target="https://simplicity.media/" TargetMode="External"/><Relationship Id="rId2200" Type="http://schemas.openxmlformats.org/officeDocument/2006/relationships/hyperlink" Target="http://lightworksconsulting.uk" TargetMode="External"/><Relationship Id="rId2684" Type="http://schemas.openxmlformats.org/officeDocument/2006/relationships/hyperlink" Target="https://www.thedrum.com/news/world-creative-rankings-the-top-holding-companies-and-best-agency-networks-the" TargetMode="External"/><Relationship Id="rId761" Type="http://schemas.openxmlformats.org/officeDocument/2006/relationships/hyperlink" Target="https://www.creativecircle.co.uk/rankings" TargetMode="External"/><Relationship Id="rId1354" Type="http://schemas.openxmlformats.org/officeDocument/2006/relationships/hyperlink" Target="https://socialander.com/top-digital-marketing-company-in-the-united-kingdom/" TargetMode="External"/><Relationship Id="rId2201" Type="http://schemas.openxmlformats.org/officeDocument/2006/relationships/hyperlink" Target="https://www.linkedin.com/pulse/deconstructing-common-solutions-first-party-data-pierre-cholet-booce" TargetMode="External"/><Relationship Id="rId2685" Type="http://schemas.openxmlformats.org/officeDocument/2006/relationships/hyperlink" Target="http://thedrum.com" TargetMode="External"/><Relationship Id="rId760" Type="http://schemas.openxmlformats.org/officeDocument/2006/relationships/hyperlink" Target="http://cometly.com" TargetMode="External"/><Relationship Id="rId1355" Type="http://schemas.openxmlformats.org/officeDocument/2006/relationships/hyperlink" Target="http://socialander.com" TargetMode="External"/><Relationship Id="rId2202" Type="http://schemas.openxmlformats.org/officeDocument/2006/relationships/hyperlink" Target="http://linkedin.com" TargetMode="External"/><Relationship Id="rId2686" Type="http://schemas.openxmlformats.org/officeDocument/2006/relationships/hyperlink" Target="https://www.thedrum.com/opinion/10-recommended-agencies-you-can-trust-data-services" TargetMode="External"/><Relationship Id="rId1345" Type="http://schemas.openxmlformats.org/officeDocument/2006/relationships/hyperlink" Target="https://www.rezaid.co.uk/top-7-display-advertising-agencies-2025/" TargetMode="External"/><Relationship Id="rId2676" Type="http://schemas.openxmlformats.org/officeDocument/2006/relationships/hyperlink" Target="https://thedigitalelevator.com/blog/best-generative-engine-optimization-geo-agencies/" TargetMode="External"/><Relationship Id="rId1346" Type="http://schemas.openxmlformats.org/officeDocument/2006/relationships/hyperlink" Target="http://rezaid.co.uk" TargetMode="External"/><Relationship Id="rId2677" Type="http://schemas.openxmlformats.org/officeDocument/2006/relationships/hyperlink" Target="http://thedigitalelevator.com" TargetMode="External"/><Relationship Id="rId1347" Type="http://schemas.openxmlformats.org/officeDocument/2006/relationships/hyperlink" Target="https://www.rightfirms.co/directory/geo-services/country/united-kingdom" TargetMode="External"/><Relationship Id="rId2678" Type="http://schemas.openxmlformats.org/officeDocument/2006/relationships/hyperlink" Target="https://www.thedrum.com/lists/world-creative-rankings/companies/the-most-awarded-agencies-uk-ireland" TargetMode="External"/><Relationship Id="rId1348" Type="http://schemas.openxmlformats.org/officeDocument/2006/relationships/hyperlink" Target="http://rightfirms.co" TargetMode="External"/><Relationship Id="rId2679" Type="http://schemas.openxmlformats.org/officeDocument/2006/relationships/hyperlink" Target="http://thedrum.com" TargetMode="External"/><Relationship Id="rId11" Type="http://schemas.openxmlformats.org/officeDocument/2006/relationships/hyperlink" Target="http://clutch.co" TargetMode="External"/><Relationship Id="rId1349" Type="http://schemas.openxmlformats.org/officeDocument/2006/relationships/hyperlink" Target="https://scopicstudios.com/blog/top-performance-marketing-agencies/" TargetMode="External"/><Relationship Id="rId10" Type="http://schemas.openxmlformats.org/officeDocument/2006/relationships/hyperlink" Target="https://clutch.co/agencies/uk" TargetMode="External"/><Relationship Id="rId13" Type="http://schemas.openxmlformats.org/officeDocument/2006/relationships/hyperlink" Target="http://polarisagency.com" TargetMode="External"/><Relationship Id="rId12" Type="http://schemas.openxmlformats.org/officeDocument/2006/relationships/hyperlink" Target="https://www.polarisagency.com/marketing-insights/best-geo-services-uk/" TargetMode="External"/><Relationship Id="rId756" Type="http://schemas.openxmlformats.org/officeDocument/2006/relationships/hyperlink" Target="http://clutch.co" TargetMode="External"/><Relationship Id="rId755" Type="http://schemas.openxmlformats.org/officeDocument/2006/relationships/hyperlink" Target="https://clutch.co/agencies/performance-marketing" TargetMode="External"/><Relationship Id="rId754" Type="http://schemas.openxmlformats.org/officeDocument/2006/relationships/hyperlink" Target="http://birdeye.com" TargetMode="External"/><Relationship Id="rId753" Type="http://schemas.openxmlformats.org/officeDocument/2006/relationships/hyperlink" Target="https://birdeye.com/blog/ai-companies-uk/" TargetMode="External"/><Relationship Id="rId759" Type="http://schemas.openxmlformats.org/officeDocument/2006/relationships/hyperlink" Target="https://www.cometly.com/post/incrementality-measurement-tool" TargetMode="External"/><Relationship Id="rId758" Type="http://schemas.openxmlformats.org/officeDocument/2006/relationships/hyperlink" Target="http://clutch.co" TargetMode="External"/><Relationship Id="rId757" Type="http://schemas.openxmlformats.org/officeDocument/2006/relationships/hyperlink" Target="https://clutch.co/agencies/ppc/display/uk?page=1" TargetMode="External"/><Relationship Id="rId15" Type="http://schemas.openxmlformats.org/officeDocument/2006/relationships/hyperlink" Target="http://digitalagencynetwork.com" TargetMode="External"/><Relationship Id="rId14" Type="http://schemas.openxmlformats.org/officeDocument/2006/relationships/hyperlink" Target="https://digitalagencynetwork.com/agencies/uk/ai-marketing/" TargetMode="External"/><Relationship Id="rId17" Type="http://schemas.openxmlformats.org/officeDocument/2006/relationships/hyperlink" Target="https://clutch.co/agencies/digital-marketing/uk" TargetMode="External"/><Relationship Id="rId2670" Type="http://schemas.openxmlformats.org/officeDocument/2006/relationships/hyperlink" Target="https://thebusinessjournal.co.uk/b2b-supplier/best-ai-seo-agencies/" TargetMode="External"/><Relationship Id="rId16" Type="http://schemas.openxmlformats.org/officeDocument/2006/relationships/hyperlink" Target="https://oski.site/blog/sales-and-marketing-analytics-companies-uk/" TargetMode="External"/><Relationship Id="rId1340" Type="http://schemas.openxmlformats.org/officeDocument/2006/relationships/hyperlink" Target="http://rank4ai.co.uk" TargetMode="External"/><Relationship Id="rId2671" Type="http://schemas.openxmlformats.org/officeDocument/2006/relationships/hyperlink" Target="http://thebusinessjournal.co.uk" TargetMode="External"/><Relationship Id="rId19" Type="http://schemas.openxmlformats.org/officeDocument/2006/relationships/hyperlink" Target="https://open.partners/open-partners-insights/top-ai-marketing-agency-uk/" TargetMode="External"/><Relationship Id="rId752" Type="http://schemas.openxmlformats.org/officeDocument/2006/relationships/hyperlink" Target="http://bigspring.co.uk" TargetMode="External"/><Relationship Id="rId1341" Type="http://schemas.openxmlformats.org/officeDocument/2006/relationships/hyperlink" Target="https://www.rank4ai.co.uk/research/rankings/top-ai-search-visibility-agencies-2026/" TargetMode="External"/><Relationship Id="rId2672" Type="http://schemas.openxmlformats.org/officeDocument/2006/relationships/hyperlink" Target="https://thecmo.com/tools/best-marketing-attribution-software/" TargetMode="External"/><Relationship Id="rId18" Type="http://schemas.openxmlformats.org/officeDocument/2006/relationships/hyperlink" Target="http://clutch.co" TargetMode="External"/><Relationship Id="rId751" Type="http://schemas.openxmlformats.org/officeDocument/2006/relationships/hyperlink" Target="https://bigspring.co.uk/" TargetMode="External"/><Relationship Id="rId1342" Type="http://schemas.openxmlformats.org/officeDocument/2006/relationships/hyperlink" Target="http://rank4ai.co.uk" TargetMode="External"/><Relationship Id="rId2673" Type="http://schemas.openxmlformats.org/officeDocument/2006/relationships/hyperlink" Target="http://thecmo.com" TargetMode="External"/><Relationship Id="rId750" Type="http://schemas.openxmlformats.org/officeDocument/2006/relationships/hyperlink" Target="http://bestwebdevelopers.co.uk" TargetMode="External"/><Relationship Id="rId1343" Type="http://schemas.openxmlformats.org/officeDocument/2006/relationships/hyperlink" Target="https://www.reddit.com/r/b2bmarketing/comments/1rl47cr/the_10_best_visibility_companies_and_agencies_for/" TargetMode="External"/><Relationship Id="rId2674" Type="http://schemas.openxmlformats.org/officeDocument/2006/relationships/hyperlink" Target="https://www.thedca.co/services/production" TargetMode="External"/><Relationship Id="rId1344" Type="http://schemas.openxmlformats.org/officeDocument/2006/relationships/hyperlink" Target="http://reddit.com" TargetMode="External"/><Relationship Id="rId2675" Type="http://schemas.openxmlformats.org/officeDocument/2006/relationships/hyperlink" Target="http://thedca.co" TargetMode="External"/><Relationship Id="rId84" Type="http://schemas.openxmlformats.org/officeDocument/2006/relationships/hyperlink" Target="http://nautilusmarketing.co.uk" TargetMode="External"/><Relationship Id="rId1774" Type="http://schemas.openxmlformats.org/officeDocument/2006/relationships/hyperlink" Target="http://creativemarketingltd.co.uk" TargetMode="External"/><Relationship Id="rId2621" Type="http://schemas.openxmlformats.org/officeDocument/2006/relationships/hyperlink" Target="http://superside.com" TargetMode="External"/><Relationship Id="rId83" Type="http://schemas.openxmlformats.org/officeDocument/2006/relationships/hyperlink" Target="https://nautilusmarketing.co.uk/top-15-paid-media-agencies-in-the-uk-2026/" TargetMode="External"/><Relationship Id="rId1775" Type="http://schemas.openxmlformats.org/officeDocument/2006/relationships/hyperlink" Target="https://creativepool.com/advertising-agency" TargetMode="External"/><Relationship Id="rId2622" Type="http://schemas.openxmlformats.org/officeDocument/2006/relationships/hyperlink" Target="https://www.superside.com/blog/creative-at-scale" TargetMode="External"/><Relationship Id="rId86" Type="http://schemas.openxmlformats.org/officeDocument/2006/relationships/hyperlink" Target="http://designrush.com" TargetMode="External"/><Relationship Id="rId1776" Type="http://schemas.openxmlformats.org/officeDocument/2006/relationships/hyperlink" Target="http://creativepool.com" TargetMode="External"/><Relationship Id="rId2623" Type="http://schemas.openxmlformats.org/officeDocument/2006/relationships/hyperlink" Target="http://superside.com" TargetMode="External"/><Relationship Id="rId85" Type="http://schemas.openxmlformats.org/officeDocument/2006/relationships/hyperlink" Target="https://www.designrush.com/agency/creative-agencies/uk" TargetMode="External"/><Relationship Id="rId1777" Type="http://schemas.openxmlformats.org/officeDocument/2006/relationships/hyperlink" Target="https://croud.com/en-gb/" TargetMode="External"/><Relationship Id="rId2624" Type="http://schemas.openxmlformats.org/officeDocument/2006/relationships/hyperlink" Target="https://www.superside.com/blog/creative-content-agencies" TargetMode="External"/><Relationship Id="rId88" Type="http://schemas.openxmlformats.org/officeDocument/2006/relationships/hyperlink" Target="https://open.partners/open-partners-insights/10-leading-uk-performance-marketing-agencies-that-deliver-proven-roi/" TargetMode="External"/><Relationship Id="rId1778" Type="http://schemas.openxmlformats.org/officeDocument/2006/relationships/hyperlink" Target="http://croud.com" TargetMode="External"/><Relationship Id="rId2625" Type="http://schemas.openxmlformats.org/officeDocument/2006/relationships/hyperlink" Target="http://superside.com" TargetMode="External"/><Relationship Id="rId87" Type="http://schemas.openxmlformats.org/officeDocument/2006/relationships/hyperlink" Target="https://inbeat.agency/blog/top-performance-marketing-agencies-london" TargetMode="External"/><Relationship Id="rId1779" Type="http://schemas.openxmlformats.org/officeDocument/2006/relationships/hyperlink" Target="https://croud.com/en-gb/services/audience-suite/analytics/attributiongeni/" TargetMode="External"/><Relationship Id="rId2626" Type="http://schemas.openxmlformats.org/officeDocument/2006/relationships/hyperlink" Target="https://support.google.com/analytics/answer/7237700?hl=en-AU" TargetMode="External"/><Relationship Id="rId2627" Type="http://schemas.openxmlformats.org/officeDocument/2006/relationships/hyperlink" Target="http://google.com" TargetMode="External"/><Relationship Id="rId89" Type="http://schemas.openxmlformats.org/officeDocument/2006/relationships/hyperlink" Target="https://www.sortlist.co.uk/s/marketing-analytics/london-england-gb" TargetMode="External"/><Relationship Id="rId2628" Type="http://schemas.openxmlformats.org/officeDocument/2006/relationships/hyperlink" Target="https://support.google.com/analytics/answer/7237700?hl=en-uk" TargetMode="External"/><Relationship Id="rId709" Type="http://schemas.openxmlformats.org/officeDocument/2006/relationships/hyperlink" Target="https://liftlab.com/platform/incrementality-testing-engine/" TargetMode="External"/><Relationship Id="rId2629" Type="http://schemas.openxmlformats.org/officeDocument/2006/relationships/hyperlink" Target="http://google.com" TargetMode="External"/><Relationship Id="rId708" Type="http://schemas.openxmlformats.org/officeDocument/2006/relationships/hyperlink" Target="http://levelupleads.co.uk" TargetMode="External"/><Relationship Id="rId707" Type="http://schemas.openxmlformats.org/officeDocument/2006/relationships/hyperlink" Target="https://levelupleads.co.uk/best-ai-seo-agency-uk/" TargetMode="External"/><Relationship Id="rId706" Type="http://schemas.openxmlformats.org/officeDocument/2006/relationships/hyperlink" Target="http://lengreo.com" TargetMode="External"/><Relationship Id="rId80" Type="http://schemas.openxmlformats.org/officeDocument/2006/relationships/hyperlink" Target="http://digitalagencynetwork.com" TargetMode="External"/><Relationship Id="rId82" Type="http://schemas.openxmlformats.org/officeDocument/2006/relationships/hyperlink" Target="http://koozai.com" TargetMode="External"/><Relationship Id="rId81" Type="http://schemas.openxmlformats.org/officeDocument/2006/relationships/hyperlink" Target="https://www.koozai.com/blog/search-marketing/the-best-ai-marketing-agencies-in-the-uk/" TargetMode="External"/><Relationship Id="rId701" Type="http://schemas.openxmlformats.org/officeDocument/2006/relationships/hyperlink" Target="https://kinesso.co.uk/services/data-tech/gmp-sales-partner/" TargetMode="External"/><Relationship Id="rId700" Type="http://schemas.openxmlformats.org/officeDocument/2006/relationships/hyperlink" Target="http://intellscore.uk" TargetMode="External"/><Relationship Id="rId705" Type="http://schemas.openxmlformats.org/officeDocument/2006/relationships/hyperlink" Target="https://lengreo.com/performance-marketing-agencies-in-the-uk/" TargetMode="External"/><Relationship Id="rId704" Type="http://schemas.openxmlformats.org/officeDocument/2006/relationships/hyperlink" Target="http://kingsbury.io" TargetMode="External"/><Relationship Id="rId703" Type="http://schemas.openxmlformats.org/officeDocument/2006/relationships/hyperlink" Target="https://www.kingsbury.io/advisory" TargetMode="External"/><Relationship Id="rId702" Type="http://schemas.openxmlformats.org/officeDocument/2006/relationships/hyperlink" Target="http://kinesso.co.uk" TargetMode="External"/><Relationship Id="rId1770" Type="http://schemas.openxmlformats.org/officeDocument/2006/relationships/hyperlink" Target="https://www.creativecorner.studio/blog/best-marketing-agencies-in-europe" TargetMode="External"/><Relationship Id="rId1771" Type="http://schemas.openxmlformats.org/officeDocument/2006/relationships/hyperlink" Target="https://www.creativemarketingltd.co.uk/" TargetMode="External"/><Relationship Id="rId1772" Type="http://schemas.openxmlformats.org/officeDocument/2006/relationships/hyperlink" Target="http://creativemarketingltd.co.uk" TargetMode="External"/><Relationship Id="rId1773" Type="http://schemas.openxmlformats.org/officeDocument/2006/relationships/hyperlink" Target="https://www.creativemarketingltd.co.uk/blog/top-fashion-marketing-agencies" TargetMode="External"/><Relationship Id="rId2620" Type="http://schemas.openxmlformats.org/officeDocument/2006/relationships/hyperlink" Target="https://www.superside.com/blog/creative-agencies" TargetMode="External"/><Relationship Id="rId73" Type="http://schemas.openxmlformats.org/officeDocument/2006/relationships/hyperlink" Target="https://thesocialshepherd.com/blog/top-paid-social-agencies-uk" TargetMode="External"/><Relationship Id="rId1763" Type="http://schemas.openxmlformats.org/officeDocument/2006/relationships/hyperlink" Target="http://corsactech.com" TargetMode="External"/><Relationship Id="rId2610" Type="http://schemas.openxmlformats.org/officeDocument/2006/relationships/hyperlink" Target="https://www.starfishco.com/branding/10-must%E2%80%91know-branding-agencies-in-2026-for-creative-campaigns/" TargetMode="External"/><Relationship Id="rId72" Type="http://schemas.openxmlformats.org/officeDocument/2006/relationships/hyperlink" Target="http://sunnypatel.co.uk" TargetMode="External"/><Relationship Id="rId1764" Type="http://schemas.openxmlformats.org/officeDocument/2006/relationships/hyperlink" Target="https://createscale.com/production" TargetMode="External"/><Relationship Id="rId2611" Type="http://schemas.openxmlformats.org/officeDocument/2006/relationships/hyperlink" Target="http://starfishco.com" TargetMode="External"/><Relationship Id="rId75" Type="http://schemas.openxmlformats.org/officeDocument/2006/relationships/hyperlink" Target="https://www.havasmarket.co.uk/google-marketing-platform/" TargetMode="External"/><Relationship Id="rId1765" Type="http://schemas.openxmlformats.org/officeDocument/2006/relationships/hyperlink" Target="http://createscale.com" TargetMode="External"/><Relationship Id="rId2612" Type="http://schemas.openxmlformats.org/officeDocument/2006/relationships/hyperlink" Target="https://www.sugarnova.com/digital-marketing-agency" TargetMode="External"/><Relationship Id="rId74" Type="http://schemas.openxmlformats.org/officeDocument/2006/relationships/hyperlink" Target="http://thesocialshepherd.com" TargetMode="External"/><Relationship Id="rId1766" Type="http://schemas.openxmlformats.org/officeDocument/2006/relationships/hyperlink" Target="https://www.creativebrief.com/" TargetMode="External"/><Relationship Id="rId2613" Type="http://schemas.openxmlformats.org/officeDocument/2006/relationships/hyperlink" Target="http://sugarnova.com" TargetMode="External"/><Relationship Id="rId77" Type="http://schemas.openxmlformats.org/officeDocument/2006/relationships/hyperlink" Target="https://www.influencer-hero.com/blogs/top-paid-advertising-agencies-in-the-united-kingdom" TargetMode="External"/><Relationship Id="rId1767" Type="http://schemas.openxmlformats.org/officeDocument/2006/relationships/hyperlink" Target="http://creativebrief.com" TargetMode="External"/><Relationship Id="rId2614" Type="http://schemas.openxmlformats.org/officeDocument/2006/relationships/hyperlink" Target="https://www.superhub.biz/top-digital-marketing-companies-for-small-business-uk" TargetMode="External"/><Relationship Id="rId76" Type="http://schemas.openxmlformats.org/officeDocument/2006/relationships/hyperlink" Target="http://havasmarket.co.uk" TargetMode="External"/><Relationship Id="rId1768" Type="http://schemas.openxmlformats.org/officeDocument/2006/relationships/hyperlink" Target="https://www.creativebrief.com/agency/zeal-1/info" TargetMode="External"/><Relationship Id="rId2615" Type="http://schemas.openxmlformats.org/officeDocument/2006/relationships/hyperlink" Target="http://superhub.biz" TargetMode="External"/><Relationship Id="rId79" Type="http://schemas.openxmlformats.org/officeDocument/2006/relationships/hyperlink" Target="https://digitalagencynetwork.com/agencies/london/ai-marketing/" TargetMode="External"/><Relationship Id="rId1769" Type="http://schemas.openxmlformats.org/officeDocument/2006/relationships/hyperlink" Target="http://creativebrief.com" TargetMode="External"/><Relationship Id="rId2616" Type="http://schemas.openxmlformats.org/officeDocument/2006/relationships/hyperlink" Target="https://www.superside.com/" TargetMode="External"/><Relationship Id="rId78" Type="http://schemas.openxmlformats.org/officeDocument/2006/relationships/hyperlink" Target="http://influencer-hero.com" TargetMode="External"/><Relationship Id="rId2617" Type="http://schemas.openxmlformats.org/officeDocument/2006/relationships/hyperlink" Target="http://superside.com" TargetMode="External"/><Relationship Id="rId2618" Type="http://schemas.openxmlformats.org/officeDocument/2006/relationships/hyperlink" Target="https://www.superside.com/blog/ad-creative-agencies" TargetMode="External"/><Relationship Id="rId2619" Type="http://schemas.openxmlformats.org/officeDocument/2006/relationships/hyperlink" Target="http://superside.com" TargetMode="External"/><Relationship Id="rId71" Type="http://schemas.openxmlformats.org/officeDocument/2006/relationships/hyperlink" Target="https://sunnypatel.co.uk/blog/best-aeo-agencies/" TargetMode="External"/><Relationship Id="rId70" Type="http://schemas.openxmlformats.org/officeDocument/2006/relationships/hyperlink" Target="http://grizzle.io" TargetMode="External"/><Relationship Id="rId1760" Type="http://schemas.openxmlformats.org/officeDocument/2006/relationships/hyperlink" Target="https://www.cornishwebservices.co.uk/articles/marketing/Top-Digital-Marketing-Agencies-in-the-UK.html" TargetMode="External"/><Relationship Id="rId1761" Type="http://schemas.openxmlformats.org/officeDocument/2006/relationships/hyperlink" Target="http://cornishwebservices.co.uk" TargetMode="External"/><Relationship Id="rId1762" Type="http://schemas.openxmlformats.org/officeDocument/2006/relationships/hyperlink" Target="https://corsactech.com/cloud-migration-service-providers" TargetMode="External"/><Relationship Id="rId62" Type="http://schemas.openxmlformats.org/officeDocument/2006/relationships/hyperlink" Target="http://thesocialshepherd.com" TargetMode="External"/><Relationship Id="rId1312" Type="http://schemas.openxmlformats.org/officeDocument/2006/relationships/hyperlink" Target="https://www.noisemediagroup.co.uk/insights/the-best-tiktok-marketing-agencies-in-the-uk-2026" TargetMode="External"/><Relationship Id="rId1796" Type="http://schemas.openxmlformats.org/officeDocument/2006/relationships/hyperlink" Target="https://dedote.co.uk/social-media-agency-london/paid-social" TargetMode="External"/><Relationship Id="rId2643" Type="http://schemas.openxmlformats.org/officeDocument/2006/relationships/hyperlink" Target="https://tabular.email/blog/agency-pricing-models" TargetMode="External"/><Relationship Id="rId61" Type="http://schemas.openxmlformats.org/officeDocument/2006/relationships/hyperlink" Target="https://thesocialshepherd.com/blog/top-performance-marketing-agencies-uk" TargetMode="External"/><Relationship Id="rId1313" Type="http://schemas.openxmlformats.org/officeDocument/2006/relationships/hyperlink" Target="http://noisemediagroup.co.uk" TargetMode="External"/><Relationship Id="rId1797" Type="http://schemas.openxmlformats.org/officeDocument/2006/relationships/hyperlink" Target="http://dedote.co.uk" TargetMode="External"/><Relationship Id="rId2644" Type="http://schemas.openxmlformats.org/officeDocument/2006/relationships/hyperlink" Target="https://www.talisman-ai.co.uk/" TargetMode="External"/><Relationship Id="rId64" Type="http://schemas.openxmlformats.org/officeDocument/2006/relationships/hyperlink" Target="http://tilio.co.uk" TargetMode="External"/><Relationship Id="rId1314" Type="http://schemas.openxmlformats.org/officeDocument/2006/relationships/hyperlink" Target="https://www.nuundigital.com/services/data-analytics/marketing-analytics-attribution" TargetMode="External"/><Relationship Id="rId1798" Type="http://schemas.openxmlformats.org/officeDocument/2006/relationships/hyperlink" Target="https://www.deducive.com/marketing-attribution" TargetMode="External"/><Relationship Id="rId2645" Type="http://schemas.openxmlformats.org/officeDocument/2006/relationships/hyperlink" Target="http://talisman-ai.co.uk" TargetMode="External"/><Relationship Id="rId63" Type="http://schemas.openxmlformats.org/officeDocument/2006/relationships/hyperlink" Target="https://www.tilio.co.uk/blog/the-top-10-ai-search-agencies-in-the-uk-in-2026" TargetMode="External"/><Relationship Id="rId1315" Type="http://schemas.openxmlformats.org/officeDocument/2006/relationships/hyperlink" Target="http://nuundigital.com" TargetMode="External"/><Relationship Id="rId1799" Type="http://schemas.openxmlformats.org/officeDocument/2006/relationships/hyperlink" Target="http://deducive.com" TargetMode="External"/><Relationship Id="rId2646" Type="http://schemas.openxmlformats.org/officeDocument/2006/relationships/hyperlink" Target="https://www.taylorherring.com/about-us/" TargetMode="External"/><Relationship Id="rId66" Type="http://schemas.openxmlformats.org/officeDocument/2006/relationships/hyperlink" Target="http://firstmotion.com" TargetMode="External"/><Relationship Id="rId1316" Type="http://schemas.openxmlformats.org/officeDocument/2006/relationships/hyperlink" Target="https://www.omnius.so/blog/best-answer-engine-optimization-agencies" TargetMode="External"/><Relationship Id="rId2647" Type="http://schemas.openxmlformats.org/officeDocument/2006/relationships/hyperlink" Target="http://taylorherring.com" TargetMode="External"/><Relationship Id="rId65" Type="http://schemas.openxmlformats.org/officeDocument/2006/relationships/hyperlink" Target="https://firstmotion.com/insights/best-geo-agencies-uk" TargetMode="External"/><Relationship Id="rId1317" Type="http://schemas.openxmlformats.org/officeDocument/2006/relationships/hyperlink" Target="http://omnius.so" TargetMode="External"/><Relationship Id="rId2648" Type="http://schemas.openxmlformats.org/officeDocument/2006/relationships/hyperlink" Target="https://teamai.com/blog/generative-ai-and-business/top-geo-agencies-for-ai-visibility/" TargetMode="External"/><Relationship Id="rId68" Type="http://schemas.openxmlformats.org/officeDocument/2006/relationships/hyperlink" Target="http://consultico.co.uk" TargetMode="External"/><Relationship Id="rId1318" Type="http://schemas.openxmlformats.org/officeDocument/2006/relationships/hyperlink" Target="https://oneday.agency/out-of-home-advertising" TargetMode="External"/><Relationship Id="rId2649" Type="http://schemas.openxmlformats.org/officeDocument/2006/relationships/hyperlink" Target="http://teamai.com" TargetMode="External"/><Relationship Id="rId67" Type="http://schemas.openxmlformats.org/officeDocument/2006/relationships/hyperlink" Target="https://www.consultico.co.uk/articles/best-ppc-agencies-uk" TargetMode="External"/><Relationship Id="rId1319" Type="http://schemas.openxmlformats.org/officeDocument/2006/relationships/hyperlink" Target="https://open.partners/open-partners-insights/top-uk-independent-marketing-agencies-5m-budgets/" TargetMode="External"/><Relationship Id="rId729" Type="http://schemas.openxmlformats.org/officeDocument/2006/relationships/hyperlink" Target="http://sortlist.co.uk" TargetMode="External"/><Relationship Id="rId728" Type="http://schemas.openxmlformats.org/officeDocument/2006/relationships/hyperlink" Target="https://www.sortlist.co.uk/s/paid-media/england-england-gb" TargetMode="External"/><Relationship Id="rId60" Type="http://schemas.openxmlformats.org/officeDocument/2006/relationships/hyperlink" Target="http://inbeat.co" TargetMode="External"/><Relationship Id="rId723" Type="http://schemas.openxmlformats.org/officeDocument/2006/relationships/hyperlink" Target="http://reddit.com" TargetMode="External"/><Relationship Id="rId722" Type="http://schemas.openxmlformats.org/officeDocument/2006/relationships/hyperlink" Target="https://www.reddit.com/r/PPC/comments/15afa5c/best_agencies_for_paid_media_ld_uk/" TargetMode="External"/><Relationship Id="rId721" Type="http://schemas.openxmlformats.org/officeDocument/2006/relationships/hyperlink" Target="http://rank4ai.co.uk" TargetMode="External"/><Relationship Id="rId720" Type="http://schemas.openxmlformats.org/officeDocument/2006/relationships/hyperlink" Target="https://www.rank4ai.co.uk/research/rankings/best-ai-search-visibility-agencies/" TargetMode="External"/><Relationship Id="rId727" Type="http://schemas.openxmlformats.org/officeDocument/2006/relationships/hyperlink" Target="http://sortlist.co.uk" TargetMode="External"/><Relationship Id="rId726" Type="http://schemas.openxmlformats.org/officeDocument/2006/relationships/hyperlink" Target="https://www.sortlist.co.uk/s/ai-marketing/greater-london-england-gb" TargetMode="External"/><Relationship Id="rId725" Type="http://schemas.openxmlformats.org/officeDocument/2006/relationships/hyperlink" Target="http://snowballcreations.com" TargetMode="External"/><Relationship Id="rId724" Type="http://schemas.openxmlformats.org/officeDocument/2006/relationships/hyperlink" Target="https://snowballcreations.com/the-11-top-google-ads-agencies-in-the-uk-2026/" TargetMode="External"/><Relationship Id="rId69" Type="http://schemas.openxmlformats.org/officeDocument/2006/relationships/hyperlink" Target="https://grizzle.io/blog/best-content-marketing-agencies-uk" TargetMode="External"/><Relationship Id="rId1790" Type="http://schemas.openxmlformats.org/officeDocument/2006/relationships/hyperlink" Target="http://dataally.ai" TargetMode="External"/><Relationship Id="rId1791" Type="http://schemas.openxmlformats.org/officeDocument/2006/relationships/hyperlink" Target="https://www.decentriq.com/article/best-data-management-platforms" TargetMode="External"/><Relationship Id="rId1792" Type="http://schemas.openxmlformats.org/officeDocument/2006/relationships/hyperlink" Target="http://decentriq.com" TargetMode="External"/><Relationship Id="rId1793" Type="http://schemas.openxmlformats.org/officeDocument/2006/relationships/hyperlink" Target="https://www.decipher.agency/about" TargetMode="External"/><Relationship Id="rId2640" Type="http://schemas.openxmlformats.org/officeDocument/2006/relationships/hyperlink" Target="http://synscribe.com" TargetMode="External"/><Relationship Id="rId1310" Type="http://schemas.openxmlformats.org/officeDocument/2006/relationships/hyperlink" Target="https://www.noisemediagroup.co.uk/insights/the-best-social-media-marketing-agencies-in-london-2026" TargetMode="External"/><Relationship Id="rId1794" Type="http://schemas.openxmlformats.org/officeDocument/2006/relationships/hyperlink" Target="https://www.decisionfoundry.com/marketing-measurement-analytics-services/" TargetMode="External"/><Relationship Id="rId2641" Type="http://schemas.openxmlformats.org/officeDocument/2006/relationships/hyperlink" Target="https://syntermedia.ai/blog/best-attribution-software-marketing-teams" TargetMode="External"/><Relationship Id="rId1311" Type="http://schemas.openxmlformats.org/officeDocument/2006/relationships/hyperlink" Target="http://noisemediagroup.co.uk" TargetMode="External"/><Relationship Id="rId1795" Type="http://schemas.openxmlformats.org/officeDocument/2006/relationships/hyperlink" Target="http://decisionfoundry.com" TargetMode="External"/><Relationship Id="rId2642" Type="http://schemas.openxmlformats.org/officeDocument/2006/relationships/hyperlink" Target="http://syntermedia.ai" TargetMode="External"/><Relationship Id="rId51" Type="http://schemas.openxmlformats.org/officeDocument/2006/relationships/hyperlink" Target="https://www.domisearch.com/blog/best-aeo-agencies-uk" TargetMode="External"/><Relationship Id="rId1301" Type="http://schemas.openxmlformats.org/officeDocument/2006/relationships/hyperlink" Target="https://www.munro.agency/insights/top-marketing-companies-in-the-world/" TargetMode="External"/><Relationship Id="rId1785" Type="http://schemas.openxmlformats.org/officeDocument/2006/relationships/hyperlink" Target="https://daio.uk/" TargetMode="External"/><Relationship Id="rId2632" Type="http://schemas.openxmlformats.org/officeDocument/2006/relationships/hyperlink" Target="https://support.google.com/google-ads/answer/9702452?hl=en-GB" TargetMode="External"/><Relationship Id="rId50" Type="http://schemas.openxmlformats.org/officeDocument/2006/relationships/hyperlink" Target="http://measured.com" TargetMode="External"/><Relationship Id="rId1302" Type="http://schemas.openxmlformats.org/officeDocument/2006/relationships/hyperlink" Target="https://netmonkeys.co.uk/top-10-ai-gen-ai-consultancy-firms-in-the-uk-netmonkeys" TargetMode="External"/><Relationship Id="rId1786" Type="http://schemas.openxmlformats.org/officeDocument/2006/relationships/hyperlink" Target="http://daio.uk" TargetMode="External"/><Relationship Id="rId2633" Type="http://schemas.openxmlformats.org/officeDocument/2006/relationships/hyperlink" Target="http://google.com" TargetMode="External"/><Relationship Id="rId53" Type="http://schemas.openxmlformats.org/officeDocument/2006/relationships/hyperlink" Target="https://open.partners/open-partners-insights/uk-marketing-agencies-that-work-with-google/" TargetMode="External"/><Relationship Id="rId1303" Type="http://schemas.openxmlformats.org/officeDocument/2006/relationships/hyperlink" Target="http://netmonkeys.co.uk" TargetMode="External"/><Relationship Id="rId1787" Type="http://schemas.openxmlformats.org/officeDocument/2006/relationships/hyperlink" Target="https://www.darkroomagency.com/observatory/best-performance-marketing-agencies-in-2026" TargetMode="External"/><Relationship Id="rId2634" Type="http://schemas.openxmlformats.org/officeDocument/2006/relationships/hyperlink" Target="https://support.google.com/tagmanager/answer/7237700?hl=en-au" TargetMode="External"/><Relationship Id="rId52" Type="http://schemas.openxmlformats.org/officeDocument/2006/relationships/hyperlink" Target="http://domisearch.com" TargetMode="External"/><Relationship Id="rId1304" Type="http://schemas.openxmlformats.org/officeDocument/2006/relationships/hyperlink" Target="https://neuraladx.com/best-ai-search-optimisation-agency-property-companies-uk/" TargetMode="External"/><Relationship Id="rId1788" Type="http://schemas.openxmlformats.org/officeDocument/2006/relationships/hyperlink" Target="http://darkroomagency.com" TargetMode="External"/><Relationship Id="rId2635" Type="http://schemas.openxmlformats.org/officeDocument/2006/relationships/hyperlink" Target="http://google.com" TargetMode="External"/><Relationship Id="rId55" Type="http://schemas.openxmlformats.org/officeDocument/2006/relationships/hyperlink" Target="http://sortlist.co.uk" TargetMode="External"/><Relationship Id="rId1305" Type="http://schemas.openxmlformats.org/officeDocument/2006/relationships/hyperlink" Target="http://neuraladx.com" TargetMode="External"/><Relationship Id="rId1789" Type="http://schemas.openxmlformats.org/officeDocument/2006/relationships/hyperlink" Target="https://www.dataally.ai/blog/top-paid-media-agencies" TargetMode="External"/><Relationship Id="rId2636" Type="http://schemas.openxmlformats.org/officeDocument/2006/relationships/hyperlink" Target="https://susodigital.com/thoughts/12-best-generative-seo-service-agencies/" TargetMode="External"/><Relationship Id="rId54" Type="http://schemas.openxmlformats.org/officeDocument/2006/relationships/hyperlink" Target="https://www.sortlist.co.uk/s/display-advertising/united-kingdom-gb" TargetMode="External"/><Relationship Id="rId1306" Type="http://schemas.openxmlformats.org/officeDocument/2006/relationships/hyperlink" Target="https://neuraladx.com/top-10-geo-agencies-uk/" TargetMode="External"/><Relationship Id="rId2637" Type="http://schemas.openxmlformats.org/officeDocument/2006/relationships/hyperlink" Target="http://susodigital.com" TargetMode="External"/><Relationship Id="rId57" Type="http://schemas.openxmlformats.org/officeDocument/2006/relationships/hyperlink" Target="http://sortlist.co.uk" TargetMode="External"/><Relationship Id="rId1307" Type="http://schemas.openxmlformats.org/officeDocument/2006/relationships/hyperlink" Target="http://neuraladx.com" TargetMode="External"/><Relationship Id="rId2638" Type="http://schemas.openxmlformats.org/officeDocument/2006/relationships/hyperlink" Target="https://www.synapgrowth.agency/paid-social-marketing-agency-uk/" TargetMode="External"/><Relationship Id="rId56" Type="http://schemas.openxmlformats.org/officeDocument/2006/relationships/hyperlink" Target="https://www.sortlist.co.uk/s/marketing-analytics/united-kingdom-gb" TargetMode="External"/><Relationship Id="rId1308" Type="http://schemas.openxmlformats.org/officeDocument/2006/relationships/hyperlink" Target="https://nogood.io/blog/ai-marketing-agency/" TargetMode="External"/><Relationship Id="rId2639" Type="http://schemas.openxmlformats.org/officeDocument/2006/relationships/hyperlink" Target="https://www.synscribe.com/blog/marketing-agencies-singapore" TargetMode="External"/><Relationship Id="rId1309" Type="http://schemas.openxmlformats.org/officeDocument/2006/relationships/hyperlink" Target="http://nogood.io" TargetMode="External"/><Relationship Id="rId719" Type="http://schemas.openxmlformats.org/officeDocument/2006/relationships/hyperlink" Target="http://protiviti.com" TargetMode="External"/><Relationship Id="rId718" Type="http://schemas.openxmlformats.org/officeDocument/2006/relationships/hyperlink" Target="https://www.protiviti.com/uk-en/artificial-intelligence-services" TargetMode="External"/><Relationship Id="rId717" Type="http://schemas.openxmlformats.org/officeDocument/2006/relationships/hyperlink" Target="https://pinpoint-media.global/insights/top-5-performance-growth-agencies-in-the-uk-2026" TargetMode="External"/><Relationship Id="rId712" Type="http://schemas.openxmlformats.org/officeDocument/2006/relationships/hyperlink" Target="http://liftlab.com" TargetMode="External"/><Relationship Id="rId711" Type="http://schemas.openxmlformats.org/officeDocument/2006/relationships/hyperlink" Target="https://liftlab.com/solutions/incrementality-testing/" TargetMode="External"/><Relationship Id="rId710" Type="http://schemas.openxmlformats.org/officeDocument/2006/relationships/hyperlink" Target="http://liftlab.com" TargetMode="External"/><Relationship Id="rId716" Type="http://schemas.openxmlformats.org/officeDocument/2006/relationships/hyperlink" Target="http://megatrendsolutions.com" TargetMode="External"/><Relationship Id="rId715" Type="http://schemas.openxmlformats.org/officeDocument/2006/relationships/hyperlink" Target="https://megatrendsolutions.com/" TargetMode="External"/><Relationship Id="rId714" Type="http://schemas.openxmlformats.org/officeDocument/2006/relationships/hyperlink" Target="http://measured.com" TargetMode="External"/><Relationship Id="rId713" Type="http://schemas.openxmlformats.org/officeDocument/2006/relationships/hyperlink" Target="https://www.measured.com/" TargetMode="External"/><Relationship Id="rId59" Type="http://schemas.openxmlformats.org/officeDocument/2006/relationships/hyperlink" Target="https://www.inbeat.co/articles/top-paid-media-agencies-in-the-uk/" TargetMode="External"/><Relationship Id="rId58" Type="http://schemas.openxmlformats.org/officeDocument/2006/relationships/hyperlink" Target="https://pinpoint-media.global/insights/top-8-paid-media-agencies-in-the-uk" TargetMode="External"/><Relationship Id="rId1780" Type="http://schemas.openxmlformats.org/officeDocument/2006/relationships/hyperlink" Target="http://croud.com" TargetMode="External"/><Relationship Id="rId1781" Type="http://schemas.openxmlformats.org/officeDocument/2006/relationships/hyperlink" Target="https://croud.com/resources/custom-attribution/" TargetMode="External"/><Relationship Id="rId1782" Type="http://schemas.openxmlformats.org/officeDocument/2006/relationships/hyperlink" Target="http://croud.com" TargetMode="External"/><Relationship Id="rId1783" Type="http://schemas.openxmlformats.org/officeDocument/2006/relationships/hyperlink" Target="https://cw.semrush.com/agencies/list/analytics-data-science/united-kingdom" TargetMode="External"/><Relationship Id="rId2630" Type="http://schemas.openxmlformats.org/officeDocument/2006/relationships/hyperlink" Target="https://support.google.com/displayvideo/answer/9030625?hl=en-GB" TargetMode="External"/><Relationship Id="rId1300" Type="http://schemas.openxmlformats.org/officeDocument/2006/relationships/hyperlink" Target="https://www.munro.agency/best-digital-marketing-agencies-in-london/" TargetMode="External"/><Relationship Id="rId1784" Type="http://schemas.openxmlformats.org/officeDocument/2006/relationships/hyperlink" Target="http://semrush.com" TargetMode="External"/><Relationship Id="rId2631" Type="http://schemas.openxmlformats.org/officeDocument/2006/relationships/hyperlink" Target="http://google.com" TargetMode="External"/><Relationship Id="rId2269" Type="http://schemas.openxmlformats.org/officeDocument/2006/relationships/hyperlink" Target="https://www.mediaperformance.co.uk/what-we-do/cro/" TargetMode="External"/><Relationship Id="rId349" Type="http://schemas.openxmlformats.org/officeDocument/2006/relationships/hyperlink" Target="https://www.kinase.co.uk/measurement-1" TargetMode="External"/><Relationship Id="rId348" Type="http://schemas.openxmlformats.org/officeDocument/2006/relationships/hyperlink" Target="http://found.co.uk" TargetMode="External"/><Relationship Id="rId347" Type="http://schemas.openxmlformats.org/officeDocument/2006/relationships/hyperlink" Target="https://www.found.co.uk/services/data/analytics/" TargetMode="External"/><Relationship Id="rId346" Type="http://schemas.openxmlformats.org/officeDocument/2006/relationships/hyperlink" Target="http://directiveconsulting.com" TargetMode="External"/><Relationship Id="rId2260" Type="http://schemas.openxmlformats.org/officeDocument/2006/relationships/hyperlink" Target="http://measured.com" TargetMode="External"/><Relationship Id="rId341" Type="http://schemas.openxmlformats.org/officeDocument/2006/relationships/hyperlink" Target="https://climb-seo.co.uk/best-aeo-geo-agencies-uk-2026/" TargetMode="External"/><Relationship Id="rId2261" Type="http://schemas.openxmlformats.org/officeDocument/2006/relationships/hyperlink" Target="https://measuremindsgroup.com/" TargetMode="External"/><Relationship Id="rId340" Type="http://schemas.openxmlformats.org/officeDocument/2006/relationships/hyperlink" Target="http://charle.co.uk" TargetMode="External"/><Relationship Id="rId2262" Type="http://schemas.openxmlformats.org/officeDocument/2006/relationships/hyperlink" Target="http://measuremindsgroup.com" TargetMode="External"/><Relationship Id="rId2263" Type="http://schemas.openxmlformats.org/officeDocument/2006/relationships/hyperlink" Target="https://mediaaddict.co.uk/" TargetMode="External"/><Relationship Id="rId2264" Type="http://schemas.openxmlformats.org/officeDocument/2006/relationships/hyperlink" Target="http://mediaaddict.co.uk" TargetMode="External"/><Relationship Id="rId345" Type="http://schemas.openxmlformats.org/officeDocument/2006/relationships/hyperlink" Target="https://directiveconsulting.com/uk/blog/10-ai-marketing-agencies-outperforming-the-market/" TargetMode="External"/><Relationship Id="rId2265" Type="http://schemas.openxmlformats.org/officeDocument/2006/relationships/hyperlink" Target="https://www.medianug.com/blog/10-paid-media-agencies-to-elevate-your-marketing-strategy-in-2026" TargetMode="External"/><Relationship Id="rId344" Type="http://schemas.openxmlformats.org/officeDocument/2006/relationships/hyperlink" Target="http://clutch.co" TargetMode="External"/><Relationship Id="rId2266" Type="http://schemas.openxmlformats.org/officeDocument/2006/relationships/hyperlink" Target="http://medianug.com" TargetMode="External"/><Relationship Id="rId343" Type="http://schemas.openxmlformats.org/officeDocument/2006/relationships/hyperlink" Target="https://clutch.co/consulting/ai/strategy/uk" TargetMode="External"/><Relationship Id="rId2267" Type="http://schemas.openxmlformats.org/officeDocument/2006/relationships/hyperlink" Target="https://www.medianug.com/blog/paid-social-advertising-agency-vs-performance-marketing-agency-which-does-your-business-actually-need" TargetMode="External"/><Relationship Id="rId342" Type="http://schemas.openxmlformats.org/officeDocument/2006/relationships/hyperlink" Target="http://climb-seo.co.uk" TargetMode="External"/><Relationship Id="rId2268" Type="http://schemas.openxmlformats.org/officeDocument/2006/relationships/hyperlink" Target="http://medianug.com" TargetMode="External"/><Relationship Id="rId2258" Type="http://schemas.openxmlformats.org/officeDocument/2006/relationships/hyperlink" Target="http://measured.com" TargetMode="External"/><Relationship Id="rId2259" Type="http://schemas.openxmlformats.org/officeDocument/2006/relationships/hyperlink" Target="https://www.measured.com/faq/what-is-incrementality-testing/" TargetMode="External"/><Relationship Id="rId338" Type="http://schemas.openxmlformats.org/officeDocument/2006/relationships/hyperlink" Target="http://semrush.com" TargetMode="External"/><Relationship Id="rId337" Type="http://schemas.openxmlformats.org/officeDocument/2006/relationships/hyperlink" Target="https://agencies.semrush.com/list/display-advertising/united-kingdom/small-business/" TargetMode="External"/><Relationship Id="rId336" Type="http://schemas.openxmlformats.org/officeDocument/2006/relationships/hyperlink" Target="http://webtonic.io" TargetMode="External"/><Relationship Id="rId335" Type="http://schemas.openxmlformats.org/officeDocument/2006/relationships/hyperlink" Target="https://www.webtonic.io/blog/top-digital-marketing-agencies-uk" TargetMode="External"/><Relationship Id="rId339" Type="http://schemas.openxmlformats.org/officeDocument/2006/relationships/hyperlink" Target="https://www.charle.co.uk/articles/top-geo-agency-for-ecommerce/" TargetMode="External"/><Relationship Id="rId330" Type="http://schemas.openxmlformats.org/officeDocument/2006/relationships/hyperlink" Target="http://rank4ai.co.uk" TargetMode="External"/><Relationship Id="rId2250" Type="http://schemas.openxmlformats.org/officeDocument/2006/relationships/hyperlink" Target="http://matomo.org" TargetMode="External"/><Relationship Id="rId2251" Type="http://schemas.openxmlformats.org/officeDocument/2006/relationships/hyperlink" Target="https://www.mcsaatchiperformance.com/london/" TargetMode="External"/><Relationship Id="rId2252" Type="http://schemas.openxmlformats.org/officeDocument/2006/relationships/hyperlink" Target="http://mcsaatchiperformance.com" TargetMode="External"/><Relationship Id="rId2253" Type="http://schemas.openxmlformats.org/officeDocument/2006/relationships/hyperlink" Target="https://www.mcsaatchiperformance.com/what-we-do/display/" TargetMode="External"/><Relationship Id="rId334" Type="http://schemas.openxmlformats.org/officeDocument/2006/relationships/hyperlink" Target="http://wearetenet.com" TargetMode="External"/><Relationship Id="rId2254" Type="http://schemas.openxmlformats.org/officeDocument/2006/relationships/hyperlink" Target="http://mcsaatchiperformance.com" TargetMode="External"/><Relationship Id="rId333" Type="http://schemas.openxmlformats.org/officeDocument/2006/relationships/hyperlink" Target="https://www.wearetenet.com/blog/google-ads-agencies-in-the-uk" TargetMode="External"/><Relationship Id="rId2255" Type="http://schemas.openxmlformats.org/officeDocument/2006/relationships/hyperlink" Target="https://www.measured.com/faq/incrementality-testing-how-to-choose-the-right-platform/" TargetMode="External"/><Relationship Id="rId332" Type="http://schemas.openxmlformats.org/officeDocument/2006/relationships/hyperlink" Target="http://reddit.com" TargetMode="External"/><Relationship Id="rId2256" Type="http://schemas.openxmlformats.org/officeDocument/2006/relationships/hyperlink" Target="http://measured.com" TargetMode="External"/><Relationship Id="rId331" Type="http://schemas.openxmlformats.org/officeDocument/2006/relationships/hyperlink" Target="https://www.reddit.com/r/advertising/comments/n8z67i/best_uk_based_agencies/" TargetMode="External"/><Relationship Id="rId2257" Type="http://schemas.openxmlformats.org/officeDocument/2006/relationships/hyperlink" Target="https://www.measured.com/faq/top-11-best-media-mix-modeling-companies-software-for-2026/" TargetMode="External"/><Relationship Id="rId370" Type="http://schemas.openxmlformats.org/officeDocument/2006/relationships/hyperlink" Target="https://builtinlondon.uk/articles/digital-marketing-companies-in-london" TargetMode="External"/><Relationship Id="rId369" Type="http://schemas.openxmlformats.org/officeDocument/2006/relationships/hyperlink" Target="https://www.brainz.digital/blog/best-b2b-analytics-agencies/" TargetMode="External"/><Relationship Id="rId368" Type="http://schemas.openxmlformats.org/officeDocument/2006/relationships/hyperlink" Target="http://50pros.com" TargetMode="External"/><Relationship Id="rId2280" Type="http://schemas.openxmlformats.org/officeDocument/2006/relationships/hyperlink" Target="http://mitochonpixel.co.uk" TargetMode="External"/><Relationship Id="rId2281" Type="http://schemas.openxmlformats.org/officeDocument/2006/relationships/hyperlink" Target="https://mma.com/solutions/unified-marketing-measurement/" TargetMode="External"/><Relationship Id="rId2282" Type="http://schemas.openxmlformats.org/officeDocument/2006/relationships/hyperlink" Target="http://mma.com" TargetMode="External"/><Relationship Id="rId363" Type="http://schemas.openxmlformats.org/officeDocument/2006/relationships/hyperlink" Target="https://www.webdesignchoice.co.uk/top-aeo-agencies-uk-2026.html" TargetMode="External"/><Relationship Id="rId2283" Type="http://schemas.openxmlformats.org/officeDocument/2006/relationships/hyperlink" Target="https://www.mobileappdaily.com/directory/digital-marketing-companies/uk" TargetMode="External"/><Relationship Id="rId362" Type="http://schemas.openxmlformats.org/officeDocument/2006/relationships/hyperlink" Target="http://weareroast.com" TargetMode="External"/><Relationship Id="rId2284" Type="http://schemas.openxmlformats.org/officeDocument/2006/relationships/hyperlink" Target="http://mobileappdaily.com" TargetMode="External"/><Relationship Id="rId361" Type="http://schemas.openxmlformats.org/officeDocument/2006/relationships/hyperlink" Target="https://weareroast.com/news/best-ppc-agencies-in-the-uk-2026-guide/" TargetMode="External"/><Relationship Id="rId2285" Type="http://schemas.openxmlformats.org/officeDocument/2006/relationships/hyperlink" Target="https://www.monks.com/google-partnership" TargetMode="External"/><Relationship Id="rId360" Type="http://schemas.openxmlformats.org/officeDocument/2006/relationships/hyperlink" Target="http://thedrum.com" TargetMode="External"/><Relationship Id="rId2286" Type="http://schemas.openxmlformats.org/officeDocument/2006/relationships/hyperlink" Target="http://monks.com" TargetMode="External"/><Relationship Id="rId367" Type="http://schemas.openxmlformats.org/officeDocument/2006/relationships/hyperlink" Target="https://www.50pros.com/hire/digital-marketing/marketing-attribution" TargetMode="External"/><Relationship Id="rId2287" Type="http://schemas.openxmlformats.org/officeDocument/2006/relationships/hyperlink" Target="https://www.monks.com/partners/google-marketing-platform" TargetMode="External"/><Relationship Id="rId366" Type="http://schemas.openxmlformats.org/officeDocument/2006/relationships/hyperlink" Target="http://50pros.com" TargetMode="External"/><Relationship Id="rId2288" Type="http://schemas.openxmlformats.org/officeDocument/2006/relationships/hyperlink" Target="http://monks.com" TargetMode="External"/><Relationship Id="rId365" Type="http://schemas.openxmlformats.org/officeDocument/2006/relationships/hyperlink" Target="https://www.50pros.com/hire/advertising/attribution-and-measurement" TargetMode="External"/><Relationship Id="rId2289" Type="http://schemas.openxmlformats.org/officeDocument/2006/relationships/hyperlink" Target="https://mooreks.co.uk/annual-survey/" TargetMode="External"/><Relationship Id="rId364" Type="http://schemas.openxmlformats.org/officeDocument/2006/relationships/hyperlink" Target="http://webdesignchoice.co.uk" TargetMode="External"/><Relationship Id="rId95" Type="http://schemas.openxmlformats.org/officeDocument/2006/relationships/hyperlink" Target="http://thesocialshepherd.com" TargetMode="External"/><Relationship Id="rId94" Type="http://schemas.openxmlformats.org/officeDocument/2006/relationships/hyperlink" Target="https://thesocialshepherd.com/blog/paid-media-agencies-uk" TargetMode="External"/><Relationship Id="rId97" Type="http://schemas.openxmlformats.org/officeDocument/2006/relationships/hyperlink" Target="http://dentsu.com" TargetMode="External"/><Relationship Id="rId96" Type="http://schemas.openxmlformats.org/officeDocument/2006/relationships/hyperlink" Target="https://www.dentsu.com/uk/en/marketing-effectiveness" TargetMode="External"/><Relationship Id="rId99" Type="http://schemas.openxmlformats.org/officeDocument/2006/relationships/hyperlink" Target="http://ensun.io" TargetMode="External"/><Relationship Id="rId98" Type="http://schemas.openxmlformats.org/officeDocument/2006/relationships/hyperlink" Target="https://ensun.io/search/marketing-analytics/united-kingdom" TargetMode="External"/><Relationship Id="rId91" Type="http://schemas.openxmlformats.org/officeDocument/2006/relationships/hyperlink" Target="https://bind.media/insights/top-9-paid-social-agencies-in-the-uk-2025" TargetMode="External"/><Relationship Id="rId90" Type="http://schemas.openxmlformats.org/officeDocument/2006/relationships/hyperlink" Target="http://sortlist.co.uk" TargetMode="External"/><Relationship Id="rId93" Type="http://schemas.openxmlformats.org/officeDocument/2006/relationships/hyperlink" Target="http://disruptmarketing.co" TargetMode="External"/><Relationship Id="rId92" Type="http://schemas.openxmlformats.org/officeDocument/2006/relationships/hyperlink" Target="https://disruptmarketing.co/blog/best-social-media-marketing-agencies/" TargetMode="External"/><Relationship Id="rId359" Type="http://schemas.openxmlformats.org/officeDocument/2006/relationships/hyperlink" Target="https://www.thedrum.com/lists/digital-agency-census/award-poll" TargetMode="External"/><Relationship Id="rId358" Type="http://schemas.openxmlformats.org/officeDocument/2006/relationships/hyperlink" Target="http://thatware.co" TargetMode="External"/><Relationship Id="rId357" Type="http://schemas.openxmlformats.org/officeDocument/2006/relationships/hyperlink" Target="https://thatware.co/top-10-ai-seo-companies-in-uk/" TargetMode="External"/><Relationship Id="rId2270" Type="http://schemas.openxmlformats.org/officeDocument/2006/relationships/hyperlink" Target="http://mediaperformance.co.uk" TargetMode="External"/><Relationship Id="rId2271" Type="http://schemas.openxmlformats.org/officeDocument/2006/relationships/hyperlink" Target="https://www.mediaperformance.co.uk/what-we-do/measurement-attribution-strategy/" TargetMode="External"/><Relationship Id="rId352" Type="http://schemas.openxmlformats.org/officeDocument/2006/relationships/hyperlink" Target="http://measured.com" TargetMode="External"/><Relationship Id="rId2272" Type="http://schemas.openxmlformats.org/officeDocument/2006/relationships/hyperlink" Target="http://mediaperformance.co.uk" TargetMode="External"/><Relationship Id="rId351" Type="http://schemas.openxmlformats.org/officeDocument/2006/relationships/hyperlink" Target="https://www.measured.com/faq/best-incrementality-testing-companies-software-for-marketing-2025/" TargetMode="External"/><Relationship Id="rId2273" Type="http://schemas.openxmlformats.org/officeDocument/2006/relationships/hyperlink" Target="https://mediascape.ltd.uk/av-insights/top-digital-screen-companies-in-the-uk/" TargetMode="External"/><Relationship Id="rId350" Type="http://schemas.openxmlformats.org/officeDocument/2006/relationships/hyperlink" Target="http://kinase.co.uk" TargetMode="External"/><Relationship Id="rId2274" Type="http://schemas.openxmlformats.org/officeDocument/2006/relationships/hyperlink" Target="http://mediascape.ltd.uk" TargetMode="External"/><Relationship Id="rId2275" Type="http://schemas.openxmlformats.org/officeDocument/2006/relationships/hyperlink" Target="https://www.mediaworxfilms.com/post/best-10-creative-agencies-in-london-2025" TargetMode="External"/><Relationship Id="rId356" Type="http://schemas.openxmlformats.org/officeDocument/2006/relationships/hyperlink" Target="http://techradar.com" TargetMode="External"/><Relationship Id="rId2276" Type="http://schemas.openxmlformats.org/officeDocument/2006/relationships/hyperlink" Target="http://mediaworxfilms.com" TargetMode="External"/><Relationship Id="rId355" Type="http://schemas.openxmlformats.org/officeDocument/2006/relationships/hyperlink" Target="https://www.techradar.com/pro/aeo-vs-seo-whats-the-difference-and-do-you-need-both" TargetMode="External"/><Relationship Id="rId2277" Type="http://schemas.openxmlformats.org/officeDocument/2006/relationships/hyperlink" Target="https://www.mint.ai/agentic-ai" TargetMode="External"/><Relationship Id="rId354" Type="http://schemas.openxmlformats.org/officeDocument/2006/relationships/hyperlink" Target="http://superbcompanies.com" TargetMode="External"/><Relationship Id="rId2278" Type="http://schemas.openxmlformats.org/officeDocument/2006/relationships/hyperlink" Target="http://mint.ai" TargetMode="External"/><Relationship Id="rId353" Type="http://schemas.openxmlformats.org/officeDocument/2006/relationships/hyperlink" Target="https://superbcompanies.com/categories/creative-agencies-in-the-uk/" TargetMode="External"/><Relationship Id="rId2279" Type="http://schemas.openxmlformats.org/officeDocument/2006/relationships/hyperlink" Target="https://www.mitochonpixel.co.uk/blogs/top-10-analytics-and-reporting-companies-in-uk" TargetMode="External"/><Relationship Id="rId1378" Type="http://schemas.openxmlformats.org/officeDocument/2006/relationships/hyperlink" Target="https://support.google.com/google-ads/answer/11410677?hl=en" TargetMode="External"/><Relationship Id="rId2225" Type="http://schemas.openxmlformats.org/officeDocument/2006/relationships/hyperlink" Target="https://marketerhire.com/blog/display-advertising-agency" TargetMode="External"/><Relationship Id="rId1379" Type="http://schemas.openxmlformats.org/officeDocument/2006/relationships/hyperlink" Target="http://google.com" TargetMode="External"/><Relationship Id="rId2226" Type="http://schemas.openxmlformats.org/officeDocument/2006/relationships/hyperlink" Target="http://marketerhire.com" TargetMode="External"/><Relationship Id="rId2227" Type="http://schemas.openxmlformats.org/officeDocument/2006/relationships/hyperlink" Target="https://marketing-attribution-and-consulting.martechoutlook.com/vendors/top-marketing-attribution-and-consulting-services.html" TargetMode="External"/><Relationship Id="rId2228" Type="http://schemas.openxmlformats.org/officeDocument/2006/relationships/hyperlink" Target="http://martechoutlook.com" TargetMode="External"/><Relationship Id="rId2229" Type="http://schemas.openxmlformats.org/officeDocument/2006/relationships/hyperlink" Target="https://www.marketingagencyindex.com/uk" TargetMode="External"/><Relationship Id="rId305" Type="http://schemas.openxmlformats.org/officeDocument/2006/relationships/hyperlink" Target="https://www.adbeacon.com/19-best-marketing-attribution-software-solutions-in-2026/" TargetMode="External"/><Relationship Id="rId789" Type="http://schemas.openxmlformats.org/officeDocument/2006/relationships/hyperlink" Target="http://kingsbury.io" TargetMode="External"/><Relationship Id="rId304" Type="http://schemas.openxmlformats.org/officeDocument/2006/relationships/hyperlink" Target="http://accuracast.com" TargetMode="External"/><Relationship Id="rId788" Type="http://schemas.openxmlformats.org/officeDocument/2006/relationships/hyperlink" Target="https://www.kingsbury.io/" TargetMode="External"/><Relationship Id="rId303" Type="http://schemas.openxmlformats.org/officeDocument/2006/relationships/hyperlink" Target="https://www.accuracast.com/articles/advertising/ai-marketing-agencies-uk/" TargetMode="External"/><Relationship Id="rId787" Type="http://schemas.openxmlformats.org/officeDocument/2006/relationships/hyperlink" Target="http://journeyfurther.com" TargetMode="External"/><Relationship Id="rId302" Type="http://schemas.openxmlformats.org/officeDocument/2006/relationships/hyperlink" Target="http://a-listware.com" TargetMode="External"/><Relationship Id="rId786" Type="http://schemas.openxmlformats.org/officeDocument/2006/relationships/hyperlink" Target="https://www.journeyfurther.com/en-gb/solutions/marketing-science" TargetMode="External"/><Relationship Id="rId309" Type="http://schemas.openxmlformats.org/officeDocument/2006/relationships/hyperlink" Target="https://www.alphaapexgroup.com/blog/top-ai-consulting-firms" TargetMode="External"/><Relationship Id="rId308" Type="http://schemas.openxmlformats.org/officeDocument/2006/relationships/hyperlink" Target="http://adbeacon.com" TargetMode="External"/><Relationship Id="rId307" Type="http://schemas.openxmlformats.org/officeDocument/2006/relationships/hyperlink" Target="https://www.adbeacon.com/7-best-marketing-attribution-tools-compared-2026/" TargetMode="External"/><Relationship Id="rId306" Type="http://schemas.openxmlformats.org/officeDocument/2006/relationships/hyperlink" Target="http://adbeacon.com" TargetMode="External"/><Relationship Id="rId781" Type="http://schemas.openxmlformats.org/officeDocument/2006/relationships/hyperlink" Target="http://google.com" TargetMode="External"/><Relationship Id="rId1370" Type="http://schemas.openxmlformats.org/officeDocument/2006/relationships/hyperlink" Target="https://www.sortlist.com/marketing-analytics" TargetMode="External"/><Relationship Id="rId780" Type="http://schemas.openxmlformats.org/officeDocument/2006/relationships/hyperlink" Target="https://www.google.com/partners" TargetMode="External"/><Relationship Id="rId1371" Type="http://schemas.openxmlformats.org/officeDocument/2006/relationships/hyperlink" Target="http://sortlist.com" TargetMode="External"/><Relationship Id="rId1372" Type="http://schemas.openxmlformats.org/officeDocument/2006/relationships/hyperlink" Target="https://sourceloop.ai/blog/best-marketing-measurement-tools/" TargetMode="External"/><Relationship Id="rId1373" Type="http://schemas.openxmlformats.org/officeDocument/2006/relationships/hyperlink" Target="http://sourceloop.ai" TargetMode="External"/><Relationship Id="rId2220" Type="http://schemas.openxmlformats.org/officeDocument/2006/relationships/hyperlink" Target="http://madebyshape.co.uk" TargetMode="External"/><Relationship Id="rId301" Type="http://schemas.openxmlformats.org/officeDocument/2006/relationships/hyperlink" Target="https://a-listware.com/blog/sales-and-marketing-analytics-companies-uk" TargetMode="External"/><Relationship Id="rId785" Type="http://schemas.openxmlformats.org/officeDocument/2006/relationships/hyperlink" Target="http://inbeat.co" TargetMode="External"/><Relationship Id="rId1374" Type="http://schemas.openxmlformats.org/officeDocument/2006/relationships/hyperlink" Target="https://spicyadvisory.com/blog/best-ai-consulting-firms-london-uk-2026" TargetMode="External"/><Relationship Id="rId2221" Type="http://schemas.openxmlformats.org/officeDocument/2006/relationships/hyperlink" Target="https://www.mapleforest.co.uk/" TargetMode="External"/><Relationship Id="rId300" Type="http://schemas.openxmlformats.org/officeDocument/2006/relationships/hyperlink" Target="http://sortlist.co.uk" TargetMode="External"/><Relationship Id="rId784" Type="http://schemas.openxmlformats.org/officeDocument/2006/relationships/hyperlink" Target="https://www.inbeat.co/articles/marketing-agencies-in-uk/" TargetMode="External"/><Relationship Id="rId1375" Type="http://schemas.openxmlformats.org/officeDocument/2006/relationships/hyperlink" Target="http://spicyadvisory.com" TargetMode="External"/><Relationship Id="rId2222" Type="http://schemas.openxmlformats.org/officeDocument/2006/relationships/hyperlink" Target="http://mapleforest.co.uk" TargetMode="External"/><Relationship Id="rId783" Type="http://schemas.openxmlformats.org/officeDocument/2006/relationships/hyperlink" Target="http://ie.edu" TargetMode="External"/><Relationship Id="rId1376" Type="http://schemas.openxmlformats.org/officeDocument/2006/relationships/hyperlink" Target="https://superbcompanies.com/categories/digital-marketing-companies-in-the-uk/" TargetMode="External"/><Relationship Id="rId2223" Type="http://schemas.openxmlformats.org/officeDocument/2006/relationships/hyperlink" Target="https://www.margen.net/ai-seo-agency-uk/" TargetMode="External"/><Relationship Id="rId782" Type="http://schemas.openxmlformats.org/officeDocument/2006/relationships/hyperlink" Target="https://www.ie.edu/uncover-ie/the-big-six-agencies-marcom-ie-business-school/" TargetMode="External"/><Relationship Id="rId1377" Type="http://schemas.openxmlformats.org/officeDocument/2006/relationships/hyperlink" Target="http://superbcompanies.com" TargetMode="External"/><Relationship Id="rId2224" Type="http://schemas.openxmlformats.org/officeDocument/2006/relationships/hyperlink" Target="http://margen.net" TargetMode="External"/><Relationship Id="rId1367" Type="http://schemas.openxmlformats.org/officeDocument/2006/relationships/hyperlink" Target="http://sortlist.co.uk" TargetMode="External"/><Relationship Id="rId2214" Type="http://schemas.openxmlformats.org/officeDocument/2006/relationships/hyperlink" Target="http://lynchpin.com" TargetMode="External"/><Relationship Id="rId2698" Type="http://schemas.openxmlformats.org/officeDocument/2006/relationships/hyperlink" Target="https://www.thelogocreative.co.uk/7-top-branding-agencies-in-the-uk/" TargetMode="External"/><Relationship Id="rId1368" Type="http://schemas.openxmlformats.org/officeDocument/2006/relationships/hyperlink" Target="https://www.sortlist.co.uk/s/programmatic-advertising/united-kingdom-gb" TargetMode="External"/><Relationship Id="rId2215" Type="http://schemas.openxmlformats.org/officeDocument/2006/relationships/hyperlink" Target="https://www.lynchpin.com/services/digital-analytics/adobe-analytics-and-target-support/" TargetMode="External"/><Relationship Id="rId2699" Type="http://schemas.openxmlformats.org/officeDocument/2006/relationships/hyperlink" Target="http://thelogocreative.co.uk" TargetMode="External"/><Relationship Id="rId1369" Type="http://schemas.openxmlformats.org/officeDocument/2006/relationships/hyperlink" Target="http://sortlist.co.uk" TargetMode="External"/><Relationship Id="rId2216" Type="http://schemas.openxmlformats.org/officeDocument/2006/relationships/hyperlink" Target="http://lynchpin.com" TargetMode="External"/><Relationship Id="rId2217" Type="http://schemas.openxmlformats.org/officeDocument/2006/relationships/hyperlink" Target="https://m.economictimes.com/industry/services/advertising/bcg-sees-wider-ai-execution-gap-in-india-as-marketers-prepare-for-agentic-ai/articleshow/132398248.cms" TargetMode="External"/><Relationship Id="rId2218" Type="http://schemas.openxmlformats.org/officeDocument/2006/relationships/hyperlink" Target="http://economictimes.com" TargetMode="External"/><Relationship Id="rId2219" Type="http://schemas.openxmlformats.org/officeDocument/2006/relationships/hyperlink" Target="https://madebyshape.co.uk/web-design-blog/the-best-branding-agencies-to-work-for-in-the-uk/" TargetMode="External"/><Relationship Id="rId778" Type="http://schemas.openxmlformats.org/officeDocument/2006/relationships/hyperlink" Target="https://www.goodfirms.co/directory/country/top-digital-marketing-companies/advertising-ppc/uk" TargetMode="External"/><Relationship Id="rId777" Type="http://schemas.openxmlformats.org/officeDocument/2006/relationships/hyperlink" Target="http://goodfirms.co" TargetMode="External"/><Relationship Id="rId776" Type="http://schemas.openxmlformats.org/officeDocument/2006/relationships/hyperlink" Target="https://www.goodfirms.co/advertising-companies/creative/uk" TargetMode="External"/><Relationship Id="rId775" Type="http://schemas.openxmlformats.org/officeDocument/2006/relationships/hyperlink" Target="http://fusepointinsights.com" TargetMode="External"/><Relationship Id="rId779" Type="http://schemas.openxmlformats.org/officeDocument/2006/relationships/hyperlink" Target="http://goodfirms.co" TargetMode="External"/><Relationship Id="rId770" Type="http://schemas.openxmlformats.org/officeDocument/2006/relationships/hyperlink" Target="http://ecomone.com" TargetMode="External"/><Relationship Id="rId2690" Type="http://schemas.openxmlformats.org/officeDocument/2006/relationships/hyperlink" Target="https://www.thegrowthsyndicate.com/agencies/chatgpt-ads-agencies-uk" TargetMode="External"/><Relationship Id="rId1360" Type="http://schemas.openxmlformats.org/officeDocument/2006/relationships/hyperlink" Target="https://www.sortlist.co.uk/s/creative/england-england-gb" TargetMode="External"/><Relationship Id="rId2691" Type="http://schemas.openxmlformats.org/officeDocument/2006/relationships/hyperlink" Target="http://thegrowthsyndicate.com" TargetMode="External"/><Relationship Id="rId1361" Type="http://schemas.openxmlformats.org/officeDocument/2006/relationships/hyperlink" Target="http://sortlist.co.uk" TargetMode="External"/><Relationship Id="rId2692" Type="http://schemas.openxmlformats.org/officeDocument/2006/relationships/hyperlink" Target="https://www.theguardian.com/business/2026/feb/26/wpp-merge-ad-agencies-cut-jobs-ai-threat-advertising" TargetMode="External"/><Relationship Id="rId1362" Type="http://schemas.openxmlformats.org/officeDocument/2006/relationships/hyperlink" Target="https://www.sortlist.co.uk/s/digital-advertising/united-kingdom-gb" TargetMode="External"/><Relationship Id="rId2693" Type="http://schemas.openxmlformats.org/officeDocument/2006/relationships/hyperlink" Target="http://theguardian.com" TargetMode="External"/><Relationship Id="rId774" Type="http://schemas.openxmlformats.org/officeDocument/2006/relationships/hyperlink" Target="https://fusepointinsights.com/service/incrementality-experiments/" TargetMode="External"/><Relationship Id="rId1363" Type="http://schemas.openxmlformats.org/officeDocument/2006/relationships/hyperlink" Target="http://sortlist.co.uk" TargetMode="External"/><Relationship Id="rId2210" Type="http://schemas.openxmlformats.org/officeDocument/2006/relationships/hyperlink" Target="http://loudface.co" TargetMode="External"/><Relationship Id="rId2694" Type="http://schemas.openxmlformats.org/officeDocument/2006/relationships/hyperlink" Target="https://www.thekeenfolks.com/blog-article/best-performance-marketing-agencies" TargetMode="External"/><Relationship Id="rId773" Type="http://schemas.openxmlformats.org/officeDocument/2006/relationships/hyperlink" Target="http://found.co.uk" TargetMode="External"/><Relationship Id="rId1364" Type="http://schemas.openxmlformats.org/officeDocument/2006/relationships/hyperlink" Target="https://www.sortlist.co.uk/s/marketing-analytics/birmingham-england-gb" TargetMode="External"/><Relationship Id="rId2211" Type="http://schemas.openxmlformats.org/officeDocument/2006/relationships/hyperlink" Target="https://lunarailab.com/blog/2026/03/04/top-5-ai-agent-adoption-agencies-in-2026/" TargetMode="External"/><Relationship Id="rId2695" Type="http://schemas.openxmlformats.org/officeDocument/2006/relationships/hyperlink" Target="http://thekeenfolks.com" TargetMode="External"/><Relationship Id="rId772" Type="http://schemas.openxmlformats.org/officeDocument/2006/relationships/hyperlink" Target="https://www.found.co.uk/blog/best-generative-engine-optimisation-agencies/" TargetMode="External"/><Relationship Id="rId1365" Type="http://schemas.openxmlformats.org/officeDocument/2006/relationships/hyperlink" Target="http://sortlist.co.uk" TargetMode="External"/><Relationship Id="rId2212" Type="http://schemas.openxmlformats.org/officeDocument/2006/relationships/hyperlink" Target="http://lunarailab.com" TargetMode="External"/><Relationship Id="rId2696" Type="http://schemas.openxmlformats.org/officeDocument/2006/relationships/hyperlink" Target="https://www.thelaneagency.com/media/paid-social/" TargetMode="External"/><Relationship Id="rId771" Type="http://schemas.openxmlformats.org/officeDocument/2006/relationships/hyperlink" Target="https://enterprisemarketingportal.google/work-with-partners" TargetMode="External"/><Relationship Id="rId1366" Type="http://schemas.openxmlformats.org/officeDocument/2006/relationships/hyperlink" Target="https://www.sortlist.co.uk/s/paid-media/greater-london-england-gb" TargetMode="External"/><Relationship Id="rId2213" Type="http://schemas.openxmlformats.org/officeDocument/2006/relationships/hyperlink" Target="https://www.lynchpin.com/about-us/" TargetMode="External"/><Relationship Id="rId2697" Type="http://schemas.openxmlformats.org/officeDocument/2006/relationships/hyperlink" Target="http://thelaneagency.com" TargetMode="External"/><Relationship Id="rId2247" Type="http://schemas.openxmlformats.org/officeDocument/2006/relationships/hyperlink" Target="https://mass-analytics.com/mmm-solutions/mmm-consultancy/" TargetMode="External"/><Relationship Id="rId2248" Type="http://schemas.openxmlformats.org/officeDocument/2006/relationships/hyperlink" Target="http://mass-analytics.com" TargetMode="External"/><Relationship Id="rId2249" Type="http://schemas.openxmlformats.org/officeDocument/2006/relationships/hyperlink" Target="https://matomo.org/blog/2024/03/incrementality-testing/" TargetMode="External"/><Relationship Id="rId327" Type="http://schemas.openxmlformats.org/officeDocument/2006/relationships/hyperlink" Target="https://www.rank4ai.co.uk/research/rankings/best-geo-agencies-uk/" TargetMode="External"/><Relationship Id="rId326" Type="http://schemas.openxmlformats.org/officeDocument/2006/relationships/hyperlink" Target="http://lengreo.com" TargetMode="External"/><Relationship Id="rId325" Type="http://schemas.openxmlformats.org/officeDocument/2006/relationships/hyperlink" Target="https://lengreo.com/best-answer-engine-optimization-aeo-agencies-for-uk-companies-in-2025/" TargetMode="External"/><Relationship Id="rId324" Type="http://schemas.openxmlformats.org/officeDocument/2006/relationships/hyperlink" Target="http://getaiready.uk" TargetMode="External"/><Relationship Id="rId329" Type="http://schemas.openxmlformats.org/officeDocument/2006/relationships/hyperlink" Target="https://www.rank4ai.co.uk/research/rankings/top-ai-search-agencies-london/" TargetMode="External"/><Relationship Id="rId1390" Type="http://schemas.openxmlformats.org/officeDocument/2006/relationships/hyperlink" Target="https://themanifest.com/programmatic/agencies/uk" TargetMode="External"/><Relationship Id="rId328" Type="http://schemas.openxmlformats.org/officeDocument/2006/relationships/hyperlink" Target="http://rank4ai.co.uk" TargetMode="External"/><Relationship Id="rId1391" Type="http://schemas.openxmlformats.org/officeDocument/2006/relationships/hyperlink" Target="http://themanifest.com" TargetMode="External"/><Relationship Id="rId1392" Type="http://schemas.openxmlformats.org/officeDocument/2006/relationships/hyperlink" Target="https://thetechfounders.co.uk/guides/10-best-ai-readiness-assessment-platforms-available-in-2026/" TargetMode="External"/><Relationship Id="rId1393" Type="http://schemas.openxmlformats.org/officeDocument/2006/relationships/hyperlink" Target="http://thetechfounders.co.uk" TargetMode="External"/><Relationship Id="rId2240" Type="http://schemas.openxmlformats.org/officeDocument/2006/relationships/hyperlink" Target="http://marketingsignals.com" TargetMode="External"/><Relationship Id="rId1394" Type="http://schemas.openxmlformats.org/officeDocument/2006/relationships/hyperlink" Target="https://www.thetimes.co.uk/article/open-communication-partners-fastest-growing-sunday-times-100-3m3klfjkf" TargetMode="External"/><Relationship Id="rId2241" Type="http://schemas.openxmlformats.org/officeDocument/2006/relationships/hyperlink" Target="https://www.marketingweek.com/john-lewis-new-agency/" TargetMode="External"/><Relationship Id="rId1395" Type="http://schemas.openxmlformats.org/officeDocument/2006/relationships/hyperlink" Target="http://thetimes.co.uk" TargetMode="External"/><Relationship Id="rId2242" Type="http://schemas.openxmlformats.org/officeDocument/2006/relationships/hyperlink" Target="http://marketingweek.com" TargetMode="External"/><Relationship Id="rId323" Type="http://schemas.openxmlformats.org/officeDocument/2006/relationships/hyperlink" Target="https://getaiready.uk/" TargetMode="External"/><Relationship Id="rId1396" Type="http://schemas.openxmlformats.org/officeDocument/2006/relationships/hyperlink" Target="https://www.theverge.com/tech/900302/ai-seo-industry-google-search-chatgpt-gemini-marketing" TargetMode="External"/><Relationship Id="rId2243" Type="http://schemas.openxmlformats.org/officeDocument/2006/relationships/hyperlink" Target="https://marketri.com/ai-marketing-consulting/" TargetMode="External"/><Relationship Id="rId322" Type="http://schemas.openxmlformats.org/officeDocument/2006/relationships/hyperlink" Target="http://evangelistsoftware.com" TargetMode="External"/><Relationship Id="rId1397" Type="http://schemas.openxmlformats.org/officeDocument/2006/relationships/hyperlink" Target="http://theverge.com" TargetMode="External"/><Relationship Id="rId2244" Type="http://schemas.openxmlformats.org/officeDocument/2006/relationships/hyperlink" Target="http://marketri.com" TargetMode="External"/><Relationship Id="rId321" Type="http://schemas.openxmlformats.org/officeDocument/2006/relationships/hyperlink" Target="https://evangelistsoftware.com/blog/top-ai-consulting-firms-in-uk/" TargetMode="External"/><Relationship Id="rId1398" Type="http://schemas.openxmlformats.org/officeDocument/2006/relationships/hyperlink" Target="https://www.tilio.co.uk/ai-search-agency" TargetMode="External"/><Relationship Id="rId2245" Type="http://schemas.openxmlformats.org/officeDocument/2006/relationships/hyperlink" Target="https://martal.ca/integrated-marketing-agencies-lb/" TargetMode="External"/><Relationship Id="rId320" Type="http://schemas.openxmlformats.org/officeDocument/2006/relationships/hyperlink" Target="http://directiveconsulting.com" TargetMode="External"/><Relationship Id="rId1399" Type="http://schemas.openxmlformats.org/officeDocument/2006/relationships/hyperlink" Target="http://tilio.co.uk" TargetMode="External"/><Relationship Id="rId2246" Type="http://schemas.openxmlformats.org/officeDocument/2006/relationships/hyperlink" Target="http://martal.ca" TargetMode="External"/><Relationship Id="rId1389" Type="http://schemas.openxmlformats.org/officeDocument/2006/relationships/hyperlink" Target="http://thegrowthsyndicate.com" TargetMode="External"/><Relationship Id="rId2236" Type="http://schemas.openxmlformats.org/officeDocument/2006/relationships/hyperlink" Target="http://marketingiq.co.uk" TargetMode="External"/><Relationship Id="rId2237" Type="http://schemas.openxmlformats.org/officeDocument/2006/relationships/hyperlink" Target="https://marketingplatform.google.com/about/partners/find-a-partner?category=206&amp;geo=united+kingdom&amp;q=&amp;region=EU" TargetMode="External"/><Relationship Id="rId2238" Type="http://schemas.openxmlformats.org/officeDocument/2006/relationships/hyperlink" Target="http://google.com" TargetMode="External"/><Relationship Id="rId2239" Type="http://schemas.openxmlformats.org/officeDocument/2006/relationships/hyperlink" Target="https://marketingsignals.com/best-ppc-agency-2026-the-top-uk-pay-per-click-agencies-ranked/" TargetMode="External"/><Relationship Id="rId316" Type="http://schemas.openxmlformats.org/officeDocument/2006/relationships/hyperlink" Target="http://creativemarketingltd.co.uk" TargetMode="External"/><Relationship Id="rId315" Type="http://schemas.openxmlformats.org/officeDocument/2006/relationships/hyperlink" Target="https://www.creativemarketingltd.co.uk/blog/top-digital-marketing-agencies" TargetMode="External"/><Relationship Id="rId799" Type="http://schemas.openxmlformats.org/officeDocument/2006/relationships/hyperlink" Target="http://ninjapromo.io" TargetMode="External"/><Relationship Id="rId314" Type="http://schemas.openxmlformats.org/officeDocument/2006/relationships/hyperlink" Target="http://charle.co.uk" TargetMode="External"/><Relationship Id="rId798" Type="http://schemas.openxmlformats.org/officeDocument/2006/relationships/hyperlink" Target="https://ninjapromo.io/top-digital-marketing-agencies-in-the-uk" TargetMode="External"/><Relationship Id="rId313" Type="http://schemas.openxmlformats.org/officeDocument/2006/relationships/hyperlink" Target="https://www.charle.co.uk/articles/best-geo-agencies-uk/" TargetMode="External"/><Relationship Id="rId797" Type="http://schemas.openxmlformats.org/officeDocument/2006/relationships/hyperlink" Target="http://google.com" TargetMode="External"/><Relationship Id="rId319" Type="http://schemas.openxmlformats.org/officeDocument/2006/relationships/hyperlink" Target="https://directiveconsulting.com/uk/blog/best-marketing-data-agency/" TargetMode="External"/><Relationship Id="rId318" Type="http://schemas.openxmlformats.org/officeDocument/2006/relationships/hyperlink" Target="http://digitalreference.co" TargetMode="External"/><Relationship Id="rId317" Type="http://schemas.openxmlformats.org/officeDocument/2006/relationships/hyperlink" Target="https://www.digitalreference.co/design-professionals/best-creative-agencies-in-the-uk" TargetMode="External"/><Relationship Id="rId1380" Type="http://schemas.openxmlformats.org/officeDocument/2006/relationships/hyperlink" Target="https://techbehemoths.com/companies/google-marketing-platform/united-kingdom" TargetMode="External"/><Relationship Id="rId792" Type="http://schemas.openxmlformats.org/officeDocument/2006/relationships/hyperlink" Target="https://www.magnetic-london.co.uk/post/best-digital-marketing-agencies-in-the-uk-for-2026-what-they-do-why-it-matters-and-top-picks" TargetMode="External"/><Relationship Id="rId1381" Type="http://schemas.openxmlformats.org/officeDocument/2006/relationships/hyperlink" Target="http://techbehemoths.com" TargetMode="External"/><Relationship Id="rId791" Type="http://schemas.openxmlformats.org/officeDocument/2006/relationships/hyperlink" Target="http://kometadvisory.com" TargetMode="External"/><Relationship Id="rId1382" Type="http://schemas.openxmlformats.org/officeDocument/2006/relationships/hyperlink" Target="https://thatware.co/top-10-seo-companies-in-uk/" TargetMode="External"/><Relationship Id="rId790" Type="http://schemas.openxmlformats.org/officeDocument/2006/relationships/hyperlink" Target="https://www.kometadvisory.com/" TargetMode="External"/><Relationship Id="rId1383" Type="http://schemas.openxmlformats.org/officeDocument/2006/relationships/hyperlink" Target="http://thatware.co" TargetMode="External"/><Relationship Id="rId2230" Type="http://schemas.openxmlformats.org/officeDocument/2006/relationships/hyperlink" Target="http://marketingagencyindex.com" TargetMode="External"/><Relationship Id="rId1384" Type="http://schemas.openxmlformats.org/officeDocument/2006/relationships/hyperlink" Target="https://theaiconsultancy.ai/" TargetMode="External"/><Relationship Id="rId2231" Type="http://schemas.openxmlformats.org/officeDocument/2006/relationships/hyperlink" Target="https://www.marketingagencyindex.com/uk/ownership-model/network" TargetMode="External"/><Relationship Id="rId312" Type="http://schemas.openxmlformats.org/officeDocument/2006/relationships/hyperlink" Target="http://brandspeak.co.uk" TargetMode="External"/><Relationship Id="rId796" Type="http://schemas.openxmlformats.org/officeDocument/2006/relationships/hyperlink" Target="https://marketingplatform.google.com/intl/en_uk/about/" TargetMode="External"/><Relationship Id="rId1385" Type="http://schemas.openxmlformats.org/officeDocument/2006/relationships/hyperlink" Target="http://theaiconsultancy.ai" TargetMode="External"/><Relationship Id="rId2232" Type="http://schemas.openxmlformats.org/officeDocument/2006/relationships/hyperlink" Target="http://marketingagencyindex.com" TargetMode="External"/><Relationship Id="rId311" Type="http://schemas.openxmlformats.org/officeDocument/2006/relationships/hyperlink" Target="https://brandspeak.co.uk/blog/top-market-research-companies-uk/" TargetMode="External"/><Relationship Id="rId795" Type="http://schemas.openxmlformats.org/officeDocument/2006/relationships/hyperlink" Target="http://marketingattribution.com" TargetMode="External"/><Relationship Id="rId1386" Type="http://schemas.openxmlformats.org/officeDocument/2006/relationships/hyperlink" Target="https://www.thedrum.com/lists/world-creative-rankings/companies/the-most-awarded-agencies-uk-ireland/2026" TargetMode="External"/><Relationship Id="rId2233" Type="http://schemas.openxmlformats.org/officeDocument/2006/relationships/hyperlink" Target="https://www.marketingiq.co.uk/" TargetMode="External"/><Relationship Id="rId310" Type="http://schemas.openxmlformats.org/officeDocument/2006/relationships/hyperlink" Target="http://alphaapexgroup.com" TargetMode="External"/><Relationship Id="rId794" Type="http://schemas.openxmlformats.org/officeDocument/2006/relationships/hyperlink" Target="https://www.marketingattribution.com/" TargetMode="External"/><Relationship Id="rId1387" Type="http://schemas.openxmlformats.org/officeDocument/2006/relationships/hyperlink" Target="http://thedrum.com" TargetMode="External"/><Relationship Id="rId2234" Type="http://schemas.openxmlformats.org/officeDocument/2006/relationships/hyperlink" Target="http://marketingiq.co.uk" TargetMode="External"/><Relationship Id="rId793" Type="http://schemas.openxmlformats.org/officeDocument/2006/relationships/hyperlink" Target="http://magnetic-london.co.uk" TargetMode="External"/><Relationship Id="rId1388" Type="http://schemas.openxmlformats.org/officeDocument/2006/relationships/hyperlink" Target="https://www.thegrowthsyndicate.com/agencies/best-b2b-digital-marketing-agencies-uk" TargetMode="External"/><Relationship Id="rId2235" Type="http://schemas.openxmlformats.org/officeDocument/2006/relationships/hyperlink" Target="https://www.marketingiq.co.uk/about-simon-foster-mmm-consultant/" TargetMode="External"/><Relationship Id="rId297" Type="http://schemas.openxmlformats.org/officeDocument/2006/relationships/hyperlink" Target="https://www.sortlist.co.uk/social-media/united-kingdom-gb" TargetMode="External"/><Relationship Id="rId296" Type="http://schemas.openxmlformats.org/officeDocument/2006/relationships/hyperlink" Target="http://sortlist.co.uk" TargetMode="External"/><Relationship Id="rId295" Type="http://schemas.openxmlformats.org/officeDocument/2006/relationships/hyperlink" Target="https://www.sortlist.co.uk/s/display-advertising/london-england-gb" TargetMode="External"/><Relationship Id="rId294" Type="http://schemas.openxmlformats.org/officeDocument/2006/relationships/hyperlink" Target="http://sortlist.co.uk" TargetMode="External"/><Relationship Id="rId299" Type="http://schemas.openxmlformats.org/officeDocument/2006/relationships/hyperlink" Target="https://www.sortlist.co.uk/web-analytics/united-kingdom-gb" TargetMode="External"/><Relationship Id="rId298" Type="http://schemas.openxmlformats.org/officeDocument/2006/relationships/hyperlink" Target="http://sortlist.co.uk" TargetMode="External"/><Relationship Id="rId271" Type="http://schemas.openxmlformats.org/officeDocument/2006/relationships/hyperlink" Target="http://buriedagency.com" TargetMode="External"/><Relationship Id="rId270" Type="http://schemas.openxmlformats.org/officeDocument/2006/relationships/hyperlink" Target="https://www.buriedagency.com/post/top-geo-agencies-uk" TargetMode="External"/><Relationship Id="rId269" Type="http://schemas.openxmlformats.org/officeDocument/2006/relationships/hyperlink" Target="http://brandspeak.co.uk" TargetMode="External"/><Relationship Id="rId264" Type="http://schemas.openxmlformats.org/officeDocument/2006/relationships/hyperlink" Target="https://www.toasttv.co.uk/blog/working-with-the-best-in-house-creative-agencies" TargetMode="External"/><Relationship Id="rId263" Type="http://schemas.openxmlformats.org/officeDocument/2006/relationships/hyperlink" Target="http://sortlist.co.uk" TargetMode="External"/><Relationship Id="rId262" Type="http://schemas.openxmlformats.org/officeDocument/2006/relationships/hyperlink" Target="https://www.sortlist.co.uk/s/paid-media/united-kingdom-gb" TargetMode="External"/><Relationship Id="rId261" Type="http://schemas.openxmlformats.org/officeDocument/2006/relationships/hyperlink" Target="http://sortlist.co.uk" TargetMode="External"/><Relationship Id="rId268" Type="http://schemas.openxmlformats.org/officeDocument/2006/relationships/hyperlink" Target="https://brandspeak.co.uk/blog/top-market-research-agencies-uk/" TargetMode="External"/><Relationship Id="rId267" Type="http://schemas.openxmlformats.org/officeDocument/2006/relationships/hyperlink" Target="http://webtonic.io" TargetMode="External"/><Relationship Id="rId266" Type="http://schemas.openxmlformats.org/officeDocument/2006/relationships/hyperlink" Target="https://www.webtonic.io/blog/best-creative-agencies-london" TargetMode="External"/><Relationship Id="rId265" Type="http://schemas.openxmlformats.org/officeDocument/2006/relationships/hyperlink" Target="http://toasttv.co.uk" TargetMode="External"/><Relationship Id="rId260" Type="http://schemas.openxmlformats.org/officeDocument/2006/relationships/hyperlink" Target="https://www.sortlist.co.uk/s/creative/united-kingdom-gb" TargetMode="External"/><Relationship Id="rId259" Type="http://schemas.openxmlformats.org/officeDocument/2006/relationships/hyperlink" Target="http://ryesing.com" TargetMode="External"/><Relationship Id="rId258" Type="http://schemas.openxmlformats.org/officeDocument/2006/relationships/hyperlink" Target="https://www.ryesing.com/post/performance-marketing-agencies-uk" TargetMode="External"/><Relationship Id="rId2290" Type="http://schemas.openxmlformats.org/officeDocument/2006/relationships/hyperlink" Target="http://mooreks.co.uk" TargetMode="External"/><Relationship Id="rId2291" Type="http://schemas.openxmlformats.org/officeDocument/2006/relationships/hyperlink" Target="https://mrs.digital/ppc/healthcare-ppc-agency/" TargetMode="External"/><Relationship Id="rId2292" Type="http://schemas.openxmlformats.org/officeDocument/2006/relationships/hyperlink" Target="https://www.munro.agency/best-growth-marketing-agencies/" TargetMode="External"/><Relationship Id="rId2293" Type="http://schemas.openxmlformats.org/officeDocument/2006/relationships/hyperlink" Target="https://www.munro.agency/creative-advertising-agencies/" TargetMode="External"/><Relationship Id="rId253" Type="http://schemas.openxmlformats.org/officeDocument/2006/relationships/hyperlink" Target="http://google.com" TargetMode="External"/><Relationship Id="rId2294" Type="http://schemas.openxmlformats.org/officeDocument/2006/relationships/hyperlink" Target="https://www.munro.agency/google-ads-agencies/" TargetMode="External"/><Relationship Id="rId252" Type="http://schemas.openxmlformats.org/officeDocument/2006/relationships/hyperlink" Target="https://marketingplatform.google.com/about/partners/?hl=uk" TargetMode="External"/><Relationship Id="rId2295" Type="http://schemas.openxmlformats.org/officeDocument/2006/relationships/hyperlink" Target="https://www.munro.agency/top-10-paid-media-agencies/" TargetMode="External"/><Relationship Id="rId251" Type="http://schemas.openxmlformats.org/officeDocument/2006/relationships/hyperlink" Target="http://lifesight.io" TargetMode="External"/><Relationship Id="rId2296" Type="http://schemas.openxmlformats.org/officeDocument/2006/relationships/hyperlink" Target="https://www.munro.agency/top-geo-agencies/" TargetMode="External"/><Relationship Id="rId250" Type="http://schemas.openxmlformats.org/officeDocument/2006/relationships/hyperlink" Target="https://lifesight.io/blog/best-incrementality-testing-tools/" TargetMode="External"/><Relationship Id="rId2297" Type="http://schemas.openxmlformats.org/officeDocument/2006/relationships/hyperlink" Target="https://www.n-ix.com/ai-outsourcing-how-to-get-it-right/" TargetMode="External"/><Relationship Id="rId257" Type="http://schemas.openxmlformats.org/officeDocument/2006/relationships/hyperlink" Target="http://polarisagency.com" TargetMode="External"/><Relationship Id="rId2298" Type="http://schemas.openxmlformats.org/officeDocument/2006/relationships/hyperlink" Target="http://n-ix.com" TargetMode="External"/><Relationship Id="rId256" Type="http://schemas.openxmlformats.org/officeDocument/2006/relationships/hyperlink" Target="https://www.polarisagency.com/us/marketing-insights/best-geo-services-uk/" TargetMode="External"/><Relationship Id="rId2299" Type="http://schemas.openxmlformats.org/officeDocument/2006/relationships/hyperlink" Target="https://nalaber.com/insights/best-ai-seo-agencies-uk" TargetMode="External"/><Relationship Id="rId255" Type="http://schemas.openxmlformats.org/officeDocument/2006/relationships/hyperlink" Target="http://panovistamarketing.com" TargetMode="External"/><Relationship Id="rId254" Type="http://schemas.openxmlformats.org/officeDocument/2006/relationships/hyperlink" Target="https://www.panovistamarketing.com/blog/best-ai-seo-agencies-uk" TargetMode="External"/><Relationship Id="rId293" Type="http://schemas.openxmlformats.org/officeDocument/2006/relationships/hyperlink" Target="https://www.sortlist.co.uk/s/attribution-marketing/london-england-gb" TargetMode="External"/><Relationship Id="rId292" Type="http://schemas.openxmlformats.org/officeDocument/2006/relationships/hyperlink" Target="http://seoworks.com" TargetMode="External"/><Relationship Id="rId291" Type="http://schemas.openxmlformats.org/officeDocument/2006/relationships/hyperlink" Target="https://www.seoworks.com/lists/20-best-geo-agencies-in-the-uk/" TargetMode="External"/><Relationship Id="rId290" Type="http://schemas.openxmlformats.org/officeDocument/2006/relationships/hyperlink" Target="http://segmentstream.com" TargetMode="External"/><Relationship Id="rId286" Type="http://schemas.openxmlformats.org/officeDocument/2006/relationships/hyperlink" Target="http://pushgroup.co.uk" TargetMode="External"/><Relationship Id="rId285" Type="http://schemas.openxmlformats.org/officeDocument/2006/relationships/hyperlink" Target="https://www.pushgroup.co.uk/blog/top-9-google-ads-agencies-in-the-uk" TargetMode="External"/><Relationship Id="rId284" Type="http://schemas.openxmlformats.org/officeDocument/2006/relationships/hyperlink" Target="http://withgoogle.com" TargetMode="External"/><Relationship Id="rId283" Type="http://schemas.openxmlformats.org/officeDocument/2006/relationships/hyperlink" Target="https://partnersdirectory.withgoogle.com/intl/en-GB/" TargetMode="External"/><Relationship Id="rId289" Type="http://schemas.openxmlformats.org/officeDocument/2006/relationships/hyperlink" Target="https://segmentstream.com/blog/articles/best-attribution-tools" TargetMode="External"/><Relationship Id="rId288" Type="http://schemas.openxmlformats.org/officeDocument/2006/relationships/hyperlink" Target="http://rank4ai.co.uk" TargetMode="External"/><Relationship Id="rId287" Type="http://schemas.openxmlformats.org/officeDocument/2006/relationships/hyperlink" Target="https://www.rank4ai.co.uk/research/rankings/ai-search-optimisation-agencies-uk/" TargetMode="External"/><Relationship Id="rId282" Type="http://schemas.openxmlformats.org/officeDocument/2006/relationships/hyperlink" Target="https://www.munro.agency/top-paid-media-agencies/" TargetMode="External"/><Relationship Id="rId281" Type="http://schemas.openxmlformats.org/officeDocument/2006/relationships/hyperlink" Target="http://koozai.com" TargetMode="External"/><Relationship Id="rId280" Type="http://schemas.openxmlformats.org/officeDocument/2006/relationships/hyperlink" Target="https://www.koozai.com/blog/pay-per-click-ppc/10-best-paid-media-agencies-in-uk/" TargetMode="External"/><Relationship Id="rId275" Type="http://schemas.openxmlformats.org/officeDocument/2006/relationships/hyperlink" Target="http://clickslice.co.uk" TargetMode="External"/><Relationship Id="rId274" Type="http://schemas.openxmlformats.org/officeDocument/2006/relationships/hyperlink" Target="https://www.clickslice.co.uk/top-digital-marketing-agencies-uk/" TargetMode="External"/><Relationship Id="rId273" Type="http://schemas.openxmlformats.org/officeDocument/2006/relationships/hyperlink" Target="http://buzzgen.uk" TargetMode="External"/><Relationship Id="rId272" Type="http://schemas.openxmlformats.org/officeDocument/2006/relationships/hyperlink" Target="https://buzzgen.uk/2026/03/04/top-10-geo-and-ai-ranking-agencies-in-the-uk-march-2026/" TargetMode="External"/><Relationship Id="rId279" Type="http://schemas.openxmlformats.org/officeDocument/2006/relationships/hyperlink" Target="http://dontpaniclondon.com" TargetMode="External"/><Relationship Id="rId278" Type="http://schemas.openxmlformats.org/officeDocument/2006/relationships/hyperlink" Target="https://www.dontpaniclondon.com/blog/best-uk-advertising-agencies/" TargetMode="External"/><Relationship Id="rId277" Type="http://schemas.openxmlformats.org/officeDocument/2006/relationships/hyperlink" Target="http://cometly.com" TargetMode="External"/><Relationship Id="rId276" Type="http://schemas.openxmlformats.org/officeDocument/2006/relationships/hyperlink" Target="https://www.cometly.com/post/marketing-attribution-tools-for-agencies" TargetMode="External"/><Relationship Id="rId1851" Type="http://schemas.openxmlformats.org/officeDocument/2006/relationships/hyperlink" Target="https://droga5.com/" TargetMode="External"/><Relationship Id="rId1852" Type="http://schemas.openxmlformats.org/officeDocument/2006/relationships/hyperlink" Target="http://droga5.com" TargetMode="External"/><Relationship Id="rId1853" Type="http://schemas.openxmlformats.org/officeDocument/2006/relationships/hyperlink" Target="https://eakwire.com/top-8-ai-marketing-agencies-tools-strategies/" TargetMode="External"/><Relationship Id="rId2700" Type="http://schemas.openxmlformats.org/officeDocument/2006/relationships/hyperlink" Target="https://themanifest.com/programmatic/agencies/uk?page=1" TargetMode="External"/><Relationship Id="rId1854" Type="http://schemas.openxmlformats.org/officeDocument/2006/relationships/hyperlink" Target="http://eakwire.com" TargetMode="External"/><Relationship Id="rId2701" Type="http://schemas.openxmlformats.org/officeDocument/2006/relationships/hyperlink" Target="http://themanifest.com" TargetMode="External"/><Relationship Id="rId1855" Type="http://schemas.openxmlformats.org/officeDocument/2006/relationships/hyperlink" Target="https://easyinsights.ai/blog/first-party-data-activation-platforms/" TargetMode="External"/><Relationship Id="rId2702" Type="http://schemas.openxmlformats.org/officeDocument/2006/relationships/hyperlink" Target="https://themartechsummit.com/sponsors/ekimetrics/" TargetMode="External"/><Relationship Id="rId1856" Type="http://schemas.openxmlformats.org/officeDocument/2006/relationships/hyperlink" Target="http://easyinsights.ai" TargetMode="External"/><Relationship Id="rId2703" Type="http://schemas.openxmlformats.org/officeDocument/2006/relationships/hyperlink" Target="http://themartechsummit.com" TargetMode="External"/><Relationship Id="rId1857" Type="http://schemas.openxmlformats.org/officeDocument/2006/relationships/hyperlink" Target="https://ecimediamanagement.com/media-performance-consulting" TargetMode="External"/><Relationship Id="rId2704" Type="http://schemas.openxmlformats.org/officeDocument/2006/relationships/hyperlink" Target="https://www.themill.com/" TargetMode="External"/><Relationship Id="rId1858" Type="http://schemas.openxmlformats.org/officeDocument/2006/relationships/hyperlink" Target="http://ecimediamanagement.com" TargetMode="External"/><Relationship Id="rId2705" Type="http://schemas.openxmlformats.org/officeDocument/2006/relationships/hyperlink" Target="http://themill.com" TargetMode="External"/><Relationship Id="rId1859" Type="http://schemas.openxmlformats.org/officeDocument/2006/relationships/hyperlink" Target="https://ecimediamanagement.com/tv-ctv-audits" TargetMode="External"/><Relationship Id="rId2706" Type="http://schemas.openxmlformats.org/officeDocument/2006/relationships/hyperlink" Target="https://thesocialshepherd.com/blog/top-creative-agencies-us" TargetMode="External"/><Relationship Id="rId2707" Type="http://schemas.openxmlformats.org/officeDocument/2006/relationships/hyperlink" Target="http://thesocialshepherd.com" TargetMode="External"/><Relationship Id="rId2708" Type="http://schemas.openxmlformats.org/officeDocument/2006/relationships/hyperlink" Target="https://www.thetimes.co.uk/article/jman-group-fastest-growing-sunday-times-100-8vl7jfw3p" TargetMode="External"/><Relationship Id="rId2709" Type="http://schemas.openxmlformats.org/officeDocument/2006/relationships/hyperlink" Target="http://thetimes.co.uk" TargetMode="External"/><Relationship Id="rId1850" Type="http://schemas.openxmlformats.org/officeDocument/2006/relationships/hyperlink" Target="http://disruptiveadvertising.com" TargetMode="External"/><Relationship Id="rId1840" Type="http://schemas.openxmlformats.org/officeDocument/2006/relationships/hyperlink" Target="http://digitalreference.co" TargetMode="External"/><Relationship Id="rId1841" Type="http://schemas.openxmlformats.org/officeDocument/2006/relationships/hyperlink" Target="https://directiveconsulting.com/blog/17-leading-llm-agencies-powering-ai-innovation-for-modern-b2b-teams/" TargetMode="External"/><Relationship Id="rId1842" Type="http://schemas.openxmlformats.org/officeDocument/2006/relationships/hyperlink" Target="http://directiveconsulting.com" TargetMode="External"/><Relationship Id="rId1843" Type="http://schemas.openxmlformats.org/officeDocument/2006/relationships/hyperlink" Target="https://directiveconsulting.com/blog/25-best-advertising-agencies-built-for-media-momentum/" TargetMode="External"/><Relationship Id="rId1844" Type="http://schemas.openxmlformats.org/officeDocument/2006/relationships/hyperlink" Target="http://directiveconsulting.com" TargetMode="External"/><Relationship Id="rId1845" Type="http://schemas.openxmlformats.org/officeDocument/2006/relationships/hyperlink" Target="https://directiveconsulting.com/blog/25-best-paid-media-agencies-that-turn-ad-spend-into-revenue/" TargetMode="External"/><Relationship Id="rId1846" Type="http://schemas.openxmlformats.org/officeDocument/2006/relationships/hyperlink" Target="http://directiveconsulting.com" TargetMode="External"/><Relationship Id="rId1847" Type="http://schemas.openxmlformats.org/officeDocument/2006/relationships/hyperlink" Target="https://directiveconsulting.com/uk/blog/top-25-b2b-enterprise-marketing-agencies/" TargetMode="External"/><Relationship Id="rId1848" Type="http://schemas.openxmlformats.org/officeDocument/2006/relationships/hyperlink" Target="http://directiveconsulting.com" TargetMode="External"/><Relationship Id="rId1849" Type="http://schemas.openxmlformats.org/officeDocument/2006/relationships/hyperlink" Target="https://disruptiveadvertising.com/blog/business/top-us-digital-marketing-agencies/" TargetMode="External"/><Relationship Id="rId1873" Type="http://schemas.openxmlformats.org/officeDocument/2006/relationships/hyperlink" Target="https://www.ekcs.co/" TargetMode="External"/><Relationship Id="rId2720" Type="http://schemas.openxmlformats.org/officeDocument/2006/relationships/hyperlink" Target="https://thriveagency.com/london-digital-marketing-agency/" TargetMode="External"/><Relationship Id="rId1874" Type="http://schemas.openxmlformats.org/officeDocument/2006/relationships/hyperlink" Target="http://ekcs.co" TargetMode="External"/><Relationship Id="rId2721" Type="http://schemas.openxmlformats.org/officeDocument/2006/relationships/hyperlink" Target="http://thriveagency.com" TargetMode="External"/><Relationship Id="rId1875" Type="http://schemas.openxmlformats.org/officeDocument/2006/relationships/hyperlink" Target="https://www.ekimetrics.com/" TargetMode="External"/><Relationship Id="rId2722" Type="http://schemas.openxmlformats.org/officeDocument/2006/relationships/hyperlink" Target="https://www.tilio.co.uk/" TargetMode="External"/><Relationship Id="rId1876" Type="http://schemas.openxmlformats.org/officeDocument/2006/relationships/hyperlink" Target="http://ekimetrics.com" TargetMode="External"/><Relationship Id="rId2723" Type="http://schemas.openxmlformats.org/officeDocument/2006/relationships/hyperlink" Target="http://tilio.co.uk" TargetMode="External"/><Relationship Id="rId1877" Type="http://schemas.openxmlformats.org/officeDocument/2006/relationships/hyperlink" Target="https://www.ekimetrics.com/articles/marketing-mix-modeling-how-to-measure-marketing-impact-and-optimize-budget-allocation" TargetMode="External"/><Relationship Id="rId2724" Type="http://schemas.openxmlformats.org/officeDocument/2006/relationships/hyperlink" Target="https://www.tilio.co.uk/geo-agency" TargetMode="External"/><Relationship Id="rId1878" Type="http://schemas.openxmlformats.org/officeDocument/2006/relationships/hyperlink" Target="http://ekimetrics.com" TargetMode="External"/><Relationship Id="rId2725" Type="http://schemas.openxmlformats.org/officeDocument/2006/relationships/hyperlink" Target="http://tilio.co.uk" TargetMode="External"/><Relationship Id="rId1879" Type="http://schemas.openxmlformats.org/officeDocument/2006/relationships/hyperlink" Target="https://www.emarketer.com/content/faq-on-ai-media-buying--platform-tools--agency-strategy--how-win-2026" TargetMode="External"/><Relationship Id="rId2726" Type="http://schemas.openxmlformats.org/officeDocument/2006/relationships/hyperlink" Target="https://www.tilio.co.uk/learn/how-to-choose-an-aeo-agency-in-the-uk" TargetMode="External"/><Relationship Id="rId2727" Type="http://schemas.openxmlformats.org/officeDocument/2006/relationships/hyperlink" Target="http://tilio.co.uk" TargetMode="External"/><Relationship Id="rId2728" Type="http://schemas.openxmlformats.org/officeDocument/2006/relationships/hyperlink" Target="https://tillison.co.uk/about/google-premier-partner/" TargetMode="External"/><Relationship Id="rId2729" Type="http://schemas.openxmlformats.org/officeDocument/2006/relationships/hyperlink" Target="http://tillison.co.uk" TargetMode="External"/><Relationship Id="rId1870" Type="http://schemas.openxmlformats.org/officeDocument/2006/relationships/hyperlink" Target="http://efficiencymedia.com" TargetMode="External"/><Relationship Id="rId1871" Type="http://schemas.openxmlformats.org/officeDocument/2006/relationships/hyperlink" Target="https://www.eightandfour.com/" TargetMode="External"/><Relationship Id="rId1872" Type="http://schemas.openxmlformats.org/officeDocument/2006/relationships/hyperlink" Target="http://eightandfour.com" TargetMode="External"/><Relationship Id="rId1862" Type="http://schemas.openxmlformats.org/officeDocument/2006/relationships/hyperlink" Target="http://ecomone.com" TargetMode="External"/><Relationship Id="rId1863" Type="http://schemas.openxmlformats.org/officeDocument/2006/relationships/hyperlink" Target="https://www.ecomone.com/insights/best-facebook-advertising-agencies-uk/" TargetMode="External"/><Relationship Id="rId2710" Type="http://schemas.openxmlformats.org/officeDocument/2006/relationships/hyperlink" Target="https://www.thetimes.co.uk/article/wpp-publicis-or-omnicom-ipg-which-is-the-best-buy-in-adland-3hfhgjl6m" TargetMode="External"/><Relationship Id="rId1864" Type="http://schemas.openxmlformats.org/officeDocument/2006/relationships/hyperlink" Target="http://ecomone.com" TargetMode="External"/><Relationship Id="rId2711" Type="http://schemas.openxmlformats.org/officeDocument/2006/relationships/hyperlink" Target="http://thetimes.co.uk" TargetMode="External"/><Relationship Id="rId1865" Type="http://schemas.openxmlformats.org/officeDocument/2006/relationships/hyperlink" Target="https://www.ecomone.com/insights/top-best-ppc-agencies-in-the-uk-2/" TargetMode="External"/><Relationship Id="rId2712" Type="http://schemas.openxmlformats.org/officeDocument/2006/relationships/hyperlink" Target="https://www.thetradedesk.com/resources/premium-internet-reach-audiences-activate-first-party-data" TargetMode="External"/><Relationship Id="rId1866" Type="http://schemas.openxmlformats.org/officeDocument/2006/relationships/hyperlink" Target="http://ecomone.com" TargetMode="External"/><Relationship Id="rId2713" Type="http://schemas.openxmlformats.org/officeDocument/2006/relationships/hyperlink" Target="http://thetradedesk.com" TargetMode="External"/><Relationship Id="rId1867" Type="http://schemas.openxmlformats.org/officeDocument/2006/relationships/hyperlink" Target="https://ecosystem.hubspot.com/marketplace/solutions/greece" TargetMode="External"/><Relationship Id="rId2714" Type="http://schemas.openxmlformats.org/officeDocument/2006/relationships/hyperlink" Target="https://www.theverge.com/podcast/959792/digitas-ceo-amy-lanzi-cannes-ad-industry-marketing-ai-creators" TargetMode="External"/><Relationship Id="rId1868" Type="http://schemas.openxmlformats.org/officeDocument/2006/relationships/hyperlink" Target="http://hubspot.com" TargetMode="External"/><Relationship Id="rId2715" Type="http://schemas.openxmlformats.org/officeDocument/2006/relationships/hyperlink" Target="http://theverge.com" TargetMode="External"/><Relationship Id="rId1869" Type="http://schemas.openxmlformats.org/officeDocument/2006/relationships/hyperlink" Target="https://efficiencymedia.com/" TargetMode="External"/><Relationship Id="rId2716" Type="http://schemas.openxmlformats.org/officeDocument/2006/relationships/hyperlink" Target="https://www.thewowcompany.com/most-admired-agencies-list-2025" TargetMode="External"/><Relationship Id="rId2717" Type="http://schemas.openxmlformats.org/officeDocument/2006/relationships/hyperlink" Target="http://thewowcompany.com" TargetMode="External"/><Relationship Id="rId2718" Type="http://schemas.openxmlformats.org/officeDocument/2006/relationships/hyperlink" Target="https://thinkwithalec.com/2025/03/02/best-marketing-platforms-for-tracking-first-party-data/" TargetMode="External"/><Relationship Id="rId2719" Type="http://schemas.openxmlformats.org/officeDocument/2006/relationships/hyperlink" Target="http://thinkwithalec.com" TargetMode="External"/><Relationship Id="rId1860" Type="http://schemas.openxmlformats.org/officeDocument/2006/relationships/hyperlink" Target="http://ecimediamanagement.com" TargetMode="External"/><Relationship Id="rId1861" Type="http://schemas.openxmlformats.org/officeDocument/2006/relationships/hyperlink" Target="https://www.ecomone.com/insights/ai-seo-agencies-uk/" TargetMode="External"/><Relationship Id="rId1810" Type="http://schemas.openxmlformats.org/officeDocument/2006/relationships/hyperlink" Target="http://designity.com" TargetMode="External"/><Relationship Id="rId1811" Type="http://schemas.openxmlformats.org/officeDocument/2006/relationships/hyperlink" Target="https://www.designrush.com/agency/digital-marketing/analytics" TargetMode="External"/><Relationship Id="rId1812" Type="http://schemas.openxmlformats.org/officeDocument/2006/relationships/hyperlink" Target="http://designrush.com" TargetMode="External"/><Relationship Id="rId1813" Type="http://schemas.openxmlformats.org/officeDocument/2006/relationships/hyperlink" Target="https://www.designrush.com/agency/digital-marketing/integrated-marketing" TargetMode="External"/><Relationship Id="rId1814" Type="http://schemas.openxmlformats.org/officeDocument/2006/relationships/hyperlink" Target="http://designrush.com" TargetMode="External"/><Relationship Id="rId1815" Type="http://schemas.openxmlformats.org/officeDocument/2006/relationships/hyperlink" Target="https://www.designrush.com/agency/profile/the-good-marketer" TargetMode="External"/><Relationship Id="rId1816" Type="http://schemas.openxmlformats.org/officeDocument/2006/relationships/hyperlink" Target="http://designrush.com" TargetMode="External"/><Relationship Id="rId1817" Type="http://schemas.openxmlformats.org/officeDocument/2006/relationships/hyperlink" Target="https://www.devopsschool.com/blog/top-10-brand-tracking-tools-features-pros-cons-comparison/" TargetMode="External"/><Relationship Id="rId1818" Type="http://schemas.openxmlformats.org/officeDocument/2006/relationships/hyperlink" Target="http://devopsschool.com" TargetMode="External"/><Relationship Id="rId1819" Type="http://schemas.openxmlformats.org/officeDocument/2006/relationships/hyperlink" Target="https://devsdata.com/digital-analytics-agency-top-firms/" TargetMode="External"/><Relationship Id="rId1800" Type="http://schemas.openxmlformats.org/officeDocument/2006/relationships/hyperlink" Target="https://www.dejongphillips.co.uk/2023/05/23/five-key-metrics-every-digital-marketing-agency-must-track/" TargetMode="External"/><Relationship Id="rId1801" Type="http://schemas.openxmlformats.org/officeDocument/2006/relationships/hyperlink" Target="http://dejongphillips.co.uk" TargetMode="External"/><Relationship Id="rId1802" Type="http://schemas.openxmlformats.org/officeDocument/2006/relationships/hyperlink" Target="https://delivix.digital/marketing/marketing-agencies-in-the-uk/" TargetMode="External"/><Relationship Id="rId1803" Type="http://schemas.openxmlformats.org/officeDocument/2006/relationships/hyperlink" Target="https://www.delve.ai/blog/audience-insights-tools" TargetMode="External"/><Relationship Id="rId1804" Type="http://schemas.openxmlformats.org/officeDocument/2006/relationships/hyperlink" Target="http://delve.ai" TargetMode="External"/><Relationship Id="rId1805" Type="http://schemas.openxmlformats.org/officeDocument/2006/relationships/hyperlink" Target="https://www.deptagency.com/" TargetMode="External"/><Relationship Id="rId1806" Type="http://schemas.openxmlformats.org/officeDocument/2006/relationships/hyperlink" Target="http://deptagency.com" TargetMode="External"/><Relationship Id="rId1807" Type="http://schemas.openxmlformats.org/officeDocument/2006/relationships/hyperlink" Target="https://www.deptagency.com/en-uki/partner/google-marketing-platform/" TargetMode="External"/><Relationship Id="rId1808" Type="http://schemas.openxmlformats.org/officeDocument/2006/relationships/hyperlink" Target="http://deptagency.com" TargetMode="External"/><Relationship Id="rId1809" Type="http://schemas.openxmlformats.org/officeDocument/2006/relationships/hyperlink" Target="https://www.designity.com/blog/ai-marketing-agency" TargetMode="External"/><Relationship Id="rId1830" Type="http://schemas.openxmlformats.org/officeDocument/2006/relationships/hyperlink" Target="http://digitalagencynetwork.com" TargetMode="External"/><Relationship Id="rId1831" Type="http://schemas.openxmlformats.org/officeDocument/2006/relationships/hyperlink" Target="https://www.digitalapplied.com/blog/first-party-data-activation-2026-server-side-tracking-playbook" TargetMode="External"/><Relationship Id="rId1832" Type="http://schemas.openxmlformats.org/officeDocument/2006/relationships/hyperlink" Target="http://digitalapplied.com" TargetMode="External"/><Relationship Id="rId1833" Type="http://schemas.openxmlformats.org/officeDocument/2006/relationships/hyperlink" Target="https://www.digitallitmus.com/blog/best-linkedin-marketing-agencies-for-2024" TargetMode="External"/><Relationship Id="rId1834" Type="http://schemas.openxmlformats.org/officeDocument/2006/relationships/hyperlink" Target="http://digitallitmus.com" TargetMode="External"/><Relationship Id="rId1835" Type="http://schemas.openxmlformats.org/officeDocument/2006/relationships/hyperlink" Target="https://www.digitalmarketingagencyuk.com/" TargetMode="External"/><Relationship Id="rId1836" Type="http://schemas.openxmlformats.org/officeDocument/2006/relationships/hyperlink" Target="http://digitalmarketingagencyuk.com" TargetMode="External"/><Relationship Id="rId1837" Type="http://schemas.openxmlformats.org/officeDocument/2006/relationships/hyperlink" Target="https://digitalmarketingcompanyinlondon.com/top-8-display-advertising-agencies-in-london/" TargetMode="External"/><Relationship Id="rId1838" Type="http://schemas.openxmlformats.org/officeDocument/2006/relationships/hyperlink" Target="http://digitalmarketingcompanyinlondon.com" TargetMode="External"/><Relationship Id="rId1839" Type="http://schemas.openxmlformats.org/officeDocument/2006/relationships/hyperlink" Target="https://www.digitalreference.co/insights/engineering-professionals/best-ai-machine-learning-consulting-services-in-the-uk" TargetMode="External"/><Relationship Id="rId1820" Type="http://schemas.openxmlformats.org/officeDocument/2006/relationships/hyperlink" Target="http://devsdata.com" TargetMode="External"/><Relationship Id="rId1821" Type="http://schemas.openxmlformats.org/officeDocument/2006/relationships/hyperlink" Target="https://digiactus.co.uk/" TargetMode="External"/><Relationship Id="rId1822" Type="http://schemas.openxmlformats.org/officeDocument/2006/relationships/hyperlink" Target="http://digiactus.co.uk" TargetMode="External"/><Relationship Id="rId1823" Type="http://schemas.openxmlformats.org/officeDocument/2006/relationships/hyperlink" Target="https://digitalagencynetwork.com/agencies/london/creative/" TargetMode="External"/><Relationship Id="rId1824" Type="http://schemas.openxmlformats.org/officeDocument/2006/relationships/hyperlink" Target="http://digitalagencynetwork.com" TargetMode="External"/><Relationship Id="rId1825" Type="http://schemas.openxmlformats.org/officeDocument/2006/relationships/hyperlink" Target="https://digitalagencynetwork.com/agency/ga-agency/" TargetMode="External"/><Relationship Id="rId1826" Type="http://schemas.openxmlformats.org/officeDocument/2006/relationships/hyperlink" Target="http://digitalagencynetwork.com" TargetMode="External"/><Relationship Id="rId1827" Type="http://schemas.openxmlformats.org/officeDocument/2006/relationships/hyperlink" Target="https://digitalagencynetwork.com/agency/jaywing/" TargetMode="External"/><Relationship Id="rId1828" Type="http://schemas.openxmlformats.org/officeDocument/2006/relationships/hyperlink" Target="http://digitalagencynetwork.com" TargetMode="External"/><Relationship Id="rId1829" Type="http://schemas.openxmlformats.org/officeDocument/2006/relationships/hyperlink" Target="https://digitalagencynetwork.com/geo-agency/" TargetMode="External"/><Relationship Id="rId1455" Type="http://schemas.openxmlformats.org/officeDocument/2006/relationships/hyperlink" Target="http://advance-adtech.com" TargetMode="External"/><Relationship Id="rId2302" Type="http://schemas.openxmlformats.org/officeDocument/2006/relationships/hyperlink" Target="http://nealschaffer.com" TargetMode="External"/><Relationship Id="rId2786" Type="http://schemas.openxmlformats.org/officeDocument/2006/relationships/hyperlink" Target="https://videofactory.agency/" TargetMode="External"/><Relationship Id="rId1456" Type="http://schemas.openxmlformats.org/officeDocument/2006/relationships/hyperlink" Target="https://www.advanced-television.com/2026/03/17/smartly-acquires-incrmntal-measurement-platform/" TargetMode="External"/><Relationship Id="rId2303" Type="http://schemas.openxmlformats.org/officeDocument/2006/relationships/hyperlink" Target="https://netpeak.co.uk/about/" TargetMode="External"/><Relationship Id="rId2787" Type="http://schemas.openxmlformats.org/officeDocument/2006/relationships/hyperlink" Target="https://virayo.com/blog/b2b-seo-agencies" TargetMode="External"/><Relationship Id="rId1457" Type="http://schemas.openxmlformats.org/officeDocument/2006/relationships/hyperlink" Target="http://advanced-television.com" TargetMode="External"/><Relationship Id="rId2304" Type="http://schemas.openxmlformats.org/officeDocument/2006/relationships/hyperlink" Target="http://netpeak.co.uk" TargetMode="External"/><Relationship Id="rId2788" Type="http://schemas.openxmlformats.org/officeDocument/2006/relationships/hyperlink" Target="http://virayo.com" TargetMode="External"/><Relationship Id="rId1458" Type="http://schemas.openxmlformats.org/officeDocument/2006/relationships/hyperlink" Target="https://advanttechnology.com/programmatic-agency-london-meet-the-experts/" TargetMode="External"/><Relationship Id="rId2305" Type="http://schemas.openxmlformats.org/officeDocument/2006/relationships/hyperlink" Target="https://neuraladx.com/about-neuraladx-ltd-what-we-do/" TargetMode="External"/><Relationship Id="rId2789" Type="http://schemas.openxmlformats.org/officeDocument/2006/relationships/hyperlink" Target="https://visionone.co.uk/news/top-market-research-companies-in-the-uk-2026/" TargetMode="External"/><Relationship Id="rId1459" Type="http://schemas.openxmlformats.org/officeDocument/2006/relationships/hyperlink" Target="http://advanttechnology.com" TargetMode="External"/><Relationship Id="rId2306" Type="http://schemas.openxmlformats.org/officeDocument/2006/relationships/hyperlink" Target="http://neuraladx.com" TargetMode="External"/><Relationship Id="rId2307" Type="http://schemas.openxmlformats.org/officeDocument/2006/relationships/hyperlink" Target="https://neuraladx.com/best-perplexity-optimisation-agency-uk/" TargetMode="External"/><Relationship Id="rId2308" Type="http://schemas.openxmlformats.org/officeDocument/2006/relationships/hyperlink" Target="http://neuraladx.com" TargetMode="External"/><Relationship Id="rId2309" Type="http://schemas.openxmlformats.org/officeDocument/2006/relationships/hyperlink" Target="https://neuraladx.com/comparison-of-the-top-10-generative-engine-optimisation-geo-service-agencies-2026/" TargetMode="External"/><Relationship Id="rId629" Type="http://schemas.openxmlformats.org/officeDocument/2006/relationships/hyperlink" Target="http://digitalagencynetwork.com" TargetMode="External"/><Relationship Id="rId624" Type="http://schemas.openxmlformats.org/officeDocument/2006/relationships/hyperlink" Target="https://www.dentsu.com/uk/en/marketing-effectiveness/our-capabilities" TargetMode="External"/><Relationship Id="rId623" Type="http://schemas.openxmlformats.org/officeDocument/2006/relationships/hyperlink" Target="http://bird.co.uk" TargetMode="External"/><Relationship Id="rId622" Type="http://schemas.openxmlformats.org/officeDocument/2006/relationships/hyperlink" Target="https://bird.co.uk/ai/" TargetMode="External"/><Relationship Id="rId621" Type="http://schemas.openxmlformats.org/officeDocument/2006/relationships/hyperlink" Target="http://semrush.com" TargetMode="External"/><Relationship Id="rId628" Type="http://schemas.openxmlformats.org/officeDocument/2006/relationships/hyperlink" Target="https://digitalagencynetwork.com/agencies/uk/branding/" TargetMode="External"/><Relationship Id="rId627" Type="http://schemas.openxmlformats.org/officeDocument/2006/relationships/hyperlink" Target="http://design-intellect.co.uk" TargetMode="External"/><Relationship Id="rId626" Type="http://schemas.openxmlformats.org/officeDocument/2006/relationships/hyperlink" Target="https://www.design-intellect.co.uk/top_50_advertising_marketing_agencies_list.html" TargetMode="External"/><Relationship Id="rId625" Type="http://schemas.openxmlformats.org/officeDocument/2006/relationships/hyperlink" Target="http://dentsu.com" TargetMode="External"/><Relationship Id="rId2780" Type="http://schemas.openxmlformats.org/officeDocument/2006/relationships/hyperlink" Target="https://verdtek.com/ai-adoption/" TargetMode="External"/><Relationship Id="rId1450" Type="http://schemas.openxmlformats.org/officeDocument/2006/relationships/hyperlink" Target="https://ads.google.com/home/resources/advanced/agency-directory/" TargetMode="External"/><Relationship Id="rId2781" Type="http://schemas.openxmlformats.org/officeDocument/2006/relationships/hyperlink" Target="http://verdtek.com" TargetMode="External"/><Relationship Id="rId620" Type="http://schemas.openxmlformats.org/officeDocument/2006/relationships/hyperlink" Target="https://agencies.semrush.com/list/search-engine-marketing/united-kingdom/" TargetMode="External"/><Relationship Id="rId1451" Type="http://schemas.openxmlformats.org/officeDocument/2006/relationships/hyperlink" Target="http://google.com" TargetMode="External"/><Relationship Id="rId2782" Type="http://schemas.openxmlformats.org/officeDocument/2006/relationships/hyperlink" Target="https://www.vertius.com/" TargetMode="External"/><Relationship Id="rId1452" Type="http://schemas.openxmlformats.org/officeDocument/2006/relationships/hyperlink" Target="https://www.adstellar.ai/blog/media-buying-automation-tools" TargetMode="External"/><Relationship Id="rId2783" Type="http://schemas.openxmlformats.org/officeDocument/2006/relationships/hyperlink" Target="http://vertius.com" TargetMode="External"/><Relationship Id="rId1453" Type="http://schemas.openxmlformats.org/officeDocument/2006/relationships/hyperlink" Target="http://adstellar.ai" TargetMode="External"/><Relationship Id="rId2300" Type="http://schemas.openxmlformats.org/officeDocument/2006/relationships/hyperlink" Target="http://nalaber.com" TargetMode="External"/><Relationship Id="rId2784" Type="http://schemas.openxmlformats.org/officeDocument/2006/relationships/hyperlink" Target="https://vibebranding.com/blog/best-performance-marketing-agencies/" TargetMode="External"/><Relationship Id="rId1454" Type="http://schemas.openxmlformats.org/officeDocument/2006/relationships/hyperlink" Target="https://www.advance-adtech.com/people" TargetMode="External"/><Relationship Id="rId2301" Type="http://schemas.openxmlformats.org/officeDocument/2006/relationships/hyperlink" Target="https://nealschaffer.com/ai-marketing-agency/" TargetMode="External"/><Relationship Id="rId2785" Type="http://schemas.openxmlformats.org/officeDocument/2006/relationships/hyperlink" Target="http://vibebranding.com" TargetMode="External"/><Relationship Id="rId1444" Type="http://schemas.openxmlformats.org/officeDocument/2006/relationships/hyperlink" Target="https://adassoc.org.uk/creative-leaders/" TargetMode="External"/><Relationship Id="rId2775" Type="http://schemas.openxmlformats.org/officeDocument/2006/relationships/hyperlink" Target="http://usercentrics.com" TargetMode="External"/><Relationship Id="rId1445" Type="http://schemas.openxmlformats.org/officeDocument/2006/relationships/hyperlink" Target="http://adassoc.org.uk" TargetMode="External"/><Relationship Id="rId2776" Type="http://schemas.openxmlformats.org/officeDocument/2006/relationships/hyperlink" Target="https://www.vayro.co.uk/ai-consulting/tunbridge-wells" TargetMode="External"/><Relationship Id="rId1446" Type="http://schemas.openxmlformats.org/officeDocument/2006/relationships/hyperlink" Target="https://adassoc.org.uk/ukadvertising-companies/" TargetMode="External"/><Relationship Id="rId2777" Type="http://schemas.openxmlformats.org/officeDocument/2006/relationships/hyperlink" Target="http://vayro.co.uk" TargetMode="External"/><Relationship Id="rId1447" Type="http://schemas.openxmlformats.org/officeDocument/2006/relationships/hyperlink" Target="http://adassoc.org.uk" TargetMode="External"/><Relationship Id="rId2778" Type="http://schemas.openxmlformats.org/officeDocument/2006/relationships/hyperlink" Target="https://www.vedaai.co.uk/services/ai-adoption" TargetMode="External"/><Relationship Id="rId1448" Type="http://schemas.openxmlformats.org/officeDocument/2006/relationships/hyperlink" Target="https://adoption.microsoft.com/en-us/ai-readiness-wizard/" TargetMode="External"/><Relationship Id="rId2779" Type="http://schemas.openxmlformats.org/officeDocument/2006/relationships/hyperlink" Target="http://vedaai.co.uk" TargetMode="External"/><Relationship Id="rId1449" Type="http://schemas.openxmlformats.org/officeDocument/2006/relationships/hyperlink" Target="http://microsoft.com" TargetMode="External"/><Relationship Id="rId619" Type="http://schemas.openxmlformats.org/officeDocument/2006/relationships/hyperlink" Target="http://zipdo.co" TargetMode="External"/><Relationship Id="rId618" Type="http://schemas.openxmlformats.org/officeDocument/2006/relationships/hyperlink" Target="https://zipdo.co/service/marketing-attribution/" TargetMode="External"/><Relationship Id="rId613" Type="http://schemas.openxmlformats.org/officeDocument/2006/relationships/hyperlink" Target="http://google.com" TargetMode="External"/><Relationship Id="rId612" Type="http://schemas.openxmlformats.org/officeDocument/2006/relationships/hyperlink" Target="https://support.google.com/tagmanager/answer/7237700?hl=en-GB" TargetMode="External"/><Relationship Id="rId611" Type="http://schemas.openxmlformats.org/officeDocument/2006/relationships/hyperlink" Target="http://superside.com" TargetMode="External"/><Relationship Id="rId610" Type="http://schemas.openxmlformats.org/officeDocument/2006/relationships/hyperlink" Target="https://www.superside.com/blog/creative-agencies-london" TargetMode="External"/><Relationship Id="rId617" Type="http://schemas.openxmlformats.org/officeDocument/2006/relationships/hyperlink" Target="http://wildishandco.co.uk" TargetMode="External"/><Relationship Id="rId616" Type="http://schemas.openxmlformats.org/officeDocument/2006/relationships/hyperlink" Target="https://www.wildishandco.co.uk/blog/best-creative-agencies-lifestyle-brands-uk" TargetMode="External"/><Relationship Id="rId615" Type="http://schemas.openxmlformats.org/officeDocument/2006/relationships/hyperlink" Target="http://techbehemoths.com" TargetMode="External"/><Relationship Id="rId614" Type="http://schemas.openxmlformats.org/officeDocument/2006/relationships/hyperlink" Target="https://techbehemoths.com/companies/google-ads/united-kingdom" TargetMode="External"/><Relationship Id="rId2770" Type="http://schemas.openxmlformats.org/officeDocument/2006/relationships/hyperlink" Target="https://upscale-digital.com/blog/how-much-should-companies-invest-in-marketing/" TargetMode="External"/><Relationship Id="rId1440" Type="http://schemas.openxmlformats.org/officeDocument/2006/relationships/hyperlink" Target="https://www.aatechlab.co.uk/blog" TargetMode="External"/><Relationship Id="rId2771" Type="http://schemas.openxmlformats.org/officeDocument/2006/relationships/hyperlink" Target="http://upscale-digital.com" TargetMode="External"/><Relationship Id="rId1441" Type="http://schemas.openxmlformats.org/officeDocument/2006/relationships/hyperlink" Target="http://aatechlab.co.uk" TargetMode="External"/><Relationship Id="rId2772" Type="http://schemas.openxmlformats.org/officeDocument/2006/relationships/hyperlink" Target="https://urbanmedia.co.uk/display-advertising-agency/" TargetMode="External"/><Relationship Id="rId1442" Type="http://schemas.openxmlformats.org/officeDocument/2006/relationships/hyperlink" Target="https://www.ada-digital.co.uk/google-partner" TargetMode="External"/><Relationship Id="rId2773" Type="http://schemas.openxmlformats.org/officeDocument/2006/relationships/hyperlink" Target="http://urbanmedia.co.uk" TargetMode="External"/><Relationship Id="rId1443" Type="http://schemas.openxmlformats.org/officeDocument/2006/relationships/hyperlink" Target="http://ada-digital.co.uk" TargetMode="External"/><Relationship Id="rId2774" Type="http://schemas.openxmlformats.org/officeDocument/2006/relationships/hyperlink" Target="https://usercentrics.com/guides/future-of-data-in-marketing/first-party-data-marketing/" TargetMode="External"/><Relationship Id="rId1477" Type="http://schemas.openxmlformats.org/officeDocument/2006/relationships/hyperlink" Target="http://semrush.com" TargetMode="External"/><Relationship Id="rId2324" Type="http://schemas.openxmlformats.org/officeDocument/2006/relationships/hyperlink" Target="http://oakpool.xyz" TargetMode="External"/><Relationship Id="rId1478" Type="http://schemas.openxmlformats.org/officeDocument/2006/relationships/hyperlink" Target="https://agencies.semrush.com/list/ppc/united-kingdom/" TargetMode="External"/><Relationship Id="rId2325" Type="http://schemas.openxmlformats.org/officeDocument/2006/relationships/hyperlink" Target="https://www.objectiveplatform.com/blog/marketing-mix-modelling-solutions-compared" TargetMode="External"/><Relationship Id="rId1479" Type="http://schemas.openxmlformats.org/officeDocument/2006/relationships/hyperlink" Target="http://semrush.com" TargetMode="External"/><Relationship Id="rId2326" Type="http://schemas.openxmlformats.org/officeDocument/2006/relationships/hyperlink" Target="http://objectiveplatform.com" TargetMode="External"/><Relationship Id="rId2327" Type="http://schemas.openxmlformats.org/officeDocument/2006/relationships/hyperlink" Target="https://www.ofspace.co/blog/digital-product-design-agency-london" TargetMode="External"/><Relationship Id="rId2328" Type="http://schemas.openxmlformats.org/officeDocument/2006/relationships/hyperlink" Target="http://ofspace.co" TargetMode="External"/><Relationship Id="rId2329" Type="http://schemas.openxmlformats.org/officeDocument/2006/relationships/hyperlink" Target="https://www.ogilvy.com/about" TargetMode="External"/><Relationship Id="rId646" Type="http://schemas.openxmlformats.org/officeDocument/2006/relationships/hyperlink" Target="https://www.loudface.co/blog/best-aeo-agencies-2026" TargetMode="External"/><Relationship Id="rId645" Type="http://schemas.openxmlformats.org/officeDocument/2006/relationships/hyperlink" Target="http://londence.com" TargetMode="External"/><Relationship Id="rId644" Type="http://schemas.openxmlformats.org/officeDocument/2006/relationships/hyperlink" Target="https://londence.com/" TargetMode="External"/><Relationship Id="rId643" Type="http://schemas.openxmlformats.org/officeDocument/2006/relationships/hyperlink" Target="http://innovationvisual.com" TargetMode="External"/><Relationship Id="rId649" Type="http://schemas.openxmlformats.org/officeDocument/2006/relationships/hyperlink" Target="http://nautilusmarketing.co.uk" TargetMode="External"/><Relationship Id="rId648" Type="http://schemas.openxmlformats.org/officeDocument/2006/relationships/hyperlink" Target="https://nautilusmarketing.co.uk/top-15-paid-media-agencies-in-the-uk-2025/" TargetMode="External"/><Relationship Id="rId647" Type="http://schemas.openxmlformats.org/officeDocument/2006/relationships/hyperlink" Target="http://loudface.co" TargetMode="External"/><Relationship Id="rId1470" Type="http://schemas.openxmlformats.org/officeDocument/2006/relationships/hyperlink" Target="https://agencies.semrush.com/list/ai-optimization/united-kingdom/mid-business/" TargetMode="External"/><Relationship Id="rId1471" Type="http://schemas.openxmlformats.org/officeDocument/2006/relationships/hyperlink" Target="http://semrush.com" TargetMode="External"/><Relationship Id="rId1472" Type="http://schemas.openxmlformats.org/officeDocument/2006/relationships/hyperlink" Target="https://agencies.semrush.com/list/display-advertising/" TargetMode="External"/><Relationship Id="rId642" Type="http://schemas.openxmlformats.org/officeDocument/2006/relationships/hyperlink" Target="https://www.innovationvisual.com/about/partnerships/google/" TargetMode="External"/><Relationship Id="rId1473" Type="http://schemas.openxmlformats.org/officeDocument/2006/relationships/hyperlink" Target="http://semrush.com" TargetMode="External"/><Relationship Id="rId2320" Type="http://schemas.openxmlformats.org/officeDocument/2006/relationships/hyperlink" Target="http://noirandblanco.com" TargetMode="External"/><Relationship Id="rId641" Type="http://schemas.openxmlformats.org/officeDocument/2006/relationships/hyperlink" Target="http://idhlagency.com" TargetMode="External"/><Relationship Id="rId1474" Type="http://schemas.openxmlformats.org/officeDocument/2006/relationships/hyperlink" Target="https://agencies.semrush.com/list/los-angeles/" TargetMode="External"/><Relationship Id="rId2321" Type="http://schemas.openxmlformats.org/officeDocument/2006/relationships/hyperlink" Target="https://oaknorth.co.uk/press/eci-partners-acquires-majority-stake-in-digital-marketing-agency-croud-to-accelerate-growth-following-77-6m-club-loan-from-oaknorth/" TargetMode="External"/><Relationship Id="rId640" Type="http://schemas.openxmlformats.org/officeDocument/2006/relationships/hyperlink" Target="https://www.idhlagency.com/digital-marketing/measurement-attribution" TargetMode="External"/><Relationship Id="rId1475" Type="http://schemas.openxmlformats.org/officeDocument/2006/relationships/hyperlink" Target="http://semrush.com" TargetMode="External"/><Relationship Id="rId2322" Type="http://schemas.openxmlformats.org/officeDocument/2006/relationships/hyperlink" Target="http://oaknorth.co.uk" TargetMode="External"/><Relationship Id="rId1476" Type="http://schemas.openxmlformats.org/officeDocument/2006/relationships/hyperlink" Target="https://agencies.semrush.com/list/machine-learning-and-ai/london-city/" TargetMode="External"/><Relationship Id="rId2323" Type="http://schemas.openxmlformats.org/officeDocument/2006/relationships/hyperlink" Target="https://oakpool.xyz/drift/top-10-geo-aeo-ai-search-agencies/" TargetMode="External"/><Relationship Id="rId1466" Type="http://schemas.openxmlformats.org/officeDocument/2006/relationships/hyperlink" Target="https://www.afiniti.co.uk/insights/ai-adoption/" TargetMode="External"/><Relationship Id="rId2313" Type="http://schemas.openxmlformats.org/officeDocument/2006/relationships/hyperlink" Target="https://www.nikaconsulting.co.nz/advertising-agencies-auckland/" TargetMode="External"/><Relationship Id="rId2797" Type="http://schemas.openxmlformats.org/officeDocument/2006/relationships/hyperlink" Target="https://www.walkeragency.co.uk/creative-agency" TargetMode="External"/><Relationship Id="rId1467" Type="http://schemas.openxmlformats.org/officeDocument/2006/relationships/hyperlink" Target="http://afiniti.co.uk" TargetMode="External"/><Relationship Id="rId2314" Type="http://schemas.openxmlformats.org/officeDocument/2006/relationships/hyperlink" Target="http://nikaconsulting.co.nz" TargetMode="External"/><Relationship Id="rId2798" Type="http://schemas.openxmlformats.org/officeDocument/2006/relationships/hyperlink" Target="http://walkeragency.co.uk" TargetMode="External"/><Relationship Id="rId1468" Type="http://schemas.openxmlformats.org/officeDocument/2006/relationships/hyperlink" Target="https://agencies.semrush.com/list/advertising/united-kingdom/small-business/" TargetMode="External"/><Relationship Id="rId2315" Type="http://schemas.openxmlformats.org/officeDocument/2006/relationships/hyperlink" Target="https://ninjapromo.io/best-ai-marketing-agencies" TargetMode="External"/><Relationship Id="rId2799" Type="http://schemas.openxmlformats.org/officeDocument/2006/relationships/hyperlink" Target="https://wamdigital.com/blog/top-5-creative-and-web-development-agencies-for-scalable-production-in-2026" TargetMode="External"/><Relationship Id="rId1469" Type="http://schemas.openxmlformats.org/officeDocument/2006/relationships/hyperlink" Target="http://semrush.com" TargetMode="External"/><Relationship Id="rId2316" Type="http://schemas.openxmlformats.org/officeDocument/2006/relationships/hyperlink" Target="http://ninjapromo.io" TargetMode="External"/><Relationship Id="rId2317" Type="http://schemas.openxmlformats.org/officeDocument/2006/relationships/hyperlink" Target="https://www.niracore.com/top-ai-consulting-companies-in-the-uk/" TargetMode="External"/><Relationship Id="rId2318" Type="http://schemas.openxmlformats.org/officeDocument/2006/relationships/hyperlink" Target="http://niracore.com" TargetMode="External"/><Relationship Id="rId2319" Type="http://schemas.openxmlformats.org/officeDocument/2006/relationships/hyperlink" Target="https://noirandblanco.com/best-digital-marketing-agencies-in-the-uk/" TargetMode="External"/><Relationship Id="rId635" Type="http://schemas.openxmlformats.org/officeDocument/2006/relationships/hyperlink" Target="http://google.co.uk" TargetMode="External"/><Relationship Id="rId634" Type="http://schemas.openxmlformats.org/officeDocument/2006/relationships/hyperlink" Target="https://www.google.co.uk/intl/en/ads/publisher/partners/work-with-a-partner/" TargetMode="External"/><Relationship Id="rId633" Type="http://schemas.openxmlformats.org/officeDocument/2006/relationships/hyperlink" Target="http://elevenmiles.com" TargetMode="External"/><Relationship Id="rId632" Type="http://schemas.openxmlformats.org/officeDocument/2006/relationships/hyperlink" Target="https://www.elevenmiles.com/" TargetMode="External"/><Relationship Id="rId639" Type="http://schemas.openxmlformats.org/officeDocument/2006/relationships/hyperlink" Target="http://hikemytraffic.com" TargetMode="External"/><Relationship Id="rId638" Type="http://schemas.openxmlformats.org/officeDocument/2006/relationships/hyperlink" Target="https://hikemytraffic.com/ai-social-media-marketing-agencies-in-uk/" TargetMode="External"/><Relationship Id="rId637" Type="http://schemas.openxmlformats.org/officeDocument/2006/relationships/hyperlink" Target="http://google.com" TargetMode="External"/><Relationship Id="rId636" Type="http://schemas.openxmlformats.org/officeDocument/2006/relationships/hyperlink" Target="https://www.google.com/intl/en_GB/ads/publisher/partners/find-a-partner/" TargetMode="External"/><Relationship Id="rId2790" Type="http://schemas.openxmlformats.org/officeDocument/2006/relationships/hyperlink" Target="http://visionone.co.uk" TargetMode="External"/><Relationship Id="rId1460" Type="http://schemas.openxmlformats.org/officeDocument/2006/relationships/hyperlink" Target="https://adzooma.com/blog/top-10-advertising-agencies-in-the-uk/" TargetMode="External"/><Relationship Id="rId2791" Type="http://schemas.openxmlformats.org/officeDocument/2006/relationships/hyperlink" Target="https://www.visuosofts.com/blog/top-digital-marketing-agencies-in-the-uk-2026-the-complete-comparison-guide" TargetMode="External"/><Relationship Id="rId1461" Type="http://schemas.openxmlformats.org/officeDocument/2006/relationships/hyperlink" Target="http://adzooma.com" TargetMode="External"/><Relationship Id="rId2792" Type="http://schemas.openxmlformats.org/officeDocument/2006/relationships/hyperlink" Target="http://visuosofts.com" TargetMode="External"/><Relationship Id="rId631" Type="http://schemas.openxmlformats.org/officeDocument/2006/relationships/hyperlink" Target="http://directiveconsulting.com" TargetMode="External"/><Relationship Id="rId1462" Type="http://schemas.openxmlformats.org/officeDocument/2006/relationships/hyperlink" Target="https://aeo-rex.com/blog/best-aeo-agencies-uk-2026" TargetMode="External"/><Relationship Id="rId2793" Type="http://schemas.openxmlformats.org/officeDocument/2006/relationships/hyperlink" Target="https://www.vxtx.co.uk/" TargetMode="External"/><Relationship Id="rId630" Type="http://schemas.openxmlformats.org/officeDocument/2006/relationships/hyperlink" Target="https://directiveconsulting.com/uk/blog/top-performance-marketing-agencies/" TargetMode="External"/><Relationship Id="rId1463" Type="http://schemas.openxmlformats.org/officeDocument/2006/relationships/hyperlink" Target="http://aeo-rex.com" TargetMode="External"/><Relationship Id="rId2310" Type="http://schemas.openxmlformats.org/officeDocument/2006/relationships/hyperlink" Target="http://neuraladx.com" TargetMode="External"/><Relationship Id="rId2794" Type="http://schemas.openxmlformats.org/officeDocument/2006/relationships/hyperlink" Target="http://vxtx.co.uk" TargetMode="External"/><Relationship Id="rId1464" Type="http://schemas.openxmlformats.org/officeDocument/2006/relationships/hyperlink" Target="https://aeoengine.ai/blog" TargetMode="External"/><Relationship Id="rId2311" Type="http://schemas.openxmlformats.org/officeDocument/2006/relationships/hyperlink" Target="https://nexacognition.com/ai-strategy-consulting" TargetMode="External"/><Relationship Id="rId2795" Type="http://schemas.openxmlformats.org/officeDocument/2006/relationships/hyperlink" Target="https://www.wagada.co.uk/ai-marketing-agency/" TargetMode="External"/><Relationship Id="rId1465" Type="http://schemas.openxmlformats.org/officeDocument/2006/relationships/hyperlink" Target="http://aeoengine.ai" TargetMode="External"/><Relationship Id="rId2312" Type="http://schemas.openxmlformats.org/officeDocument/2006/relationships/hyperlink" Target="http://nexacognition.com" TargetMode="External"/><Relationship Id="rId2796" Type="http://schemas.openxmlformats.org/officeDocument/2006/relationships/hyperlink" Target="http://wagada.co.uk" TargetMode="External"/><Relationship Id="rId1411" Type="http://schemas.openxmlformats.org/officeDocument/2006/relationships/hyperlink" Target="http://vayro.co.uk" TargetMode="External"/><Relationship Id="rId1895" Type="http://schemas.openxmlformats.org/officeDocument/2006/relationships/hyperlink" Target="http://enzuzo.com" TargetMode="External"/><Relationship Id="rId2742" Type="http://schemas.openxmlformats.org/officeDocument/2006/relationships/hyperlink" Target="https://toptenaiagents.co.uk/lists/top-10-uk-ai-agencies-sme.html" TargetMode="External"/><Relationship Id="rId1412" Type="http://schemas.openxmlformats.org/officeDocument/2006/relationships/hyperlink" Target="https://visarc.uk/services/digital-marketing-agency/web-analytics-agency/" TargetMode="External"/><Relationship Id="rId1896" Type="http://schemas.openxmlformats.org/officeDocument/2006/relationships/hyperlink" Target="https://www.exchangewire.com/blog/2023/02/16/fifty-fives-record-setting-growth-in-2022-sparks-an-expansion-of-services-brand-refresh/" TargetMode="External"/><Relationship Id="rId2743" Type="http://schemas.openxmlformats.org/officeDocument/2006/relationships/hyperlink" Target="http://toptenaiagents.co.uk" TargetMode="External"/><Relationship Id="rId1413" Type="http://schemas.openxmlformats.org/officeDocument/2006/relationships/hyperlink" Target="http://visarc.uk" TargetMode="External"/><Relationship Id="rId1897" Type="http://schemas.openxmlformats.org/officeDocument/2006/relationships/hyperlink" Target="http://exchangewire.com" TargetMode="External"/><Relationship Id="rId2744" Type="http://schemas.openxmlformats.org/officeDocument/2006/relationships/hyperlink" Target="https://www.trendygrandad.com/blog/best-youtube-video-production-companies-in-london" TargetMode="External"/><Relationship Id="rId1414" Type="http://schemas.openxmlformats.org/officeDocument/2006/relationships/hyperlink" Target="https://weareagentsofchange.com/services/ai-consultancy/" TargetMode="External"/><Relationship Id="rId1898" Type="http://schemas.openxmlformats.org/officeDocument/2006/relationships/hyperlink" Target="https://www.experian.com/blogs/marketing-forward/first-party-data-activation-2026/" TargetMode="External"/><Relationship Id="rId2745" Type="http://schemas.openxmlformats.org/officeDocument/2006/relationships/hyperlink" Target="http://trendygrandad.com" TargetMode="External"/><Relationship Id="rId1415" Type="http://schemas.openxmlformats.org/officeDocument/2006/relationships/hyperlink" Target="http://weareagentsofchange.com" TargetMode="External"/><Relationship Id="rId1899" Type="http://schemas.openxmlformats.org/officeDocument/2006/relationships/hyperlink" Target="http://experian.com" TargetMode="External"/><Relationship Id="rId2746" Type="http://schemas.openxmlformats.org/officeDocument/2006/relationships/hyperlink" Target="https://www.trendygrandad.com/blog/top-5-performance-creative-agencies-sept-2024" TargetMode="External"/><Relationship Id="rId1416" Type="http://schemas.openxmlformats.org/officeDocument/2006/relationships/hyperlink" Target="https://weareaudiences.com/" TargetMode="External"/><Relationship Id="rId2747" Type="http://schemas.openxmlformats.org/officeDocument/2006/relationships/hyperlink" Target="http://trendygrandad.com" TargetMode="External"/><Relationship Id="rId1417" Type="http://schemas.openxmlformats.org/officeDocument/2006/relationships/hyperlink" Target="http://weareaudiences.com" TargetMode="External"/><Relationship Id="rId2748" Type="http://schemas.openxmlformats.org/officeDocument/2006/relationships/hyperlink" Target="https://www.tripledart.com/ai-seo/ai-seo-agencies" TargetMode="External"/><Relationship Id="rId1418" Type="http://schemas.openxmlformats.org/officeDocument/2006/relationships/hyperlink" Target="https://www.webtonic.io/blog/top-conversion-rate-optimisation-agencies-london" TargetMode="External"/><Relationship Id="rId2749" Type="http://schemas.openxmlformats.org/officeDocument/2006/relationships/hyperlink" Target="http://tripledart.com" TargetMode="External"/><Relationship Id="rId1419" Type="http://schemas.openxmlformats.org/officeDocument/2006/relationships/hyperlink" Target="http://webtonic.io" TargetMode="External"/><Relationship Id="rId1890" Type="http://schemas.openxmlformats.org/officeDocument/2006/relationships/hyperlink" Target="http://ensun.io" TargetMode="External"/><Relationship Id="rId1891" Type="http://schemas.openxmlformats.org/officeDocument/2006/relationships/hyperlink" Target="https://ensun.io/search/geospatial-gis/united-kingdom" TargetMode="External"/><Relationship Id="rId1892" Type="http://schemas.openxmlformats.org/officeDocument/2006/relationships/hyperlink" Target="http://ensun.io" TargetMode="External"/><Relationship Id="rId1893" Type="http://schemas.openxmlformats.org/officeDocument/2006/relationships/hyperlink" Target="https://enterprisemarketingportal.google/find-a-partner" TargetMode="External"/><Relationship Id="rId2740" Type="http://schemas.openxmlformats.org/officeDocument/2006/relationships/hyperlink" Target="https://toptenaiagents.co.uk/lists/top-10-uk-ai-agencies-midsize.html" TargetMode="External"/><Relationship Id="rId1410" Type="http://schemas.openxmlformats.org/officeDocument/2006/relationships/hyperlink" Target="https://www.vayro.co.uk/ai-consulting" TargetMode="External"/><Relationship Id="rId1894" Type="http://schemas.openxmlformats.org/officeDocument/2006/relationships/hyperlink" Target="https://www.enzuzo.com/blog/best-performance-marketing-agencies" TargetMode="External"/><Relationship Id="rId2741" Type="http://schemas.openxmlformats.org/officeDocument/2006/relationships/hyperlink" Target="http://toptenaiagents.co.uk" TargetMode="External"/><Relationship Id="rId1400" Type="http://schemas.openxmlformats.org/officeDocument/2006/relationships/hyperlink" Target="https://www.topseobrands.com/uk/best-display-advertising-firms-in-uk/page/8" TargetMode="External"/><Relationship Id="rId1884" Type="http://schemas.openxmlformats.org/officeDocument/2006/relationships/hyperlink" Target="http://wikipedia.org" TargetMode="External"/><Relationship Id="rId2731" Type="http://schemas.openxmlformats.org/officeDocument/2006/relationships/hyperlink" Target="http://tinuiti.com" TargetMode="External"/><Relationship Id="rId1401" Type="http://schemas.openxmlformats.org/officeDocument/2006/relationships/hyperlink" Target="http://topseobrands.com" TargetMode="External"/><Relationship Id="rId1885" Type="http://schemas.openxmlformats.org/officeDocument/2006/relationships/hyperlink" Target="https://www.enrichlabs.ai/blog/what-is-an-ai-marketing-agent" TargetMode="External"/><Relationship Id="rId2732" Type="http://schemas.openxmlformats.org/officeDocument/2006/relationships/hyperlink" Target="https://tivradigital.co.uk/" TargetMode="External"/><Relationship Id="rId1402" Type="http://schemas.openxmlformats.org/officeDocument/2006/relationships/hyperlink" Target="https://trendfingers.com/signals/marketing-attribution-models-2026.html" TargetMode="External"/><Relationship Id="rId1886" Type="http://schemas.openxmlformats.org/officeDocument/2006/relationships/hyperlink" Target="http://enrichlabs.ai" TargetMode="External"/><Relationship Id="rId2733" Type="http://schemas.openxmlformats.org/officeDocument/2006/relationships/hyperlink" Target="http://tivradigital.co.uk" TargetMode="External"/><Relationship Id="rId1403" Type="http://schemas.openxmlformats.org/officeDocument/2006/relationships/hyperlink" Target="http://trendfingers.com" TargetMode="External"/><Relationship Id="rId1887" Type="http://schemas.openxmlformats.org/officeDocument/2006/relationships/hyperlink" Target="https://ensun.io/search/ai-consulting/united-kingdom" TargetMode="External"/><Relationship Id="rId2734" Type="http://schemas.openxmlformats.org/officeDocument/2006/relationships/hyperlink" Target="https://www.tofuhq.com/post/best-ai-agents-for-marketing" TargetMode="External"/><Relationship Id="rId1404" Type="http://schemas.openxmlformats.org/officeDocument/2006/relationships/hyperlink" Target="https://www.trinitybps.com/ai-consulting" TargetMode="External"/><Relationship Id="rId1888" Type="http://schemas.openxmlformats.org/officeDocument/2006/relationships/hyperlink" Target="http://ensun.io" TargetMode="External"/><Relationship Id="rId2735" Type="http://schemas.openxmlformats.org/officeDocument/2006/relationships/hyperlink" Target="http://tofuhq.com" TargetMode="External"/><Relationship Id="rId1405" Type="http://schemas.openxmlformats.org/officeDocument/2006/relationships/hyperlink" Target="http://trinitybps.com" TargetMode="External"/><Relationship Id="rId1889" Type="http://schemas.openxmlformats.org/officeDocument/2006/relationships/hyperlink" Target="https://ensun.io/search/geospatial-data/united-kingdom" TargetMode="External"/><Relationship Id="rId2736" Type="http://schemas.openxmlformats.org/officeDocument/2006/relationships/hyperlink" Target="https://topgeoagencies.com/" TargetMode="External"/><Relationship Id="rId1406" Type="http://schemas.openxmlformats.org/officeDocument/2006/relationships/hyperlink" Target="https://uk.linkedin.com/company/lynchpin-analytics-ltd" TargetMode="External"/><Relationship Id="rId2737" Type="http://schemas.openxmlformats.org/officeDocument/2006/relationships/hyperlink" Target="http://topgeoagencies.com" TargetMode="External"/><Relationship Id="rId1407" Type="http://schemas.openxmlformats.org/officeDocument/2006/relationships/hyperlink" Target="http://linkedin.com" TargetMode="External"/><Relationship Id="rId2738" Type="http://schemas.openxmlformats.org/officeDocument/2006/relationships/hyperlink" Target="https://www.topseobrands.com/uk/best-display-advertising-firms-in-uk/page/7" TargetMode="External"/><Relationship Id="rId1408" Type="http://schemas.openxmlformats.org/officeDocument/2006/relationships/hyperlink" Target="https://uk.linkedin.com/company/queryclick" TargetMode="External"/><Relationship Id="rId2739" Type="http://schemas.openxmlformats.org/officeDocument/2006/relationships/hyperlink" Target="http://topseobrands.com" TargetMode="External"/><Relationship Id="rId1409" Type="http://schemas.openxmlformats.org/officeDocument/2006/relationships/hyperlink" Target="http://linkedin.com" TargetMode="External"/><Relationship Id="rId1880" Type="http://schemas.openxmlformats.org/officeDocument/2006/relationships/hyperlink" Target="http://emarketer.com" TargetMode="External"/><Relationship Id="rId1881" Type="http://schemas.openxmlformats.org/officeDocument/2006/relationships/hyperlink" Target="https://en.wikipedia.org/wiki/Advertising_agency" TargetMode="External"/><Relationship Id="rId1882" Type="http://schemas.openxmlformats.org/officeDocument/2006/relationships/hyperlink" Target="http://wikipedia.org" TargetMode="External"/><Relationship Id="rId1883" Type="http://schemas.openxmlformats.org/officeDocument/2006/relationships/hyperlink" Target="https://en.wikipedia.org/wiki/Attribution_(marketing)" TargetMode="External"/><Relationship Id="rId2730" Type="http://schemas.openxmlformats.org/officeDocument/2006/relationships/hyperlink" Target="https://tinuiti.com/blog/measurement/incrementality-in-marketing/" TargetMode="External"/><Relationship Id="rId1433" Type="http://schemas.openxmlformats.org/officeDocument/2006/relationships/hyperlink" Target="http://2pointagency.com" TargetMode="External"/><Relationship Id="rId2764" Type="http://schemas.openxmlformats.org/officeDocument/2006/relationships/hyperlink" Target="https://understoryagency.com/blog/paid-organic-earned-media-saas-guide" TargetMode="External"/><Relationship Id="rId1434" Type="http://schemas.openxmlformats.org/officeDocument/2006/relationships/hyperlink" Target="https://www.303.london/blog/top-creative-agencies-uk" TargetMode="External"/><Relationship Id="rId2765" Type="http://schemas.openxmlformats.org/officeDocument/2006/relationships/hyperlink" Target="http://understoryagency.com" TargetMode="External"/><Relationship Id="rId1435" Type="http://schemas.openxmlformats.org/officeDocument/2006/relationships/hyperlink" Target="https://www.360strategy.co.uk/ai-consulting-and-governance-scotland-uk" TargetMode="External"/><Relationship Id="rId2766" Type="http://schemas.openxmlformats.org/officeDocument/2006/relationships/hyperlink" Target="https://www.unusualgroup.com/consulting/ai-transformation" TargetMode="External"/><Relationship Id="rId1436" Type="http://schemas.openxmlformats.org/officeDocument/2006/relationships/hyperlink" Target="http://360strategy.co.uk" TargetMode="External"/><Relationship Id="rId2767" Type="http://schemas.openxmlformats.org/officeDocument/2006/relationships/hyperlink" Target="http://unusualgroup.com" TargetMode="External"/><Relationship Id="rId1437" Type="http://schemas.openxmlformats.org/officeDocument/2006/relationships/hyperlink" Target="https://www.50pros.com/hire/market-research" TargetMode="External"/><Relationship Id="rId2768" Type="http://schemas.openxmlformats.org/officeDocument/2006/relationships/hyperlink" Target="https://www.updigital.co.uk/the-top-5-bristol-ppc-agencies-in-2026/" TargetMode="External"/><Relationship Id="rId1438" Type="http://schemas.openxmlformats.org/officeDocument/2006/relationships/hyperlink" Target="http://50pros.com" TargetMode="External"/><Relationship Id="rId2769" Type="http://schemas.openxmlformats.org/officeDocument/2006/relationships/hyperlink" Target="http://updigital.co.uk" TargetMode="External"/><Relationship Id="rId1439" Type="http://schemas.openxmlformats.org/officeDocument/2006/relationships/hyperlink" Target="https://94n.digital/best-paid-media-agency-for-shopify-brands-uk/" TargetMode="External"/><Relationship Id="rId609" Type="http://schemas.openxmlformats.org/officeDocument/2006/relationships/hyperlink" Target="http://sortlist.com" TargetMode="External"/><Relationship Id="rId608" Type="http://schemas.openxmlformats.org/officeDocument/2006/relationships/hyperlink" Target="https://www.sortlist.com/attribution-marketing" TargetMode="External"/><Relationship Id="rId607" Type="http://schemas.openxmlformats.org/officeDocument/2006/relationships/hyperlink" Target="http://sortlist.co.uk" TargetMode="External"/><Relationship Id="rId602" Type="http://schemas.openxmlformats.org/officeDocument/2006/relationships/hyperlink" Target="https://www.seoworks.com/lists/20-best-digital-marketing-companies-in-the-uk/" TargetMode="External"/><Relationship Id="rId601" Type="http://schemas.openxmlformats.org/officeDocument/2006/relationships/hyperlink" Target="http://semnexus.com" TargetMode="External"/><Relationship Id="rId600" Type="http://schemas.openxmlformats.org/officeDocument/2006/relationships/hyperlink" Target="https://semnexus.com/top-aeo-agencies-london" TargetMode="External"/><Relationship Id="rId606" Type="http://schemas.openxmlformats.org/officeDocument/2006/relationships/hyperlink" Target="https://www.sortlist.co.uk/s/artificial-intelligence/london-england-gb" TargetMode="External"/><Relationship Id="rId605" Type="http://schemas.openxmlformats.org/officeDocument/2006/relationships/hyperlink" Target="http://softomatesolutions.com" TargetMode="External"/><Relationship Id="rId604" Type="http://schemas.openxmlformats.org/officeDocument/2006/relationships/hyperlink" Target="https://www.softomatesolutions.com/blog/best-ai-strategy-consultants-london/" TargetMode="External"/><Relationship Id="rId603" Type="http://schemas.openxmlformats.org/officeDocument/2006/relationships/hyperlink" Target="http://seoworks.com" TargetMode="External"/><Relationship Id="rId2760" Type="http://schemas.openxmlformats.org/officeDocument/2006/relationships/hyperlink" Target="https://uk.trustpilot.com/categories/topography_company" TargetMode="External"/><Relationship Id="rId1430" Type="http://schemas.openxmlformats.org/officeDocument/2006/relationships/hyperlink" Target="http://20northmarketing.com" TargetMode="External"/><Relationship Id="rId2761" Type="http://schemas.openxmlformats.org/officeDocument/2006/relationships/hyperlink" Target="http://trustpilot.com" TargetMode="External"/><Relationship Id="rId1431" Type="http://schemas.openxmlformats.org/officeDocument/2006/relationships/hyperlink" Target="https://www.21digital.agency/blog/were-a-google-premier-partner-for-2026/" TargetMode="External"/><Relationship Id="rId2762" Type="http://schemas.openxmlformats.org/officeDocument/2006/relationships/hyperlink" Target="https://ukagencies.co.uk/services/ppc/" TargetMode="External"/><Relationship Id="rId1432" Type="http://schemas.openxmlformats.org/officeDocument/2006/relationships/hyperlink" Target="https://www.2pointagency.com/glossary/data-activation-and-first-party-data-strategy-a-comprehensive-guide-for-businesses/" TargetMode="External"/><Relationship Id="rId2763" Type="http://schemas.openxmlformats.org/officeDocument/2006/relationships/hyperlink" Target="http://ukagencies.co.uk" TargetMode="External"/><Relationship Id="rId1422" Type="http://schemas.openxmlformats.org/officeDocument/2006/relationships/hyperlink" Target="https://whitehat-seo.co.uk/blog/ai-consultancy-ai-consulting" TargetMode="External"/><Relationship Id="rId2753" Type="http://schemas.openxmlformats.org/officeDocument/2006/relationships/hyperlink" Target="http://tryinhouse.co" TargetMode="External"/><Relationship Id="rId1423" Type="http://schemas.openxmlformats.org/officeDocument/2006/relationships/hyperlink" Target="http://whitehat-seo.co.uk" TargetMode="External"/><Relationship Id="rId2754" Type="http://schemas.openxmlformats.org/officeDocument/2006/relationships/hyperlink" Target="https://uk.linkedin.com/company/ruleranalytics" TargetMode="External"/><Relationship Id="rId1424" Type="http://schemas.openxmlformats.org/officeDocument/2006/relationships/hyperlink" Target="https://www.xamun.ai/ai-consulting-uk" TargetMode="External"/><Relationship Id="rId2755" Type="http://schemas.openxmlformats.org/officeDocument/2006/relationships/hyperlink" Target="http://linkedin.com" TargetMode="External"/><Relationship Id="rId1425" Type="http://schemas.openxmlformats.org/officeDocument/2006/relationships/hyperlink" Target="http://xamun.ai" TargetMode="External"/><Relationship Id="rId2756" Type="http://schemas.openxmlformats.org/officeDocument/2006/relationships/hyperlink" Target="https://uk.linkedin.com/company/the-social-shepherd" TargetMode="External"/><Relationship Id="rId1426" Type="http://schemas.openxmlformats.org/officeDocument/2006/relationships/hyperlink" Target="https://www.zendikt.com/top-10-marketing-attribution-software/united-kingdom" TargetMode="External"/><Relationship Id="rId2757" Type="http://schemas.openxmlformats.org/officeDocument/2006/relationships/hyperlink" Target="http://linkedin.com" TargetMode="External"/><Relationship Id="rId1427" Type="http://schemas.openxmlformats.org/officeDocument/2006/relationships/hyperlink" Target="http://zendikt.com" TargetMode="External"/><Relationship Id="rId2758" Type="http://schemas.openxmlformats.org/officeDocument/2006/relationships/hyperlink" Target="https://uk.linkedin.com/in/digantika-mitra" TargetMode="External"/><Relationship Id="rId1428" Type="http://schemas.openxmlformats.org/officeDocument/2006/relationships/hyperlink" Target="https://www.11x.marketing/blog/what-is-performance-marketing-agency" TargetMode="External"/><Relationship Id="rId2759" Type="http://schemas.openxmlformats.org/officeDocument/2006/relationships/hyperlink" Target="http://linkedin.com" TargetMode="External"/><Relationship Id="rId1429" Type="http://schemas.openxmlformats.org/officeDocument/2006/relationships/hyperlink" Target="https://www.20northmarketing.com/blog/top-ai-optimization-agencies" TargetMode="External"/><Relationship Id="rId2750" Type="http://schemas.openxmlformats.org/officeDocument/2006/relationships/hyperlink" Target="https://www.triplewhale.com/blog/marketing-attribution" TargetMode="External"/><Relationship Id="rId1420" Type="http://schemas.openxmlformats.org/officeDocument/2006/relationships/hyperlink" Target="https://www.webtonic.io/blog/top-social-media-agencies-uk" TargetMode="External"/><Relationship Id="rId2751" Type="http://schemas.openxmlformats.org/officeDocument/2006/relationships/hyperlink" Target="http://triplewhale.com" TargetMode="External"/><Relationship Id="rId1421" Type="http://schemas.openxmlformats.org/officeDocument/2006/relationships/hyperlink" Target="http://webtonic.io" TargetMode="External"/><Relationship Id="rId2752" Type="http://schemas.openxmlformats.org/officeDocument/2006/relationships/hyperlink" Target="https://tryinhouse.co/" TargetMode="External"/><Relationship Id="rId1059" Type="http://schemas.openxmlformats.org/officeDocument/2006/relationships/hyperlink" Target="https://staging.polarisagency.com/marketing-insights/best-geo-services-uk/" TargetMode="External"/><Relationship Id="rId228" Type="http://schemas.openxmlformats.org/officeDocument/2006/relationships/hyperlink" Target="http://overdrivedigital.co.uk" TargetMode="External"/><Relationship Id="rId227" Type="http://schemas.openxmlformats.org/officeDocument/2006/relationships/hyperlink" Target="https://overdrivedigital.co.uk/five-leading-b2b-performance-marketing-agencies-you-need-to-know-in-the-uk/" TargetMode="External"/><Relationship Id="rId226" Type="http://schemas.openxmlformats.org/officeDocument/2006/relationships/hyperlink" Target="http://okapiandco.co.uk" TargetMode="External"/><Relationship Id="rId225" Type="http://schemas.openxmlformats.org/officeDocument/2006/relationships/hyperlink" Target="https://www.okapiandco.co.uk/blog/best-geo-agencies-uk-2026" TargetMode="External"/><Relationship Id="rId2380" Type="http://schemas.openxmlformats.org/officeDocument/2006/relationships/hyperlink" Target="http://phable.io" TargetMode="External"/><Relationship Id="rId229" Type="http://schemas.openxmlformats.org/officeDocument/2006/relationships/hyperlink" Target="https://seocompare.co.uk/" TargetMode="External"/><Relationship Id="rId1050" Type="http://schemas.openxmlformats.org/officeDocument/2006/relationships/hyperlink" Target="http://seocompare.co.uk" TargetMode="External"/><Relationship Id="rId2381" Type="http://schemas.openxmlformats.org/officeDocument/2006/relationships/hyperlink" Target="https://pinpoint-media.global/" TargetMode="External"/><Relationship Id="rId220" Type="http://schemas.openxmlformats.org/officeDocument/2006/relationships/hyperlink" Target="http://clutch.co" TargetMode="External"/><Relationship Id="rId1051" Type="http://schemas.openxmlformats.org/officeDocument/2006/relationships/hyperlink" Target="https://www.seoworks.com/lists/the-20-best-geo-agencies/" TargetMode="External"/><Relationship Id="rId2382" Type="http://schemas.openxmlformats.org/officeDocument/2006/relationships/hyperlink" Target="https://pinpoint-media.global/about" TargetMode="External"/><Relationship Id="rId1052" Type="http://schemas.openxmlformats.org/officeDocument/2006/relationships/hyperlink" Target="http://seoworks.com" TargetMode="External"/><Relationship Id="rId2383" Type="http://schemas.openxmlformats.org/officeDocument/2006/relationships/hyperlink" Target="https://pinpoint-media.global/insights/top-10-full-service-marketing-agencies-in-london" TargetMode="External"/><Relationship Id="rId1053" Type="http://schemas.openxmlformats.org/officeDocument/2006/relationships/hyperlink" Target="https://smacient.com/top-ai-marketing-agencies-in-the-uk/" TargetMode="External"/><Relationship Id="rId2384" Type="http://schemas.openxmlformats.org/officeDocument/2006/relationships/hyperlink" Target="https://pinpoint-media.global/insights/top-10-tailored-paid-media-agencies-in-london" TargetMode="External"/><Relationship Id="rId1054" Type="http://schemas.openxmlformats.org/officeDocument/2006/relationships/hyperlink" Target="http://smacient.com" TargetMode="External"/><Relationship Id="rId2385" Type="http://schemas.openxmlformats.org/officeDocument/2006/relationships/hyperlink" Target="https://pinpoint-media.global/insights/top-5-paid-media-performance-agencies-for-health-wellness-brands" TargetMode="External"/><Relationship Id="rId224" Type="http://schemas.openxmlformats.org/officeDocument/2006/relationships/hyperlink" Target="http://leverdigital.co.uk" TargetMode="External"/><Relationship Id="rId1055" Type="http://schemas.openxmlformats.org/officeDocument/2006/relationships/hyperlink" Target="https://softblues.io/blog/best-ai-consulting-companies-uk" TargetMode="External"/><Relationship Id="rId2386" Type="http://schemas.openxmlformats.org/officeDocument/2006/relationships/hyperlink" Target="https://pipeline.zoominfo.com/sales/intent-data-platform" TargetMode="External"/><Relationship Id="rId223" Type="http://schemas.openxmlformats.org/officeDocument/2006/relationships/hyperlink" Target="https://www.leverdigital.co.uk/guides/top-10-google-ad-management-agencies-uk" TargetMode="External"/><Relationship Id="rId1056" Type="http://schemas.openxmlformats.org/officeDocument/2006/relationships/hyperlink" Target="http://softblues.io" TargetMode="External"/><Relationship Id="rId2387" Type="http://schemas.openxmlformats.org/officeDocument/2006/relationships/hyperlink" Target="http://zoominfo.com" TargetMode="External"/><Relationship Id="rId222" Type="http://schemas.openxmlformats.org/officeDocument/2006/relationships/hyperlink" Target="http://designrush.com" TargetMode="External"/><Relationship Id="rId1057" Type="http://schemas.openxmlformats.org/officeDocument/2006/relationships/hyperlink" Target="https://www.sortlist.co.uk/s/data-driven-marketing/united-kingdom-gb" TargetMode="External"/><Relationship Id="rId2388" Type="http://schemas.openxmlformats.org/officeDocument/2006/relationships/hyperlink" Target="https://www.pitchkitchen.com/best-ai-sales-marketing-agencies" TargetMode="External"/><Relationship Id="rId221" Type="http://schemas.openxmlformats.org/officeDocument/2006/relationships/hyperlink" Target="https://www.designrush.com/agency/digital-marketing/uk" TargetMode="External"/><Relationship Id="rId1058" Type="http://schemas.openxmlformats.org/officeDocument/2006/relationships/hyperlink" Target="http://sortlist.co.uk" TargetMode="External"/><Relationship Id="rId2389" Type="http://schemas.openxmlformats.org/officeDocument/2006/relationships/hyperlink" Target="http://pitchkitchen.com" TargetMode="External"/><Relationship Id="rId1048" Type="http://schemas.openxmlformats.org/officeDocument/2006/relationships/hyperlink" Target="http://segmentstream.com" TargetMode="External"/><Relationship Id="rId2379" Type="http://schemas.openxmlformats.org/officeDocument/2006/relationships/hyperlink" Target="https://www.phable.io/top-creative-agencies/in-east-london-masters-of-branding-content-creation-and-digital-innovation" TargetMode="External"/><Relationship Id="rId1049" Type="http://schemas.openxmlformats.org/officeDocument/2006/relationships/hyperlink" Target="https://seocompare.co.uk/ai-search-agencies-uk/" TargetMode="External"/><Relationship Id="rId217" Type="http://schemas.openxmlformats.org/officeDocument/2006/relationships/hyperlink" Target="https://business.google.com/uk/think/measurement/incrementality-testing/" TargetMode="External"/><Relationship Id="rId216" Type="http://schemas.openxmlformats.org/officeDocument/2006/relationships/hyperlink" Target="http://thatware.co" TargetMode="External"/><Relationship Id="rId215" Type="http://schemas.openxmlformats.org/officeDocument/2006/relationships/hyperlink" Target="https://thatware.co/top-10-geo-companies-in-uk/" TargetMode="External"/><Relationship Id="rId699" Type="http://schemas.openxmlformats.org/officeDocument/2006/relationships/hyperlink" Target="https://www.intellscore.uk/" TargetMode="External"/><Relationship Id="rId214" Type="http://schemas.openxmlformats.org/officeDocument/2006/relationships/hyperlink" Target="http://sortlist.co.uk" TargetMode="External"/><Relationship Id="rId698" Type="http://schemas.openxmlformats.org/officeDocument/2006/relationships/hyperlink" Target="https://inbeat.agency/blog/top-go-to-market-agencies-uk" TargetMode="External"/><Relationship Id="rId219" Type="http://schemas.openxmlformats.org/officeDocument/2006/relationships/hyperlink" Target="https://clutch.co/consulting/ai/uk" TargetMode="External"/><Relationship Id="rId218" Type="http://schemas.openxmlformats.org/officeDocument/2006/relationships/hyperlink" Target="http://google.com" TargetMode="External"/><Relationship Id="rId2370" Type="http://schemas.openxmlformats.org/officeDocument/2006/relationships/hyperlink" Target="http://pearllemon.com" TargetMode="External"/><Relationship Id="rId693" Type="http://schemas.openxmlformats.org/officeDocument/2006/relationships/hyperlink" Target="http://getapexanalytics.com" TargetMode="External"/><Relationship Id="rId1040" Type="http://schemas.openxmlformats.org/officeDocument/2006/relationships/hyperlink" Target="http://rank4ai.co.uk" TargetMode="External"/><Relationship Id="rId2371" Type="http://schemas.openxmlformats.org/officeDocument/2006/relationships/hyperlink" Target="https://pearllemonleads.com/lead-generation-for-apartment-locators/" TargetMode="External"/><Relationship Id="rId692" Type="http://schemas.openxmlformats.org/officeDocument/2006/relationships/hyperlink" Target="https://www.getapexanalytics.com/" TargetMode="External"/><Relationship Id="rId1041" Type="http://schemas.openxmlformats.org/officeDocument/2006/relationships/hyperlink" Target="https://www.readysetconsultancy.com/aeo" TargetMode="External"/><Relationship Id="rId2372" Type="http://schemas.openxmlformats.org/officeDocument/2006/relationships/hyperlink" Target="http://pearllemonleads.com" TargetMode="External"/><Relationship Id="rId691" Type="http://schemas.openxmlformats.org/officeDocument/2006/relationships/hyperlink" Target="http://ft.com" TargetMode="External"/><Relationship Id="rId1042" Type="http://schemas.openxmlformats.org/officeDocument/2006/relationships/hyperlink" Target="http://readysetconsultancy.com" TargetMode="External"/><Relationship Id="rId2373" Type="http://schemas.openxmlformats.org/officeDocument/2006/relationships/hyperlink" Target="https://penji.co/biggest-creative-agencies/" TargetMode="External"/><Relationship Id="rId690" Type="http://schemas.openxmlformats.org/officeDocument/2006/relationships/hyperlink" Target="https://www.ft.com/content/dfaff23c-9e47-43f7-8c0f-393939c1c16f" TargetMode="External"/><Relationship Id="rId1043" Type="http://schemas.openxmlformats.org/officeDocument/2006/relationships/hyperlink" Target="https://rocketium.ai/academy/all/ai-tools-scaling-creative-production" TargetMode="External"/><Relationship Id="rId2374" Type="http://schemas.openxmlformats.org/officeDocument/2006/relationships/hyperlink" Target="http://penji.co" TargetMode="External"/><Relationship Id="rId213" Type="http://schemas.openxmlformats.org/officeDocument/2006/relationships/hyperlink" Target="https://www.sortlist.co.uk/s/performance-marketing/london-england-gb" TargetMode="External"/><Relationship Id="rId697" Type="http://schemas.openxmlformats.org/officeDocument/2006/relationships/hyperlink" Target="http://impressiondigital.com" TargetMode="External"/><Relationship Id="rId1044" Type="http://schemas.openxmlformats.org/officeDocument/2006/relationships/hyperlink" Target="http://rocketium.ai" TargetMode="External"/><Relationship Id="rId2375" Type="http://schemas.openxmlformats.org/officeDocument/2006/relationships/hyperlink" Target="https://www.performancemarketingadvisors.com/insights/10-powerful-ai-applications-for-business-marketing-leaders" TargetMode="External"/><Relationship Id="rId212" Type="http://schemas.openxmlformats.org/officeDocument/2006/relationships/hyperlink" Target="https://delivix.digital/marketing/ai-marketing-agencies-in-the-uk/" TargetMode="External"/><Relationship Id="rId696" Type="http://schemas.openxmlformats.org/officeDocument/2006/relationships/hyperlink" Target="https://www.impressiondigital.com/media-solutions/measurement/" TargetMode="External"/><Relationship Id="rId1045" Type="http://schemas.openxmlformats.org/officeDocument/2006/relationships/hyperlink" Target="https://saatchi.co.uk/news/john-lewis-partnership-appoints-saatchi/" TargetMode="External"/><Relationship Id="rId2376" Type="http://schemas.openxmlformats.org/officeDocument/2006/relationships/hyperlink" Target="http://performancemarketingadvisors.com" TargetMode="External"/><Relationship Id="rId211" Type="http://schemas.openxmlformats.org/officeDocument/2006/relationships/hyperlink" Target="http://sortlist.co.uk" TargetMode="External"/><Relationship Id="rId695" Type="http://schemas.openxmlformats.org/officeDocument/2006/relationships/hyperlink" Target="http://gulftagline.ae" TargetMode="External"/><Relationship Id="rId1046" Type="http://schemas.openxmlformats.org/officeDocument/2006/relationships/hyperlink" Target="http://saatchi.co.uk" TargetMode="External"/><Relationship Id="rId2377" Type="http://schemas.openxmlformats.org/officeDocument/2006/relationships/hyperlink" Target="https://www.pgammedia.com/" TargetMode="External"/><Relationship Id="rId210" Type="http://schemas.openxmlformats.org/officeDocument/2006/relationships/hyperlink" Target="https://www.sortlist.co.uk/s/display-advertising/england-england-gb" TargetMode="External"/><Relationship Id="rId694" Type="http://schemas.openxmlformats.org/officeDocument/2006/relationships/hyperlink" Target="https://gulftagline.ae/2025/03/06/the-5-best-advertising-and-marketing-agencies-in-the-uk/" TargetMode="External"/><Relationship Id="rId1047" Type="http://schemas.openxmlformats.org/officeDocument/2006/relationships/hyperlink" Target="https://segmentstream.com/glossary/incrementality-testing" TargetMode="External"/><Relationship Id="rId2378" Type="http://schemas.openxmlformats.org/officeDocument/2006/relationships/hyperlink" Target="http://pgammedia.com" TargetMode="External"/><Relationship Id="rId249" Type="http://schemas.openxmlformats.org/officeDocument/2006/relationships/hyperlink" Target="https://inbeat.agency/blog/top-marketing-measurement-and-analytics-companies" TargetMode="External"/><Relationship Id="rId248" Type="http://schemas.openxmlformats.org/officeDocument/2006/relationships/hyperlink" Target="http://impressiondigital.com" TargetMode="External"/><Relationship Id="rId247" Type="http://schemas.openxmlformats.org/officeDocument/2006/relationships/hyperlink" Target="https://www.impressiondigital.com/paid-media/" TargetMode="External"/><Relationship Id="rId1070" Type="http://schemas.openxmlformats.org/officeDocument/2006/relationships/hyperlink" Target="http://thesocialshepherd.com" TargetMode="External"/><Relationship Id="rId1071" Type="http://schemas.openxmlformats.org/officeDocument/2006/relationships/hyperlink" Target="https://top-branding-agency.co.uk/creative/" TargetMode="External"/><Relationship Id="rId1072" Type="http://schemas.openxmlformats.org/officeDocument/2006/relationships/hyperlink" Target="http://top-branding-agency.co.uk" TargetMode="External"/><Relationship Id="rId242" Type="http://schemas.openxmlformats.org/officeDocument/2006/relationships/hyperlink" Target="https://clutch.co/agencies/ppc/uk" TargetMode="External"/><Relationship Id="rId1073" Type="http://schemas.openxmlformats.org/officeDocument/2006/relationships/hyperlink" Target="https://ultrascout.ai/guides/agency-directory/" TargetMode="External"/><Relationship Id="rId241" Type="http://schemas.openxmlformats.org/officeDocument/2006/relationships/hyperlink" Target="http://whitehat-seo.co.uk" TargetMode="External"/><Relationship Id="rId1074" Type="http://schemas.openxmlformats.org/officeDocument/2006/relationships/hyperlink" Target="http://ultrascout.ai" TargetMode="External"/><Relationship Id="rId240" Type="http://schemas.openxmlformats.org/officeDocument/2006/relationships/hyperlink" Target="https://whitehat-seo.co.uk/ai-consultancy-and-implementation" TargetMode="External"/><Relationship Id="rId1075" Type="http://schemas.openxmlformats.org/officeDocument/2006/relationships/hyperlink" Target="https://visionone.co.uk/" TargetMode="External"/><Relationship Id="rId1076" Type="http://schemas.openxmlformats.org/officeDocument/2006/relationships/hyperlink" Target="http://visionone.co.uk" TargetMode="External"/><Relationship Id="rId246" Type="http://schemas.openxmlformats.org/officeDocument/2006/relationships/hyperlink" Target="http://found.co.uk" TargetMode="External"/><Relationship Id="rId1077" Type="http://schemas.openxmlformats.org/officeDocument/2006/relationships/hyperlink" Target="https://www.webtonic.io/blog/best-ppc-agencies-uk" TargetMode="External"/><Relationship Id="rId245" Type="http://schemas.openxmlformats.org/officeDocument/2006/relationships/hyperlink" Target="https://www.found.co.uk/services/seo/ai-seo/" TargetMode="External"/><Relationship Id="rId1078" Type="http://schemas.openxmlformats.org/officeDocument/2006/relationships/hyperlink" Target="http://webtonic.io" TargetMode="External"/><Relationship Id="rId244" Type="http://schemas.openxmlformats.org/officeDocument/2006/relationships/hyperlink" Target="https://www.compare.agency/7-of-the-top-ppc-agencies-in-the-uk-for-2026" TargetMode="External"/><Relationship Id="rId1079" Type="http://schemas.openxmlformats.org/officeDocument/2006/relationships/hyperlink" Target="https://whitehat-seo.co.uk/blog/marketing-attribution-that-works" TargetMode="External"/><Relationship Id="rId243" Type="http://schemas.openxmlformats.org/officeDocument/2006/relationships/hyperlink" Target="http://clutch.co" TargetMode="External"/><Relationship Id="rId239" Type="http://schemas.openxmlformats.org/officeDocument/2006/relationships/hyperlink" Target="http://thesocialshepherd.com" TargetMode="External"/><Relationship Id="rId238" Type="http://schemas.openxmlformats.org/officeDocument/2006/relationships/hyperlink" Target="https://thesocialshepherd.com/blog/top-digital-marketing-agencies-uk" TargetMode="External"/><Relationship Id="rId237" Type="http://schemas.openxmlformats.org/officeDocument/2006/relationships/hyperlink" Target="http://ppcgeeks.co.uk" TargetMode="External"/><Relationship Id="rId236" Type="http://schemas.openxmlformats.org/officeDocument/2006/relationships/hyperlink" Target="https://ppcgeeks.co.uk/ppc/marketing-attribution-tools/" TargetMode="External"/><Relationship Id="rId2390" Type="http://schemas.openxmlformats.org/officeDocument/2006/relationships/hyperlink" Target="https://pitchsite.io/tools/uk-agency-benchmarks" TargetMode="External"/><Relationship Id="rId1060" Type="http://schemas.openxmlformats.org/officeDocument/2006/relationships/hyperlink" Target="http://polarisagency.com" TargetMode="External"/><Relationship Id="rId2391" Type="http://schemas.openxmlformats.org/officeDocument/2006/relationships/hyperlink" Target="http://pitchsite.io" TargetMode="External"/><Relationship Id="rId1061" Type="http://schemas.openxmlformats.org/officeDocument/2006/relationships/hyperlink" Target="https://support.google.com/tagmanager/answer/7237700?hl=en" TargetMode="External"/><Relationship Id="rId2392" Type="http://schemas.openxmlformats.org/officeDocument/2006/relationships/hyperlink" Target="https://www.polarisagency.com/marketing-insights/best-demand-gen-agencies-b2b-uk/" TargetMode="External"/><Relationship Id="rId231" Type="http://schemas.openxmlformats.org/officeDocument/2006/relationships/hyperlink" Target="https://techbehemoths.com/companies/marketing-analytics/united-kingdom" TargetMode="External"/><Relationship Id="rId1062" Type="http://schemas.openxmlformats.org/officeDocument/2006/relationships/hyperlink" Target="http://google.com" TargetMode="External"/><Relationship Id="rId2393" Type="http://schemas.openxmlformats.org/officeDocument/2006/relationships/hyperlink" Target="http://polarisagency.com" TargetMode="External"/><Relationship Id="rId230" Type="http://schemas.openxmlformats.org/officeDocument/2006/relationships/hyperlink" Target="http://seocompare.co.uk" TargetMode="External"/><Relationship Id="rId1063" Type="http://schemas.openxmlformats.org/officeDocument/2006/relationships/hyperlink" Target="https://thegraygency.com/the-11-top-paid-social-agencies-for-social-media-growth/" TargetMode="External"/><Relationship Id="rId2394" Type="http://schemas.openxmlformats.org/officeDocument/2006/relationships/hyperlink" Target="https://www.polarisagency.com/us/marketing-insights/top-branding-agencies-in-london-2024/" TargetMode="External"/><Relationship Id="rId1064" Type="http://schemas.openxmlformats.org/officeDocument/2006/relationships/hyperlink" Target="http://thegraygency.com" TargetMode="External"/><Relationship Id="rId2395" Type="http://schemas.openxmlformats.org/officeDocument/2006/relationships/hyperlink" Target="http://polarisagency.com" TargetMode="External"/><Relationship Id="rId1065" Type="http://schemas.openxmlformats.org/officeDocument/2006/relationships/hyperlink" Target="https://www.thegrowthsyndicate.com/agencies/best-b2b-performance-marketing-agencies-europe" TargetMode="External"/><Relationship Id="rId2396" Type="http://schemas.openxmlformats.org/officeDocument/2006/relationships/hyperlink" Target="https://www.position.digital/blog/top-geo-agencies/" TargetMode="External"/><Relationship Id="rId235" Type="http://schemas.openxmlformats.org/officeDocument/2006/relationships/hyperlink" Target="https://www.munro.agency/top-performance-marketing-agencies/" TargetMode="External"/><Relationship Id="rId1066" Type="http://schemas.openxmlformats.org/officeDocument/2006/relationships/hyperlink" Target="http://thegrowthsyndicate.com" TargetMode="External"/><Relationship Id="rId2397" Type="http://schemas.openxmlformats.org/officeDocument/2006/relationships/hyperlink" Target="https://ppcgeeks.co.uk/ecommerce-ppc/" TargetMode="External"/><Relationship Id="rId234" Type="http://schemas.openxmlformats.org/officeDocument/2006/relationships/hyperlink" Target="http://influencer-hero.com" TargetMode="External"/><Relationship Id="rId1067" Type="http://schemas.openxmlformats.org/officeDocument/2006/relationships/hyperlink" Target="https://themanifest.com/advertising/agencies/uk" TargetMode="External"/><Relationship Id="rId2398" Type="http://schemas.openxmlformats.org/officeDocument/2006/relationships/hyperlink" Target="http://ppcgeeks.co.uk" TargetMode="External"/><Relationship Id="rId233" Type="http://schemas.openxmlformats.org/officeDocument/2006/relationships/hyperlink" Target="https://www.influencer-hero.com/fr/blogs/top-paid-advertising-agencies-in-the-united-kingdom" TargetMode="External"/><Relationship Id="rId1068" Type="http://schemas.openxmlformats.org/officeDocument/2006/relationships/hyperlink" Target="http://themanifest.com" TargetMode="External"/><Relationship Id="rId2399" Type="http://schemas.openxmlformats.org/officeDocument/2006/relationships/hyperlink" Target="https://ppckingdom.com/" TargetMode="External"/><Relationship Id="rId232" Type="http://schemas.openxmlformats.org/officeDocument/2006/relationships/hyperlink" Target="http://techbehemoths.com" TargetMode="External"/><Relationship Id="rId1069" Type="http://schemas.openxmlformats.org/officeDocument/2006/relationships/hyperlink" Target="https://thesocialshepherd.com/blog/top-advertising-agencies-uk" TargetMode="External"/><Relationship Id="rId1015" Type="http://schemas.openxmlformats.org/officeDocument/2006/relationships/hyperlink" Target="http://margen.net" TargetMode="External"/><Relationship Id="rId1499" Type="http://schemas.openxmlformats.org/officeDocument/2006/relationships/hyperlink" Target="http://aiadvantageagency.com" TargetMode="External"/><Relationship Id="rId2346" Type="http://schemas.openxmlformats.org/officeDocument/2006/relationships/hyperlink" Target="https://www.opticomm.co.uk/" TargetMode="External"/><Relationship Id="rId1016" Type="http://schemas.openxmlformats.org/officeDocument/2006/relationships/hyperlink" Target="https://www.marketingagencyindex.com/uk/services/creative-ai-agencies" TargetMode="External"/><Relationship Id="rId2347" Type="http://schemas.openxmlformats.org/officeDocument/2006/relationships/hyperlink" Target="http://opticomm.co.uk" TargetMode="External"/><Relationship Id="rId1017" Type="http://schemas.openxmlformats.org/officeDocument/2006/relationships/hyperlink" Target="http://marketingagencyindex.com" TargetMode="External"/><Relationship Id="rId2348" Type="http://schemas.openxmlformats.org/officeDocument/2006/relationships/hyperlink" Target="https://oski.site/blog/sales-and-marketing-analytics-companies-europe/" TargetMode="External"/><Relationship Id="rId1018" Type="http://schemas.openxmlformats.org/officeDocument/2006/relationships/hyperlink" Target="https://www.marketingagencyindex.com/uk/services/programmatic" TargetMode="External"/><Relationship Id="rId2349" Type="http://schemas.openxmlformats.org/officeDocument/2006/relationships/hyperlink" Target="https://www.osmos.ai/blog/first-party-data-in-retail-media-the-complete-targeting-guide" TargetMode="External"/><Relationship Id="rId1019" Type="http://schemas.openxmlformats.org/officeDocument/2006/relationships/hyperlink" Target="http://marketingagencyindex.com" TargetMode="External"/><Relationship Id="rId668" Type="http://schemas.openxmlformats.org/officeDocument/2006/relationships/hyperlink" Target="https://www.seo.com/agency/best-digital-marketing-companies-uk/" TargetMode="External"/><Relationship Id="rId667" Type="http://schemas.openxmlformats.org/officeDocument/2006/relationships/hyperlink" Target="http://sellforte.com" TargetMode="External"/><Relationship Id="rId666" Type="http://schemas.openxmlformats.org/officeDocument/2006/relationships/hyperlink" Target="https://sellforte.com/blog/what-is-incrementality-testing" TargetMode="External"/><Relationship Id="rId665" Type="http://schemas.openxmlformats.org/officeDocument/2006/relationships/hyperlink" Target="http://selectedfirms.co" TargetMode="External"/><Relationship Id="rId669" Type="http://schemas.openxmlformats.org/officeDocument/2006/relationships/hyperlink" Target="http://seo.com" TargetMode="External"/><Relationship Id="rId1490" Type="http://schemas.openxmlformats.org/officeDocument/2006/relationships/hyperlink" Target="https://agencysort.com/agencies" TargetMode="External"/><Relationship Id="rId660" Type="http://schemas.openxmlformats.org/officeDocument/2006/relationships/hyperlink" Target="https://www.reddit.com/r/aeo/comments/1sf4z2h/what_are_the_top_ai_visibility_agencies_in_the_uk/" TargetMode="External"/><Relationship Id="rId1491" Type="http://schemas.openxmlformats.org/officeDocument/2006/relationships/hyperlink" Target="http://agencysort.com" TargetMode="External"/><Relationship Id="rId1492" Type="http://schemas.openxmlformats.org/officeDocument/2006/relationships/hyperlink" Target="https://www.agilitytech.ai/ai-consulting-uk" TargetMode="External"/><Relationship Id="rId1493" Type="http://schemas.openxmlformats.org/officeDocument/2006/relationships/hyperlink" Target="http://agilitytech.ai" TargetMode="External"/><Relationship Id="rId2340" Type="http://schemas.openxmlformats.org/officeDocument/2006/relationships/hyperlink" Target="http://onlineoptimism.com" TargetMode="External"/><Relationship Id="rId1010" Type="http://schemas.openxmlformats.org/officeDocument/2006/relationships/hyperlink" Target="https://knowanalytics.co.uk/" TargetMode="External"/><Relationship Id="rId1494" Type="http://schemas.openxmlformats.org/officeDocument/2006/relationships/hyperlink" Target="https://www.ai-expert.co.uk/" TargetMode="External"/><Relationship Id="rId2341" Type="http://schemas.openxmlformats.org/officeDocument/2006/relationships/hyperlink" Target="https://opace.agency/services/artificial-intelligence/ai-strategy-consulting/" TargetMode="External"/><Relationship Id="rId664" Type="http://schemas.openxmlformats.org/officeDocument/2006/relationships/hyperlink" Target="https://selectedfirms.co/companies/aeo-companies" TargetMode="External"/><Relationship Id="rId1011" Type="http://schemas.openxmlformats.org/officeDocument/2006/relationships/hyperlink" Target="http://knowanalytics.co.uk" TargetMode="External"/><Relationship Id="rId1495" Type="http://schemas.openxmlformats.org/officeDocument/2006/relationships/hyperlink" Target="http://ai-expert.co.uk" TargetMode="External"/><Relationship Id="rId2342" Type="http://schemas.openxmlformats.org/officeDocument/2006/relationships/hyperlink" Target="https://www.openleaf.com/" TargetMode="External"/><Relationship Id="rId663" Type="http://schemas.openxmlformats.org/officeDocument/2006/relationships/hyperlink" Target="http://rethinkworks.co.uk" TargetMode="External"/><Relationship Id="rId1012" Type="http://schemas.openxmlformats.org/officeDocument/2006/relationships/hyperlink" Target="https://leverageconsulting.uk/" TargetMode="External"/><Relationship Id="rId1496" Type="http://schemas.openxmlformats.org/officeDocument/2006/relationships/hyperlink" Target="https://www.ai-expert.co.uk/blog/how-do-i-know-if-ai-consulting-firms-are-legitimate" TargetMode="External"/><Relationship Id="rId2343" Type="http://schemas.openxmlformats.org/officeDocument/2006/relationships/hyperlink" Target="http://openleaf.com" TargetMode="External"/><Relationship Id="rId662" Type="http://schemas.openxmlformats.org/officeDocument/2006/relationships/hyperlink" Target="https://rethinkworks.co.uk/" TargetMode="External"/><Relationship Id="rId1013" Type="http://schemas.openxmlformats.org/officeDocument/2006/relationships/hyperlink" Target="http://leverageconsulting.uk" TargetMode="External"/><Relationship Id="rId1497" Type="http://schemas.openxmlformats.org/officeDocument/2006/relationships/hyperlink" Target="http://ai-expert.co.uk" TargetMode="External"/><Relationship Id="rId2344" Type="http://schemas.openxmlformats.org/officeDocument/2006/relationships/hyperlink" Target="https://www.opinosis-analytics.com/ai-consulting-in-united-kingdom/" TargetMode="External"/><Relationship Id="rId661" Type="http://schemas.openxmlformats.org/officeDocument/2006/relationships/hyperlink" Target="http://reddit.com" TargetMode="External"/><Relationship Id="rId1014" Type="http://schemas.openxmlformats.org/officeDocument/2006/relationships/hyperlink" Target="https://www.margen.net/margen-ranked-uk-number-one-ai-seo-agency-2026/" TargetMode="External"/><Relationship Id="rId1498" Type="http://schemas.openxmlformats.org/officeDocument/2006/relationships/hyperlink" Target="https://aiadvantageagency.com/first-party-data-strategy/" TargetMode="External"/><Relationship Id="rId2345" Type="http://schemas.openxmlformats.org/officeDocument/2006/relationships/hyperlink" Target="http://opinosis-analytics.com" TargetMode="External"/><Relationship Id="rId1004" Type="http://schemas.openxmlformats.org/officeDocument/2006/relationships/hyperlink" Target="https://indexly.ai/blog/top-10-seo-agencies-in-london/" TargetMode="External"/><Relationship Id="rId1488" Type="http://schemas.openxmlformats.org/officeDocument/2006/relationships/hyperlink" Target="https://agencylocator.io/rga-vs-sapient-nitro" TargetMode="External"/><Relationship Id="rId2335" Type="http://schemas.openxmlformats.org/officeDocument/2006/relationships/hyperlink" Target="https://www.oneclub.org/awards/theoneshow/-agency/Droga5%20%5Bs%5D%20London/2025" TargetMode="External"/><Relationship Id="rId1005" Type="http://schemas.openxmlformats.org/officeDocument/2006/relationships/hyperlink" Target="http://indexly.ai" TargetMode="External"/><Relationship Id="rId1489" Type="http://schemas.openxmlformats.org/officeDocument/2006/relationships/hyperlink" Target="http://agencylocator.io" TargetMode="External"/><Relationship Id="rId2336" Type="http://schemas.openxmlformats.org/officeDocument/2006/relationships/hyperlink" Target="http://oneclub.org" TargetMode="External"/><Relationship Id="rId1006" Type="http://schemas.openxmlformats.org/officeDocument/2006/relationships/hyperlink" Target="https://www.intellscore.co.uk/" TargetMode="External"/><Relationship Id="rId2337" Type="http://schemas.openxmlformats.org/officeDocument/2006/relationships/hyperlink" Target="https://www.onely.com/blog/best-digital-marketing-agencies/" TargetMode="External"/><Relationship Id="rId1007" Type="http://schemas.openxmlformats.org/officeDocument/2006/relationships/hyperlink" Target="http://intellscore.co.uk" TargetMode="External"/><Relationship Id="rId2338" Type="http://schemas.openxmlformats.org/officeDocument/2006/relationships/hyperlink" Target="http://onely.com" TargetMode="External"/><Relationship Id="rId1008" Type="http://schemas.openxmlformats.org/officeDocument/2006/relationships/hyperlink" Target="https://www.jdrgroup.co.uk/blog/best-ppc-agency-uk" TargetMode="External"/><Relationship Id="rId2339" Type="http://schemas.openxmlformats.org/officeDocument/2006/relationships/hyperlink" Target="https://onlineoptimism.com/learn/top-b2b-social-media-agencies-in-the-world/" TargetMode="External"/><Relationship Id="rId1009" Type="http://schemas.openxmlformats.org/officeDocument/2006/relationships/hyperlink" Target="http://jdrgroup.co.uk" TargetMode="External"/><Relationship Id="rId657" Type="http://schemas.openxmlformats.org/officeDocument/2006/relationships/hyperlink" Target="http://rank4ai.co.uk" TargetMode="External"/><Relationship Id="rId656" Type="http://schemas.openxmlformats.org/officeDocument/2006/relationships/hyperlink" Target="https://www.rank4ai.co.uk/research/rankings/top-ai-seo-agencies-uk-2026/" TargetMode="External"/><Relationship Id="rId655" Type="http://schemas.openxmlformats.org/officeDocument/2006/relationships/hyperlink" Target="http://rank4ai.co.uk" TargetMode="External"/><Relationship Id="rId654" Type="http://schemas.openxmlformats.org/officeDocument/2006/relationships/hyperlink" Target="https://www.rank4ai.co.uk/research/rankings/ai-search-agencies-for-small-business-uk/" TargetMode="External"/><Relationship Id="rId659" Type="http://schemas.openxmlformats.org/officeDocument/2006/relationships/hyperlink" Target="http://reddit.com" TargetMode="External"/><Relationship Id="rId658" Type="http://schemas.openxmlformats.org/officeDocument/2006/relationships/hyperlink" Target="https://www.reddit.com/r/MktgSupermarket/comments/1qom30j/compiled_a_directory_of_25_ai_marketing_agencies/" TargetMode="External"/><Relationship Id="rId1480" Type="http://schemas.openxmlformats.org/officeDocument/2006/relationships/hyperlink" Target="https://agencies.semrush.com/list/ppc/united-states/" TargetMode="External"/><Relationship Id="rId1481" Type="http://schemas.openxmlformats.org/officeDocument/2006/relationships/hyperlink" Target="http://semrush.com" TargetMode="External"/><Relationship Id="rId1482" Type="http://schemas.openxmlformats.org/officeDocument/2006/relationships/hyperlink" Target="https://agencybyagency.com/" TargetMode="External"/><Relationship Id="rId1483" Type="http://schemas.openxmlformats.org/officeDocument/2006/relationships/hyperlink" Target="http://agencybyagency.com" TargetMode="External"/><Relationship Id="rId2330" Type="http://schemas.openxmlformats.org/officeDocument/2006/relationships/hyperlink" Target="http://ogilvy.com" TargetMode="External"/><Relationship Id="rId653" Type="http://schemas.openxmlformats.org/officeDocument/2006/relationships/hyperlink" Target="http://originmediameasurement.com" TargetMode="External"/><Relationship Id="rId1000" Type="http://schemas.openxmlformats.org/officeDocument/2006/relationships/hyperlink" Target="https://growth-labs.co.uk/best-uk-digital-marketing-agencies-2026/" TargetMode="External"/><Relationship Id="rId1484" Type="http://schemas.openxmlformats.org/officeDocument/2006/relationships/hyperlink" Target="https://agencybyagency.com/atlas/" TargetMode="External"/><Relationship Id="rId2331" Type="http://schemas.openxmlformats.org/officeDocument/2006/relationships/hyperlink" Target="https://www.omnibound.ai/blog/first-party-data-statistics" TargetMode="External"/><Relationship Id="rId652" Type="http://schemas.openxmlformats.org/officeDocument/2006/relationships/hyperlink" Target="https://originmediameasurement.com/" TargetMode="External"/><Relationship Id="rId1001" Type="http://schemas.openxmlformats.org/officeDocument/2006/relationships/hyperlink" Target="http://growth-labs.co.uk" TargetMode="External"/><Relationship Id="rId1485" Type="http://schemas.openxmlformats.org/officeDocument/2006/relationships/hyperlink" Target="http://agencybyagency.com" TargetMode="External"/><Relationship Id="rId2332" Type="http://schemas.openxmlformats.org/officeDocument/2006/relationships/hyperlink" Target="http://omnibound.ai" TargetMode="External"/><Relationship Id="rId651" Type="http://schemas.openxmlformats.org/officeDocument/2006/relationships/hyperlink" Target="http://neuraladx.com" TargetMode="External"/><Relationship Id="rId1002" Type="http://schemas.openxmlformats.org/officeDocument/2006/relationships/hyperlink" Target="https://www.happyhourproductions.co.uk/insights/top-creative-agencies-2026" TargetMode="External"/><Relationship Id="rId1486" Type="http://schemas.openxmlformats.org/officeDocument/2006/relationships/hyperlink" Target="https://agencylocator.io/r-ga-vs-accenture-interactive" TargetMode="External"/><Relationship Id="rId2333" Type="http://schemas.openxmlformats.org/officeDocument/2006/relationships/hyperlink" Target="https://omnicommedia.com/uk/omnicom-consultancy-trkkn-launches-in-uk/" TargetMode="External"/><Relationship Id="rId650" Type="http://schemas.openxmlformats.org/officeDocument/2006/relationships/hyperlink" Target="https://neuraladx.com/top-5-geo-agencies-uk-2026-review/" TargetMode="External"/><Relationship Id="rId1003" Type="http://schemas.openxmlformats.org/officeDocument/2006/relationships/hyperlink" Target="http://happyhourproductions.co.uk" TargetMode="External"/><Relationship Id="rId1487" Type="http://schemas.openxmlformats.org/officeDocument/2006/relationships/hyperlink" Target="http://agencylocator.io" TargetMode="External"/><Relationship Id="rId2334" Type="http://schemas.openxmlformats.org/officeDocument/2006/relationships/hyperlink" Target="http://omnicommedia.com" TargetMode="External"/><Relationship Id="rId1037" Type="http://schemas.openxmlformats.org/officeDocument/2006/relationships/hyperlink" Target="https://www.pentagram.com/" TargetMode="External"/><Relationship Id="rId2368" Type="http://schemas.openxmlformats.org/officeDocument/2006/relationships/hyperlink" Target="https://passion.digital/" TargetMode="External"/><Relationship Id="rId1038" Type="http://schemas.openxmlformats.org/officeDocument/2006/relationships/hyperlink" Target="http://pentagram.com" TargetMode="External"/><Relationship Id="rId2369" Type="http://schemas.openxmlformats.org/officeDocument/2006/relationships/hyperlink" Target="https://pearllemon.com/top-performance-marketing-agencies-uk-2/" TargetMode="External"/><Relationship Id="rId1039" Type="http://schemas.openxmlformats.org/officeDocument/2006/relationships/hyperlink" Target="https://www.rank4ai.co.uk/research/rankings/best-ai-search-agencies-uk/" TargetMode="External"/><Relationship Id="rId206" Type="http://schemas.openxmlformats.org/officeDocument/2006/relationships/hyperlink" Target="http://found.co.uk" TargetMode="External"/><Relationship Id="rId205" Type="http://schemas.openxmlformats.org/officeDocument/2006/relationships/hyperlink" Target="https://www.found.co.uk/services/seo/ai-seo/aeo/" TargetMode="External"/><Relationship Id="rId689" Type="http://schemas.openxmlformats.org/officeDocument/2006/relationships/hyperlink" Target="http://ey.com" TargetMode="External"/><Relationship Id="rId204" Type="http://schemas.openxmlformats.org/officeDocument/2006/relationships/hyperlink" Target="http://edisonmoment.com" TargetMode="External"/><Relationship Id="rId688" Type="http://schemas.openxmlformats.org/officeDocument/2006/relationships/hyperlink" Target="https://www.ey.com/en_uk/services/consulting/ai-adoption" TargetMode="External"/><Relationship Id="rId203" Type="http://schemas.openxmlformats.org/officeDocument/2006/relationships/hyperlink" Target="https://edisonmoment.com/agency/best/performance-marketing-agency-united-kingdom" TargetMode="External"/><Relationship Id="rId687" Type="http://schemas.openxmlformats.org/officeDocument/2006/relationships/hyperlink" Target="http://elevateai.co.uk" TargetMode="External"/><Relationship Id="rId209" Type="http://schemas.openxmlformats.org/officeDocument/2006/relationships/hyperlink" Target="http://seocompare.co.uk" TargetMode="External"/><Relationship Id="rId208" Type="http://schemas.openxmlformats.org/officeDocument/2006/relationships/hyperlink" Target="https://seocompare.co.uk/best-geo-agencies-uk/" TargetMode="External"/><Relationship Id="rId207" Type="http://schemas.openxmlformats.org/officeDocument/2006/relationships/hyperlink" Target="https://inbeat.agency/blog/top-digital-marketing-agencies-in-the-uk" TargetMode="External"/><Relationship Id="rId682" Type="http://schemas.openxmlformats.org/officeDocument/2006/relationships/hyperlink" Target="https://clutch.co/agencies/ppc/display" TargetMode="External"/><Relationship Id="rId2360" Type="http://schemas.openxmlformats.org/officeDocument/2006/relationships/hyperlink" Target="http://panovistamarketing.com" TargetMode="External"/><Relationship Id="rId681" Type="http://schemas.openxmlformats.org/officeDocument/2006/relationships/hyperlink" Target="http://bluearray.co.uk" TargetMode="External"/><Relationship Id="rId1030" Type="http://schemas.openxmlformats.org/officeDocument/2006/relationships/hyperlink" Target="http://onelittleweb.com" TargetMode="External"/><Relationship Id="rId2361" Type="http://schemas.openxmlformats.org/officeDocument/2006/relationships/hyperlink" Target="https://www.pario.agency/" TargetMode="External"/><Relationship Id="rId680" Type="http://schemas.openxmlformats.org/officeDocument/2006/relationships/hyperlink" Target="https://www.bluearray.co.uk/agency-directory/best-google-analytics-agencies-in-the-uk/" TargetMode="External"/><Relationship Id="rId1031" Type="http://schemas.openxmlformats.org/officeDocument/2006/relationships/hyperlink" Target="https://oxdpr.com/creative-strategy-agencies/" TargetMode="External"/><Relationship Id="rId2362"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1032" Type="http://schemas.openxmlformats.org/officeDocument/2006/relationships/hyperlink" Target="http://oxdpr.com" TargetMode="External"/><Relationship Id="rId2363" Type="http://schemas.openxmlformats.org/officeDocument/2006/relationships/hyperlink" Target="http://withgoogle.com" TargetMode="External"/><Relationship Id="rId202" Type="http://schemas.openxmlformats.org/officeDocument/2006/relationships/hyperlink" Target="http://bluearray.co.uk" TargetMode="External"/><Relationship Id="rId686" Type="http://schemas.openxmlformats.org/officeDocument/2006/relationships/hyperlink" Target="https://www.elevateai.co.uk/blog/ai-automation-agencies-uk-2026" TargetMode="External"/><Relationship Id="rId1033" Type="http://schemas.openxmlformats.org/officeDocument/2006/relationships/hyperlink" Target="https://peak-agency.co.uk/" TargetMode="External"/><Relationship Id="rId2364"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01" Type="http://schemas.openxmlformats.org/officeDocument/2006/relationships/hyperlink" Target="https://www.bluearray.co.uk/agency-directory/best-generative-engine-optimisation-geo-agencies-in-the-uk/" TargetMode="External"/><Relationship Id="rId685" Type="http://schemas.openxmlformats.org/officeDocument/2006/relationships/hyperlink" Target="http://copilot-experts.com" TargetMode="External"/><Relationship Id="rId1034" Type="http://schemas.openxmlformats.org/officeDocument/2006/relationships/hyperlink" Target="http://peak-agency.co.uk" TargetMode="External"/><Relationship Id="rId2365" Type="http://schemas.openxmlformats.org/officeDocument/2006/relationships/hyperlink" Target="http://withgoogle.com" TargetMode="External"/><Relationship Id="rId200" Type="http://schemas.openxmlformats.org/officeDocument/2006/relationships/hyperlink" Target="http://51d.co" TargetMode="External"/><Relationship Id="rId684" Type="http://schemas.openxmlformats.org/officeDocument/2006/relationships/hyperlink" Target="https://copilot-experts.com/top-ai-consulting-firm/" TargetMode="External"/><Relationship Id="rId1035" Type="http://schemas.openxmlformats.org/officeDocument/2006/relationships/hyperlink" Target="https://pearllemon.com/top-performance-marketing-agencies-uk/" TargetMode="External"/><Relationship Id="rId2366" Type="http://schemas.openxmlformats.org/officeDocument/2006/relationships/hyperlink" Target="https://partnersdirectory.withgoogle.com/?authuser=0&amp;gad_source=1&amp;mcsubid=gb-en-max-mc-pr-c-max%21o3&amp;premier=true&amp;subid=uk-en-awhp-g-aw-m-par-w-hero-bgc%21o2" TargetMode="External"/><Relationship Id="rId683" Type="http://schemas.openxmlformats.org/officeDocument/2006/relationships/hyperlink" Target="http://clutch.co" TargetMode="External"/><Relationship Id="rId1036" Type="http://schemas.openxmlformats.org/officeDocument/2006/relationships/hyperlink" Target="http://pearllemon.com" TargetMode="External"/><Relationship Id="rId2367" Type="http://schemas.openxmlformats.org/officeDocument/2006/relationships/hyperlink" Target="http://withgoogle.com" TargetMode="External"/><Relationship Id="rId1026" Type="http://schemas.openxmlformats.org/officeDocument/2006/relationships/hyperlink" Target="https://www.munro.agency/best-ai-seo-agencies-in-the-uk/" TargetMode="External"/><Relationship Id="rId2357" Type="http://schemas.openxmlformats.org/officeDocument/2006/relationships/hyperlink" Target="https://www.panovistamarketing.com/blog/ai-local-seo-agency" TargetMode="External"/><Relationship Id="rId1027" Type="http://schemas.openxmlformats.org/officeDocument/2006/relationships/hyperlink" Target="https://neuraladx.com/best-ai-search-optimisation-agency-saas-companies-uk/" TargetMode="External"/><Relationship Id="rId2358" Type="http://schemas.openxmlformats.org/officeDocument/2006/relationships/hyperlink" Target="http://panovistamarketing.com" TargetMode="External"/><Relationship Id="rId1028" Type="http://schemas.openxmlformats.org/officeDocument/2006/relationships/hyperlink" Target="http://neuraladx.com" TargetMode="External"/><Relationship Id="rId2359" Type="http://schemas.openxmlformats.org/officeDocument/2006/relationships/hyperlink" Target="https://www.panovistamarketing.com/blog/best-seo-company-uk" TargetMode="External"/><Relationship Id="rId1029" Type="http://schemas.openxmlformats.org/officeDocument/2006/relationships/hyperlink" Target="https://onelittleweb.com/top-agencies/top-performance-marketing-agencies/" TargetMode="External"/><Relationship Id="rId679" Type="http://schemas.openxmlformats.org/officeDocument/2006/relationships/hyperlink" Target="http://semrush.com" TargetMode="External"/><Relationship Id="rId678" Type="http://schemas.openxmlformats.org/officeDocument/2006/relationships/hyperlink" Target="https://agencies.semrush.com/list/analytics-data-science/business-professional-services/united-kingdom/" TargetMode="External"/><Relationship Id="rId677" Type="http://schemas.openxmlformats.org/officeDocument/2006/relationships/hyperlink" Target="http://semrush.com" TargetMode="External"/><Relationship Id="rId676" Type="http://schemas.openxmlformats.org/officeDocument/2006/relationships/hyperlink" Target="https://agencies.semrush.com/list/ai-optimization/united-kingdom/enterprise-business/" TargetMode="External"/><Relationship Id="rId671" Type="http://schemas.openxmlformats.org/officeDocument/2006/relationships/hyperlink" Target="http://weframetech.com" TargetMode="External"/><Relationship Id="rId670" Type="http://schemas.openxmlformats.org/officeDocument/2006/relationships/hyperlink" Target="https://weframetech.com/blog/top-ai-marketing-agencies-in-london-2026-for-growth" TargetMode="External"/><Relationship Id="rId2350" Type="http://schemas.openxmlformats.org/officeDocument/2006/relationships/hyperlink" Target="http://osmos.ai" TargetMode="External"/><Relationship Id="rId1020" Type="http://schemas.openxmlformats.org/officeDocument/2006/relationships/hyperlink" Target="https://marketingplatform.google.com/intl/en_uk/about/contact-us/" TargetMode="External"/><Relationship Id="rId2351" Type="http://schemas.openxmlformats.org/officeDocument/2006/relationships/hyperlink" Target="https://www.ourdigitalteam.com/google-partner-agency/" TargetMode="External"/><Relationship Id="rId1021" Type="http://schemas.openxmlformats.org/officeDocument/2006/relationships/hyperlink" Target="http://google.com" TargetMode="External"/><Relationship Id="rId2352" Type="http://schemas.openxmlformats.org/officeDocument/2006/relationships/hyperlink" Target="http://ourdigitalteam.com" TargetMode="External"/><Relationship Id="rId675" Type="http://schemas.openxmlformats.org/officeDocument/2006/relationships/hyperlink" Target="http://aeodirectory.com" TargetMode="External"/><Relationship Id="rId1022" Type="http://schemas.openxmlformats.org/officeDocument/2006/relationships/hyperlink" Target="https://www.mida.so/cro-agency/service/a-b-testing" TargetMode="External"/><Relationship Id="rId2353" Type="http://schemas.openxmlformats.org/officeDocument/2006/relationships/hyperlink" Target="https://outreachz.com/blog/best-ai-marketing-agencies-2026/" TargetMode="External"/><Relationship Id="rId674" Type="http://schemas.openxmlformats.org/officeDocument/2006/relationships/hyperlink" Target="https://www.aeodirectory.com/aeo/search/?country=United+Kingdom&amp;page=7" TargetMode="External"/><Relationship Id="rId1023" Type="http://schemas.openxmlformats.org/officeDocument/2006/relationships/hyperlink" Target="http://mida.so" TargetMode="External"/><Relationship Id="rId2354" Type="http://schemas.openxmlformats.org/officeDocument/2006/relationships/hyperlink" Target="http://outreachz.com" TargetMode="External"/><Relationship Id="rId673" Type="http://schemas.openxmlformats.org/officeDocument/2006/relationships/hyperlink" Target="http://wmtips.com" TargetMode="External"/><Relationship Id="rId1024" Type="http://schemas.openxmlformats.org/officeDocument/2006/relationships/hyperlink" Target="https://www.modernmarketingpartners.com/2026/05/06/7-recommended-aeo-geo-agencies-for-ecommerce-brands/" TargetMode="External"/><Relationship Id="rId2355" Type="http://schemas.openxmlformats.org/officeDocument/2006/relationships/hyperlink" Target="https://www.panorama-consulting.com/services/ai-readiness-and-enablement-service-offering/" TargetMode="External"/><Relationship Id="rId672" Type="http://schemas.openxmlformats.org/officeDocument/2006/relationships/hyperlink" Target="https://www.wmtips.com/technologies/marketing-attribution/country/gb/" TargetMode="External"/><Relationship Id="rId1025" Type="http://schemas.openxmlformats.org/officeDocument/2006/relationships/hyperlink" Target="http://modernmarketingpartners.com" TargetMode="External"/><Relationship Id="rId2356" Type="http://schemas.openxmlformats.org/officeDocument/2006/relationships/hyperlink" Target="http://panorama-consulting.com" TargetMode="External"/><Relationship Id="rId190" Type="http://schemas.openxmlformats.org/officeDocument/2006/relationships/hyperlink" Target="http://sellforte.com" TargetMode="External"/><Relationship Id="rId194" Type="http://schemas.openxmlformats.org/officeDocument/2006/relationships/hyperlink" Target="http://superhub.biz" TargetMode="External"/><Relationship Id="rId193" Type="http://schemas.openxmlformats.org/officeDocument/2006/relationships/hyperlink" Target="https://www.superhub.biz/top-19-social-media-marketing-agencies-uk-2026" TargetMode="External"/><Relationship Id="rId192" Type="http://schemas.openxmlformats.org/officeDocument/2006/relationships/hyperlink" Target="http://slashdot.org" TargetMode="External"/><Relationship Id="rId191" Type="http://schemas.openxmlformats.org/officeDocument/2006/relationships/hyperlink" Target="https://slashdot.org/software/incrementality-testing/in-uk/" TargetMode="External"/><Relationship Id="rId187" Type="http://schemas.openxmlformats.org/officeDocument/2006/relationships/hyperlink" Target="https://helium42.com/blog/ai-consultancy-uk-guide" TargetMode="External"/><Relationship Id="rId186" Type="http://schemas.openxmlformats.org/officeDocument/2006/relationships/hyperlink" Target="http://goodfirms.co" TargetMode="External"/><Relationship Id="rId185" Type="http://schemas.openxmlformats.org/officeDocument/2006/relationships/hyperlink" Target="https://www.goodfirms.co/directory/country/top-digital-marketing-companies/gb" TargetMode="External"/><Relationship Id="rId184" Type="http://schemas.openxmlformats.org/officeDocument/2006/relationships/hyperlink" Target="http://clutch.co" TargetMode="External"/><Relationship Id="rId189" Type="http://schemas.openxmlformats.org/officeDocument/2006/relationships/hyperlink" Target="https://sellforte.com/blog/best-incrementality-testing-tools" TargetMode="External"/><Relationship Id="rId188" Type="http://schemas.openxmlformats.org/officeDocument/2006/relationships/hyperlink" Target="http://helium42.com" TargetMode="External"/><Relationship Id="rId183" Type="http://schemas.openxmlformats.org/officeDocument/2006/relationships/hyperlink" Target="https://clutch.co/agencies/social-media-marketing/uk" TargetMode="External"/><Relationship Id="rId182" Type="http://schemas.openxmlformats.org/officeDocument/2006/relationships/hyperlink" Target="http://clutch.co" TargetMode="External"/><Relationship Id="rId181" Type="http://schemas.openxmlformats.org/officeDocument/2006/relationships/hyperlink" Target="https://clutch.co/agencies/ppc/display/uk" TargetMode="External"/><Relationship Id="rId180" Type="http://schemas.openxmlformats.org/officeDocument/2006/relationships/hyperlink" Target="http://sortlist.co.uk" TargetMode="External"/><Relationship Id="rId176" Type="http://schemas.openxmlformats.org/officeDocument/2006/relationships/hyperlink" Target="http://koozai.com" TargetMode="External"/><Relationship Id="rId175" Type="http://schemas.openxmlformats.org/officeDocument/2006/relationships/hyperlink" Target="https://www.koozai.com/blog/marketing-strategy/top-28-digital-marketing-agencies-in-the-uk/" TargetMode="External"/><Relationship Id="rId174" Type="http://schemas.openxmlformats.org/officeDocument/2006/relationships/hyperlink" Target="http://digitalagencynetwork.com" TargetMode="External"/><Relationship Id="rId173" Type="http://schemas.openxmlformats.org/officeDocument/2006/relationships/hyperlink" Target="https://digitalagencynetwork.com/agencies/uk/geo/" TargetMode="External"/><Relationship Id="rId179" Type="http://schemas.openxmlformats.org/officeDocument/2006/relationships/hyperlink" Target="https://www.sortlist.co.uk/s/performance-marketing/united-kingdom-gb" TargetMode="External"/><Relationship Id="rId178" Type="http://schemas.openxmlformats.org/officeDocument/2006/relationships/hyperlink" Target="http://sbc-performance.com" TargetMode="External"/><Relationship Id="rId177" Type="http://schemas.openxmlformats.org/officeDocument/2006/relationships/hyperlink" Target="https://sbc-performance.com/blog/best-paid-social-media-agencies-uk/" TargetMode="External"/><Relationship Id="rId1910" Type="http://schemas.openxmlformats.org/officeDocument/2006/relationships/hyperlink" Target="https://www.fibbler.co/blog/b2b-marketing-attribution-software" TargetMode="External"/><Relationship Id="rId1911" Type="http://schemas.openxmlformats.org/officeDocument/2006/relationships/hyperlink" Target="http://fibbler.co" TargetMode="External"/><Relationship Id="rId1912" Type="http://schemas.openxmlformats.org/officeDocument/2006/relationships/hyperlink" Target="https://fibr.ai/geo/best-generative-engine-optimization-brands-for-ai" TargetMode="External"/><Relationship Id="rId1913" Type="http://schemas.openxmlformats.org/officeDocument/2006/relationships/hyperlink" Target="http://fibr.ai" TargetMode="External"/><Relationship Id="rId1914" Type="http://schemas.openxmlformats.org/officeDocument/2006/relationships/hyperlink" Target="https://www.fieldtrip.agency/post/best-creative-agencies-for-global-brands" TargetMode="External"/><Relationship Id="rId1915" Type="http://schemas.openxmlformats.org/officeDocument/2006/relationships/hyperlink" Target="https://www.fifty-five.com/tea-house/incrementality-testing-marketing" TargetMode="External"/><Relationship Id="rId1916" Type="http://schemas.openxmlformats.org/officeDocument/2006/relationships/hyperlink" Target="http://fifty-five.com" TargetMode="External"/><Relationship Id="rId1917" Type="http://schemas.openxmlformats.org/officeDocument/2006/relationships/hyperlink" Target="https://www.finnpartners.com/uk/service/digital-marketing/" TargetMode="External"/><Relationship Id="rId1918" Type="http://schemas.openxmlformats.org/officeDocument/2006/relationships/hyperlink" Target="http://finnpartners.com" TargetMode="External"/><Relationship Id="rId1919" Type="http://schemas.openxmlformats.org/officeDocument/2006/relationships/hyperlink" Target="https://firstmotion.com/generative-engine-optimisation-agency" TargetMode="External"/><Relationship Id="rId1900" Type="http://schemas.openxmlformats.org/officeDocument/2006/relationships/hyperlink" Target="https://exposureninja.com/blog/best-ai-search-optimisation-agencies/" TargetMode="External"/><Relationship Id="rId1901" Type="http://schemas.openxmlformats.org/officeDocument/2006/relationships/hyperlink" Target="http://exposureninja.com" TargetMode="External"/><Relationship Id="rId1902" Type="http://schemas.openxmlformats.org/officeDocument/2006/relationships/hyperlink" Target="https://www.extradigital.co.uk/ppc/" TargetMode="External"/><Relationship Id="rId1903" Type="http://schemas.openxmlformats.org/officeDocument/2006/relationships/hyperlink" Target="http://extradigital.co.uk" TargetMode="External"/><Relationship Id="rId1904" Type="http://schemas.openxmlformats.org/officeDocument/2006/relationships/hyperlink" Target="https://extraordinaryengagement.co.uk/what-are-the-big-four-creative-agencies/" TargetMode="External"/><Relationship Id="rId1905" Type="http://schemas.openxmlformats.org/officeDocument/2006/relationships/hyperlink" Target="http://extraordinaryengagement.co.uk" TargetMode="External"/><Relationship Id="rId1906" Type="http://schemas.openxmlformats.org/officeDocument/2006/relationships/hyperlink" Target="https://www.f6s.com/software/category/first-party-data-activation" TargetMode="External"/><Relationship Id="rId1907" Type="http://schemas.openxmlformats.org/officeDocument/2006/relationships/hyperlink" Target="http://f6s.com" TargetMode="External"/><Relationship Id="rId1908" Type="http://schemas.openxmlformats.org/officeDocument/2006/relationships/hyperlink" Target="https://factoryjet.com/blog/best-seo-agencies-uk" TargetMode="External"/><Relationship Id="rId1909" Type="http://schemas.openxmlformats.org/officeDocument/2006/relationships/hyperlink" Target="http://factoryjet.com" TargetMode="External"/><Relationship Id="rId198" Type="http://schemas.openxmlformats.org/officeDocument/2006/relationships/hyperlink" Target="http://wearesocial.com" TargetMode="External"/><Relationship Id="rId197" Type="http://schemas.openxmlformats.org/officeDocument/2006/relationships/hyperlink" Target="https://wearesocial.com/uk/" TargetMode="External"/><Relationship Id="rId196" Type="http://schemas.openxmlformats.org/officeDocument/2006/relationships/hyperlink" Target="http://google.com" TargetMode="External"/><Relationship Id="rId195" Type="http://schemas.openxmlformats.org/officeDocument/2006/relationships/hyperlink" Target="https://support.google.com/analytics/answer/7237700?hl=en" TargetMode="External"/><Relationship Id="rId199" Type="http://schemas.openxmlformats.org/officeDocument/2006/relationships/hyperlink" Target="https://www.51d.co/top-10-ai-strategy-consultants-in-london-for-2026-a-comprehensive-guide/" TargetMode="External"/><Relationship Id="rId150" Type="http://schemas.openxmlformats.org/officeDocument/2006/relationships/hyperlink" Target="http://found.co.uk" TargetMode="External"/><Relationship Id="rId149" Type="http://schemas.openxmlformats.org/officeDocument/2006/relationships/hyperlink" Target="https://www.found.co.uk/" TargetMode="External"/><Relationship Id="rId148" Type="http://schemas.openxmlformats.org/officeDocument/2006/relationships/hyperlink" Target="http://digitalagencynetwork.com" TargetMode="External"/><Relationship Id="rId1090" Type="http://schemas.openxmlformats.org/officeDocument/2006/relationships/hyperlink" Target="http://10seos.com" TargetMode="External"/><Relationship Id="rId1091" Type="http://schemas.openxmlformats.org/officeDocument/2006/relationships/hyperlink" Target="https://www.abbacustechnologies.com/top-ecommerce-development-companies-in-the-uk/" TargetMode="External"/><Relationship Id="rId1092" Type="http://schemas.openxmlformats.org/officeDocument/2006/relationships/hyperlink" Target="http://abbacustechnologies.com" TargetMode="External"/><Relationship Id="rId1093" Type="http://schemas.openxmlformats.org/officeDocument/2006/relationships/hyperlink" Target="https://www.acxiom.co.uk/data-analytics-strategy/campaign-measurement/" TargetMode="External"/><Relationship Id="rId1094" Type="http://schemas.openxmlformats.org/officeDocument/2006/relationships/hyperlink" Target="http://acxiom.co.uk" TargetMode="External"/><Relationship Id="rId143" Type="http://schemas.openxmlformats.org/officeDocument/2006/relationships/hyperlink" Target="https://agencies.semrush.com/list/display-advertising/london-city/" TargetMode="External"/><Relationship Id="rId1095" Type="http://schemas.openxmlformats.org/officeDocument/2006/relationships/hyperlink" Target="https://www.adnomics.co.uk/" TargetMode="External"/><Relationship Id="rId142" Type="http://schemas.openxmlformats.org/officeDocument/2006/relationships/hyperlink" Target="http://semrush.com" TargetMode="External"/><Relationship Id="rId1096" Type="http://schemas.openxmlformats.org/officeDocument/2006/relationships/hyperlink" Target="http://adnomics.co.uk" TargetMode="External"/><Relationship Id="rId141" Type="http://schemas.openxmlformats.org/officeDocument/2006/relationships/hyperlink" Target="https://agencies.semrush.com/list/ai-optimization/united-kingdom/" TargetMode="External"/><Relationship Id="rId1097" Type="http://schemas.openxmlformats.org/officeDocument/2006/relationships/hyperlink" Target="https://aeoagency.co.uk/" TargetMode="External"/><Relationship Id="rId140" Type="http://schemas.openxmlformats.org/officeDocument/2006/relationships/hyperlink" Target="http://semrush.com" TargetMode="External"/><Relationship Id="rId1098" Type="http://schemas.openxmlformats.org/officeDocument/2006/relationships/hyperlink" Target="http://aeoagency.co.uk" TargetMode="External"/><Relationship Id="rId147" Type="http://schemas.openxmlformats.org/officeDocument/2006/relationships/hyperlink" Target="https://digitalagencynetwork.com/agencies/uk/creative/" TargetMode="External"/><Relationship Id="rId1099" Type="http://schemas.openxmlformats.org/officeDocument/2006/relationships/hyperlink" Target="https://agencies.semrush.com/list/ai-optimization/london-city/mid-business/" TargetMode="External"/><Relationship Id="rId146" Type="http://schemas.openxmlformats.org/officeDocument/2006/relationships/hyperlink" Target="http://charleagency.com" TargetMode="External"/><Relationship Id="rId145" Type="http://schemas.openxmlformats.org/officeDocument/2006/relationships/hyperlink" Target="https://www.charleagency.com/articles/best-geo-agencies-uk/" TargetMode="External"/><Relationship Id="rId144" Type="http://schemas.openxmlformats.org/officeDocument/2006/relationships/hyperlink" Target="http://semrush.com" TargetMode="External"/><Relationship Id="rId139" Type="http://schemas.openxmlformats.org/officeDocument/2006/relationships/hyperlink" Target="https://agencies.semrush.com/list/ai-optimization/london-city/" TargetMode="External"/><Relationship Id="rId138" Type="http://schemas.openxmlformats.org/officeDocument/2006/relationships/hyperlink" Target="http://wildishandco.co.uk" TargetMode="External"/><Relationship Id="rId137" Type="http://schemas.openxmlformats.org/officeDocument/2006/relationships/hyperlink" Target="https://www.wildishandco.co.uk/blog/best-creative-agencies" TargetMode="External"/><Relationship Id="rId1080" Type="http://schemas.openxmlformats.org/officeDocument/2006/relationships/hyperlink" Target="http://whitehat-seo.co.uk" TargetMode="External"/><Relationship Id="rId1081" Type="http://schemas.openxmlformats.org/officeDocument/2006/relationships/hyperlink" Target="https://www.wowinfotech.co.uk/blog/google-ads-agency-uk" TargetMode="External"/><Relationship Id="rId1082" Type="http://schemas.openxmlformats.org/officeDocument/2006/relationships/hyperlink" Target="http://wowinfotech.co.uk" TargetMode="External"/><Relationship Id="rId1083" Type="http://schemas.openxmlformats.org/officeDocument/2006/relationships/hyperlink" Target="https://www.wsj.com/cio-journal/the-ai-superfans-companies-count-on-to-convert-the-skeptics-5b301a90" TargetMode="External"/><Relationship Id="rId132" Type="http://schemas.openxmlformats.org/officeDocument/2006/relationships/hyperlink" Target="http://eseospace.com" TargetMode="External"/><Relationship Id="rId1084" Type="http://schemas.openxmlformats.org/officeDocument/2006/relationships/hyperlink" Target="http://wsj.com" TargetMode="External"/><Relationship Id="rId131" Type="http://schemas.openxmlformats.org/officeDocument/2006/relationships/hyperlink" Target="https://eseospace.com/blog/best-aeo-agencies-london-2026/" TargetMode="External"/><Relationship Id="rId1085" Type="http://schemas.openxmlformats.org/officeDocument/2006/relationships/hyperlink" Target="https://www.youtube.com/watch?v=5K95qPc0HJs" TargetMode="External"/><Relationship Id="rId130" Type="http://schemas.openxmlformats.org/officeDocument/2006/relationships/hyperlink" Target="http://disruptmarketing.co" TargetMode="External"/><Relationship Id="rId1086" Type="http://schemas.openxmlformats.org/officeDocument/2006/relationships/hyperlink" Target="http://youtube.com" TargetMode="External"/><Relationship Id="rId1087" Type="http://schemas.openxmlformats.org/officeDocument/2006/relationships/hyperlink" Target="https://www.youtube.com/watch?v=fdPFLXFJlwo&amp;t=55" TargetMode="External"/><Relationship Id="rId136" Type="http://schemas.openxmlformats.org/officeDocument/2006/relationships/hyperlink" Target="http://rebootonline.com" TargetMode="External"/><Relationship Id="rId1088" Type="http://schemas.openxmlformats.org/officeDocument/2006/relationships/hyperlink" Target="http://youtube.com" TargetMode="External"/><Relationship Id="rId135" Type="http://schemas.openxmlformats.org/officeDocument/2006/relationships/hyperlink" Target="https://www.rebootonline.com/paid-media/best-paid-media-agencies/" TargetMode="External"/><Relationship Id="rId1089" Type="http://schemas.openxmlformats.org/officeDocument/2006/relationships/hyperlink" Target="https://www.10seos.com/gb/display-advertising-companies-in-uk" TargetMode="External"/><Relationship Id="rId134" Type="http://schemas.openxmlformats.org/officeDocument/2006/relationships/hyperlink" Target="http://found.co.uk" TargetMode="External"/><Relationship Id="rId133" Type="http://schemas.openxmlformats.org/officeDocument/2006/relationships/hyperlink" Target="https://www.found.co.uk/blog/best-aio-ai-optimisation-agencies/" TargetMode="External"/><Relationship Id="rId172" Type="http://schemas.openxmlformats.org/officeDocument/2006/relationships/hyperlink" Target="http://clutch.co" TargetMode="External"/><Relationship Id="rId171" Type="http://schemas.openxmlformats.org/officeDocument/2006/relationships/hyperlink" Target="https://clutch.co/agencies/ppc/uk/england" TargetMode="External"/><Relationship Id="rId170" Type="http://schemas.openxmlformats.org/officeDocument/2006/relationships/hyperlink" Target="http://blazonagency.com" TargetMode="External"/><Relationship Id="rId165" Type="http://schemas.openxmlformats.org/officeDocument/2006/relationships/hyperlink" Target="https://whitehat-seo.co.uk/blog/best-ppc-agencies-uk" TargetMode="External"/><Relationship Id="rId164" Type="http://schemas.openxmlformats.org/officeDocument/2006/relationships/hyperlink" Target="http://wearetenet.com" TargetMode="External"/><Relationship Id="rId163" Type="http://schemas.openxmlformats.org/officeDocument/2006/relationships/hyperlink" Target="https://www.wearetenet.com/blog/ai-seo-agencies-in-london" TargetMode="External"/><Relationship Id="rId162" Type="http://schemas.openxmlformats.org/officeDocument/2006/relationships/hyperlink" Target="http://vxtx.co.uk" TargetMode="External"/><Relationship Id="rId169" Type="http://schemas.openxmlformats.org/officeDocument/2006/relationships/hyperlink" Target="https://blazonagency.com/post/marketing-agency-uk" TargetMode="External"/><Relationship Id="rId168" Type="http://schemas.openxmlformats.org/officeDocument/2006/relationships/hyperlink" Target="http://semrush.com" TargetMode="External"/><Relationship Id="rId167" Type="http://schemas.openxmlformats.org/officeDocument/2006/relationships/hyperlink" Target="https://agencies.semrush.com/list/display-advertising/united-kingdom/enterprise-business/" TargetMode="External"/><Relationship Id="rId166" Type="http://schemas.openxmlformats.org/officeDocument/2006/relationships/hyperlink" Target="http://whitehat-seo.co.uk" TargetMode="External"/><Relationship Id="rId161" Type="http://schemas.openxmlformats.org/officeDocument/2006/relationships/hyperlink" Target="https://www.vxtx.co.uk/blog/what-is-the-best-performance-marketing-agency-in-the-u-k" TargetMode="External"/><Relationship Id="rId160" Type="http://schemas.openxmlformats.org/officeDocument/2006/relationships/hyperlink" Target="http://thatware.co" TargetMode="External"/><Relationship Id="rId159" Type="http://schemas.openxmlformats.org/officeDocument/2006/relationships/hyperlink" Target="https://thatware.co/best-aeo-companies-in-uk/" TargetMode="External"/><Relationship Id="rId154" Type="http://schemas.openxmlformats.org/officeDocument/2006/relationships/hyperlink" Target="https://www.askattest.com/blog/articles/market-research-companies-uk" TargetMode="External"/><Relationship Id="rId153" Type="http://schemas.openxmlformats.org/officeDocument/2006/relationships/hyperlink" Target="http://rank4ai.co.uk" TargetMode="External"/><Relationship Id="rId152" Type="http://schemas.openxmlformats.org/officeDocument/2006/relationships/hyperlink" Target="https://www.rank4ai.co.uk/research/rankings/top-geo-agencies-uk-2026/" TargetMode="External"/><Relationship Id="rId151" Type="http://schemas.openxmlformats.org/officeDocument/2006/relationships/hyperlink" Target="https://passion.digital/blog/the-best-generative-engine-optimisation-agencies-in-the-uk-2026/" TargetMode="External"/><Relationship Id="rId158" Type="http://schemas.openxmlformats.org/officeDocument/2006/relationships/hyperlink" Target="http://propeller.co.uk" TargetMode="External"/><Relationship Id="rId157" Type="http://schemas.openxmlformats.org/officeDocument/2006/relationships/hyperlink" Target="https://www.propeller.co.uk/insights/top-digital-marketing-agencies-uk-2025" TargetMode="External"/><Relationship Id="rId156" Type="http://schemas.openxmlformats.org/officeDocument/2006/relationships/hyperlink" Target="https://pinpoint-media.global/insights/top-5-uk-paid-social-agencies-2026" TargetMode="External"/><Relationship Id="rId155" Type="http://schemas.openxmlformats.org/officeDocument/2006/relationships/hyperlink" Target="http://askattest.com" TargetMode="External"/><Relationship Id="rId1972" Type="http://schemas.openxmlformats.org/officeDocument/2006/relationships/hyperlink" Target="https://www.gartner.com/reviews/market/global-digital-marketing-agencies/vendor/r-ga/product/r-ga-global-digital-marketing-services/alternatives" TargetMode="External"/><Relationship Id="rId1973" Type="http://schemas.openxmlformats.org/officeDocument/2006/relationships/hyperlink" Target="http://gartner.com" TargetMode="External"/><Relationship Id="rId2820" Type="http://schemas.openxmlformats.org/officeDocument/2006/relationships/hyperlink" Target="http://webfx.com" TargetMode="External"/><Relationship Id="rId1974" Type="http://schemas.openxmlformats.org/officeDocument/2006/relationships/hyperlink" Target="https://www.gartner.com/reviews/market/global-digital-marketing-agencies/vendor/r-ga/product/r-ga-global-digital-marketing-services?marketSeoName=global-digital-marketing-agencies&amp;productSeoName=r-ga-global-digital-marketing-services&amp;vendorSeoName=r-ga" TargetMode="External"/><Relationship Id="rId2821" Type="http://schemas.openxmlformats.org/officeDocument/2006/relationships/hyperlink" Target="https://www.webtonic.io/blog/top-creative-performance-agencies" TargetMode="External"/><Relationship Id="rId1975" Type="http://schemas.openxmlformats.org/officeDocument/2006/relationships/hyperlink" Target="http://gartner.com" TargetMode="External"/><Relationship Id="rId2822" Type="http://schemas.openxmlformats.org/officeDocument/2006/relationships/hyperlink" Target="http://webtonic.io" TargetMode="External"/><Relationship Id="rId1976" Type="http://schemas.openxmlformats.org/officeDocument/2006/relationships/hyperlink" Target="https://www.gartner.com/reviews/product/r-ga-global-digital-marketing-services/alternatives" TargetMode="External"/><Relationship Id="rId2823" Type="http://schemas.openxmlformats.org/officeDocument/2006/relationships/hyperlink" Target="https://www.welcometothejungle.com/en/companies/ekimetrics/jobs/marketing-commercial-intern-6-months_london" TargetMode="External"/><Relationship Id="rId1977" Type="http://schemas.openxmlformats.org/officeDocument/2006/relationships/hyperlink" Target="http://gartner.com" TargetMode="External"/><Relationship Id="rId2824" Type="http://schemas.openxmlformats.org/officeDocument/2006/relationships/hyperlink" Target="http://welcometothejungle.com" TargetMode="External"/><Relationship Id="rId1978" Type="http://schemas.openxmlformats.org/officeDocument/2006/relationships/hyperlink" Target="https://www.gen-optima.com/geo/top-generative-ai-search-engine-optimization-agencies-2026/" TargetMode="External"/><Relationship Id="rId2825" Type="http://schemas.openxmlformats.org/officeDocument/2006/relationships/hyperlink" Target="https://www.wested.org/support/ai-readiness-and-integration/" TargetMode="External"/><Relationship Id="rId1979" Type="http://schemas.openxmlformats.org/officeDocument/2006/relationships/hyperlink" Target="http://gen-optima.com" TargetMode="External"/><Relationship Id="rId2826" Type="http://schemas.openxmlformats.org/officeDocument/2006/relationships/hyperlink" Target="http://wested.org" TargetMode="External"/><Relationship Id="rId2827" Type="http://schemas.openxmlformats.org/officeDocument/2006/relationships/hyperlink" Target="https://whitehat-seo.co.uk/blog/ai-impact-on-consulting" TargetMode="External"/><Relationship Id="rId2828" Type="http://schemas.openxmlformats.org/officeDocument/2006/relationships/hyperlink" Target="http://whitehat-seo.co.uk" TargetMode="External"/><Relationship Id="rId2829" Type="http://schemas.openxmlformats.org/officeDocument/2006/relationships/hyperlink" Target="https://whito.co.uk/build/best-uk-resources-ai-search-visibility-aeo/" TargetMode="External"/><Relationship Id="rId1970" Type="http://schemas.openxmlformats.org/officeDocument/2006/relationships/hyperlink" Target="https://www.gartner.com/reviews/market/global-digital-marketing-agencies" TargetMode="External"/><Relationship Id="rId1971" Type="http://schemas.openxmlformats.org/officeDocument/2006/relationships/hyperlink" Target="http://gartner.com" TargetMode="External"/><Relationship Id="rId1961" Type="http://schemas.openxmlformats.org/officeDocument/2006/relationships/hyperlink" Target="https://www.futuresupply.io/" TargetMode="External"/><Relationship Id="rId1962" Type="http://schemas.openxmlformats.org/officeDocument/2006/relationships/hyperlink" Target="http://futuresupply.io" TargetMode="External"/><Relationship Id="rId1963" Type="http://schemas.openxmlformats.org/officeDocument/2006/relationships/hyperlink" Target="https://ga.agency/en/" TargetMode="External"/><Relationship Id="rId2810" Type="http://schemas.openxmlformats.org/officeDocument/2006/relationships/hyperlink" Target="http://weareqry.com" TargetMode="External"/><Relationship Id="rId1964" Type="http://schemas.openxmlformats.org/officeDocument/2006/relationships/hyperlink" Target="https://gaintheory.com/" TargetMode="External"/><Relationship Id="rId2811" Type="http://schemas.openxmlformats.org/officeDocument/2006/relationships/hyperlink" Target="https://www.wearespark.ai/" TargetMode="External"/><Relationship Id="rId1965" Type="http://schemas.openxmlformats.org/officeDocument/2006/relationships/hyperlink" Target="http://gaintheory.com" TargetMode="External"/><Relationship Id="rId2812" Type="http://schemas.openxmlformats.org/officeDocument/2006/relationships/hyperlink" Target="http://wearespark.ai" TargetMode="External"/><Relationship Id="rId1966" Type="http://schemas.openxmlformats.org/officeDocument/2006/relationships/hyperlink" Target="https://www.gambitagency.co.uk/blog/the-best-ppc-agencies" TargetMode="External"/><Relationship Id="rId2813" Type="http://schemas.openxmlformats.org/officeDocument/2006/relationships/hyperlink" Target="https://www.wearetenet.com/uk/growth/ai-seo-services" TargetMode="External"/><Relationship Id="rId1967" Type="http://schemas.openxmlformats.org/officeDocument/2006/relationships/hyperlink" Target="http://gambitagency.co.uk" TargetMode="External"/><Relationship Id="rId2814" Type="http://schemas.openxmlformats.org/officeDocument/2006/relationships/hyperlink" Target="http://wearetenet.com" TargetMode="External"/><Relationship Id="rId1968" Type="http://schemas.openxmlformats.org/officeDocument/2006/relationships/hyperlink" Target="https://www.gambitagency.co.uk/services/paid-search-agency" TargetMode="External"/><Relationship Id="rId2815" Type="http://schemas.openxmlformats.org/officeDocument/2006/relationships/hyperlink" Target="http://www.web-in-a-click.com/index-296.html" TargetMode="External"/><Relationship Id="rId1969" Type="http://schemas.openxmlformats.org/officeDocument/2006/relationships/hyperlink" Target="http://gambitagency.co.uk" TargetMode="External"/><Relationship Id="rId2816" Type="http://schemas.openxmlformats.org/officeDocument/2006/relationships/hyperlink" Target="http://web-in-a-click.com" TargetMode="External"/><Relationship Id="rId2817" Type="http://schemas.openxmlformats.org/officeDocument/2006/relationships/hyperlink" Target="https://webdesignreviews.co.uk/news/best-web-design-agencies-london/" TargetMode="External"/><Relationship Id="rId2818" Type="http://schemas.openxmlformats.org/officeDocument/2006/relationships/hyperlink" Target="http://webdesignreviews.co.uk" TargetMode="External"/><Relationship Id="rId2819" Type="http://schemas.openxmlformats.org/officeDocument/2006/relationships/hyperlink" Target="https://www.webfx.com/blog/ai/best-geo-agencies/" TargetMode="External"/><Relationship Id="rId1960" Type="http://schemas.openxmlformats.org/officeDocument/2006/relationships/hyperlink" Target="http://funnel.io" TargetMode="External"/><Relationship Id="rId1510" Type="http://schemas.openxmlformats.org/officeDocument/2006/relationships/hyperlink" Target="https://ality.co.uk/" TargetMode="External"/><Relationship Id="rId1994" Type="http://schemas.openxmlformats.org/officeDocument/2006/relationships/hyperlink" Target="https://www.goodfirms.co/advertising-companies/creative" TargetMode="External"/><Relationship Id="rId2841" Type="http://schemas.openxmlformats.org/officeDocument/2006/relationships/hyperlink" Target="https://worldmetrics.org/service/data-marketing/" TargetMode="External"/><Relationship Id="rId1511" Type="http://schemas.openxmlformats.org/officeDocument/2006/relationships/hyperlink" Target="http://ality.co.uk" TargetMode="External"/><Relationship Id="rId1995" Type="http://schemas.openxmlformats.org/officeDocument/2006/relationships/hyperlink" Target="http://goodfirms.co" TargetMode="External"/><Relationship Id="rId2842" Type="http://schemas.openxmlformats.org/officeDocument/2006/relationships/hyperlink" Target="http://worldmetrics.org" TargetMode="External"/><Relationship Id="rId1512" Type="http://schemas.openxmlformats.org/officeDocument/2006/relationships/hyperlink" Target="https://altorise.com/hub/content-marketing-agency-in-london/" TargetMode="External"/><Relationship Id="rId1996" Type="http://schemas.openxmlformats.org/officeDocument/2006/relationships/hyperlink" Target="https://www.goodfirms.co/advertising-companies/creative/uk?sort_by=reviews" TargetMode="External"/><Relationship Id="rId2843" Type="http://schemas.openxmlformats.org/officeDocument/2006/relationships/hyperlink" Target="https://www.wpp.com/en/about/our-company" TargetMode="External"/><Relationship Id="rId1513" Type="http://schemas.openxmlformats.org/officeDocument/2006/relationships/hyperlink" Target="http://altorise.com" TargetMode="External"/><Relationship Id="rId1997" Type="http://schemas.openxmlformats.org/officeDocument/2006/relationships/hyperlink" Target="http://goodfirms.co" TargetMode="External"/><Relationship Id="rId2844" Type="http://schemas.openxmlformats.org/officeDocument/2006/relationships/hyperlink" Target="http://wpp.com" TargetMode="External"/><Relationship Id="rId1514" Type="http://schemas.openxmlformats.org/officeDocument/2006/relationships/hyperlink" Target="https://amplitude.com/explore/digital-marketing/marketing-attribution-guide" TargetMode="External"/><Relationship Id="rId1998" Type="http://schemas.openxmlformats.org/officeDocument/2006/relationships/hyperlink" Target="https://www.goodfirms.co/advertising-companies/programmatic" TargetMode="External"/><Relationship Id="rId2845" Type="http://schemas.openxmlformats.org/officeDocument/2006/relationships/hyperlink" Target="https://www.wpp.com/en/news/2025/03/wpp-claims-top-honours-on-the-warc-creative-100" TargetMode="External"/><Relationship Id="rId1515" Type="http://schemas.openxmlformats.org/officeDocument/2006/relationships/hyperlink" Target="http://amplitude.com" TargetMode="External"/><Relationship Id="rId1999" Type="http://schemas.openxmlformats.org/officeDocument/2006/relationships/hyperlink" Target="http://goodfirms.co" TargetMode="External"/><Relationship Id="rId2846" Type="http://schemas.openxmlformats.org/officeDocument/2006/relationships/hyperlink" Target="http://wpp.com" TargetMode="External"/><Relationship Id="rId1516" Type="http://schemas.openxmlformats.org/officeDocument/2006/relationships/hyperlink" Target="https://www.amraandelma.com/influencer-growth-agencies-in-the-us/" TargetMode="External"/><Relationship Id="rId2847" Type="http://schemas.openxmlformats.org/officeDocument/2006/relationships/hyperlink" Target="https://www.wpp.com/en/news/2025/06/wpp-wins-creative-company-of-the-year-at-cannes-lions-2025" TargetMode="External"/><Relationship Id="rId1517" Type="http://schemas.openxmlformats.org/officeDocument/2006/relationships/hyperlink" Target="http://amraandelma.com" TargetMode="External"/><Relationship Id="rId2848" Type="http://schemas.openxmlformats.org/officeDocument/2006/relationships/hyperlink" Target="http://wpp.com" TargetMode="External"/><Relationship Id="rId1518" Type="http://schemas.openxmlformats.org/officeDocument/2006/relationships/hyperlink" Target="https://www.amraandelma.com/sports-social-media-management-agencies/" TargetMode="External"/><Relationship Id="rId2849" Type="http://schemas.openxmlformats.org/officeDocument/2006/relationships/hyperlink" Target="https://www.wpp.com/en/news/2026/03/wpp-claims-top-spot-on-warc-creative-100-for-fourth-consecutive-year" TargetMode="External"/><Relationship Id="rId1519" Type="http://schemas.openxmlformats.org/officeDocument/2006/relationships/hyperlink" Target="http://amraandelma.com" TargetMode="External"/><Relationship Id="rId1990" Type="http://schemas.openxmlformats.org/officeDocument/2006/relationships/hyperlink" Target="https://ginitalent.com/top-10-creative-agencies-in-the-uk-2025-guide/" TargetMode="External"/><Relationship Id="rId1991" Type="http://schemas.openxmlformats.org/officeDocument/2006/relationships/hyperlink" Target="http://ginitalent.com" TargetMode="External"/><Relationship Id="rId1992" Type="http://schemas.openxmlformats.org/officeDocument/2006/relationships/hyperlink" Target="https://www.gohighlevel.com/post/the-ai-ready-agency-what-the-top-5-are-doing-differently" TargetMode="External"/><Relationship Id="rId1993" Type="http://schemas.openxmlformats.org/officeDocument/2006/relationships/hyperlink" Target="http://gohighlevel.com" TargetMode="External"/><Relationship Id="rId2840" Type="http://schemas.openxmlformats.org/officeDocument/2006/relationships/hyperlink" Target="http://worldmetrics.org" TargetMode="External"/><Relationship Id="rId1983" Type="http://schemas.openxmlformats.org/officeDocument/2006/relationships/hyperlink" Target="http://get-found.co.uk" TargetMode="External"/><Relationship Id="rId2830" Type="http://schemas.openxmlformats.org/officeDocument/2006/relationships/hyperlink" Target="http://whito.co.uk" TargetMode="External"/><Relationship Id="rId1500" Type="http://schemas.openxmlformats.org/officeDocument/2006/relationships/hyperlink" Target="https://aiblmedia.com/posts/ai-readiness-assessment/" TargetMode="External"/><Relationship Id="rId1984" Type="http://schemas.openxmlformats.org/officeDocument/2006/relationships/hyperlink" Target="https://getrecast.com/" TargetMode="External"/><Relationship Id="rId2831" Type="http://schemas.openxmlformats.org/officeDocument/2006/relationships/hyperlink" Target="https://wifitalents.com/service/ai-adoption/" TargetMode="External"/><Relationship Id="rId1501" Type="http://schemas.openxmlformats.org/officeDocument/2006/relationships/hyperlink" Target="http://aiblmedia.com" TargetMode="External"/><Relationship Id="rId1985" Type="http://schemas.openxmlformats.org/officeDocument/2006/relationships/hyperlink" Target="http://getrecast.com" TargetMode="External"/><Relationship Id="rId2832" Type="http://schemas.openxmlformats.org/officeDocument/2006/relationships/hyperlink" Target="http://wifitalents.com" TargetMode="External"/><Relationship Id="rId1502" Type="http://schemas.openxmlformats.org/officeDocument/2006/relationships/hyperlink" Target="https://aiblmedia.com/practical-ai-insights/research/" TargetMode="External"/><Relationship Id="rId1986" Type="http://schemas.openxmlformats.org/officeDocument/2006/relationships/hyperlink" Target="https://giantleapdigital.co.uk/why-us/" TargetMode="External"/><Relationship Id="rId2833" Type="http://schemas.openxmlformats.org/officeDocument/2006/relationships/hyperlink" Target="https://wishu.io/top-10-creative-agencies-in-the-uk/" TargetMode="External"/><Relationship Id="rId1503" Type="http://schemas.openxmlformats.org/officeDocument/2006/relationships/hyperlink" Target="http://aiblmedia.com" TargetMode="External"/><Relationship Id="rId1987" Type="http://schemas.openxmlformats.org/officeDocument/2006/relationships/hyperlink" Target="http://giantleapdigital.co.uk" TargetMode="External"/><Relationship Id="rId2834" Type="http://schemas.openxmlformats.org/officeDocument/2006/relationships/hyperlink" Target="http://wishu.io" TargetMode="External"/><Relationship Id="rId1504" Type="http://schemas.openxmlformats.org/officeDocument/2006/relationships/hyperlink" Target="https://aigeo360.com/gis-companies-in-uk/" TargetMode="External"/><Relationship Id="rId1988" Type="http://schemas.openxmlformats.org/officeDocument/2006/relationships/hyperlink" Target="https://gigawattgroup.com/insights/best-geo-agencies-in-2026-who-actually-drives-ai-visibility-and-citations/" TargetMode="External"/><Relationship Id="rId2835" Type="http://schemas.openxmlformats.org/officeDocument/2006/relationships/hyperlink" Target="https://workingmedia.com/" TargetMode="External"/><Relationship Id="rId1505" Type="http://schemas.openxmlformats.org/officeDocument/2006/relationships/hyperlink" Target="http://aigeo360.com" TargetMode="External"/><Relationship Id="rId1989" Type="http://schemas.openxmlformats.org/officeDocument/2006/relationships/hyperlink" Target="http://gigawattgroup.com" TargetMode="External"/><Relationship Id="rId2836" Type="http://schemas.openxmlformats.org/officeDocument/2006/relationships/hyperlink" Target="http://workingmedia.com" TargetMode="External"/><Relationship Id="rId1506" Type="http://schemas.openxmlformats.org/officeDocument/2006/relationships/hyperlink" Target="https://www.aimerce.ai/blogs/seo/top-5-incrementality-testing-tools-for-dtc-brands-in-2026" TargetMode="External"/><Relationship Id="rId2837" Type="http://schemas.openxmlformats.org/officeDocument/2006/relationships/hyperlink" Target="https://www.workmagic.io/" TargetMode="External"/><Relationship Id="rId1507" Type="http://schemas.openxmlformats.org/officeDocument/2006/relationships/hyperlink" Target="http://aimerce.ai" TargetMode="External"/><Relationship Id="rId2838" Type="http://schemas.openxmlformats.org/officeDocument/2006/relationships/hyperlink" Target="http://workmagic.io" TargetMode="External"/><Relationship Id="rId1508" Type="http://schemas.openxmlformats.org/officeDocument/2006/relationships/hyperlink" Target="https://alexbirkett.com/digital-pr-agencies/" TargetMode="External"/><Relationship Id="rId2839" Type="http://schemas.openxmlformats.org/officeDocument/2006/relationships/hyperlink" Target="https://worldmetrics.org/service/ai-adoption/" TargetMode="External"/><Relationship Id="rId1509" Type="http://schemas.openxmlformats.org/officeDocument/2006/relationships/hyperlink" Target="http://alexbirkett.com" TargetMode="External"/><Relationship Id="rId1980" Type="http://schemas.openxmlformats.org/officeDocument/2006/relationships/hyperlink" Target="https://www.geniecrawl.com/top-50-seo-agencies-in-the-uk-2026-rankings/" TargetMode="External"/><Relationship Id="rId1981" Type="http://schemas.openxmlformats.org/officeDocument/2006/relationships/hyperlink" Target="http://geniecrawl.com" TargetMode="External"/><Relationship Id="rId1982" Type="http://schemas.openxmlformats.org/officeDocument/2006/relationships/hyperlink" Target="https://get-found.co.uk/services/aeo-agency" TargetMode="External"/><Relationship Id="rId1930" Type="http://schemas.openxmlformats.org/officeDocument/2006/relationships/hyperlink" Target="http://flypix.ai" TargetMode="External"/><Relationship Id="rId1931" Type="http://schemas.openxmlformats.org/officeDocument/2006/relationships/hyperlink" Target="https://flypix.ai/geospatial-companies-in-the-uk/" TargetMode="External"/><Relationship Id="rId1932" Type="http://schemas.openxmlformats.org/officeDocument/2006/relationships/hyperlink" Target="http://flypix.ai" TargetMode="External"/><Relationship Id="rId1933" Type="http://schemas.openxmlformats.org/officeDocument/2006/relationships/hyperlink" Target="https://fntmanagement.com/top-marketing-agencies/" TargetMode="External"/><Relationship Id="rId1934" Type="http://schemas.openxmlformats.org/officeDocument/2006/relationships/hyperlink" Target="http://fntmanagement.com" TargetMode="External"/><Relationship Id="rId1935" Type="http://schemas.openxmlformats.org/officeDocument/2006/relationships/hyperlink" Target="https://forlinux.co.uk/best-ppc-agencies-in-the-uk-for-scalable-advertising-success" TargetMode="External"/><Relationship Id="rId1936" Type="http://schemas.openxmlformats.org/officeDocument/2006/relationships/hyperlink" Target="http://forlinux.co.uk" TargetMode="External"/><Relationship Id="rId1937" Type="http://schemas.openxmlformats.org/officeDocument/2006/relationships/hyperlink" Target="https://www.forrester.com/report/the-forrester-wave-tm-customer-data-strategy-and-activation-services-q2-2022/RES177490" TargetMode="External"/><Relationship Id="rId1938" Type="http://schemas.openxmlformats.org/officeDocument/2006/relationships/hyperlink" Target="http://forrester.com" TargetMode="External"/><Relationship Id="rId1939" Type="http://schemas.openxmlformats.org/officeDocument/2006/relationships/hyperlink" Target="https://www.fortismedia.com/en/articles/roi-marketing-agency/" TargetMode="External"/><Relationship Id="rId1920" Type="http://schemas.openxmlformats.org/officeDocument/2006/relationships/hyperlink" Target="http://firstmotion.com" TargetMode="External"/><Relationship Id="rId1921" Type="http://schemas.openxmlformats.org/officeDocument/2006/relationships/hyperlink" Target="https://firstmotion.com/insights/best-geo-agencies-in-london-10-top-partners-for-ai-search-in-2026" TargetMode="External"/><Relationship Id="rId1922" Type="http://schemas.openxmlformats.org/officeDocument/2006/relationships/hyperlink" Target="http://firstmotion.com" TargetMode="External"/><Relationship Id="rId1923" Type="http://schemas.openxmlformats.org/officeDocument/2006/relationships/hyperlink" Target="https://www.flyingvgroup.com/ai-marketing-agency/" TargetMode="External"/><Relationship Id="rId1924" Type="http://schemas.openxmlformats.org/officeDocument/2006/relationships/hyperlink" Target="http://flyingvgroup.com" TargetMode="External"/><Relationship Id="rId1925" Type="http://schemas.openxmlformats.org/officeDocument/2006/relationships/hyperlink" Target="https://www.flyingvgroup.com/franchise-marketing-agency/" TargetMode="External"/><Relationship Id="rId1926" Type="http://schemas.openxmlformats.org/officeDocument/2006/relationships/hyperlink" Target="http://flyingvgroup.com" TargetMode="External"/><Relationship Id="rId1927" Type="http://schemas.openxmlformats.org/officeDocument/2006/relationships/hyperlink" Target="https://www.flyingvgroup.com/programmatic-agency/" TargetMode="External"/><Relationship Id="rId1928" Type="http://schemas.openxmlformats.org/officeDocument/2006/relationships/hyperlink" Target="http://flyingvgroup.com" TargetMode="External"/><Relationship Id="rId1929" Type="http://schemas.openxmlformats.org/officeDocument/2006/relationships/hyperlink" Target="https://flypix.ai/geospatial-companies-in-london/" TargetMode="External"/><Relationship Id="rId1950" Type="http://schemas.openxmlformats.org/officeDocument/2006/relationships/hyperlink" Target="http://foundersworkshop.com" TargetMode="External"/><Relationship Id="rId1951" Type="http://schemas.openxmlformats.org/officeDocument/2006/relationships/hyperlink" Target="https://www.freshegg.co.uk/analytics/google-analytics-360/" TargetMode="External"/><Relationship Id="rId1952" Type="http://schemas.openxmlformats.org/officeDocument/2006/relationships/hyperlink" Target="http://freshegg.co.uk" TargetMode="External"/><Relationship Id="rId1953" Type="http://schemas.openxmlformats.org/officeDocument/2006/relationships/hyperlink" Target="https://www.frontier15.com/" TargetMode="External"/><Relationship Id="rId2800" Type="http://schemas.openxmlformats.org/officeDocument/2006/relationships/hyperlink" Target="http://wamdigital.com" TargetMode="External"/><Relationship Id="rId1954" Type="http://schemas.openxmlformats.org/officeDocument/2006/relationships/hyperlink" Target="http://frontier15.com" TargetMode="External"/><Relationship Id="rId2801" Type="http://schemas.openxmlformats.org/officeDocument/2006/relationships/hyperlink" Target="https://we-discover.com/services/analysis-and-modelling/" TargetMode="External"/><Relationship Id="rId1955" Type="http://schemas.openxmlformats.org/officeDocument/2006/relationships/hyperlink" Target="https://fueler.io/blog/performance-marketing-agencies-that-prove-roi-with-real-client-results" TargetMode="External"/><Relationship Id="rId2802" Type="http://schemas.openxmlformats.org/officeDocument/2006/relationships/hyperlink" Target="http://we-discover.com" TargetMode="External"/><Relationship Id="rId1956" Type="http://schemas.openxmlformats.org/officeDocument/2006/relationships/hyperlink" Target="http://fueler.io" TargetMode="External"/><Relationship Id="rId2803" Type="http://schemas.openxmlformats.org/officeDocument/2006/relationships/hyperlink" Target="https://www.weareamnet.com/blog/choosing-the-right-creative-production-agency/" TargetMode="External"/><Relationship Id="rId1957" Type="http://schemas.openxmlformats.org/officeDocument/2006/relationships/hyperlink" Target="https://funnel.io/blog/incrementality-testing" TargetMode="External"/><Relationship Id="rId2804" Type="http://schemas.openxmlformats.org/officeDocument/2006/relationships/hyperlink" Target="http://weareamnet.com" TargetMode="External"/><Relationship Id="rId1958" Type="http://schemas.openxmlformats.org/officeDocument/2006/relationships/hyperlink" Target="http://funnel.io" TargetMode="External"/><Relationship Id="rId2805" Type="http://schemas.openxmlformats.org/officeDocument/2006/relationships/hyperlink" Target="https://www.wearema.com/" TargetMode="External"/><Relationship Id="rId1959" Type="http://schemas.openxmlformats.org/officeDocument/2006/relationships/hyperlink" Target="https://funnel.io/blog/top-mta-tools" TargetMode="External"/><Relationship Id="rId2806" Type="http://schemas.openxmlformats.org/officeDocument/2006/relationships/hyperlink" Target="http://wearema.com" TargetMode="External"/><Relationship Id="rId2807" Type="http://schemas.openxmlformats.org/officeDocument/2006/relationships/hyperlink" Target="https://www.wearemetric.co.uk/" TargetMode="External"/><Relationship Id="rId2808" Type="http://schemas.openxmlformats.org/officeDocument/2006/relationships/hyperlink" Target="http://wearemetric.co.uk" TargetMode="External"/><Relationship Id="rId2809" Type="http://schemas.openxmlformats.org/officeDocument/2006/relationships/hyperlink" Target="https://www.weareqry.com/blog/best-paid-media-agencies" TargetMode="External"/><Relationship Id="rId1940" Type="http://schemas.openxmlformats.org/officeDocument/2006/relationships/hyperlink" Target="http://fortismedia.com" TargetMode="External"/><Relationship Id="rId1941" Type="http://schemas.openxmlformats.org/officeDocument/2006/relationships/hyperlink" Target="https://www.found.co.uk/blog/top-10-ppc-agencies/" TargetMode="External"/><Relationship Id="rId1942" Type="http://schemas.openxmlformats.org/officeDocument/2006/relationships/hyperlink" Target="http://found.co.uk" TargetMode="External"/><Relationship Id="rId1943" Type="http://schemas.openxmlformats.org/officeDocument/2006/relationships/hyperlink" Target="https://www.found.co.uk/services/content-marketing/" TargetMode="External"/><Relationship Id="rId1944" Type="http://schemas.openxmlformats.org/officeDocument/2006/relationships/hyperlink" Target="http://found.co.uk" TargetMode="External"/><Relationship Id="rId1945" Type="http://schemas.openxmlformats.org/officeDocument/2006/relationships/hyperlink" Target="https://www.found.co.uk/services/paid-media/ppc/" TargetMode="External"/><Relationship Id="rId1946" Type="http://schemas.openxmlformats.org/officeDocument/2006/relationships/hyperlink" Target="http://found.co.uk" TargetMode="External"/><Relationship Id="rId1947" Type="http://schemas.openxmlformats.org/officeDocument/2006/relationships/hyperlink" Target="https://www.found.co.uk/services/paid-media/ppc/ppc-consultancy/" TargetMode="External"/><Relationship Id="rId1948" Type="http://schemas.openxmlformats.org/officeDocument/2006/relationships/hyperlink" Target="http://found.co.uk" TargetMode="External"/><Relationship Id="rId1949" Type="http://schemas.openxmlformats.org/officeDocument/2006/relationships/hyperlink" Target="https://foundersworkshop.com/feeds/service/ai-adoption-readiness-consulting-enterprises" TargetMode="External"/><Relationship Id="rId1576" Type="http://schemas.openxmlformats.org/officeDocument/2006/relationships/hyperlink" Target="https://beomniscient.com/blog/marketing-agencies/" TargetMode="External"/><Relationship Id="rId2423" Type="http://schemas.openxmlformats.org/officeDocument/2006/relationships/hyperlink" Target="https://www.provokemedia.com/events-awards/agencies-of-the-year/the-best-agencies-in-emea-2026/the-70-best-agencies-in-the-uk/pangolin" TargetMode="External"/><Relationship Id="rId1577" Type="http://schemas.openxmlformats.org/officeDocument/2006/relationships/hyperlink" Target="http://beomniscient.com" TargetMode="External"/><Relationship Id="rId2424" Type="http://schemas.openxmlformats.org/officeDocument/2006/relationships/hyperlink" Target="http://provokemedia.com" TargetMode="External"/><Relationship Id="rId1578" Type="http://schemas.openxmlformats.org/officeDocument/2006/relationships/hyperlink" Target="https://best-ai-readiness-assessments.com/" TargetMode="External"/><Relationship Id="rId2425" Type="http://schemas.openxmlformats.org/officeDocument/2006/relationships/hyperlink" Target="https://www.publicisgroupeuk.com/what-we-do/production/" TargetMode="External"/><Relationship Id="rId1579" Type="http://schemas.openxmlformats.org/officeDocument/2006/relationships/hyperlink" Target="http://best-ai-readiness-assessments.com" TargetMode="External"/><Relationship Id="rId2426" Type="http://schemas.openxmlformats.org/officeDocument/2006/relationships/hyperlink" Target="http://publicisgroupeuk.com" TargetMode="External"/><Relationship Id="rId2427" Type="http://schemas.openxmlformats.org/officeDocument/2006/relationships/hyperlink" Target="https://www.pushgroup.co.uk/ai-marketing-adoption-old" TargetMode="External"/><Relationship Id="rId2428" Type="http://schemas.openxmlformats.org/officeDocument/2006/relationships/hyperlink" Target="http://pushgroup.co.uk" TargetMode="External"/><Relationship Id="rId2429" Type="http://schemas.openxmlformats.org/officeDocument/2006/relationships/hyperlink" Targe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 TargetMode="External"/><Relationship Id="rId509" Type="http://schemas.openxmlformats.org/officeDocument/2006/relationships/hyperlink" Target="https://clutch.co/agencies/sem/uk" TargetMode="External"/><Relationship Id="rId508" Type="http://schemas.openxmlformats.org/officeDocument/2006/relationships/hyperlink" Target="http://clutch.co" TargetMode="External"/><Relationship Id="rId503" Type="http://schemas.openxmlformats.org/officeDocument/2006/relationships/hyperlink" Target="https://www.bluearray.co.uk/agency-directory/best-paid-social-agencies-in-the-uk/" TargetMode="External"/><Relationship Id="rId987" Type="http://schemas.openxmlformats.org/officeDocument/2006/relationships/hyperlink" Target="http://ft.com" TargetMode="External"/><Relationship Id="rId502" Type="http://schemas.openxmlformats.org/officeDocument/2006/relationships/hyperlink" Target="http://beomniscient.com" TargetMode="External"/><Relationship Id="rId986" Type="http://schemas.openxmlformats.org/officeDocument/2006/relationships/hyperlink" Target="https://www.ft.com/content/ccf5ea33-1398-4b9d-8bf6-a403f2f5493e" TargetMode="External"/><Relationship Id="rId501" Type="http://schemas.openxmlformats.org/officeDocument/2006/relationships/hyperlink" Target="https://beomniscient.com/blog/best-ai-marketing-agencies/" TargetMode="External"/><Relationship Id="rId985" Type="http://schemas.openxmlformats.org/officeDocument/2006/relationships/hyperlink" Target="http://found.co.uk" TargetMode="External"/><Relationship Id="rId500" Type="http://schemas.openxmlformats.org/officeDocument/2006/relationships/hyperlink" Target="http://semrush.com" TargetMode="External"/><Relationship Id="rId984" Type="http://schemas.openxmlformats.org/officeDocument/2006/relationships/hyperlink" Target="https://www.found.co.uk/services/paid-media/programmatic/" TargetMode="External"/><Relationship Id="rId507" Type="http://schemas.openxmlformats.org/officeDocument/2006/relationships/hyperlink" Target="https://clutch.co/agencies/programmatic/uk" TargetMode="External"/><Relationship Id="rId506" Type="http://schemas.openxmlformats.org/officeDocument/2006/relationships/hyperlink" Target="http://clickslice.co.uk" TargetMode="External"/><Relationship Id="rId505" Type="http://schemas.openxmlformats.org/officeDocument/2006/relationships/hyperlink" Target="https://www.clickslice.co.uk/top-answer-engine-optimisation-agencies-uk/" TargetMode="External"/><Relationship Id="rId989" Type="http://schemas.openxmlformats.org/officeDocument/2006/relationships/hyperlink" Target="http://geointelligence.co.uk" TargetMode="External"/><Relationship Id="rId504" Type="http://schemas.openxmlformats.org/officeDocument/2006/relationships/hyperlink" Target="http://bluearray.co.uk" TargetMode="External"/><Relationship Id="rId988" Type="http://schemas.openxmlformats.org/officeDocument/2006/relationships/hyperlink" Target="https://www.geointelligence.co.uk/" TargetMode="External"/><Relationship Id="rId1570" Type="http://schemas.openxmlformats.org/officeDocument/2006/relationships/hyperlink" Target="https://www.benchmarketing.org/performance-marketing-agency/london" TargetMode="External"/><Relationship Id="rId1571" Type="http://schemas.openxmlformats.org/officeDocument/2006/relationships/hyperlink" Target="http://benchmarketing.org" TargetMode="External"/><Relationship Id="rId983" Type="http://schemas.openxmlformats.org/officeDocument/2006/relationships/hyperlink" Target="http://found.co.uk" TargetMode="External"/><Relationship Id="rId1572" Type="http://schemas.openxmlformats.org/officeDocument/2006/relationships/hyperlink" Target="https://benly.ai/learn/ai-marketing/best-attribution-tools-2026" TargetMode="External"/><Relationship Id="rId982" Type="http://schemas.openxmlformats.org/officeDocument/2006/relationships/hyperlink" Target="https://www.found.co.uk/services/paid-media/display/" TargetMode="External"/><Relationship Id="rId1573" Type="http://schemas.openxmlformats.org/officeDocument/2006/relationships/hyperlink" Target="http://benly.ai" TargetMode="External"/><Relationship Id="rId2420" Type="http://schemas.openxmlformats.org/officeDocument/2006/relationships/hyperlink" Target="http://provokemedia.com" TargetMode="External"/><Relationship Id="rId981" Type="http://schemas.openxmlformats.org/officeDocument/2006/relationships/hyperlink" Target="http://found.co.uk" TargetMode="External"/><Relationship Id="rId1574" Type="http://schemas.openxmlformats.org/officeDocument/2006/relationships/hyperlink" Target="https://beomniscient.com/blog/growth-marketing-agency/" TargetMode="External"/><Relationship Id="rId2421" Type="http://schemas.openxmlformats.org/officeDocument/2006/relationships/hyperlink" Target="https://www.provokemedia.com/events-awards/agencies-of-the-year/the-best-agencies-in-emea-2026/the-70-best-agencies-in-the-uk/hope-glory" TargetMode="External"/><Relationship Id="rId980" Type="http://schemas.openxmlformats.org/officeDocument/2006/relationships/hyperlink" Target="https://www.found.co.uk/services/paid-media/" TargetMode="External"/><Relationship Id="rId1575" Type="http://schemas.openxmlformats.org/officeDocument/2006/relationships/hyperlink" Target="http://beomniscient.com" TargetMode="External"/><Relationship Id="rId2422" Type="http://schemas.openxmlformats.org/officeDocument/2006/relationships/hyperlink" Target="http://provokemedia.com" TargetMode="External"/><Relationship Id="rId1565" Type="http://schemas.openxmlformats.org/officeDocument/2006/relationships/hyperlink" Target="https://bark.london/services/paid-media/paid-social/" TargetMode="External"/><Relationship Id="rId2412" Type="http://schemas.openxmlformats.org/officeDocument/2006/relationships/hyperlink" Target="http://promodo.com" TargetMode="External"/><Relationship Id="rId1566" Type="http://schemas.openxmlformats.org/officeDocument/2006/relationships/hyperlink" Target="https://bcn.co.uk/resources/ai-consultants/" TargetMode="External"/><Relationship Id="rId2413" Type="http://schemas.openxmlformats.org/officeDocument/2006/relationships/hyperlink" Target="https://promoguy.nl/blog/2026/02/12/incrementality-testing-for-marketing-promotion/" TargetMode="External"/><Relationship Id="rId1567" Type="http://schemas.openxmlformats.org/officeDocument/2006/relationships/hyperlink" Target="http://bcn.co.uk" TargetMode="External"/><Relationship Id="rId2414" Type="http://schemas.openxmlformats.org/officeDocument/2006/relationships/hyperlink" Target="http://promoguy.nl" TargetMode="External"/><Relationship Id="rId1568" Type="http://schemas.openxmlformats.org/officeDocument/2006/relationships/hyperlink" Target="https://belkins.io/blog/best-appointment-setting-companies-uk" TargetMode="External"/><Relationship Id="rId2415" Type="http://schemas.openxmlformats.org/officeDocument/2006/relationships/hyperlink" Target="https://proove.dacgroup.com/en-gb/services/measurement-optimization/incrementality/" TargetMode="External"/><Relationship Id="rId1569" Type="http://schemas.openxmlformats.org/officeDocument/2006/relationships/hyperlink" Target="http://belkins.io" TargetMode="External"/><Relationship Id="rId2416" Type="http://schemas.openxmlformats.org/officeDocument/2006/relationships/hyperlink" Target="http://dacgroup.com" TargetMode="External"/><Relationship Id="rId2417" Type="http://schemas.openxmlformats.org/officeDocument/2006/relationships/hyperlink" Target="https://www.propeller.co.uk/luxury-marketing-agency" TargetMode="External"/><Relationship Id="rId2418" Type="http://schemas.openxmlformats.org/officeDocument/2006/relationships/hyperlink" Target="http://propeller.co.uk" TargetMode="External"/><Relationship Id="rId2419" Type="http://schemas.openxmlformats.org/officeDocument/2006/relationships/hyperlink" Target="https://www.provokemedia.com/events-awards/agencies-of-the-year/the-best-agencies-in-emea-2026/the-70-best-agencies-in-the-uk" TargetMode="External"/><Relationship Id="rId976" Type="http://schemas.openxmlformats.org/officeDocument/2006/relationships/hyperlink" Target="https://edisonmoment.com/agency/best/digital-marketing-agency-united-kingdom" TargetMode="External"/><Relationship Id="rId975" Type="http://schemas.openxmlformats.org/officeDocument/2006/relationships/hyperlink" Target="http://deptagency.com" TargetMode="External"/><Relationship Id="rId974" Type="http://schemas.openxmlformats.org/officeDocument/2006/relationships/hyperlink" Target="https://www.deptagency.com/en-uki/partner/google/" TargetMode="External"/><Relationship Id="rId973" Type="http://schemas.openxmlformats.org/officeDocument/2006/relationships/hyperlink" Target="http://deptagency.com" TargetMode="External"/><Relationship Id="rId979" Type="http://schemas.openxmlformats.org/officeDocument/2006/relationships/hyperlink" Target="http://ey.com" TargetMode="External"/><Relationship Id="rId978" Type="http://schemas.openxmlformats.org/officeDocument/2006/relationships/hyperlink" Target="https://www.ey.com/en_uk/services/consulting/artificial-intelligence-consulting-services" TargetMode="External"/><Relationship Id="rId977" Type="http://schemas.openxmlformats.org/officeDocument/2006/relationships/hyperlink" Target="http://edisonmoment.com" TargetMode="External"/><Relationship Id="rId1560" Type="http://schemas.openxmlformats.org/officeDocument/2006/relationships/hyperlink" Target="https://www.back9.co.nz/how-to-find-a-certified-google-partner/" TargetMode="External"/><Relationship Id="rId972" Type="http://schemas.openxmlformats.org/officeDocument/2006/relationships/hyperlink" Target="https://www.deptagency.com/en-dk/partner/google-marketing-platform/" TargetMode="External"/><Relationship Id="rId1561" Type="http://schemas.openxmlformats.org/officeDocument/2006/relationships/hyperlink" Target="http://back9.co.nz" TargetMode="External"/><Relationship Id="rId971" Type="http://schemas.openxmlformats.org/officeDocument/2006/relationships/hyperlink" Target="http://cognitute.org" TargetMode="External"/><Relationship Id="rId1562" Type="http://schemas.openxmlformats.org/officeDocument/2006/relationships/hyperlink" Target="https://www.backhouse.com/" TargetMode="External"/><Relationship Id="rId970" Type="http://schemas.openxmlformats.org/officeDocument/2006/relationships/hyperlink" Target="https://www.cognitute.org/blogs/top-ai-strategy-consulting-firms-globally" TargetMode="External"/><Relationship Id="rId1563" Type="http://schemas.openxmlformats.org/officeDocument/2006/relationships/hyperlink" Target="http://backhouse.com" TargetMode="External"/><Relationship Id="rId2410" Type="http://schemas.openxmlformats.org/officeDocument/2006/relationships/hyperlink" Target="http://prolificnorth.co.uk" TargetMode="External"/><Relationship Id="rId1564" Type="http://schemas.openxmlformats.org/officeDocument/2006/relationships/hyperlink" Target="https://bark.london/services/data-science/attribution-modelling/" TargetMode="External"/><Relationship Id="rId2411" Type="http://schemas.openxmlformats.org/officeDocument/2006/relationships/hyperlink" Target="https://www.promodo.com/blog/best-geo-agencies" TargetMode="External"/><Relationship Id="rId1114" Type="http://schemas.openxmlformats.org/officeDocument/2006/relationships/hyperlink" Target="https://anicca.co.uk/blog/map-of-uk-google-ads-premier-partner-agencies-march-2022/" TargetMode="External"/><Relationship Id="rId1598" Type="http://schemas.openxmlformats.org/officeDocument/2006/relationships/hyperlink" Target="https://blueprintdemand.com/top-10-display-advertising-agency-partners-for-2026/" TargetMode="External"/><Relationship Id="rId2445" Type="http://schemas.openxmlformats.org/officeDocument/2006/relationships/hyperlink" Target="https://raddinteractive.com/the-best-social-media-sites-for-marketing-and-most-popular/" TargetMode="External"/><Relationship Id="rId1115" Type="http://schemas.openxmlformats.org/officeDocument/2006/relationships/hyperlink" Target="http://anicca.co.uk" TargetMode="External"/><Relationship Id="rId1599" Type="http://schemas.openxmlformats.org/officeDocument/2006/relationships/hyperlink" Target="http://blueprintdemand.com" TargetMode="External"/><Relationship Id="rId2446" Type="http://schemas.openxmlformats.org/officeDocument/2006/relationships/hyperlink" Target="http://raddinteractive.com" TargetMode="External"/><Relationship Id="rId1116" Type="http://schemas.openxmlformats.org/officeDocument/2006/relationships/hyperlink" Target="https://www.bcg.com/capabilities/artificial-intelligence" TargetMode="External"/><Relationship Id="rId2447" Type="http://schemas.openxmlformats.org/officeDocument/2006/relationships/hyperlink" Target="https://www.radyant.io/comparison/6-best-organic-growth-agencies-in-europe" TargetMode="External"/><Relationship Id="rId1117" Type="http://schemas.openxmlformats.org/officeDocument/2006/relationships/hyperlink" Target="http://bcg.com" TargetMode="External"/><Relationship Id="rId2448" Type="http://schemas.openxmlformats.org/officeDocument/2006/relationships/hyperlink" Target="http://radyant.io" TargetMode="External"/><Relationship Id="rId1118" Type="http://schemas.openxmlformats.org/officeDocument/2006/relationships/hyperlink" Target="https://bird.co.uk/seo/generative-engine-optimisation/" TargetMode="External"/><Relationship Id="rId2449" Type="http://schemas.openxmlformats.org/officeDocument/2006/relationships/hyperlink" Target="https://www.rank4ai.co.uk/research/rankings/ai-seo-agency-comparison-uk/" TargetMode="External"/><Relationship Id="rId1119" Type="http://schemas.openxmlformats.org/officeDocument/2006/relationships/hyperlink" Target="http://bird.co.uk" TargetMode="External"/><Relationship Id="rId525" Type="http://schemas.openxmlformats.org/officeDocument/2006/relationships/hyperlink" Target="http://joinupscale.com" TargetMode="External"/><Relationship Id="rId524" Type="http://schemas.openxmlformats.org/officeDocument/2006/relationships/hyperlink" Target="https://joinupscale.com/blog/top-google-shopping-ads-agencies-uk/" TargetMode="External"/><Relationship Id="rId523" Type="http://schemas.openxmlformats.org/officeDocument/2006/relationships/hyperlink" Target="http://hockeystack.com" TargetMode="External"/><Relationship Id="rId522" Type="http://schemas.openxmlformats.org/officeDocument/2006/relationships/hyperlink" Target="https://www.hockeystack.com/blog-posts/best-marketing-attribution-software" TargetMode="External"/><Relationship Id="rId529" Type="http://schemas.openxmlformats.org/officeDocument/2006/relationships/hyperlink" Target="http://seoworks.com" TargetMode="External"/><Relationship Id="rId528" Type="http://schemas.openxmlformats.org/officeDocument/2006/relationships/hyperlink" Target="https://www.seoworks.com/lists/best-aeo-answer-engine-optimisation-agencies/" TargetMode="External"/><Relationship Id="rId527" Type="http://schemas.openxmlformats.org/officeDocument/2006/relationships/hyperlink" Target="http://seocompare.co.uk" TargetMode="External"/><Relationship Id="rId526" Type="http://schemas.openxmlformats.org/officeDocument/2006/relationships/hyperlink" Target="https://seocompare.co.uk/best-ai-seo-agencies/" TargetMode="External"/><Relationship Id="rId1590" Type="http://schemas.openxmlformats.org/officeDocument/2006/relationships/hyperlink" Target="https://www.blendb2b.com/resources/best-aeo-agencies-for-b2b-companies" TargetMode="External"/><Relationship Id="rId1591" Type="http://schemas.openxmlformats.org/officeDocument/2006/relationships/hyperlink" Target="http://blendb2b.com" TargetMode="External"/><Relationship Id="rId1592" Type="http://schemas.openxmlformats.org/officeDocument/2006/relationships/hyperlink" Target="https://www.bluearray.co.uk/agency-directory/best-influencer-agencies-in-the-uk/" TargetMode="External"/><Relationship Id="rId1593" Type="http://schemas.openxmlformats.org/officeDocument/2006/relationships/hyperlink" Target="http://bluearray.co.uk" TargetMode="External"/><Relationship Id="rId2440" Type="http://schemas.openxmlformats.org/officeDocument/2006/relationships/hyperlink" Target="http://queryclick.com" TargetMode="External"/><Relationship Id="rId521" Type="http://schemas.openxmlformats.org/officeDocument/2006/relationships/hyperlink" Target="https://hallam.agency/about-us/google-premier-partner-agency/" TargetMode="External"/><Relationship Id="rId1110" Type="http://schemas.openxmlformats.org/officeDocument/2006/relationships/hyperlink" Target="http://agenticmarketingpro.com" TargetMode="External"/><Relationship Id="rId1594" Type="http://schemas.openxmlformats.org/officeDocument/2006/relationships/hyperlink" Target="https://www.blueduckagency.com/blog/incrementality" TargetMode="External"/><Relationship Id="rId2441" Type="http://schemas.openxmlformats.org/officeDocument/2006/relationships/hyperlink" Target="https://queryclick.com/analytics-insights-attribution/" TargetMode="External"/><Relationship Id="rId520" Type="http://schemas.openxmlformats.org/officeDocument/2006/relationships/hyperlink" Target="http://gripped.io" TargetMode="External"/><Relationship Id="rId1111" Type="http://schemas.openxmlformats.org/officeDocument/2006/relationships/hyperlink" Target="https://aiblmedia.com/ai-enablement-directory/" TargetMode="External"/><Relationship Id="rId1595" Type="http://schemas.openxmlformats.org/officeDocument/2006/relationships/hyperlink" Target="http://blueduckagency.com" TargetMode="External"/><Relationship Id="rId2442" Type="http://schemas.openxmlformats.org/officeDocument/2006/relationships/hyperlink" Target="http://queryclick.com" TargetMode="External"/><Relationship Id="rId1112" Type="http://schemas.openxmlformats.org/officeDocument/2006/relationships/hyperlink" Target="http://aiblmedia.com" TargetMode="External"/><Relationship Id="rId1596" Type="http://schemas.openxmlformats.org/officeDocument/2006/relationships/hyperlink" Target="https://www.bluefrontier.co.uk/digital-marketing/seo" TargetMode="External"/><Relationship Id="rId2443" Type="http://schemas.openxmlformats.org/officeDocument/2006/relationships/hyperlink" Target="https://queryclick.com/insights/ecommerce-insights-conversions-rebound-external-factors/" TargetMode="External"/><Relationship Id="rId1113" Type="http://schemas.openxmlformats.org/officeDocument/2006/relationships/hyperlink" Target="https://www.aitransformation.global/" TargetMode="External"/><Relationship Id="rId1597" Type="http://schemas.openxmlformats.org/officeDocument/2006/relationships/hyperlink" Target="http://bluefrontier.co.uk" TargetMode="External"/><Relationship Id="rId2444" Type="http://schemas.openxmlformats.org/officeDocument/2006/relationships/hyperlink" Target="http://queryclick.com" TargetMode="External"/><Relationship Id="rId1103" Type="http://schemas.openxmlformats.org/officeDocument/2006/relationships/hyperlink" Target="https://agencies.semrush.com/list/ppc/london-city/" TargetMode="External"/><Relationship Id="rId1587" Type="http://schemas.openxmlformats.org/officeDocument/2006/relationships/hyperlink" Target="http://bird.co.uk" TargetMode="External"/><Relationship Id="rId2434" Type="http://schemas.openxmlformats.org/officeDocument/2006/relationships/hyperlink" Target="http://pushgroup.co.uk" TargetMode="External"/><Relationship Id="rId1104" Type="http://schemas.openxmlformats.org/officeDocument/2006/relationships/hyperlink" Target="http://semrush.com" TargetMode="External"/><Relationship Id="rId1588" Type="http://schemas.openxmlformats.org/officeDocument/2006/relationships/hyperlink" Target="https://www.bizzabo.com/blog/top-uk-event-agencies" TargetMode="External"/><Relationship Id="rId2435" Type="http://schemas.openxmlformats.org/officeDocument/2006/relationships/hyperlink" Target="https://www.q5partners.com/where-we-work/media/" TargetMode="External"/><Relationship Id="rId1105" Type="http://schemas.openxmlformats.org/officeDocument/2006/relationships/hyperlink" Target="https://agencies.semrush.com/list/programmatic-advertising/united-kingdom/" TargetMode="External"/><Relationship Id="rId1589" Type="http://schemas.openxmlformats.org/officeDocument/2006/relationships/hyperlink" Target="http://bizzabo.com" TargetMode="External"/><Relationship Id="rId2436" Type="http://schemas.openxmlformats.org/officeDocument/2006/relationships/hyperlink" Target="http://q5partners.com" TargetMode="External"/><Relationship Id="rId1106" Type="http://schemas.openxmlformats.org/officeDocument/2006/relationships/hyperlink" Target="http://semrush.com" TargetMode="External"/><Relationship Id="rId2437" Type="http://schemas.openxmlformats.org/officeDocument/2006/relationships/hyperlink" Target="https://queryclick.com/" TargetMode="External"/><Relationship Id="rId1107" Type="http://schemas.openxmlformats.org/officeDocument/2006/relationships/hyperlink" Target="https://agencylist.com/services/programmatic-display-and-video/gb/" TargetMode="External"/><Relationship Id="rId2438" Type="http://schemas.openxmlformats.org/officeDocument/2006/relationships/hyperlink" Target="http://queryclick.com" TargetMode="External"/><Relationship Id="rId1108" Type="http://schemas.openxmlformats.org/officeDocument/2006/relationships/hyperlink" Target="http://agencylist.com" TargetMode="External"/><Relationship Id="rId2439" Type="http://schemas.openxmlformats.org/officeDocument/2006/relationships/hyperlink" Target="https://queryclick.com/about-queryclick/" TargetMode="External"/><Relationship Id="rId1109" Type="http://schemas.openxmlformats.org/officeDocument/2006/relationships/hyperlink" Target="https://agenticmarketingpro.com/incrementality-testing/" TargetMode="External"/><Relationship Id="rId519" Type="http://schemas.openxmlformats.org/officeDocument/2006/relationships/hyperlink" Target="https://gripped.io/b2b-marketing/top-marketing-agencies-uk/" TargetMode="External"/><Relationship Id="rId514" Type="http://schemas.openxmlformats.org/officeDocument/2006/relationships/hyperlink" Target="http://ecomone.com" TargetMode="External"/><Relationship Id="rId998" Type="http://schemas.openxmlformats.org/officeDocument/2006/relationships/hyperlink" Target="https://www.google.com/ads/publisher/partners/find-a-partner/" TargetMode="External"/><Relationship Id="rId513" Type="http://schemas.openxmlformats.org/officeDocument/2006/relationships/hyperlink" Target="https://www.ecomone.com/insights/top-geo-agencies-uk/" TargetMode="External"/><Relationship Id="rId997" Type="http://schemas.openxmlformats.org/officeDocument/2006/relationships/hyperlink" Target="http://goodfirms.co" TargetMode="External"/><Relationship Id="rId512" Type="http://schemas.openxmlformats.org/officeDocument/2006/relationships/hyperlink" Target="http://digitalreference.co" TargetMode="External"/><Relationship Id="rId996" Type="http://schemas.openxmlformats.org/officeDocument/2006/relationships/hyperlink" Target="https://www.goodfirms.co/directory/country/top-digital-marketing-companies/gb?sort_by=rating" TargetMode="External"/><Relationship Id="rId511" Type="http://schemas.openxmlformats.org/officeDocument/2006/relationships/hyperlink" Target="https://www.digitalreference.co/insights/marketing-professionals/best-digital-marketing-agencies-companies-in-uk" TargetMode="External"/><Relationship Id="rId995" Type="http://schemas.openxmlformats.org/officeDocument/2006/relationships/hyperlink" Target="http://goodfirms.co" TargetMode="External"/><Relationship Id="rId518" Type="http://schemas.openxmlformats.org/officeDocument/2006/relationships/hyperlink" Target="http://giraffesocialmedia.co.uk" TargetMode="External"/><Relationship Id="rId517" Type="http://schemas.openxmlformats.org/officeDocument/2006/relationships/hyperlink" Target="https://www.giraffesocialmedia.co.uk/" TargetMode="External"/><Relationship Id="rId516" Type="http://schemas.openxmlformats.org/officeDocument/2006/relationships/hyperlink" Target="http://factoryjet.com" TargetMode="External"/><Relationship Id="rId515" Type="http://schemas.openxmlformats.org/officeDocument/2006/relationships/hyperlink" Target="https://factoryjet.com/blog/best-ai-seo-agencies-uk" TargetMode="External"/><Relationship Id="rId999" Type="http://schemas.openxmlformats.org/officeDocument/2006/relationships/hyperlink" Target="http://google.com" TargetMode="External"/><Relationship Id="rId990" Type="http://schemas.openxmlformats.org/officeDocument/2006/relationships/hyperlink" Target="https://www.get-ryze.ai/blog/how-agencies-scale-ad-creative-production" TargetMode="External"/><Relationship Id="rId1580" Type="http://schemas.openxmlformats.org/officeDocument/2006/relationships/hyperlink" Target="https://www.bestadsontv.com/rankings.php?category=All&amp;country=United_Kingdom&amp;period=2025&amp;role=agency" TargetMode="External"/><Relationship Id="rId1581" Type="http://schemas.openxmlformats.org/officeDocument/2006/relationships/hyperlink" Target="http://bestadsontv.com" TargetMode="External"/><Relationship Id="rId1582" Type="http://schemas.openxmlformats.org/officeDocument/2006/relationships/hyperlink" Target="https://bhavpro.com/ai-seo-agency/" TargetMode="External"/><Relationship Id="rId510" Type="http://schemas.openxmlformats.org/officeDocument/2006/relationships/hyperlink" Target="http://clutch.co" TargetMode="External"/><Relationship Id="rId994" Type="http://schemas.openxmlformats.org/officeDocument/2006/relationships/hyperlink" Target="https://www.goodfirms.co/advertising-companies/creative/uk?sort_by=rating" TargetMode="External"/><Relationship Id="rId1583" Type="http://schemas.openxmlformats.org/officeDocument/2006/relationships/hyperlink" Target="http://bhavpro.com" TargetMode="External"/><Relationship Id="rId2430" Type="http://schemas.openxmlformats.org/officeDocument/2006/relationships/hyperlink" Target="http://pushgroup.co.uk" TargetMode="External"/><Relationship Id="rId993" Type="http://schemas.openxmlformats.org/officeDocument/2006/relationships/hyperlink" Target="http://global.com" TargetMode="External"/><Relationship Id="rId1100" Type="http://schemas.openxmlformats.org/officeDocument/2006/relationships/hyperlink" Target="http://semrush.com" TargetMode="External"/><Relationship Id="rId1584" Type="http://schemas.openxmlformats.org/officeDocument/2006/relationships/hyperlink" Target="https://bind.media/" TargetMode="External"/><Relationship Id="rId2431" Type="http://schemas.openxmlformats.org/officeDocument/2006/relationships/hyperlink" Target="https://www.pushgroup.co.uk/blog/top-9-e-commerce-agencies-in-the-uk" TargetMode="External"/><Relationship Id="rId992" Type="http://schemas.openxmlformats.org/officeDocument/2006/relationships/hyperlink" Target="https://global.com/outdoor/" TargetMode="External"/><Relationship Id="rId1101" Type="http://schemas.openxmlformats.org/officeDocument/2006/relationships/hyperlink" Target="https://agencies.semrush.com/list/analytics-data-science/london-city/" TargetMode="External"/><Relationship Id="rId1585" Type="http://schemas.openxmlformats.org/officeDocument/2006/relationships/hyperlink" Target="https://bind.media/services/paid-media" TargetMode="External"/><Relationship Id="rId2432" Type="http://schemas.openxmlformats.org/officeDocument/2006/relationships/hyperlink" Target="http://pushgroup.co.uk" TargetMode="External"/><Relationship Id="rId991" Type="http://schemas.openxmlformats.org/officeDocument/2006/relationships/hyperlink" Target="http://get-ryze.ai" TargetMode="External"/><Relationship Id="rId1102" Type="http://schemas.openxmlformats.org/officeDocument/2006/relationships/hyperlink" Target="http://semrush.com" TargetMode="External"/><Relationship Id="rId1586" Type="http://schemas.openxmlformats.org/officeDocument/2006/relationships/hyperlink" Target="https://bird.co.uk/enterprise/" TargetMode="External"/><Relationship Id="rId2433" Type="http://schemas.openxmlformats.org/officeDocument/2006/relationships/hyperlink" Target="https://www.pushgroup.co.uk/google-ads-adwords-google-ppc-management-agency-london" TargetMode="External"/><Relationship Id="rId1532" Type="http://schemas.openxmlformats.org/officeDocument/2006/relationships/hyperlink" Target="https://www.artefact.com/blog/unleash-the-power-of-first-party-data-with-a-customer-data-platform/" TargetMode="External"/><Relationship Id="rId2863" Type="http://schemas.openxmlformats.org/officeDocument/2006/relationships/hyperlink" Target="https://www.youtube.com/watch?v=OR58Odpst7Q" TargetMode="External"/><Relationship Id="rId1533" Type="http://schemas.openxmlformats.org/officeDocument/2006/relationships/hyperlink" Target="http://artefact.com" TargetMode="External"/><Relationship Id="rId2864" Type="http://schemas.openxmlformats.org/officeDocument/2006/relationships/hyperlink" Target="http://youtube.com" TargetMode="External"/><Relationship Id="rId1534" Type="http://schemas.openxmlformats.org/officeDocument/2006/relationships/hyperlink" Target="https://arxiv.org/abs/2509.08919" TargetMode="External"/><Relationship Id="rId2865" Type="http://schemas.openxmlformats.org/officeDocument/2006/relationships/hyperlink" Target="https://www.youtube.com/watch?v=XGLA7lE-TLo" TargetMode="External"/><Relationship Id="rId1535" Type="http://schemas.openxmlformats.org/officeDocument/2006/relationships/hyperlink" Target="http://arxiv.org" TargetMode="External"/><Relationship Id="rId2866" Type="http://schemas.openxmlformats.org/officeDocument/2006/relationships/hyperlink" Target="http://youtube.com" TargetMode="External"/><Relationship Id="rId1536" Type="http://schemas.openxmlformats.org/officeDocument/2006/relationships/hyperlink" Target="https://arxiv.org/abs/2604.07585" TargetMode="External"/><Relationship Id="rId2867" Type="http://schemas.openxmlformats.org/officeDocument/2006/relationships/hyperlink" Target="https://www.youtube.com/watch?v=dtlZTULGX4A" TargetMode="External"/><Relationship Id="rId1537" Type="http://schemas.openxmlformats.org/officeDocument/2006/relationships/hyperlink" Target="http://arxiv.org" TargetMode="External"/><Relationship Id="rId2868" Type="http://schemas.openxmlformats.org/officeDocument/2006/relationships/hyperlink" Target="http://youtube.com" TargetMode="External"/><Relationship Id="rId1538" Type="http://schemas.openxmlformats.org/officeDocument/2006/relationships/hyperlink" Target="https://arxiv.org/abs/2606.04362" TargetMode="External"/><Relationship Id="rId2869" Type="http://schemas.openxmlformats.org/officeDocument/2006/relationships/hyperlink" Target="https://www.youtube.com/watch?v=osffLDnwyR8" TargetMode="External"/><Relationship Id="rId1539" Type="http://schemas.openxmlformats.org/officeDocument/2006/relationships/hyperlink" Target="http://arxiv.org" TargetMode="External"/><Relationship Id="rId949" Type="http://schemas.openxmlformats.org/officeDocument/2006/relationships/hyperlink" Target="http://bird.co.uk" TargetMode="External"/><Relationship Id="rId948" Type="http://schemas.openxmlformats.org/officeDocument/2006/relationships/hyperlink" Target="https://bird.co.uk/" TargetMode="External"/><Relationship Id="rId943" Type="http://schemas.openxmlformats.org/officeDocument/2006/relationships/hyperlink" Target="http://b2bmarketing.net" TargetMode="External"/><Relationship Id="rId942" Type="http://schemas.openxmlformats.org/officeDocument/2006/relationships/hyperlink" Target="https://www.b2bmarketing.net/reports/top-b2b-marketing-agencies-uk-2026/" TargetMode="External"/><Relationship Id="rId941" Type="http://schemas.openxmlformats.org/officeDocument/2006/relationships/hyperlink" Target="http://architecturaldigest.com" TargetMode="External"/><Relationship Id="rId940" Type="http://schemas.openxmlformats.org/officeDocument/2006/relationships/hyperlink" Target="https://www.architecturaldigest.com/story/is-your-business-ready-for-the-ai-overview-era" TargetMode="External"/><Relationship Id="rId947" Type="http://schemas.openxmlformats.org/officeDocument/2006/relationships/hyperlink" Target="http://bimodal.io" TargetMode="External"/><Relationship Id="rId946" Type="http://schemas.openxmlformats.org/officeDocument/2006/relationships/hyperlink" Target="https://www.bimodal.io/" TargetMode="External"/><Relationship Id="rId945" Type="http://schemas.openxmlformats.org/officeDocument/2006/relationships/hyperlink" Target="http://bbntimes.com" TargetMode="External"/><Relationship Id="rId944" Type="http://schemas.openxmlformats.org/officeDocument/2006/relationships/hyperlink" Target="https://www.bbntimes.com/companies/top-10-uk-based-ai-consulting-firms-2025" TargetMode="External"/><Relationship Id="rId2860" Type="http://schemas.openxmlformats.org/officeDocument/2006/relationships/hyperlink" Target="http://youtube.com" TargetMode="External"/><Relationship Id="rId1530" Type="http://schemas.openxmlformats.org/officeDocument/2006/relationships/hyperlink" Target="https://apps.digicatapult.org.uk/ai-adoption-toolkit/" TargetMode="External"/><Relationship Id="rId2861" Type="http://schemas.openxmlformats.org/officeDocument/2006/relationships/hyperlink" Target="https://www.youtube.com/watch?v=KjRgCP-x_Dw" TargetMode="External"/><Relationship Id="rId1531" Type="http://schemas.openxmlformats.org/officeDocument/2006/relationships/hyperlink" Target="http://digicatapult.org.uk" TargetMode="External"/><Relationship Id="rId2862" Type="http://schemas.openxmlformats.org/officeDocument/2006/relationships/hyperlink" Target="http://youtube.com" TargetMode="External"/><Relationship Id="rId1521" Type="http://schemas.openxmlformats.org/officeDocument/2006/relationships/hyperlink" Target="http://analytics.co.uk" TargetMode="External"/><Relationship Id="rId2852" Type="http://schemas.openxmlformats.org/officeDocument/2006/relationships/hyperlink" Target="http://xanthosdigital.com" TargetMode="External"/><Relationship Id="rId1522" Type="http://schemas.openxmlformats.org/officeDocument/2006/relationships/hyperlink" Target="https://anglux.uk/" TargetMode="External"/><Relationship Id="rId2853" Type="http://schemas.openxmlformats.org/officeDocument/2006/relationships/hyperlink" Target="https://xchange.avixa.org/posts/top-hire-ecommerce-developers-in-uk-2026" TargetMode="External"/><Relationship Id="rId1523" Type="http://schemas.openxmlformats.org/officeDocument/2006/relationships/hyperlink" Target="http://anglux.uk" TargetMode="External"/><Relationship Id="rId2854" Type="http://schemas.openxmlformats.org/officeDocument/2006/relationships/hyperlink" Target="http://avixa.org" TargetMode="External"/><Relationship Id="rId1524" Type="http://schemas.openxmlformats.org/officeDocument/2006/relationships/hyperlink" Target="https://www.appearonline.co.uk/blog/best-uk-digital-marketing-agencies" TargetMode="External"/><Relationship Id="rId2855" Type="http://schemas.openxmlformats.org/officeDocument/2006/relationships/hyperlink" Target="https://xo3d.co.uk/blog/3d-creative-agency-for-marketing-professionals/" TargetMode="External"/><Relationship Id="rId1525" Type="http://schemas.openxmlformats.org/officeDocument/2006/relationships/hyperlink" Target="http://appearonline.co.uk" TargetMode="External"/><Relationship Id="rId2856" Type="http://schemas.openxmlformats.org/officeDocument/2006/relationships/hyperlink" Target="http://xo3d.co.uk" TargetMode="External"/><Relationship Id="rId1526" Type="http://schemas.openxmlformats.org/officeDocument/2006/relationships/hyperlink" Target="https://www.applytosupply.digitalmarketplace.service.gov.uk/g-cloud/services/602733690017788" TargetMode="External"/><Relationship Id="rId2857" Type="http://schemas.openxmlformats.org/officeDocument/2006/relationships/hyperlink" Target="https://www.yesoptimist.com/best-geo-agencies/" TargetMode="External"/><Relationship Id="rId1527" Type="http://schemas.openxmlformats.org/officeDocument/2006/relationships/hyperlink" Target="http://service.gov.uk" TargetMode="External"/><Relationship Id="rId2858" Type="http://schemas.openxmlformats.org/officeDocument/2006/relationships/hyperlink" Target="http://yesoptimist.com" TargetMode="External"/><Relationship Id="rId1528" Type="http://schemas.openxmlformats.org/officeDocument/2006/relationships/hyperlink" Target="https://www.applytosupply.digitalmarketplace.service.gov.uk/g-cloud/services/608005596200288" TargetMode="External"/><Relationship Id="rId2859" Type="http://schemas.openxmlformats.org/officeDocument/2006/relationships/hyperlink" Target="https://www.youtube.com/watch?v=J3TiyuWqYng" TargetMode="External"/><Relationship Id="rId1529" Type="http://schemas.openxmlformats.org/officeDocument/2006/relationships/hyperlink" Target="http://service.gov.uk" TargetMode="External"/><Relationship Id="rId939" Type="http://schemas.openxmlformats.org/officeDocument/2006/relationships/hyperlink" Target="http://aisuperior.com" TargetMode="External"/><Relationship Id="rId938" Type="http://schemas.openxmlformats.org/officeDocument/2006/relationships/hyperlink" Target="https://aisuperior.com/ai-consulting-companies-in-the-uk/" TargetMode="External"/><Relationship Id="rId937" Type="http://schemas.openxmlformats.org/officeDocument/2006/relationships/hyperlink" Target="http://airconsulting.ai" TargetMode="External"/><Relationship Id="rId932" Type="http://schemas.openxmlformats.org/officeDocument/2006/relationships/hyperlink" Target="https://agencies.semrush.com/list/market-analysis/united-kingdom/" TargetMode="External"/><Relationship Id="rId931" Type="http://schemas.openxmlformats.org/officeDocument/2006/relationships/hyperlink" Target="http://aether-agency.co.uk" TargetMode="External"/><Relationship Id="rId930" Type="http://schemas.openxmlformats.org/officeDocument/2006/relationships/hyperlink" Target="https://aether-agency.co.uk/insights/incrementality-testing-marketing-guide-2026" TargetMode="External"/><Relationship Id="rId936" Type="http://schemas.openxmlformats.org/officeDocument/2006/relationships/hyperlink" Target="https://www.airconsulting.ai/" TargetMode="External"/><Relationship Id="rId935" Type="http://schemas.openxmlformats.org/officeDocument/2006/relationships/hyperlink" Target="http://agencylist.com" TargetMode="External"/><Relationship Id="rId934" Type="http://schemas.openxmlformats.org/officeDocument/2006/relationships/hyperlink" Target="https://agencylist.com/data-and-analytics/gb/" TargetMode="External"/><Relationship Id="rId933" Type="http://schemas.openxmlformats.org/officeDocument/2006/relationships/hyperlink" Target="http://semrush.com" TargetMode="External"/><Relationship Id="rId2850" Type="http://schemas.openxmlformats.org/officeDocument/2006/relationships/hyperlink" Target="http://wpp.com" TargetMode="External"/><Relationship Id="rId1520" Type="http://schemas.openxmlformats.org/officeDocument/2006/relationships/hyperlink" Target="https://analytics.co.uk/" TargetMode="External"/><Relationship Id="rId2851" Type="http://schemas.openxmlformats.org/officeDocument/2006/relationships/hyperlink" Target="https://www.xanthosdigital.com/services/digital-marketing/paid-social" TargetMode="External"/><Relationship Id="rId1554" Type="http://schemas.openxmlformats.org/officeDocument/2006/relationships/hyperlink" Target="https://www.avorioproductions.com/" TargetMode="External"/><Relationship Id="rId2401" Type="http://schemas.openxmlformats.org/officeDocument/2006/relationships/hyperlink" Target="https://prescientai.com/blog/best-mmm-tools-for-e-commerce-brands" TargetMode="External"/><Relationship Id="rId2885" Type="http://schemas.openxmlformats.org/officeDocument/2006/relationships/hyperlink" Target="https://zyppy.com/companies/c/generative-ai-seo/united-kingdom/london/" TargetMode="External"/><Relationship Id="rId1555" Type="http://schemas.openxmlformats.org/officeDocument/2006/relationships/hyperlink" Target="http://avorioproductions.com" TargetMode="External"/><Relationship Id="rId2402" Type="http://schemas.openxmlformats.org/officeDocument/2006/relationships/hyperlink" Target="http://prescientai.com" TargetMode="External"/><Relationship Id="rId2886" Type="http://schemas.openxmlformats.org/officeDocument/2006/relationships/hyperlink" Target="http://zyppy.com" TargetMode="External"/><Relationship Id="rId1556" Type="http://schemas.openxmlformats.org/officeDocument/2006/relationships/hyperlink" Target="https://www.awarenessai.co.uk/blogs/top-geo-and-ai-visibility-agencies-in-the-uk-2026" TargetMode="External"/><Relationship Id="rId2403" Type="http://schemas.openxmlformats.org/officeDocument/2006/relationships/hyperlink" Target="https://presenc.ai/compare/measured-vs-haus-vs-statsig" TargetMode="External"/><Relationship Id="rId2887" Type="http://schemas.openxmlformats.org/officeDocument/2006/relationships/drawing" Target="../drawings/drawing2.xml"/><Relationship Id="rId1557" Type="http://schemas.openxmlformats.org/officeDocument/2006/relationships/hyperlink" Target="http://awarenessai.co.uk" TargetMode="External"/><Relationship Id="rId2404" Type="http://schemas.openxmlformats.org/officeDocument/2006/relationships/hyperlink" Target="http://presenc.ai" TargetMode="External"/><Relationship Id="rId1558" Type="http://schemas.openxmlformats.org/officeDocument/2006/relationships/hyperlink" Target="https://www.b2bmarketing.net/top-10-uk-marketing-agencies-blog/" TargetMode="External"/><Relationship Id="rId2405" Type="http://schemas.openxmlformats.org/officeDocument/2006/relationships/hyperlink" Target="https://pressat.co.uk/releases/london-agency-launches-ai-marketing-tool-for-smes-built-by-a-marketer-priced-from-19-a-month-ae1361779b0a2aeaed5797f786c22cad/" TargetMode="External"/><Relationship Id="rId1559" Type="http://schemas.openxmlformats.org/officeDocument/2006/relationships/hyperlink" Target="http://b2bmarketing.net" TargetMode="External"/><Relationship Id="rId2406" Type="http://schemas.openxmlformats.org/officeDocument/2006/relationships/hyperlink" Target="http://pressat.co.uk" TargetMode="External"/><Relationship Id="rId2407" Type="http://schemas.openxmlformats.org/officeDocument/2006/relationships/hyperlink" Target="https://prioritypixels.co.uk/about/google-partner/" TargetMode="External"/><Relationship Id="rId2408" Type="http://schemas.openxmlformats.org/officeDocument/2006/relationships/hyperlink" Target="http://prioritypixels.co.uk" TargetMode="External"/><Relationship Id="rId2409" Type="http://schemas.openxmlformats.org/officeDocument/2006/relationships/hyperlink" Target="https://www.prolificnorth.co.uk/news/hsl-completes-competitive-pitch-process-for-7-figure-media-account/" TargetMode="External"/><Relationship Id="rId965" Type="http://schemas.openxmlformats.org/officeDocument/2006/relationships/hyperlink" Target="http://clickslice.co.uk" TargetMode="External"/><Relationship Id="rId964" Type="http://schemas.openxmlformats.org/officeDocument/2006/relationships/hyperlink" Target="https://www.clickslice.co.uk/best-social-media-agencies-uk/" TargetMode="External"/><Relationship Id="rId963" Type="http://schemas.openxmlformats.org/officeDocument/2006/relationships/hyperlink" Target="http://click.co.uk" TargetMode="External"/><Relationship Id="rId962" Type="http://schemas.openxmlformats.org/officeDocument/2006/relationships/hyperlink" Target="https://www.click.co.uk/services/paid-media/display-advertising/" TargetMode="External"/><Relationship Id="rId969" Type="http://schemas.openxmlformats.org/officeDocument/2006/relationships/hyperlink" Target="http://clutch.co" TargetMode="External"/><Relationship Id="rId968" Type="http://schemas.openxmlformats.org/officeDocument/2006/relationships/hyperlink" Target="https://clutch.co/agencies/ppc/display/uk?page=2" TargetMode="External"/><Relationship Id="rId967" Type="http://schemas.openxmlformats.org/officeDocument/2006/relationships/hyperlink" Target="http://clickslice.co.uk" TargetMode="External"/><Relationship Id="rId966" Type="http://schemas.openxmlformats.org/officeDocument/2006/relationships/hyperlink" Target="https://www.clickslice.co.uk/top-geo-agencies-uk/" TargetMode="External"/><Relationship Id="rId2880" Type="http://schemas.openxmlformats.org/officeDocument/2006/relationships/hyperlink" Target="http://zipdo.co" TargetMode="External"/><Relationship Id="rId961" Type="http://schemas.openxmlformats.org/officeDocument/2006/relationships/hyperlink" Target="http://carmatec.co.uk" TargetMode="External"/><Relationship Id="rId1550" Type="http://schemas.openxmlformats.org/officeDocument/2006/relationships/hyperlink" Target="https://auditynow.com/blog/best-ai-readiness-assessment-tools" TargetMode="External"/><Relationship Id="rId2881" Type="http://schemas.openxmlformats.org/officeDocument/2006/relationships/hyperlink" Target="https://zipdo.co/service/customer-data-platform/" TargetMode="External"/><Relationship Id="rId960" Type="http://schemas.openxmlformats.org/officeDocument/2006/relationships/hyperlink" Target="https://carmatec.co.uk/blog/top-10-ai-consultancies-in-the-uk/" TargetMode="External"/><Relationship Id="rId1551" Type="http://schemas.openxmlformats.org/officeDocument/2006/relationships/hyperlink" Target="http://auditynow.com" TargetMode="External"/><Relationship Id="rId2882" Type="http://schemas.openxmlformats.org/officeDocument/2006/relationships/hyperlink" Target="http://zipdo.co" TargetMode="External"/><Relationship Id="rId1552" Type="http://schemas.openxmlformats.org/officeDocument/2006/relationships/hyperlink" Target="https://www.avaus.com/blog/how-media-agencies-can-utilize-first-party-data-to-drive-better-results/" TargetMode="External"/><Relationship Id="rId2883" Type="http://schemas.openxmlformats.org/officeDocument/2006/relationships/hyperlink" Target="https://zipdo.co/service/first-party-data/" TargetMode="External"/><Relationship Id="rId1553" Type="http://schemas.openxmlformats.org/officeDocument/2006/relationships/hyperlink" Target="http://avaus.com" TargetMode="External"/><Relationship Id="rId2400" Type="http://schemas.openxmlformats.org/officeDocument/2006/relationships/hyperlink" Target="http://ppckingdom.com" TargetMode="External"/><Relationship Id="rId2884" Type="http://schemas.openxmlformats.org/officeDocument/2006/relationships/hyperlink" Target="http://zipdo.co" TargetMode="External"/><Relationship Id="rId1543" Type="http://schemas.openxmlformats.org/officeDocument/2006/relationships/hyperlink" Target="http://atigro.com" TargetMode="External"/><Relationship Id="rId2874" Type="http://schemas.openxmlformats.org/officeDocument/2006/relationships/hyperlink" Target="http://youtube.com" TargetMode="External"/><Relationship Id="rId1544" Type="http://schemas.openxmlformats.org/officeDocument/2006/relationships/hyperlink" Target="https://www.attnagency.com/blog/first-party-data-activation-cdp-ad-platform-strategy" TargetMode="External"/><Relationship Id="rId2875" Type="http://schemas.openxmlformats.org/officeDocument/2006/relationships/hyperlink" Target="https://www.zealcreative.com/" TargetMode="External"/><Relationship Id="rId1545" Type="http://schemas.openxmlformats.org/officeDocument/2006/relationships/hyperlink" Target="http://attnagency.com" TargetMode="External"/><Relationship Id="rId2876" Type="http://schemas.openxmlformats.org/officeDocument/2006/relationships/hyperlink" Target="http://zealcreative.com" TargetMode="External"/><Relationship Id="rId1546" Type="http://schemas.openxmlformats.org/officeDocument/2006/relationships/hyperlink" Target="https://audigent.com/" TargetMode="External"/><Relationship Id="rId2877" Type="http://schemas.openxmlformats.org/officeDocument/2006/relationships/hyperlink" Target="https://zetaglobal.com/resource-center/ai-first-party-data-agency-growth/" TargetMode="External"/><Relationship Id="rId1547" Type="http://schemas.openxmlformats.org/officeDocument/2006/relationships/hyperlink" Target="http://audigent.com" TargetMode="External"/><Relationship Id="rId2878" Type="http://schemas.openxmlformats.org/officeDocument/2006/relationships/hyperlink" Target="http://zetaglobal.com" TargetMode="External"/><Relationship Id="rId1548" Type="http://schemas.openxmlformats.org/officeDocument/2006/relationships/hyperlink" Target="https://audigent.com/caseStudies/" TargetMode="External"/><Relationship Id="rId2879" Type="http://schemas.openxmlformats.org/officeDocument/2006/relationships/hyperlink" Target="https://zipdo.co/service/creative-advertising/" TargetMode="External"/><Relationship Id="rId1549" Type="http://schemas.openxmlformats.org/officeDocument/2006/relationships/hyperlink" Target="http://audigent.com" TargetMode="External"/><Relationship Id="rId959" Type="http://schemas.openxmlformats.org/officeDocument/2006/relationships/hyperlink" Target="http://carlosalbamedia.co.uk" TargetMode="External"/><Relationship Id="rId954" Type="http://schemas.openxmlformats.org/officeDocument/2006/relationships/hyperlink" Target="https://builtinlondon.uk/articles/advertising-companies-london" TargetMode="External"/><Relationship Id="rId953" Type="http://schemas.openxmlformats.org/officeDocument/2006/relationships/hyperlink" Target="http://braidr.ai" TargetMode="External"/><Relationship Id="rId952" Type="http://schemas.openxmlformats.org/officeDocument/2006/relationships/hyperlink" Target="https://braidr.ai/intelligence/ai-strategy-readiness-consulting/" TargetMode="External"/><Relationship Id="rId951" Type="http://schemas.openxmlformats.org/officeDocument/2006/relationships/hyperlink" Target="http://tenaciousmarketing.co.uk" TargetMode="External"/><Relationship Id="rId958" Type="http://schemas.openxmlformats.org/officeDocument/2006/relationships/hyperlink" Target="https://carlosalbamedia.co.uk/best-marketing-agency-uk/" TargetMode="External"/><Relationship Id="rId957" Type="http://schemas.openxmlformats.org/officeDocument/2006/relationships/hyperlink" Target="http://google.com" TargetMode="External"/><Relationship Id="rId956" Type="http://schemas.openxmlformats.org/officeDocument/2006/relationships/hyperlink" Target="https://business.google.com/en-all/support/become-a-partner/" TargetMode="External"/><Relationship Id="rId955" Type="http://schemas.openxmlformats.org/officeDocument/2006/relationships/hyperlink" Target="http://builtinlondon.uk" TargetMode="External"/><Relationship Id="rId950" Type="http://schemas.openxmlformats.org/officeDocument/2006/relationships/hyperlink" Target="https://blog.tenaciousmarketing.co.uk/top-15-best-geo-agencies-in-the-uk-2026" TargetMode="External"/><Relationship Id="rId2870" Type="http://schemas.openxmlformats.org/officeDocument/2006/relationships/hyperlink" Target="http://youtube.com" TargetMode="External"/><Relationship Id="rId1540" Type="http://schemas.openxmlformats.org/officeDocument/2006/relationships/hyperlink" Target="https://www.assertive-media.co.uk/digital-marketing/ppc/" TargetMode="External"/><Relationship Id="rId2871" Type="http://schemas.openxmlformats.org/officeDocument/2006/relationships/hyperlink" Target="https://www.youtube.com/watch?v=qnrNaTO7nCs" TargetMode="External"/><Relationship Id="rId1541" Type="http://schemas.openxmlformats.org/officeDocument/2006/relationships/hyperlink" Target="http://assertive-media.co.uk" TargetMode="External"/><Relationship Id="rId2872" Type="http://schemas.openxmlformats.org/officeDocument/2006/relationships/hyperlink" Target="http://youtube.com" TargetMode="External"/><Relationship Id="rId1542" Type="http://schemas.openxmlformats.org/officeDocument/2006/relationships/hyperlink" Target="https://www.atigro.com/consulting/ai-integration-strategy/" TargetMode="External"/><Relationship Id="rId2873" Type="http://schemas.openxmlformats.org/officeDocument/2006/relationships/hyperlink" Target="https://www.youtube.com/watch?v=wfXrhCjh9mA" TargetMode="External"/><Relationship Id="rId2027" Type="http://schemas.openxmlformats.org/officeDocument/2006/relationships/hyperlink" Target="http://google.com" TargetMode="External"/><Relationship Id="rId2028" Type="http://schemas.openxmlformats.org/officeDocument/2006/relationships/hyperlink" Target="https://www.google.com/searchviewer/10?svid=CAwSHBIaCgNwdnESE0Nnd3ZaeTh4TVRObWN6TTROWFEYCg" TargetMode="External"/><Relationship Id="rId2029" Type="http://schemas.openxmlformats.org/officeDocument/2006/relationships/hyperlink" Target="http://google.com" TargetMode="External"/><Relationship Id="rId590" Type="http://schemas.openxmlformats.org/officeDocument/2006/relationships/hyperlink" Target="https://www.reddit.com/r/Topagencies/comments/1spi0q0/top_ppc_agencies_in_england_packages_pricing_cost/" TargetMode="External"/><Relationship Id="rId107" Type="http://schemas.openxmlformats.org/officeDocument/2006/relationships/hyperlink" Target="http://tilio.co.uk" TargetMode="External"/><Relationship Id="rId106" Type="http://schemas.openxmlformats.org/officeDocument/2006/relationships/hyperlink" Target="https://www.tilio.co.uk/blog/the-ultimate-guide-to-aeo-agencies-in-the-uk-2026" TargetMode="External"/><Relationship Id="rId105" Type="http://schemas.openxmlformats.org/officeDocument/2006/relationships/hyperlink" Target="http://digitalagencynetwork.com" TargetMode="External"/><Relationship Id="rId589" Type="http://schemas.openxmlformats.org/officeDocument/2006/relationships/hyperlink" Target="http://reddit.com" TargetMode="External"/><Relationship Id="rId104" Type="http://schemas.openxmlformats.org/officeDocument/2006/relationships/hyperlink" Target="https://digitalagencynetwork.com/agencies/london/" TargetMode="External"/><Relationship Id="rId588" Type="http://schemas.openxmlformats.org/officeDocument/2006/relationships/hyperlink" Target="https://www.reddit.com/r/Superframeworks/comments/1twfxf1/10_best_ai_seo_geoaeo_agencies_for_2026_no/" TargetMode="External"/><Relationship Id="rId109" Type="http://schemas.openxmlformats.org/officeDocument/2006/relationships/hyperlink" Target="http://tilio.co.uk" TargetMode="External"/><Relationship Id="rId1170" Type="http://schemas.openxmlformats.org/officeDocument/2006/relationships/hyperlink" Target="https://www.designrush.com/agency/digital-marketing/artificial-intelligence" TargetMode="External"/><Relationship Id="rId108" Type="http://schemas.openxmlformats.org/officeDocument/2006/relationships/hyperlink" Target="https://www.tilio.co.uk/blog/top-geo-agencies-uk" TargetMode="External"/><Relationship Id="rId1171" Type="http://schemas.openxmlformats.org/officeDocument/2006/relationships/hyperlink" Target="http://designrush.com" TargetMode="External"/><Relationship Id="rId583" Type="http://schemas.openxmlformats.org/officeDocument/2006/relationships/hyperlink" Target="https://pinpoint-media.global/insights/top-10-paid-media-agencies-in-london" TargetMode="External"/><Relationship Id="rId1172" Type="http://schemas.openxmlformats.org/officeDocument/2006/relationships/hyperlink" Target="https://www.designrush.com/agency/digital-marketing/performance-marketing-agencies" TargetMode="External"/><Relationship Id="rId582" Type="http://schemas.openxmlformats.org/officeDocument/2006/relationships/hyperlink" Target="http://pearllemon.com" TargetMode="External"/><Relationship Id="rId1173" Type="http://schemas.openxmlformats.org/officeDocument/2006/relationships/hyperlink" Target="http://designrush.com" TargetMode="External"/><Relationship Id="rId2020" Type="http://schemas.openxmlformats.org/officeDocument/2006/relationships/hyperlink" Target="https://www.google.com/searchviewer/10?svid=CAwSGxIZCgNwdnESEkNnc3ZaeTh4ZEdjMWVqTXpaQRgK" TargetMode="External"/><Relationship Id="rId581" Type="http://schemas.openxmlformats.org/officeDocument/2006/relationships/hyperlink" Target="https://pearllemon.com/top-paid-media-agencies-uk/" TargetMode="External"/><Relationship Id="rId1174" Type="http://schemas.openxmlformats.org/officeDocument/2006/relationships/hyperlink" Target="https://www.designrush.com/agency/paid-media-pay-per-click/display-advertising-agency" TargetMode="External"/><Relationship Id="rId2021" Type="http://schemas.openxmlformats.org/officeDocument/2006/relationships/hyperlink" Target="http://google.com" TargetMode="External"/><Relationship Id="rId580" Type="http://schemas.openxmlformats.org/officeDocument/2006/relationships/hyperlink" Target="http://openkit.co.uk" TargetMode="External"/><Relationship Id="rId1175" Type="http://schemas.openxmlformats.org/officeDocument/2006/relationships/hyperlink" Target="http://designrush.com" TargetMode="External"/><Relationship Id="rId2022" Type="http://schemas.openxmlformats.org/officeDocument/2006/relationships/hyperlink" Target="https://www.google.com/searchviewer/10?svid=CAwSGxIZCgNwdnESEkNnc3ZaeTh4ZEdka2MyMXhiQRgK" TargetMode="External"/><Relationship Id="rId103" Type="http://schemas.openxmlformats.org/officeDocument/2006/relationships/hyperlink" Target="http://aeoagency.co.uk" TargetMode="External"/><Relationship Id="rId587" Type="http://schemas.openxmlformats.org/officeDocument/2006/relationships/hyperlink" Target="http://rank4ai.co.uk" TargetMode="External"/><Relationship Id="rId1176" Type="http://schemas.openxmlformats.org/officeDocument/2006/relationships/hyperlink" Target="https://digiscorp.com/best-ai-consulting-firms-in-london-top-ai-experts-for-your-business/" TargetMode="External"/><Relationship Id="rId2023" Type="http://schemas.openxmlformats.org/officeDocument/2006/relationships/hyperlink" Target="http://google.com" TargetMode="External"/><Relationship Id="rId102" Type="http://schemas.openxmlformats.org/officeDocument/2006/relationships/hyperlink" Target="https://aeoagency.co.uk/top-aeo-agencies-uk-list/" TargetMode="External"/><Relationship Id="rId586" Type="http://schemas.openxmlformats.org/officeDocument/2006/relationships/hyperlink" Target="https://www.rank4ai.co.uk/research/rankings/" TargetMode="External"/><Relationship Id="rId1177" Type="http://schemas.openxmlformats.org/officeDocument/2006/relationships/hyperlink" Target="http://digiscorp.com" TargetMode="External"/><Relationship Id="rId2024" Type="http://schemas.openxmlformats.org/officeDocument/2006/relationships/hyperlink" Target="https://www.google.com/searchviewer/10?svid=CAwSGxIZCgNwdnESEkNnc3ZaeTh4ZEdvemEydHFhQRgK" TargetMode="External"/><Relationship Id="rId101" Type="http://schemas.openxmlformats.org/officeDocument/2006/relationships/hyperlink" Target="http://pushgroup.co.uk" TargetMode="External"/><Relationship Id="rId585" Type="http://schemas.openxmlformats.org/officeDocument/2006/relationships/hyperlink" Target="http://pushgroup.co.uk" TargetMode="External"/><Relationship Id="rId1178" Type="http://schemas.openxmlformats.org/officeDocument/2006/relationships/hyperlink" Target="https://www.digitalagencyleaders.net/blog/best-ai-seo-agencies-uk" TargetMode="External"/><Relationship Id="rId2025" Type="http://schemas.openxmlformats.org/officeDocument/2006/relationships/hyperlink" Target="http://google.com" TargetMode="External"/><Relationship Id="rId100" Type="http://schemas.openxmlformats.org/officeDocument/2006/relationships/hyperlink" Target="https://www.pushgroup.co.uk/blog/top-9-geo-agencies-in-the-uk" TargetMode="External"/><Relationship Id="rId584" Type="http://schemas.openxmlformats.org/officeDocument/2006/relationships/hyperlink" Target="https://www.pushgroup.co.uk/" TargetMode="External"/><Relationship Id="rId1179" Type="http://schemas.openxmlformats.org/officeDocument/2006/relationships/hyperlink" Target="http://digitalagencyleaders.net" TargetMode="External"/><Relationship Id="rId2026" Type="http://schemas.openxmlformats.org/officeDocument/2006/relationships/hyperlink" Target="https://www.google.com/searchviewer/10?svid=CAwSGxIZCgNwdnESEkNnc3ZaeTh4ZGpnek1HeHFadxgK" TargetMode="External"/><Relationship Id="rId1169" Type="http://schemas.openxmlformats.org/officeDocument/2006/relationships/hyperlink" Target="http://deptagency.com" TargetMode="External"/><Relationship Id="rId2016" Type="http://schemas.openxmlformats.org/officeDocument/2006/relationships/hyperlink" Target="https://www.google.com/searchviewer/10?svid=CAwSGxIZCgNwdnESEkNnc3ZaeTh4ZEdRMFpEQnpPQRgK" TargetMode="External"/><Relationship Id="rId2017" Type="http://schemas.openxmlformats.org/officeDocument/2006/relationships/hyperlink" Target="http://google.com" TargetMode="External"/><Relationship Id="rId2018" Type="http://schemas.openxmlformats.org/officeDocument/2006/relationships/hyperlink" Target="https://www.google.com/searchviewer/10?svid=CAwSGxIZCgNwdnESEkNnc3ZaeTh4ZEdSNVgyWjNOZxgK" TargetMode="External"/><Relationship Id="rId2019" Type="http://schemas.openxmlformats.org/officeDocument/2006/relationships/hyperlink" Target="http://google.com" TargetMode="External"/><Relationship Id="rId579" Type="http://schemas.openxmlformats.org/officeDocument/2006/relationships/hyperlink" Target="https://openkit.co.uk/ai-services/ai-consulting" TargetMode="External"/><Relationship Id="rId578" Type="http://schemas.openxmlformats.org/officeDocument/2006/relationships/hyperlink" Target="http://google.com" TargetMode="External"/><Relationship Id="rId577" Type="http://schemas.openxmlformats.org/officeDocument/2006/relationships/hyperlink" Target="https://marketingplatform.google.com/about/partners/find-a-partner?category=206" TargetMode="External"/><Relationship Id="rId2490" Type="http://schemas.openxmlformats.org/officeDocument/2006/relationships/hyperlink" Target="http://rightsideup.com" TargetMode="External"/><Relationship Id="rId1160" Type="http://schemas.openxmlformats.org/officeDocument/2006/relationships/hyperlink" Target="https://clutch.co/consulting/ai/uk?page=3" TargetMode="External"/><Relationship Id="rId2491" Type="http://schemas.openxmlformats.org/officeDocument/2006/relationships/hyperlink" Target="https://www.rockerbox.com/testing" TargetMode="External"/><Relationship Id="rId572" Type="http://schemas.openxmlformats.org/officeDocument/2006/relationships/hyperlink" Target="https://www.hotwireglobal.co.uk/our-services/ai-consulting-tech/" TargetMode="External"/><Relationship Id="rId1161" Type="http://schemas.openxmlformats.org/officeDocument/2006/relationships/hyperlink" Target="http://clutch.co" TargetMode="External"/><Relationship Id="rId2492" Type="http://schemas.openxmlformats.org/officeDocument/2006/relationships/hyperlink" Target="http://rockerbox.com" TargetMode="External"/><Relationship Id="rId571" Type="http://schemas.openxmlformats.org/officeDocument/2006/relationships/hyperlink" Target="http://havasmarket.co.uk" TargetMode="External"/><Relationship Id="rId1162" Type="http://schemas.openxmlformats.org/officeDocument/2006/relationships/hyperlink" Target="https://croud.com/en-gb/services/audience-suite/measurement/" TargetMode="External"/><Relationship Id="rId2493" Type="http://schemas.openxmlformats.org/officeDocument/2006/relationships/hyperlink" Target="https://www.ruleranalytics.com/blog/analytics/marketing-attribution-software/" TargetMode="External"/><Relationship Id="rId570" Type="http://schemas.openxmlformats.org/officeDocument/2006/relationships/hyperlink" Target="https://www.havasmarket.co.uk/data-science-analytics/" TargetMode="External"/><Relationship Id="rId1163" Type="http://schemas.openxmlformats.org/officeDocument/2006/relationships/hyperlink" Target="http://croud.com" TargetMode="External"/><Relationship Id="rId2010" Type="http://schemas.openxmlformats.org/officeDocument/2006/relationships/hyperlink" Target="https://www.google.co.uk/partners/agency?id=6371674378" TargetMode="External"/><Relationship Id="rId2494" Type="http://schemas.openxmlformats.org/officeDocument/2006/relationships/hyperlink" Target="http://ruleranalytics.com" TargetMode="External"/><Relationship Id="rId1164" Type="http://schemas.openxmlformats.org/officeDocument/2006/relationships/hyperlink" Target="https://www.deducive.com/" TargetMode="External"/><Relationship Id="rId2011" Type="http://schemas.openxmlformats.org/officeDocument/2006/relationships/hyperlink" Target="http://google.co.uk" TargetMode="External"/><Relationship Id="rId2495" Type="http://schemas.openxmlformats.org/officeDocument/2006/relationships/hyperlink" Target="https://s360digital.com/about/careers/" TargetMode="External"/><Relationship Id="rId576" Type="http://schemas.openxmlformats.org/officeDocument/2006/relationships/hyperlink" Target="http://influencer-hero.com" TargetMode="External"/><Relationship Id="rId1165" Type="http://schemas.openxmlformats.org/officeDocument/2006/relationships/hyperlink" Target="http://deducive.com" TargetMode="External"/><Relationship Id="rId2012" Type="http://schemas.openxmlformats.org/officeDocument/2006/relationships/hyperlink" Target="https://www.google.com/searchviewer/10?svid=CAwSGxIZCgNwdnESEkNnc3ZaeTh4ZEd4ZmJEWXhlURgK" TargetMode="External"/><Relationship Id="rId2496" Type="http://schemas.openxmlformats.org/officeDocument/2006/relationships/hyperlink" Target="http://s360digital.com" TargetMode="External"/><Relationship Id="rId575" Type="http://schemas.openxmlformats.org/officeDocument/2006/relationships/hyperlink" Target="https://www.influencer-hero.com/de/blogs/top-paid-media-agencies-in-the-united-kingdom" TargetMode="External"/><Relationship Id="rId1166" Type="http://schemas.openxmlformats.org/officeDocument/2006/relationships/hyperlink" Target="https://www.deloitte.co.uk/fast50/winners/2016/winner-profiles/brainlabs/" TargetMode="External"/><Relationship Id="rId2013" Type="http://schemas.openxmlformats.org/officeDocument/2006/relationships/hyperlink" Target="http://google.com" TargetMode="External"/><Relationship Id="rId2497" Type="http://schemas.openxmlformats.org/officeDocument/2006/relationships/hyperlink" Target="https://saleshive.com/vendors/ruler-analytics" TargetMode="External"/><Relationship Id="rId574" Type="http://schemas.openxmlformats.org/officeDocument/2006/relationships/hyperlink" Target="https://inbeat.agency/blog/incrementality-testing" TargetMode="External"/><Relationship Id="rId1167" Type="http://schemas.openxmlformats.org/officeDocument/2006/relationships/hyperlink" Target="http://deloitte.co.uk" TargetMode="External"/><Relationship Id="rId2014" Type="http://schemas.openxmlformats.org/officeDocument/2006/relationships/hyperlink" Target="https://www.google.com/searchviewer/10?svid=CAwSGxIZCgNwdnESEkNnc3ZaeTh4ZEdONGVqbG9OZxgK" TargetMode="External"/><Relationship Id="rId2498" Type="http://schemas.openxmlformats.org/officeDocument/2006/relationships/hyperlink" Target="http://saleshive.com" TargetMode="External"/><Relationship Id="rId573" Type="http://schemas.openxmlformats.org/officeDocument/2006/relationships/hyperlink" Target="http://hotwireglobal.co.uk" TargetMode="External"/><Relationship Id="rId1168" Type="http://schemas.openxmlformats.org/officeDocument/2006/relationships/hyperlink" Target="https://www.deptagency.com/partner/google-marketing-platform/" TargetMode="External"/><Relationship Id="rId2015" Type="http://schemas.openxmlformats.org/officeDocument/2006/relationships/hyperlink" Target="http://google.com" TargetMode="External"/><Relationship Id="rId2499" Type="http://schemas.openxmlformats.org/officeDocument/2006/relationships/hyperlink" Target="https://scaleforte.co.uk/paid-social-services/" TargetMode="External"/><Relationship Id="rId2049" Type="http://schemas.openxmlformats.org/officeDocument/2006/relationships/hyperlink" Target="http://google.com" TargetMode="External"/><Relationship Id="rId129" Type="http://schemas.openxmlformats.org/officeDocument/2006/relationships/hyperlink" Target="https://disruptmarketing.co/paid-social/" TargetMode="External"/><Relationship Id="rId128" Type="http://schemas.openxmlformats.org/officeDocument/2006/relationships/hyperlink" Target="http://clutch.co" TargetMode="External"/><Relationship Id="rId127" Type="http://schemas.openxmlformats.org/officeDocument/2006/relationships/hyperlink" Target="https://clutch.co/agencies/creative/uk" TargetMode="External"/><Relationship Id="rId126" Type="http://schemas.openxmlformats.org/officeDocument/2006/relationships/hyperlink" Target="http://charle.co.uk" TargetMode="External"/><Relationship Id="rId1190" Type="http://schemas.openxmlformats.org/officeDocument/2006/relationships/hyperlink" Target="https://www.dpom.co.uk/social-media-advertising/" TargetMode="External"/><Relationship Id="rId1191" Type="http://schemas.openxmlformats.org/officeDocument/2006/relationships/hyperlink" Target="http://dpom.co.uk" TargetMode="External"/><Relationship Id="rId1192" Type="http://schemas.openxmlformats.org/officeDocument/2006/relationships/hyperlink" Target="https://ebiquity.com/" TargetMode="External"/><Relationship Id="rId1193" Type="http://schemas.openxmlformats.org/officeDocument/2006/relationships/hyperlink" Target="http://ebiquity.com" TargetMode="External"/><Relationship Id="rId2040" Type="http://schemas.openxmlformats.org/officeDocument/2006/relationships/hyperlink" Target="https://www.google.com/searchviewer/10?svid=CAwSHBIaCgNwdnESE0Nnd3ZaeTh4YW1kdE1XWjVjMjQYCg" TargetMode="External"/><Relationship Id="rId121" Type="http://schemas.openxmlformats.org/officeDocument/2006/relationships/hyperlink" Target="https://www.pushgroup.co.uk/blog/top-9-answer-engine-optimisation-agencies-uk" TargetMode="External"/><Relationship Id="rId1194" Type="http://schemas.openxmlformats.org/officeDocument/2006/relationships/hyperlink" Target="https://ebiquity.com/solutions/grow/testmatch/" TargetMode="External"/><Relationship Id="rId2041" Type="http://schemas.openxmlformats.org/officeDocument/2006/relationships/hyperlink" Target="http://google.com" TargetMode="External"/><Relationship Id="rId120" Type="http://schemas.openxmlformats.org/officeDocument/2006/relationships/hyperlink" Target="http://purealanalytics.co.uk" TargetMode="External"/><Relationship Id="rId1195" Type="http://schemas.openxmlformats.org/officeDocument/2006/relationships/hyperlink" Target="http://ebiquity.com" TargetMode="External"/><Relationship Id="rId2042" Type="http://schemas.openxmlformats.org/officeDocument/2006/relationships/hyperlink" Target="https://www.google.com/searchviewer/10?svid=CAwSHRIbCgNwdnESFENnMHZaeTh4TVc1aWFtUjVORGR1GAo" TargetMode="External"/><Relationship Id="rId1196" Type="http://schemas.openxmlformats.org/officeDocument/2006/relationships/hyperlink" Target="https://eintelligenceweb.com/blog/top-generative-engine-optimisation-geo-agencies/" TargetMode="External"/><Relationship Id="rId2043" Type="http://schemas.openxmlformats.org/officeDocument/2006/relationships/hyperlink" Target="http://google.com" TargetMode="External"/><Relationship Id="rId1197" Type="http://schemas.openxmlformats.org/officeDocument/2006/relationships/hyperlink" Target="http://eintelligenceweb.com" TargetMode="External"/><Relationship Id="rId2044" Type="http://schemas.openxmlformats.org/officeDocument/2006/relationships/hyperlink" Target="https://www.google.com/searchviewer/10?svid=CAwSHRIbCgNwdnESFENnMHZaeTh4TVdJMlkzQjRNbUl6GAo" TargetMode="External"/><Relationship Id="rId125" Type="http://schemas.openxmlformats.org/officeDocument/2006/relationships/hyperlink" Target="https://www.charle.co.uk/articles/top-ai-seo-agencies/" TargetMode="External"/><Relationship Id="rId1198" Type="http://schemas.openxmlformats.org/officeDocument/2006/relationships/hyperlink" Target="https://www.ekimetrics.com/articles/incrementality-testing-how-to-measure-what-marketing-actually-causes" TargetMode="External"/><Relationship Id="rId2045" Type="http://schemas.openxmlformats.org/officeDocument/2006/relationships/hyperlink" Target="http://google.com" TargetMode="External"/><Relationship Id="rId124" Type="http://schemas.openxmlformats.org/officeDocument/2006/relationships/hyperlink" Target="http://sortlist.co.uk" TargetMode="External"/><Relationship Id="rId1199" Type="http://schemas.openxmlformats.org/officeDocument/2006/relationships/hyperlink" Target="http://ekimetrics.com" TargetMode="External"/><Relationship Id="rId2046" Type="http://schemas.openxmlformats.org/officeDocument/2006/relationships/hyperlink" Target="https://www.google.com/searchviewer/10?svid=CAwSHRIbCgNwdnESFENnMHZaeTh4TVdKM1p6bGZjbUkwGAo" TargetMode="External"/><Relationship Id="rId123" Type="http://schemas.openxmlformats.org/officeDocument/2006/relationships/hyperlink" Target="https://www.sortlist.co.uk/s/paid-media/london-england-gb" TargetMode="External"/><Relationship Id="rId2047" Type="http://schemas.openxmlformats.org/officeDocument/2006/relationships/hyperlink" Target="http://google.com" TargetMode="External"/><Relationship Id="rId122" Type="http://schemas.openxmlformats.org/officeDocument/2006/relationships/hyperlink" Target="http://pushgroup.co.uk" TargetMode="External"/><Relationship Id="rId2048" Type="http://schemas.openxmlformats.org/officeDocument/2006/relationships/hyperlink" Target="https://www.google.com/searchviewer/10?svid=CAwSHRIbCgNwdnESFENnMHZaeTh4TVdKMGJUbHdYM1JzGAo" TargetMode="External"/><Relationship Id="rId2038" Type="http://schemas.openxmlformats.org/officeDocument/2006/relationships/hyperlink" Target="https://www.google.com/searchviewer/10?svid=CAwSHBIaCgNwdnESE0Nnd3ZaeTh4Y1RacVkyMDFlVFUYCg" TargetMode="External"/><Relationship Id="rId2039" Type="http://schemas.openxmlformats.org/officeDocument/2006/relationships/hyperlink" Target="http://google.com" TargetMode="External"/><Relationship Id="rId118" Type="http://schemas.openxmlformats.org/officeDocument/2006/relationships/hyperlink" Target="https://www.munro.agency/ai-marketing-agency/" TargetMode="External"/><Relationship Id="rId117" Type="http://schemas.openxmlformats.org/officeDocument/2006/relationships/hyperlink" Target="http://hunterlodge.co.uk" TargetMode="External"/><Relationship Id="rId116" Type="http://schemas.openxmlformats.org/officeDocument/2006/relationships/hyperlink" Target="https://www.hunterlodge.co.uk/ai-visibility-research/insights/top-ai-visibility-agencies-in-the-uk/" TargetMode="External"/><Relationship Id="rId115" Type="http://schemas.openxmlformats.org/officeDocument/2006/relationships/hyperlink" Target="http://digitalagencynetwork.com" TargetMode="External"/><Relationship Id="rId599" Type="http://schemas.openxmlformats.org/officeDocument/2006/relationships/hyperlink" Target="http://sellforte.com" TargetMode="External"/><Relationship Id="rId1180" Type="http://schemas.openxmlformats.org/officeDocument/2006/relationships/hyperlink" Target="https://digitalagencynetwork.com/agencies/uk/online-advertising/" TargetMode="External"/><Relationship Id="rId1181" Type="http://schemas.openxmlformats.org/officeDocument/2006/relationships/hyperlink" Target="http://digitalagencynetwork.com" TargetMode="External"/><Relationship Id="rId119" Type="http://schemas.openxmlformats.org/officeDocument/2006/relationships/hyperlink" Target="https://purealanalytics.co.uk/" TargetMode="External"/><Relationship Id="rId1182" Type="http://schemas.openxmlformats.org/officeDocument/2006/relationships/hyperlink" Target="https://digitalagencynetwork.com/agencies/usa/ai-marketing/" TargetMode="External"/><Relationship Id="rId110" Type="http://schemas.openxmlformats.org/officeDocument/2006/relationships/hyperlink" Target="https://www.triplewhale.com/blog/best-incrementality-testing-tools" TargetMode="External"/><Relationship Id="rId594" Type="http://schemas.openxmlformats.org/officeDocument/2006/relationships/hyperlink" Target="https://s360digital.com/capabilities/data/incrementality-testing/" TargetMode="External"/><Relationship Id="rId1183" Type="http://schemas.openxmlformats.org/officeDocument/2006/relationships/hyperlink" Target="http://digitalagencynetwork.com" TargetMode="External"/><Relationship Id="rId2030" Type="http://schemas.openxmlformats.org/officeDocument/2006/relationships/hyperlink" Target="https://www.google.com/searchviewer/10?svid=CAwSHBIaCgNwdnESE0Nnd3ZaeTh4TW0wNU9ERnJOM2sYCg" TargetMode="External"/><Relationship Id="rId593" Type="http://schemas.openxmlformats.org/officeDocument/2006/relationships/hyperlink" Target="http://reuters.com" TargetMode="External"/><Relationship Id="rId1184" Type="http://schemas.openxmlformats.org/officeDocument/2006/relationships/hyperlink" Target="https://digitalmarketingcompanyinlondon.com/best-10-paid-media-agencies-in-london-2025/" TargetMode="External"/><Relationship Id="rId2031" Type="http://schemas.openxmlformats.org/officeDocument/2006/relationships/hyperlink" Target="http://google.com" TargetMode="External"/><Relationship Id="rId592" Type="http://schemas.openxmlformats.org/officeDocument/2006/relationships/hyperlink" Target="https://www.reuters.com/business/publicis-raises-growth-target-ai-driven-marketing-demand-stays-strong-2026-07-16/" TargetMode="External"/><Relationship Id="rId1185" Type="http://schemas.openxmlformats.org/officeDocument/2006/relationships/hyperlink" Target="http://digitalmarketingcompanyinlondon.com" TargetMode="External"/><Relationship Id="rId2032" Type="http://schemas.openxmlformats.org/officeDocument/2006/relationships/hyperlink" Target="https://www.google.com/searchviewer/10?svid=CAwSHBIaCgNwdnESE0Nnd3ZaeTh4TW0xc01ubDNkMkkYCg" TargetMode="External"/><Relationship Id="rId591" Type="http://schemas.openxmlformats.org/officeDocument/2006/relationships/hyperlink" Target="http://reddit.com" TargetMode="External"/><Relationship Id="rId1186" Type="http://schemas.openxmlformats.org/officeDocument/2006/relationships/hyperlink" Target="https://directiveconsulting.com/blog/top-performance-marketing-agencies/" TargetMode="External"/><Relationship Id="rId2033" Type="http://schemas.openxmlformats.org/officeDocument/2006/relationships/hyperlink" Target="http://google.com" TargetMode="External"/><Relationship Id="rId114" Type="http://schemas.openxmlformats.org/officeDocument/2006/relationships/hyperlink" Target="https://digitalagencynetwork.com/agencies/uk/" TargetMode="External"/><Relationship Id="rId598" Type="http://schemas.openxmlformats.org/officeDocument/2006/relationships/hyperlink" Target="https://sellforte.com/" TargetMode="External"/><Relationship Id="rId1187" Type="http://schemas.openxmlformats.org/officeDocument/2006/relationships/hyperlink" Target="http://directiveconsulting.com" TargetMode="External"/><Relationship Id="rId2034" Type="http://schemas.openxmlformats.org/officeDocument/2006/relationships/hyperlink" Target="https://www.google.com/searchviewer/10?svid=CAwSHBIaCgNwdnESE0Nnd3ZaeTh4TW1Od01qTnNNV2cYCg" TargetMode="External"/><Relationship Id="rId113" Type="http://schemas.openxmlformats.org/officeDocument/2006/relationships/hyperlink" Target="http://cometly.com" TargetMode="External"/><Relationship Id="rId597" Type="http://schemas.openxmlformats.org/officeDocument/2006/relationships/hyperlink" Target="http://salocin-group.com" TargetMode="External"/><Relationship Id="rId1188" Type="http://schemas.openxmlformats.org/officeDocument/2006/relationships/hyperlink" Target="https://directiveconsulting.com/uk/blog/25-best-advertising-agencies-built-for-media-momentum/" TargetMode="External"/><Relationship Id="rId2035" Type="http://schemas.openxmlformats.org/officeDocument/2006/relationships/hyperlink" Target="http://google.com" TargetMode="External"/><Relationship Id="rId112" Type="http://schemas.openxmlformats.org/officeDocument/2006/relationships/hyperlink" Target="https://www.cometly.com/post/marketing-incrementality-testing-tools" TargetMode="External"/><Relationship Id="rId596" Type="http://schemas.openxmlformats.org/officeDocument/2006/relationships/hyperlink" Target="https://salocin-group.com/our-services/ai-consulting-services/" TargetMode="External"/><Relationship Id="rId1189" Type="http://schemas.openxmlformats.org/officeDocument/2006/relationships/hyperlink" Target="http://directiveconsulting.com" TargetMode="External"/><Relationship Id="rId2036" Type="http://schemas.openxmlformats.org/officeDocument/2006/relationships/hyperlink" Target="https://www.google.com/searchviewer/10?svid=CAwSHBIaCgNwdnESE0Nnd3ZaeTh4Y0hSMmRtb3dZMkkYCg" TargetMode="External"/><Relationship Id="rId111" Type="http://schemas.openxmlformats.org/officeDocument/2006/relationships/hyperlink" Target="http://triplewhale.com" TargetMode="External"/><Relationship Id="rId595" Type="http://schemas.openxmlformats.org/officeDocument/2006/relationships/hyperlink" Target="http://s360digital.com" TargetMode="External"/><Relationship Id="rId2037" Type="http://schemas.openxmlformats.org/officeDocument/2006/relationships/hyperlink" Target="http://google.com" TargetMode="External"/><Relationship Id="rId1136" Type="http://schemas.openxmlformats.org/officeDocument/2006/relationships/hyperlink" Target="https://www.campaignlive.co.uk/article/lists-2024-top-five-advertisers/1900249" TargetMode="External"/><Relationship Id="rId2467" Type="http://schemas.openxmlformats.org/officeDocument/2006/relationships/hyperlink" Target="https://www.reddit.com/r/agency/comments/1j8nw3r/digital_marketing_attribution_challenges/" TargetMode="External"/><Relationship Id="rId1137" Type="http://schemas.openxmlformats.org/officeDocument/2006/relationships/hyperlink" Target="http://campaignlive.co.uk" TargetMode="External"/><Relationship Id="rId2468" Type="http://schemas.openxmlformats.org/officeDocument/2006/relationships/hyperlink" Target="http://reddit.com" TargetMode="External"/><Relationship Id="rId1138" Type="http://schemas.openxmlformats.org/officeDocument/2006/relationships/hyperlink" Target="https://www.carrieannsudlow.co.uk/ai-seo-agency/" TargetMode="External"/><Relationship Id="rId2469" Type="http://schemas.openxmlformats.org/officeDocument/2006/relationships/hyperlink" Target="https://www.reddit.com/r/branding/comments/d6zp5l/what_are_the_top_branding_agencies_out_there/" TargetMode="External"/><Relationship Id="rId1139" Type="http://schemas.openxmlformats.org/officeDocument/2006/relationships/hyperlink" Target="http://carrieannsudlow.co.uk" TargetMode="External"/><Relationship Id="rId547" Type="http://schemas.openxmlformats.org/officeDocument/2006/relationships/hyperlink" Target="http://aether-agency.co.uk" TargetMode="External"/><Relationship Id="rId546" Type="http://schemas.openxmlformats.org/officeDocument/2006/relationships/hyperlink" Target="https://aether-agency.co.uk/insights/incrementality-testing-marketing-guide-uk-2026" TargetMode="External"/><Relationship Id="rId545" Type="http://schemas.openxmlformats.org/officeDocument/2006/relationships/hyperlink" Target="http://wishu.io" TargetMode="External"/><Relationship Id="rId544" Type="http://schemas.openxmlformats.org/officeDocument/2006/relationships/hyperlink" Target="https://wishu.io/the-100-uk-creative-agencies/" TargetMode="External"/><Relationship Id="rId549" Type="http://schemas.openxmlformats.org/officeDocument/2006/relationships/hyperlink" Target="http://semrush.com" TargetMode="External"/><Relationship Id="rId548" Type="http://schemas.openxmlformats.org/officeDocument/2006/relationships/hyperlink" Target="https://agencies.semrush.com/list/advertising/united-kingdom/" TargetMode="External"/><Relationship Id="rId2460" Type="http://schemas.openxmlformats.org/officeDocument/2006/relationships/hyperlink" Target="http://reddit.com" TargetMode="External"/><Relationship Id="rId1130" Type="http://schemas.openxmlformats.org/officeDocument/2006/relationships/hyperlink" Target="https://www.businessinsider.com/ai-adoption-strategies-companies-2026-7" TargetMode="External"/><Relationship Id="rId2461" Type="http://schemas.openxmlformats.org/officeDocument/2006/relationships/hyperlink" Target="https://www.reddit.com/r/DigitalMarketing/comments/1tdfcjb/every_seo_agency_now_lists_ai_search_optimization/" TargetMode="External"/><Relationship Id="rId1131" Type="http://schemas.openxmlformats.org/officeDocument/2006/relationships/hyperlink" Target="http://businessinsider.com" TargetMode="External"/><Relationship Id="rId2462" Type="http://schemas.openxmlformats.org/officeDocument/2006/relationships/hyperlink" Target="http://reddit.com" TargetMode="External"/><Relationship Id="rId543" Type="http://schemas.openxmlformats.org/officeDocument/2006/relationships/hyperlink" Target="http://themanifest.com" TargetMode="External"/><Relationship Id="rId1132" Type="http://schemas.openxmlformats.org/officeDocument/2006/relationships/hyperlink" Target="https://www.businessinsider.com/how-coach-american-eagle-cmos-stand-out-ai-platforms-2026-7" TargetMode="External"/><Relationship Id="rId2463" Type="http://schemas.openxmlformats.org/officeDocument/2006/relationships/hyperlink" Target="https://www.reddit.com/r/MktgSupermarket/comments/1rqsemv/i_spent_weeks_researching_london_digital/" TargetMode="External"/><Relationship Id="rId542" Type="http://schemas.openxmlformats.org/officeDocument/2006/relationships/hyperlink" Target="https://themanifest.com/creative/agencies/uk" TargetMode="External"/><Relationship Id="rId1133" Type="http://schemas.openxmlformats.org/officeDocument/2006/relationships/hyperlink" Target="http://businessinsider.com" TargetMode="External"/><Relationship Id="rId2464" Type="http://schemas.openxmlformats.org/officeDocument/2006/relationships/hyperlink" Target="http://reddit.com" TargetMode="External"/><Relationship Id="rId541" Type="http://schemas.openxmlformats.org/officeDocument/2006/relationships/hyperlink" Target="http://thegoodmarketer.co.uk" TargetMode="External"/><Relationship Id="rId1134" Type="http://schemas.openxmlformats.org/officeDocument/2006/relationships/hyperlink" Target="https://byter.com/social-media-advertising/" TargetMode="External"/><Relationship Id="rId2465" Type="http://schemas.openxmlformats.org/officeDocument/2006/relationships/hyperlink" Target="https://www.reddit.com/r/aeo/comments/1twcbr2/best_aeo_agency_guide_what_to_look_for_in_an/" TargetMode="External"/><Relationship Id="rId540" Type="http://schemas.openxmlformats.org/officeDocument/2006/relationships/hyperlink" Target="https://thegoodmarketer.co.uk/what-we-do/display-advertising/" TargetMode="External"/><Relationship Id="rId1135" Type="http://schemas.openxmlformats.org/officeDocument/2006/relationships/hyperlink" Target="http://byter.com" TargetMode="External"/><Relationship Id="rId2466" Type="http://schemas.openxmlformats.org/officeDocument/2006/relationships/hyperlink" Target="http://reddit.com" TargetMode="External"/><Relationship Id="rId1125" Type="http://schemas.openxmlformats.org/officeDocument/2006/relationships/hyperlink" Target="http://brillmedia.co" TargetMode="External"/><Relationship Id="rId2456" Type="http://schemas.openxmlformats.org/officeDocument/2006/relationships/hyperlink" Target="http://rebootonline.com" TargetMode="External"/><Relationship Id="rId1126" Type="http://schemas.openxmlformats.org/officeDocument/2006/relationships/hyperlink" Target="https://business.google.com/en-all/support/work-with-a-partner/" TargetMode="External"/><Relationship Id="rId2457" Type="http://schemas.openxmlformats.org/officeDocument/2006/relationships/hyperlink" Target="https://www.redcowmedia.co.uk/about-us/google-partners/" TargetMode="External"/><Relationship Id="rId1127" Type="http://schemas.openxmlformats.org/officeDocument/2006/relationships/hyperlink" Target="http://google.com" TargetMode="External"/><Relationship Id="rId2458" Type="http://schemas.openxmlformats.org/officeDocument/2006/relationships/hyperlink" Target="http://redcowmedia.co.uk" TargetMode="External"/><Relationship Id="rId1128" Type="http://schemas.openxmlformats.org/officeDocument/2006/relationships/hyperlink" Target="https://business.google.com/uk/support/become-a-partner/" TargetMode="External"/><Relationship Id="rId2459" Type="http://schemas.openxmlformats.org/officeDocument/2006/relationships/hyperlink" Target="https://www.reddit.com/r/Analyzify/comments/1d2js1n" TargetMode="External"/><Relationship Id="rId1129" Type="http://schemas.openxmlformats.org/officeDocument/2006/relationships/hyperlink" Target="http://google.com" TargetMode="External"/><Relationship Id="rId536" Type="http://schemas.openxmlformats.org/officeDocument/2006/relationships/hyperlink" Target="https://swifterm.com/top-google-ad-agencies-in-the-united-kingdom/" TargetMode="External"/><Relationship Id="rId535" Type="http://schemas.openxmlformats.org/officeDocument/2006/relationships/hyperlink" Target="http://stellaheystella.com" TargetMode="External"/><Relationship Id="rId534" Type="http://schemas.openxmlformats.org/officeDocument/2006/relationships/hyperlink" Target="https://www.stellaheystella.com/blog/incrementality-testing-platforms-the-complete-guide-to-measuring-true-marketing-impact-2025" TargetMode="External"/><Relationship Id="rId533" Type="http://schemas.openxmlformats.org/officeDocument/2006/relationships/hyperlink" Target="http://sourceforge.net" TargetMode="External"/><Relationship Id="rId539" Type="http://schemas.openxmlformats.org/officeDocument/2006/relationships/hyperlink" Target="http://thedigitalmaze.com" TargetMode="External"/><Relationship Id="rId538" Type="http://schemas.openxmlformats.org/officeDocument/2006/relationships/hyperlink" Target="https://thedigitalmaze.com/blog/top-10-ppc-agencies-in-the-uk-2026/" TargetMode="External"/><Relationship Id="rId537" Type="http://schemas.openxmlformats.org/officeDocument/2006/relationships/hyperlink" Target="http://swifterm.com" TargetMode="External"/><Relationship Id="rId2450" Type="http://schemas.openxmlformats.org/officeDocument/2006/relationships/hyperlink" Target="http://rank4ai.co.uk" TargetMode="External"/><Relationship Id="rId1120" Type="http://schemas.openxmlformats.org/officeDocument/2006/relationships/hyperlink" Target="https://bird.co.uk/social-media/" TargetMode="External"/><Relationship Id="rId2451" Type="http://schemas.openxmlformats.org/officeDocument/2006/relationships/hyperlink" Target="https://www.rank4ai.co.uk/research/rankings/geo-vs-aeo-agencies-uk/" TargetMode="External"/><Relationship Id="rId532" Type="http://schemas.openxmlformats.org/officeDocument/2006/relationships/hyperlink" Target="https://sourceforge.net/software/incrementality-testing/uk/" TargetMode="External"/><Relationship Id="rId1121" Type="http://schemas.openxmlformats.org/officeDocument/2006/relationships/hyperlink" Target="http://bird.co.uk" TargetMode="External"/><Relationship Id="rId2452" Type="http://schemas.openxmlformats.org/officeDocument/2006/relationships/hyperlink" Target="http://rank4ai.co.uk" TargetMode="External"/><Relationship Id="rId531" Type="http://schemas.openxmlformats.org/officeDocument/2006/relationships/hyperlink" Target="http://sortlist.co.uk" TargetMode="External"/><Relationship Id="rId1122" Type="http://schemas.openxmlformats.org/officeDocument/2006/relationships/hyperlink" Target="https://www.brainlabsdigital.com/" TargetMode="External"/><Relationship Id="rId2453" Type="http://schemas.openxmlformats.org/officeDocument/2006/relationships/hyperlink" Target="https://www.rank4ai.co.uk/research/rankings/top-ai-search-agencies-uk/" TargetMode="External"/><Relationship Id="rId530" Type="http://schemas.openxmlformats.org/officeDocument/2006/relationships/hyperlink" Target="https://www.sortlist.co.uk/s/performance-marketing/england-england-gb" TargetMode="External"/><Relationship Id="rId1123" Type="http://schemas.openxmlformats.org/officeDocument/2006/relationships/hyperlink" Target="http://brainlabsdigital.com" TargetMode="External"/><Relationship Id="rId2454" Type="http://schemas.openxmlformats.org/officeDocument/2006/relationships/hyperlink" Target="http://rank4ai.co.uk" TargetMode="External"/><Relationship Id="rId1124" Type="http://schemas.openxmlformats.org/officeDocument/2006/relationships/hyperlink" Target="https://brillmedia.co/resources/best-display-advertising-agencies/" TargetMode="External"/><Relationship Id="rId2455" Type="http://schemas.openxmlformats.org/officeDocument/2006/relationships/hyperlink" Target="https://www.rebootonline.com/data-marketing/best-data-marketing-agencies/" TargetMode="External"/><Relationship Id="rId1158" Type="http://schemas.openxmlformats.org/officeDocument/2006/relationships/hyperlink" Target="https://clutch.co/agencies/social-media-marketing/influencer/uk" TargetMode="External"/><Relationship Id="rId2005" Type="http://schemas.openxmlformats.org/officeDocument/2006/relationships/hyperlink" Target="http://goodfirms.co" TargetMode="External"/><Relationship Id="rId2489" Type="http://schemas.openxmlformats.org/officeDocument/2006/relationships/hyperlink" Target="https://www.rightsideup.com/blog/guide-to-marketing-incrementality-testing" TargetMode="External"/><Relationship Id="rId1159" Type="http://schemas.openxmlformats.org/officeDocument/2006/relationships/hyperlink" Target="http://clutch.co" TargetMode="External"/><Relationship Id="rId2006" Type="http://schemas.openxmlformats.org/officeDocument/2006/relationships/hyperlink" Target="https://www.goodfirms.co/directory/country/top-digital-marketing-companies/media-planning-buying/uk" TargetMode="External"/><Relationship Id="rId2007" Type="http://schemas.openxmlformats.org/officeDocument/2006/relationships/hyperlink" Target="http://goodfirms.co" TargetMode="External"/><Relationship Id="rId2008" Type="http://schemas.openxmlformats.org/officeDocument/2006/relationships/hyperlink" Target="https://google.assemblyglobal.com/licensing" TargetMode="External"/><Relationship Id="rId2009" Type="http://schemas.openxmlformats.org/officeDocument/2006/relationships/hyperlink" Target="http://assemblyglobal.com" TargetMode="External"/><Relationship Id="rId569" Type="http://schemas.openxmlformats.org/officeDocument/2006/relationships/hyperlink" Target="http://getrecast.com" TargetMode="External"/><Relationship Id="rId568" Type="http://schemas.openxmlformats.org/officeDocument/2006/relationships/hyperlink" Target="https://getrecast.com/experimentation/" TargetMode="External"/><Relationship Id="rId567" Type="http://schemas.openxmlformats.org/officeDocument/2006/relationships/hyperlink" Target="http://found.co.uk" TargetMode="External"/><Relationship Id="rId566" Type="http://schemas.openxmlformats.org/officeDocument/2006/relationships/hyperlink" Target="https://www.found.co.uk/services/seo/ai-seo/geo-seo/" TargetMode="External"/><Relationship Id="rId2480" Type="http://schemas.openxmlformats.org/officeDocument/2006/relationships/hyperlink" Target="http://reflectdigital.co.uk" TargetMode="External"/><Relationship Id="rId561" Type="http://schemas.openxmlformats.org/officeDocument/2006/relationships/hyperlink" Target="http://cornishwebservices.co.uk" TargetMode="External"/><Relationship Id="rId1150" Type="http://schemas.openxmlformats.org/officeDocument/2006/relationships/hyperlink" Target="https://www.clickslice.co.uk/best-generative-engine-optimisation-specialist-uk/" TargetMode="External"/><Relationship Id="rId2481" Type="http://schemas.openxmlformats.org/officeDocument/2006/relationships/hyperlink" Target="https://www.repindia.com/performace/performance-marketing-agency-in-uk" TargetMode="External"/><Relationship Id="rId560" Type="http://schemas.openxmlformats.org/officeDocument/2006/relationships/hyperlink" Target="https://www.cornishwebservices.co.uk/articles/marketing/Top-10-PPC-Agencies-in-the-UK-in-2026.html" TargetMode="External"/><Relationship Id="rId1151" Type="http://schemas.openxmlformats.org/officeDocument/2006/relationships/hyperlink" Target="http://clickslice.co.uk" TargetMode="External"/><Relationship Id="rId2482" Type="http://schemas.openxmlformats.org/officeDocument/2006/relationships/hyperlink" Target="http://repindia.com" TargetMode="External"/><Relationship Id="rId1152" Type="http://schemas.openxmlformats.org/officeDocument/2006/relationships/hyperlink" Target="https://clutch.co/agencies" TargetMode="External"/><Relationship Id="rId2483" Type="http://schemas.openxmlformats.org/officeDocument/2006/relationships/hyperlink" Target="https://reply.io/blog/how-to-build-an-ai-agency/" TargetMode="External"/><Relationship Id="rId1153" Type="http://schemas.openxmlformats.org/officeDocument/2006/relationships/hyperlink" Target="http://clutch.co" TargetMode="External"/><Relationship Id="rId2000" Type="http://schemas.openxmlformats.org/officeDocument/2006/relationships/hyperlink" Target="https://www.goodfirms.co/directory/city/top-digital-marketing-companies/advertising-ppc/london?sort_by=reviews" TargetMode="External"/><Relationship Id="rId2484" Type="http://schemas.openxmlformats.org/officeDocument/2006/relationships/hyperlink" Target="http://reply.io" TargetMode="External"/><Relationship Id="rId565" Type="http://schemas.openxmlformats.org/officeDocument/2006/relationships/hyperlink" Target="http://ecomposer.io" TargetMode="External"/><Relationship Id="rId1154" Type="http://schemas.openxmlformats.org/officeDocument/2006/relationships/hyperlink" Target="https://clutch.co/agencies/market-research/shopper-marketing/uk" TargetMode="External"/><Relationship Id="rId2001" Type="http://schemas.openxmlformats.org/officeDocument/2006/relationships/hyperlink" Target="http://goodfirms.co" TargetMode="External"/><Relationship Id="rId2485" Type="http://schemas.openxmlformats.org/officeDocument/2006/relationships/hyperlink" Target="https://respona.com/blog/ai-seo-agency/" TargetMode="External"/><Relationship Id="rId564" Type="http://schemas.openxmlformats.org/officeDocument/2006/relationships/hyperlink" Target="https://ecomposer.io/blogs/comparison/data-driven-marketing-agencies-uk" TargetMode="External"/><Relationship Id="rId1155" Type="http://schemas.openxmlformats.org/officeDocument/2006/relationships/hyperlink" Target="http://clutch.co" TargetMode="External"/><Relationship Id="rId2002" Type="http://schemas.openxmlformats.org/officeDocument/2006/relationships/hyperlink" Target="https://www.goodfirms.co/directory/country/top-digital-marketing-companies/advertising-ppc/uk?sort_by=matrix" TargetMode="External"/><Relationship Id="rId2486" Type="http://schemas.openxmlformats.org/officeDocument/2006/relationships/hyperlink" Target="http://respona.com" TargetMode="External"/><Relationship Id="rId563" Type="http://schemas.openxmlformats.org/officeDocument/2006/relationships/hyperlink" Target="http://dramatik.com" TargetMode="External"/><Relationship Id="rId1156" Type="http://schemas.openxmlformats.org/officeDocument/2006/relationships/hyperlink" Target="https://clutch.co/agencies/ppc/display/uk/england" TargetMode="External"/><Relationship Id="rId2003" Type="http://schemas.openxmlformats.org/officeDocument/2006/relationships/hyperlink" Target="http://goodfirms.co" TargetMode="External"/><Relationship Id="rId2487" Type="http://schemas.openxmlformats.org/officeDocument/2006/relationships/hyperlink" Target="https://reverbico.com/blog/top-digital-agencies-for-early-stage-brand-launches/" TargetMode="External"/><Relationship Id="rId562" Type="http://schemas.openxmlformats.org/officeDocument/2006/relationships/hyperlink" Target="https://dramatik.com/blog/google-ads-agencies-uk/" TargetMode="External"/><Relationship Id="rId1157" Type="http://schemas.openxmlformats.org/officeDocument/2006/relationships/hyperlink" Target="http://clutch.co" TargetMode="External"/><Relationship Id="rId2004" Type="http://schemas.openxmlformats.org/officeDocument/2006/relationships/hyperlink" Target="https://www.goodfirms.co/directory/country/top-digital-marketing-companies/gb?hss_channel=fbp-687194624745812utm_content%3D126613956&amp;page=2" TargetMode="External"/><Relationship Id="rId2488" Type="http://schemas.openxmlformats.org/officeDocument/2006/relationships/hyperlink" Target="http://reverbico.com" TargetMode="External"/><Relationship Id="rId1147" Type="http://schemas.openxmlformats.org/officeDocument/2006/relationships/hyperlink" Target="http://cleandigital.co.uk" TargetMode="External"/><Relationship Id="rId2478" Type="http://schemas.openxmlformats.org/officeDocument/2006/relationships/hyperlink" Target="http://reddit.com" TargetMode="External"/><Relationship Id="rId1148" Type="http://schemas.openxmlformats.org/officeDocument/2006/relationships/hyperlink" Target="https://www.clickintelligence.co.uk/guides/agency-lists/seo/best-aeo-seo-agencies/" TargetMode="External"/><Relationship Id="rId2479" Type="http://schemas.openxmlformats.org/officeDocument/2006/relationships/hyperlink" Target="https://www.reflectdigital.co.uk/paid-social" TargetMode="External"/><Relationship Id="rId1149" Type="http://schemas.openxmlformats.org/officeDocument/2006/relationships/hyperlink" Target="http://clickintelligence.co.uk" TargetMode="External"/><Relationship Id="rId558" Type="http://schemas.openxmlformats.org/officeDocument/2006/relationships/hyperlink" Target="https://atomicdigitalmarketing.co.uk/" TargetMode="External"/><Relationship Id="rId557" Type="http://schemas.openxmlformats.org/officeDocument/2006/relationships/hyperlink" Target="http://appsflyer.com" TargetMode="External"/><Relationship Id="rId556" Type="http://schemas.openxmlformats.org/officeDocument/2006/relationships/hyperlink" Target="https://www.appsflyer.com/blog/tips-strategy/incrementality-testing-for-marketers/" TargetMode="External"/><Relationship Id="rId555" Type="http://schemas.openxmlformats.org/officeDocument/2006/relationships/hyperlink" Target="http://ampliflow.ai" TargetMode="External"/><Relationship Id="rId559" Type="http://schemas.openxmlformats.org/officeDocument/2006/relationships/hyperlink" Target="http://atomicdigitalmarketing.co.uk" TargetMode="External"/><Relationship Id="rId550" Type="http://schemas.openxmlformats.org/officeDocument/2006/relationships/hyperlink" Target="https://agencies.semrush.com/list/display-advertising/united-kingdom/mid-business/" TargetMode="External"/><Relationship Id="rId2470" Type="http://schemas.openxmlformats.org/officeDocument/2006/relationships/hyperlink" Target="http://reddit.com" TargetMode="External"/><Relationship Id="rId1140" Type="http://schemas.openxmlformats.org/officeDocument/2006/relationships/hyperlink" Target="https://cellsior.com/best-analytics-agencies-uk/" TargetMode="External"/><Relationship Id="rId2471" Type="http://schemas.openxmlformats.org/officeDocument/2006/relationships/hyperlink" Target="https://www.reddit.com/r/digital_marketing/comments/1sd6dxn/whats_the_best_aeogeo_agency_that_actually_gets/" TargetMode="External"/><Relationship Id="rId1141" Type="http://schemas.openxmlformats.org/officeDocument/2006/relationships/hyperlink" Target="http://cellsior.com" TargetMode="External"/><Relationship Id="rId2472" Type="http://schemas.openxmlformats.org/officeDocument/2006/relationships/hyperlink" Target="http://reddit.com" TargetMode="External"/><Relationship Id="rId1142" Type="http://schemas.openxmlformats.org/officeDocument/2006/relationships/hyperlink" Target="https://www.circana.com/liquid-testing" TargetMode="External"/><Relationship Id="rId2473" Type="http://schemas.openxmlformats.org/officeDocument/2006/relationships/hyperlink" Target="https://www.reddit.com/r/ecommerce/comments/1qusfa4/looking_for_best_incrementality_testing_tools/" TargetMode="External"/><Relationship Id="rId554" Type="http://schemas.openxmlformats.org/officeDocument/2006/relationships/hyperlink" Target="https://ampliflow.ai/blog/best-ai-agencies-uk-2026" TargetMode="External"/><Relationship Id="rId1143" Type="http://schemas.openxmlformats.org/officeDocument/2006/relationships/hyperlink" Target="http://circana.com" TargetMode="External"/><Relationship Id="rId2474" Type="http://schemas.openxmlformats.org/officeDocument/2006/relationships/hyperlink" Target="http://reddit.com" TargetMode="External"/><Relationship Id="rId553" Type="http://schemas.openxmlformats.org/officeDocument/2006/relationships/hyperlink" Target="http://agencyvista.com" TargetMode="External"/><Relationship Id="rId1144" Type="http://schemas.openxmlformats.org/officeDocument/2006/relationships/hyperlink" Target="https://cleandigital.co.uk/blog/clean-digital-achieves-google-premier-partner-status" TargetMode="External"/><Relationship Id="rId2475" Type="http://schemas.openxmlformats.org/officeDocument/2006/relationships/hyperlink" Target="https://www.reddit.com/r/smallbusiness/comments/1r3lo3y/good_agency_for_performance_marketing/" TargetMode="External"/><Relationship Id="rId552" Type="http://schemas.openxmlformats.org/officeDocument/2006/relationships/hyperlink" Target="https://agencyvista.com/lists/google-marketing-platform-sales-partners/" TargetMode="External"/><Relationship Id="rId1145" Type="http://schemas.openxmlformats.org/officeDocument/2006/relationships/hyperlink" Target="http://cleandigital.co.uk" TargetMode="External"/><Relationship Id="rId2476" Type="http://schemas.openxmlformats.org/officeDocument/2006/relationships/hyperlink" Target="http://reddit.com" TargetMode="External"/><Relationship Id="rId551" Type="http://schemas.openxmlformats.org/officeDocument/2006/relationships/hyperlink" Target="http://semrush.com" TargetMode="External"/><Relationship Id="rId1146" Type="http://schemas.openxmlformats.org/officeDocument/2006/relationships/hyperlink" Target="https://cleandigital.co.uk/paid-social" TargetMode="External"/><Relationship Id="rId2477" Type="http://schemas.openxmlformats.org/officeDocument/2006/relationships/hyperlink" Target="https://www.reddit.com/r/u_Temporary_Meeting182/comments/1tp4iah/best_saas_geo_agencies_in_2026_who_should/" TargetMode="External"/><Relationship Id="rId2090" Type="http://schemas.openxmlformats.org/officeDocument/2006/relationships/hyperlink" Target="https://www.google.com/searchviewer/10?svid=CAwSHRIbCgNwdnESFENnMHZaeTh4TVhkcU5XUndiVEUxGAo" TargetMode="External"/><Relationship Id="rId2091" Type="http://schemas.openxmlformats.org/officeDocument/2006/relationships/hyperlink" Target="http://google.com" TargetMode="External"/><Relationship Id="rId2092" Type="http://schemas.openxmlformats.org/officeDocument/2006/relationships/hyperlink" Target="https://www.goup.co.uk/" TargetMode="External"/><Relationship Id="rId2093" Type="http://schemas.openxmlformats.org/officeDocument/2006/relationships/hyperlink" Target="http://goup.co.uk" TargetMode="External"/><Relationship Id="rId2094" Type="http://schemas.openxmlformats.org/officeDocument/2006/relationships/hyperlink" Target="https://grapefruitseo.london/as-featured-on/" TargetMode="External"/><Relationship Id="rId2095" Type="http://schemas.openxmlformats.org/officeDocument/2006/relationships/hyperlink" Target="https://www.greenbook.org/market-research-firms/tracking" TargetMode="External"/><Relationship Id="rId2096" Type="http://schemas.openxmlformats.org/officeDocument/2006/relationships/hyperlink" Target="http://greenbook.org" TargetMode="External"/><Relationship Id="rId2097" Type="http://schemas.openxmlformats.org/officeDocument/2006/relationships/hyperlink" Target="https://grizzle.io/blog/best-generative-engine-optimization-agencies-for-b2b" TargetMode="External"/><Relationship Id="rId2098" Type="http://schemas.openxmlformats.org/officeDocument/2006/relationships/hyperlink" Target="http://grizzle.io" TargetMode="External"/><Relationship Id="rId2099" Type="http://schemas.openxmlformats.org/officeDocument/2006/relationships/hyperlink" Target="https://growth-labs.co.uk/top-50-uk-web-development-companies-2026-rankings/" TargetMode="External"/><Relationship Id="rId2060" Type="http://schemas.openxmlformats.org/officeDocument/2006/relationships/hyperlink" Target="https://www.google.com/searchviewer/10?svid=CAwSHRIbCgNwdnESFENnMHZaeTh4TVdZd05ESnpjMTlrGAo" TargetMode="External"/><Relationship Id="rId2061" Type="http://schemas.openxmlformats.org/officeDocument/2006/relationships/hyperlink" Target="http://google.com" TargetMode="External"/><Relationship Id="rId2062" Type="http://schemas.openxmlformats.org/officeDocument/2006/relationships/hyperlink" Target="https://www.google.com/searchviewer/10?svid=CAwSHRIbCgNwdnESFENnMHZaeTh4TVdkMFp6bHhhbmRuGAo" TargetMode="External"/><Relationship Id="rId2063" Type="http://schemas.openxmlformats.org/officeDocument/2006/relationships/hyperlink" Target="http://google.com" TargetMode="External"/><Relationship Id="rId2064" Type="http://schemas.openxmlformats.org/officeDocument/2006/relationships/hyperlink" Target="https://www.google.com/searchviewer/10?svid=CAwSHRIbCgNwdnESFENnMHZaeTh4TVdneE9HZHRjak53GAo" TargetMode="External"/><Relationship Id="rId2065" Type="http://schemas.openxmlformats.org/officeDocument/2006/relationships/hyperlink" Target="http://google.com" TargetMode="External"/><Relationship Id="rId2066" Type="http://schemas.openxmlformats.org/officeDocument/2006/relationships/hyperlink" Target="https://www.google.com/searchviewer/10?svid=CAwSHRIbCgNwdnESFENnMHZaeTh4TVdnelluUjJkekJ0GAo" TargetMode="External"/><Relationship Id="rId2067" Type="http://schemas.openxmlformats.org/officeDocument/2006/relationships/hyperlink" Target="http://google.com" TargetMode="External"/><Relationship Id="rId2068" Type="http://schemas.openxmlformats.org/officeDocument/2006/relationships/hyperlink" Target="https://www.google.com/searchviewer/10?svid=CAwSHRIbCgNwdnESFENnMHZaeTh4TVdoMGVuTTBObmt3GAo" TargetMode="External"/><Relationship Id="rId2069" Type="http://schemas.openxmlformats.org/officeDocument/2006/relationships/hyperlink" Target="http://google.com" TargetMode="External"/><Relationship Id="rId2050" Type="http://schemas.openxmlformats.org/officeDocument/2006/relationships/hyperlink" Target="https://www.google.com/searchviewer/10?svid=CAwSHRIbCgNwdnESFENnMHZaeTh4TVdKaWRESnFkRFp6GAo" TargetMode="External"/><Relationship Id="rId2051" Type="http://schemas.openxmlformats.org/officeDocument/2006/relationships/hyperlink" Target="http://google.com" TargetMode="External"/><Relationship Id="rId495" Type="http://schemas.openxmlformats.org/officeDocument/2006/relationships/hyperlink" Target="https://whitehat-seo.co.uk/blog/digital-marketing-agency-london" TargetMode="External"/><Relationship Id="rId2052" Type="http://schemas.openxmlformats.org/officeDocument/2006/relationships/hyperlink" Target="https://www.google.com/searchviewer/10?svid=CAwSHRIbCgNwdnESFENnMHZaeTh4TVdNMFltZDBNekZ1GAo" TargetMode="External"/><Relationship Id="rId494" Type="http://schemas.openxmlformats.org/officeDocument/2006/relationships/hyperlink" Target="http://topseobrands.com" TargetMode="External"/><Relationship Id="rId2053" Type="http://schemas.openxmlformats.org/officeDocument/2006/relationships/hyperlink" Target="http://google.com" TargetMode="External"/><Relationship Id="rId493" Type="http://schemas.openxmlformats.org/officeDocument/2006/relationships/hyperlink" Target="https://www.topseobrands.com/uk/best-display-advertising-firms-in-uk" TargetMode="External"/><Relationship Id="rId2054" Type="http://schemas.openxmlformats.org/officeDocument/2006/relationships/hyperlink" Target="https://www.google.com/searchviewer/10?svid=CAwSHRIbCgNwdnESFENnMHZaeTh4TVdNMU5IWm1aMlF5GAo" TargetMode="External"/><Relationship Id="rId492" Type="http://schemas.openxmlformats.org/officeDocument/2006/relationships/hyperlink" Target="http://tilio.co.uk" TargetMode="External"/><Relationship Id="rId2055" Type="http://schemas.openxmlformats.org/officeDocument/2006/relationships/hyperlink" Target="http://google.com" TargetMode="External"/><Relationship Id="rId499" Type="http://schemas.openxmlformats.org/officeDocument/2006/relationships/hyperlink" Target="https://agencies.semrush.com/list/analytics-data-science/united-kingdom/" TargetMode="External"/><Relationship Id="rId2056" Type="http://schemas.openxmlformats.org/officeDocument/2006/relationships/hyperlink" Target="https://www.google.com/searchviewer/10?svid=CAwSHRIbCgNwdnESFENnMHZaeTh4TVdOek0zcHNjblp5GAo" TargetMode="External"/><Relationship Id="rId498" Type="http://schemas.openxmlformats.org/officeDocument/2006/relationships/hyperlink" Target="http://aeoagencyservices.com" TargetMode="External"/><Relationship Id="rId2057" Type="http://schemas.openxmlformats.org/officeDocument/2006/relationships/hyperlink" Target="http://google.com" TargetMode="External"/><Relationship Id="rId497" Type="http://schemas.openxmlformats.org/officeDocument/2006/relationships/hyperlink" Target="https://aeoagencyservices.com/aeo-uk" TargetMode="External"/><Relationship Id="rId2058" Type="http://schemas.openxmlformats.org/officeDocument/2006/relationships/hyperlink" Target="https://www.google.com/searchviewer/10?svid=CAwSHRIbCgNwdnESFENnMHZaeTh4TVdZNGFITjZhM1J0GAo" TargetMode="External"/><Relationship Id="rId496" Type="http://schemas.openxmlformats.org/officeDocument/2006/relationships/hyperlink" Target="http://whitehat-seo.co.uk" TargetMode="External"/><Relationship Id="rId2059" Type="http://schemas.openxmlformats.org/officeDocument/2006/relationships/hyperlink" Target="http://google.com" TargetMode="External"/><Relationship Id="rId2080" Type="http://schemas.openxmlformats.org/officeDocument/2006/relationships/hyperlink" Target="https://www.google.com/searchviewer/10?svid=CAwSHRIbCgNwdnESFENnMHZaeTh4TVhNM1puYzNjRE56GAo" TargetMode="External"/><Relationship Id="rId2081" Type="http://schemas.openxmlformats.org/officeDocument/2006/relationships/hyperlink" Target="http://google.com" TargetMode="External"/><Relationship Id="rId2082" Type="http://schemas.openxmlformats.org/officeDocument/2006/relationships/hyperlink" Target="https://www.google.com/searchviewer/10?svid=CAwSHRIbCgNwdnESFENnMHZaeTh4TVhONVl6RnFlR2RzGAo" TargetMode="External"/><Relationship Id="rId2083" Type="http://schemas.openxmlformats.org/officeDocument/2006/relationships/hyperlink" Target="http://google.com" TargetMode="External"/><Relationship Id="rId2084" Type="http://schemas.openxmlformats.org/officeDocument/2006/relationships/hyperlink" Target="https://www.google.com/searchviewer/10?svid=CAwSHRIbCgNwdnESFENnMHZaeTh4TVhScVp6aHRjM0o2GAo" TargetMode="External"/><Relationship Id="rId2085" Type="http://schemas.openxmlformats.org/officeDocument/2006/relationships/hyperlink" Target="http://google.com" TargetMode="External"/><Relationship Id="rId2086" Type="http://schemas.openxmlformats.org/officeDocument/2006/relationships/hyperlink" Target="https://www.google.com/searchviewer/10?svid=CAwSHRIbCgNwdnESFENnMHZaeTh4TVhaa05teDNjVGQzGAo" TargetMode="External"/><Relationship Id="rId2087" Type="http://schemas.openxmlformats.org/officeDocument/2006/relationships/hyperlink" Target="http://google.com" TargetMode="External"/><Relationship Id="rId2088" Type="http://schemas.openxmlformats.org/officeDocument/2006/relationships/hyperlink" Target="https://www.google.com/searchviewer/10?svid=CAwSHRIbCgNwdnESFENnMHZaeTh4TVhkM2VqSnpjMmh3GAo" TargetMode="External"/><Relationship Id="rId2089" Type="http://schemas.openxmlformats.org/officeDocument/2006/relationships/hyperlink" Target="http://google.com" TargetMode="External"/><Relationship Id="rId2070" Type="http://schemas.openxmlformats.org/officeDocument/2006/relationships/hyperlink" Target="https://www.google.com/searchviewer/10?svid=CAwSHRIbCgNwdnESFENnMHZaeTh4TVdoa05uZDZkRFJuGAo" TargetMode="External"/><Relationship Id="rId2071" Type="http://schemas.openxmlformats.org/officeDocument/2006/relationships/hyperlink" Target="http://google.com" TargetMode="External"/><Relationship Id="rId2072" Type="http://schemas.openxmlformats.org/officeDocument/2006/relationships/hyperlink" Target="https://www.google.com/searchviewer/10?svid=CAwSHRIbCgNwdnESFENnMHZaeTh4TVdveWMyMXVPVEprGAo" TargetMode="External"/><Relationship Id="rId2073" Type="http://schemas.openxmlformats.org/officeDocument/2006/relationships/hyperlink" Target="http://google.com" TargetMode="External"/><Relationship Id="rId2074" Type="http://schemas.openxmlformats.org/officeDocument/2006/relationships/hyperlink" Target="https://www.google.com/searchviewer/10?svid=CAwSHRIbCgNwdnESFENnMHZaeTh4TVdzd05qZG9lRGx1GAo" TargetMode="External"/><Relationship Id="rId2075" Type="http://schemas.openxmlformats.org/officeDocument/2006/relationships/hyperlink" Target="http://google.com" TargetMode="External"/><Relationship Id="rId2076" Type="http://schemas.openxmlformats.org/officeDocument/2006/relationships/hyperlink" Target="https://www.google.com/searchviewer/10?svid=CAwSHRIbCgNwdnESFENnMHZaeTh4TVhGaWRqVnRNSEZzGAo" TargetMode="External"/><Relationship Id="rId2077" Type="http://schemas.openxmlformats.org/officeDocument/2006/relationships/hyperlink" Target="http://google.com" TargetMode="External"/><Relationship Id="rId2078" Type="http://schemas.openxmlformats.org/officeDocument/2006/relationships/hyperlink" Target="https://www.google.com/searchviewer/10?svid=CAwSHRIbCgNwdnESFENnMHZaeTh4TVhGbk1EQnJNV0pqGAo" TargetMode="External"/><Relationship Id="rId2079" Type="http://schemas.openxmlformats.org/officeDocument/2006/relationships/hyperlink" Target="http://google.com" TargetMode="External"/><Relationship Id="rId1610" Type="http://schemas.openxmlformats.org/officeDocument/2006/relationships/hyperlink" Target="https://brandnation.co.uk/paid-media-agency/" TargetMode="External"/><Relationship Id="rId1611" Type="http://schemas.openxmlformats.org/officeDocument/2006/relationships/hyperlink" Target="http://brandnation.co.uk" TargetMode="External"/><Relationship Id="rId1612" Type="http://schemas.openxmlformats.org/officeDocument/2006/relationships/hyperlink" Target="https://www.brandsandagencies.co.uk/news-insights/uk-best-integrated-marketing-agencies/" TargetMode="External"/><Relationship Id="rId1613" Type="http://schemas.openxmlformats.org/officeDocument/2006/relationships/hyperlink" Target="http://brandsandagencies.co.uk" TargetMode="External"/><Relationship Id="rId1614" Type="http://schemas.openxmlformats.org/officeDocument/2006/relationships/hyperlink" Target="https://brandspeak.co.uk/blog/top-10-market-research-agencies/" TargetMode="External"/><Relationship Id="rId1615" Type="http://schemas.openxmlformats.org/officeDocument/2006/relationships/hyperlink" Target="http://brandspeak.co.uk" TargetMode="External"/><Relationship Id="rId1616" Type="http://schemas.openxmlformats.org/officeDocument/2006/relationships/hyperlink" Target="https://brentonway.com/blog/top-performance-marketing-agencies" TargetMode="External"/><Relationship Id="rId907" Type="http://schemas.openxmlformats.org/officeDocument/2006/relationships/hyperlink" Target="http://softwaresuggest.com" TargetMode="External"/><Relationship Id="rId1617" Type="http://schemas.openxmlformats.org/officeDocument/2006/relationships/hyperlink" Target="http://brentonway.com" TargetMode="External"/><Relationship Id="rId906" Type="http://schemas.openxmlformats.org/officeDocument/2006/relationships/hyperlink" Target="https://www.softwaresuggest.com/services/marketing-analytics-companies/uk" TargetMode="External"/><Relationship Id="rId1618" Type="http://schemas.openxmlformats.org/officeDocument/2006/relationships/hyperlink" Target="https://www.brightnetwork.co.uk/graduate-jobs/ekimetrics/data-science-marketing-effectiveness-summer-internship-london-2026" TargetMode="External"/><Relationship Id="rId905" Type="http://schemas.openxmlformats.org/officeDocument/2006/relationships/hyperlink" Target="http://septemai.com" TargetMode="External"/><Relationship Id="rId1619" Type="http://schemas.openxmlformats.org/officeDocument/2006/relationships/hyperlink" Target="http://brightnetwork.co.uk" TargetMode="External"/><Relationship Id="rId904" Type="http://schemas.openxmlformats.org/officeDocument/2006/relationships/hyperlink" Target="https://septemai.com/blog/top-ai-consulting-firms-companies-uk-2026" TargetMode="External"/><Relationship Id="rId909" Type="http://schemas.openxmlformats.org/officeDocument/2006/relationships/hyperlink" Target="http://sortlist.co.uk" TargetMode="External"/><Relationship Id="rId908" Type="http://schemas.openxmlformats.org/officeDocument/2006/relationships/hyperlink" Target="https://www.sortlist.co.uk/s/ai-marketing/england-england-gb" TargetMode="External"/><Relationship Id="rId903" Type="http://schemas.openxmlformats.org/officeDocument/2006/relationships/hyperlink" Target="http://searchlaboratory.com" TargetMode="External"/><Relationship Id="rId902" Type="http://schemas.openxmlformats.org/officeDocument/2006/relationships/hyperlink" Target="https://www.searchlaboratory.com/google-marketing-platform/" TargetMode="External"/><Relationship Id="rId901" Type="http://schemas.openxmlformats.org/officeDocument/2006/relationships/hyperlink" Target="http://rzlt.io" TargetMode="External"/><Relationship Id="rId900" Type="http://schemas.openxmlformats.org/officeDocument/2006/relationships/hyperlink" Target="https://www.rzlt.io/blog/best-ai-marketing-agencies-in-2026-the-definitive-guide-by-specialty" TargetMode="External"/><Relationship Id="rId1600" Type="http://schemas.openxmlformats.org/officeDocument/2006/relationships/hyperlink" Target="https://www.brainlabsdigital.com/home/" TargetMode="External"/><Relationship Id="rId1601" Type="http://schemas.openxmlformats.org/officeDocument/2006/relationships/hyperlink" Target="http://brainlabsdigital.com" TargetMode="External"/><Relationship Id="rId1602" Type="http://schemas.openxmlformats.org/officeDocument/2006/relationships/hyperlink" Target="https://www.brainlabsdigital.com/navigating-ga4-attribution-shifts-and-elevating-paid-search-performance/" TargetMode="External"/><Relationship Id="rId1603" Type="http://schemas.openxmlformats.org/officeDocument/2006/relationships/hyperlink" Target="http://brainlabsdigital.com" TargetMode="External"/><Relationship Id="rId1604" Type="http://schemas.openxmlformats.org/officeDocument/2006/relationships/hyperlink" Target="https://www.brandedagency.com/blog/top-digital-marketing-agencies" TargetMode="External"/><Relationship Id="rId1605" Type="http://schemas.openxmlformats.org/officeDocument/2006/relationships/hyperlink" Target="http://brandedagency.com" TargetMode="External"/><Relationship Id="rId1606" Type="http://schemas.openxmlformats.org/officeDocument/2006/relationships/hyperlink" Target="https://brandience.com/insights/measuring-success-attribution-models-explained-by-a-full-service-agency" TargetMode="External"/><Relationship Id="rId1607" Type="http://schemas.openxmlformats.org/officeDocument/2006/relationships/hyperlink" Target="http://brandience.com" TargetMode="External"/><Relationship Id="rId1608" Type="http://schemas.openxmlformats.org/officeDocument/2006/relationships/hyperlink" Target="https://www.brandlective.com/2025/11/03/how-reddit-fits-into-a-geo-aeo-strategy/" TargetMode="External"/><Relationship Id="rId1609" Type="http://schemas.openxmlformats.org/officeDocument/2006/relationships/hyperlink" Target="http://brandlective.com" TargetMode="External"/><Relationship Id="rId1631" Type="http://schemas.openxmlformats.org/officeDocument/2006/relationships/hyperlink" Target="http://yell.com" TargetMode="External"/><Relationship Id="rId1632" Type="http://schemas.openxmlformats.org/officeDocument/2006/relationships/hyperlink" Target="https://www.businessinsider.com/ai-search-reshapes-seo-fueling-geo-gold-rush-2025-11" TargetMode="External"/><Relationship Id="rId1633" Type="http://schemas.openxmlformats.org/officeDocument/2006/relationships/hyperlink" Target="http://businessinsider.com" TargetMode="External"/><Relationship Id="rId1634" Type="http://schemas.openxmlformats.org/officeDocument/2006/relationships/hyperlink" Target="https://www.businessinsider.com/bain-cmo-erika-serow-cannes-lions-2026-7" TargetMode="External"/><Relationship Id="rId1635" Type="http://schemas.openxmlformats.org/officeDocument/2006/relationships/hyperlink" Target="http://businessinsider.com" TargetMode="External"/><Relationship Id="rId1636" Type="http://schemas.openxmlformats.org/officeDocument/2006/relationships/hyperlink" Target="https://www.businessofapps.com/marketplace/performance-marketing/" TargetMode="External"/><Relationship Id="rId1637" Type="http://schemas.openxmlformats.org/officeDocument/2006/relationships/hyperlink" Target="http://businessofapps.com" TargetMode="External"/><Relationship Id="rId1638" Type="http://schemas.openxmlformats.org/officeDocument/2006/relationships/hyperlink" Target="https://careerfoundry.com/en/blog/digital-marketing/top-digital-marketing-agencies/" TargetMode="External"/><Relationship Id="rId929" Type="http://schemas.openxmlformats.org/officeDocument/2006/relationships/hyperlink" Target="http://adtrak.co.uk" TargetMode="External"/><Relationship Id="rId1639" Type="http://schemas.openxmlformats.org/officeDocument/2006/relationships/hyperlink" Target="http://careerfoundry.com" TargetMode="External"/><Relationship Id="rId928" Type="http://schemas.openxmlformats.org/officeDocument/2006/relationships/hyperlink" Target="https://www.adtrak.co.uk/services/ai-digital-marketing-agency" TargetMode="External"/><Relationship Id="rId927" Type="http://schemas.openxmlformats.org/officeDocument/2006/relationships/hyperlink" Target="http://adcountable.com" TargetMode="External"/><Relationship Id="rId926" Type="http://schemas.openxmlformats.org/officeDocument/2006/relationships/hyperlink" Target="https://www.adcountable.com/" TargetMode="External"/><Relationship Id="rId921" Type="http://schemas.openxmlformats.org/officeDocument/2006/relationships/hyperlink" Target="http://triplewhale.com" TargetMode="External"/><Relationship Id="rId920" Type="http://schemas.openxmlformats.org/officeDocument/2006/relationships/hyperlink" Target="https://www.triplewhale.com/blog/incrementality-testing-methods" TargetMode="External"/><Relationship Id="rId925" Type="http://schemas.openxmlformats.org/officeDocument/2006/relationships/hyperlink" Target="http://wonderagency.co.uk" TargetMode="External"/><Relationship Id="rId924" Type="http://schemas.openxmlformats.org/officeDocument/2006/relationships/hyperlink" Target="https://wonderagency.co.uk/services/marketing-analytics/marketing-attribution-analytics/" TargetMode="External"/><Relationship Id="rId923" Type="http://schemas.openxmlformats.org/officeDocument/2006/relationships/hyperlink" Target="http://whitehat-seo.co.uk" TargetMode="External"/><Relationship Id="rId922" Type="http://schemas.openxmlformats.org/officeDocument/2006/relationships/hyperlink" Target="https://whitehat-seo.co.uk/blog/ai-consulting-process-methodology" TargetMode="External"/><Relationship Id="rId1630" Type="http://schemas.openxmlformats.org/officeDocument/2006/relationships/hyperlink" Target="https://business.yell.com/features/paid-media/display/" TargetMode="External"/><Relationship Id="rId1620" Type="http://schemas.openxmlformats.org/officeDocument/2006/relationships/hyperlink" Target="https://brysa.co.uk/insights/top-ai-consulting-companies-uk" TargetMode="External"/><Relationship Id="rId1621" Type="http://schemas.openxmlformats.org/officeDocument/2006/relationships/hyperlink" Target="http://brysa.co.uk" TargetMode="External"/><Relationship Id="rId1622" Type="http://schemas.openxmlformats.org/officeDocument/2006/relationships/hyperlink" Target="https://builtin.com/articles/marketing-companies-uk" TargetMode="External"/><Relationship Id="rId1623" Type="http://schemas.openxmlformats.org/officeDocument/2006/relationships/hyperlink" Target="http://builtin.com" TargetMode="External"/><Relationship Id="rId1624" Type="http://schemas.openxmlformats.org/officeDocument/2006/relationships/hyperlink" Target="https://www.buriedagency.com/services/geo" TargetMode="External"/><Relationship Id="rId1625" Type="http://schemas.openxmlformats.org/officeDocument/2006/relationships/hyperlink" Target="http://buriedagency.com" TargetMode="External"/><Relationship Id="rId1626" Type="http://schemas.openxmlformats.org/officeDocument/2006/relationships/hyperlink" Target="https://business.adobe.com/blog/basics/marketing-attribution" TargetMode="External"/><Relationship Id="rId1627" Type="http://schemas.openxmlformats.org/officeDocument/2006/relationships/hyperlink" Target="http://adobe.com" TargetMode="External"/><Relationship Id="rId918" Type="http://schemas.openxmlformats.org/officeDocument/2006/relationships/hyperlink" Target="https://www.thesmallbizexpert.co.uk/blog/best-ai-seo-agencies-uk" TargetMode="External"/><Relationship Id="rId1628" Type="http://schemas.openxmlformats.org/officeDocument/2006/relationships/hyperlink" Target="https://business.google.com/us/think/measurement/incrementality-testing/" TargetMode="External"/><Relationship Id="rId917" Type="http://schemas.openxmlformats.org/officeDocument/2006/relationships/hyperlink" Target="http://techradar.com" TargetMode="External"/><Relationship Id="rId1629" Type="http://schemas.openxmlformats.org/officeDocument/2006/relationships/hyperlink" Target="http://google.com" TargetMode="External"/><Relationship Id="rId916" Type="http://schemas.openxmlformats.org/officeDocument/2006/relationships/hyperlink" Target="https://www.techradar.com/pro/hubspot-increased-leads-by-1850-percent-and-we-asked-them-how-the-aeo-playbook" TargetMode="External"/><Relationship Id="rId915" Type="http://schemas.openxmlformats.org/officeDocument/2006/relationships/hyperlink" Target="http://stratifyadvisory.co.uk" TargetMode="External"/><Relationship Id="rId919" Type="http://schemas.openxmlformats.org/officeDocument/2006/relationships/hyperlink" Target="http://thesmallbizexpert.co.uk" TargetMode="External"/><Relationship Id="rId910" Type="http://schemas.openxmlformats.org/officeDocument/2006/relationships/hyperlink" Target="https://www.sortlist.co.uk/s/attribution-marketing/england-england-gb" TargetMode="External"/><Relationship Id="rId914" Type="http://schemas.openxmlformats.org/officeDocument/2006/relationships/hyperlink" Target="https://www.stratifyadvisory.co.uk/" TargetMode="External"/><Relationship Id="rId913" Type="http://schemas.openxmlformats.org/officeDocument/2006/relationships/hyperlink" Target="http://sortlist.co.uk" TargetMode="External"/><Relationship Id="rId912" Type="http://schemas.openxmlformats.org/officeDocument/2006/relationships/hyperlink" Target="https://www.sortlist.co.uk/s/marketing-analytics/west-midlands-england-gb" TargetMode="External"/><Relationship Id="rId911" Type="http://schemas.openxmlformats.org/officeDocument/2006/relationships/hyperlink" Target="http://sortlist.co.uk" TargetMode="External"/><Relationship Id="rId1213" Type="http://schemas.openxmlformats.org/officeDocument/2006/relationships/hyperlink" Target="http://forvio.com" TargetMode="External"/><Relationship Id="rId1697" Type="http://schemas.openxmlformats.org/officeDocument/2006/relationships/hyperlink" Target="http://clutch.co" TargetMode="External"/><Relationship Id="rId2544" Type="http://schemas.openxmlformats.org/officeDocument/2006/relationships/hyperlink" Target="http://slateandmortar.com" TargetMode="External"/><Relationship Id="rId1214" Type="http://schemas.openxmlformats.org/officeDocument/2006/relationships/hyperlink" Target="https://www.found.co.uk/blog/how-to-measure-incrementality/" TargetMode="External"/><Relationship Id="rId1698" Type="http://schemas.openxmlformats.org/officeDocument/2006/relationships/hyperlink" Target="https://clutch.co/agencies/digital-marketing/enterprise/uk/england/london" TargetMode="External"/><Relationship Id="rId2545" Type="http://schemas.openxmlformats.org/officeDocument/2006/relationships/hyperlink" Target="https://socialchameleon.com/top-30-marketing-agencies-in-london/" TargetMode="External"/><Relationship Id="rId1215" Type="http://schemas.openxmlformats.org/officeDocument/2006/relationships/hyperlink" Target="http://found.co.uk" TargetMode="External"/><Relationship Id="rId1699" Type="http://schemas.openxmlformats.org/officeDocument/2006/relationships/hyperlink" Target="http://clutch.co" TargetMode="External"/><Relationship Id="rId2546" Type="http://schemas.openxmlformats.org/officeDocument/2006/relationships/hyperlink" Target="http://socialchameleon.com" TargetMode="External"/><Relationship Id="rId1216" Type="http://schemas.openxmlformats.org/officeDocument/2006/relationships/hyperlink" Target="https://www.goodfirms.co/advertising-companies/creative/uk?page=2" TargetMode="External"/><Relationship Id="rId2547" Type="http://schemas.openxmlformats.org/officeDocument/2006/relationships/hyperlink" Target="https://sociallypowerful.com/post/top-20-advertising-agencies-uk" TargetMode="External"/><Relationship Id="rId1217" Type="http://schemas.openxmlformats.org/officeDocument/2006/relationships/hyperlink" Target="http://goodfirms.co" TargetMode="External"/><Relationship Id="rId2548" Type="http://schemas.openxmlformats.org/officeDocument/2006/relationships/hyperlink" Target="http://sociallypowerful.com" TargetMode="External"/><Relationship Id="rId1218" Type="http://schemas.openxmlformats.org/officeDocument/2006/relationships/hyperlink" Target="https://www.goodfirms.co/directory/country/top-digital-marketing-companies/advertising-ppc/uk?sort_by=reviews" TargetMode="External"/><Relationship Id="rId2549" Type="http://schemas.openxmlformats.org/officeDocument/2006/relationships/hyperlink" Target="https://sociallypowerful.com/post/top-social-media-marketing-agencies-uk" TargetMode="External"/><Relationship Id="rId1219" Type="http://schemas.openxmlformats.org/officeDocument/2006/relationships/hyperlink" Target="http://goodfirms.co" TargetMode="External"/><Relationship Id="rId866" Type="http://schemas.openxmlformats.org/officeDocument/2006/relationships/hyperlink" Target="http://impressiondigital.com" TargetMode="External"/><Relationship Id="rId865" Type="http://schemas.openxmlformats.org/officeDocument/2006/relationships/hyperlink" Target="https://www.impressiondigital.com/about/google-partner-agency/" TargetMode="External"/><Relationship Id="rId864" Type="http://schemas.openxmlformats.org/officeDocument/2006/relationships/hyperlink" Target="http://google.co.uk" TargetMode="External"/><Relationship Id="rId863" Type="http://schemas.openxmlformats.org/officeDocument/2006/relationships/hyperlink" Target="https://www.google.co.uk/intl/en-GB/ads/publisher/partners/" TargetMode="External"/><Relationship Id="rId869" Type="http://schemas.openxmlformats.org/officeDocument/2006/relationships/hyperlink" Target="https://macreativeag.com/digital-marketing/uk-top-digital-marketing-agencies/" TargetMode="External"/><Relationship Id="rId868" Type="http://schemas.openxmlformats.org/officeDocument/2006/relationships/hyperlink" Target="http://linea-analytics.com" TargetMode="External"/><Relationship Id="rId867" Type="http://schemas.openxmlformats.org/officeDocument/2006/relationships/hyperlink" Target="https://linea-analytics.com/articles/best-marketing-mix-modeling-tools-uk/article.html" TargetMode="External"/><Relationship Id="rId1690" Type="http://schemas.openxmlformats.org/officeDocument/2006/relationships/hyperlink" Target="https://clicktrain.com/en-gb/ppc-agencies/" TargetMode="External"/><Relationship Id="rId1691" Type="http://schemas.openxmlformats.org/officeDocument/2006/relationships/hyperlink" Target="http://clicktrain.com" TargetMode="External"/><Relationship Id="rId1692" Type="http://schemas.openxmlformats.org/officeDocument/2006/relationships/hyperlink" Target="https://clutch.co/agencies/account-based-marketing/uk" TargetMode="External"/><Relationship Id="rId862" Type="http://schemas.openxmlformats.org/officeDocument/2006/relationships/hyperlink" Target="http://getapp.co.uk" TargetMode="External"/><Relationship Id="rId1693" Type="http://schemas.openxmlformats.org/officeDocument/2006/relationships/hyperlink" Target="http://clutch.co" TargetMode="External"/><Relationship Id="rId2540" Type="http://schemas.openxmlformats.org/officeDocument/2006/relationships/hyperlink" Target="http://signaldepth.com" TargetMode="External"/><Relationship Id="rId861" Type="http://schemas.openxmlformats.org/officeDocument/2006/relationships/hyperlink" Target="https://www.getapp.co.uk/software/103447/agency-analytics" TargetMode="External"/><Relationship Id="rId1210" Type="http://schemas.openxmlformats.org/officeDocument/2006/relationships/hyperlink" Target="https://www.forrester.com/blogs/the-latest-and-greatest-mmo-service-providers/" TargetMode="External"/><Relationship Id="rId1694" Type="http://schemas.openxmlformats.org/officeDocument/2006/relationships/hyperlink" Target="https://clutch.co/agencies/conversion-optimization/uk" TargetMode="External"/><Relationship Id="rId2541" Type="http://schemas.openxmlformats.org/officeDocument/2006/relationships/hyperlink" Target="https://www.singleframe.co.uk/" TargetMode="External"/><Relationship Id="rId860" Type="http://schemas.openxmlformats.org/officeDocument/2006/relationships/hyperlink" Target="http://found.co.uk" TargetMode="External"/><Relationship Id="rId1211" Type="http://schemas.openxmlformats.org/officeDocument/2006/relationships/hyperlink" Target="http://forrester.com" TargetMode="External"/><Relationship Id="rId1695" Type="http://schemas.openxmlformats.org/officeDocument/2006/relationships/hyperlink" Target="http://clutch.co" TargetMode="External"/><Relationship Id="rId2542" Type="http://schemas.openxmlformats.org/officeDocument/2006/relationships/hyperlink" Target="http://singleframe.co.uk" TargetMode="External"/><Relationship Id="rId1212" Type="http://schemas.openxmlformats.org/officeDocument/2006/relationships/hyperlink" Target="https://www.forvio.com/product/geo-lift-tests" TargetMode="External"/><Relationship Id="rId1696" Type="http://schemas.openxmlformats.org/officeDocument/2006/relationships/hyperlink" Target="https://clutch.co/agencies/digital-marketing" TargetMode="External"/><Relationship Id="rId2543" Type="http://schemas.openxmlformats.org/officeDocument/2006/relationships/hyperlink" Target="https://www.slateandmortar.com/" TargetMode="External"/><Relationship Id="rId1202" Type="http://schemas.openxmlformats.org/officeDocument/2006/relationships/hyperlink" Target="https://www.experian.co.uk/business-products/marketing-campaign-measurement/" TargetMode="External"/><Relationship Id="rId1686" Type="http://schemas.openxmlformats.org/officeDocument/2006/relationships/hyperlink" Target="https://www.clickslice.co.uk/roi-focused-ecommerce-seo-agencies/" TargetMode="External"/><Relationship Id="rId2533" Type="http://schemas.openxmlformats.org/officeDocument/2006/relationships/hyperlink" Target="https://www.sevenatoms.com/blog/facebook-advertising-companies" TargetMode="External"/><Relationship Id="rId1203" Type="http://schemas.openxmlformats.org/officeDocument/2006/relationships/hyperlink" Target="http://experian.co.uk" TargetMode="External"/><Relationship Id="rId1687" Type="http://schemas.openxmlformats.org/officeDocument/2006/relationships/hyperlink" Target="http://clickslice.co.uk" TargetMode="External"/><Relationship Id="rId2534" Type="http://schemas.openxmlformats.org/officeDocument/2006/relationships/hyperlink" Target="http://sevenatoms.com" TargetMode="External"/><Relationship Id="rId1204" Type="http://schemas.openxmlformats.org/officeDocument/2006/relationships/hyperlink" Target="https://www.fieldtrip.agency/post/overcoming-creative-production-challenges-for-large-brand" TargetMode="External"/><Relationship Id="rId1688" Type="http://schemas.openxmlformats.org/officeDocument/2006/relationships/hyperlink" Target="https://clickstrike.com/blog/ai-marketing-agencies/" TargetMode="External"/><Relationship Id="rId2535" Type="http://schemas.openxmlformats.org/officeDocument/2006/relationships/hyperlink" Target="https://www.shopify.com/blog/paid-media" TargetMode="External"/><Relationship Id="rId1205" Type="http://schemas.openxmlformats.org/officeDocument/2006/relationships/hyperlink" Target="https://www.fieldtrip.agency/post/top-geo-agencies" TargetMode="External"/><Relationship Id="rId1689" Type="http://schemas.openxmlformats.org/officeDocument/2006/relationships/hyperlink" Target="http://clickstrike.com" TargetMode="External"/><Relationship Id="rId2536" Type="http://schemas.openxmlformats.org/officeDocument/2006/relationships/hyperlink" Target="http://shopify.com" TargetMode="External"/><Relationship Id="rId1206" Type="http://schemas.openxmlformats.org/officeDocument/2006/relationships/hyperlink" Target="https://figarodigital.co.uk/companies/queryclick/" TargetMode="External"/><Relationship Id="rId2537" Type="http://schemas.openxmlformats.org/officeDocument/2006/relationships/hyperlink" Target="https://www.siegemedia.com/strategy/content-strategy-agency" TargetMode="External"/><Relationship Id="rId1207" Type="http://schemas.openxmlformats.org/officeDocument/2006/relationships/hyperlink" Target="http://figarodigital.co.uk" TargetMode="External"/><Relationship Id="rId2538" Type="http://schemas.openxmlformats.org/officeDocument/2006/relationships/hyperlink" Target="http://siegemedia.com" TargetMode="External"/><Relationship Id="rId1208" Type="http://schemas.openxmlformats.org/officeDocument/2006/relationships/hyperlink" Target="https://www.forrester.com/blogs/picking-an-agency-to-maximize-the-value-of-your-first-party-data/" TargetMode="External"/><Relationship Id="rId2539" Type="http://schemas.openxmlformats.org/officeDocument/2006/relationships/hyperlink" Target="https://www.signaldepth.com/about/" TargetMode="External"/><Relationship Id="rId1209" Type="http://schemas.openxmlformats.org/officeDocument/2006/relationships/hyperlink" Target="http://forrester.com" TargetMode="External"/><Relationship Id="rId855" Type="http://schemas.openxmlformats.org/officeDocument/2006/relationships/hyperlink" Target="https://www.designrush.com/agency/ad-agencies/uk" TargetMode="External"/><Relationship Id="rId854" Type="http://schemas.openxmlformats.org/officeDocument/2006/relationships/hyperlink" Target="http://clutch.co" TargetMode="External"/><Relationship Id="rId853" Type="http://schemas.openxmlformats.org/officeDocument/2006/relationships/hyperlink" Target="https://clutch.co/agencies/ppc/display/uk/england/london" TargetMode="External"/><Relationship Id="rId852" Type="http://schemas.openxmlformats.org/officeDocument/2006/relationships/hyperlink" Target="http://clutch.co" TargetMode="External"/><Relationship Id="rId859" Type="http://schemas.openxmlformats.org/officeDocument/2006/relationships/hyperlink" Target="https://www.found.co.uk/about-us/awards/" TargetMode="External"/><Relationship Id="rId858" Type="http://schemas.openxmlformats.org/officeDocument/2006/relationships/hyperlink" Target="http://experian.com" TargetMode="External"/><Relationship Id="rId857" Type="http://schemas.openxmlformats.org/officeDocument/2006/relationships/hyperlink" Target="https://www.experian.com/business/solutions/marketing-solutions/marketing-measurement-tools" TargetMode="External"/><Relationship Id="rId856" Type="http://schemas.openxmlformats.org/officeDocument/2006/relationships/hyperlink" Target="http://designrush.com" TargetMode="External"/><Relationship Id="rId1680" Type="http://schemas.openxmlformats.org/officeDocument/2006/relationships/hyperlink" Target="https://www.clickslice.co.uk/generative-engine-optimisation-geo-services/" TargetMode="External"/><Relationship Id="rId1681" Type="http://schemas.openxmlformats.org/officeDocument/2006/relationships/hyperlink" Target="http://clickslice.co.uk" TargetMode="External"/><Relationship Id="rId851" Type="http://schemas.openxmlformats.org/officeDocument/2006/relationships/hyperlink" Target="https://clutch.co/agencies/ppc/advertising-industry/uk" TargetMode="External"/><Relationship Id="rId1682" Type="http://schemas.openxmlformats.org/officeDocument/2006/relationships/hyperlink" Target="https://www.clickslice.co.uk/local-seo-services-london/" TargetMode="External"/><Relationship Id="rId850" Type="http://schemas.openxmlformats.org/officeDocument/2006/relationships/hyperlink" Target="http://clutch.co" TargetMode="External"/><Relationship Id="rId1683" Type="http://schemas.openxmlformats.org/officeDocument/2006/relationships/hyperlink" Target="http://clickslice.co.uk" TargetMode="External"/><Relationship Id="rId2530" Type="http://schemas.openxmlformats.org/officeDocument/2006/relationships/hyperlink" Target="http://seo-ranks.co.uk" TargetMode="External"/><Relationship Id="rId1200" Type="http://schemas.openxmlformats.org/officeDocument/2006/relationships/hyperlink" Target="https://www.elevenmiles.com/sandbox-home" TargetMode="External"/><Relationship Id="rId1684" Type="http://schemas.openxmlformats.org/officeDocument/2006/relationships/hyperlink" Target="https://www.clickslice.co.uk/recommended-aeo-agencies-for-ai-visibility/" TargetMode="External"/><Relationship Id="rId2531" Type="http://schemas.openxmlformats.org/officeDocument/2006/relationships/hyperlink" Target="https://www.seoworks.co.uk/" TargetMode="External"/><Relationship Id="rId1201" Type="http://schemas.openxmlformats.org/officeDocument/2006/relationships/hyperlink" Target="http://elevenmiles.com" TargetMode="External"/><Relationship Id="rId1685" Type="http://schemas.openxmlformats.org/officeDocument/2006/relationships/hyperlink" Target="http://clickslice.co.uk" TargetMode="External"/><Relationship Id="rId2532" Type="http://schemas.openxmlformats.org/officeDocument/2006/relationships/hyperlink" Target="http://seoworks.co.uk" TargetMode="External"/><Relationship Id="rId1235" Type="http://schemas.openxmlformats.org/officeDocument/2006/relationships/hyperlink" Target="https://www.impressiondigital.com/generative-engine-optimisation-agency/" TargetMode="External"/><Relationship Id="rId2566" Type="http://schemas.openxmlformats.org/officeDocument/2006/relationships/hyperlink" Target="http://sortlist.co.uk" TargetMode="External"/><Relationship Id="rId1236" Type="http://schemas.openxmlformats.org/officeDocument/2006/relationships/hyperlink" Target="http://impressiondigital.com" TargetMode="External"/><Relationship Id="rId2567" Type="http://schemas.openxmlformats.org/officeDocument/2006/relationships/hyperlink" Target="https://www.sortlist.co.uk/s/display-advertising/birmingham-england-gb" TargetMode="External"/><Relationship Id="rId1237" Type="http://schemas.openxmlformats.org/officeDocument/2006/relationships/hyperlink" Target="https://inbeat.agency/blog/top-creative-agencies" TargetMode="External"/><Relationship Id="rId2568" Type="http://schemas.openxmlformats.org/officeDocument/2006/relationships/hyperlink" Target="http://sortlist.co.uk" TargetMode="External"/><Relationship Id="rId1238" Type="http://schemas.openxmlformats.org/officeDocument/2006/relationships/hyperlink" Target="https://inbeat.agency/blog/top-marketing-analytics-agencies" TargetMode="External"/><Relationship Id="rId2569" Type="http://schemas.openxmlformats.org/officeDocument/2006/relationships/hyperlink" Target="https://www.sortlist.co.uk/s/display-advertising/greater-london-england-gb" TargetMode="External"/><Relationship Id="rId1239" Type="http://schemas.openxmlformats.org/officeDocument/2006/relationships/hyperlink" Target="https://inbeat.agency/blog/top-media-buying-agencies" TargetMode="External"/><Relationship Id="rId409" Type="http://schemas.openxmlformats.org/officeDocument/2006/relationships/hyperlink" Target="http://aargroup.co.uk" TargetMode="External"/><Relationship Id="rId404" Type="http://schemas.openxmlformats.org/officeDocument/2006/relationships/hyperlink" Target="https://thesocialshepherd.com/blog/top-social-media-agencies-uk" TargetMode="External"/><Relationship Id="rId888" Type="http://schemas.openxmlformats.org/officeDocument/2006/relationships/hyperlink" Target="http://oyik.ai" TargetMode="External"/><Relationship Id="rId403" Type="http://schemas.openxmlformats.org/officeDocument/2006/relationships/hyperlink" Target="http://superhub.biz" TargetMode="External"/><Relationship Id="rId887" Type="http://schemas.openxmlformats.org/officeDocument/2006/relationships/hyperlink" Target="https://oyik.ai/automation/the-top-consulting-firms-in-the-uk-for-ai-gen-ai-services/" TargetMode="External"/><Relationship Id="rId402" Type="http://schemas.openxmlformats.org/officeDocument/2006/relationships/hyperlink" Target="https://www.superhub.biz/top-7-performance-marketing-companies-uk-2026" TargetMode="External"/><Relationship Id="rId886" Type="http://schemas.openxmlformats.org/officeDocument/2006/relationships/hyperlink" Target="http://nogood.io" TargetMode="External"/><Relationship Id="rId401" Type="http://schemas.openxmlformats.org/officeDocument/2006/relationships/hyperlink" Target="http://sorttheclicks.com" TargetMode="External"/><Relationship Id="rId885" Type="http://schemas.openxmlformats.org/officeDocument/2006/relationships/hyperlink" Target="https://nogood.io/blog/social-media-marketing-agency-london/" TargetMode="External"/><Relationship Id="rId408" Type="http://schemas.openxmlformats.org/officeDocument/2006/relationships/hyperlink" Target="https://aargroup.co.uk/services-for-marketers/platform-readiness/" TargetMode="External"/><Relationship Id="rId407" Type="http://schemas.openxmlformats.org/officeDocument/2006/relationships/hyperlink" Target="http://51d.co" TargetMode="External"/><Relationship Id="rId406" Type="http://schemas.openxmlformats.org/officeDocument/2006/relationships/hyperlink" Target="https://www.51d.co/ai-consulting-agencies-lead-qualification-uk/" TargetMode="External"/><Relationship Id="rId405" Type="http://schemas.openxmlformats.org/officeDocument/2006/relationships/hyperlink" Target="http://thesocialshepherd.com" TargetMode="External"/><Relationship Id="rId889" Type="http://schemas.openxmlformats.org/officeDocument/2006/relationships/hyperlink" Target="https://paramark.com/incrementality-testing" TargetMode="External"/><Relationship Id="rId880" Type="http://schemas.openxmlformats.org/officeDocument/2006/relationships/hyperlink" Target="http://measured.com" TargetMode="External"/><Relationship Id="rId2560" Type="http://schemas.openxmlformats.org/officeDocument/2006/relationships/hyperlink" Target="http://solvid.co.uk" TargetMode="External"/><Relationship Id="rId1230" Type="http://schemas.openxmlformats.org/officeDocument/2006/relationships/hyperlink" Target="https://hikemytraffic.com/ai-digital-marketing-services-in-uk/" TargetMode="External"/><Relationship Id="rId2561" Type="http://schemas.openxmlformats.org/officeDocument/2006/relationships/hyperlink" Target="https://www.sortlist.co.uk/advertising/england-england-gb" TargetMode="External"/><Relationship Id="rId400" Type="http://schemas.openxmlformats.org/officeDocument/2006/relationships/hyperlink" Target="https://sorttheclicks.com/insights/best-uk-geo-agencies-2026/" TargetMode="External"/><Relationship Id="rId884" Type="http://schemas.openxmlformats.org/officeDocument/2006/relationships/hyperlink" Target="http://nogood.io" TargetMode="External"/><Relationship Id="rId1231" Type="http://schemas.openxmlformats.org/officeDocument/2006/relationships/hyperlink" Target="http://hikemytraffic.com" TargetMode="External"/><Relationship Id="rId2562" Type="http://schemas.openxmlformats.org/officeDocument/2006/relationships/hyperlink" Target="http://sortlist.co.uk" TargetMode="External"/><Relationship Id="rId883" Type="http://schemas.openxmlformats.org/officeDocument/2006/relationships/hyperlink" Target="https://nogood.io/blog/performance-marketing-agencies/" TargetMode="External"/><Relationship Id="rId1232" Type="http://schemas.openxmlformats.org/officeDocument/2006/relationships/hyperlink" Target="https://www.ikigai.je/services/performance-marketing" TargetMode="External"/><Relationship Id="rId2563" Type="http://schemas.openxmlformats.org/officeDocument/2006/relationships/hyperlink" Target="https://www.sortlist.co.uk/s/attribution-marketing/greater-london-england-gb" TargetMode="External"/><Relationship Id="rId882" Type="http://schemas.openxmlformats.org/officeDocument/2006/relationships/hyperlink" Target="http://measurelab.co.uk" TargetMode="External"/><Relationship Id="rId1233" Type="http://schemas.openxmlformats.org/officeDocument/2006/relationships/hyperlink" Target="http://ikigai.je" TargetMode="External"/><Relationship Id="rId2564" Type="http://schemas.openxmlformats.org/officeDocument/2006/relationships/hyperlink" Target="http://sortlist.co.uk" TargetMode="External"/><Relationship Id="rId881" Type="http://schemas.openxmlformats.org/officeDocument/2006/relationships/hyperlink" Target="https://www.measurelab.co.uk/" TargetMode="External"/><Relationship Id="rId1234" Type="http://schemas.openxmlformats.org/officeDocument/2006/relationships/hyperlink" Target="https://ikon.london/articles/best-creative-agencies" TargetMode="External"/><Relationship Id="rId2565" Type="http://schemas.openxmlformats.org/officeDocument/2006/relationships/hyperlink" Target="https://www.sortlist.co.uk/s/creative/united-kingdom-gb?custom=creative" TargetMode="External"/><Relationship Id="rId1224" Type="http://schemas.openxmlformats.org/officeDocument/2006/relationships/hyperlink" Target="https://hawkemedia.com/insights/top-performance-marketing-agencies/" TargetMode="External"/><Relationship Id="rId2555" Type="http://schemas.openxmlformats.org/officeDocument/2006/relationships/hyperlink" Target="https://www.sogolytics.com/blog/top-full-service-market-research-firms/" TargetMode="External"/><Relationship Id="rId1225" Type="http://schemas.openxmlformats.org/officeDocument/2006/relationships/hyperlink" Target="http://hawkemedia.com" TargetMode="External"/><Relationship Id="rId2556" Type="http://schemas.openxmlformats.org/officeDocument/2006/relationships/hyperlink" Target="http://sogolytics.com" TargetMode="External"/><Relationship Id="rId1226" Type="http://schemas.openxmlformats.org/officeDocument/2006/relationships/hyperlink" Target="https://helium42.com/blog/ai-consultant-london" TargetMode="External"/><Relationship Id="rId2557" Type="http://schemas.openxmlformats.org/officeDocument/2006/relationships/hyperlink" Target="https://solvid.co.uk/" TargetMode="External"/><Relationship Id="rId1227" Type="http://schemas.openxmlformats.org/officeDocument/2006/relationships/hyperlink" Target="http://helium42.com" TargetMode="External"/><Relationship Id="rId2558" Type="http://schemas.openxmlformats.org/officeDocument/2006/relationships/hyperlink" Target="http://solvid.co.uk" TargetMode="External"/><Relationship Id="rId1228" Type="http://schemas.openxmlformats.org/officeDocument/2006/relationships/hyperlink" Target="https://hikemytraffic.com/ai-digital-marketing-agencies-in-uk/" TargetMode="External"/><Relationship Id="rId2559" Type="http://schemas.openxmlformats.org/officeDocument/2006/relationships/hyperlink" Target="https://solvid.co.uk/services/geo-ai-seo/" TargetMode="External"/><Relationship Id="rId1229" Type="http://schemas.openxmlformats.org/officeDocument/2006/relationships/hyperlink" Target="http://hikemytraffic.com" TargetMode="External"/><Relationship Id="rId877" Type="http://schemas.openxmlformats.org/officeDocument/2006/relationships/hyperlink" Target="https://marketingplatform.google.com/intl/en_uk/about/support/" TargetMode="External"/><Relationship Id="rId876" Type="http://schemas.openxmlformats.org/officeDocument/2006/relationships/hyperlink" Target="http://google.com" TargetMode="External"/><Relationship Id="rId875" Type="http://schemas.openxmlformats.org/officeDocument/2006/relationships/hyperlink" Target="https://marketingplatform.google.com/about/partners/?authuser=1" TargetMode="External"/><Relationship Id="rId874" Type="http://schemas.openxmlformats.org/officeDocument/2006/relationships/hyperlink" Target="http://marketingmary.ai" TargetMode="External"/><Relationship Id="rId879" Type="http://schemas.openxmlformats.org/officeDocument/2006/relationships/hyperlink" Target="https://www.measured.com/incremental-lift-tests/" TargetMode="External"/><Relationship Id="rId878" Type="http://schemas.openxmlformats.org/officeDocument/2006/relationships/hyperlink" Target="http://google.com" TargetMode="External"/><Relationship Id="rId2550" Type="http://schemas.openxmlformats.org/officeDocument/2006/relationships/hyperlink" Target="http://sociallypowerful.com" TargetMode="External"/><Relationship Id="rId873" Type="http://schemas.openxmlformats.org/officeDocument/2006/relationships/hyperlink" Target="https://www.marketingmary.ai/blog/marketing-attribution-models-guide" TargetMode="External"/><Relationship Id="rId1220" Type="http://schemas.openxmlformats.org/officeDocument/2006/relationships/hyperlink" Target="https://www.groupcaliber.com/top-reputation-monitoring-tools-and-why-stakeholder-intelligence-is-next/" TargetMode="External"/><Relationship Id="rId2551" Type="http://schemas.openxmlformats.org/officeDocument/2006/relationships/hyperlink" Target="https://sociallypowerful.com/why-us" TargetMode="External"/><Relationship Id="rId872" Type="http://schemas.openxmlformats.org/officeDocument/2006/relationships/hyperlink" Target="http://marketingagencyindex.com" TargetMode="External"/><Relationship Id="rId1221" Type="http://schemas.openxmlformats.org/officeDocument/2006/relationships/hyperlink" Target="http://groupcaliber.com" TargetMode="External"/><Relationship Id="rId2552" Type="http://schemas.openxmlformats.org/officeDocument/2006/relationships/hyperlink" Target="http://sociallypowerful.com" TargetMode="External"/><Relationship Id="rId871" Type="http://schemas.openxmlformats.org/officeDocument/2006/relationships/hyperlink" Target="https://www.marketingagencyindex.com/uk/services/ppc" TargetMode="External"/><Relationship Id="rId1222" Type="http://schemas.openxmlformats.org/officeDocument/2006/relationships/hyperlink" Target="https://www.hatchly.co.uk/design-services/creative-production" TargetMode="External"/><Relationship Id="rId2553" Type="http://schemas.openxmlformats.org/officeDocument/2006/relationships/hyperlink" Target="https://www.softwareadvice.co.uk/directory/4315/marketing-attribution/software" TargetMode="External"/><Relationship Id="rId870" Type="http://schemas.openxmlformats.org/officeDocument/2006/relationships/hyperlink" Target="http://macreativeag.com" TargetMode="External"/><Relationship Id="rId1223" Type="http://schemas.openxmlformats.org/officeDocument/2006/relationships/hyperlink" Target="http://hatchly.co.uk" TargetMode="External"/><Relationship Id="rId2554" Type="http://schemas.openxmlformats.org/officeDocument/2006/relationships/hyperlink" Target="http://softwareadvice.co.uk" TargetMode="External"/><Relationship Id="rId1653" Type="http://schemas.openxmlformats.org/officeDocument/2006/relationships/hyperlink" Target="http://choreograph.com" TargetMode="External"/><Relationship Id="rId2500" Type="http://schemas.openxmlformats.org/officeDocument/2006/relationships/hyperlink" Target="http://scaleforte.co.uk" TargetMode="External"/><Relationship Id="rId1654" Type="http://schemas.openxmlformats.org/officeDocument/2006/relationships/hyperlink" Target="https://www.cigen.io/services/ai-adoption-strategy-consulting" TargetMode="External"/><Relationship Id="rId2501" Type="http://schemas.openxmlformats.org/officeDocument/2006/relationships/hyperlink" Target="https://www.scalewithfuture.com/resources/from-concept-to-completion-choosing-the-right-creative-production-agency" TargetMode="External"/><Relationship Id="rId1655" Type="http://schemas.openxmlformats.org/officeDocument/2006/relationships/hyperlink" Target="http://cigen.io" TargetMode="External"/><Relationship Id="rId2502" Type="http://schemas.openxmlformats.org/officeDocument/2006/relationships/hyperlink" Target="http://scalewithfuture.com" TargetMode="External"/><Relationship Id="rId1656" Type="http://schemas.openxmlformats.org/officeDocument/2006/relationships/hyperlink" Target="https://circusppc.com/" TargetMode="External"/><Relationship Id="rId2503" Type="http://schemas.openxmlformats.org/officeDocument/2006/relationships/hyperlink" Target="https://scalixai.com/blog/best-performance-marketing-agencies" TargetMode="External"/><Relationship Id="rId1657" Type="http://schemas.openxmlformats.org/officeDocument/2006/relationships/hyperlink" Target="http://circusppc.com" TargetMode="External"/><Relationship Id="rId2504" Type="http://schemas.openxmlformats.org/officeDocument/2006/relationships/hyperlink" Target="http://scalixai.com" TargetMode="External"/><Relationship Id="rId1658" Type="http://schemas.openxmlformats.org/officeDocument/2006/relationships/hyperlink" Target="https://cleandigital.co.uk/" TargetMode="External"/><Relationship Id="rId2505" Type="http://schemas.openxmlformats.org/officeDocument/2006/relationships/hyperlink" Target="https://www.scanmarqed.com/marketing-mix-modeling" TargetMode="External"/><Relationship Id="rId1659" Type="http://schemas.openxmlformats.org/officeDocument/2006/relationships/hyperlink" Target="http://cleandigital.co.uk" TargetMode="External"/><Relationship Id="rId2506" Type="http://schemas.openxmlformats.org/officeDocument/2006/relationships/hyperlink" Target="http://scanmarqed.com" TargetMode="External"/><Relationship Id="rId2507" Type="http://schemas.openxmlformats.org/officeDocument/2006/relationships/hyperlink" Target="https://scopicstudios.com/blog/best-geo-agencies-ai-search-visibility-2026/" TargetMode="External"/><Relationship Id="rId2508" Type="http://schemas.openxmlformats.org/officeDocument/2006/relationships/hyperlink" Target="http://scopicstudios.com" TargetMode="External"/><Relationship Id="rId829" Type="http://schemas.openxmlformats.org/officeDocument/2006/relationships/hyperlink" Target="https://www.superside.com/blog/ai-powered-agencies" TargetMode="External"/><Relationship Id="rId2509" Type="http://schemas.openxmlformats.org/officeDocument/2006/relationships/hyperlink" Target="https://scopicstudios.com/blog/best-incrementality-testing-tools-2026/" TargetMode="External"/><Relationship Id="rId828" Type="http://schemas.openxmlformats.org/officeDocument/2006/relationships/hyperlink" Target="http://sunnypatel.co.uk" TargetMode="External"/><Relationship Id="rId827" Type="http://schemas.openxmlformats.org/officeDocument/2006/relationships/hyperlink" Target="https://sunnypatel.co.uk/blog/top-geo-agencies/" TargetMode="External"/><Relationship Id="rId822" Type="http://schemas.openxmlformats.org/officeDocument/2006/relationships/hyperlink" Target="https://www.sortlist.co.uk/s/attribution-marketing/united-kingdom-gb" TargetMode="External"/><Relationship Id="rId821" Type="http://schemas.openxmlformats.org/officeDocument/2006/relationships/hyperlink" Target="http://sortlist.co.uk" TargetMode="External"/><Relationship Id="rId820" Type="http://schemas.openxmlformats.org/officeDocument/2006/relationships/hyperlink" Target="https://www.sortlist.co.uk/media-planning/united-kingdom-gb" TargetMode="External"/><Relationship Id="rId826" Type="http://schemas.openxmlformats.org/officeDocument/2006/relationships/hyperlink" Target="https://submerge.digital/measurement/marketing-attribution-agency/" TargetMode="External"/><Relationship Id="rId825" Type="http://schemas.openxmlformats.org/officeDocument/2006/relationships/hyperlink" Target="http://sortlist.com" TargetMode="External"/><Relationship Id="rId824" Type="http://schemas.openxmlformats.org/officeDocument/2006/relationships/hyperlink" Target="https://www.sortlist.com/i/s/data-driven-marketing/united-kingdom-gb" TargetMode="External"/><Relationship Id="rId823" Type="http://schemas.openxmlformats.org/officeDocument/2006/relationships/hyperlink" Target="http://sortlist.co.uk" TargetMode="External"/><Relationship Id="rId1650" Type="http://schemas.openxmlformats.org/officeDocument/2006/relationships/hyperlink" Target="https://www.chaosdesign.com/who-we-are/" TargetMode="External"/><Relationship Id="rId1651" Type="http://schemas.openxmlformats.org/officeDocument/2006/relationships/hyperlink" Target="http://chaosdesign.com" TargetMode="External"/><Relationship Id="rId1652" Type="http://schemas.openxmlformats.org/officeDocument/2006/relationships/hyperlink" Target="https://www.choreograph.com/" TargetMode="External"/><Relationship Id="rId1642" Type="http://schemas.openxmlformats.org/officeDocument/2006/relationships/hyperlink" Target="https://www.cbinsights.com/esp/enterprise-tech/marketing-&amp;-ad-tech/marketing-attribution" TargetMode="External"/><Relationship Id="rId1643" Type="http://schemas.openxmlformats.org/officeDocument/2006/relationships/hyperlink" Target="http://cbinsights.com" TargetMode="External"/><Relationship Id="rId1644" Type="http://schemas.openxmlformats.org/officeDocument/2006/relationships/hyperlink" Target="https://cdp.com/glossary/data-management-platform-dmp-vendors/" TargetMode="External"/><Relationship Id="rId1645" Type="http://schemas.openxmlformats.org/officeDocument/2006/relationships/hyperlink" Target="http://cdp.com" TargetMode="External"/><Relationship Id="rId1646" Type="http://schemas.openxmlformats.org/officeDocument/2006/relationships/hyperlink" Target="https://ceek.co.uk/" TargetMode="External"/><Relationship Id="rId1647" Type="http://schemas.openxmlformats.org/officeDocument/2006/relationships/hyperlink" Target="http://ceek.co.uk" TargetMode="External"/><Relationship Id="rId1648" Type="http://schemas.openxmlformats.org/officeDocument/2006/relationships/hyperlink" Target="https://www.cgi.com/uk/en-gb/geospatial-services" TargetMode="External"/><Relationship Id="rId1649" Type="http://schemas.openxmlformats.org/officeDocument/2006/relationships/hyperlink" Target="http://cgi.com" TargetMode="External"/><Relationship Id="rId819" Type="http://schemas.openxmlformats.org/officeDocument/2006/relationships/hyperlink" Target="http://sortlist.co.uk" TargetMode="External"/><Relationship Id="rId818" Type="http://schemas.openxmlformats.org/officeDocument/2006/relationships/hyperlink" Target="https://www.sortlist.co.uk/digital-marketing/united-kingdom-gb" TargetMode="External"/><Relationship Id="rId817" Type="http://schemas.openxmlformats.org/officeDocument/2006/relationships/hyperlink" Target="http://sortlist.co.uk" TargetMode="External"/><Relationship Id="rId816" Type="http://schemas.openxmlformats.org/officeDocument/2006/relationships/hyperlink" Target="https://www.sortlist.co.uk/branding/united-kingdom-gb" TargetMode="External"/><Relationship Id="rId811" Type="http://schemas.openxmlformats.org/officeDocument/2006/relationships/hyperlink" Target="http://richclicks.co.uk" TargetMode="External"/><Relationship Id="rId810" Type="http://schemas.openxmlformats.org/officeDocument/2006/relationships/hyperlink" Target="https://www.richclicks.co.uk/services/ai-adoption" TargetMode="External"/><Relationship Id="rId815" Type="http://schemas.openxmlformats.org/officeDocument/2006/relationships/hyperlink" Target="http://socialchameleon.com" TargetMode="External"/><Relationship Id="rId814" Type="http://schemas.openxmlformats.org/officeDocument/2006/relationships/hyperlink" Target="https://socialchameleon.com/30-marketing-agencies-uk/" TargetMode="External"/><Relationship Id="rId813" Type="http://schemas.openxmlformats.org/officeDocument/2006/relationships/hyperlink" Target="http://ruleranalytics.com" TargetMode="External"/><Relationship Id="rId812" Type="http://schemas.openxmlformats.org/officeDocument/2006/relationships/hyperlink" Target="https://www.ruleranalytics.com/" TargetMode="External"/><Relationship Id="rId1640" Type="http://schemas.openxmlformats.org/officeDocument/2006/relationships/hyperlink" Target="https://www.causalityengine.ai/resources/best-incrementality-testing-platforms" TargetMode="External"/><Relationship Id="rId1641" Type="http://schemas.openxmlformats.org/officeDocument/2006/relationships/hyperlink" Target="http://causalityengine.ai" TargetMode="External"/><Relationship Id="rId1675" Type="http://schemas.openxmlformats.org/officeDocument/2006/relationships/hyperlink" Target="http://clicksgeek.com" TargetMode="External"/><Relationship Id="rId2522" Type="http://schemas.openxmlformats.org/officeDocument/2006/relationships/hyperlink" Target="http://segmentstream.com" TargetMode="External"/><Relationship Id="rId1676" Type="http://schemas.openxmlformats.org/officeDocument/2006/relationships/hyperlink" Target="https://clicksgeek.com/best-roi-marketing-agencies/" TargetMode="External"/><Relationship Id="rId2523" Type="http://schemas.openxmlformats.org/officeDocument/2006/relationships/hyperlink" Target="https://sellforte.com/support/sellforte-experiments-geo-lift" TargetMode="External"/><Relationship Id="rId1677" Type="http://schemas.openxmlformats.org/officeDocument/2006/relationships/hyperlink" Target="http://clicksgeek.com" TargetMode="External"/><Relationship Id="rId2524" Type="http://schemas.openxmlformats.org/officeDocument/2006/relationships/hyperlink" Target="http://sellforte.com" TargetMode="External"/><Relationship Id="rId1678" Type="http://schemas.openxmlformats.org/officeDocument/2006/relationships/hyperlink" Target="https://www.clickslice.co.uk/best-ecommerce-seo-agencies-uk/" TargetMode="External"/><Relationship Id="rId2525" Type="http://schemas.openxmlformats.org/officeDocument/2006/relationships/hyperlink" Target="https://www.semfirms.com/uk/london/display-advertising-firms" TargetMode="External"/><Relationship Id="rId1679" Type="http://schemas.openxmlformats.org/officeDocument/2006/relationships/hyperlink" Target="http://clickslice.co.uk" TargetMode="External"/><Relationship Id="rId2526" Type="http://schemas.openxmlformats.org/officeDocument/2006/relationships/hyperlink" Target="http://semfirms.com" TargetMode="External"/><Relationship Id="rId2527" Type="http://schemas.openxmlformats.org/officeDocument/2006/relationships/hyperlink" Target="https://www.seo-london.com/agencies/" TargetMode="External"/><Relationship Id="rId2528" Type="http://schemas.openxmlformats.org/officeDocument/2006/relationships/hyperlink" Target="http://seo-london.com" TargetMode="External"/><Relationship Id="rId2529" Type="http://schemas.openxmlformats.org/officeDocument/2006/relationships/hyperlink" Target="https://seo-ranks.co.uk/best-seo-agencies-uk-aeo-geo-2026/" TargetMode="External"/><Relationship Id="rId849" Type="http://schemas.openxmlformats.org/officeDocument/2006/relationships/hyperlink" Target="https://clutch.co/agencies/branding/uk" TargetMode="External"/><Relationship Id="rId844" Type="http://schemas.openxmlformats.org/officeDocument/2006/relationships/hyperlink" Target="http://aiconsultingfirms.co.uk" TargetMode="External"/><Relationship Id="rId843" Type="http://schemas.openxmlformats.org/officeDocument/2006/relationships/hyperlink" Target="https://aiconsultingfirms.co.uk/" TargetMode="External"/><Relationship Id="rId842" Type="http://schemas.openxmlformats.org/officeDocument/2006/relationships/hyperlink" Target="http://ukpaidmediaawards.co.uk" TargetMode="External"/><Relationship Id="rId841" Type="http://schemas.openxmlformats.org/officeDocument/2006/relationships/hyperlink" Target="https://ukpaidmediaawards.co.uk/2026-winners/" TargetMode="External"/><Relationship Id="rId848" Type="http://schemas.openxmlformats.org/officeDocument/2006/relationships/hyperlink" Target="http://google.com" TargetMode="External"/><Relationship Id="rId847" Type="http://schemas.openxmlformats.org/officeDocument/2006/relationships/hyperlink" Target="https://business.google.com/en-all/support/work-with-a-partner/?hl=uk" TargetMode="External"/><Relationship Id="rId846" Type="http://schemas.openxmlformats.org/officeDocument/2006/relationships/hyperlink" Target="http://arramton.com" TargetMode="External"/><Relationship Id="rId845" Type="http://schemas.openxmlformats.org/officeDocument/2006/relationships/hyperlink" Target="https://arramton.com/blogs/performance-marketing-agencies" TargetMode="External"/><Relationship Id="rId1670" Type="http://schemas.openxmlformats.org/officeDocument/2006/relationships/hyperlink" Target="https://clicksgeek.com/best-roi-digital-marketing-agencies/" TargetMode="External"/><Relationship Id="rId840" Type="http://schemas.openxmlformats.org/officeDocument/2006/relationships/hyperlink" Target="http://topseobrands.com" TargetMode="External"/><Relationship Id="rId1671" Type="http://schemas.openxmlformats.org/officeDocument/2006/relationships/hyperlink" Target="http://clicksgeek.com" TargetMode="External"/><Relationship Id="rId1672" Type="http://schemas.openxmlformats.org/officeDocument/2006/relationships/hyperlink" Target="https://clicksgeek.com/best-roi-focused-marketing-agencies/" TargetMode="External"/><Relationship Id="rId1673" Type="http://schemas.openxmlformats.org/officeDocument/2006/relationships/hyperlink" Target="http://clicksgeek.com" TargetMode="External"/><Relationship Id="rId2520" Type="http://schemas.openxmlformats.org/officeDocument/2006/relationships/hyperlink" Target="http://segmentstream.com" TargetMode="External"/><Relationship Id="rId1674" Type="http://schemas.openxmlformats.org/officeDocument/2006/relationships/hyperlink" Target="https://clicksgeek.com/best-roi-focused-marketing-agency/" TargetMode="External"/><Relationship Id="rId2521" Type="http://schemas.openxmlformats.org/officeDocument/2006/relationships/hyperlink" Target="https://segmentstream.com/blog/articles/top-haus-io-alternatives-for-geo-lift-incrementality-testing" TargetMode="External"/><Relationship Id="rId1664" Type="http://schemas.openxmlformats.org/officeDocument/2006/relationships/hyperlink" Target="https://clickmarketing.co.uk/answer-engine-optimisation/" TargetMode="External"/><Relationship Id="rId2511" Type="http://schemas.openxmlformats.org/officeDocument/2006/relationships/hyperlink" Target="https://scopicstudios.com/blog/first-party-data-adoption-statistics-every-marketer-must-know/" TargetMode="External"/><Relationship Id="rId1665" Type="http://schemas.openxmlformats.org/officeDocument/2006/relationships/hyperlink" Target="http://clickmarketing.co.uk" TargetMode="External"/><Relationship Id="rId2512" Type="http://schemas.openxmlformats.org/officeDocument/2006/relationships/hyperlink" Target="http://scopicstudios.com" TargetMode="External"/><Relationship Id="rId1666" Type="http://schemas.openxmlformats.org/officeDocument/2006/relationships/hyperlink" Target="https://clicksgeek.com/best-marketing-agency-for-roi/" TargetMode="External"/><Relationship Id="rId2513" Type="http://schemas.openxmlformats.org/officeDocument/2006/relationships/hyperlink" Target="https://www.searchable.com/" TargetMode="External"/><Relationship Id="rId1667" Type="http://schemas.openxmlformats.org/officeDocument/2006/relationships/hyperlink" Target="http://clicksgeek.com" TargetMode="External"/><Relationship Id="rId2514" Type="http://schemas.openxmlformats.org/officeDocument/2006/relationships/hyperlink" Target="http://searchable.com" TargetMode="External"/><Relationship Id="rId1668" Type="http://schemas.openxmlformats.org/officeDocument/2006/relationships/hyperlink" Target="https://clicksgeek.com/best-paid-advertising-platforms-for-small-business/" TargetMode="External"/><Relationship Id="rId2515" Type="http://schemas.openxmlformats.org/officeDocument/2006/relationships/hyperlink" Target="https://www.searchbloom.com/strategy/best-ai-seo-agency-companies-services-usa/" TargetMode="External"/><Relationship Id="rId1669" Type="http://schemas.openxmlformats.org/officeDocument/2006/relationships/hyperlink" Target="http://clicksgeek.com" TargetMode="External"/><Relationship Id="rId2516" Type="http://schemas.openxmlformats.org/officeDocument/2006/relationships/hyperlink" Target="http://searchbloom.com" TargetMode="External"/><Relationship Id="rId2517" Type="http://schemas.openxmlformats.org/officeDocument/2006/relationships/hyperlink" Target="https://www.securitysenses.com/posts/best-saas-ai-seo-companies-united-kingdom-technical-seo-scale" TargetMode="External"/><Relationship Id="rId2518" Type="http://schemas.openxmlformats.org/officeDocument/2006/relationships/hyperlink" Target="http://securitysenses.com" TargetMode="External"/><Relationship Id="rId2519" Type="http://schemas.openxmlformats.org/officeDocument/2006/relationships/hyperlink" Target="https://segmentstream.com/blog/articles/top-enterprise-marketing-analytics-and-attribution-platforms" TargetMode="External"/><Relationship Id="rId839" Type="http://schemas.openxmlformats.org/officeDocument/2006/relationships/hyperlink" Target="https://www.topseobrands.com/uk/london/best-display-advertising-firms" TargetMode="External"/><Relationship Id="rId838" Type="http://schemas.openxmlformats.org/officeDocument/2006/relationships/hyperlink" Target="http://thesocialshepherd.com" TargetMode="External"/><Relationship Id="rId833" Type="http://schemas.openxmlformats.org/officeDocument/2006/relationships/hyperlink" Target="https://www.thedrum.com/news/world-creative-rankings-2026-several-dublin-agencies-break-into-uk-ireland-top-spots" TargetMode="External"/><Relationship Id="rId832" Type="http://schemas.openxmlformats.org/officeDocument/2006/relationships/hyperlink" Target="http://the7stars.co.uk" TargetMode="External"/><Relationship Id="rId831" Type="http://schemas.openxmlformats.org/officeDocument/2006/relationships/hyperlink" Target="https://www.the7stars.co.uk/blog/the7stars-becomes-a-google-marketing-platform-certified-partner/" TargetMode="External"/><Relationship Id="rId830" Type="http://schemas.openxmlformats.org/officeDocument/2006/relationships/hyperlink" Target="http://superside.com" TargetMode="External"/><Relationship Id="rId837" Type="http://schemas.openxmlformats.org/officeDocument/2006/relationships/hyperlink" Target="https://thesocialshepherd.com/blog/creative-agencies-uk" TargetMode="External"/><Relationship Id="rId836" Type="http://schemas.openxmlformats.org/officeDocument/2006/relationships/hyperlink" Target="http://therubiconagency.com" TargetMode="External"/><Relationship Id="rId835" Type="http://schemas.openxmlformats.org/officeDocument/2006/relationships/hyperlink" Target="https://therubiconagency.com/technology-marketing-blog/top-10-b2b-ppc-agencies-uk/" TargetMode="External"/><Relationship Id="rId834" Type="http://schemas.openxmlformats.org/officeDocument/2006/relationships/hyperlink" Target="http://thedrum.com" TargetMode="External"/><Relationship Id="rId1660" Type="http://schemas.openxmlformats.org/officeDocument/2006/relationships/hyperlink" Target="https://www.clickintelligence.co.uk/" TargetMode="External"/><Relationship Id="rId1661" Type="http://schemas.openxmlformats.org/officeDocument/2006/relationships/hyperlink" Target="http://clickintelligence.co.uk" TargetMode="External"/><Relationship Id="rId1662" Type="http://schemas.openxmlformats.org/officeDocument/2006/relationships/hyperlink" Target="https://www.clickintelligence.co.uk/guides/agency-lists/seo/best-geo-seo-agencies/" TargetMode="External"/><Relationship Id="rId1663" Type="http://schemas.openxmlformats.org/officeDocument/2006/relationships/hyperlink" Target="http://clickintelligence.co.uk" TargetMode="External"/><Relationship Id="rId2510" Type="http://schemas.openxmlformats.org/officeDocument/2006/relationships/hyperlink" Target="http://scopicstudios.com" TargetMode="External"/><Relationship Id="rId2148" Type="http://schemas.openxmlformats.org/officeDocument/2006/relationships/hyperlink" Target="http://inbeat.co" TargetMode="External"/><Relationship Id="rId2149" Type="http://schemas.openxmlformats.org/officeDocument/2006/relationships/hyperlink" Target="https://influencermarketinghub.com/geo-agencies/" TargetMode="External"/><Relationship Id="rId469" Type="http://schemas.openxmlformats.org/officeDocument/2006/relationships/hyperlink" Target="https://www.icreativez.com/marketing-companies-by-country/industry-leading-digital-marketing-partners-uk-2026.html" TargetMode="External"/><Relationship Id="rId468" Type="http://schemas.openxmlformats.org/officeDocument/2006/relationships/hyperlink" Target="http://haus.io" TargetMode="External"/><Relationship Id="rId467" Type="http://schemas.openxmlformats.org/officeDocument/2006/relationships/hyperlink" Target="https://www.haus.io/use-cases/incrementality" TargetMode="External"/><Relationship Id="rId1290" Type="http://schemas.openxmlformats.org/officeDocument/2006/relationships/hyperlink" Target="https://miramarketing.co.uk/services/paid-social" TargetMode="External"/><Relationship Id="rId1291" Type="http://schemas.openxmlformats.org/officeDocument/2006/relationships/hyperlink" Target="http://miramarketing.co.uk" TargetMode="External"/><Relationship Id="rId1292" Type="http://schemas.openxmlformats.org/officeDocument/2006/relationships/hyperlink" Target="https://www.mobitsolutions.com/digital-marketing-in-the-uk-what-agencies-charge-vs-what-you-get-back/" TargetMode="External"/><Relationship Id="rId462" Type="http://schemas.openxmlformats.org/officeDocument/2006/relationships/hyperlink" Target="http://gambitagency.co.uk" TargetMode="External"/><Relationship Id="rId1293" Type="http://schemas.openxmlformats.org/officeDocument/2006/relationships/hyperlink" Target="http://mobitsolutions.com" TargetMode="External"/><Relationship Id="rId2140" Type="http://schemas.openxmlformats.org/officeDocument/2006/relationships/hyperlink" Target="https://improvado.io/blog/marketing-attribution-models" TargetMode="External"/><Relationship Id="rId461" Type="http://schemas.openxmlformats.org/officeDocument/2006/relationships/hyperlink" Target="https://www.gambitagency.co.uk/blog/10-best-paid-social-agencies" TargetMode="External"/><Relationship Id="rId1294" Type="http://schemas.openxmlformats.org/officeDocument/2006/relationships/hyperlink" Target="https://www.modernmarketingpartners.com/2026/03/19/14-best-answer-engine-optimization-agencies-aeo-insights-company-rankings-for-2026/" TargetMode="External"/><Relationship Id="rId2141" Type="http://schemas.openxmlformats.org/officeDocument/2006/relationships/hyperlink" Target="http://improvado.io" TargetMode="External"/><Relationship Id="rId460" Type="http://schemas.openxmlformats.org/officeDocument/2006/relationships/hyperlink" Target="http://expertsure.com" TargetMode="External"/><Relationship Id="rId1295" Type="http://schemas.openxmlformats.org/officeDocument/2006/relationships/hyperlink" Target="http://modernmarketingpartners.com" TargetMode="External"/><Relationship Id="rId2142" Type="http://schemas.openxmlformats.org/officeDocument/2006/relationships/hyperlink" Target="https://improvado.io/blog/multi-touch-attribution-solutions" TargetMode="External"/><Relationship Id="rId1296" Type="http://schemas.openxmlformats.org/officeDocument/2006/relationships/hyperlink" Target="https://www.moreaboutadvertising.com/2025/03/saatchi-saatchi-tops-uk-billings-table-publicis-is-top-group/" TargetMode="External"/><Relationship Id="rId2143" Type="http://schemas.openxmlformats.org/officeDocument/2006/relationships/hyperlink" Target="http://improvado.io" TargetMode="External"/><Relationship Id="rId466" Type="http://schemas.openxmlformats.org/officeDocument/2006/relationships/hyperlink" Target="http://gwi.com" TargetMode="External"/><Relationship Id="rId1297" Type="http://schemas.openxmlformats.org/officeDocument/2006/relationships/hyperlink" Target="http://moreaboutadvertising.com" TargetMode="External"/><Relationship Id="rId2144" Type="http://schemas.openxmlformats.org/officeDocument/2006/relationships/hyperlink" Target="https://inbeat.agency/blog/top-dynamic-creative-optimization-companies" TargetMode="External"/><Relationship Id="rId465" Type="http://schemas.openxmlformats.org/officeDocument/2006/relationships/hyperlink" Target="https://www.gwi.com/blog/market-research-companies-uk" TargetMode="External"/><Relationship Id="rId1298" Type="http://schemas.openxmlformats.org/officeDocument/2006/relationships/hyperlink" Target="https://mqlflow.com/" TargetMode="External"/><Relationship Id="rId2145" Type="http://schemas.openxmlformats.org/officeDocument/2006/relationships/hyperlink" Target="https://inbeat.agency/blog/top-performance-creative-agencies" TargetMode="External"/><Relationship Id="rId464" Type="http://schemas.openxmlformats.org/officeDocument/2006/relationships/hyperlink" Target="http://google.co.uk" TargetMode="External"/><Relationship Id="rId1299" Type="http://schemas.openxmlformats.org/officeDocument/2006/relationships/hyperlink" Target="http://mqlflow.com" TargetMode="External"/><Relationship Id="rId2146" Type="http://schemas.openxmlformats.org/officeDocument/2006/relationships/hyperlink" Target="https://inbeat.agency/blog/top-ppc-agencies-uk" TargetMode="External"/><Relationship Id="rId463" Type="http://schemas.openxmlformats.org/officeDocument/2006/relationships/hyperlink" Target="https://www.google.co.uk/intl/en-GB/ads/publisher/partners/find-a-partner/" TargetMode="External"/><Relationship Id="rId2147" Type="http://schemas.openxmlformats.org/officeDocument/2006/relationships/hyperlink" Target="https://www.inbeat.co/articles/top-performance-marketing-agencies/" TargetMode="External"/><Relationship Id="rId2137" Type="http://schemas.openxmlformats.org/officeDocument/2006/relationships/hyperlink" Target="https://humanise.world/blog/first-party-data-activation" TargetMode="External"/><Relationship Id="rId2138" Type="http://schemas.openxmlformats.org/officeDocument/2006/relationships/hyperlink" Target="https://www.icpnet.com/resources/blog/scaling-creative-production-without-changing-your-stack-agency-lens" TargetMode="External"/><Relationship Id="rId2139" Type="http://schemas.openxmlformats.org/officeDocument/2006/relationships/hyperlink" Target="http://icpnet.com" TargetMode="External"/><Relationship Id="rId459" Type="http://schemas.openxmlformats.org/officeDocument/2006/relationships/hyperlink" Target="https://www.expertsure.com/uk/ai-tools/best-ai-consultants/" TargetMode="External"/><Relationship Id="rId458" Type="http://schemas.openxmlformats.org/officeDocument/2006/relationships/hyperlink" Target="http://clutch.co" TargetMode="External"/><Relationship Id="rId457" Type="http://schemas.openxmlformats.org/officeDocument/2006/relationships/hyperlink" Target="https://clutch.co/agencies/ppc/google-adwords/uk" TargetMode="External"/><Relationship Id="rId456" Type="http://schemas.openxmlformats.org/officeDocument/2006/relationships/hyperlink" Target="http://clutch.co" TargetMode="External"/><Relationship Id="rId1280" Type="http://schemas.openxmlformats.org/officeDocument/2006/relationships/hyperlink" Target="https://marketingplatform.google.com/intl/en_uk/about/optimize/" TargetMode="External"/><Relationship Id="rId1281" Type="http://schemas.openxmlformats.org/officeDocument/2006/relationships/hyperlink" Target="http://google.com" TargetMode="External"/><Relationship Id="rId451" Type="http://schemas.openxmlformats.org/officeDocument/2006/relationships/hyperlink" Target="https://www.clickslice.co.uk/best-ai-aeo-agencies-uk/" TargetMode="External"/><Relationship Id="rId1282" Type="http://schemas.openxmlformats.org/officeDocument/2006/relationships/hyperlink" Target="https://marketingsignals.com/best-geo-agency-2026-the-top-generative-engine-optimisation-agencies-ranked/" TargetMode="External"/><Relationship Id="rId450" Type="http://schemas.openxmlformats.org/officeDocument/2006/relationships/hyperlink" Target="http://arytech.com" TargetMode="External"/><Relationship Id="rId1283" Type="http://schemas.openxmlformats.org/officeDocument/2006/relationships/hyperlink" Target="http://marketingsignals.com" TargetMode="External"/><Relationship Id="rId2130" Type="http://schemas.openxmlformats.org/officeDocument/2006/relationships/hyperlink" Target="http://hellogameplan.com" TargetMode="External"/><Relationship Id="rId1284" Type="http://schemas.openxmlformats.org/officeDocument/2006/relationships/hyperlink" Target="https://www.masoncircle.com/blog/" TargetMode="External"/><Relationship Id="rId2131" Type="http://schemas.openxmlformats.org/officeDocument/2006/relationships/hyperlink" Target="https://www.heydigital.co/blog/saas-marketing-agencies" TargetMode="External"/><Relationship Id="rId1285" Type="http://schemas.openxmlformats.org/officeDocument/2006/relationships/hyperlink" Target="http://masoncircle.com" TargetMode="External"/><Relationship Id="rId2132" Type="http://schemas.openxmlformats.org/officeDocument/2006/relationships/hyperlink" Target="http://heydigital.co" TargetMode="External"/><Relationship Id="rId455" Type="http://schemas.openxmlformats.org/officeDocument/2006/relationships/hyperlink" Target="https://clutch.co/agencies/media-buying/uk" TargetMode="External"/><Relationship Id="rId1286" Type="http://schemas.openxmlformats.org/officeDocument/2006/relationships/hyperlink" Target="https://www.measured.com/incrementality-testing/" TargetMode="External"/><Relationship Id="rId2133" Type="http://schemas.openxmlformats.org/officeDocument/2006/relationships/hyperlink" Target="https://hikemytraffic.com/ai-digital-marketing-companies-in-uk/" TargetMode="External"/><Relationship Id="rId454" Type="http://schemas.openxmlformats.org/officeDocument/2006/relationships/hyperlink" Target="http://clutch.co" TargetMode="External"/><Relationship Id="rId1287" Type="http://schemas.openxmlformats.org/officeDocument/2006/relationships/hyperlink" Target="http://measured.com" TargetMode="External"/><Relationship Id="rId2134" Type="http://schemas.openxmlformats.org/officeDocument/2006/relationships/hyperlink" Target="http://hikemytraffic.com" TargetMode="External"/><Relationship Id="rId453" Type="http://schemas.openxmlformats.org/officeDocument/2006/relationships/hyperlink" Target="https://clutch.co/agencies/digital-marketing/uk/england/london" TargetMode="External"/><Relationship Id="rId1288" Type="http://schemas.openxmlformats.org/officeDocument/2006/relationships/hyperlink" Target="https://www.mintcopywritingstudios.com/blog/ai-search-optimization-geo-agencies" TargetMode="External"/><Relationship Id="rId2135" Type="http://schemas.openxmlformats.org/officeDocument/2006/relationships/hyperlink" Target="https://www.hockeystack.com/blog-posts/how-to-measure-marketing-attribution" TargetMode="External"/><Relationship Id="rId452" Type="http://schemas.openxmlformats.org/officeDocument/2006/relationships/hyperlink" Target="http://clickslice.co.uk" TargetMode="External"/><Relationship Id="rId1289" Type="http://schemas.openxmlformats.org/officeDocument/2006/relationships/hyperlink" Target="http://mintcopywritingstudios.com" TargetMode="External"/><Relationship Id="rId2136" Type="http://schemas.openxmlformats.org/officeDocument/2006/relationships/hyperlink" Target="http://hockeystack.com" TargetMode="External"/><Relationship Id="rId491" Type="http://schemas.openxmlformats.org/officeDocument/2006/relationships/hyperlink" Target="https://tilio.co.uk/blog/best-aeo-agencies-2026-uk" TargetMode="External"/><Relationship Id="rId490" Type="http://schemas.openxmlformats.org/officeDocument/2006/relationships/hyperlink" Target="http://supermetrics.com" TargetMode="External"/><Relationship Id="rId489" Type="http://schemas.openxmlformats.org/officeDocument/2006/relationships/hyperlink" Target="https://supermetrics.com/blog/incrementality-testing" TargetMode="External"/><Relationship Id="rId2160" Type="http://schemas.openxmlformats.org/officeDocument/2006/relationships/hyperlink" Target="http://insideoutdigital.co.uk" TargetMode="External"/><Relationship Id="rId2161" Type="http://schemas.openxmlformats.org/officeDocument/2006/relationships/hyperlink" Target="https://insight.atlas-mapping.com/blog/top-8-gis-mapping-companies" TargetMode="External"/><Relationship Id="rId484" Type="http://schemas.openxmlformats.org/officeDocument/2006/relationships/hyperlink" Target="http://rankshift.ai" TargetMode="External"/><Relationship Id="rId2162" Type="http://schemas.openxmlformats.org/officeDocument/2006/relationships/hyperlink" Target="http://atlas-mapping.com" TargetMode="External"/><Relationship Id="rId483" Type="http://schemas.openxmlformats.org/officeDocument/2006/relationships/hyperlink" Target="https://www.rankshift.ai/blog/best-geo-agencies/" TargetMode="External"/><Relationship Id="rId2163" Type="http://schemas.openxmlformats.org/officeDocument/2006/relationships/hyperlink" Target="https://www.intellectyx.com/ai-agent-development-companies-in-usa/" TargetMode="External"/><Relationship Id="rId482" Type="http://schemas.openxmlformats.org/officeDocument/2006/relationships/hyperlink" Target="http://rank4ai.co.uk" TargetMode="External"/><Relationship Id="rId2164" Type="http://schemas.openxmlformats.org/officeDocument/2006/relationships/hyperlink" Target="http://intellectyx.com" TargetMode="External"/><Relationship Id="rId481" Type="http://schemas.openxmlformats.org/officeDocument/2006/relationships/hyperlink" Target="https://www.rank4ai.co.uk/research/rankings/best-ai-seo-agencies-uk/" TargetMode="External"/><Relationship Id="rId2165" Type="http://schemas.openxmlformats.org/officeDocument/2006/relationships/hyperlink" Target="https://ipa.co.uk/knowledge/publications-reports/making-effectiveness-work/" TargetMode="External"/><Relationship Id="rId488" Type="http://schemas.openxmlformats.org/officeDocument/2006/relationships/hyperlink" Target="http://superhub.biz" TargetMode="External"/><Relationship Id="rId2166" Type="http://schemas.openxmlformats.org/officeDocument/2006/relationships/hyperlink" Target="http://ipa.co.uk" TargetMode="External"/><Relationship Id="rId487" Type="http://schemas.openxmlformats.org/officeDocument/2006/relationships/hyperlink" Target="https://www.superhub.biz/top-5-aeo-and-geo-agencies-uk-2026" TargetMode="External"/><Relationship Id="rId2167" Type="http://schemas.openxmlformats.org/officeDocument/2006/relationships/hyperlink" Target="https://www.iprospect.com/en-gb/services/paid-social-services" TargetMode="External"/><Relationship Id="rId486" Type="http://schemas.openxmlformats.org/officeDocument/2006/relationships/hyperlink" Target="http://segmentstream.com" TargetMode="External"/><Relationship Id="rId2168" Type="http://schemas.openxmlformats.org/officeDocument/2006/relationships/hyperlink" Target="http://iprospect.com" TargetMode="External"/><Relationship Id="rId485" Type="http://schemas.openxmlformats.org/officeDocument/2006/relationships/hyperlink" Target="https://segmentstream.com/blog/articles/top-10-incrementality-testing-tools" TargetMode="External"/><Relationship Id="rId2169" Type="http://schemas.openxmlformats.org/officeDocument/2006/relationships/hyperlink" Target="https://itprofiles.com/services/ai-consulting/uk" TargetMode="External"/><Relationship Id="rId2159" Type="http://schemas.openxmlformats.org/officeDocument/2006/relationships/hyperlink" Target="https://insideoutdigital.co.uk/" TargetMode="External"/><Relationship Id="rId480" Type="http://schemas.openxmlformats.org/officeDocument/2006/relationships/hyperlink" Target="http://pinemarsh.com" TargetMode="External"/><Relationship Id="rId479" Type="http://schemas.openxmlformats.org/officeDocument/2006/relationships/hyperlink" Target="https://pinemarsh.com/" TargetMode="External"/><Relationship Id="rId478" Type="http://schemas.openxmlformats.org/officeDocument/2006/relationships/hyperlink" Target="http://onelinkmedia.co.uk" TargetMode="External"/><Relationship Id="rId2150" Type="http://schemas.openxmlformats.org/officeDocument/2006/relationships/hyperlink" Target="http://influencermarketinghub.com" TargetMode="External"/><Relationship Id="rId473" Type="http://schemas.openxmlformats.org/officeDocument/2006/relationships/hyperlink" Target="https://www.margen.net/best-geo-agencies-uk-2026-the-complete-comparison-guide/" TargetMode="External"/><Relationship Id="rId2151" Type="http://schemas.openxmlformats.org/officeDocument/2006/relationships/hyperlink" Target="https://influencermarketinghub.com/performance-marketing-agencies/" TargetMode="External"/><Relationship Id="rId472" Type="http://schemas.openxmlformats.org/officeDocument/2006/relationships/hyperlink" Target="http://limeup.io" TargetMode="External"/><Relationship Id="rId2152" Type="http://schemas.openxmlformats.org/officeDocument/2006/relationships/hyperlink" Target="http://influencermarketinghub.com" TargetMode="External"/><Relationship Id="rId471" Type="http://schemas.openxmlformats.org/officeDocument/2006/relationships/hyperlink" Target="https://limeup.io/blog/digital-marketing-agency/" TargetMode="External"/><Relationship Id="rId2153" Type="http://schemas.openxmlformats.org/officeDocument/2006/relationships/hyperlink" Target="https://ink-digital.co.uk/services/paid-media/display-advertising/" TargetMode="External"/><Relationship Id="rId470" Type="http://schemas.openxmlformats.org/officeDocument/2006/relationships/hyperlink" Target="http://icreativez.com" TargetMode="External"/><Relationship Id="rId2154" Type="http://schemas.openxmlformats.org/officeDocument/2006/relationships/hyperlink" Target="http://ink-digital.co.uk" TargetMode="External"/><Relationship Id="rId477" Type="http://schemas.openxmlformats.org/officeDocument/2006/relationships/hyperlink" Target="https://www.onelinkmedia.co.uk/strategy/attribution/" TargetMode="External"/><Relationship Id="rId2155" Type="http://schemas.openxmlformats.org/officeDocument/2006/relationships/hyperlink" Target="https://ink-digital.co.uk/services/paid-media/paid-social/" TargetMode="External"/><Relationship Id="rId476" Type="http://schemas.openxmlformats.org/officeDocument/2006/relationships/hyperlink" Target="http://marketingagencyindex.com" TargetMode="External"/><Relationship Id="rId2156" Type="http://schemas.openxmlformats.org/officeDocument/2006/relationships/hyperlink" Target="http://ink-digital.co.uk" TargetMode="External"/><Relationship Id="rId475" Type="http://schemas.openxmlformats.org/officeDocument/2006/relationships/hyperlink" Target="https://www.marketingagencyindex.com/uk/services/social-media-advertising" TargetMode="External"/><Relationship Id="rId2157" Type="http://schemas.openxmlformats.org/officeDocument/2006/relationships/hyperlink" Target="https://insanelogic.co.uk/top-uk-geo-agencies-for-scaling-visibility-in-generative-engines" TargetMode="External"/><Relationship Id="rId474" Type="http://schemas.openxmlformats.org/officeDocument/2006/relationships/hyperlink" Target="http://margen.net" TargetMode="External"/><Relationship Id="rId2158" Type="http://schemas.openxmlformats.org/officeDocument/2006/relationships/hyperlink" Target="http://insanelogic.co.uk" TargetMode="External"/><Relationship Id="rId1257" Type="http://schemas.openxmlformats.org/officeDocument/2006/relationships/hyperlink" Target="http://latentview.com" TargetMode="External"/><Relationship Id="rId2104" Type="http://schemas.openxmlformats.org/officeDocument/2006/relationships/hyperlink" Target="http://growth.cx" TargetMode="External"/><Relationship Id="rId2588" Type="http://schemas.openxmlformats.org/officeDocument/2006/relationships/hyperlink" Target="http://sortlist.co.uk" TargetMode="External"/><Relationship Id="rId1258" Type="http://schemas.openxmlformats.org/officeDocument/2006/relationships/hyperlink" Target="https://liftlab.com/" TargetMode="External"/><Relationship Id="rId2105" Type="http://schemas.openxmlformats.org/officeDocument/2006/relationships/hyperlink" Target="https://growthcurve.co/agency/digital-marketing-agency/best-growth-marketing-agencies" TargetMode="External"/><Relationship Id="rId2589" Type="http://schemas.openxmlformats.org/officeDocument/2006/relationships/hyperlink" Target="https://www.sortlist.co.uk/web-analytics/london-england-gb" TargetMode="External"/><Relationship Id="rId1259" Type="http://schemas.openxmlformats.org/officeDocument/2006/relationships/hyperlink" Target="http://liftlab.com" TargetMode="External"/><Relationship Id="rId2106" Type="http://schemas.openxmlformats.org/officeDocument/2006/relationships/hyperlink" Target="http://growthcurve.co" TargetMode="External"/><Relationship Id="rId2107" Type="http://schemas.openxmlformats.org/officeDocument/2006/relationships/hyperlink" Target="https://growthmanager.ai/best-geo-agency" TargetMode="External"/><Relationship Id="rId2108" Type="http://schemas.openxmlformats.org/officeDocument/2006/relationships/hyperlink" Target="http://growthmanager.ai" TargetMode="External"/><Relationship Id="rId2109" Type="http://schemas.openxmlformats.org/officeDocument/2006/relationships/hyperlink" Target="https://www.growthspreeofficial.com/blogs/top-6-ai-powered-b2b-saas-marketing-agencies-in-the-united-states-2026" TargetMode="External"/><Relationship Id="rId426" Type="http://schemas.openxmlformats.org/officeDocument/2006/relationships/hyperlink" Target="https://inbeat.agency/blog/top-social-media-agencies-in-the-uk" TargetMode="External"/><Relationship Id="rId425" Type="http://schemas.openxmlformats.org/officeDocument/2006/relationships/hyperlink" Target="http://greenbook.org" TargetMode="External"/><Relationship Id="rId424" Type="http://schemas.openxmlformats.org/officeDocument/2006/relationships/hyperlink" Target="https://www.greenbook.org/market-research-companies/united-kingdom" TargetMode="External"/><Relationship Id="rId423" Type="http://schemas.openxmlformats.org/officeDocument/2006/relationships/hyperlink" Target="http://google.co.uk" TargetMode="External"/><Relationship Id="rId429" Type="http://schemas.openxmlformats.org/officeDocument/2006/relationships/hyperlink" Target="https://www.lynchpin.com/services/marketing-attribution/" TargetMode="External"/><Relationship Id="rId428" Type="http://schemas.openxmlformats.org/officeDocument/2006/relationships/hyperlink" Target="http://lengreo.com" TargetMode="External"/><Relationship Id="rId427" Type="http://schemas.openxmlformats.org/officeDocument/2006/relationships/hyperlink" Target="https://lengreo.com/top-answer-engine-optimization-aeo-agencies-for-uk-businesses-in-2025/" TargetMode="External"/><Relationship Id="rId2580" Type="http://schemas.openxmlformats.org/officeDocument/2006/relationships/hyperlink" Target="http://sortlist.co.uk" TargetMode="External"/><Relationship Id="rId1250" Type="http://schemas.openxmlformats.org/officeDocument/2006/relationships/hyperlink" Target="https://www.itpro.com/business/business-strategy/ai-projects-are-stalling-at-mid-market-firms-google-cloud-and-accenture-want-to-solve-that" TargetMode="External"/><Relationship Id="rId2581" Type="http://schemas.openxmlformats.org/officeDocument/2006/relationships/hyperlink" Target="https://www.sortlist.co.uk/s/performance-marketing/greater-london-england-gb" TargetMode="External"/><Relationship Id="rId1251" Type="http://schemas.openxmlformats.org/officeDocument/2006/relationships/hyperlink" Target="http://itpro.com" TargetMode="External"/><Relationship Id="rId2582" Type="http://schemas.openxmlformats.org/officeDocument/2006/relationships/hyperlink" Target="http://sortlist.co.uk" TargetMode="External"/><Relationship Id="rId1252" Type="http://schemas.openxmlformats.org/officeDocument/2006/relationships/hyperlink" Target="https://itprofiles.com/services/ppc/uk" TargetMode="External"/><Relationship Id="rId2583" Type="http://schemas.openxmlformats.org/officeDocument/2006/relationships/hyperlink" Target="https://www.sortlist.co.uk/s/programmatic-advertising/london-england-gb" TargetMode="External"/><Relationship Id="rId422" Type="http://schemas.openxmlformats.org/officeDocument/2006/relationships/hyperlink" Target="https://www.google.co.uk/intl/en/ads/publisher/partners/find-a-partner/" TargetMode="External"/><Relationship Id="rId1253" Type="http://schemas.openxmlformats.org/officeDocument/2006/relationships/hyperlink" Target="http://itprofiles.com" TargetMode="External"/><Relationship Id="rId2100" Type="http://schemas.openxmlformats.org/officeDocument/2006/relationships/hyperlink" Target="http://growth-labs.co.uk" TargetMode="External"/><Relationship Id="rId2584" Type="http://schemas.openxmlformats.org/officeDocument/2006/relationships/hyperlink" Target="http://sortlist.co.uk" TargetMode="External"/><Relationship Id="rId421" Type="http://schemas.openxmlformats.org/officeDocument/2006/relationships/hyperlink" Target="http://gartner.com" TargetMode="External"/><Relationship Id="rId1254" Type="http://schemas.openxmlformats.org/officeDocument/2006/relationships/hyperlink" Target="https://kpmg.com/uk/en/services/ai/trusted-ai-services.html" TargetMode="External"/><Relationship Id="rId2101" Type="http://schemas.openxmlformats.org/officeDocument/2006/relationships/hyperlink" Target="https://www.growth-rocket.com/blog/what-high-performing-agencies-do-differently-with-first-party-data-strategy/" TargetMode="External"/><Relationship Id="rId2585" Type="http://schemas.openxmlformats.org/officeDocument/2006/relationships/hyperlink" Target="https://www.sortlist.co.uk/s/storytelling/london-england-gb" TargetMode="External"/><Relationship Id="rId420" Type="http://schemas.openxmlformats.org/officeDocument/2006/relationships/hyperlink" Target="https://www.gartner.com/reviews/market/incrementality-measurement-platforms" TargetMode="External"/><Relationship Id="rId1255" Type="http://schemas.openxmlformats.org/officeDocument/2006/relationships/hyperlink" Target="http://kpmg.com" TargetMode="External"/><Relationship Id="rId2102" Type="http://schemas.openxmlformats.org/officeDocument/2006/relationships/hyperlink" Target="http://growth-rocket.com" TargetMode="External"/><Relationship Id="rId2586" Type="http://schemas.openxmlformats.org/officeDocument/2006/relationships/hyperlink" Target="http://sortlist.co.uk" TargetMode="External"/><Relationship Id="rId1256" Type="http://schemas.openxmlformats.org/officeDocument/2006/relationships/hyperlink" Target="https://www.latentview.com/glossary/incrementality-testing/" TargetMode="External"/><Relationship Id="rId2103" Type="http://schemas.openxmlformats.org/officeDocument/2006/relationships/hyperlink" Target="https://growth.cx/blog/best-performance-marketing-agencies/" TargetMode="External"/><Relationship Id="rId2587" Type="http://schemas.openxmlformats.org/officeDocument/2006/relationships/hyperlink" Target="https://www.sortlist.co.uk/s/testing-services/united-kingdom-gb" TargetMode="External"/><Relationship Id="rId1246" Type="http://schemas.openxmlformats.org/officeDocument/2006/relationships/hyperlink" Target="https://www.incrmntal.com/" TargetMode="External"/><Relationship Id="rId2577" Type="http://schemas.openxmlformats.org/officeDocument/2006/relationships/hyperlink" Target="https://www.sortlist.co.uk/s/international-branding/united-kingdom-gb" TargetMode="External"/><Relationship Id="rId1247" Type="http://schemas.openxmlformats.org/officeDocument/2006/relationships/hyperlink" Target="http://incrmntal.com" TargetMode="External"/><Relationship Id="rId2578" Type="http://schemas.openxmlformats.org/officeDocument/2006/relationships/hyperlink" Target="http://sortlist.co.uk" TargetMode="External"/><Relationship Id="rId1248" Type="http://schemas.openxmlformats.org/officeDocument/2006/relationships/hyperlink" Target="https://influencermarketinghub.com/ai-marketing-agencies/" TargetMode="External"/><Relationship Id="rId2579" Type="http://schemas.openxmlformats.org/officeDocument/2006/relationships/hyperlink" Target="https://www.sortlist.co.uk/s/paid-media/united-kingdom-gb?page=4" TargetMode="External"/><Relationship Id="rId1249" Type="http://schemas.openxmlformats.org/officeDocument/2006/relationships/hyperlink" Target="http://influencermarketinghub.com" TargetMode="External"/><Relationship Id="rId415" Type="http://schemas.openxmlformats.org/officeDocument/2006/relationships/hyperlink" Target="http://cometly.com" TargetMode="External"/><Relationship Id="rId899" Type="http://schemas.openxmlformats.org/officeDocument/2006/relationships/hyperlink" Target="https://riseup.agency/data-analytics/" TargetMode="External"/><Relationship Id="rId414" Type="http://schemas.openxmlformats.org/officeDocument/2006/relationships/hyperlink" Target="https://www.cometly.com/post/marketing-attribution-platform-for-agencies" TargetMode="External"/><Relationship Id="rId898" Type="http://schemas.openxmlformats.org/officeDocument/2006/relationships/hyperlink" Target="http://reddit.com" TargetMode="External"/><Relationship Id="rId413" Type="http://schemas.openxmlformats.org/officeDocument/2006/relationships/hyperlink" Target="http://clutch.co" TargetMode="External"/><Relationship Id="rId897" Type="http://schemas.openxmlformats.org/officeDocument/2006/relationships/hyperlink" Target="https://www.reddit.com/r/agency/comments/1ok212i/performance_marketing_incrementality/" TargetMode="External"/><Relationship Id="rId412" Type="http://schemas.openxmlformats.org/officeDocument/2006/relationships/hyperlink" Target="https://clutch.co/agencies/digital/uk" TargetMode="External"/><Relationship Id="rId896" Type="http://schemas.openxmlformats.org/officeDocument/2006/relationships/hyperlink" Target="http://reddit.com" TargetMode="External"/><Relationship Id="rId419" Type="http://schemas.openxmlformats.org/officeDocument/2006/relationships/hyperlink" Target="http://digitalagencynetwork.com" TargetMode="External"/><Relationship Id="rId418" Type="http://schemas.openxmlformats.org/officeDocument/2006/relationships/hyperlink" Target="https://digitalagencynetwork.com/agencies/london/geo/" TargetMode="External"/><Relationship Id="rId417" Type="http://schemas.openxmlformats.org/officeDocument/2006/relationships/hyperlink" Target="http://dentsu.com" TargetMode="External"/><Relationship Id="rId416" Type="http://schemas.openxmlformats.org/officeDocument/2006/relationships/hyperlink" Target="https://www.dentsu.com/uk/en/media-and-investors/elevating-marketing-measurement-for-the-modern-era" TargetMode="External"/><Relationship Id="rId891" Type="http://schemas.openxmlformats.org/officeDocument/2006/relationships/hyperlink" Target="https://passion.digital/services/ai-search/" TargetMode="External"/><Relationship Id="rId890" Type="http://schemas.openxmlformats.org/officeDocument/2006/relationships/hyperlink" Target="http://paramark.com" TargetMode="External"/><Relationship Id="rId2570" Type="http://schemas.openxmlformats.org/officeDocument/2006/relationships/hyperlink" Target="http://sortlist.co.uk" TargetMode="External"/><Relationship Id="rId1240" Type="http://schemas.openxmlformats.org/officeDocument/2006/relationships/hyperlink" Target="https://www.inbeat.co/articles/advertising-agencies-in-the-uk/" TargetMode="External"/><Relationship Id="rId2571" Type="http://schemas.openxmlformats.org/officeDocument/2006/relationships/hyperlink" Target="https://www.sortlist.co.uk/s/display-advertising/luton-england-gb" TargetMode="External"/><Relationship Id="rId1241" Type="http://schemas.openxmlformats.org/officeDocument/2006/relationships/hyperlink" Target="http://inbeat.co" TargetMode="External"/><Relationship Id="rId2572" Type="http://schemas.openxmlformats.org/officeDocument/2006/relationships/hyperlink" Target="http://sortlist.co.uk" TargetMode="External"/><Relationship Id="rId411" Type="http://schemas.openxmlformats.org/officeDocument/2006/relationships/hyperlink" Target="http://semrush.com" TargetMode="External"/><Relationship Id="rId895" Type="http://schemas.openxmlformats.org/officeDocument/2006/relationships/hyperlink" Target="https://www.reddit.com/r/PPC/comments/1tkc7rr/which_ppc_agencies_are_actually_considered_the/" TargetMode="External"/><Relationship Id="rId1242" Type="http://schemas.openxmlformats.org/officeDocument/2006/relationships/hyperlink" Target="https://www.inceptiontoaction.ai/" TargetMode="External"/><Relationship Id="rId2573" Type="http://schemas.openxmlformats.org/officeDocument/2006/relationships/hyperlink" Target="https://www.sortlist.co.uk/s/display-advertising/manchester-england-gb" TargetMode="External"/><Relationship Id="rId410" Type="http://schemas.openxmlformats.org/officeDocument/2006/relationships/hyperlink" Target="https://agencies.semrush.com/list/display-advertising/london-city/small-business/" TargetMode="External"/><Relationship Id="rId894" Type="http://schemas.openxmlformats.org/officeDocument/2006/relationships/hyperlink" Target="http://reddit.com" TargetMode="External"/><Relationship Id="rId1243" Type="http://schemas.openxmlformats.org/officeDocument/2006/relationships/hyperlink" Target="http://inceptiontoaction.ai" TargetMode="External"/><Relationship Id="rId2574" Type="http://schemas.openxmlformats.org/officeDocument/2006/relationships/hyperlink" Target="http://sortlist.co.uk" TargetMode="External"/><Relationship Id="rId893" Type="http://schemas.openxmlformats.org/officeDocument/2006/relationships/hyperlink" Target="https://www.reddit.com/r/LLMTraffic/comments/1t44tn7/which_geo_marketing_agencies_are_actually_worth/" TargetMode="External"/><Relationship Id="rId1244" Type="http://schemas.openxmlformats.org/officeDocument/2006/relationships/hyperlink" Target="https://www.incremental.com/" TargetMode="External"/><Relationship Id="rId2575" Type="http://schemas.openxmlformats.org/officeDocument/2006/relationships/hyperlink" Target="https://www.sortlist.co.uk/s/google-ads/united-kingdom-gb" TargetMode="External"/><Relationship Id="rId892" Type="http://schemas.openxmlformats.org/officeDocument/2006/relationships/hyperlink" Target="https://piperocket.digital/list/best-paid-social-agencies/" TargetMode="External"/><Relationship Id="rId1245" Type="http://schemas.openxmlformats.org/officeDocument/2006/relationships/hyperlink" Target="http://incremental.com" TargetMode="External"/><Relationship Id="rId2576" Type="http://schemas.openxmlformats.org/officeDocument/2006/relationships/hyperlink" Target="http://sortlist.co.uk" TargetMode="External"/><Relationship Id="rId1279" Type="http://schemas.openxmlformats.org/officeDocument/2006/relationships/hyperlink" Target="http://google.com" TargetMode="External"/><Relationship Id="rId2126" Type="http://schemas.openxmlformats.org/officeDocument/2006/relationships/hyperlink" Target="http://helium42.com" TargetMode="External"/><Relationship Id="rId2127" Type="http://schemas.openxmlformats.org/officeDocument/2006/relationships/hyperlink" Target="https://helium42.com/blog/how-to-choose-ai-consultant" TargetMode="External"/><Relationship Id="rId2128" Type="http://schemas.openxmlformats.org/officeDocument/2006/relationships/hyperlink" Target="http://helium42.com" TargetMode="External"/><Relationship Id="rId2129" Type="http://schemas.openxmlformats.org/officeDocument/2006/relationships/hyperlink" Target="https://hellogameplan.com/" TargetMode="External"/><Relationship Id="rId448" Type="http://schemas.openxmlformats.org/officeDocument/2006/relationships/hyperlink" Target="http://semrush.com" TargetMode="External"/><Relationship Id="rId447" Type="http://schemas.openxmlformats.org/officeDocument/2006/relationships/hyperlink" Target="https://agencies.semrush.com/list/display-advertising/london-city/mid-business/" TargetMode="External"/><Relationship Id="rId446" Type="http://schemas.openxmlformats.org/officeDocument/2006/relationships/hyperlink" Target="http://aargroup.co.uk" TargetMode="External"/><Relationship Id="rId445" Type="http://schemas.openxmlformats.org/officeDocument/2006/relationships/hyperlink" Target="https://aargroup.co.uk/services-for-marketers/platform-readiness/genai-readiness-assessment/" TargetMode="External"/><Relationship Id="rId449" Type="http://schemas.openxmlformats.org/officeDocument/2006/relationships/hyperlink" Target="https://arytech.com/uk/services/ai-consulting-services/" TargetMode="External"/><Relationship Id="rId1270" Type="http://schemas.openxmlformats.org/officeDocument/2006/relationships/hyperlink" Target="https://madebyshape.co.uk/web-design-blog/the-best-social-media-agencies-in-the-uk/" TargetMode="External"/><Relationship Id="rId440" Type="http://schemas.openxmlformats.org/officeDocument/2006/relationships/hyperlink" Target="https://open.partners/open-partners-insights/best-full-service-agencies-uk/" TargetMode="External"/><Relationship Id="rId1271" Type="http://schemas.openxmlformats.org/officeDocument/2006/relationships/hyperlink" Target="http://madebyshape.co.uk" TargetMode="External"/><Relationship Id="rId1272" Type="http://schemas.openxmlformats.org/officeDocument/2006/relationships/hyperlink" Target="https://www.margen.net/geo-agency-uk/" TargetMode="External"/><Relationship Id="rId1273" Type="http://schemas.openxmlformats.org/officeDocument/2006/relationships/hyperlink" Target="http://margen.net" TargetMode="External"/><Relationship Id="rId2120" Type="http://schemas.openxmlformats.org/officeDocument/2006/relationships/hyperlink" Target="http://havasmarket.co.uk" TargetMode="External"/><Relationship Id="rId1274" Type="http://schemas.openxmlformats.org/officeDocument/2006/relationships/hyperlink" Target="https://www.marketingagencyindex.com/uk/ownership-model/network/wpp" TargetMode="External"/><Relationship Id="rId2121" Type="http://schemas.openxmlformats.org/officeDocument/2006/relationships/hyperlink" Target="https://www.havasmarket.co.uk/paid-search/" TargetMode="External"/><Relationship Id="rId444" Type="http://schemas.openxmlformats.org/officeDocument/2006/relationships/hyperlink" Target="http://wearetenet.com" TargetMode="External"/><Relationship Id="rId1275" Type="http://schemas.openxmlformats.org/officeDocument/2006/relationships/hyperlink" Target="http://marketingagencyindex.com" TargetMode="External"/><Relationship Id="rId2122" Type="http://schemas.openxmlformats.org/officeDocument/2006/relationships/hyperlink" Target="http://havasmarket.co.uk" TargetMode="External"/><Relationship Id="rId443" Type="http://schemas.openxmlformats.org/officeDocument/2006/relationships/hyperlink" Target="https://www.wearetenet.com/blog/best-geo-agencies-london" TargetMode="External"/><Relationship Id="rId1276" Type="http://schemas.openxmlformats.org/officeDocument/2006/relationships/hyperlink" Target="https://www.marketingagencyindex.com/uk/services/creative" TargetMode="External"/><Relationship Id="rId2123" Type="http://schemas.openxmlformats.org/officeDocument/2006/relationships/hyperlink" Target="https://hawksem.com/blog/performance-marketing-agency-list/" TargetMode="External"/><Relationship Id="rId442" Type="http://schemas.openxmlformats.org/officeDocument/2006/relationships/hyperlink" Target="http://thedigitalmaze.com" TargetMode="External"/><Relationship Id="rId1277" Type="http://schemas.openxmlformats.org/officeDocument/2006/relationships/hyperlink" Target="http://marketingagencyindex.com" TargetMode="External"/><Relationship Id="rId2124" Type="http://schemas.openxmlformats.org/officeDocument/2006/relationships/hyperlink" Target="http://hawksem.com" TargetMode="External"/><Relationship Id="rId441" Type="http://schemas.openxmlformats.org/officeDocument/2006/relationships/hyperlink" Target="https://thedigitalmaze.com/blog/top-10-digital-marketing-agencies-in-the-uk-2026/" TargetMode="External"/><Relationship Id="rId1278" Type="http://schemas.openxmlformats.org/officeDocument/2006/relationships/hyperlink" Target="https://marketingplatform.google.com/about/partners/find-a-partner" TargetMode="External"/><Relationship Id="rId2125" Type="http://schemas.openxmlformats.org/officeDocument/2006/relationships/hyperlink" Target="https://helium42.com/blog/ai-consultancy-uk" TargetMode="External"/><Relationship Id="rId1268" Type="http://schemas.openxmlformats.org/officeDocument/2006/relationships/hyperlink" Target="https://www.m1-project.com/blog/10-best-ai-marketing-agencies-in-depth-comparison" TargetMode="External"/><Relationship Id="rId2115" Type="http://schemas.openxmlformats.org/officeDocument/2006/relationships/hyperlink" Target="https://www.happyhourproductions.co.uk/insights/top-tv-advertising-agencies-uk" TargetMode="External"/><Relationship Id="rId2599" Type="http://schemas.openxmlformats.org/officeDocument/2006/relationships/hyperlink" Target="https://spaceandtime.co.uk/media/programmatic-agency" TargetMode="External"/><Relationship Id="rId1269" Type="http://schemas.openxmlformats.org/officeDocument/2006/relationships/hyperlink" Target="http://m1-project.com" TargetMode="External"/><Relationship Id="rId2116" Type="http://schemas.openxmlformats.org/officeDocument/2006/relationships/hyperlink" Target="http://happyhourproductions.co.uk" TargetMode="External"/><Relationship Id="rId2117" Type="http://schemas.openxmlformats.org/officeDocument/2006/relationships/hyperlink" Target="https://hashmeta.com/blog/10-best-aeo-geo-agencies-for-ai-search-optimization/" TargetMode="External"/><Relationship Id="rId2118" Type="http://schemas.openxmlformats.org/officeDocument/2006/relationships/hyperlink" Target="http://hashmeta.com" TargetMode="External"/><Relationship Id="rId2119" Type="http://schemas.openxmlformats.org/officeDocument/2006/relationships/hyperlink" Target="https://www.havasmarket.co.uk/ad-technology-resale-partner/google-marketing-platform-sales-partner/" TargetMode="External"/><Relationship Id="rId437" Type="http://schemas.openxmlformats.org/officeDocument/2006/relationships/hyperlink" Target="http://netpeak.co.uk" TargetMode="External"/><Relationship Id="rId436" Type="http://schemas.openxmlformats.org/officeDocument/2006/relationships/hyperlink" Target="https://netpeak.co.uk/services/marketing-analytics/" TargetMode="External"/><Relationship Id="rId435" Type="http://schemas.openxmlformats.org/officeDocument/2006/relationships/hyperlink" Target="https://www.munro.agency/best-data-analysis-agencies/" TargetMode="External"/><Relationship Id="rId434" Type="http://schemas.openxmlformats.org/officeDocument/2006/relationships/hyperlink" Target="http://marketingagencyindex.com" TargetMode="External"/><Relationship Id="rId439" Type="http://schemas.openxmlformats.org/officeDocument/2006/relationships/hyperlink" Target="http://neuraladx.com" TargetMode="External"/><Relationship Id="rId438" Type="http://schemas.openxmlformats.org/officeDocument/2006/relationships/hyperlink" Target="https://neuraladx.com/the-10-best-generative-engine-optimisation-companies-in-the-uk/" TargetMode="External"/><Relationship Id="rId2590" Type="http://schemas.openxmlformats.org/officeDocument/2006/relationships/hyperlink" Target="http://sortlist.co.uk" TargetMode="External"/><Relationship Id="rId1260" Type="http://schemas.openxmlformats.org/officeDocument/2006/relationships/hyperlink" Target="https://linea-analytics.com/" TargetMode="External"/><Relationship Id="rId2591" Type="http://schemas.openxmlformats.org/officeDocument/2006/relationships/hyperlink" Target="https://www.sortlist.com/l/dubai-ae" TargetMode="External"/><Relationship Id="rId1261" Type="http://schemas.openxmlformats.org/officeDocument/2006/relationships/hyperlink" Target="http://linea-analytics.com" TargetMode="External"/><Relationship Id="rId2592" Type="http://schemas.openxmlformats.org/officeDocument/2006/relationships/hyperlink" Target="http://sortlist.com" TargetMode="External"/><Relationship Id="rId1262" Type="http://schemas.openxmlformats.org/officeDocument/2006/relationships/hyperlink" Target="https://lon.havas.com/havas-london/" TargetMode="External"/><Relationship Id="rId2593" Type="http://schemas.openxmlformats.org/officeDocument/2006/relationships/hyperlink" Target="https://www.sortlist.com/marketing-communication" TargetMode="External"/><Relationship Id="rId1263" Type="http://schemas.openxmlformats.org/officeDocument/2006/relationships/hyperlink" Target="http://havas.com" TargetMode="External"/><Relationship Id="rId2110" Type="http://schemas.openxmlformats.org/officeDocument/2006/relationships/hyperlink" Target="http://growthspreeofficial.com" TargetMode="External"/><Relationship Id="rId2594" Type="http://schemas.openxmlformats.org/officeDocument/2006/relationships/hyperlink" Target="http://sortlist.com" TargetMode="External"/><Relationship Id="rId433" Type="http://schemas.openxmlformats.org/officeDocument/2006/relationships/hyperlink" Target="https://www.marketingagencyindex.com/uk/industries/ai" TargetMode="External"/><Relationship Id="rId1264" Type="http://schemas.openxmlformats.org/officeDocument/2006/relationships/hyperlink" Target="https://www.lucatagliaferro.com/recommended-aeo-freelance-consultants-for-ai-visibility/" TargetMode="External"/><Relationship Id="rId2111" Type="http://schemas.openxmlformats.org/officeDocument/2006/relationships/hyperlink" Target="https://hallam.agency/" TargetMode="External"/><Relationship Id="rId2595" Type="http://schemas.openxmlformats.org/officeDocument/2006/relationships/hyperlink" Target="https://www.sortlist.com/performance-marketing" TargetMode="External"/><Relationship Id="rId432" Type="http://schemas.openxmlformats.org/officeDocument/2006/relationships/hyperlink" Target="http://margen.net" TargetMode="External"/><Relationship Id="rId1265" Type="http://schemas.openxmlformats.org/officeDocument/2006/relationships/hyperlink" Target="http://lucatagliaferro.com" TargetMode="External"/><Relationship Id="rId2112" Type="http://schemas.openxmlformats.org/officeDocument/2006/relationships/hyperlink" Target="https://hallam.agency/analytics/" TargetMode="External"/><Relationship Id="rId2596" Type="http://schemas.openxmlformats.org/officeDocument/2006/relationships/hyperlink" Target="http://sortlist.com" TargetMode="External"/><Relationship Id="rId431" Type="http://schemas.openxmlformats.org/officeDocument/2006/relationships/hyperlink" Target="https://www.margen.net/best-aeo-agencies-uk-2026-answer-engine-optimisation-experts-compared/" TargetMode="External"/><Relationship Id="rId1266" Type="http://schemas.openxmlformats.org/officeDocument/2006/relationships/hyperlink" Target="https://www.lynchpin.com/attribution/" TargetMode="External"/><Relationship Id="rId2113" Type="http://schemas.openxmlformats.org/officeDocument/2006/relationships/hyperlink" Target="https://hallam.agency/contact/" TargetMode="External"/><Relationship Id="rId2597" Type="http://schemas.openxmlformats.org/officeDocument/2006/relationships/hyperlink" Target="https://www.sortlist.com/social-media-optimization" TargetMode="External"/><Relationship Id="rId430" Type="http://schemas.openxmlformats.org/officeDocument/2006/relationships/hyperlink" Target="http://lynchpin.com" TargetMode="External"/><Relationship Id="rId1267" Type="http://schemas.openxmlformats.org/officeDocument/2006/relationships/hyperlink" Target="http://lynchpin.com" TargetMode="External"/><Relationship Id="rId2114" Type="http://schemas.openxmlformats.org/officeDocument/2006/relationships/hyperlink" Target="https://hallam.agency/media-planning/" TargetMode="External"/><Relationship Id="rId2598" Type="http://schemas.openxmlformats.org/officeDocument/2006/relationships/hyperlink" Target="http://sortlist.com"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beomniscient.com/blog/best-ai-marketing-agencies/" TargetMode="External"/><Relationship Id="rId391" Type="http://schemas.openxmlformats.org/officeDocument/2006/relationships/hyperlink" Target="http://semrush.com" TargetMode="External"/><Relationship Id="rId390" Type="http://schemas.openxmlformats.org/officeDocument/2006/relationships/hyperlink" Target="https://agencies.semrush.com/list/analytics-data-science/united-kingdom/" TargetMode="External"/><Relationship Id="rId1" Type="http://schemas.openxmlformats.org/officeDocument/2006/relationships/hyperlink" Target="http://we-discover.com" TargetMode="External"/><Relationship Id="rId2" Type="http://schemas.openxmlformats.org/officeDocument/2006/relationships/hyperlink" Target="https://www.vxtx.co.uk/blog/best-performance-marketing-agencies-uk-2026-top-10-ranked" TargetMode="External"/><Relationship Id="rId3" Type="http://schemas.openxmlformats.org/officeDocument/2006/relationships/hyperlink" Target="http://vxtx.co.uk" TargetMode="External"/><Relationship Id="rId4" Type="http://schemas.openxmlformats.org/officeDocument/2006/relationships/hyperlink" Target="https://agencies.semrush.com/list/united-kingdom/" TargetMode="External"/><Relationship Id="rId9" Type="http://schemas.openxmlformats.org/officeDocument/2006/relationships/hyperlink" Target="https://clutch.co/agencies/uk" TargetMode="External"/><Relationship Id="rId385" Type="http://schemas.openxmlformats.org/officeDocument/2006/relationships/hyperlink" Target="http://tilio.co.uk" TargetMode="External"/><Relationship Id="rId384" Type="http://schemas.openxmlformats.org/officeDocument/2006/relationships/hyperlink" Target="https://tilio.co.uk/blog/best-aeo-agencies-2026-uk" TargetMode="External"/><Relationship Id="rId383" Type="http://schemas.openxmlformats.org/officeDocument/2006/relationships/hyperlink" Target="http://superhub.biz" TargetMode="External"/><Relationship Id="rId382" Type="http://schemas.openxmlformats.org/officeDocument/2006/relationships/hyperlink" Target="https://www.superhub.biz/top-5-aeo-and-geo-agencies-uk-2026" TargetMode="External"/><Relationship Id="rId5" Type="http://schemas.openxmlformats.org/officeDocument/2006/relationships/hyperlink" Target="http://semrush.com" TargetMode="External"/><Relationship Id="rId389" Type="http://schemas.openxmlformats.org/officeDocument/2006/relationships/hyperlink" Target="http://aeoagencyservices.com" TargetMode="External"/><Relationship Id="rId6" Type="http://schemas.openxmlformats.org/officeDocument/2006/relationships/hyperlink" Target="https://www.pushgroup.co.uk/blog/top-9-ai-marketing-agencies-in-the-uk" TargetMode="External"/><Relationship Id="rId388" Type="http://schemas.openxmlformats.org/officeDocument/2006/relationships/hyperlink" Target="https://aeoagencyservices.com/aeo-uk" TargetMode="External"/><Relationship Id="rId7" Type="http://schemas.openxmlformats.org/officeDocument/2006/relationships/hyperlink" Target="http://pushgroup.co.uk" TargetMode="External"/><Relationship Id="rId387" Type="http://schemas.openxmlformats.org/officeDocument/2006/relationships/hyperlink" Target="http://topseobrands.com" TargetMode="External"/><Relationship Id="rId8" Type="http://schemas.openxmlformats.org/officeDocument/2006/relationships/hyperlink" Target="https://bind.media/insights/top-25-ppc-agencies-in-the-uk-2025" TargetMode="External"/><Relationship Id="rId386" Type="http://schemas.openxmlformats.org/officeDocument/2006/relationships/hyperlink" Target="https://www.topseobrands.com/uk/best-display-advertising-firms-in-uk" TargetMode="External"/><Relationship Id="rId381" Type="http://schemas.openxmlformats.org/officeDocument/2006/relationships/hyperlink" Target="http://segmentstream.com" TargetMode="External"/><Relationship Id="rId380" Type="http://schemas.openxmlformats.org/officeDocument/2006/relationships/hyperlink" Target="https://segmentstream.com/blog/articles/top-10-incrementality-testing-tools" TargetMode="External"/><Relationship Id="rId379" Type="http://schemas.openxmlformats.org/officeDocument/2006/relationships/hyperlink" Target="http://rankshift.ai" TargetMode="External"/><Relationship Id="rId374" Type="http://schemas.openxmlformats.org/officeDocument/2006/relationships/hyperlink" Target="https://www.marketingagencyindex.com/uk/services/social-media-advertising" TargetMode="External"/><Relationship Id="rId373" Type="http://schemas.openxmlformats.org/officeDocument/2006/relationships/hyperlink" Target="http://margen.net" TargetMode="External"/><Relationship Id="rId372" Type="http://schemas.openxmlformats.org/officeDocument/2006/relationships/hyperlink" Target="https://www.margen.net/best-geo-agencies-uk-2026-the-complete-comparison-guide/" TargetMode="External"/><Relationship Id="rId371" Type="http://schemas.openxmlformats.org/officeDocument/2006/relationships/hyperlink" Target="http://limeup.io" TargetMode="External"/><Relationship Id="rId378" Type="http://schemas.openxmlformats.org/officeDocument/2006/relationships/hyperlink" Target="https://www.rankshift.ai/blog/best-geo-agencies/" TargetMode="External"/><Relationship Id="rId377" Type="http://schemas.openxmlformats.org/officeDocument/2006/relationships/hyperlink" Target="http://rank4ai.co.uk" TargetMode="External"/><Relationship Id="rId376" Type="http://schemas.openxmlformats.org/officeDocument/2006/relationships/hyperlink" Target="https://www.rank4ai.co.uk/research/rankings/best-ai-seo-agencies-uk/" TargetMode="External"/><Relationship Id="rId375" Type="http://schemas.openxmlformats.org/officeDocument/2006/relationships/hyperlink" Target="http://marketingagencyindex.com" TargetMode="External"/><Relationship Id="rId396" Type="http://schemas.openxmlformats.org/officeDocument/2006/relationships/hyperlink" Target="https://www.clickslice.co.uk/top-answer-engine-optimisation-agencies-uk/" TargetMode="External"/><Relationship Id="rId395" Type="http://schemas.openxmlformats.org/officeDocument/2006/relationships/hyperlink" Target="http://bluearray.co.uk" TargetMode="External"/><Relationship Id="rId394" Type="http://schemas.openxmlformats.org/officeDocument/2006/relationships/hyperlink" Target="https://www.bluearray.co.uk/agency-directory/best-paid-social-agencies-in-the-uk/" TargetMode="External"/><Relationship Id="rId393" Type="http://schemas.openxmlformats.org/officeDocument/2006/relationships/hyperlink" Target="http://beomniscient.com" TargetMode="External"/><Relationship Id="rId399" Type="http://schemas.openxmlformats.org/officeDocument/2006/relationships/hyperlink" Target="http://clutch.co" TargetMode="External"/><Relationship Id="rId398" Type="http://schemas.openxmlformats.org/officeDocument/2006/relationships/hyperlink" Target="https://clutch.co/agencies/programmatic/uk" TargetMode="External"/><Relationship Id="rId397" Type="http://schemas.openxmlformats.org/officeDocument/2006/relationships/hyperlink" Target="http://clickslice.co.uk" TargetMode="External"/><Relationship Id="rId808" Type="http://schemas.openxmlformats.org/officeDocument/2006/relationships/hyperlink" Target="http://mqlflow.com" TargetMode="External"/><Relationship Id="rId807" Type="http://schemas.openxmlformats.org/officeDocument/2006/relationships/hyperlink" Target="https://mqlflow.com/" TargetMode="External"/><Relationship Id="rId806" Type="http://schemas.openxmlformats.org/officeDocument/2006/relationships/hyperlink" Target="http://moreaboutadvertising.com" TargetMode="External"/><Relationship Id="rId805" Type="http://schemas.openxmlformats.org/officeDocument/2006/relationships/hyperlink" Target="https://www.moreaboutadvertising.com/2025/03/saatchi-saatchi-tops-uk-billings-table-publicis-is-top-group/" TargetMode="External"/><Relationship Id="rId809" Type="http://schemas.openxmlformats.org/officeDocument/2006/relationships/hyperlink" Target="https://www.munro.agency/best-digital-marketing-agencies-in-london/" TargetMode="External"/><Relationship Id="rId800" Type="http://schemas.openxmlformats.org/officeDocument/2006/relationships/hyperlink" Target="http://marketingsignals.com" TargetMode="External"/><Relationship Id="rId804" Type="http://schemas.openxmlformats.org/officeDocument/2006/relationships/hyperlink" Target="http://modernmarketingpartners.com" TargetMode="External"/><Relationship Id="rId803" Type="http://schemas.openxmlformats.org/officeDocument/2006/relationships/hyperlink" Target="https://www.modernmarketingpartners.com/2026/03/19/14-best-answer-engine-optimization-agencies-aeo-insights-company-rankings-for-2026/" TargetMode="External"/><Relationship Id="rId802" Type="http://schemas.openxmlformats.org/officeDocument/2006/relationships/hyperlink" Target="http://mintcopywritingstudios.com" TargetMode="External"/><Relationship Id="rId801" Type="http://schemas.openxmlformats.org/officeDocument/2006/relationships/hyperlink" Target="https://www.mintcopywritingstudios.com/blog/ai-search-optimization-geo-agencies" TargetMode="External"/><Relationship Id="rId40" Type="http://schemas.openxmlformats.org/officeDocument/2006/relationships/hyperlink" Target="https://www.digitallitmus.com/blog/best-marketing-agencies-uk" TargetMode="External"/><Relationship Id="rId1334" Type="http://schemas.openxmlformats.org/officeDocument/2006/relationships/hyperlink" Target="http://respona.com" TargetMode="External"/><Relationship Id="rId1335" Type="http://schemas.openxmlformats.org/officeDocument/2006/relationships/hyperlink" Target="https://reverbico.com/blog/top-digital-agencies-for-early-stage-brand-launches/" TargetMode="External"/><Relationship Id="rId42" Type="http://schemas.openxmlformats.org/officeDocument/2006/relationships/hyperlink" Target="https://digital-landscope.com/best-geo-agencies-in-the-uk/" TargetMode="External"/><Relationship Id="rId1336" Type="http://schemas.openxmlformats.org/officeDocument/2006/relationships/hyperlink" Target="http://reverbico.com" TargetMode="External"/><Relationship Id="rId41" Type="http://schemas.openxmlformats.org/officeDocument/2006/relationships/hyperlink" Target="http://digitallitmus.com" TargetMode="External"/><Relationship Id="rId1337" Type="http://schemas.openxmlformats.org/officeDocument/2006/relationships/hyperlink" Target="https://scalixai.com/blog/best-performance-marketing-agencies" TargetMode="External"/><Relationship Id="rId44" Type="http://schemas.openxmlformats.org/officeDocument/2006/relationships/hyperlink" Target="https://www.measured.com/faq/best-incrementality-testing-companies-software-for-marketing-2026/" TargetMode="External"/><Relationship Id="rId1338" Type="http://schemas.openxmlformats.org/officeDocument/2006/relationships/hyperlink" Target="http://scalixai.com" TargetMode="External"/><Relationship Id="rId43" Type="http://schemas.openxmlformats.org/officeDocument/2006/relationships/hyperlink" Target="http://digital-landscope.com" TargetMode="External"/><Relationship Id="rId1339" Type="http://schemas.openxmlformats.org/officeDocument/2006/relationships/hyperlink" Target="https://scopicstudios.com/blog/best-geo-agencies-ai-search-visibility-2026/" TargetMode="External"/><Relationship Id="rId46" Type="http://schemas.openxmlformats.org/officeDocument/2006/relationships/hyperlink" Target="https://www.domisearch.com/blog/best-aeo-agencies-uk" TargetMode="External"/><Relationship Id="rId45" Type="http://schemas.openxmlformats.org/officeDocument/2006/relationships/hyperlink" Target="http://measured.com" TargetMode="External"/><Relationship Id="rId745" Type="http://schemas.openxmlformats.org/officeDocument/2006/relationships/hyperlink" Target="https://clutch.co/consulting/ai/uk?page=3" TargetMode="External"/><Relationship Id="rId744" Type="http://schemas.openxmlformats.org/officeDocument/2006/relationships/hyperlink" Target="http://clutch.co" TargetMode="External"/><Relationship Id="rId743" Type="http://schemas.openxmlformats.org/officeDocument/2006/relationships/hyperlink" Target="https://clutch.co/agencies/social-media-marketing/influencer/uk" TargetMode="External"/><Relationship Id="rId742" Type="http://schemas.openxmlformats.org/officeDocument/2006/relationships/hyperlink" Target="http://clutch.co" TargetMode="External"/><Relationship Id="rId749" Type="http://schemas.openxmlformats.org/officeDocument/2006/relationships/hyperlink" Target="https://www.designrush.com/agency/digital-marketing/performance-marketing-agencies" TargetMode="External"/><Relationship Id="rId748" Type="http://schemas.openxmlformats.org/officeDocument/2006/relationships/hyperlink" Target="http://designrush.com" TargetMode="External"/><Relationship Id="rId747" Type="http://schemas.openxmlformats.org/officeDocument/2006/relationships/hyperlink" Target="https://www.designrush.com/agency/digital-marketing/artificial-intelligence" TargetMode="External"/><Relationship Id="rId746" Type="http://schemas.openxmlformats.org/officeDocument/2006/relationships/hyperlink" Target="http://clutch.co" TargetMode="External"/><Relationship Id="rId48" Type="http://schemas.openxmlformats.org/officeDocument/2006/relationships/hyperlink" Target="https://www.sortlist.co.uk/s/display-advertising/united-kingdom-gb" TargetMode="External"/><Relationship Id="rId47" Type="http://schemas.openxmlformats.org/officeDocument/2006/relationships/hyperlink" Target="http://domisearch.com" TargetMode="External"/><Relationship Id="rId49" Type="http://schemas.openxmlformats.org/officeDocument/2006/relationships/hyperlink" Target="http://sortlist.co.uk" TargetMode="External"/><Relationship Id="rId741" Type="http://schemas.openxmlformats.org/officeDocument/2006/relationships/hyperlink" Target="https://clutch.co/agencies/ppc/display/uk/england" TargetMode="External"/><Relationship Id="rId1330" Type="http://schemas.openxmlformats.org/officeDocument/2006/relationships/hyperlink" Target="http://reddit.com" TargetMode="External"/><Relationship Id="rId740" Type="http://schemas.openxmlformats.org/officeDocument/2006/relationships/hyperlink" Target="http://clutch.co" TargetMode="External"/><Relationship Id="rId1331" Type="http://schemas.openxmlformats.org/officeDocument/2006/relationships/hyperlink" Target="https://www.reddit.com/r/u_Temporary_Meeting182/comments/1tp4iah/best_saas_geo_agencies_in_2026_who_should/" TargetMode="External"/><Relationship Id="rId1332" Type="http://schemas.openxmlformats.org/officeDocument/2006/relationships/hyperlink" Target="http://reddit.com" TargetMode="External"/><Relationship Id="rId1333" Type="http://schemas.openxmlformats.org/officeDocument/2006/relationships/hyperlink" Target="https://respona.com/blog/ai-seo-agency/" TargetMode="External"/><Relationship Id="rId1323" Type="http://schemas.openxmlformats.org/officeDocument/2006/relationships/hyperlink" Target="https://www.reddit.com/r/aeo/comments/1twcbr2/best_aeo_agency_guide_what_to_look_for_in_an/" TargetMode="External"/><Relationship Id="rId1324" Type="http://schemas.openxmlformats.org/officeDocument/2006/relationships/hyperlink" Target="http://reddit.com" TargetMode="External"/><Relationship Id="rId31" Type="http://schemas.openxmlformats.org/officeDocument/2006/relationships/hyperlink" Target="https://www.sortlist.co.uk/s/ai-marketing/united-kingdom-gb" TargetMode="External"/><Relationship Id="rId1325" Type="http://schemas.openxmlformats.org/officeDocument/2006/relationships/hyperlink" Target="https://www.reddit.com/r/branding/comments/d6zp5l/what_are_the_top_branding_agencies_out_there/" TargetMode="External"/><Relationship Id="rId30" Type="http://schemas.openxmlformats.org/officeDocument/2006/relationships/hyperlink" Target="http://nogood.io" TargetMode="External"/><Relationship Id="rId1326" Type="http://schemas.openxmlformats.org/officeDocument/2006/relationships/hyperlink" Target="http://reddit.com" TargetMode="External"/><Relationship Id="rId33" Type="http://schemas.openxmlformats.org/officeDocument/2006/relationships/hyperlink" Target="https://www.influencer-hero.com/blogs/top-paid-media-agencies-in-the-united-kingdom" TargetMode="External"/><Relationship Id="rId1327" Type="http://schemas.openxmlformats.org/officeDocument/2006/relationships/hyperlink" Target="https://www.reddit.com/r/digital_marketing/comments/1sd6dxn/whats_the_best_aeogeo_agency_that_actually_gets/" TargetMode="External"/><Relationship Id="rId32" Type="http://schemas.openxmlformats.org/officeDocument/2006/relationships/hyperlink" Target="http://sortlist.co.uk" TargetMode="External"/><Relationship Id="rId1328" Type="http://schemas.openxmlformats.org/officeDocument/2006/relationships/hyperlink" Target="http://reddit.com" TargetMode="External"/><Relationship Id="rId35" Type="http://schemas.openxmlformats.org/officeDocument/2006/relationships/hyperlink" Target="https://www.clickslice.co.uk/top-aeo-agencies-uk/" TargetMode="External"/><Relationship Id="rId1329" Type="http://schemas.openxmlformats.org/officeDocument/2006/relationships/hyperlink" Target="https://www.reddit.com/r/ecommerce/comments/1qusfa4/looking_for_best_incrementality_testing_tools/" TargetMode="External"/><Relationship Id="rId34" Type="http://schemas.openxmlformats.org/officeDocument/2006/relationships/hyperlink" Target="http://influencer-hero.com" TargetMode="External"/><Relationship Id="rId739" Type="http://schemas.openxmlformats.org/officeDocument/2006/relationships/hyperlink" Target="https://clutch.co/agencies/market-research/shopper-marketing/uk" TargetMode="External"/><Relationship Id="rId734" Type="http://schemas.openxmlformats.org/officeDocument/2006/relationships/hyperlink" Target="http://clickintelligence.co.uk" TargetMode="External"/><Relationship Id="rId733" Type="http://schemas.openxmlformats.org/officeDocument/2006/relationships/hyperlink" Target="https://www.clickintelligence.co.uk/guides/agency-lists/seo/best-aeo-seo-agencies/" TargetMode="External"/><Relationship Id="rId732" Type="http://schemas.openxmlformats.org/officeDocument/2006/relationships/hyperlink" Target="http://cellsior.com" TargetMode="External"/><Relationship Id="rId731" Type="http://schemas.openxmlformats.org/officeDocument/2006/relationships/hyperlink" Target="https://cellsior.com/best-analytics-agencies-uk/" TargetMode="External"/><Relationship Id="rId738" Type="http://schemas.openxmlformats.org/officeDocument/2006/relationships/hyperlink" Target="http://clutch.co" TargetMode="External"/><Relationship Id="rId737" Type="http://schemas.openxmlformats.org/officeDocument/2006/relationships/hyperlink" Target="https://clutch.co/agencies" TargetMode="External"/><Relationship Id="rId736" Type="http://schemas.openxmlformats.org/officeDocument/2006/relationships/hyperlink" Target="http://clickslice.co.uk" TargetMode="External"/><Relationship Id="rId735" Type="http://schemas.openxmlformats.org/officeDocument/2006/relationships/hyperlink" Target="https://www.clickslice.co.uk/best-generative-engine-optimisation-specialist-uk/" TargetMode="External"/><Relationship Id="rId37" Type="http://schemas.openxmlformats.org/officeDocument/2006/relationships/hyperlink" Target="https://agencies.semrush.com/list/display-advertising/united-kingdom/" TargetMode="External"/><Relationship Id="rId36" Type="http://schemas.openxmlformats.org/officeDocument/2006/relationships/hyperlink" Target="http://clickslice.co.uk" TargetMode="External"/><Relationship Id="rId39" Type="http://schemas.openxmlformats.org/officeDocument/2006/relationships/hyperlink" Target="https://bind.media/insights/top-11-google-analytics-agencies-in-the-uk-2025" TargetMode="External"/><Relationship Id="rId38" Type="http://schemas.openxmlformats.org/officeDocument/2006/relationships/hyperlink" Target="http://semrush.com" TargetMode="External"/><Relationship Id="rId730" Type="http://schemas.openxmlformats.org/officeDocument/2006/relationships/hyperlink" Target="http://brillmedia.co" TargetMode="External"/><Relationship Id="rId1320" Type="http://schemas.openxmlformats.org/officeDocument/2006/relationships/hyperlink" Target="http://rebootonline.com" TargetMode="External"/><Relationship Id="rId1321" Type="http://schemas.openxmlformats.org/officeDocument/2006/relationships/hyperlink" Target="https://www.reddit.com/r/Analyzify/comments/1d2js1n" TargetMode="External"/><Relationship Id="rId1322" Type="http://schemas.openxmlformats.org/officeDocument/2006/relationships/hyperlink" Target="http://reddit.com" TargetMode="External"/><Relationship Id="rId1356" Type="http://schemas.openxmlformats.org/officeDocument/2006/relationships/hyperlink" Target="http://sevenatoms.com" TargetMode="External"/><Relationship Id="rId1357" Type="http://schemas.openxmlformats.org/officeDocument/2006/relationships/hyperlink" Target="https://www.siegemedia.com/strategy/content-strategy-agency" TargetMode="External"/><Relationship Id="rId20" Type="http://schemas.openxmlformats.org/officeDocument/2006/relationships/hyperlink" Target="http://wearehumaine.com" TargetMode="External"/><Relationship Id="rId1358" Type="http://schemas.openxmlformats.org/officeDocument/2006/relationships/hyperlink" Target="http://siegemedia.com" TargetMode="External"/><Relationship Id="rId1359" Type="http://schemas.openxmlformats.org/officeDocument/2006/relationships/hyperlink" Target="https://socialchameleon.com/top-30-marketing-agencies-in-london/" TargetMode="External"/><Relationship Id="rId22" Type="http://schemas.openxmlformats.org/officeDocument/2006/relationships/hyperlink" Target="http://polarisagency.com" TargetMode="External"/><Relationship Id="rId21" Type="http://schemas.openxmlformats.org/officeDocument/2006/relationships/hyperlink" Target="https://www.polarisagency.com/marketing-insights/best-aeo-agencies-uk/" TargetMode="External"/><Relationship Id="rId24" Type="http://schemas.openxmlformats.org/officeDocument/2006/relationships/hyperlink" Target="http://clickslice.co.uk" TargetMode="External"/><Relationship Id="rId23" Type="http://schemas.openxmlformats.org/officeDocument/2006/relationships/hyperlink" Target="https://www.clickslice.co.uk/top-performance-marketing-agencies/" TargetMode="External"/><Relationship Id="rId767" Type="http://schemas.openxmlformats.org/officeDocument/2006/relationships/hyperlink" Target="https://eintelligenceweb.com/blog/top-generative-engine-optimisation-geo-agencies/" TargetMode="External"/><Relationship Id="rId766" Type="http://schemas.openxmlformats.org/officeDocument/2006/relationships/hyperlink" Target="http://directiveconsulting.com" TargetMode="External"/><Relationship Id="rId765" Type="http://schemas.openxmlformats.org/officeDocument/2006/relationships/hyperlink" Target="https://directiveconsulting.com/uk/blog/25-best-advertising-agencies-built-for-media-momentum/" TargetMode="External"/><Relationship Id="rId764" Type="http://schemas.openxmlformats.org/officeDocument/2006/relationships/hyperlink" Target="http://directiveconsulting.com" TargetMode="External"/><Relationship Id="rId769" Type="http://schemas.openxmlformats.org/officeDocument/2006/relationships/hyperlink" Target="https://www.fieldtrip.agency/post/top-geo-agencies" TargetMode="External"/><Relationship Id="rId768" Type="http://schemas.openxmlformats.org/officeDocument/2006/relationships/hyperlink" Target="http://eintelligenceweb.com" TargetMode="External"/><Relationship Id="rId26" Type="http://schemas.openxmlformats.org/officeDocument/2006/relationships/hyperlink" Target="http://dontpaniclondon.com" TargetMode="External"/><Relationship Id="rId25" Type="http://schemas.openxmlformats.org/officeDocument/2006/relationships/hyperlink" Target="https://www.dontpaniclondon.com/blog/best-uk-creative-agencies/" TargetMode="External"/><Relationship Id="rId28" Type="http://schemas.openxmlformats.org/officeDocument/2006/relationships/hyperlink" Target="http://pushgroup.co.uk" TargetMode="External"/><Relationship Id="rId1350" Type="http://schemas.openxmlformats.org/officeDocument/2006/relationships/hyperlink" Target="http://segmentstream.com" TargetMode="External"/><Relationship Id="rId27" Type="http://schemas.openxmlformats.org/officeDocument/2006/relationships/hyperlink" Target="https://www.pushgroup.co.uk/blog/top-9-paid-social-agencies-uk" TargetMode="External"/><Relationship Id="rId1351" Type="http://schemas.openxmlformats.org/officeDocument/2006/relationships/hyperlink" Target="https://www.semfirms.com/uk/london/display-advertising-firms" TargetMode="External"/><Relationship Id="rId763" Type="http://schemas.openxmlformats.org/officeDocument/2006/relationships/hyperlink" Target="https://directiveconsulting.com/blog/top-performance-marketing-agencies/" TargetMode="External"/><Relationship Id="rId1352" Type="http://schemas.openxmlformats.org/officeDocument/2006/relationships/hyperlink" Target="http://semfirms.com" TargetMode="External"/><Relationship Id="rId29" Type="http://schemas.openxmlformats.org/officeDocument/2006/relationships/hyperlink" Target="https://nogood.io/blog/marketing-analytics-agency-uk/" TargetMode="External"/><Relationship Id="rId762" Type="http://schemas.openxmlformats.org/officeDocument/2006/relationships/hyperlink" Target="http://digitalmarketingcompanyinlondon.com" TargetMode="External"/><Relationship Id="rId1353" Type="http://schemas.openxmlformats.org/officeDocument/2006/relationships/hyperlink" Target="https://seo-ranks.co.uk/best-seo-agencies-uk-aeo-geo-2026/" TargetMode="External"/><Relationship Id="rId761" Type="http://schemas.openxmlformats.org/officeDocument/2006/relationships/hyperlink" Target="https://digitalmarketingcompanyinlondon.com/best-10-paid-media-agencies-in-london-2025/" TargetMode="External"/><Relationship Id="rId1354" Type="http://schemas.openxmlformats.org/officeDocument/2006/relationships/hyperlink" Target="http://seo-ranks.co.uk" TargetMode="External"/><Relationship Id="rId760" Type="http://schemas.openxmlformats.org/officeDocument/2006/relationships/hyperlink" Target="http://digitalagencynetwork.com" TargetMode="External"/><Relationship Id="rId1355" Type="http://schemas.openxmlformats.org/officeDocument/2006/relationships/hyperlink" Target="https://www.sevenatoms.com/blog/facebook-advertising-companies" TargetMode="External"/><Relationship Id="rId1345" Type="http://schemas.openxmlformats.org/officeDocument/2006/relationships/hyperlink" Target="https://www.securitysenses.com/posts/best-saas-ai-seo-companies-united-kingdom-technical-seo-scale" TargetMode="External"/><Relationship Id="rId1346" Type="http://schemas.openxmlformats.org/officeDocument/2006/relationships/hyperlink" Target="http://securitysenses.com" TargetMode="External"/><Relationship Id="rId1347" Type="http://schemas.openxmlformats.org/officeDocument/2006/relationships/hyperlink" Target="https://segmentstream.com/blog/articles/top-enterprise-marketing-analytics-and-attribution-platforms" TargetMode="External"/><Relationship Id="rId1348" Type="http://schemas.openxmlformats.org/officeDocument/2006/relationships/hyperlink" Target="http://segmentstream.com" TargetMode="External"/><Relationship Id="rId11" Type="http://schemas.openxmlformats.org/officeDocument/2006/relationships/hyperlink" Target="https://www.polarisagency.com/marketing-insights/best-geo-services-uk/" TargetMode="External"/><Relationship Id="rId1349" Type="http://schemas.openxmlformats.org/officeDocument/2006/relationships/hyperlink" Target="https://segmentstream.com/blog/articles/top-haus-io-alternatives-for-geo-lift-incrementality-testing" TargetMode="External"/><Relationship Id="rId10" Type="http://schemas.openxmlformats.org/officeDocument/2006/relationships/hyperlink" Target="http://clutch.co" TargetMode="External"/><Relationship Id="rId13" Type="http://schemas.openxmlformats.org/officeDocument/2006/relationships/hyperlink" Target="https://digitalagencynetwork.com/agencies/uk/ai-marketing/" TargetMode="External"/><Relationship Id="rId12" Type="http://schemas.openxmlformats.org/officeDocument/2006/relationships/hyperlink" Target="http://polarisagency.com" TargetMode="External"/><Relationship Id="rId756" Type="http://schemas.openxmlformats.org/officeDocument/2006/relationships/hyperlink" Target="http://digitalagencyleaders.net" TargetMode="External"/><Relationship Id="rId755" Type="http://schemas.openxmlformats.org/officeDocument/2006/relationships/hyperlink" Target="https://www.digitalagencyleaders.net/blog/best-ai-seo-agencies-uk" TargetMode="External"/><Relationship Id="rId754" Type="http://schemas.openxmlformats.org/officeDocument/2006/relationships/hyperlink" Target="http://digiscorp.com" TargetMode="External"/><Relationship Id="rId753" Type="http://schemas.openxmlformats.org/officeDocument/2006/relationships/hyperlink" Target="https://digiscorp.com/best-ai-consulting-firms-in-london-top-ai-experts-for-your-business/" TargetMode="External"/><Relationship Id="rId759" Type="http://schemas.openxmlformats.org/officeDocument/2006/relationships/hyperlink" Target="https://digitalagencynetwork.com/agencies/usa/ai-marketing/" TargetMode="External"/><Relationship Id="rId758" Type="http://schemas.openxmlformats.org/officeDocument/2006/relationships/hyperlink" Target="http://digitalagencynetwork.com" TargetMode="External"/><Relationship Id="rId757" Type="http://schemas.openxmlformats.org/officeDocument/2006/relationships/hyperlink" Target="https://digitalagencynetwork.com/agencies/uk/online-advertising/" TargetMode="External"/><Relationship Id="rId15" Type="http://schemas.openxmlformats.org/officeDocument/2006/relationships/hyperlink" Target="https://oski.site/blog/sales-and-marketing-analytics-companies-uk/" TargetMode="External"/><Relationship Id="rId14" Type="http://schemas.openxmlformats.org/officeDocument/2006/relationships/hyperlink" Target="http://digitalagencynetwork.com" TargetMode="External"/><Relationship Id="rId17" Type="http://schemas.openxmlformats.org/officeDocument/2006/relationships/hyperlink" Target="http://clutch.co" TargetMode="External"/><Relationship Id="rId16" Type="http://schemas.openxmlformats.org/officeDocument/2006/relationships/hyperlink" Target="https://clutch.co/agencies/digital-marketing/uk" TargetMode="External"/><Relationship Id="rId1340" Type="http://schemas.openxmlformats.org/officeDocument/2006/relationships/hyperlink" Target="http://scopicstudios.com" TargetMode="External"/><Relationship Id="rId19" Type="http://schemas.openxmlformats.org/officeDocument/2006/relationships/hyperlink" Target="https://wearehumaine.com/best-ai-first-marketing-agencies-uk-2026/" TargetMode="External"/><Relationship Id="rId752" Type="http://schemas.openxmlformats.org/officeDocument/2006/relationships/hyperlink" Target="http://designrush.com" TargetMode="External"/><Relationship Id="rId1341" Type="http://schemas.openxmlformats.org/officeDocument/2006/relationships/hyperlink" Target="https://scopicstudios.com/blog/best-incrementality-testing-tools-2026/" TargetMode="External"/><Relationship Id="rId18" Type="http://schemas.openxmlformats.org/officeDocument/2006/relationships/hyperlink" Target="https://open.partners/open-partners-insights/top-ai-marketing-agency-uk/" TargetMode="External"/><Relationship Id="rId751" Type="http://schemas.openxmlformats.org/officeDocument/2006/relationships/hyperlink" Target="https://www.designrush.com/agency/paid-media-pay-per-click/display-advertising-agency" TargetMode="External"/><Relationship Id="rId1342" Type="http://schemas.openxmlformats.org/officeDocument/2006/relationships/hyperlink" Target="http://scopicstudios.com" TargetMode="External"/><Relationship Id="rId750" Type="http://schemas.openxmlformats.org/officeDocument/2006/relationships/hyperlink" Target="http://designrush.com" TargetMode="External"/><Relationship Id="rId1343" Type="http://schemas.openxmlformats.org/officeDocument/2006/relationships/hyperlink" Target="https://www.searchbloom.com/strategy/best-ai-seo-agency-companies-services-usa/" TargetMode="External"/><Relationship Id="rId1344" Type="http://schemas.openxmlformats.org/officeDocument/2006/relationships/hyperlink" Target="http://searchbloom.com" TargetMode="External"/><Relationship Id="rId84" Type="http://schemas.openxmlformats.org/officeDocument/2006/relationships/hyperlink" Target="http://thesocialshepherd.com" TargetMode="External"/><Relationship Id="rId83" Type="http://schemas.openxmlformats.org/officeDocument/2006/relationships/hyperlink" Target="https://thesocialshepherd.com/blog/paid-media-agencies-uk" TargetMode="External"/><Relationship Id="rId86" Type="http://schemas.openxmlformats.org/officeDocument/2006/relationships/hyperlink" Target="http://ensun.io" TargetMode="External"/><Relationship Id="rId85" Type="http://schemas.openxmlformats.org/officeDocument/2006/relationships/hyperlink" Target="https://ensun.io/search/marketing-analytics/united-kingdom" TargetMode="External"/><Relationship Id="rId88" Type="http://schemas.openxmlformats.org/officeDocument/2006/relationships/hyperlink" Target="http://pushgroup.co.uk" TargetMode="External"/><Relationship Id="rId87" Type="http://schemas.openxmlformats.org/officeDocument/2006/relationships/hyperlink" Target="https://www.pushgroup.co.uk/blog/top-9-geo-agencies-in-the-uk" TargetMode="External"/><Relationship Id="rId89" Type="http://schemas.openxmlformats.org/officeDocument/2006/relationships/hyperlink" Target="https://aeoagency.co.uk/top-aeo-agencies-uk-list/" TargetMode="External"/><Relationship Id="rId709" Type="http://schemas.openxmlformats.org/officeDocument/2006/relationships/hyperlink" Target="https://www.youtube.com/watch?v=5K95qPc0HJs" TargetMode="External"/><Relationship Id="rId708" Type="http://schemas.openxmlformats.org/officeDocument/2006/relationships/hyperlink" Target="http://wowinfotech.co.uk" TargetMode="External"/><Relationship Id="rId707" Type="http://schemas.openxmlformats.org/officeDocument/2006/relationships/hyperlink" Target="https://www.wowinfotech.co.uk/blog/google-ads-agency-uk" TargetMode="External"/><Relationship Id="rId706" Type="http://schemas.openxmlformats.org/officeDocument/2006/relationships/hyperlink" Target="http://webtonic.io" TargetMode="External"/><Relationship Id="rId80" Type="http://schemas.openxmlformats.org/officeDocument/2006/relationships/hyperlink" Target="https://bind.media/insights/top-9-paid-social-agencies-in-the-uk-2025" TargetMode="External"/><Relationship Id="rId82" Type="http://schemas.openxmlformats.org/officeDocument/2006/relationships/hyperlink" Target="http://disruptmarketing.co" TargetMode="External"/><Relationship Id="rId81" Type="http://schemas.openxmlformats.org/officeDocument/2006/relationships/hyperlink" Target="https://disruptmarketing.co/blog/best-social-media-marketing-agencies/" TargetMode="External"/><Relationship Id="rId701" Type="http://schemas.openxmlformats.org/officeDocument/2006/relationships/hyperlink" Target="https://thesocialshepherd.com/blog/top-advertising-agencies-uk" TargetMode="External"/><Relationship Id="rId700" Type="http://schemas.openxmlformats.org/officeDocument/2006/relationships/hyperlink" Target="http://themanifest.com" TargetMode="External"/><Relationship Id="rId705" Type="http://schemas.openxmlformats.org/officeDocument/2006/relationships/hyperlink" Target="https://www.webtonic.io/blog/best-ppc-agencies-uk" TargetMode="External"/><Relationship Id="rId704" Type="http://schemas.openxmlformats.org/officeDocument/2006/relationships/hyperlink" Target="http://ultrascout.ai" TargetMode="External"/><Relationship Id="rId703" Type="http://schemas.openxmlformats.org/officeDocument/2006/relationships/hyperlink" Target="https://ultrascout.ai/guides/agency-directory/" TargetMode="External"/><Relationship Id="rId702" Type="http://schemas.openxmlformats.org/officeDocument/2006/relationships/hyperlink" Target="http://thesocialshepherd.com" TargetMode="External"/><Relationship Id="rId73" Type="http://schemas.openxmlformats.org/officeDocument/2006/relationships/hyperlink" Target="https://nautilusmarketing.co.uk/top-15-paid-media-agencies-in-the-uk-2026/" TargetMode="External"/><Relationship Id="rId72" Type="http://schemas.openxmlformats.org/officeDocument/2006/relationships/hyperlink" Target="http://digitalagencynetwork.com" TargetMode="External"/><Relationship Id="rId75" Type="http://schemas.openxmlformats.org/officeDocument/2006/relationships/hyperlink" Target="https://www.designrush.com/agency/creative-agencies/uk" TargetMode="External"/><Relationship Id="rId74" Type="http://schemas.openxmlformats.org/officeDocument/2006/relationships/hyperlink" Target="http://nautilusmarketing.co.uk" TargetMode="External"/><Relationship Id="rId77" Type="http://schemas.openxmlformats.org/officeDocument/2006/relationships/hyperlink" Target="https://inbeat.agency/blog/top-performance-marketing-agencies-london" TargetMode="External"/><Relationship Id="rId76" Type="http://schemas.openxmlformats.org/officeDocument/2006/relationships/hyperlink" Target="http://designrush.com" TargetMode="External"/><Relationship Id="rId79" Type="http://schemas.openxmlformats.org/officeDocument/2006/relationships/hyperlink" Target="http://sortlist.co.uk" TargetMode="External"/><Relationship Id="rId78" Type="http://schemas.openxmlformats.org/officeDocument/2006/relationships/hyperlink" Target="https://www.sortlist.co.uk/s/marketing-analytics/london-england-gb" TargetMode="External"/><Relationship Id="rId71" Type="http://schemas.openxmlformats.org/officeDocument/2006/relationships/hyperlink" Target="https://digitalagencynetwork.com/agencies/london/ai-marketing/" TargetMode="External"/><Relationship Id="rId70" Type="http://schemas.openxmlformats.org/officeDocument/2006/relationships/hyperlink" Target="http://influencer-hero.com" TargetMode="External"/><Relationship Id="rId62" Type="http://schemas.openxmlformats.org/officeDocument/2006/relationships/hyperlink" Target="http://consultico.co.uk" TargetMode="External"/><Relationship Id="rId1312" Type="http://schemas.openxmlformats.org/officeDocument/2006/relationships/hyperlink" Target="http://pushgroup.co.uk" TargetMode="External"/><Relationship Id="rId61" Type="http://schemas.openxmlformats.org/officeDocument/2006/relationships/hyperlink" Target="https://www.consultico.co.uk/articles/best-ppc-agencies-uk" TargetMode="External"/><Relationship Id="rId1313" Type="http://schemas.openxmlformats.org/officeDocument/2006/relationships/hyperlink" Target="https://raddinteractive.com/the-best-social-media-sites-for-marketing-and-most-popular/" TargetMode="External"/><Relationship Id="rId64" Type="http://schemas.openxmlformats.org/officeDocument/2006/relationships/hyperlink" Target="http://grizzle.io" TargetMode="External"/><Relationship Id="rId1314" Type="http://schemas.openxmlformats.org/officeDocument/2006/relationships/hyperlink" Target="http://raddinteractive.com" TargetMode="External"/><Relationship Id="rId63" Type="http://schemas.openxmlformats.org/officeDocument/2006/relationships/hyperlink" Target="https://grizzle.io/blog/best-content-marketing-agencies-uk" TargetMode="External"/><Relationship Id="rId1315" Type="http://schemas.openxmlformats.org/officeDocument/2006/relationships/hyperlink" Target="https://www.radyant.io/comparison/6-best-organic-growth-agencies-in-europe" TargetMode="External"/><Relationship Id="rId66" Type="http://schemas.openxmlformats.org/officeDocument/2006/relationships/hyperlink" Target="http://sunnypatel.co.uk" TargetMode="External"/><Relationship Id="rId1316" Type="http://schemas.openxmlformats.org/officeDocument/2006/relationships/hyperlink" Target="http://radyant.io" TargetMode="External"/><Relationship Id="rId65" Type="http://schemas.openxmlformats.org/officeDocument/2006/relationships/hyperlink" Target="https://sunnypatel.co.uk/blog/best-aeo-agencies/" TargetMode="External"/><Relationship Id="rId1317" Type="http://schemas.openxmlformats.org/officeDocument/2006/relationships/hyperlink" Target="https://www.rank4ai.co.uk/research/rankings/top-ai-search-agencies-uk/" TargetMode="External"/><Relationship Id="rId68" Type="http://schemas.openxmlformats.org/officeDocument/2006/relationships/hyperlink" Target="http://thesocialshepherd.com" TargetMode="External"/><Relationship Id="rId1318" Type="http://schemas.openxmlformats.org/officeDocument/2006/relationships/hyperlink" Target="http://rank4ai.co.uk" TargetMode="External"/><Relationship Id="rId67" Type="http://schemas.openxmlformats.org/officeDocument/2006/relationships/hyperlink" Target="https://thesocialshepherd.com/blog/top-paid-social-agencies-uk" TargetMode="External"/><Relationship Id="rId1319" Type="http://schemas.openxmlformats.org/officeDocument/2006/relationships/hyperlink" Target="https://www.rebootonline.com/data-marketing/best-data-marketing-agencies/" TargetMode="External"/><Relationship Id="rId729" Type="http://schemas.openxmlformats.org/officeDocument/2006/relationships/hyperlink" Target="https://brillmedia.co/resources/best-display-advertising-agencies/" TargetMode="External"/><Relationship Id="rId728" Type="http://schemas.openxmlformats.org/officeDocument/2006/relationships/hyperlink" Target="http://bird.co.uk" TargetMode="External"/><Relationship Id="rId60" Type="http://schemas.openxmlformats.org/officeDocument/2006/relationships/hyperlink" Target="http://firstmotion.com" TargetMode="External"/><Relationship Id="rId723" Type="http://schemas.openxmlformats.org/officeDocument/2006/relationships/hyperlink" Target="https://agencies.semrush.com/list/programmatic-advertising/united-kingdom/" TargetMode="External"/><Relationship Id="rId722" Type="http://schemas.openxmlformats.org/officeDocument/2006/relationships/hyperlink" Target="http://semrush.com" TargetMode="External"/><Relationship Id="rId721" Type="http://schemas.openxmlformats.org/officeDocument/2006/relationships/hyperlink" Target="https://agencies.semrush.com/list/ppc/london-city/" TargetMode="External"/><Relationship Id="rId720" Type="http://schemas.openxmlformats.org/officeDocument/2006/relationships/hyperlink" Target="http://semrush.com" TargetMode="External"/><Relationship Id="rId727" Type="http://schemas.openxmlformats.org/officeDocument/2006/relationships/hyperlink" Target="https://bird.co.uk/social-media/" TargetMode="External"/><Relationship Id="rId726" Type="http://schemas.openxmlformats.org/officeDocument/2006/relationships/hyperlink" Target="http://agencylist.com" TargetMode="External"/><Relationship Id="rId725" Type="http://schemas.openxmlformats.org/officeDocument/2006/relationships/hyperlink" Target="https://agencylist.com/services/programmatic-display-and-video/gb/" TargetMode="External"/><Relationship Id="rId724" Type="http://schemas.openxmlformats.org/officeDocument/2006/relationships/hyperlink" Target="http://semrush.com" TargetMode="External"/><Relationship Id="rId69" Type="http://schemas.openxmlformats.org/officeDocument/2006/relationships/hyperlink" Target="https://www.influencer-hero.com/blogs/top-paid-advertising-agencies-in-the-united-kingdom" TargetMode="External"/><Relationship Id="rId1310" Type="http://schemas.openxmlformats.org/officeDocument/2006/relationships/hyperlink" Target="http://pushgroup.co.uk" TargetMode="External"/><Relationship Id="rId1311" Type="http://schemas.openxmlformats.org/officeDocument/2006/relationships/hyperlink" Target="https://www.pushgroup.co.uk/blog/top-9-e-commerce-agencies-in-the-uk" TargetMode="External"/><Relationship Id="rId51" Type="http://schemas.openxmlformats.org/officeDocument/2006/relationships/hyperlink" Target="http://sortlist.co.uk" TargetMode="External"/><Relationship Id="rId1301" Type="http://schemas.openxmlformats.org/officeDocument/2006/relationships/hyperlink" Target="http://polarisagency.com" TargetMode="External"/><Relationship Id="rId50" Type="http://schemas.openxmlformats.org/officeDocument/2006/relationships/hyperlink" Target="https://www.sortlist.co.uk/s/marketing-analytics/united-kingdom-gb" TargetMode="External"/><Relationship Id="rId1302" Type="http://schemas.openxmlformats.org/officeDocument/2006/relationships/hyperlink" Target="https://www.position.digital/blog/top-geo-agencies/" TargetMode="External"/><Relationship Id="rId53" Type="http://schemas.openxmlformats.org/officeDocument/2006/relationships/hyperlink" Target="https://www.inbeat.co/articles/top-paid-media-agencies-in-the-uk/" TargetMode="External"/><Relationship Id="rId1303" Type="http://schemas.openxmlformats.org/officeDocument/2006/relationships/hyperlink" Target="https://ppcgeeks.co.uk/ecommerce-ppc/" TargetMode="External"/><Relationship Id="rId52" Type="http://schemas.openxmlformats.org/officeDocument/2006/relationships/hyperlink" Target="https://pinpoint-media.global/insights/top-8-paid-media-agencies-in-the-uk" TargetMode="External"/><Relationship Id="rId1304" Type="http://schemas.openxmlformats.org/officeDocument/2006/relationships/hyperlink" Target="http://ppcgeeks.co.uk" TargetMode="External"/><Relationship Id="rId55" Type="http://schemas.openxmlformats.org/officeDocument/2006/relationships/hyperlink" Target="https://thesocialshepherd.com/blog/top-performance-marketing-agencies-uk" TargetMode="External"/><Relationship Id="rId1305" Type="http://schemas.openxmlformats.org/officeDocument/2006/relationships/hyperlink" Target="https://prescientai.com/blog/best-mmm-tools-for-e-commerce-brands" TargetMode="External"/><Relationship Id="rId54" Type="http://schemas.openxmlformats.org/officeDocument/2006/relationships/hyperlink" Target="http://inbeat.co" TargetMode="External"/><Relationship Id="rId1306" Type="http://schemas.openxmlformats.org/officeDocument/2006/relationships/hyperlink" Target="http://prescientai.com" TargetMode="External"/><Relationship Id="rId57" Type="http://schemas.openxmlformats.org/officeDocument/2006/relationships/hyperlink" Target="https://www.tilio.co.uk/blog/the-top-10-ai-search-agencies-in-the-uk-in-2026" TargetMode="External"/><Relationship Id="rId1307" Type="http://schemas.openxmlformats.org/officeDocument/2006/relationships/hyperlink" Target="https://www.promodo.com/blog/best-geo-agencies" TargetMode="External"/><Relationship Id="rId56" Type="http://schemas.openxmlformats.org/officeDocument/2006/relationships/hyperlink" Target="http://thesocialshepherd.com" TargetMode="External"/><Relationship Id="rId1308" Type="http://schemas.openxmlformats.org/officeDocument/2006/relationships/hyperlink" Target="http://promodo.com" TargetMode="External"/><Relationship Id="rId1309" Type="http://schemas.openxmlformats.org/officeDocument/2006/relationships/hyperlink" Targe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 TargetMode="External"/><Relationship Id="rId719" Type="http://schemas.openxmlformats.org/officeDocument/2006/relationships/hyperlink" Target="https://agencies.semrush.com/list/analytics-data-science/london-city/" TargetMode="External"/><Relationship Id="rId718" Type="http://schemas.openxmlformats.org/officeDocument/2006/relationships/hyperlink" Target="http://semrush.com" TargetMode="External"/><Relationship Id="rId717" Type="http://schemas.openxmlformats.org/officeDocument/2006/relationships/hyperlink" Target="https://agencies.semrush.com/list/ai-optimization/london-city/mid-business/" TargetMode="External"/><Relationship Id="rId712" Type="http://schemas.openxmlformats.org/officeDocument/2006/relationships/hyperlink" Target="http://youtube.com" TargetMode="External"/><Relationship Id="rId711" Type="http://schemas.openxmlformats.org/officeDocument/2006/relationships/hyperlink" Target="https://www.youtube.com/watch?v=fdPFLXFJlwo&amp;t=55" TargetMode="External"/><Relationship Id="rId710" Type="http://schemas.openxmlformats.org/officeDocument/2006/relationships/hyperlink" Target="http://youtube.com" TargetMode="External"/><Relationship Id="rId716" Type="http://schemas.openxmlformats.org/officeDocument/2006/relationships/hyperlink" Target="http://abbacustechnologies.com" TargetMode="External"/><Relationship Id="rId715" Type="http://schemas.openxmlformats.org/officeDocument/2006/relationships/hyperlink" Target="https://www.abbacustechnologies.com/top-ecommerce-development-companies-in-the-uk/" TargetMode="External"/><Relationship Id="rId714" Type="http://schemas.openxmlformats.org/officeDocument/2006/relationships/hyperlink" Target="http://10seos.com" TargetMode="External"/><Relationship Id="rId713" Type="http://schemas.openxmlformats.org/officeDocument/2006/relationships/hyperlink" Target="https://www.10seos.com/gb/display-advertising-companies-in-uk" TargetMode="External"/><Relationship Id="rId59" Type="http://schemas.openxmlformats.org/officeDocument/2006/relationships/hyperlink" Target="https://firstmotion.com/insights/best-geo-agencies-uk" TargetMode="External"/><Relationship Id="rId58" Type="http://schemas.openxmlformats.org/officeDocument/2006/relationships/hyperlink" Target="http://tilio.co.uk" TargetMode="External"/><Relationship Id="rId1300" Type="http://schemas.openxmlformats.org/officeDocument/2006/relationships/hyperlink" Target="https://www.polarisagency.com/us/marketing-insights/top-branding-agencies-in-london-2024/" TargetMode="External"/><Relationship Id="rId349" Type="http://schemas.openxmlformats.org/officeDocument/2006/relationships/hyperlink" Target="https://neuraladx.com/the-10-best-generative-engine-optimisation-companies-in-the-uk/" TargetMode="External"/><Relationship Id="rId348" Type="http://schemas.openxmlformats.org/officeDocument/2006/relationships/hyperlink" Target="https://www.munro.agency/best-data-analysis-agencies/" TargetMode="External"/><Relationship Id="rId347" Type="http://schemas.openxmlformats.org/officeDocument/2006/relationships/hyperlink" Target="http://marketingagencyindex.com" TargetMode="External"/><Relationship Id="rId346" Type="http://schemas.openxmlformats.org/officeDocument/2006/relationships/hyperlink" Target="https://www.marketingagencyindex.com/uk/industries/ai" TargetMode="External"/><Relationship Id="rId341" Type="http://schemas.openxmlformats.org/officeDocument/2006/relationships/hyperlink" Target="https://inbeat.agency/blog/top-social-media-agencies-in-the-uk" TargetMode="External"/><Relationship Id="rId340" Type="http://schemas.openxmlformats.org/officeDocument/2006/relationships/hyperlink" Target="http://greenbook.org" TargetMode="External"/><Relationship Id="rId345" Type="http://schemas.openxmlformats.org/officeDocument/2006/relationships/hyperlink" Target="http://margen.net" TargetMode="External"/><Relationship Id="rId344" Type="http://schemas.openxmlformats.org/officeDocument/2006/relationships/hyperlink" Target="https://www.margen.net/best-aeo-agencies-uk-2026-answer-engine-optimisation-experts-compared/" TargetMode="External"/><Relationship Id="rId343" Type="http://schemas.openxmlformats.org/officeDocument/2006/relationships/hyperlink" Target="http://lengreo.com" TargetMode="External"/><Relationship Id="rId342" Type="http://schemas.openxmlformats.org/officeDocument/2006/relationships/hyperlink" Target="https://lengreo.com/top-answer-engine-optimization-aeo-agencies-for-uk-businesses-in-2025/" TargetMode="External"/><Relationship Id="rId338" Type="http://schemas.openxmlformats.org/officeDocument/2006/relationships/hyperlink" Target="http://gartner.com" TargetMode="External"/><Relationship Id="rId337" Type="http://schemas.openxmlformats.org/officeDocument/2006/relationships/hyperlink" Target="https://www.gartner.com/reviews/market/incrementality-measurement-platforms" TargetMode="External"/><Relationship Id="rId336" Type="http://schemas.openxmlformats.org/officeDocument/2006/relationships/hyperlink" Target="http://digitalagencynetwork.com" TargetMode="External"/><Relationship Id="rId335" Type="http://schemas.openxmlformats.org/officeDocument/2006/relationships/hyperlink" Target="https://digitalagencynetwork.com/agencies/london/geo/" TargetMode="External"/><Relationship Id="rId339" Type="http://schemas.openxmlformats.org/officeDocument/2006/relationships/hyperlink" Target="https://www.greenbook.org/market-research-companies/united-kingdom" TargetMode="External"/><Relationship Id="rId330" Type="http://schemas.openxmlformats.org/officeDocument/2006/relationships/hyperlink" Target="http://semrush.com" TargetMode="External"/><Relationship Id="rId334" Type="http://schemas.openxmlformats.org/officeDocument/2006/relationships/hyperlink" Target="http://cometly.com" TargetMode="External"/><Relationship Id="rId333" Type="http://schemas.openxmlformats.org/officeDocument/2006/relationships/hyperlink" Target="https://www.cometly.com/post/marketing-attribution-platform-for-agencies" TargetMode="External"/><Relationship Id="rId332" Type="http://schemas.openxmlformats.org/officeDocument/2006/relationships/hyperlink" Target="http://clutch.co" TargetMode="External"/><Relationship Id="rId331" Type="http://schemas.openxmlformats.org/officeDocument/2006/relationships/hyperlink" Target="https://clutch.co/agencies/digital/uk" TargetMode="External"/><Relationship Id="rId370" Type="http://schemas.openxmlformats.org/officeDocument/2006/relationships/hyperlink" Target="https://limeup.io/blog/digital-marketing-agency/" TargetMode="External"/><Relationship Id="rId369" Type="http://schemas.openxmlformats.org/officeDocument/2006/relationships/hyperlink" Target="http://gambitagency.co.uk" TargetMode="External"/><Relationship Id="rId368" Type="http://schemas.openxmlformats.org/officeDocument/2006/relationships/hyperlink" Target="https://www.gambitagency.co.uk/blog/10-best-paid-social-agencies" TargetMode="External"/><Relationship Id="rId363" Type="http://schemas.openxmlformats.org/officeDocument/2006/relationships/hyperlink" Target="http://clutch.co" TargetMode="External"/><Relationship Id="rId362" Type="http://schemas.openxmlformats.org/officeDocument/2006/relationships/hyperlink" Target="https://clutch.co/agencies/media-buying/uk" TargetMode="External"/><Relationship Id="rId361" Type="http://schemas.openxmlformats.org/officeDocument/2006/relationships/hyperlink" Target="http://clutch.co" TargetMode="External"/><Relationship Id="rId360" Type="http://schemas.openxmlformats.org/officeDocument/2006/relationships/hyperlink" Target="https://clutch.co/agencies/digital-marketing/uk/england/london" TargetMode="External"/><Relationship Id="rId367" Type="http://schemas.openxmlformats.org/officeDocument/2006/relationships/hyperlink" Target="http://expertsure.com" TargetMode="External"/><Relationship Id="rId366" Type="http://schemas.openxmlformats.org/officeDocument/2006/relationships/hyperlink" Target="https://www.expertsure.com/uk/ai-tools/best-ai-consultants/" TargetMode="External"/><Relationship Id="rId365" Type="http://schemas.openxmlformats.org/officeDocument/2006/relationships/hyperlink" Target="http://clutch.co" TargetMode="External"/><Relationship Id="rId364" Type="http://schemas.openxmlformats.org/officeDocument/2006/relationships/hyperlink" Target="https://clutch.co/agencies/ppc/google-adwords/uk" TargetMode="External"/><Relationship Id="rId95" Type="http://schemas.openxmlformats.org/officeDocument/2006/relationships/hyperlink" Target="https://www.triplewhale.com/blog/best-incrementality-testing-tools" TargetMode="External"/><Relationship Id="rId94" Type="http://schemas.openxmlformats.org/officeDocument/2006/relationships/hyperlink" Target="http://tilio.co.uk" TargetMode="External"/><Relationship Id="rId97" Type="http://schemas.openxmlformats.org/officeDocument/2006/relationships/hyperlink" Target="https://www.cometly.com/post/marketing-incrementality-testing-tools" TargetMode="External"/><Relationship Id="rId96" Type="http://schemas.openxmlformats.org/officeDocument/2006/relationships/hyperlink" Target="http://triplewhale.com" TargetMode="External"/><Relationship Id="rId99" Type="http://schemas.openxmlformats.org/officeDocument/2006/relationships/hyperlink" Target="https://digitalagencynetwork.com/agencies/uk/" TargetMode="External"/><Relationship Id="rId98" Type="http://schemas.openxmlformats.org/officeDocument/2006/relationships/hyperlink" Target="http://cometly.com" TargetMode="External"/><Relationship Id="rId91" Type="http://schemas.openxmlformats.org/officeDocument/2006/relationships/hyperlink" Target="https://digitalagencynetwork.com/agencies/london/" TargetMode="External"/><Relationship Id="rId90" Type="http://schemas.openxmlformats.org/officeDocument/2006/relationships/hyperlink" Target="http://aeoagency.co.uk" TargetMode="External"/><Relationship Id="rId93" Type="http://schemas.openxmlformats.org/officeDocument/2006/relationships/hyperlink" Target="https://www.tilio.co.uk/blog/top-geo-agencies-uk" TargetMode="External"/><Relationship Id="rId92" Type="http://schemas.openxmlformats.org/officeDocument/2006/relationships/hyperlink" Target="http://digitalagencynetwork.com" TargetMode="External"/><Relationship Id="rId359" Type="http://schemas.openxmlformats.org/officeDocument/2006/relationships/hyperlink" Target="http://clickslice.co.uk" TargetMode="External"/><Relationship Id="rId358" Type="http://schemas.openxmlformats.org/officeDocument/2006/relationships/hyperlink" Target="https://www.clickslice.co.uk/best-ai-aeo-agencies-uk/" TargetMode="External"/><Relationship Id="rId357" Type="http://schemas.openxmlformats.org/officeDocument/2006/relationships/hyperlink" Target="http://semrush.com" TargetMode="External"/><Relationship Id="rId352" Type="http://schemas.openxmlformats.org/officeDocument/2006/relationships/hyperlink" Target="https://thedigitalmaze.com/blog/top-10-digital-marketing-agencies-in-the-uk-2026/" TargetMode="External"/><Relationship Id="rId351" Type="http://schemas.openxmlformats.org/officeDocument/2006/relationships/hyperlink" Target="https://open.partners/open-partners-insights/best-full-service-agencies-uk/" TargetMode="External"/><Relationship Id="rId350" Type="http://schemas.openxmlformats.org/officeDocument/2006/relationships/hyperlink" Target="http://neuraladx.com" TargetMode="External"/><Relationship Id="rId356" Type="http://schemas.openxmlformats.org/officeDocument/2006/relationships/hyperlink" Target="https://agencies.semrush.com/list/display-advertising/london-city/mid-business/" TargetMode="External"/><Relationship Id="rId355" Type="http://schemas.openxmlformats.org/officeDocument/2006/relationships/hyperlink" Target="http://wearetenet.com" TargetMode="External"/><Relationship Id="rId354" Type="http://schemas.openxmlformats.org/officeDocument/2006/relationships/hyperlink" Target="https://www.wearetenet.com/blog/best-geo-agencies-london" TargetMode="External"/><Relationship Id="rId353" Type="http://schemas.openxmlformats.org/officeDocument/2006/relationships/hyperlink" Target="http://thedigitalmaze.com" TargetMode="External"/><Relationship Id="rId1378" Type="http://schemas.openxmlformats.org/officeDocument/2006/relationships/hyperlink" Target="http://sortlist.co.uk" TargetMode="External"/><Relationship Id="rId1379" Type="http://schemas.openxmlformats.org/officeDocument/2006/relationships/hyperlink" Target="https://www.sortlist.co.uk/s/display-advertising/luton-england-gb" TargetMode="External"/><Relationship Id="rId305" Type="http://schemas.openxmlformats.org/officeDocument/2006/relationships/hyperlink" Target="https://www.consultancy.uk/rankings/top-consulting-firms-in-the-uk-by-area-of-expertise/ai-genai" TargetMode="External"/><Relationship Id="rId789" Type="http://schemas.openxmlformats.org/officeDocument/2006/relationships/hyperlink" Target="https://itprofiles.com/services/ppc/uk" TargetMode="External"/><Relationship Id="rId304" Type="http://schemas.openxmlformats.org/officeDocument/2006/relationships/hyperlink" Target="http://cometly.com" TargetMode="External"/><Relationship Id="rId788" Type="http://schemas.openxmlformats.org/officeDocument/2006/relationships/hyperlink" Target="http://influencermarketinghub.com" TargetMode="External"/><Relationship Id="rId303" Type="http://schemas.openxmlformats.org/officeDocument/2006/relationships/hyperlink" Target="https://www.cometly.com/post/marketing-attribution-consultant-services" TargetMode="External"/><Relationship Id="rId787" Type="http://schemas.openxmlformats.org/officeDocument/2006/relationships/hyperlink" Target="https://influencermarketinghub.com/ai-marketing-agencies/" TargetMode="External"/><Relationship Id="rId302" Type="http://schemas.openxmlformats.org/officeDocument/2006/relationships/hyperlink" Target="http://clutch.co" TargetMode="External"/><Relationship Id="rId786" Type="http://schemas.openxmlformats.org/officeDocument/2006/relationships/hyperlink" Target="http://inbeat.co" TargetMode="External"/><Relationship Id="rId309" Type="http://schemas.openxmlformats.org/officeDocument/2006/relationships/hyperlink" Target="https://www.creativebrief.com/top-30/agencies" TargetMode="External"/><Relationship Id="rId308" Type="http://schemas.openxmlformats.org/officeDocument/2006/relationships/hyperlink" Target="http://coolnerdsmarketing.com" TargetMode="External"/><Relationship Id="rId307" Type="http://schemas.openxmlformats.org/officeDocument/2006/relationships/hyperlink" Target="https://coolnerdsmarketing.com/top-creative-agencies-uk/" TargetMode="External"/><Relationship Id="rId306" Type="http://schemas.openxmlformats.org/officeDocument/2006/relationships/hyperlink" Target="http://consultancy.uk" TargetMode="External"/><Relationship Id="rId781" Type="http://schemas.openxmlformats.org/officeDocument/2006/relationships/hyperlink" Target="http://hikemytraffic.com" TargetMode="External"/><Relationship Id="rId1370" Type="http://schemas.openxmlformats.org/officeDocument/2006/relationships/hyperlink" Target="http://sortlist.co.uk" TargetMode="External"/><Relationship Id="rId780" Type="http://schemas.openxmlformats.org/officeDocument/2006/relationships/hyperlink" Target="https://hikemytraffic.com/ai-digital-marketing-services-in-uk/" TargetMode="External"/><Relationship Id="rId1371" Type="http://schemas.openxmlformats.org/officeDocument/2006/relationships/hyperlink" Target="https://www.sortlist.co.uk/s/attribution-marketing/greater-london-england-gb" TargetMode="External"/><Relationship Id="rId1372" Type="http://schemas.openxmlformats.org/officeDocument/2006/relationships/hyperlink" Target="http://sortlist.co.uk" TargetMode="External"/><Relationship Id="rId1373" Type="http://schemas.openxmlformats.org/officeDocument/2006/relationships/hyperlink" Target="https://www.sortlist.co.uk/s/creative/united-kingdom-gb?custom=creative" TargetMode="External"/><Relationship Id="rId301" Type="http://schemas.openxmlformats.org/officeDocument/2006/relationships/hyperlink" Target="https://clutch.co/consulting/ai/uk/england/london" TargetMode="External"/><Relationship Id="rId785" Type="http://schemas.openxmlformats.org/officeDocument/2006/relationships/hyperlink" Target="https://www.inbeat.co/articles/advertising-agencies-in-the-uk/" TargetMode="External"/><Relationship Id="rId1374" Type="http://schemas.openxmlformats.org/officeDocument/2006/relationships/hyperlink" Target="http://sortlist.co.uk" TargetMode="External"/><Relationship Id="rId300" Type="http://schemas.openxmlformats.org/officeDocument/2006/relationships/hyperlink" Target="http://clickslice.co.uk" TargetMode="External"/><Relationship Id="rId784" Type="http://schemas.openxmlformats.org/officeDocument/2006/relationships/hyperlink" Target="https://inbeat.agency/blog/top-marketing-analytics-agencies" TargetMode="External"/><Relationship Id="rId1375" Type="http://schemas.openxmlformats.org/officeDocument/2006/relationships/hyperlink" Target="https://www.sortlist.co.uk/s/display-advertising/birmingham-england-gb" TargetMode="External"/><Relationship Id="rId783" Type="http://schemas.openxmlformats.org/officeDocument/2006/relationships/hyperlink" Target="https://inbeat.agency/blog/top-creative-agencies" TargetMode="External"/><Relationship Id="rId1376" Type="http://schemas.openxmlformats.org/officeDocument/2006/relationships/hyperlink" Target="http://sortlist.co.uk" TargetMode="External"/><Relationship Id="rId782" Type="http://schemas.openxmlformats.org/officeDocument/2006/relationships/hyperlink" Target="https://ikon.london/articles/best-creative-agencies" TargetMode="External"/><Relationship Id="rId1377" Type="http://schemas.openxmlformats.org/officeDocument/2006/relationships/hyperlink" Target="https://www.sortlist.co.uk/s/display-advertising/greater-london-england-gb" TargetMode="External"/><Relationship Id="rId1367" Type="http://schemas.openxmlformats.org/officeDocument/2006/relationships/hyperlink" Target="https://www.sogolytics.com/blog/top-full-service-market-research-firms/" TargetMode="External"/><Relationship Id="rId1368" Type="http://schemas.openxmlformats.org/officeDocument/2006/relationships/hyperlink" Target="http://sogolytics.com" TargetMode="External"/><Relationship Id="rId1369" Type="http://schemas.openxmlformats.org/officeDocument/2006/relationships/hyperlink" Target="https://www.sortlist.co.uk/advertising/england-england-gb" TargetMode="External"/><Relationship Id="rId778" Type="http://schemas.openxmlformats.org/officeDocument/2006/relationships/hyperlink" Target="https://hikemytraffic.com/ai-digital-marketing-agencies-in-uk/" TargetMode="External"/><Relationship Id="rId777" Type="http://schemas.openxmlformats.org/officeDocument/2006/relationships/hyperlink" Target="http://hawkemedia.com" TargetMode="External"/><Relationship Id="rId776" Type="http://schemas.openxmlformats.org/officeDocument/2006/relationships/hyperlink" Target="https://hawkemedia.com/insights/top-performance-marketing-agencies/" TargetMode="External"/><Relationship Id="rId775" Type="http://schemas.openxmlformats.org/officeDocument/2006/relationships/hyperlink" Target="http://groupcaliber.com" TargetMode="External"/><Relationship Id="rId779" Type="http://schemas.openxmlformats.org/officeDocument/2006/relationships/hyperlink" Target="http://hikemytraffic.com" TargetMode="External"/><Relationship Id="rId770" Type="http://schemas.openxmlformats.org/officeDocument/2006/relationships/hyperlink" Target="https://www.goodfirms.co/advertising-companies/creative/uk?page=2" TargetMode="External"/><Relationship Id="rId1360" Type="http://schemas.openxmlformats.org/officeDocument/2006/relationships/hyperlink" Target="http://socialchameleon.com" TargetMode="External"/><Relationship Id="rId1361" Type="http://schemas.openxmlformats.org/officeDocument/2006/relationships/hyperlink" Target="https://sociallypowerful.com/post/top-20-advertising-agencies-uk" TargetMode="External"/><Relationship Id="rId1362" Type="http://schemas.openxmlformats.org/officeDocument/2006/relationships/hyperlink" Target="http://sociallypowerful.com" TargetMode="External"/><Relationship Id="rId774" Type="http://schemas.openxmlformats.org/officeDocument/2006/relationships/hyperlink" Target="https://www.groupcaliber.com/top-reputation-monitoring-tools-and-why-stakeholder-intelligence-is-next/" TargetMode="External"/><Relationship Id="rId1363" Type="http://schemas.openxmlformats.org/officeDocument/2006/relationships/hyperlink" Target="https://sociallypowerful.com/post/top-social-media-marketing-agencies-uk" TargetMode="External"/><Relationship Id="rId773" Type="http://schemas.openxmlformats.org/officeDocument/2006/relationships/hyperlink" Target="http://goodfirms.co" TargetMode="External"/><Relationship Id="rId1364" Type="http://schemas.openxmlformats.org/officeDocument/2006/relationships/hyperlink" Target="http://sociallypowerful.com" TargetMode="External"/><Relationship Id="rId772" Type="http://schemas.openxmlformats.org/officeDocument/2006/relationships/hyperlink" Target="https://www.goodfirms.co/directory/country/top-digital-marketing-companies/advertising-ppc/uk?sort_by=reviews" TargetMode="External"/><Relationship Id="rId1365" Type="http://schemas.openxmlformats.org/officeDocument/2006/relationships/hyperlink" Target="https://www.softwareadvice.co.uk/directory/4315/marketing-attribution/software" TargetMode="External"/><Relationship Id="rId771" Type="http://schemas.openxmlformats.org/officeDocument/2006/relationships/hyperlink" Target="http://goodfirms.co" TargetMode="External"/><Relationship Id="rId1366" Type="http://schemas.openxmlformats.org/officeDocument/2006/relationships/hyperlink" Target="http://softwareadvice.co.uk" TargetMode="External"/><Relationship Id="rId327" Type="http://schemas.openxmlformats.org/officeDocument/2006/relationships/hyperlink" Target="https://www.51d.co/ai-consulting-agencies-lead-qualification-uk/" TargetMode="External"/><Relationship Id="rId326" Type="http://schemas.openxmlformats.org/officeDocument/2006/relationships/hyperlink" Target="http://thesocialshepherd.com" TargetMode="External"/><Relationship Id="rId325" Type="http://schemas.openxmlformats.org/officeDocument/2006/relationships/hyperlink" Target="https://thesocialshepherd.com/blog/top-social-media-agencies-uk" TargetMode="External"/><Relationship Id="rId324" Type="http://schemas.openxmlformats.org/officeDocument/2006/relationships/hyperlink" Target="http://superhub.biz" TargetMode="External"/><Relationship Id="rId329" Type="http://schemas.openxmlformats.org/officeDocument/2006/relationships/hyperlink" Target="https://agencies.semrush.com/list/display-advertising/london-city/small-business/" TargetMode="External"/><Relationship Id="rId1390" Type="http://schemas.openxmlformats.org/officeDocument/2006/relationships/hyperlink" Target="http://sortlist.co.uk" TargetMode="External"/><Relationship Id="rId328" Type="http://schemas.openxmlformats.org/officeDocument/2006/relationships/hyperlink" Target="http://51d.co" TargetMode="External"/><Relationship Id="rId1391" Type="http://schemas.openxmlformats.org/officeDocument/2006/relationships/hyperlink" Target="https://www.sortlist.co.uk/s/storytelling/london-england-gb" TargetMode="External"/><Relationship Id="rId1392" Type="http://schemas.openxmlformats.org/officeDocument/2006/relationships/hyperlink" Target="http://sortlist.co.uk" TargetMode="External"/><Relationship Id="rId1393" Type="http://schemas.openxmlformats.org/officeDocument/2006/relationships/hyperlink" Target="https://www.sortlist.co.uk/s/testing-services/united-kingdom-gb" TargetMode="External"/><Relationship Id="rId1394" Type="http://schemas.openxmlformats.org/officeDocument/2006/relationships/hyperlink" Target="http://sortlist.co.uk" TargetMode="External"/><Relationship Id="rId1395" Type="http://schemas.openxmlformats.org/officeDocument/2006/relationships/hyperlink" Target="https://www.sortlist.co.uk/web-analytics/london-england-gb" TargetMode="External"/><Relationship Id="rId323" Type="http://schemas.openxmlformats.org/officeDocument/2006/relationships/hyperlink" Target="https://www.superhub.biz/top-7-performance-marketing-companies-uk-2026" TargetMode="External"/><Relationship Id="rId1396" Type="http://schemas.openxmlformats.org/officeDocument/2006/relationships/hyperlink" Target="http://sortlist.co.uk" TargetMode="External"/><Relationship Id="rId322" Type="http://schemas.openxmlformats.org/officeDocument/2006/relationships/hyperlink" Target="http://sorttheclicks.com" TargetMode="External"/><Relationship Id="rId1397" Type="http://schemas.openxmlformats.org/officeDocument/2006/relationships/hyperlink" Target="https://www.sortlist.com/marketing-communication" TargetMode="External"/><Relationship Id="rId321" Type="http://schemas.openxmlformats.org/officeDocument/2006/relationships/hyperlink" Target="https://sorttheclicks.com/insights/best-uk-geo-agencies-2026/" TargetMode="External"/><Relationship Id="rId1398" Type="http://schemas.openxmlformats.org/officeDocument/2006/relationships/hyperlink" Target="http://sortlist.com" TargetMode="External"/><Relationship Id="rId320" Type="http://schemas.openxmlformats.org/officeDocument/2006/relationships/hyperlink" Target="http://seocompare.co.uk" TargetMode="External"/><Relationship Id="rId1399" Type="http://schemas.openxmlformats.org/officeDocument/2006/relationships/hyperlink" Target="https://www.sortlist.com/performance-marketing" TargetMode="External"/><Relationship Id="rId1389" Type="http://schemas.openxmlformats.org/officeDocument/2006/relationships/hyperlink" Target="https://www.sortlist.co.uk/s/programmatic-advertising/london-england-gb" TargetMode="External"/><Relationship Id="rId316" Type="http://schemas.openxmlformats.org/officeDocument/2006/relationships/hyperlink" Target="http://digitalagencyleaders.net" TargetMode="External"/><Relationship Id="rId315" Type="http://schemas.openxmlformats.org/officeDocument/2006/relationships/hyperlink" Target="https://news.digitalagencyleaders.net/the-best-ai-marketing-agencies-in-the-uk-2025/" TargetMode="External"/><Relationship Id="rId799" Type="http://schemas.openxmlformats.org/officeDocument/2006/relationships/hyperlink" Target="https://marketingsignals.com/best-geo-agency-2026-the-top-generative-engine-optimisation-agencies-ranked/" TargetMode="External"/><Relationship Id="rId314" Type="http://schemas.openxmlformats.org/officeDocument/2006/relationships/hyperlink" Target="http://marketingsignals.com" TargetMode="External"/><Relationship Id="rId798" Type="http://schemas.openxmlformats.org/officeDocument/2006/relationships/hyperlink" Target="http://marketingagencyindex.com" TargetMode="External"/><Relationship Id="rId313" Type="http://schemas.openxmlformats.org/officeDocument/2006/relationships/hyperlink" Target="https://marketingsignals.com/best-digital-marketing-agency-2026-the-top-uk-full-service-agencies-ranked/" TargetMode="External"/><Relationship Id="rId797" Type="http://schemas.openxmlformats.org/officeDocument/2006/relationships/hyperlink" Target="https://www.marketingagencyindex.com/uk/services/creative" TargetMode="External"/><Relationship Id="rId319" Type="http://schemas.openxmlformats.org/officeDocument/2006/relationships/hyperlink" Target="https://seocompare.co.uk/best-ai-search-agencies/" TargetMode="External"/><Relationship Id="rId318" Type="http://schemas.openxmlformats.org/officeDocument/2006/relationships/hyperlink" Target="http://seocompare.co.uk" TargetMode="External"/><Relationship Id="rId317" Type="http://schemas.openxmlformats.org/officeDocument/2006/relationships/hyperlink" Target="https://seocompare.co.uk/ai-seo-agency-uk/" TargetMode="External"/><Relationship Id="rId1380" Type="http://schemas.openxmlformats.org/officeDocument/2006/relationships/hyperlink" Target="http://sortlist.co.uk" TargetMode="External"/><Relationship Id="rId792" Type="http://schemas.openxmlformats.org/officeDocument/2006/relationships/hyperlink" Target="http://latentview.com" TargetMode="External"/><Relationship Id="rId1381" Type="http://schemas.openxmlformats.org/officeDocument/2006/relationships/hyperlink" Target="https://www.sortlist.co.uk/s/display-advertising/manchester-england-gb" TargetMode="External"/><Relationship Id="rId791" Type="http://schemas.openxmlformats.org/officeDocument/2006/relationships/hyperlink" Target="https://www.latentview.com/glossary/incrementality-testing/" TargetMode="External"/><Relationship Id="rId1382" Type="http://schemas.openxmlformats.org/officeDocument/2006/relationships/hyperlink" Target="http://sortlist.co.uk" TargetMode="External"/><Relationship Id="rId790" Type="http://schemas.openxmlformats.org/officeDocument/2006/relationships/hyperlink" Target="http://itprofiles.com" TargetMode="External"/><Relationship Id="rId1383" Type="http://schemas.openxmlformats.org/officeDocument/2006/relationships/hyperlink" Target="https://www.sortlist.co.uk/s/google-ads/united-kingdom-gb" TargetMode="External"/><Relationship Id="rId1384" Type="http://schemas.openxmlformats.org/officeDocument/2006/relationships/hyperlink" Target="http://sortlist.co.uk" TargetMode="External"/><Relationship Id="rId312" Type="http://schemas.openxmlformats.org/officeDocument/2006/relationships/hyperlink" Target="http://linkedin.com" TargetMode="External"/><Relationship Id="rId796" Type="http://schemas.openxmlformats.org/officeDocument/2006/relationships/hyperlink" Target="http://madebyshape.co.uk" TargetMode="External"/><Relationship Id="rId1385" Type="http://schemas.openxmlformats.org/officeDocument/2006/relationships/hyperlink" Target="https://www.sortlist.co.uk/s/international-branding/united-kingdom-gb" TargetMode="External"/><Relationship Id="rId311" Type="http://schemas.openxmlformats.org/officeDocument/2006/relationships/hyperlink" Target="https://www.linkedin.com/pulse/top-performance-marketing-agencies-uk-steve-walker-mrjxe" TargetMode="External"/><Relationship Id="rId795" Type="http://schemas.openxmlformats.org/officeDocument/2006/relationships/hyperlink" Target="https://madebyshape.co.uk/web-design-blog/the-best-social-media-agencies-in-the-uk/" TargetMode="External"/><Relationship Id="rId1386" Type="http://schemas.openxmlformats.org/officeDocument/2006/relationships/hyperlink" Target="http://sortlist.co.uk" TargetMode="External"/><Relationship Id="rId310" Type="http://schemas.openxmlformats.org/officeDocument/2006/relationships/hyperlink" Target="http://creativebrief.com" TargetMode="External"/><Relationship Id="rId794" Type="http://schemas.openxmlformats.org/officeDocument/2006/relationships/hyperlink" Target="http://m1-project.com" TargetMode="External"/><Relationship Id="rId1387" Type="http://schemas.openxmlformats.org/officeDocument/2006/relationships/hyperlink" Target="https://www.sortlist.co.uk/s/performance-marketing/greater-london-england-gb" TargetMode="External"/><Relationship Id="rId793" Type="http://schemas.openxmlformats.org/officeDocument/2006/relationships/hyperlink" Target="https://www.m1-project.com/blog/10-best-ai-marketing-agencies-in-depth-comparison" TargetMode="External"/><Relationship Id="rId1388" Type="http://schemas.openxmlformats.org/officeDocument/2006/relationships/hyperlink" Target="http://sortlist.co.uk" TargetMode="External"/><Relationship Id="rId297" Type="http://schemas.openxmlformats.org/officeDocument/2006/relationships/hyperlink" Target="https://clicksgeek.com/marketing-attribution-tracking-services/" TargetMode="External"/><Relationship Id="rId296" Type="http://schemas.openxmlformats.org/officeDocument/2006/relationships/hyperlink" Target="https://www.brainz.digital/blog/best-b2b-analytics-agencies/" TargetMode="External"/><Relationship Id="rId295" Type="http://schemas.openxmlformats.org/officeDocument/2006/relationships/hyperlink" Target="http://50pros.com" TargetMode="External"/><Relationship Id="rId294" Type="http://schemas.openxmlformats.org/officeDocument/2006/relationships/hyperlink" Target="https://www.50pros.com/hire/digital-marketing/marketing-attribution" TargetMode="External"/><Relationship Id="rId299" Type="http://schemas.openxmlformats.org/officeDocument/2006/relationships/hyperlink" Target="https://www.clickslice.co.uk/best-generative-engine-optimisation-agencies-uk/" TargetMode="External"/><Relationship Id="rId298" Type="http://schemas.openxmlformats.org/officeDocument/2006/relationships/hyperlink" Target="http://clicksgeek.com" TargetMode="External"/><Relationship Id="rId271" Type="http://schemas.openxmlformats.org/officeDocument/2006/relationships/hyperlink" Target="http://wearetenet.com" TargetMode="External"/><Relationship Id="rId270" Type="http://schemas.openxmlformats.org/officeDocument/2006/relationships/hyperlink" Target="https://www.wearetenet.com/blog/google-ads-agencies-in-the-uk" TargetMode="External"/><Relationship Id="rId269" Type="http://schemas.openxmlformats.org/officeDocument/2006/relationships/hyperlink" Target="http://reddit.com" TargetMode="External"/><Relationship Id="rId264" Type="http://schemas.openxmlformats.org/officeDocument/2006/relationships/hyperlink" Target="https://www.rank4ai.co.uk/research/rankings/best-geo-agencies-uk/" TargetMode="External"/><Relationship Id="rId263" Type="http://schemas.openxmlformats.org/officeDocument/2006/relationships/hyperlink" Target="http://lengreo.com" TargetMode="External"/><Relationship Id="rId262" Type="http://schemas.openxmlformats.org/officeDocument/2006/relationships/hyperlink" Target="https://lengreo.com/best-answer-engine-optimization-aeo-agencies-for-uk-companies-in-2025/" TargetMode="External"/><Relationship Id="rId261" Type="http://schemas.openxmlformats.org/officeDocument/2006/relationships/hyperlink" Target="http://evangelistsoftware.com" TargetMode="External"/><Relationship Id="rId268" Type="http://schemas.openxmlformats.org/officeDocument/2006/relationships/hyperlink" Target="https://www.reddit.com/r/advertising/comments/n8z67i/best_uk_based_agencies/" TargetMode="External"/><Relationship Id="rId267" Type="http://schemas.openxmlformats.org/officeDocument/2006/relationships/hyperlink" Target="http://rank4ai.co.uk" TargetMode="External"/><Relationship Id="rId266" Type="http://schemas.openxmlformats.org/officeDocument/2006/relationships/hyperlink" Target="https://www.rank4ai.co.uk/research/rankings/top-ai-search-agencies-london/" TargetMode="External"/><Relationship Id="rId265" Type="http://schemas.openxmlformats.org/officeDocument/2006/relationships/hyperlink" Target="http://rank4ai.co.uk" TargetMode="External"/><Relationship Id="rId260" Type="http://schemas.openxmlformats.org/officeDocument/2006/relationships/hyperlink" Target="https://evangelistsoftware.com/blog/top-ai-consulting-firms-in-uk/" TargetMode="External"/><Relationship Id="rId259" Type="http://schemas.openxmlformats.org/officeDocument/2006/relationships/hyperlink" Target="http://directiveconsulting.com" TargetMode="External"/><Relationship Id="rId258" Type="http://schemas.openxmlformats.org/officeDocument/2006/relationships/hyperlink" Target="https://directiveconsulting.com/uk/blog/best-marketing-data-agency/" TargetMode="External"/><Relationship Id="rId253" Type="http://schemas.openxmlformats.org/officeDocument/2006/relationships/hyperlink" Target="http://charle.co.uk" TargetMode="External"/><Relationship Id="rId252" Type="http://schemas.openxmlformats.org/officeDocument/2006/relationships/hyperlink" Target="https://www.charle.co.uk/articles/best-geo-agencies-uk/" TargetMode="External"/><Relationship Id="rId251" Type="http://schemas.openxmlformats.org/officeDocument/2006/relationships/hyperlink" Target="http://brandspeak.co.uk" TargetMode="External"/><Relationship Id="rId250" Type="http://schemas.openxmlformats.org/officeDocument/2006/relationships/hyperlink" Target="https://brandspeak.co.uk/blog/top-market-research-companies-uk/" TargetMode="External"/><Relationship Id="rId257" Type="http://schemas.openxmlformats.org/officeDocument/2006/relationships/hyperlink" Target="http://digitalreference.co" TargetMode="External"/><Relationship Id="rId256" Type="http://schemas.openxmlformats.org/officeDocument/2006/relationships/hyperlink" Target="https://www.digitalreference.co/design-professionals/best-creative-agencies-in-the-uk" TargetMode="External"/><Relationship Id="rId255" Type="http://schemas.openxmlformats.org/officeDocument/2006/relationships/hyperlink" Target="http://creativemarketingltd.co.uk" TargetMode="External"/><Relationship Id="rId254" Type="http://schemas.openxmlformats.org/officeDocument/2006/relationships/hyperlink" Target="https://www.creativemarketingltd.co.uk/blog/top-digital-marketing-agencies" TargetMode="External"/><Relationship Id="rId293" Type="http://schemas.openxmlformats.org/officeDocument/2006/relationships/hyperlink" Target="http://50pros.com" TargetMode="External"/><Relationship Id="rId292" Type="http://schemas.openxmlformats.org/officeDocument/2006/relationships/hyperlink" Target="https://www.50pros.com/hire/advertising/attribution-and-measurement" TargetMode="External"/><Relationship Id="rId291" Type="http://schemas.openxmlformats.org/officeDocument/2006/relationships/hyperlink" Target="http://webdesignchoice.co.uk" TargetMode="External"/><Relationship Id="rId290" Type="http://schemas.openxmlformats.org/officeDocument/2006/relationships/hyperlink" Target="https://www.webdesignchoice.co.uk/top-aeo-agencies-uk-2026.html" TargetMode="External"/><Relationship Id="rId286" Type="http://schemas.openxmlformats.org/officeDocument/2006/relationships/hyperlink" Target="https://thatware.co/top-10-ai-seo-companies-in-uk/" TargetMode="External"/><Relationship Id="rId285" Type="http://schemas.openxmlformats.org/officeDocument/2006/relationships/hyperlink" Target="http://superbcompanies.com" TargetMode="External"/><Relationship Id="rId284" Type="http://schemas.openxmlformats.org/officeDocument/2006/relationships/hyperlink" Target="https://superbcompanies.com/categories/creative-agencies-in-the-uk/" TargetMode="External"/><Relationship Id="rId283" Type="http://schemas.openxmlformats.org/officeDocument/2006/relationships/hyperlink" Target="http://measured.com" TargetMode="External"/><Relationship Id="rId289" Type="http://schemas.openxmlformats.org/officeDocument/2006/relationships/hyperlink" Target="http://weareroast.com" TargetMode="External"/><Relationship Id="rId288" Type="http://schemas.openxmlformats.org/officeDocument/2006/relationships/hyperlink" Target="https://weareroast.com/news/best-ppc-agencies-in-the-uk-2026-guide/" TargetMode="External"/><Relationship Id="rId287" Type="http://schemas.openxmlformats.org/officeDocument/2006/relationships/hyperlink" Target="http://thatware.co" TargetMode="External"/><Relationship Id="rId282" Type="http://schemas.openxmlformats.org/officeDocument/2006/relationships/hyperlink" Target="https://www.measured.com/faq/best-incrementality-testing-companies-software-for-marketing-2025/" TargetMode="External"/><Relationship Id="rId281" Type="http://schemas.openxmlformats.org/officeDocument/2006/relationships/hyperlink" Target="http://clutch.co" TargetMode="External"/><Relationship Id="rId280" Type="http://schemas.openxmlformats.org/officeDocument/2006/relationships/hyperlink" Target="https://clutch.co/consulting/ai/strategy/uk" TargetMode="External"/><Relationship Id="rId275" Type="http://schemas.openxmlformats.org/officeDocument/2006/relationships/hyperlink" Target="http://semrush.com" TargetMode="External"/><Relationship Id="rId274" Type="http://schemas.openxmlformats.org/officeDocument/2006/relationships/hyperlink" Target="https://agencies.semrush.com/list/display-advertising/united-kingdom/small-business/" TargetMode="External"/><Relationship Id="rId273" Type="http://schemas.openxmlformats.org/officeDocument/2006/relationships/hyperlink" Target="http://webtonic.io" TargetMode="External"/><Relationship Id="rId272" Type="http://schemas.openxmlformats.org/officeDocument/2006/relationships/hyperlink" Target="https://www.webtonic.io/blog/top-digital-marketing-agencies-uk" TargetMode="External"/><Relationship Id="rId279" Type="http://schemas.openxmlformats.org/officeDocument/2006/relationships/hyperlink" Target="http://climb-seo.co.uk" TargetMode="External"/><Relationship Id="rId278" Type="http://schemas.openxmlformats.org/officeDocument/2006/relationships/hyperlink" Target="https://climb-seo.co.uk/best-aeo-geo-agencies-uk-2026/" TargetMode="External"/><Relationship Id="rId277" Type="http://schemas.openxmlformats.org/officeDocument/2006/relationships/hyperlink" Target="http://charle.co.uk" TargetMode="External"/><Relationship Id="rId276" Type="http://schemas.openxmlformats.org/officeDocument/2006/relationships/hyperlink" Target="https://www.charle.co.uk/articles/top-geo-agency-for-ecommerce/" TargetMode="External"/><Relationship Id="rId1455" Type="http://schemas.openxmlformats.org/officeDocument/2006/relationships/hyperlink" Target="https://www.trendygrandad.com/blog/best-youtube-video-production-companies-in-london" TargetMode="External"/><Relationship Id="rId1456" Type="http://schemas.openxmlformats.org/officeDocument/2006/relationships/hyperlink" Target="http://trendygrandad.com" TargetMode="External"/><Relationship Id="rId1457" Type="http://schemas.openxmlformats.org/officeDocument/2006/relationships/hyperlink" Target="https://www.trendygrandad.com/blog/top-5-performance-creative-agencies-sept-2024" TargetMode="External"/><Relationship Id="rId1458" Type="http://schemas.openxmlformats.org/officeDocument/2006/relationships/hyperlink" Target="http://trendygrandad.com" TargetMode="External"/><Relationship Id="rId1459" Type="http://schemas.openxmlformats.org/officeDocument/2006/relationships/hyperlink" Target="https://www.tripledart.com/ai-seo/ai-seo-agencies" TargetMode="External"/><Relationship Id="rId629" Type="http://schemas.openxmlformats.org/officeDocument/2006/relationships/hyperlink" Target="http://semrush.com" TargetMode="External"/><Relationship Id="rId624" Type="http://schemas.openxmlformats.org/officeDocument/2006/relationships/hyperlink" Target="https://www.sortlist.co.uk/s/marketing-analytics/west-midlands-england-gb" TargetMode="External"/><Relationship Id="rId623" Type="http://schemas.openxmlformats.org/officeDocument/2006/relationships/hyperlink" Target="http://sortlist.co.uk" TargetMode="External"/><Relationship Id="rId622" Type="http://schemas.openxmlformats.org/officeDocument/2006/relationships/hyperlink" Target="https://www.sortlist.co.uk/s/attribution-marketing/england-england-gb" TargetMode="External"/><Relationship Id="rId621" Type="http://schemas.openxmlformats.org/officeDocument/2006/relationships/hyperlink" Target="http://sortlist.co.uk" TargetMode="External"/><Relationship Id="rId628" Type="http://schemas.openxmlformats.org/officeDocument/2006/relationships/hyperlink" Target="https://agencies.semrush.com/list/market-analysis/united-kingdom/" TargetMode="External"/><Relationship Id="rId627" Type="http://schemas.openxmlformats.org/officeDocument/2006/relationships/hyperlink" Target="http://thesmallbizexpert.co.uk" TargetMode="External"/><Relationship Id="rId626" Type="http://schemas.openxmlformats.org/officeDocument/2006/relationships/hyperlink" Target="https://www.thesmallbizexpert.co.uk/blog/best-ai-seo-agencies-uk" TargetMode="External"/><Relationship Id="rId625" Type="http://schemas.openxmlformats.org/officeDocument/2006/relationships/hyperlink" Target="http://sortlist.co.uk" TargetMode="External"/><Relationship Id="rId1450" Type="http://schemas.openxmlformats.org/officeDocument/2006/relationships/hyperlink" Target="http://topseobrands.com" TargetMode="External"/><Relationship Id="rId620" Type="http://schemas.openxmlformats.org/officeDocument/2006/relationships/hyperlink" Target="https://www.sortlist.co.uk/s/ai-marketing/england-england-gb" TargetMode="External"/><Relationship Id="rId1451" Type="http://schemas.openxmlformats.org/officeDocument/2006/relationships/hyperlink" Target="https://toptenaiagents.co.uk/lists/top-10-uk-ai-agencies-midsize.html" TargetMode="External"/><Relationship Id="rId1452" Type="http://schemas.openxmlformats.org/officeDocument/2006/relationships/hyperlink" Target="http://toptenaiagents.co.uk" TargetMode="External"/><Relationship Id="rId1453" Type="http://schemas.openxmlformats.org/officeDocument/2006/relationships/hyperlink" Target="https://toptenaiagents.co.uk/lists/top-10-uk-ai-agencies-sme.html" TargetMode="External"/><Relationship Id="rId1454" Type="http://schemas.openxmlformats.org/officeDocument/2006/relationships/hyperlink" Target="http://toptenaiagents.co.uk" TargetMode="External"/><Relationship Id="rId1444" Type="http://schemas.openxmlformats.org/officeDocument/2006/relationships/hyperlink" Target="http://thriveagency.com" TargetMode="External"/><Relationship Id="rId1445" Type="http://schemas.openxmlformats.org/officeDocument/2006/relationships/hyperlink" Target="https://www.tofuhq.com/post/best-ai-agents-for-marketing" TargetMode="External"/><Relationship Id="rId1446" Type="http://schemas.openxmlformats.org/officeDocument/2006/relationships/hyperlink" Target="http://tofuhq.com" TargetMode="External"/><Relationship Id="rId1447" Type="http://schemas.openxmlformats.org/officeDocument/2006/relationships/hyperlink" Target="https://topgeoagencies.com/" TargetMode="External"/><Relationship Id="rId1448" Type="http://schemas.openxmlformats.org/officeDocument/2006/relationships/hyperlink" Target="http://topgeoagencies.com" TargetMode="External"/><Relationship Id="rId1449" Type="http://schemas.openxmlformats.org/officeDocument/2006/relationships/hyperlink" Target="https://www.topseobrands.com/uk/best-display-advertising-firms-in-uk/page/7" TargetMode="External"/><Relationship Id="rId619" Type="http://schemas.openxmlformats.org/officeDocument/2006/relationships/hyperlink" Target="http://softwaresuggest.com" TargetMode="External"/><Relationship Id="rId618" Type="http://schemas.openxmlformats.org/officeDocument/2006/relationships/hyperlink" Target="https://www.softwaresuggest.com/services/marketing-analytics-companies/uk" TargetMode="External"/><Relationship Id="rId613" Type="http://schemas.openxmlformats.org/officeDocument/2006/relationships/hyperlink" Target="http://reddit.com" TargetMode="External"/><Relationship Id="rId612" Type="http://schemas.openxmlformats.org/officeDocument/2006/relationships/hyperlink" Target="https://www.reddit.com/r/PPC/comments/1tkc7rr/which_ppc_agencies_are_actually_considered_the/" TargetMode="External"/><Relationship Id="rId611" Type="http://schemas.openxmlformats.org/officeDocument/2006/relationships/hyperlink" Target="https://piperocket.digital/list/best-paid-social-agencies/" TargetMode="External"/><Relationship Id="rId610" Type="http://schemas.openxmlformats.org/officeDocument/2006/relationships/hyperlink" Target="http://oyik.ai" TargetMode="External"/><Relationship Id="rId617" Type="http://schemas.openxmlformats.org/officeDocument/2006/relationships/hyperlink" Target="http://septemai.com" TargetMode="External"/><Relationship Id="rId616" Type="http://schemas.openxmlformats.org/officeDocument/2006/relationships/hyperlink" Target="https://septemai.com/blog/top-ai-consulting-firms-companies-uk-2026" TargetMode="External"/><Relationship Id="rId615" Type="http://schemas.openxmlformats.org/officeDocument/2006/relationships/hyperlink" Target="http://rzlt.io" TargetMode="External"/><Relationship Id="rId614" Type="http://schemas.openxmlformats.org/officeDocument/2006/relationships/hyperlink" Target="https://www.rzlt.io/blog/best-ai-marketing-agencies-in-2026-the-definitive-guide-by-specialty" TargetMode="External"/><Relationship Id="rId1440" Type="http://schemas.openxmlformats.org/officeDocument/2006/relationships/hyperlink" Target="http://thetimes.co.uk" TargetMode="External"/><Relationship Id="rId1441" Type="http://schemas.openxmlformats.org/officeDocument/2006/relationships/hyperlink" Target="https://thinkwithalec.com/2025/03/02/best-marketing-platforms-for-tracking-first-party-data/" TargetMode="External"/><Relationship Id="rId1442" Type="http://schemas.openxmlformats.org/officeDocument/2006/relationships/hyperlink" Target="http://thinkwithalec.com" TargetMode="External"/><Relationship Id="rId1443" Type="http://schemas.openxmlformats.org/officeDocument/2006/relationships/hyperlink" Target="https://thriveagency.com/london-digital-marketing-agency/" TargetMode="External"/><Relationship Id="rId1477" Type="http://schemas.openxmlformats.org/officeDocument/2006/relationships/hyperlink" Target="https://www.weareqry.com/blog/best-paid-media-agencies" TargetMode="External"/><Relationship Id="rId1478" Type="http://schemas.openxmlformats.org/officeDocument/2006/relationships/hyperlink" Target="http://weareqry.com" TargetMode="External"/><Relationship Id="rId1479" Type="http://schemas.openxmlformats.org/officeDocument/2006/relationships/hyperlink" Target="https://www.wearetenet.com/uk/growth/ai-seo-services" TargetMode="External"/><Relationship Id="rId646" Type="http://schemas.openxmlformats.org/officeDocument/2006/relationships/hyperlink" Target="https://www.clickslice.co.uk/best-social-media-agencies-uk/" TargetMode="External"/><Relationship Id="rId645" Type="http://schemas.openxmlformats.org/officeDocument/2006/relationships/hyperlink" Target="http://carmatec.co.uk" TargetMode="External"/><Relationship Id="rId644" Type="http://schemas.openxmlformats.org/officeDocument/2006/relationships/hyperlink" Target="https://carmatec.co.uk/blog/top-10-ai-consultancies-in-the-uk/" TargetMode="External"/><Relationship Id="rId643" Type="http://schemas.openxmlformats.org/officeDocument/2006/relationships/hyperlink" Target="http://carlosalbamedia.co.uk" TargetMode="External"/><Relationship Id="rId649" Type="http://schemas.openxmlformats.org/officeDocument/2006/relationships/hyperlink" Target="http://clickslice.co.uk" TargetMode="External"/><Relationship Id="rId648" Type="http://schemas.openxmlformats.org/officeDocument/2006/relationships/hyperlink" Target="https://www.clickslice.co.uk/top-geo-agencies-uk/" TargetMode="External"/><Relationship Id="rId647" Type="http://schemas.openxmlformats.org/officeDocument/2006/relationships/hyperlink" Target="http://clickslice.co.uk" TargetMode="External"/><Relationship Id="rId1470" Type="http://schemas.openxmlformats.org/officeDocument/2006/relationships/hyperlink" Target="http://virayo.com" TargetMode="External"/><Relationship Id="rId1471" Type="http://schemas.openxmlformats.org/officeDocument/2006/relationships/hyperlink" Target="https://visionone.co.uk/news/top-market-research-companies-in-the-uk-2026/" TargetMode="External"/><Relationship Id="rId1472" Type="http://schemas.openxmlformats.org/officeDocument/2006/relationships/hyperlink" Target="http://visionone.co.uk" TargetMode="External"/><Relationship Id="rId642" Type="http://schemas.openxmlformats.org/officeDocument/2006/relationships/hyperlink" Target="https://carlosalbamedia.co.uk/best-marketing-agency-uk/" TargetMode="External"/><Relationship Id="rId1473" Type="http://schemas.openxmlformats.org/officeDocument/2006/relationships/hyperlink" Target="https://www.visuosofts.com/blog/top-digital-marketing-agencies-in-the-uk-2026-the-complete-comparison-guide" TargetMode="External"/><Relationship Id="rId641" Type="http://schemas.openxmlformats.org/officeDocument/2006/relationships/hyperlink" Target="http://tenaciousmarketing.co.uk" TargetMode="External"/><Relationship Id="rId1474" Type="http://schemas.openxmlformats.org/officeDocument/2006/relationships/hyperlink" Target="http://visuosofts.com" TargetMode="External"/><Relationship Id="rId640" Type="http://schemas.openxmlformats.org/officeDocument/2006/relationships/hyperlink" Target="https://blog.tenaciousmarketing.co.uk/top-15-best-geo-agencies-in-the-uk-2026" TargetMode="External"/><Relationship Id="rId1475" Type="http://schemas.openxmlformats.org/officeDocument/2006/relationships/hyperlink" Target="https://wamdigital.com/blog/top-5-creative-and-web-development-agencies-for-scalable-production-in-2026" TargetMode="External"/><Relationship Id="rId1476" Type="http://schemas.openxmlformats.org/officeDocument/2006/relationships/hyperlink" Target="http://wamdigital.com" TargetMode="External"/><Relationship Id="rId1466" Type="http://schemas.openxmlformats.org/officeDocument/2006/relationships/hyperlink" Target="http://updigital.co.uk" TargetMode="External"/><Relationship Id="rId1467" Type="http://schemas.openxmlformats.org/officeDocument/2006/relationships/hyperlink" Target="https://vibebranding.com/blog/best-performance-marketing-agencies/" TargetMode="External"/><Relationship Id="rId1468" Type="http://schemas.openxmlformats.org/officeDocument/2006/relationships/hyperlink" Target="http://vibebranding.com" TargetMode="External"/><Relationship Id="rId1469" Type="http://schemas.openxmlformats.org/officeDocument/2006/relationships/hyperlink" Target="https://virayo.com/blog/b2b-seo-agencies" TargetMode="External"/><Relationship Id="rId635" Type="http://schemas.openxmlformats.org/officeDocument/2006/relationships/hyperlink" Target="http://b2bmarketing.net" TargetMode="External"/><Relationship Id="rId634" Type="http://schemas.openxmlformats.org/officeDocument/2006/relationships/hyperlink" Target="https://www.b2bmarketing.net/reports/top-b2b-marketing-agencies-uk-2026/" TargetMode="External"/><Relationship Id="rId633" Type="http://schemas.openxmlformats.org/officeDocument/2006/relationships/hyperlink" Target="http://aisuperior.com" TargetMode="External"/><Relationship Id="rId632" Type="http://schemas.openxmlformats.org/officeDocument/2006/relationships/hyperlink" Target="https://aisuperior.com/ai-consulting-companies-in-the-uk/" TargetMode="External"/><Relationship Id="rId639" Type="http://schemas.openxmlformats.org/officeDocument/2006/relationships/hyperlink" Target="http://bird.co.uk" TargetMode="External"/><Relationship Id="rId638" Type="http://schemas.openxmlformats.org/officeDocument/2006/relationships/hyperlink" Target="https://bird.co.uk/" TargetMode="External"/><Relationship Id="rId637" Type="http://schemas.openxmlformats.org/officeDocument/2006/relationships/hyperlink" Target="http://bbntimes.com" TargetMode="External"/><Relationship Id="rId636" Type="http://schemas.openxmlformats.org/officeDocument/2006/relationships/hyperlink" Target="https://www.bbntimes.com/companies/top-10-uk-based-ai-consulting-firms-2025" TargetMode="External"/><Relationship Id="rId1460" Type="http://schemas.openxmlformats.org/officeDocument/2006/relationships/hyperlink" Target="http://tripledart.com" TargetMode="External"/><Relationship Id="rId1461" Type="http://schemas.openxmlformats.org/officeDocument/2006/relationships/hyperlink" Target="https://www.triplewhale.com/blog/marketing-attribution" TargetMode="External"/><Relationship Id="rId631" Type="http://schemas.openxmlformats.org/officeDocument/2006/relationships/hyperlink" Target="http://agencylist.com" TargetMode="External"/><Relationship Id="rId1462" Type="http://schemas.openxmlformats.org/officeDocument/2006/relationships/hyperlink" Target="http://triplewhale.com" TargetMode="External"/><Relationship Id="rId630" Type="http://schemas.openxmlformats.org/officeDocument/2006/relationships/hyperlink" Target="https://agencylist.com/data-and-analytics/gb/" TargetMode="External"/><Relationship Id="rId1463" Type="http://schemas.openxmlformats.org/officeDocument/2006/relationships/hyperlink" Target="https://ukagencies.co.uk/services/ppc/" TargetMode="External"/><Relationship Id="rId1464" Type="http://schemas.openxmlformats.org/officeDocument/2006/relationships/hyperlink" Target="http://ukagencies.co.uk" TargetMode="External"/><Relationship Id="rId1465" Type="http://schemas.openxmlformats.org/officeDocument/2006/relationships/hyperlink" Target="https://www.updigital.co.uk/the-top-5-bristol-ppc-agencies-in-2026/" TargetMode="External"/><Relationship Id="rId1411" Type="http://schemas.openxmlformats.org/officeDocument/2006/relationships/hyperlink" Target="https://syntermedia.ai/blog/best-attribution-software-marketing-teams" TargetMode="External"/><Relationship Id="rId1412" Type="http://schemas.openxmlformats.org/officeDocument/2006/relationships/hyperlink" Target="http://syntermedia.ai" TargetMode="External"/><Relationship Id="rId1413" Type="http://schemas.openxmlformats.org/officeDocument/2006/relationships/hyperlink" Target="https://teamai.com/blog/generative-ai-and-business/top-geo-agencies-for-ai-visibility/" TargetMode="External"/><Relationship Id="rId1414" Type="http://schemas.openxmlformats.org/officeDocument/2006/relationships/hyperlink" Target="http://teamai.com" TargetMode="External"/><Relationship Id="rId1415" Type="http://schemas.openxmlformats.org/officeDocument/2006/relationships/hyperlink" Target="https://techbehemoths.com/companies/advertising/united-kingdom" TargetMode="External"/><Relationship Id="rId1416" Type="http://schemas.openxmlformats.org/officeDocument/2006/relationships/hyperlink" Target="http://techbehemoths.com" TargetMode="External"/><Relationship Id="rId1417" Type="http://schemas.openxmlformats.org/officeDocument/2006/relationships/hyperlink" Target="https://thebusinessjournal.co.uk/b2b-supplier/best-ai-seo-agencies/" TargetMode="External"/><Relationship Id="rId1418" Type="http://schemas.openxmlformats.org/officeDocument/2006/relationships/hyperlink" Target="http://thebusinessjournal.co.uk" TargetMode="External"/><Relationship Id="rId1419" Type="http://schemas.openxmlformats.org/officeDocument/2006/relationships/hyperlink" Target="https://thecmo.com/tools/best-marketing-attribution-software/" TargetMode="External"/><Relationship Id="rId1410" Type="http://schemas.openxmlformats.org/officeDocument/2006/relationships/hyperlink" Target="http://susodigital.com" TargetMode="External"/><Relationship Id="rId1400" Type="http://schemas.openxmlformats.org/officeDocument/2006/relationships/hyperlink" Target="http://sortlist.com" TargetMode="External"/><Relationship Id="rId1401" Type="http://schemas.openxmlformats.org/officeDocument/2006/relationships/hyperlink" Target="https://www.sortlist.com/social-media-optimization" TargetMode="External"/><Relationship Id="rId1402" Type="http://schemas.openxmlformats.org/officeDocument/2006/relationships/hyperlink" Target="http://sortlist.com" TargetMode="External"/><Relationship Id="rId1403" Type="http://schemas.openxmlformats.org/officeDocument/2006/relationships/hyperlink" Target="https://www.superhub.biz/top-digital-marketing-companies-for-small-business-uk" TargetMode="External"/><Relationship Id="rId1404" Type="http://schemas.openxmlformats.org/officeDocument/2006/relationships/hyperlink" Target="http://superhub.biz" TargetMode="External"/><Relationship Id="rId1405" Type="http://schemas.openxmlformats.org/officeDocument/2006/relationships/hyperlink" Target="https://www.superside.com/blog/ad-creative-agencies" TargetMode="External"/><Relationship Id="rId1406" Type="http://schemas.openxmlformats.org/officeDocument/2006/relationships/hyperlink" Target="http://superside.com" TargetMode="External"/><Relationship Id="rId1407" Type="http://schemas.openxmlformats.org/officeDocument/2006/relationships/hyperlink" Target="https://www.superside.com/blog/creative-agencies" TargetMode="External"/><Relationship Id="rId1408" Type="http://schemas.openxmlformats.org/officeDocument/2006/relationships/hyperlink" Target="http://superside.com" TargetMode="External"/><Relationship Id="rId1409" Type="http://schemas.openxmlformats.org/officeDocument/2006/relationships/hyperlink" Target="https://susodigital.com/thoughts/12-best-generative-seo-service-agencies/" TargetMode="External"/><Relationship Id="rId1433" Type="http://schemas.openxmlformats.org/officeDocument/2006/relationships/hyperlink" Target="https://www.thelogocreative.co.uk/7-top-branding-agencies-in-the-uk/" TargetMode="External"/><Relationship Id="rId1434" Type="http://schemas.openxmlformats.org/officeDocument/2006/relationships/hyperlink" Target="http://thelogocreative.co.uk" TargetMode="External"/><Relationship Id="rId1435" Type="http://schemas.openxmlformats.org/officeDocument/2006/relationships/hyperlink" Target="https://themanifest.com/programmatic/agencies/uk?page=1" TargetMode="External"/><Relationship Id="rId1436" Type="http://schemas.openxmlformats.org/officeDocument/2006/relationships/hyperlink" Target="http://themanifest.com" TargetMode="External"/><Relationship Id="rId1437" Type="http://schemas.openxmlformats.org/officeDocument/2006/relationships/hyperlink" Target="https://thesocialshepherd.com/blog/top-creative-agencies-us" TargetMode="External"/><Relationship Id="rId1438" Type="http://schemas.openxmlformats.org/officeDocument/2006/relationships/hyperlink" Target="http://thesocialshepherd.com" TargetMode="External"/><Relationship Id="rId1439" Type="http://schemas.openxmlformats.org/officeDocument/2006/relationships/hyperlink" Target="https://www.thetimes.co.uk/article/wpp-publicis-or-omnicom-ipg-which-is-the-best-buy-in-adland-3hfhgjl6m" TargetMode="External"/><Relationship Id="rId609" Type="http://schemas.openxmlformats.org/officeDocument/2006/relationships/hyperlink" Target="https://oyik.ai/automation/the-top-consulting-firms-in-the-uk-for-ai-gen-ai-services/" TargetMode="External"/><Relationship Id="rId608" Type="http://schemas.openxmlformats.org/officeDocument/2006/relationships/hyperlink" Target="http://nogood.io" TargetMode="External"/><Relationship Id="rId607" Type="http://schemas.openxmlformats.org/officeDocument/2006/relationships/hyperlink" Target="https://nogood.io/blog/social-media-marketing-agency-london/" TargetMode="External"/><Relationship Id="rId602" Type="http://schemas.openxmlformats.org/officeDocument/2006/relationships/hyperlink" Target="http://macreativeag.com" TargetMode="External"/><Relationship Id="rId601" Type="http://schemas.openxmlformats.org/officeDocument/2006/relationships/hyperlink" Target="https://macreativeag.com/digital-marketing/uk-top-digital-marketing-agencies/" TargetMode="External"/><Relationship Id="rId600" Type="http://schemas.openxmlformats.org/officeDocument/2006/relationships/hyperlink" Target="http://linea-analytics.com" TargetMode="External"/><Relationship Id="rId606" Type="http://schemas.openxmlformats.org/officeDocument/2006/relationships/hyperlink" Target="http://nogood.io" TargetMode="External"/><Relationship Id="rId605" Type="http://schemas.openxmlformats.org/officeDocument/2006/relationships/hyperlink" Target="https://nogood.io/blog/performance-marketing-agencies/" TargetMode="External"/><Relationship Id="rId604" Type="http://schemas.openxmlformats.org/officeDocument/2006/relationships/hyperlink" Target="http://marketingagencyindex.com" TargetMode="External"/><Relationship Id="rId603" Type="http://schemas.openxmlformats.org/officeDocument/2006/relationships/hyperlink" Target="https://www.marketingagencyindex.com/uk/services/ppc" TargetMode="External"/><Relationship Id="rId1430" Type="http://schemas.openxmlformats.org/officeDocument/2006/relationships/hyperlink" Target="http://thegrowthsyndicate.com" TargetMode="External"/><Relationship Id="rId1431" Type="http://schemas.openxmlformats.org/officeDocument/2006/relationships/hyperlink" Target="https://www.thekeenfolks.com/blog-article/best-performance-marketing-agencies" TargetMode="External"/><Relationship Id="rId1432" Type="http://schemas.openxmlformats.org/officeDocument/2006/relationships/hyperlink" Target="http://thekeenfolks.com" TargetMode="External"/><Relationship Id="rId1422" Type="http://schemas.openxmlformats.org/officeDocument/2006/relationships/hyperlink" Target="http://thedca.co" TargetMode="External"/><Relationship Id="rId1423" Type="http://schemas.openxmlformats.org/officeDocument/2006/relationships/hyperlink" Target="https://thedigitalelevator.com/blog/best-generative-engine-optimization-geo-agencies/" TargetMode="External"/><Relationship Id="rId1424" Type="http://schemas.openxmlformats.org/officeDocument/2006/relationships/hyperlink" Target="http://thedigitalelevator.com" TargetMode="External"/><Relationship Id="rId1425" Type="http://schemas.openxmlformats.org/officeDocument/2006/relationships/hyperlink" Target="https://www.thedrum.com/news/end-era-creatives-reflect-adameveddb-s-best-john-lewis-ads" TargetMode="External"/><Relationship Id="rId1426" Type="http://schemas.openxmlformats.org/officeDocument/2006/relationships/hyperlink" Target="http://thedrum.com" TargetMode="External"/><Relationship Id="rId1427" Type="http://schemas.openxmlformats.org/officeDocument/2006/relationships/hyperlink" Target="https://www.thedrum.com/news/serviceplan-reclaims-emea-agency-top-spot-in-2026-world-creative-rankings" TargetMode="External"/><Relationship Id="rId1428" Type="http://schemas.openxmlformats.org/officeDocument/2006/relationships/hyperlink" Target="http://thedrum.com" TargetMode="External"/><Relationship Id="rId1429" Type="http://schemas.openxmlformats.org/officeDocument/2006/relationships/hyperlink" Target="https://www.thegrowthsyndicate.com/agencies/chatgpt-ads-agencies-uk" TargetMode="External"/><Relationship Id="rId1420" Type="http://schemas.openxmlformats.org/officeDocument/2006/relationships/hyperlink" Target="http://thecmo.com" TargetMode="External"/><Relationship Id="rId1421" Type="http://schemas.openxmlformats.org/officeDocument/2006/relationships/hyperlink" Target="https://www.thedca.co/services/production" TargetMode="External"/><Relationship Id="rId1059" Type="http://schemas.openxmlformats.org/officeDocument/2006/relationships/hyperlink" Target="https://delivix.digital/marketing/marketing-agencies-in-the-uk/" TargetMode="External"/><Relationship Id="rId228" Type="http://schemas.openxmlformats.org/officeDocument/2006/relationships/hyperlink" Target="http://dontpaniclondon.com" TargetMode="External"/><Relationship Id="rId227" Type="http://schemas.openxmlformats.org/officeDocument/2006/relationships/hyperlink" Target="https://www.dontpaniclondon.com/blog/best-uk-advertising-agencies/" TargetMode="External"/><Relationship Id="rId226" Type="http://schemas.openxmlformats.org/officeDocument/2006/relationships/hyperlink" Target="http://cometly.com" TargetMode="External"/><Relationship Id="rId225" Type="http://schemas.openxmlformats.org/officeDocument/2006/relationships/hyperlink" Target="https://www.cometly.com/post/marketing-attribution-tools-for-agencies" TargetMode="External"/><Relationship Id="rId229" Type="http://schemas.openxmlformats.org/officeDocument/2006/relationships/hyperlink" Target="https://www.munro.agency/top-paid-media-agencies/" TargetMode="External"/><Relationship Id="rId1050" Type="http://schemas.openxmlformats.org/officeDocument/2006/relationships/hyperlink" Target="https://www.creativecorner.studio/blog/best-marketing-agencies-in-europe" TargetMode="External"/><Relationship Id="rId220" Type="http://schemas.openxmlformats.org/officeDocument/2006/relationships/hyperlink" Target="http://buriedagency.com" TargetMode="External"/><Relationship Id="rId1051" Type="http://schemas.openxmlformats.org/officeDocument/2006/relationships/hyperlink" Target="https://www.creativemarketingltd.co.uk/blog/top-fashion-marketing-agencies" TargetMode="External"/><Relationship Id="rId1052" Type="http://schemas.openxmlformats.org/officeDocument/2006/relationships/hyperlink" Target="http://creativemarketingltd.co.uk" TargetMode="External"/><Relationship Id="rId1053" Type="http://schemas.openxmlformats.org/officeDocument/2006/relationships/hyperlink" Target="https://www.darkroomagency.com/observatory/best-performance-marketing-agencies-in-2026" TargetMode="External"/><Relationship Id="rId1054" Type="http://schemas.openxmlformats.org/officeDocument/2006/relationships/hyperlink" Target="http://darkroomagency.com" TargetMode="External"/><Relationship Id="rId224" Type="http://schemas.openxmlformats.org/officeDocument/2006/relationships/hyperlink" Target="http://clickslice.co.uk" TargetMode="External"/><Relationship Id="rId1055" Type="http://schemas.openxmlformats.org/officeDocument/2006/relationships/hyperlink" Target="https://www.dataally.ai/blog/top-paid-media-agencies" TargetMode="External"/><Relationship Id="rId223" Type="http://schemas.openxmlformats.org/officeDocument/2006/relationships/hyperlink" Target="https://www.clickslice.co.uk/top-digital-marketing-agencies-uk/" TargetMode="External"/><Relationship Id="rId1056" Type="http://schemas.openxmlformats.org/officeDocument/2006/relationships/hyperlink" Target="http://dataally.ai" TargetMode="External"/><Relationship Id="rId222" Type="http://schemas.openxmlformats.org/officeDocument/2006/relationships/hyperlink" Target="http://buzzgen.uk" TargetMode="External"/><Relationship Id="rId1057" Type="http://schemas.openxmlformats.org/officeDocument/2006/relationships/hyperlink" Target="https://www.decentriq.com/article/best-data-management-platforms" TargetMode="External"/><Relationship Id="rId221" Type="http://schemas.openxmlformats.org/officeDocument/2006/relationships/hyperlink" Target="https://buzzgen.uk/2026/03/04/top-10-geo-and-ai-ranking-agencies-in-the-uk-march-2026/" TargetMode="External"/><Relationship Id="rId1058" Type="http://schemas.openxmlformats.org/officeDocument/2006/relationships/hyperlink" Target="http://decentriq.com" TargetMode="External"/><Relationship Id="rId1048" Type="http://schemas.openxmlformats.org/officeDocument/2006/relationships/hyperlink" Target="https://corsactech.com/cloud-migration-service-providers" TargetMode="External"/><Relationship Id="rId1049" Type="http://schemas.openxmlformats.org/officeDocument/2006/relationships/hyperlink" Target="http://corsactech.com" TargetMode="External"/><Relationship Id="rId217" Type="http://schemas.openxmlformats.org/officeDocument/2006/relationships/hyperlink" Target="https://brandspeak.co.uk/blog/top-market-research-agencies-uk/" TargetMode="External"/><Relationship Id="rId216" Type="http://schemas.openxmlformats.org/officeDocument/2006/relationships/hyperlink" Target="http://webtonic.io" TargetMode="External"/><Relationship Id="rId215" Type="http://schemas.openxmlformats.org/officeDocument/2006/relationships/hyperlink" Target="https://www.webtonic.io/blog/best-creative-agencies-london" TargetMode="External"/><Relationship Id="rId699" Type="http://schemas.openxmlformats.org/officeDocument/2006/relationships/hyperlink" Target="https://themanifest.com/advertising/agencies/uk" TargetMode="External"/><Relationship Id="rId214" Type="http://schemas.openxmlformats.org/officeDocument/2006/relationships/hyperlink" Target="http://toasttv.co.uk" TargetMode="External"/><Relationship Id="rId698" Type="http://schemas.openxmlformats.org/officeDocument/2006/relationships/hyperlink" Target="http://thegrowthsyndicate.com" TargetMode="External"/><Relationship Id="rId219" Type="http://schemas.openxmlformats.org/officeDocument/2006/relationships/hyperlink" Target="https://www.buriedagency.com/post/top-geo-agencies-uk" TargetMode="External"/><Relationship Id="rId218" Type="http://schemas.openxmlformats.org/officeDocument/2006/relationships/hyperlink" Target="http://brandspeak.co.uk" TargetMode="External"/><Relationship Id="rId693" Type="http://schemas.openxmlformats.org/officeDocument/2006/relationships/hyperlink" Target="https://staging.polarisagency.com/marketing-insights/best-geo-services-uk/" TargetMode="External"/><Relationship Id="rId1040" Type="http://schemas.openxmlformats.org/officeDocument/2006/relationships/hyperlink" Target="https://www.consultancy.uk/rankings/top-consulting-firms-in-the-uk-by-area-of-expertise/marketing" TargetMode="External"/><Relationship Id="rId692" Type="http://schemas.openxmlformats.org/officeDocument/2006/relationships/hyperlink" Target="http://sortlist.co.uk" TargetMode="External"/><Relationship Id="rId1041" Type="http://schemas.openxmlformats.org/officeDocument/2006/relationships/hyperlink" Target="http://consultancy.uk" TargetMode="External"/><Relationship Id="rId691" Type="http://schemas.openxmlformats.org/officeDocument/2006/relationships/hyperlink" Target="https://www.sortlist.co.uk/s/data-driven-marketing/united-kingdom-gb" TargetMode="External"/><Relationship Id="rId1042" Type="http://schemas.openxmlformats.org/officeDocument/2006/relationships/hyperlink" Target="https://coolnerdsmarketing.com/top-creative-agencies-us/" TargetMode="External"/><Relationship Id="rId690" Type="http://schemas.openxmlformats.org/officeDocument/2006/relationships/hyperlink" Target="http://softblues.io" TargetMode="External"/><Relationship Id="rId1043" Type="http://schemas.openxmlformats.org/officeDocument/2006/relationships/hyperlink" Target="http://coolnerdsmarketing.com" TargetMode="External"/><Relationship Id="rId213" Type="http://schemas.openxmlformats.org/officeDocument/2006/relationships/hyperlink" Target="https://www.toasttv.co.uk/blog/working-with-the-best-in-house-creative-agencies" TargetMode="External"/><Relationship Id="rId697" Type="http://schemas.openxmlformats.org/officeDocument/2006/relationships/hyperlink" Target="https://www.thegrowthsyndicate.com/agencies/best-b2b-performance-marketing-agencies-europe" TargetMode="External"/><Relationship Id="rId1044" Type="http://schemas.openxmlformats.org/officeDocument/2006/relationships/hyperlink" Target="https://www.cornishwebservices.co.uk/articles/marketing/Top-10-Social-Media-Agencies-in-the-UK-in-2026.html" TargetMode="External"/><Relationship Id="rId212" Type="http://schemas.openxmlformats.org/officeDocument/2006/relationships/hyperlink" Target="http://sortlist.co.uk" TargetMode="External"/><Relationship Id="rId696" Type="http://schemas.openxmlformats.org/officeDocument/2006/relationships/hyperlink" Target="http://thegraygency.com" TargetMode="External"/><Relationship Id="rId1045" Type="http://schemas.openxmlformats.org/officeDocument/2006/relationships/hyperlink" Target="http://cornishwebservices.co.uk" TargetMode="External"/><Relationship Id="rId211" Type="http://schemas.openxmlformats.org/officeDocument/2006/relationships/hyperlink" Target="https://www.sortlist.co.uk/s/paid-media/united-kingdom-gb" TargetMode="External"/><Relationship Id="rId695" Type="http://schemas.openxmlformats.org/officeDocument/2006/relationships/hyperlink" Target="https://thegraygency.com/the-11-top-paid-social-agencies-for-social-media-growth/" TargetMode="External"/><Relationship Id="rId1046" Type="http://schemas.openxmlformats.org/officeDocument/2006/relationships/hyperlink" Target="https://www.cornishwebservices.co.uk/articles/marketing/Top-Digital-Marketing-Agencies-in-the-UK.html" TargetMode="External"/><Relationship Id="rId210" Type="http://schemas.openxmlformats.org/officeDocument/2006/relationships/hyperlink" Target="http://sortlist.co.uk" TargetMode="External"/><Relationship Id="rId694" Type="http://schemas.openxmlformats.org/officeDocument/2006/relationships/hyperlink" Target="http://polarisagency.com" TargetMode="External"/><Relationship Id="rId1047" Type="http://schemas.openxmlformats.org/officeDocument/2006/relationships/hyperlink" Target="http://cornishwebservices.co.uk" TargetMode="External"/><Relationship Id="rId249" Type="http://schemas.openxmlformats.org/officeDocument/2006/relationships/hyperlink" Target="http://alphaapexgroup.com" TargetMode="External"/><Relationship Id="rId248" Type="http://schemas.openxmlformats.org/officeDocument/2006/relationships/hyperlink" Target="https://www.alphaapexgroup.com/blog/top-ai-consulting-firms" TargetMode="External"/><Relationship Id="rId247" Type="http://schemas.openxmlformats.org/officeDocument/2006/relationships/hyperlink" Target="http://adbeacon.com" TargetMode="External"/><Relationship Id="rId1070" Type="http://schemas.openxmlformats.org/officeDocument/2006/relationships/hyperlink" Target="https://digitalagencynetwork.com/agencies/london/creative/" TargetMode="External"/><Relationship Id="rId1071" Type="http://schemas.openxmlformats.org/officeDocument/2006/relationships/hyperlink" Target="http://digitalagencynetwork.com" TargetMode="External"/><Relationship Id="rId1072" Type="http://schemas.openxmlformats.org/officeDocument/2006/relationships/hyperlink" Target="https://digitalagencynetwork.com/geo-agency/" TargetMode="External"/><Relationship Id="rId242" Type="http://schemas.openxmlformats.org/officeDocument/2006/relationships/hyperlink" Target="https://www.sortlist.co.uk/web-analytics/united-kingdom-gb" TargetMode="External"/><Relationship Id="rId1073" Type="http://schemas.openxmlformats.org/officeDocument/2006/relationships/hyperlink" Target="http://digitalagencynetwork.com" TargetMode="External"/><Relationship Id="rId241" Type="http://schemas.openxmlformats.org/officeDocument/2006/relationships/hyperlink" Target="http://sortlist.co.uk" TargetMode="External"/><Relationship Id="rId1074" Type="http://schemas.openxmlformats.org/officeDocument/2006/relationships/hyperlink" Target="https://www.digitallitmus.com/blog/best-linkedin-marketing-agencies-for-2024" TargetMode="External"/><Relationship Id="rId240" Type="http://schemas.openxmlformats.org/officeDocument/2006/relationships/hyperlink" Target="https://www.sortlist.co.uk/social-media/united-kingdom-gb" TargetMode="External"/><Relationship Id="rId1075" Type="http://schemas.openxmlformats.org/officeDocument/2006/relationships/hyperlink" Target="http://digitallitmus.com" TargetMode="External"/><Relationship Id="rId1076" Type="http://schemas.openxmlformats.org/officeDocument/2006/relationships/hyperlink" Target="https://digitalmarketingcompanyinlondon.com/top-8-display-advertising-agencies-in-london/" TargetMode="External"/><Relationship Id="rId246" Type="http://schemas.openxmlformats.org/officeDocument/2006/relationships/hyperlink" Target="https://www.adbeacon.com/7-best-marketing-attribution-tools-compared-2026/" TargetMode="External"/><Relationship Id="rId1077" Type="http://schemas.openxmlformats.org/officeDocument/2006/relationships/hyperlink" Target="http://digitalmarketingcompanyinlondon.com" TargetMode="External"/><Relationship Id="rId245" Type="http://schemas.openxmlformats.org/officeDocument/2006/relationships/hyperlink" Target="http://adbeacon.com" TargetMode="External"/><Relationship Id="rId1078" Type="http://schemas.openxmlformats.org/officeDocument/2006/relationships/hyperlink" Target="https://www.digitalreference.co/insights/engineering-professionals/best-ai-machine-learning-consulting-services-in-the-uk" TargetMode="External"/><Relationship Id="rId244" Type="http://schemas.openxmlformats.org/officeDocument/2006/relationships/hyperlink" Target="https://www.adbeacon.com/19-best-marketing-attribution-software-solutions-in-2026/" TargetMode="External"/><Relationship Id="rId1079" Type="http://schemas.openxmlformats.org/officeDocument/2006/relationships/hyperlink" Target="http://digitalreference.co" TargetMode="External"/><Relationship Id="rId243" Type="http://schemas.openxmlformats.org/officeDocument/2006/relationships/hyperlink" Target="http://sortlist.co.uk" TargetMode="External"/><Relationship Id="rId239" Type="http://schemas.openxmlformats.org/officeDocument/2006/relationships/hyperlink" Target="http://sortlist.co.uk" TargetMode="External"/><Relationship Id="rId238" Type="http://schemas.openxmlformats.org/officeDocument/2006/relationships/hyperlink" Target="https://www.sortlist.co.uk/s/display-advertising/london-england-gb" TargetMode="External"/><Relationship Id="rId237" Type="http://schemas.openxmlformats.org/officeDocument/2006/relationships/hyperlink" Target="http://sortlist.co.uk" TargetMode="External"/><Relationship Id="rId236" Type="http://schemas.openxmlformats.org/officeDocument/2006/relationships/hyperlink" Target="https://www.sortlist.co.uk/s/attribution-marketing/london-england-gb" TargetMode="External"/><Relationship Id="rId1060" Type="http://schemas.openxmlformats.org/officeDocument/2006/relationships/hyperlink" Target="https://www.delve.ai/blog/audience-insights-tools" TargetMode="External"/><Relationship Id="rId1061" Type="http://schemas.openxmlformats.org/officeDocument/2006/relationships/hyperlink" Target="http://delve.ai" TargetMode="External"/><Relationship Id="rId231" Type="http://schemas.openxmlformats.org/officeDocument/2006/relationships/hyperlink" Target="http://pushgroup.co.uk" TargetMode="External"/><Relationship Id="rId1062" Type="http://schemas.openxmlformats.org/officeDocument/2006/relationships/hyperlink" Target="https://www.designrush.com/agency/digital-marketing/analytics" TargetMode="External"/><Relationship Id="rId230" Type="http://schemas.openxmlformats.org/officeDocument/2006/relationships/hyperlink" Target="https://www.pushgroup.co.uk/blog/top-9-google-ads-agencies-in-the-uk" TargetMode="External"/><Relationship Id="rId1063" Type="http://schemas.openxmlformats.org/officeDocument/2006/relationships/hyperlink" Target="http://designrush.com" TargetMode="External"/><Relationship Id="rId1064" Type="http://schemas.openxmlformats.org/officeDocument/2006/relationships/hyperlink" Target="https://www.designrush.com/agency/digital-marketing/integrated-marketing" TargetMode="External"/><Relationship Id="rId1065" Type="http://schemas.openxmlformats.org/officeDocument/2006/relationships/hyperlink" Target="http://designrush.com" TargetMode="External"/><Relationship Id="rId235" Type="http://schemas.openxmlformats.org/officeDocument/2006/relationships/hyperlink" Target="http://seoworks.com" TargetMode="External"/><Relationship Id="rId1066" Type="http://schemas.openxmlformats.org/officeDocument/2006/relationships/hyperlink" Target="https://www.devopsschool.com/blog/top-10-brand-tracking-tools-features-pros-cons-comparison/" TargetMode="External"/><Relationship Id="rId234" Type="http://schemas.openxmlformats.org/officeDocument/2006/relationships/hyperlink" Target="https://www.seoworks.com/lists/20-best-geo-agencies-in-the-uk/" TargetMode="External"/><Relationship Id="rId1067" Type="http://schemas.openxmlformats.org/officeDocument/2006/relationships/hyperlink" Target="http://devopsschool.com" TargetMode="External"/><Relationship Id="rId233" Type="http://schemas.openxmlformats.org/officeDocument/2006/relationships/hyperlink" Target="http://segmentstream.com" TargetMode="External"/><Relationship Id="rId1068" Type="http://schemas.openxmlformats.org/officeDocument/2006/relationships/hyperlink" Target="https://devsdata.com/digital-analytics-agency-top-firms/" TargetMode="External"/><Relationship Id="rId232" Type="http://schemas.openxmlformats.org/officeDocument/2006/relationships/hyperlink" Target="https://segmentstream.com/blog/articles/best-attribution-tools" TargetMode="External"/><Relationship Id="rId1069" Type="http://schemas.openxmlformats.org/officeDocument/2006/relationships/hyperlink" Target="http://devsdata.com" TargetMode="External"/><Relationship Id="rId1015" Type="http://schemas.openxmlformats.org/officeDocument/2006/relationships/hyperlink" Target="http://clutch.co" TargetMode="External"/><Relationship Id="rId1499" Type="http://schemas.openxmlformats.org/officeDocument/2006/relationships/hyperlink" Target="https://www.wpp.com/en/news/2026/03/wpp-claims-top-spot-on-warc-creative-100-for-fourth-consecutive-year" TargetMode="External"/><Relationship Id="rId1016" Type="http://schemas.openxmlformats.org/officeDocument/2006/relationships/hyperlink" Target="https://clutch.co/developers/ecommerce" TargetMode="External"/><Relationship Id="rId1017" Type="http://schemas.openxmlformats.org/officeDocument/2006/relationships/hyperlink" Target="http://clutch.co" TargetMode="External"/><Relationship Id="rId1018" Type="http://schemas.openxmlformats.org/officeDocument/2006/relationships/hyperlink" Target="https://clutch.co/seo-firms/amazon/uk" TargetMode="External"/><Relationship Id="rId1019" Type="http://schemas.openxmlformats.org/officeDocument/2006/relationships/hyperlink" Target="http://clutch.co" TargetMode="External"/><Relationship Id="rId668" Type="http://schemas.openxmlformats.org/officeDocument/2006/relationships/hyperlink" Target="https://www.mida.so/cro-agency/service/a-b-testing" TargetMode="External"/><Relationship Id="rId667" Type="http://schemas.openxmlformats.org/officeDocument/2006/relationships/hyperlink" Target="http://marketingagencyindex.com" TargetMode="External"/><Relationship Id="rId666" Type="http://schemas.openxmlformats.org/officeDocument/2006/relationships/hyperlink" Target="https://www.marketingagencyindex.com/uk/services/programmatic" TargetMode="External"/><Relationship Id="rId665" Type="http://schemas.openxmlformats.org/officeDocument/2006/relationships/hyperlink" Target="http://jdrgroup.co.uk" TargetMode="External"/><Relationship Id="rId669" Type="http://schemas.openxmlformats.org/officeDocument/2006/relationships/hyperlink" Target="http://mida.so" TargetMode="External"/><Relationship Id="rId1490" Type="http://schemas.openxmlformats.org/officeDocument/2006/relationships/hyperlink" Target="http://whito.co.uk" TargetMode="External"/><Relationship Id="rId660" Type="http://schemas.openxmlformats.org/officeDocument/2006/relationships/hyperlink" Target="https://www.happyhourproductions.co.uk/insights/top-creative-agencies-2026" TargetMode="External"/><Relationship Id="rId1491" Type="http://schemas.openxmlformats.org/officeDocument/2006/relationships/hyperlink" Target="https://wifitalents.com/service/ai-adoption/" TargetMode="External"/><Relationship Id="rId1492" Type="http://schemas.openxmlformats.org/officeDocument/2006/relationships/hyperlink" Target="http://wifitalents.com" TargetMode="External"/><Relationship Id="rId1493" Type="http://schemas.openxmlformats.org/officeDocument/2006/relationships/hyperlink" Target="https://worldmetrics.org/service/ai-adoption/" TargetMode="External"/><Relationship Id="rId1010" Type="http://schemas.openxmlformats.org/officeDocument/2006/relationships/hyperlink" Target="https://clutch.co/agencies/programmatic/uk/england/manchester" TargetMode="External"/><Relationship Id="rId1494" Type="http://schemas.openxmlformats.org/officeDocument/2006/relationships/hyperlink" Target="http://worldmetrics.org" TargetMode="External"/><Relationship Id="rId664" Type="http://schemas.openxmlformats.org/officeDocument/2006/relationships/hyperlink" Target="https://www.jdrgroup.co.uk/blog/best-ppc-agency-uk" TargetMode="External"/><Relationship Id="rId1011" Type="http://schemas.openxmlformats.org/officeDocument/2006/relationships/hyperlink" Target="http://clutch.co" TargetMode="External"/><Relationship Id="rId1495" Type="http://schemas.openxmlformats.org/officeDocument/2006/relationships/hyperlink" Target="https://worldmetrics.org/service/data-marketing/" TargetMode="External"/><Relationship Id="rId663" Type="http://schemas.openxmlformats.org/officeDocument/2006/relationships/hyperlink" Target="http://indexly.ai" TargetMode="External"/><Relationship Id="rId1012" Type="http://schemas.openxmlformats.org/officeDocument/2006/relationships/hyperlink" Target="https://clutch.co/agencies/programmatic/uk?page=2" TargetMode="External"/><Relationship Id="rId1496" Type="http://schemas.openxmlformats.org/officeDocument/2006/relationships/hyperlink" Target="http://worldmetrics.org" TargetMode="External"/><Relationship Id="rId662" Type="http://schemas.openxmlformats.org/officeDocument/2006/relationships/hyperlink" Target="https://indexly.ai/blog/top-10-seo-agencies-in-london/" TargetMode="External"/><Relationship Id="rId1013" Type="http://schemas.openxmlformats.org/officeDocument/2006/relationships/hyperlink" Target="http://clutch.co" TargetMode="External"/><Relationship Id="rId1497" Type="http://schemas.openxmlformats.org/officeDocument/2006/relationships/hyperlink" Target="https://www.wpp.com/en/news/2025/03/wpp-claims-top-honours-on-the-warc-creative-100" TargetMode="External"/><Relationship Id="rId661" Type="http://schemas.openxmlformats.org/officeDocument/2006/relationships/hyperlink" Target="http://happyhourproductions.co.uk" TargetMode="External"/><Relationship Id="rId1014" Type="http://schemas.openxmlformats.org/officeDocument/2006/relationships/hyperlink" Target="https://clutch.co/agencies/social-media-marketing/tik-tok/uk" TargetMode="External"/><Relationship Id="rId1498" Type="http://schemas.openxmlformats.org/officeDocument/2006/relationships/hyperlink" Target="http://wpp.com" TargetMode="External"/><Relationship Id="rId1004" Type="http://schemas.openxmlformats.org/officeDocument/2006/relationships/hyperlink" Target="https://clutch.co/agencies/ppc/display%3Fpage%3D0" TargetMode="External"/><Relationship Id="rId1488" Type="http://schemas.openxmlformats.org/officeDocument/2006/relationships/hyperlink" Target="http://webtonic.io" TargetMode="External"/><Relationship Id="rId1005" Type="http://schemas.openxmlformats.org/officeDocument/2006/relationships/hyperlink" Target="http://clutch.co" TargetMode="External"/><Relationship Id="rId1489" Type="http://schemas.openxmlformats.org/officeDocument/2006/relationships/hyperlink" Target="https://whito.co.uk/build/best-uk-resources-ai-search-visibility-aeo/" TargetMode="External"/><Relationship Id="rId1006" Type="http://schemas.openxmlformats.org/officeDocument/2006/relationships/hyperlink" Target="https://clutch.co/agencies/ppc/uk/england/nottingham" TargetMode="External"/><Relationship Id="rId1007" Type="http://schemas.openxmlformats.org/officeDocument/2006/relationships/hyperlink" Target="http://clutch.co" TargetMode="External"/><Relationship Id="rId1008" Type="http://schemas.openxmlformats.org/officeDocument/2006/relationships/hyperlink" Target="https://clutch.co/agencies/programmatic/uk/england/london" TargetMode="External"/><Relationship Id="rId1009" Type="http://schemas.openxmlformats.org/officeDocument/2006/relationships/hyperlink" Target="http://clutch.co" TargetMode="External"/><Relationship Id="rId657" Type="http://schemas.openxmlformats.org/officeDocument/2006/relationships/hyperlink" Target="http://goodfirms.co" TargetMode="External"/><Relationship Id="rId656" Type="http://schemas.openxmlformats.org/officeDocument/2006/relationships/hyperlink" Target="https://www.goodfirms.co/directory/country/top-digital-marketing-companies/gb?sort_by=rating" TargetMode="External"/><Relationship Id="rId655" Type="http://schemas.openxmlformats.org/officeDocument/2006/relationships/hyperlink" Target="http://goodfirms.co" TargetMode="External"/><Relationship Id="rId654" Type="http://schemas.openxmlformats.org/officeDocument/2006/relationships/hyperlink" Target="https://www.goodfirms.co/advertising-companies/creative/uk?sort_by=rating" TargetMode="External"/><Relationship Id="rId659" Type="http://schemas.openxmlformats.org/officeDocument/2006/relationships/hyperlink" Target="http://growth-labs.co.uk" TargetMode="External"/><Relationship Id="rId658" Type="http://schemas.openxmlformats.org/officeDocument/2006/relationships/hyperlink" Target="https://growth-labs.co.uk/best-uk-digital-marketing-agencies-2026/" TargetMode="External"/><Relationship Id="rId1480" Type="http://schemas.openxmlformats.org/officeDocument/2006/relationships/hyperlink" Target="http://wearetenet.com" TargetMode="External"/><Relationship Id="rId1481" Type="http://schemas.openxmlformats.org/officeDocument/2006/relationships/hyperlink" Target="http://www.web-in-a-click.com/index-296.html" TargetMode="External"/><Relationship Id="rId1482" Type="http://schemas.openxmlformats.org/officeDocument/2006/relationships/hyperlink" Target="http://web-in-a-click.com" TargetMode="External"/><Relationship Id="rId1483" Type="http://schemas.openxmlformats.org/officeDocument/2006/relationships/hyperlink" Target="https://webdesignreviews.co.uk/news/best-web-design-agencies-london/" TargetMode="External"/><Relationship Id="rId653" Type="http://schemas.openxmlformats.org/officeDocument/2006/relationships/hyperlink" Target="http://cognitute.org" TargetMode="External"/><Relationship Id="rId1000" Type="http://schemas.openxmlformats.org/officeDocument/2006/relationships/hyperlink" Target="https://clutch.co/agencies/market-research/uk" TargetMode="External"/><Relationship Id="rId1484" Type="http://schemas.openxmlformats.org/officeDocument/2006/relationships/hyperlink" Target="http://webdesignreviews.co.uk" TargetMode="External"/><Relationship Id="rId652" Type="http://schemas.openxmlformats.org/officeDocument/2006/relationships/hyperlink" Target="https://www.cognitute.org/blogs/top-ai-strategy-consulting-firms-globally" TargetMode="External"/><Relationship Id="rId1001" Type="http://schemas.openxmlformats.org/officeDocument/2006/relationships/hyperlink" Target="http://clutch.co" TargetMode="External"/><Relationship Id="rId1485" Type="http://schemas.openxmlformats.org/officeDocument/2006/relationships/hyperlink" Target="https://www.webfx.com/blog/ai/best-geo-agencies/" TargetMode="External"/><Relationship Id="rId651" Type="http://schemas.openxmlformats.org/officeDocument/2006/relationships/hyperlink" Target="http://clutch.co" TargetMode="External"/><Relationship Id="rId1002" Type="http://schemas.openxmlformats.org/officeDocument/2006/relationships/hyperlink" Target="https://clutch.co/agencies/performance-marketing%3Fpage%3D0" TargetMode="External"/><Relationship Id="rId1486" Type="http://schemas.openxmlformats.org/officeDocument/2006/relationships/hyperlink" Target="http://webfx.com" TargetMode="External"/><Relationship Id="rId650" Type="http://schemas.openxmlformats.org/officeDocument/2006/relationships/hyperlink" Target="https://clutch.co/agencies/ppc/display/uk?page=2" TargetMode="External"/><Relationship Id="rId1003" Type="http://schemas.openxmlformats.org/officeDocument/2006/relationships/hyperlink" Target="http://clutch.co" TargetMode="External"/><Relationship Id="rId1487" Type="http://schemas.openxmlformats.org/officeDocument/2006/relationships/hyperlink" Target="https://www.webtonic.io/blog/top-creative-performance-agencies" TargetMode="External"/><Relationship Id="rId1037" Type="http://schemas.openxmlformats.org/officeDocument/2006/relationships/hyperlink" Target="http://cometly.com" TargetMode="External"/><Relationship Id="rId1038" Type="http://schemas.openxmlformats.org/officeDocument/2006/relationships/hyperlink" Target="https://companies.london/performance-marketing-companies/" TargetMode="External"/><Relationship Id="rId1039" Type="http://schemas.openxmlformats.org/officeDocument/2006/relationships/hyperlink" Target="https://www.consultancy.eu/news/7008/googles-top-emea-premier-partner-digital-marketing-consultancies" TargetMode="External"/><Relationship Id="rId206" Type="http://schemas.openxmlformats.org/officeDocument/2006/relationships/hyperlink" Target="http://polarisagency.com" TargetMode="External"/><Relationship Id="rId205" Type="http://schemas.openxmlformats.org/officeDocument/2006/relationships/hyperlink" Target="https://www.polarisagency.com/us/marketing-insights/best-geo-services-uk/" TargetMode="External"/><Relationship Id="rId689" Type="http://schemas.openxmlformats.org/officeDocument/2006/relationships/hyperlink" Target="https://softblues.io/blog/best-ai-consulting-companies-uk" TargetMode="External"/><Relationship Id="rId204" Type="http://schemas.openxmlformats.org/officeDocument/2006/relationships/hyperlink" Target="http://panovistamarketing.com" TargetMode="External"/><Relationship Id="rId688" Type="http://schemas.openxmlformats.org/officeDocument/2006/relationships/hyperlink" Target="http://smacient.com" TargetMode="External"/><Relationship Id="rId203" Type="http://schemas.openxmlformats.org/officeDocument/2006/relationships/hyperlink" Target="https://www.panovistamarketing.com/blog/best-ai-seo-agencies-uk" TargetMode="External"/><Relationship Id="rId687" Type="http://schemas.openxmlformats.org/officeDocument/2006/relationships/hyperlink" Target="https://smacient.com/top-ai-marketing-agencies-in-the-uk/" TargetMode="External"/><Relationship Id="rId209" Type="http://schemas.openxmlformats.org/officeDocument/2006/relationships/hyperlink" Target="https://www.sortlist.co.uk/s/creative/united-kingdom-gb" TargetMode="External"/><Relationship Id="rId208" Type="http://schemas.openxmlformats.org/officeDocument/2006/relationships/hyperlink" Target="http://ryesing.com" TargetMode="External"/><Relationship Id="rId207" Type="http://schemas.openxmlformats.org/officeDocument/2006/relationships/hyperlink" Target="https://www.ryesing.com/post/performance-marketing-agencies-uk" TargetMode="External"/><Relationship Id="rId682" Type="http://schemas.openxmlformats.org/officeDocument/2006/relationships/hyperlink" Target="http://rocketium.ai" TargetMode="External"/><Relationship Id="rId681" Type="http://schemas.openxmlformats.org/officeDocument/2006/relationships/hyperlink" Target="https://rocketium.ai/academy/all/ai-tools-scaling-creative-production" TargetMode="External"/><Relationship Id="rId1030" Type="http://schemas.openxmlformats.org/officeDocument/2006/relationships/hyperlink" Target="https://www.cometly.com/post/first-party-data-tracking-solutions" TargetMode="External"/><Relationship Id="rId680" Type="http://schemas.openxmlformats.org/officeDocument/2006/relationships/hyperlink" Target="http://rank4ai.co.uk" TargetMode="External"/><Relationship Id="rId1031" Type="http://schemas.openxmlformats.org/officeDocument/2006/relationships/hyperlink" Target="http://cometly.com" TargetMode="External"/><Relationship Id="rId1032" Type="http://schemas.openxmlformats.org/officeDocument/2006/relationships/hyperlink" Target="https://www.cometly.com/post/incrementality-testing-software" TargetMode="External"/><Relationship Id="rId202" Type="http://schemas.openxmlformats.org/officeDocument/2006/relationships/hyperlink" Target="http://lifesight.io" TargetMode="External"/><Relationship Id="rId686" Type="http://schemas.openxmlformats.org/officeDocument/2006/relationships/hyperlink" Target="http://seoworks.com" TargetMode="External"/><Relationship Id="rId1033" Type="http://schemas.openxmlformats.org/officeDocument/2006/relationships/hyperlink" Target="http://cometly.com" TargetMode="External"/><Relationship Id="rId201" Type="http://schemas.openxmlformats.org/officeDocument/2006/relationships/hyperlink" Target="https://lifesight.io/blog/best-incrementality-testing-tools/" TargetMode="External"/><Relationship Id="rId685" Type="http://schemas.openxmlformats.org/officeDocument/2006/relationships/hyperlink" Target="https://www.seoworks.com/lists/the-20-best-geo-agencies/" TargetMode="External"/><Relationship Id="rId1034" Type="http://schemas.openxmlformats.org/officeDocument/2006/relationships/hyperlink" Target="https://www.cometly.com/post/marketing-attribution-platforms-for-agencies" TargetMode="External"/><Relationship Id="rId200" Type="http://schemas.openxmlformats.org/officeDocument/2006/relationships/hyperlink" Target="https://inbeat.agency/blog/top-marketing-measurement-and-analytics-companies" TargetMode="External"/><Relationship Id="rId684" Type="http://schemas.openxmlformats.org/officeDocument/2006/relationships/hyperlink" Target="http://seocompare.co.uk" TargetMode="External"/><Relationship Id="rId1035" Type="http://schemas.openxmlformats.org/officeDocument/2006/relationships/hyperlink" Target="http://cometly.com" TargetMode="External"/><Relationship Id="rId683" Type="http://schemas.openxmlformats.org/officeDocument/2006/relationships/hyperlink" Target="https://seocompare.co.uk/ai-search-agencies-uk/" TargetMode="External"/><Relationship Id="rId1036" Type="http://schemas.openxmlformats.org/officeDocument/2006/relationships/hyperlink" Target="https://www.cometly.com/post/media-buying-optimization-tool" TargetMode="External"/><Relationship Id="rId1026" Type="http://schemas.openxmlformats.org/officeDocument/2006/relationships/hyperlink" Target="https://www.cometly.com/post/attribution-platforms-for-agencies" TargetMode="External"/><Relationship Id="rId1027" Type="http://schemas.openxmlformats.org/officeDocument/2006/relationships/hyperlink" Target="http://cometly.com" TargetMode="External"/><Relationship Id="rId1028" Type="http://schemas.openxmlformats.org/officeDocument/2006/relationships/hyperlink" Target="https://www.cometly.com/post/attribution-tools-for-digital-marketing-agencies" TargetMode="External"/><Relationship Id="rId1029" Type="http://schemas.openxmlformats.org/officeDocument/2006/relationships/hyperlink" Target="http://cometly.com" TargetMode="External"/><Relationship Id="rId679" Type="http://schemas.openxmlformats.org/officeDocument/2006/relationships/hyperlink" Target="https://www.rank4ai.co.uk/research/rankings/best-ai-search-agencies-uk/" TargetMode="External"/><Relationship Id="rId678" Type="http://schemas.openxmlformats.org/officeDocument/2006/relationships/hyperlink" Target="http://pearllemon.com" TargetMode="External"/><Relationship Id="rId677" Type="http://schemas.openxmlformats.org/officeDocument/2006/relationships/hyperlink" Target="https://pearllemon.com/top-performance-marketing-agencies-uk/" TargetMode="External"/><Relationship Id="rId676" Type="http://schemas.openxmlformats.org/officeDocument/2006/relationships/hyperlink" Target="http://oxdpr.com" TargetMode="External"/><Relationship Id="rId671" Type="http://schemas.openxmlformats.org/officeDocument/2006/relationships/hyperlink" Target="https://neuraladx.com/best-ai-search-optimisation-agency-saas-companies-uk/" TargetMode="External"/><Relationship Id="rId670" Type="http://schemas.openxmlformats.org/officeDocument/2006/relationships/hyperlink" Target="https://www.munro.agency/best-ai-seo-agencies-in-the-uk/" TargetMode="External"/><Relationship Id="rId1020" Type="http://schemas.openxmlformats.org/officeDocument/2006/relationships/hyperlink" Target="https://clutch.co/seo-firms/link-building" TargetMode="External"/><Relationship Id="rId1021" Type="http://schemas.openxmlformats.org/officeDocument/2006/relationships/hyperlink" Target="http://clutch.co" TargetMode="External"/><Relationship Id="rId675" Type="http://schemas.openxmlformats.org/officeDocument/2006/relationships/hyperlink" Target="https://oxdpr.com/creative-strategy-agencies/" TargetMode="External"/><Relationship Id="rId1022" Type="http://schemas.openxmlformats.org/officeDocument/2006/relationships/hyperlink" Target="https://www.cometly.com/post/agency-marketing-attribution-tools" TargetMode="External"/><Relationship Id="rId674" Type="http://schemas.openxmlformats.org/officeDocument/2006/relationships/hyperlink" Target="http://onelittleweb.com" TargetMode="External"/><Relationship Id="rId1023" Type="http://schemas.openxmlformats.org/officeDocument/2006/relationships/hyperlink" Target="http://cometly.com" TargetMode="External"/><Relationship Id="rId673" Type="http://schemas.openxmlformats.org/officeDocument/2006/relationships/hyperlink" Target="https://onelittleweb.com/top-agencies/top-performance-marketing-agencies/" TargetMode="External"/><Relationship Id="rId1024" Type="http://schemas.openxmlformats.org/officeDocument/2006/relationships/hyperlink" Target="https://www.cometly.com/post/ai-powered-ad-optimization-platform" TargetMode="External"/><Relationship Id="rId672" Type="http://schemas.openxmlformats.org/officeDocument/2006/relationships/hyperlink" Target="http://neuraladx.com" TargetMode="External"/><Relationship Id="rId1025" Type="http://schemas.openxmlformats.org/officeDocument/2006/relationships/hyperlink" Target="http://cometly.com" TargetMode="External"/><Relationship Id="rId190" Type="http://schemas.openxmlformats.org/officeDocument/2006/relationships/hyperlink" Target="https://www.okapiandco.co.uk/blog/best-geo-agencies-uk-2026" TargetMode="External"/><Relationship Id="rId194" Type="http://schemas.openxmlformats.org/officeDocument/2006/relationships/hyperlink" Target="https://www.munro.agency/top-performance-marketing-agencies/" TargetMode="External"/><Relationship Id="rId193" Type="http://schemas.openxmlformats.org/officeDocument/2006/relationships/hyperlink" Target="http://techbehemoths.com" TargetMode="External"/><Relationship Id="rId192" Type="http://schemas.openxmlformats.org/officeDocument/2006/relationships/hyperlink" Target="https://techbehemoths.com/companies/marketing-analytics/united-kingdom" TargetMode="External"/><Relationship Id="rId191" Type="http://schemas.openxmlformats.org/officeDocument/2006/relationships/hyperlink" Target="http://okapiandco.co.uk" TargetMode="External"/><Relationship Id="rId187" Type="http://schemas.openxmlformats.org/officeDocument/2006/relationships/hyperlink" Target="http://designrush.com" TargetMode="External"/><Relationship Id="rId186" Type="http://schemas.openxmlformats.org/officeDocument/2006/relationships/hyperlink" Target="https://www.designrush.com/agency/digital-marketing/uk" TargetMode="External"/><Relationship Id="rId185" Type="http://schemas.openxmlformats.org/officeDocument/2006/relationships/hyperlink" Target="http://clutch.co" TargetMode="External"/><Relationship Id="rId184" Type="http://schemas.openxmlformats.org/officeDocument/2006/relationships/hyperlink" Target="https://clutch.co/consulting/ai/uk" TargetMode="External"/><Relationship Id="rId189" Type="http://schemas.openxmlformats.org/officeDocument/2006/relationships/hyperlink" Target="http://leverdigital.co.uk" TargetMode="External"/><Relationship Id="rId188" Type="http://schemas.openxmlformats.org/officeDocument/2006/relationships/hyperlink" Target="https://www.leverdigital.co.uk/guides/top-10-google-ad-management-agencies-uk" TargetMode="External"/><Relationship Id="rId183" Type="http://schemas.openxmlformats.org/officeDocument/2006/relationships/hyperlink" Target="http://thatware.co" TargetMode="External"/><Relationship Id="rId182" Type="http://schemas.openxmlformats.org/officeDocument/2006/relationships/hyperlink" Target="https://thatware.co/top-10-geo-companies-in-uk/" TargetMode="External"/><Relationship Id="rId181" Type="http://schemas.openxmlformats.org/officeDocument/2006/relationships/hyperlink" Target="http://sortlist.co.uk" TargetMode="External"/><Relationship Id="rId180" Type="http://schemas.openxmlformats.org/officeDocument/2006/relationships/hyperlink" Target="https://www.sortlist.co.uk/s/performance-marketing/london-england-gb" TargetMode="External"/><Relationship Id="rId176" Type="http://schemas.openxmlformats.org/officeDocument/2006/relationships/hyperlink" Target="http://seocompare.co.uk" TargetMode="External"/><Relationship Id="rId175" Type="http://schemas.openxmlformats.org/officeDocument/2006/relationships/hyperlink" Target="https://seocompare.co.uk/best-geo-agencies-uk/" TargetMode="External"/><Relationship Id="rId174" Type="http://schemas.openxmlformats.org/officeDocument/2006/relationships/hyperlink" Target="https://inbeat.agency/blog/top-digital-marketing-agencies-in-the-uk" TargetMode="External"/><Relationship Id="rId173" Type="http://schemas.openxmlformats.org/officeDocument/2006/relationships/hyperlink" Target="http://bluearray.co.uk" TargetMode="External"/><Relationship Id="rId179" Type="http://schemas.openxmlformats.org/officeDocument/2006/relationships/hyperlink" Target="https://delivix.digital/marketing/ai-marketing-agencies-in-the-uk/" TargetMode="External"/><Relationship Id="rId178" Type="http://schemas.openxmlformats.org/officeDocument/2006/relationships/hyperlink" Target="http://sortlist.co.uk" TargetMode="External"/><Relationship Id="rId177" Type="http://schemas.openxmlformats.org/officeDocument/2006/relationships/hyperlink" Target="https://www.sortlist.co.uk/s/display-advertising/england-england-gb" TargetMode="External"/><Relationship Id="rId198" Type="http://schemas.openxmlformats.org/officeDocument/2006/relationships/hyperlink" Target="http://clutch.co" TargetMode="External"/><Relationship Id="rId197" Type="http://schemas.openxmlformats.org/officeDocument/2006/relationships/hyperlink" Target="https://clutch.co/agencies/ppc/uk" TargetMode="External"/><Relationship Id="rId196" Type="http://schemas.openxmlformats.org/officeDocument/2006/relationships/hyperlink" Target="http://thesocialshepherd.com" TargetMode="External"/><Relationship Id="rId195" Type="http://schemas.openxmlformats.org/officeDocument/2006/relationships/hyperlink" Target="https://thesocialshepherd.com/blog/top-digital-marketing-agencies-uk" TargetMode="External"/><Relationship Id="rId199" Type="http://schemas.openxmlformats.org/officeDocument/2006/relationships/hyperlink" Target="https://www.compare.agency/7-of-the-top-ppc-agencies-in-the-uk-for-2026" TargetMode="External"/><Relationship Id="rId150" Type="http://schemas.openxmlformats.org/officeDocument/2006/relationships/hyperlink" Target="https://clutch.co/agencies/ppc/uk/england" TargetMode="External"/><Relationship Id="rId149" Type="http://schemas.openxmlformats.org/officeDocument/2006/relationships/hyperlink" Target="http://blazonagency.com" TargetMode="External"/><Relationship Id="rId148" Type="http://schemas.openxmlformats.org/officeDocument/2006/relationships/hyperlink" Target="https://blazonagency.com/post/marketing-agency-uk" TargetMode="External"/><Relationship Id="rId1090" Type="http://schemas.openxmlformats.org/officeDocument/2006/relationships/hyperlink" Target="https://eakwire.com/top-8-ai-marketing-agencies-tools-strategies/" TargetMode="External"/><Relationship Id="rId1091" Type="http://schemas.openxmlformats.org/officeDocument/2006/relationships/hyperlink" Target="http://eakwire.com" TargetMode="External"/><Relationship Id="rId1092" Type="http://schemas.openxmlformats.org/officeDocument/2006/relationships/hyperlink" Target="https://www.ecomone.com/insights/ai-seo-agencies-uk/" TargetMode="External"/><Relationship Id="rId1093" Type="http://schemas.openxmlformats.org/officeDocument/2006/relationships/hyperlink" Target="http://ecomone.com" TargetMode="External"/><Relationship Id="rId1094" Type="http://schemas.openxmlformats.org/officeDocument/2006/relationships/hyperlink" Target="https://www.ecomone.com/insights/best-facebook-advertising-agencies-uk/" TargetMode="External"/><Relationship Id="rId143" Type="http://schemas.openxmlformats.org/officeDocument/2006/relationships/hyperlink" Target="http://wearetenet.com" TargetMode="External"/><Relationship Id="rId1095" Type="http://schemas.openxmlformats.org/officeDocument/2006/relationships/hyperlink" Target="http://ecomone.com" TargetMode="External"/><Relationship Id="rId142" Type="http://schemas.openxmlformats.org/officeDocument/2006/relationships/hyperlink" Target="https://www.wearetenet.com/blog/ai-seo-agencies-in-london" TargetMode="External"/><Relationship Id="rId1096" Type="http://schemas.openxmlformats.org/officeDocument/2006/relationships/hyperlink" Target="https://www.ecomone.com/insights/top-best-ppc-agencies-in-the-uk-2/" TargetMode="External"/><Relationship Id="rId141" Type="http://schemas.openxmlformats.org/officeDocument/2006/relationships/hyperlink" Target="http://vxtx.co.uk" TargetMode="External"/><Relationship Id="rId1097" Type="http://schemas.openxmlformats.org/officeDocument/2006/relationships/hyperlink" Target="http://ecomone.com" TargetMode="External"/><Relationship Id="rId140" Type="http://schemas.openxmlformats.org/officeDocument/2006/relationships/hyperlink" Target="https://www.vxtx.co.uk/blog/what-is-the-best-performance-marketing-agency-in-the-u-k" TargetMode="External"/><Relationship Id="rId1098" Type="http://schemas.openxmlformats.org/officeDocument/2006/relationships/hyperlink" Target="https://ecosystem.hubspot.com/marketplace/solutions/greece" TargetMode="External"/><Relationship Id="rId147" Type="http://schemas.openxmlformats.org/officeDocument/2006/relationships/hyperlink" Target="http://semrush.com" TargetMode="External"/><Relationship Id="rId1099" Type="http://schemas.openxmlformats.org/officeDocument/2006/relationships/hyperlink" Target="http://hubspot.com" TargetMode="External"/><Relationship Id="rId146" Type="http://schemas.openxmlformats.org/officeDocument/2006/relationships/hyperlink" Target="https://agencies.semrush.com/list/display-advertising/united-kingdom/enterprise-business/" TargetMode="External"/><Relationship Id="rId145" Type="http://schemas.openxmlformats.org/officeDocument/2006/relationships/hyperlink" Target="http://whitehat-seo.co.uk" TargetMode="External"/><Relationship Id="rId144" Type="http://schemas.openxmlformats.org/officeDocument/2006/relationships/hyperlink" Target="https://whitehat-seo.co.uk/blog/best-ppc-agencies-uk" TargetMode="External"/><Relationship Id="rId139" Type="http://schemas.openxmlformats.org/officeDocument/2006/relationships/hyperlink" Target="http://thatware.co" TargetMode="External"/><Relationship Id="rId138" Type="http://schemas.openxmlformats.org/officeDocument/2006/relationships/hyperlink" Target="https://thatware.co/best-aeo-companies-in-uk/" TargetMode="External"/><Relationship Id="rId137" Type="http://schemas.openxmlformats.org/officeDocument/2006/relationships/hyperlink" Target="http://propeller.co.uk" TargetMode="External"/><Relationship Id="rId1080" Type="http://schemas.openxmlformats.org/officeDocument/2006/relationships/hyperlink" Target="https://directiveconsulting.com/blog/17-leading-llm-agencies-powering-ai-innovation-for-modern-b2b-teams/" TargetMode="External"/><Relationship Id="rId1081" Type="http://schemas.openxmlformats.org/officeDocument/2006/relationships/hyperlink" Target="http://directiveconsulting.com" TargetMode="External"/><Relationship Id="rId1082" Type="http://schemas.openxmlformats.org/officeDocument/2006/relationships/hyperlink" Target="https://directiveconsulting.com/blog/25-best-advertising-agencies-built-for-media-momentum/" TargetMode="External"/><Relationship Id="rId1083" Type="http://schemas.openxmlformats.org/officeDocument/2006/relationships/hyperlink" Target="http://directiveconsulting.com" TargetMode="External"/><Relationship Id="rId132" Type="http://schemas.openxmlformats.org/officeDocument/2006/relationships/hyperlink" Target="http://rank4ai.co.uk" TargetMode="External"/><Relationship Id="rId1084" Type="http://schemas.openxmlformats.org/officeDocument/2006/relationships/hyperlink" Target="https://directiveconsulting.com/blog/25-best-paid-media-agencies-that-turn-ad-spend-into-revenue/" TargetMode="External"/><Relationship Id="rId131" Type="http://schemas.openxmlformats.org/officeDocument/2006/relationships/hyperlink" Target="https://www.rank4ai.co.uk/research/rankings/top-geo-agencies-uk-2026/" TargetMode="External"/><Relationship Id="rId1085" Type="http://schemas.openxmlformats.org/officeDocument/2006/relationships/hyperlink" Target="http://directiveconsulting.com" TargetMode="External"/><Relationship Id="rId130" Type="http://schemas.openxmlformats.org/officeDocument/2006/relationships/hyperlink" Target="https://passion.digital/blog/the-best-generative-engine-optimisation-agencies-in-the-uk-2026/" TargetMode="External"/><Relationship Id="rId1086" Type="http://schemas.openxmlformats.org/officeDocument/2006/relationships/hyperlink" Target="https://directiveconsulting.com/uk/blog/top-25-b2b-enterprise-marketing-agencies/" TargetMode="External"/><Relationship Id="rId1087" Type="http://schemas.openxmlformats.org/officeDocument/2006/relationships/hyperlink" Target="http://directiveconsulting.com" TargetMode="External"/><Relationship Id="rId136" Type="http://schemas.openxmlformats.org/officeDocument/2006/relationships/hyperlink" Target="https://www.propeller.co.uk/insights/top-digital-marketing-agencies-uk-2025" TargetMode="External"/><Relationship Id="rId1088" Type="http://schemas.openxmlformats.org/officeDocument/2006/relationships/hyperlink" Target="https://disruptiveadvertising.com/blog/business/top-us-digital-marketing-agencies/" TargetMode="External"/><Relationship Id="rId135" Type="http://schemas.openxmlformats.org/officeDocument/2006/relationships/hyperlink" Target="https://pinpoint-media.global/insights/top-5-uk-paid-social-agencies-2026" TargetMode="External"/><Relationship Id="rId1089" Type="http://schemas.openxmlformats.org/officeDocument/2006/relationships/hyperlink" Target="http://disruptiveadvertising.com" TargetMode="External"/><Relationship Id="rId134" Type="http://schemas.openxmlformats.org/officeDocument/2006/relationships/hyperlink" Target="http://askattest.com" TargetMode="External"/><Relationship Id="rId133" Type="http://schemas.openxmlformats.org/officeDocument/2006/relationships/hyperlink" Target="https://www.askattest.com/blog/articles/market-research-companies-uk" TargetMode="External"/><Relationship Id="rId172" Type="http://schemas.openxmlformats.org/officeDocument/2006/relationships/hyperlink" Target="https://www.bluearray.co.uk/agency-directory/best-generative-engine-optimisation-geo-agencies-in-the-uk/" TargetMode="External"/><Relationship Id="rId171" Type="http://schemas.openxmlformats.org/officeDocument/2006/relationships/hyperlink" Target="http://51d.co" TargetMode="External"/><Relationship Id="rId170" Type="http://schemas.openxmlformats.org/officeDocument/2006/relationships/hyperlink" Target="https://www.51d.co/top-10-ai-strategy-consultants-in-london-for-2026-a-comprehensive-guide/" TargetMode="External"/><Relationship Id="rId165" Type="http://schemas.openxmlformats.org/officeDocument/2006/relationships/hyperlink" Target="http://sellforte.com" TargetMode="External"/><Relationship Id="rId164" Type="http://schemas.openxmlformats.org/officeDocument/2006/relationships/hyperlink" Target="https://sellforte.com/blog/best-incrementality-testing-tools" TargetMode="External"/><Relationship Id="rId163" Type="http://schemas.openxmlformats.org/officeDocument/2006/relationships/hyperlink" Target="http://goodfirms.co" TargetMode="External"/><Relationship Id="rId162" Type="http://schemas.openxmlformats.org/officeDocument/2006/relationships/hyperlink" Target="https://www.goodfirms.co/directory/country/top-digital-marketing-companies/gb" TargetMode="External"/><Relationship Id="rId169" Type="http://schemas.openxmlformats.org/officeDocument/2006/relationships/hyperlink" Target="http://superhub.biz" TargetMode="External"/><Relationship Id="rId168" Type="http://schemas.openxmlformats.org/officeDocument/2006/relationships/hyperlink" Target="https://www.superhub.biz/top-19-social-media-marketing-agencies-uk-2026" TargetMode="External"/><Relationship Id="rId167" Type="http://schemas.openxmlformats.org/officeDocument/2006/relationships/hyperlink" Target="http://slashdot.org" TargetMode="External"/><Relationship Id="rId166" Type="http://schemas.openxmlformats.org/officeDocument/2006/relationships/hyperlink" Target="https://slashdot.org/software/incrementality-testing/in-uk/" TargetMode="External"/><Relationship Id="rId161" Type="http://schemas.openxmlformats.org/officeDocument/2006/relationships/hyperlink" Target="http://clutch.co" TargetMode="External"/><Relationship Id="rId160" Type="http://schemas.openxmlformats.org/officeDocument/2006/relationships/hyperlink" Target="https://clutch.co/agencies/social-media-marketing/uk" TargetMode="External"/><Relationship Id="rId159" Type="http://schemas.openxmlformats.org/officeDocument/2006/relationships/hyperlink" Target="http://clutch.co" TargetMode="External"/><Relationship Id="rId154" Type="http://schemas.openxmlformats.org/officeDocument/2006/relationships/hyperlink" Target="https://sbc-performance.com/blog/best-paid-social-media-agencies-uk/" TargetMode="External"/><Relationship Id="rId153" Type="http://schemas.openxmlformats.org/officeDocument/2006/relationships/hyperlink" Target="http://digitalagencynetwork.com" TargetMode="External"/><Relationship Id="rId152" Type="http://schemas.openxmlformats.org/officeDocument/2006/relationships/hyperlink" Target="https://digitalagencynetwork.com/agencies/uk/geo/" TargetMode="External"/><Relationship Id="rId151" Type="http://schemas.openxmlformats.org/officeDocument/2006/relationships/hyperlink" Target="http://clutch.co" TargetMode="External"/><Relationship Id="rId158" Type="http://schemas.openxmlformats.org/officeDocument/2006/relationships/hyperlink" Target="https://clutch.co/agencies/ppc/display/uk" TargetMode="External"/><Relationship Id="rId157" Type="http://schemas.openxmlformats.org/officeDocument/2006/relationships/hyperlink" Target="http://sortlist.co.uk" TargetMode="External"/><Relationship Id="rId156" Type="http://schemas.openxmlformats.org/officeDocument/2006/relationships/hyperlink" Target="https://www.sortlist.co.uk/s/performance-marketing/united-kingdom-gb" TargetMode="External"/><Relationship Id="rId155" Type="http://schemas.openxmlformats.org/officeDocument/2006/relationships/hyperlink" Target="http://sbc-performance.com" TargetMode="External"/><Relationship Id="rId1510" Type="http://schemas.openxmlformats.org/officeDocument/2006/relationships/hyperlink" Target="http://youtube.com" TargetMode="External"/><Relationship Id="rId1511" Type="http://schemas.openxmlformats.org/officeDocument/2006/relationships/hyperlink" Target="https://zipdo.co/service/creative-advertising/" TargetMode="External"/><Relationship Id="rId1512" Type="http://schemas.openxmlformats.org/officeDocument/2006/relationships/hyperlink" Target="http://zipdo.co" TargetMode="External"/><Relationship Id="rId1513" Type="http://schemas.openxmlformats.org/officeDocument/2006/relationships/hyperlink" Target="https://zipdo.co/service/customer-data-platform/" TargetMode="External"/><Relationship Id="rId1514" Type="http://schemas.openxmlformats.org/officeDocument/2006/relationships/hyperlink" Target="http://zipdo.co" TargetMode="External"/><Relationship Id="rId1515" Type="http://schemas.openxmlformats.org/officeDocument/2006/relationships/hyperlink" Target="https://zipdo.co/service/first-party-data/" TargetMode="External"/><Relationship Id="rId1516" Type="http://schemas.openxmlformats.org/officeDocument/2006/relationships/hyperlink" Target="http://zipdo.co" TargetMode="External"/><Relationship Id="rId1517" Type="http://schemas.openxmlformats.org/officeDocument/2006/relationships/hyperlink" Target="https://zyppy.com/companies/c/generative-ai-seo/united-kingdom/london/" TargetMode="External"/><Relationship Id="rId1518" Type="http://schemas.openxmlformats.org/officeDocument/2006/relationships/hyperlink" Target="http://zyppy.com" TargetMode="External"/><Relationship Id="rId1519" Type="http://schemas.openxmlformats.org/officeDocument/2006/relationships/drawing" Target="../drawings/drawing3.xml"/><Relationship Id="rId1500" Type="http://schemas.openxmlformats.org/officeDocument/2006/relationships/hyperlink" Target="http://wpp.com" TargetMode="External"/><Relationship Id="rId1501" Type="http://schemas.openxmlformats.org/officeDocument/2006/relationships/hyperlink" Target="https://xchange.avixa.org/posts/top-hire-ecommerce-developers-in-uk-2026" TargetMode="External"/><Relationship Id="rId1502" Type="http://schemas.openxmlformats.org/officeDocument/2006/relationships/hyperlink" Target="http://avixa.org" TargetMode="External"/><Relationship Id="rId1503" Type="http://schemas.openxmlformats.org/officeDocument/2006/relationships/hyperlink" Target="https://www.yesoptimist.com/best-geo-agencies/" TargetMode="External"/><Relationship Id="rId1504" Type="http://schemas.openxmlformats.org/officeDocument/2006/relationships/hyperlink" Target="http://yesoptimist.com" TargetMode="External"/><Relationship Id="rId1505" Type="http://schemas.openxmlformats.org/officeDocument/2006/relationships/hyperlink" Target="https://www.youtube.com/watch?v=OR58Odpst7Q" TargetMode="External"/><Relationship Id="rId1506" Type="http://schemas.openxmlformats.org/officeDocument/2006/relationships/hyperlink" Target="http://youtube.com" TargetMode="External"/><Relationship Id="rId1507" Type="http://schemas.openxmlformats.org/officeDocument/2006/relationships/hyperlink" Target="https://www.youtube.com/watch?v=XGLA7lE-TLo" TargetMode="External"/><Relationship Id="rId1508" Type="http://schemas.openxmlformats.org/officeDocument/2006/relationships/hyperlink" Target="http://youtube.com" TargetMode="External"/><Relationship Id="rId1509" Type="http://schemas.openxmlformats.org/officeDocument/2006/relationships/hyperlink" Target="https://www.youtube.com/watch?v=wfXrhCjh9mA" TargetMode="External"/><Relationship Id="rId509" Type="http://schemas.openxmlformats.org/officeDocument/2006/relationships/hyperlink" Target="http://lengreo.com" TargetMode="External"/><Relationship Id="rId508" Type="http://schemas.openxmlformats.org/officeDocument/2006/relationships/hyperlink" Target="https://lengreo.com/performance-marketing-agencies-in-the-uk/" TargetMode="External"/><Relationship Id="rId503" Type="http://schemas.openxmlformats.org/officeDocument/2006/relationships/hyperlink" Target="https://www.elevateai.co.uk/blog/ai-automation-agencies-uk-2026" TargetMode="External"/><Relationship Id="rId987" Type="http://schemas.openxmlformats.org/officeDocument/2006/relationships/hyperlink" Target="http://clicksgeek.com" TargetMode="External"/><Relationship Id="rId502" Type="http://schemas.openxmlformats.org/officeDocument/2006/relationships/hyperlink" Target="http://copilot-experts.com" TargetMode="External"/><Relationship Id="rId986" Type="http://schemas.openxmlformats.org/officeDocument/2006/relationships/hyperlink" Target="https://clicksgeek.com/best-roi-marketing-agencies/" TargetMode="External"/><Relationship Id="rId501" Type="http://schemas.openxmlformats.org/officeDocument/2006/relationships/hyperlink" Target="https://copilot-experts.com/top-ai-consulting-firm/" TargetMode="External"/><Relationship Id="rId985" Type="http://schemas.openxmlformats.org/officeDocument/2006/relationships/hyperlink" Target="http://clicksgeek.com" TargetMode="External"/><Relationship Id="rId500" Type="http://schemas.openxmlformats.org/officeDocument/2006/relationships/hyperlink" Target="http://clutch.co" TargetMode="External"/><Relationship Id="rId984" Type="http://schemas.openxmlformats.org/officeDocument/2006/relationships/hyperlink" Target="https://clicksgeek.com/best-roi-focused-marketing-agency/" TargetMode="External"/><Relationship Id="rId507" Type="http://schemas.openxmlformats.org/officeDocument/2006/relationships/hyperlink" Target="https://inbeat.agency/blog/top-go-to-market-agencies-uk" TargetMode="External"/><Relationship Id="rId506" Type="http://schemas.openxmlformats.org/officeDocument/2006/relationships/hyperlink" Target="http://gulftagline.ae" TargetMode="External"/><Relationship Id="rId505" Type="http://schemas.openxmlformats.org/officeDocument/2006/relationships/hyperlink" Target="https://gulftagline.ae/2025/03/06/the-5-best-advertising-and-marketing-agencies-in-the-uk/" TargetMode="External"/><Relationship Id="rId989" Type="http://schemas.openxmlformats.org/officeDocument/2006/relationships/hyperlink" Target="http://clickslice.co.uk" TargetMode="External"/><Relationship Id="rId504" Type="http://schemas.openxmlformats.org/officeDocument/2006/relationships/hyperlink" Target="http://elevateai.co.uk" TargetMode="External"/><Relationship Id="rId988" Type="http://schemas.openxmlformats.org/officeDocument/2006/relationships/hyperlink" Target="https://www.clickslice.co.uk/best-ecommerce-seo-agencies-uk/" TargetMode="External"/><Relationship Id="rId983" Type="http://schemas.openxmlformats.org/officeDocument/2006/relationships/hyperlink" Target="http://clicksgeek.com" TargetMode="External"/><Relationship Id="rId982" Type="http://schemas.openxmlformats.org/officeDocument/2006/relationships/hyperlink" Target="https://clicksgeek.com/best-roi-focused-marketing-agencies/" TargetMode="External"/><Relationship Id="rId981" Type="http://schemas.openxmlformats.org/officeDocument/2006/relationships/hyperlink" Target="http://clicksgeek.com" TargetMode="External"/><Relationship Id="rId980" Type="http://schemas.openxmlformats.org/officeDocument/2006/relationships/hyperlink" Target="https://clicksgeek.com/best-roi-digital-marketing-agencies/" TargetMode="External"/><Relationship Id="rId976" Type="http://schemas.openxmlformats.org/officeDocument/2006/relationships/hyperlink" Target="https://clicksgeek.com/best-marketing-agency-for-roi/" TargetMode="External"/><Relationship Id="rId975" Type="http://schemas.openxmlformats.org/officeDocument/2006/relationships/hyperlink" Target="http://clickintelligence.co.uk" TargetMode="External"/><Relationship Id="rId974" Type="http://schemas.openxmlformats.org/officeDocument/2006/relationships/hyperlink" Target="https://www.clickintelligence.co.uk/guides/agency-lists/seo/best-geo-seo-agencies/" TargetMode="External"/><Relationship Id="rId973" Type="http://schemas.openxmlformats.org/officeDocument/2006/relationships/hyperlink" Target="http://ceek.co.uk" TargetMode="External"/><Relationship Id="rId979" Type="http://schemas.openxmlformats.org/officeDocument/2006/relationships/hyperlink" Target="http://clicksgeek.com" TargetMode="External"/><Relationship Id="rId978" Type="http://schemas.openxmlformats.org/officeDocument/2006/relationships/hyperlink" Target="https://clicksgeek.com/best-paid-advertising-platforms-for-small-business/" TargetMode="External"/><Relationship Id="rId977" Type="http://schemas.openxmlformats.org/officeDocument/2006/relationships/hyperlink" Target="http://clicksgeek.com" TargetMode="External"/><Relationship Id="rId972" Type="http://schemas.openxmlformats.org/officeDocument/2006/relationships/hyperlink" Target="https://ceek.co.uk/" TargetMode="External"/><Relationship Id="rId971" Type="http://schemas.openxmlformats.org/officeDocument/2006/relationships/hyperlink" Target="http://cdp.com" TargetMode="External"/><Relationship Id="rId970" Type="http://schemas.openxmlformats.org/officeDocument/2006/relationships/hyperlink" Target="https://cdp.com/glossary/data-management-platform-dmp-vendors/" TargetMode="External"/><Relationship Id="rId1114" Type="http://schemas.openxmlformats.org/officeDocument/2006/relationships/hyperlink" Target="https://www.fibbler.co/blog/b2b-marketing-attribution-software" TargetMode="External"/><Relationship Id="rId1115" Type="http://schemas.openxmlformats.org/officeDocument/2006/relationships/hyperlink" Target="http://fibbler.co" TargetMode="External"/><Relationship Id="rId1116" Type="http://schemas.openxmlformats.org/officeDocument/2006/relationships/hyperlink" Target="https://fibr.ai/geo/best-generative-engine-optimization-brands-for-ai" TargetMode="External"/><Relationship Id="rId1117" Type="http://schemas.openxmlformats.org/officeDocument/2006/relationships/hyperlink" Target="http://fibr.ai" TargetMode="External"/><Relationship Id="rId1118" Type="http://schemas.openxmlformats.org/officeDocument/2006/relationships/hyperlink" Target="https://www.fieldtrip.agency/post/best-creative-agencies-for-global-brands" TargetMode="External"/><Relationship Id="rId1119" Type="http://schemas.openxmlformats.org/officeDocument/2006/relationships/hyperlink" Target="https://firstmotion.com/insights/best-geo-agencies-in-london-10-top-partners-for-ai-search-in-2026" TargetMode="External"/><Relationship Id="rId525" Type="http://schemas.openxmlformats.org/officeDocument/2006/relationships/hyperlink" Target="https://startups.co.uk/marketing/best-social-media-marketing-agencies-uk/" TargetMode="External"/><Relationship Id="rId524" Type="http://schemas.openxmlformats.org/officeDocument/2006/relationships/hyperlink" Target="http://sortlist.com" TargetMode="External"/><Relationship Id="rId523" Type="http://schemas.openxmlformats.org/officeDocument/2006/relationships/hyperlink" Target="https://www.sortlist.com/display-advertising" TargetMode="External"/><Relationship Id="rId522" Type="http://schemas.openxmlformats.org/officeDocument/2006/relationships/hyperlink" Target="http://sortlist.co.uk" TargetMode="External"/><Relationship Id="rId529" Type="http://schemas.openxmlformats.org/officeDocument/2006/relationships/hyperlink" Target="https://bestwebdevelopers.co.uk/display-advertising/" TargetMode="External"/><Relationship Id="rId528" Type="http://schemas.openxmlformats.org/officeDocument/2006/relationships/hyperlink" Target="http://zipdo.co" TargetMode="External"/><Relationship Id="rId527" Type="http://schemas.openxmlformats.org/officeDocument/2006/relationships/hyperlink" Target="https://zipdo.co/service/attribution/" TargetMode="External"/><Relationship Id="rId526" Type="http://schemas.openxmlformats.org/officeDocument/2006/relationships/hyperlink" Target="http://startups.co.uk" TargetMode="External"/><Relationship Id="rId521" Type="http://schemas.openxmlformats.org/officeDocument/2006/relationships/hyperlink" Target="https://www.sortlist.co.uk/s/paid-media/england-england-gb" TargetMode="External"/><Relationship Id="rId1110" Type="http://schemas.openxmlformats.org/officeDocument/2006/relationships/hyperlink" Target="https://www.f6s.com/software/category/first-party-data-activation" TargetMode="External"/><Relationship Id="rId520" Type="http://schemas.openxmlformats.org/officeDocument/2006/relationships/hyperlink" Target="http://sortlist.co.uk" TargetMode="External"/><Relationship Id="rId1111" Type="http://schemas.openxmlformats.org/officeDocument/2006/relationships/hyperlink" Target="http://f6s.com" TargetMode="External"/><Relationship Id="rId1112" Type="http://schemas.openxmlformats.org/officeDocument/2006/relationships/hyperlink" Target="https://factoryjet.com/blog/best-seo-agencies-uk" TargetMode="External"/><Relationship Id="rId1113" Type="http://schemas.openxmlformats.org/officeDocument/2006/relationships/hyperlink" Target="http://factoryjet.com" TargetMode="External"/><Relationship Id="rId1103" Type="http://schemas.openxmlformats.org/officeDocument/2006/relationships/hyperlink" Target="http://ensun.io" TargetMode="External"/><Relationship Id="rId1104" Type="http://schemas.openxmlformats.org/officeDocument/2006/relationships/hyperlink" Target="https://ensun.io/search/geospatial-gis/united-kingdom" TargetMode="External"/><Relationship Id="rId1105" Type="http://schemas.openxmlformats.org/officeDocument/2006/relationships/hyperlink" Target="http://ensun.io" TargetMode="External"/><Relationship Id="rId1106" Type="http://schemas.openxmlformats.org/officeDocument/2006/relationships/hyperlink" Target="https://www.enzuzo.com/blog/best-performance-marketing-agencies" TargetMode="External"/><Relationship Id="rId1107" Type="http://schemas.openxmlformats.org/officeDocument/2006/relationships/hyperlink" Target="http://enzuzo.com" TargetMode="External"/><Relationship Id="rId1108" Type="http://schemas.openxmlformats.org/officeDocument/2006/relationships/hyperlink" Target="https://exposureninja.com/blog/best-ai-search-optimisation-agencies/" TargetMode="External"/><Relationship Id="rId1109" Type="http://schemas.openxmlformats.org/officeDocument/2006/relationships/hyperlink" Target="http://exposureninja.com" TargetMode="External"/><Relationship Id="rId519" Type="http://schemas.openxmlformats.org/officeDocument/2006/relationships/hyperlink" Target="https://www.sortlist.co.uk/s/ai-marketing/greater-london-england-gb" TargetMode="External"/><Relationship Id="rId514" Type="http://schemas.openxmlformats.org/officeDocument/2006/relationships/hyperlink" Target="http://rank4ai.co.uk" TargetMode="External"/><Relationship Id="rId998" Type="http://schemas.openxmlformats.org/officeDocument/2006/relationships/hyperlink" Target="https://clutch.co/agencies/digital-marketing/enterprise/uk/england/london" TargetMode="External"/><Relationship Id="rId513" Type="http://schemas.openxmlformats.org/officeDocument/2006/relationships/hyperlink" Target="https://www.rank4ai.co.uk/research/rankings/best-ai-search-visibility-agencies/" TargetMode="External"/><Relationship Id="rId997" Type="http://schemas.openxmlformats.org/officeDocument/2006/relationships/hyperlink" Target="http://clutch.co" TargetMode="External"/><Relationship Id="rId512" Type="http://schemas.openxmlformats.org/officeDocument/2006/relationships/hyperlink" Target="https://pinpoint-media.global/insights/top-5-performance-growth-agencies-in-the-uk-2026" TargetMode="External"/><Relationship Id="rId996" Type="http://schemas.openxmlformats.org/officeDocument/2006/relationships/hyperlink" Target="https://clutch.co/agencies/digital-marketing" TargetMode="External"/><Relationship Id="rId511" Type="http://schemas.openxmlformats.org/officeDocument/2006/relationships/hyperlink" Target="http://levelupleads.co.uk" TargetMode="External"/><Relationship Id="rId995" Type="http://schemas.openxmlformats.org/officeDocument/2006/relationships/hyperlink" Target="http://clutch.co" TargetMode="External"/><Relationship Id="rId518" Type="http://schemas.openxmlformats.org/officeDocument/2006/relationships/hyperlink" Target="http://snowballcreations.com" TargetMode="External"/><Relationship Id="rId517" Type="http://schemas.openxmlformats.org/officeDocument/2006/relationships/hyperlink" Target="https://snowballcreations.com/the-11-top-google-ads-agencies-in-the-uk-2026/" TargetMode="External"/><Relationship Id="rId516" Type="http://schemas.openxmlformats.org/officeDocument/2006/relationships/hyperlink" Target="http://reddit.com" TargetMode="External"/><Relationship Id="rId515" Type="http://schemas.openxmlformats.org/officeDocument/2006/relationships/hyperlink" Target="https://www.reddit.com/r/PPC/comments/15afa5c/best_agencies_for_paid_media_ld_uk/" TargetMode="External"/><Relationship Id="rId999" Type="http://schemas.openxmlformats.org/officeDocument/2006/relationships/hyperlink" Target="http://clutch.co" TargetMode="External"/><Relationship Id="rId990" Type="http://schemas.openxmlformats.org/officeDocument/2006/relationships/hyperlink" Target="https://clickstrike.com/blog/ai-marketing-agencies/" TargetMode="External"/><Relationship Id="rId510" Type="http://schemas.openxmlformats.org/officeDocument/2006/relationships/hyperlink" Target="https://levelupleads.co.uk/best-ai-seo-agency-uk/" TargetMode="External"/><Relationship Id="rId994" Type="http://schemas.openxmlformats.org/officeDocument/2006/relationships/hyperlink" Target="https://clutch.co/agencies/conversion-optimization/uk" TargetMode="External"/><Relationship Id="rId993" Type="http://schemas.openxmlformats.org/officeDocument/2006/relationships/hyperlink" Target="http://clutch.co" TargetMode="External"/><Relationship Id="rId1100" Type="http://schemas.openxmlformats.org/officeDocument/2006/relationships/hyperlink" Target="https://ensun.io/search/ai-consulting/united-kingdom" TargetMode="External"/><Relationship Id="rId992" Type="http://schemas.openxmlformats.org/officeDocument/2006/relationships/hyperlink" Target="https://clutch.co/agencies/account-based-marketing/uk" TargetMode="External"/><Relationship Id="rId1101" Type="http://schemas.openxmlformats.org/officeDocument/2006/relationships/hyperlink" Target="http://ensun.io" TargetMode="External"/><Relationship Id="rId991" Type="http://schemas.openxmlformats.org/officeDocument/2006/relationships/hyperlink" Target="http://clickstrike.com" TargetMode="External"/><Relationship Id="rId1102" Type="http://schemas.openxmlformats.org/officeDocument/2006/relationships/hyperlink" Target="https://ensun.io/search/geospatial-data/united-kingdom" TargetMode="External"/><Relationship Id="rId949" Type="http://schemas.openxmlformats.org/officeDocument/2006/relationships/hyperlink" Target="http://bluearray.co.uk" TargetMode="External"/><Relationship Id="rId948" Type="http://schemas.openxmlformats.org/officeDocument/2006/relationships/hyperlink" Target="https://www.bluearray.co.uk/agency-directory/best-influencer-agencies-in-the-uk/" TargetMode="External"/><Relationship Id="rId943" Type="http://schemas.openxmlformats.org/officeDocument/2006/relationships/hyperlink" Target="http://best-ai-readiness-assessments.com" TargetMode="External"/><Relationship Id="rId942" Type="http://schemas.openxmlformats.org/officeDocument/2006/relationships/hyperlink" Target="https://best-ai-readiness-assessments.com/" TargetMode="External"/><Relationship Id="rId941" Type="http://schemas.openxmlformats.org/officeDocument/2006/relationships/hyperlink" Target="http://beomniscient.com" TargetMode="External"/><Relationship Id="rId940" Type="http://schemas.openxmlformats.org/officeDocument/2006/relationships/hyperlink" Target="https://beomniscient.com/blog/marketing-agencies/" TargetMode="External"/><Relationship Id="rId947" Type="http://schemas.openxmlformats.org/officeDocument/2006/relationships/hyperlink" Target="http://blendb2b.com" TargetMode="External"/><Relationship Id="rId946" Type="http://schemas.openxmlformats.org/officeDocument/2006/relationships/hyperlink" Target="https://www.blendb2b.com/resources/best-aeo-agencies-for-b2b-companies" TargetMode="External"/><Relationship Id="rId945" Type="http://schemas.openxmlformats.org/officeDocument/2006/relationships/hyperlink" Target="http://bizzabo.com" TargetMode="External"/><Relationship Id="rId944" Type="http://schemas.openxmlformats.org/officeDocument/2006/relationships/hyperlink" Target="https://www.bizzabo.com/blog/top-uk-event-agencies" TargetMode="External"/><Relationship Id="rId939" Type="http://schemas.openxmlformats.org/officeDocument/2006/relationships/hyperlink" Target="http://beomniscient.com" TargetMode="External"/><Relationship Id="rId938" Type="http://schemas.openxmlformats.org/officeDocument/2006/relationships/hyperlink" Target="https://beomniscient.com/blog/growth-marketing-agency/" TargetMode="External"/><Relationship Id="rId937" Type="http://schemas.openxmlformats.org/officeDocument/2006/relationships/hyperlink" Target="http://benly.ai" TargetMode="External"/><Relationship Id="rId932" Type="http://schemas.openxmlformats.org/officeDocument/2006/relationships/hyperlink" Target="https://www.back9.co.nz/how-to-find-a-certified-google-partner/" TargetMode="External"/><Relationship Id="rId931" Type="http://schemas.openxmlformats.org/officeDocument/2006/relationships/hyperlink" Target="http://b2bmarketing.net" TargetMode="External"/><Relationship Id="rId930" Type="http://schemas.openxmlformats.org/officeDocument/2006/relationships/hyperlink" Target="https://www.b2bmarketing.net/top-10-uk-marketing-agencies-blog/" TargetMode="External"/><Relationship Id="rId936" Type="http://schemas.openxmlformats.org/officeDocument/2006/relationships/hyperlink" Target="https://benly.ai/learn/ai-marketing/best-attribution-tools-2026" TargetMode="External"/><Relationship Id="rId935" Type="http://schemas.openxmlformats.org/officeDocument/2006/relationships/hyperlink" Target="http://belkins.io" TargetMode="External"/><Relationship Id="rId934" Type="http://schemas.openxmlformats.org/officeDocument/2006/relationships/hyperlink" Target="https://belkins.io/blog/best-appointment-setting-companies-uk" TargetMode="External"/><Relationship Id="rId933" Type="http://schemas.openxmlformats.org/officeDocument/2006/relationships/hyperlink" Target="http://back9.co.nz" TargetMode="External"/><Relationship Id="rId965" Type="http://schemas.openxmlformats.org/officeDocument/2006/relationships/hyperlink" Target="http://businessofapps.com" TargetMode="External"/><Relationship Id="rId964" Type="http://schemas.openxmlformats.org/officeDocument/2006/relationships/hyperlink" Target="https://www.businessofapps.com/marketplace/performance-marketing/" TargetMode="External"/><Relationship Id="rId963" Type="http://schemas.openxmlformats.org/officeDocument/2006/relationships/hyperlink" Target="http://adobe.com" TargetMode="External"/><Relationship Id="rId962" Type="http://schemas.openxmlformats.org/officeDocument/2006/relationships/hyperlink" Target="https://business.adobe.com/blog/basics/marketing-attribution" TargetMode="External"/><Relationship Id="rId969" Type="http://schemas.openxmlformats.org/officeDocument/2006/relationships/hyperlink" Target="http://causalityengine.ai" TargetMode="External"/><Relationship Id="rId968" Type="http://schemas.openxmlformats.org/officeDocument/2006/relationships/hyperlink" Target="https://www.causalityengine.ai/resources/best-incrementality-testing-platforms" TargetMode="External"/><Relationship Id="rId967" Type="http://schemas.openxmlformats.org/officeDocument/2006/relationships/hyperlink" Target="http://careerfoundry.com" TargetMode="External"/><Relationship Id="rId966" Type="http://schemas.openxmlformats.org/officeDocument/2006/relationships/hyperlink" Target="https://careerfoundry.com/en/blog/digital-marketing/top-digital-marketing-agencies/" TargetMode="External"/><Relationship Id="rId961" Type="http://schemas.openxmlformats.org/officeDocument/2006/relationships/hyperlink" Target="http://brysa.co.uk" TargetMode="External"/><Relationship Id="rId960" Type="http://schemas.openxmlformats.org/officeDocument/2006/relationships/hyperlink" Target="https://brysa.co.uk/insights/top-ai-consulting-companies-uk" TargetMode="External"/><Relationship Id="rId959" Type="http://schemas.openxmlformats.org/officeDocument/2006/relationships/hyperlink" Target="http://brentonway.com" TargetMode="External"/><Relationship Id="rId954" Type="http://schemas.openxmlformats.org/officeDocument/2006/relationships/hyperlink" Target="https://www.brandsandagencies.co.uk/news-insights/uk-best-integrated-marketing-agencies/" TargetMode="External"/><Relationship Id="rId953" Type="http://schemas.openxmlformats.org/officeDocument/2006/relationships/hyperlink" Target="http://brandedagency.com" TargetMode="External"/><Relationship Id="rId952" Type="http://schemas.openxmlformats.org/officeDocument/2006/relationships/hyperlink" Target="https://www.brandedagency.com/blog/top-digital-marketing-agencies" TargetMode="External"/><Relationship Id="rId951" Type="http://schemas.openxmlformats.org/officeDocument/2006/relationships/hyperlink" Target="http://blueprintdemand.com" TargetMode="External"/><Relationship Id="rId958" Type="http://schemas.openxmlformats.org/officeDocument/2006/relationships/hyperlink" Target="https://brentonway.com/blog/top-performance-marketing-agencies" TargetMode="External"/><Relationship Id="rId957" Type="http://schemas.openxmlformats.org/officeDocument/2006/relationships/hyperlink" Target="http://brandspeak.co.uk" TargetMode="External"/><Relationship Id="rId956" Type="http://schemas.openxmlformats.org/officeDocument/2006/relationships/hyperlink" Target="https://brandspeak.co.uk/blog/top-10-market-research-agencies/" TargetMode="External"/><Relationship Id="rId955" Type="http://schemas.openxmlformats.org/officeDocument/2006/relationships/hyperlink" Target="http://brandsandagencies.co.uk" TargetMode="External"/><Relationship Id="rId950" Type="http://schemas.openxmlformats.org/officeDocument/2006/relationships/hyperlink" Target="https://blueprintdemand.com/top-10-display-advertising-agency-partners-for-2026/" TargetMode="External"/><Relationship Id="rId590" Type="http://schemas.openxmlformats.org/officeDocument/2006/relationships/hyperlink" Target="http://arramton.com" TargetMode="External"/><Relationship Id="rId107" Type="http://schemas.openxmlformats.org/officeDocument/2006/relationships/hyperlink" Target="http://sortlist.co.uk" TargetMode="External"/><Relationship Id="rId106" Type="http://schemas.openxmlformats.org/officeDocument/2006/relationships/hyperlink" Target="https://www.sortlist.co.uk/s/paid-media/london-england-gb" TargetMode="External"/><Relationship Id="rId105" Type="http://schemas.openxmlformats.org/officeDocument/2006/relationships/hyperlink" Target="http://pushgroup.co.uk" TargetMode="External"/><Relationship Id="rId589" Type="http://schemas.openxmlformats.org/officeDocument/2006/relationships/hyperlink" Target="https://arramton.com/blogs/performance-marketing-agencies" TargetMode="External"/><Relationship Id="rId104" Type="http://schemas.openxmlformats.org/officeDocument/2006/relationships/hyperlink" Target="https://www.pushgroup.co.uk/blog/top-9-answer-engine-optimisation-agencies-uk" TargetMode="External"/><Relationship Id="rId588" Type="http://schemas.openxmlformats.org/officeDocument/2006/relationships/hyperlink" Target="http://topseobrands.com" TargetMode="External"/><Relationship Id="rId109" Type="http://schemas.openxmlformats.org/officeDocument/2006/relationships/hyperlink" Target="http://charle.co.uk" TargetMode="External"/><Relationship Id="rId1170" Type="http://schemas.openxmlformats.org/officeDocument/2006/relationships/hyperlink" Target="http://goodfirms.co" TargetMode="External"/><Relationship Id="rId108" Type="http://schemas.openxmlformats.org/officeDocument/2006/relationships/hyperlink" Target="https://www.charle.co.uk/articles/top-ai-seo-agencies/" TargetMode="External"/><Relationship Id="rId1171" Type="http://schemas.openxmlformats.org/officeDocument/2006/relationships/hyperlink" Target="https://www.greenbook.org/market-research-firms/tracking" TargetMode="External"/><Relationship Id="rId583" Type="http://schemas.openxmlformats.org/officeDocument/2006/relationships/hyperlink" Target="https://therubiconagency.com/technology-marketing-blog/top-10-b2b-ppc-agencies-uk/" TargetMode="External"/><Relationship Id="rId1172" Type="http://schemas.openxmlformats.org/officeDocument/2006/relationships/hyperlink" Target="http://greenbook.org" TargetMode="External"/><Relationship Id="rId582" Type="http://schemas.openxmlformats.org/officeDocument/2006/relationships/hyperlink" Target="http://thedrum.com" TargetMode="External"/><Relationship Id="rId1173" Type="http://schemas.openxmlformats.org/officeDocument/2006/relationships/hyperlink" Target="https://grizzle.io/blog/best-generative-engine-optimization-agencies-for-b2b" TargetMode="External"/><Relationship Id="rId581" Type="http://schemas.openxmlformats.org/officeDocument/2006/relationships/hyperlink" Target="https://www.thedrum.com/news/world-creative-rankings-2026-several-dublin-agencies-break-into-uk-ireland-top-spots" TargetMode="External"/><Relationship Id="rId1174" Type="http://schemas.openxmlformats.org/officeDocument/2006/relationships/hyperlink" Target="http://grizzle.io" TargetMode="External"/><Relationship Id="rId580" Type="http://schemas.openxmlformats.org/officeDocument/2006/relationships/hyperlink" Target="http://sunnypatel.co.uk" TargetMode="External"/><Relationship Id="rId1175" Type="http://schemas.openxmlformats.org/officeDocument/2006/relationships/hyperlink" Target="https://growth-labs.co.uk/top-50-uk-web-development-companies-2026-rankings/" TargetMode="External"/><Relationship Id="rId103" Type="http://schemas.openxmlformats.org/officeDocument/2006/relationships/hyperlink" Target="https://www.munro.agency/ai-marketing-agency/" TargetMode="External"/><Relationship Id="rId587" Type="http://schemas.openxmlformats.org/officeDocument/2006/relationships/hyperlink" Target="https://www.topseobrands.com/uk/london/best-display-advertising-firms" TargetMode="External"/><Relationship Id="rId1176" Type="http://schemas.openxmlformats.org/officeDocument/2006/relationships/hyperlink" Target="http://growth-labs.co.uk" TargetMode="External"/><Relationship Id="rId102" Type="http://schemas.openxmlformats.org/officeDocument/2006/relationships/hyperlink" Target="http://hunterlodge.co.uk" TargetMode="External"/><Relationship Id="rId586" Type="http://schemas.openxmlformats.org/officeDocument/2006/relationships/hyperlink" Target="http://thesocialshepherd.com" TargetMode="External"/><Relationship Id="rId1177" Type="http://schemas.openxmlformats.org/officeDocument/2006/relationships/hyperlink" Target="https://growth.cx/blog/best-performance-marketing-agencies/" TargetMode="External"/><Relationship Id="rId101" Type="http://schemas.openxmlformats.org/officeDocument/2006/relationships/hyperlink" Target="https://www.hunterlodge.co.uk/ai-visibility-research/insights/top-ai-visibility-agencies-in-the-uk/" TargetMode="External"/><Relationship Id="rId585" Type="http://schemas.openxmlformats.org/officeDocument/2006/relationships/hyperlink" Target="https://thesocialshepherd.com/blog/creative-agencies-uk" TargetMode="External"/><Relationship Id="rId1178" Type="http://schemas.openxmlformats.org/officeDocument/2006/relationships/hyperlink" Target="http://growth.cx" TargetMode="External"/><Relationship Id="rId100" Type="http://schemas.openxmlformats.org/officeDocument/2006/relationships/hyperlink" Target="http://digitalagencynetwork.com" TargetMode="External"/><Relationship Id="rId584" Type="http://schemas.openxmlformats.org/officeDocument/2006/relationships/hyperlink" Target="http://therubiconagency.com" TargetMode="External"/><Relationship Id="rId1179" Type="http://schemas.openxmlformats.org/officeDocument/2006/relationships/hyperlink" Target="https://growthcurve.co/agency/digital-marketing-agency/best-growth-marketing-agencies" TargetMode="External"/><Relationship Id="rId1169" Type="http://schemas.openxmlformats.org/officeDocument/2006/relationships/hyperlink" Target="https://www.goodfirms.co/directory/country/top-digital-marketing-companies/media-planning-buying/uk" TargetMode="External"/><Relationship Id="rId579" Type="http://schemas.openxmlformats.org/officeDocument/2006/relationships/hyperlink" Target="https://sunnypatel.co.uk/blog/top-geo-agencies/" TargetMode="External"/><Relationship Id="rId578" Type="http://schemas.openxmlformats.org/officeDocument/2006/relationships/hyperlink" Target="http://sortlist.com" TargetMode="External"/><Relationship Id="rId577" Type="http://schemas.openxmlformats.org/officeDocument/2006/relationships/hyperlink" Target="https://www.sortlist.com/i/s/data-driven-marketing/united-kingdom-gb" TargetMode="External"/><Relationship Id="rId1160" Type="http://schemas.openxmlformats.org/officeDocument/2006/relationships/hyperlink" Target="http://goodfirms.co" TargetMode="External"/><Relationship Id="rId572" Type="http://schemas.openxmlformats.org/officeDocument/2006/relationships/hyperlink" Target="http://sortlist.co.uk" TargetMode="External"/><Relationship Id="rId1161" Type="http://schemas.openxmlformats.org/officeDocument/2006/relationships/hyperlink" Target="https://www.goodfirms.co/advertising-companies/programmatic" TargetMode="External"/><Relationship Id="rId571" Type="http://schemas.openxmlformats.org/officeDocument/2006/relationships/hyperlink" Target="https://www.sortlist.co.uk/digital-marketing/united-kingdom-gb" TargetMode="External"/><Relationship Id="rId1162" Type="http://schemas.openxmlformats.org/officeDocument/2006/relationships/hyperlink" Target="http://goodfirms.co" TargetMode="External"/><Relationship Id="rId570" Type="http://schemas.openxmlformats.org/officeDocument/2006/relationships/hyperlink" Target="http://sortlist.co.uk" TargetMode="External"/><Relationship Id="rId1163" Type="http://schemas.openxmlformats.org/officeDocument/2006/relationships/hyperlink" Target="https://www.goodfirms.co/directory/city/top-digital-marketing-companies/advertising-ppc/london?sort_by=reviews" TargetMode="External"/><Relationship Id="rId1164" Type="http://schemas.openxmlformats.org/officeDocument/2006/relationships/hyperlink" Target="http://goodfirms.co" TargetMode="External"/><Relationship Id="rId576" Type="http://schemas.openxmlformats.org/officeDocument/2006/relationships/hyperlink" Target="http://sortlist.co.uk" TargetMode="External"/><Relationship Id="rId1165" Type="http://schemas.openxmlformats.org/officeDocument/2006/relationships/hyperlink" Target="https://www.goodfirms.co/directory/country/top-digital-marketing-companies/advertising-ppc/uk?sort_by=matrix" TargetMode="External"/><Relationship Id="rId575" Type="http://schemas.openxmlformats.org/officeDocument/2006/relationships/hyperlink" Target="https://www.sortlist.co.uk/s/attribution-marketing/united-kingdom-gb" TargetMode="External"/><Relationship Id="rId1166" Type="http://schemas.openxmlformats.org/officeDocument/2006/relationships/hyperlink" Target="http://goodfirms.co" TargetMode="External"/><Relationship Id="rId574" Type="http://schemas.openxmlformats.org/officeDocument/2006/relationships/hyperlink" Target="http://sortlist.co.uk" TargetMode="External"/><Relationship Id="rId1167" Type="http://schemas.openxmlformats.org/officeDocument/2006/relationships/hyperlink" Target="https://www.goodfirms.co/directory/country/top-digital-marketing-companies/gb?hss_channel=fbp-687194624745812utm_content%3D126613956&amp;page=2" TargetMode="External"/><Relationship Id="rId573" Type="http://schemas.openxmlformats.org/officeDocument/2006/relationships/hyperlink" Target="https://www.sortlist.co.uk/media-planning/united-kingdom-gb" TargetMode="External"/><Relationship Id="rId1168" Type="http://schemas.openxmlformats.org/officeDocument/2006/relationships/hyperlink" Target="http://goodfirms.co" TargetMode="External"/><Relationship Id="rId129" Type="http://schemas.openxmlformats.org/officeDocument/2006/relationships/hyperlink" Target="http://digitalagencynetwork.com" TargetMode="External"/><Relationship Id="rId128" Type="http://schemas.openxmlformats.org/officeDocument/2006/relationships/hyperlink" Target="https://digitalagencynetwork.com/agencies/uk/creative/" TargetMode="External"/><Relationship Id="rId127" Type="http://schemas.openxmlformats.org/officeDocument/2006/relationships/hyperlink" Target="http://charleagency.com" TargetMode="External"/><Relationship Id="rId126" Type="http://schemas.openxmlformats.org/officeDocument/2006/relationships/hyperlink" Target="https://www.charleagency.com/articles/best-geo-agencies-uk/" TargetMode="External"/><Relationship Id="rId1190" Type="http://schemas.openxmlformats.org/officeDocument/2006/relationships/hyperlink" Target="http://hawksem.com" TargetMode="External"/><Relationship Id="rId1191" Type="http://schemas.openxmlformats.org/officeDocument/2006/relationships/hyperlink" Target="https://www.heydigital.co/blog/saas-marketing-agencies" TargetMode="External"/><Relationship Id="rId1192" Type="http://schemas.openxmlformats.org/officeDocument/2006/relationships/hyperlink" Target="http://heydigital.co" TargetMode="External"/><Relationship Id="rId1193" Type="http://schemas.openxmlformats.org/officeDocument/2006/relationships/hyperlink" Target="https://hikemytraffic.com/ai-digital-marketing-companies-in-uk/" TargetMode="External"/><Relationship Id="rId121" Type="http://schemas.openxmlformats.org/officeDocument/2006/relationships/hyperlink" Target="http://semrush.com" TargetMode="External"/><Relationship Id="rId1194" Type="http://schemas.openxmlformats.org/officeDocument/2006/relationships/hyperlink" Target="http://hikemytraffic.com" TargetMode="External"/><Relationship Id="rId120" Type="http://schemas.openxmlformats.org/officeDocument/2006/relationships/hyperlink" Target="https://agencies.semrush.com/list/ai-optimization/london-city/" TargetMode="External"/><Relationship Id="rId1195" Type="http://schemas.openxmlformats.org/officeDocument/2006/relationships/hyperlink" Target="https://improvado.io/blog/multi-touch-attribution-solutions" TargetMode="External"/><Relationship Id="rId1196" Type="http://schemas.openxmlformats.org/officeDocument/2006/relationships/hyperlink" Target="http://improvado.io" TargetMode="External"/><Relationship Id="rId1197" Type="http://schemas.openxmlformats.org/officeDocument/2006/relationships/hyperlink" Target="https://inbeat.agency/blog/top-dynamic-creative-optimization-companies" TargetMode="External"/><Relationship Id="rId125" Type="http://schemas.openxmlformats.org/officeDocument/2006/relationships/hyperlink" Target="http://semrush.com" TargetMode="External"/><Relationship Id="rId1198" Type="http://schemas.openxmlformats.org/officeDocument/2006/relationships/hyperlink" Target="https://inbeat.agency/blog/top-ppc-agencies-uk" TargetMode="External"/><Relationship Id="rId124" Type="http://schemas.openxmlformats.org/officeDocument/2006/relationships/hyperlink" Target="https://agencies.semrush.com/list/display-advertising/london-city/" TargetMode="External"/><Relationship Id="rId1199" Type="http://schemas.openxmlformats.org/officeDocument/2006/relationships/hyperlink" Target="https://www.inbeat.co/articles/top-performance-marketing-agencies/" TargetMode="External"/><Relationship Id="rId123" Type="http://schemas.openxmlformats.org/officeDocument/2006/relationships/hyperlink" Target="http://semrush.com" TargetMode="External"/><Relationship Id="rId122" Type="http://schemas.openxmlformats.org/officeDocument/2006/relationships/hyperlink" Target="https://agencies.semrush.com/list/ai-optimization/united-kingdom/" TargetMode="External"/><Relationship Id="rId118" Type="http://schemas.openxmlformats.org/officeDocument/2006/relationships/hyperlink" Target="https://www.wildishandco.co.uk/blog/best-creative-agencies" TargetMode="External"/><Relationship Id="rId117" Type="http://schemas.openxmlformats.org/officeDocument/2006/relationships/hyperlink" Target="http://rebootonline.com" TargetMode="External"/><Relationship Id="rId116" Type="http://schemas.openxmlformats.org/officeDocument/2006/relationships/hyperlink" Target="https://www.rebootonline.com/paid-media/best-paid-media-agencies/" TargetMode="External"/><Relationship Id="rId115" Type="http://schemas.openxmlformats.org/officeDocument/2006/relationships/hyperlink" Target="http://found.co.uk" TargetMode="External"/><Relationship Id="rId599" Type="http://schemas.openxmlformats.org/officeDocument/2006/relationships/hyperlink" Target="https://linea-analytics.com/articles/best-marketing-mix-modeling-tools-uk/article.html" TargetMode="External"/><Relationship Id="rId1180" Type="http://schemas.openxmlformats.org/officeDocument/2006/relationships/hyperlink" Target="http://growthcurve.co" TargetMode="External"/><Relationship Id="rId1181" Type="http://schemas.openxmlformats.org/officeDocument/2006/relationships/hyperlink" Target="https://growthmanager.ai/best-geo-agency" TargetMode="External"/><Relationship Id="rId119" Type="http://schemas.openxmlformats.org/officeDocument/2006/relationships/hyperlink" Target="http://wildishandco.co.uk" TargetMode="External"/><Relationship Id="rId1182" Type="http://schemas.openxmlformats.org/officeDocument/2006/relationships/hyperlink" Target="http://growthmanager.ai" TargetMode="External"/><Relationship Id="rId110" Type="http://schemas.openxmlformats.org/officeDocument/2006/relationships/hyperlink" Target="https://clutch.co/agencies/creative/uk" TargetMode="External"/><Relationship Id="rId594" Type="http://schemas.openxmlformats.org/officeDocument/2006/relationships/hyperlink" Target="http://clutch.co" TargetMode="External"/><Relationship Id="rId1183" Type="http://schemas.openxmlformats.org/officeDocument/2006/relationships/hyperlink" Target="https://www.growthspreeofficial.com/blogs/top-6-ai-powered-b2b-saas-marketing-agencies-in-the-united-states-2026" TargetMode="External"/><Relationship Id="rId593" Type="http://schemas.openxmlformats.org/officeDocument/2006/relationships/hyperlink" Target="https://clutch.co/agencies/ppc/advertising-industry/uk" TargetMode="External"/><Relationship Id="rId1184" Type="http://schemas.openxmlformats.org/officeDocument/2006/relationships/hyperlink" Target="http://growthspreeofficial.com" TargetMode="External"/><Relationship Id="rId592" Type="http://schemas.openxmlformats.org/officeDocument/2006/relationships/hyperlink" Target="http://clutch.co" TargetMode="External"/><Relationship Id="rId1185" Type="http://schemas.openxmlformats.org/officeDocument/2006/relationships/hyperlink" Target="https://www.happyhourproductions.co.uk/insights/top-tv-advertising-agencies-uk" TargetMode="External"/><Relationship Id="rId591" Type="http://schemas.openxmlformats.org/officeDocument/2006/relationships/hyperlink" Target="https://clutch.co/agencies/branding/uk" TargetMode="External"/><Relationship Id="rId1186" Type="http://schemas.openxmlformats.org/officeDocument/2006/relationships/hyperlink" Target="http://happyhourproductions.co.uk" TargetMode="External"/><Relationship Id="rId114" Type="http://schemas.openxmlformats.org/officeDocument/2006/relationships/hyperlink" Target="https://www.found.co.uk/blog/best-aio-ai-optimisation-agencies/" TargetMode="External"/><Relationship Id="rId598" Type="http://schemas.openxmlformats.org/officeDocument/2006/relationships/hyperlink" Target="http://designrush.com" TargetMode="External"/><Relationship Id="rId1187" Type="http://schemas.openxmlformats.org/officeDocument/2006/relationships/hyperlink" Target="https://hashmeta.com/blog/10-best-aeo-geo-agencies-for-ai-search-optimization/" TargetMode="External"/><Relationship Id="rId113" Type="http://schemas.openxmlformats.org/officeDocument/2006/relationships/hyperlink" Target="http://eseospace.com" TargetMode="External"/><Relationship Id="rId597" Type="http://schemas.openxmlformats.org/officeDocument/2006/relationships/hyperlink" Target="https://www.designrush.com/agency/ad-agencies/uk" TargetMode="External"/><Relationship Id="rId1188" Type="http://schemas.openxmlformats.org/officeDocument/2006/relationships/hyperlink" Target="http://hashmeta.com" TargetMode="External"/><Relationship Id="rId112" Type="http://schemas.openxmlformats.org/officeDocument/2006/relationships/hyperlink" Target="https://eseospace.com/blog/best-aeo-agencies-london-2026/" TargetMode="External"/><Relationship Id="rId596" Type="http://schemas.openxmlformats.org/officeDocument/2006/relationships/hyperlink" Target="http://clutch.co" TargetMode="External"/><Relationship Id="rId1189" Type="http://schemas.openxmlformats.org/officeDocument/2006/relationships/hyperlink" Target="https://hawksem.com/blog/performance-marketing-agency-list/" TargetMode="External"/><Relationship Id="rId111" Type="http://schemas.openxmlformats.org/officeDocument/2006/relationships/hyperlink" Target="http://clutch.co" TargetMode="External"/><Relationship Id="rId595" Type="http://schemas.openxmlformats.org/officeDocument/2006/relationships/hyperlink" Target="https://clutch.co/agencies/ppc/display/uk/england/london" TargetMode="External"/><Relationship Id="rId1136" Type="http://schemas.openxmlformats.org/officeDocument/2006/relationships/hyperlink" Target="http://found.co.uk" TargetMode="External"/><Relationship Id="rId1137" Type="http://schemas.openxmlformats.org/officeDocument/2006/relationships/hyperlink" Target="https://funnel.io/blog/top-mta-tools" TargetMode="External"/><Relationship Id="rId1138" Type="http://schemas.openxmlformats.org/officeDocument/2006/relationships/hyperlink" Target="http://funnel.io" TargetMode="External"/><Relationship Id="rId1139" Type="http://schemas.openxmlformats.org/officeDocument/2006/relationships/hyperlink" Target="https://www.gambitagency.co.uk/blog/the-best-ppc-agencies" TargetMode="External"/><Relationship Id="rId547" Type="http://schemas.openxmlformats.org/officeDocument/2006/relationships/hyperlink" Target="https://www.found.co.uk/blog/best-generative-engine-optimisation-agencies/" TargetMode="External"/><Relationship Id="rId546" Type="http://schemas.openxmlformats.org/officeDocument/2006/relationships/hyperlink" Target="http://ecomone.com" TargetMode="External"/><Relationship Id="rId545" Type="http://schemas.openxmlformats.org/officeDocument/2006/relationships/hyperlink" Target="https://www.ecomone.com/insights/best-ppc-agencies/" TargetMode="External"/><Relationship Id="rId544" Type="http://schemas.openxmlformats.org/officeDocument/2006/relationships/hyperlink" Target="http://directiveconsulting.com" TargetMode="External"/><Relationship Id="rId549" Type="http://schemas.openxmlformats.org/officeDocument/2006/relationships/hyperlink" Target="https://www.goodfirms.co/advertising-companies/creative/uk" TargetMode="External"/><Relationship Id="rId548" Type="http://schemas.openxmlformats.org/officeDocument/2006/relationships/hyperlink" Target="http://found.co.uk" TargetMode="External"/><Relationship Id="rId1130" Type="http://schemas.openxmlformats.org/officeDocument/2006/relationships/hyperlink" Target="http://flypix.ai" TargetMode="External"/><Relationship Id="rId1131" Type="http://schemas.openxmlformats.org/officeDocument/2006/relationships/hyperlink" Target="https://fntmanagement.com/top-marketing-agencies/" TargetMode="External"/><Relationship Id="rId543" Type="http://schemas.openxmlformats.org/officeDocument/2006/relationships/hyperlink" Target="https://directiveconsulting.com/uk/blog/25-best-paid-media-agencies-that-turn-ad-spend-into-revenue/" TargetMode="External"/><Relationship Id="rId1132" Type="http://schemas.openxmlformats.org/officeDocument/2006/relationships/hyperlink" Target="http://fntmanagement.com" TargetMode="External"/><Relationship Id="rId542" Type="http://schemas.openxmlformats.org/officeDocument/2006/relationships/hyperlink" Target="http://digitalmarketingsupermarket.com" TargetMode="External"/><Relationship Id="rId1133" Type="http://schemas.openxmlformats.org/officeDocument/2006/relationships/hyperlink" Target="https://forlinux.co.uk/best-ppc-agencies-in-the-uk-for-scalable-advertising-success" TargetMode="External"/><Relationship Id="rId541" Type="http://schemas.openxmlformats.org/officeDocument/2006/relationships/hyperlink" Target="https://digitalmarketingsupermarket.com/blog/best-ai-marketing-agencies-2026/" TargetMode="External"/><Relationship Id="rId1134" Type="http://schemas.openxmlformats.org/officeDocument/2006/relationships/hyperlink" Target="http://forlinux.co.uk" TargetMode="External"/><Relationship Id="rId540" Type="http://schemas.openxmlformats.org/officeDocument/2006/relationships/hyperlink" Target="http://designrush.com" TargetMode="External"/><Relationship Id="rId1135" Type="http://schemas.openxmlformats.org/officeDocument/2006/relationships/hyperlink" Target="https://www.found.co.uk/blog/top-10-ppc-agencies/" TargetMode="External"/><Relationship Id="rId1125" Type="http://schemas.openxmlformats.org/officeDocument/2006/relationships/hyperlink" Target="https://www.flyingvgroup.com/programmatic-agency/" TargetMode="External"/><Relationship Id="rId1126" Type="http://schemas.openxmlformats.org/officeDocument/2006/relationships/hyperlink" Target="http://flyingvgroup.com" TargetMode="External"/><Relationship Id="rId1127" Type="http://schemas.openxmlformats.org/officeDocument/2006/relationships/hyperlink" Target="https://flypix.ai/geospatial-companies-in-london/" TargetMode="External"/><Relationship Id="rId1128" Type="http://schemas.openxmlformats.org/officeDocument/2006/relationships/hyperlink" Target="http://flypix.ai" TargetMode="External"/><Relationship Id="rId1129" Type="http://schemas.openxmlformats.org/officeDocument/2006/relationships/hyperlink" Target="https://flypix.ai/geospatial-companies-in-the-uk/" TargetMode="External"/><Relationship Id="rId536" Type="http://schemas.openxmlformats.org/officeDocument/2006/relationships/hyperlink" Target="http://clutch.co" TargetMode="External"/><Relationship Id="rId535" Type="http://schemas.openxmlformats.org/officeDocument/2006/relationships/hyperlink" Target="https://clutch.co/agencies/ppc/display/uk?page=1" TargetMode="External"/><Relationship Id="rId534" Type="http://schemas.openxmlformats.org/officeDocument/2006/relationships/hyperlink" Target="http://clutch.co" TargetMode="External"/><Relationship Id="rId533" Type="http://schemas.openxmlformats.org/officeDocument/2006/relationships/hyperlink" Target="https://clutch.co/agencies/performance-marketing" TargetMode="External"/><Relationship Id="rId539" Type="http://schemas.openxmlformats.org/officeDocument/2006/relationships/hyperlink" Target="https://www.designrush.com/agency/social-media-marketing/uk" TargetMode="External"/><Relationship Id="rId538" Type="http://schemas.openxmlformats.org/officeDocument/2006/relationships/hyperlink" Target="http://cometly.com" TargetMode="External"/><Relationship Id="rId537" Type="http://schemas.openxmlformats.org/officeDocument/2006/relationships/hyperlink" Target="https://www.cometly.com/post/incrementality-measurement-tool" TargetMode="External"/><Relationship Id="rId1120" Type="http://schemas.openxmlformats.org/officeDocument/2006/relationships/hyperlink" Target="http://firstmotion.com" TargetMode="External"/><Relationship Id="rId532" Type="http://schemas.openxmlformats.org/officeDocument/2006/relationships/hyperlink" Target="http://birdeye.com" TargetMode="External"/><Relationship Id="rId1121" Type="http://schemas.openxmlformats.org/officeDocument/2006/relationships/hyperlink" Target="https://www.flyingvgroup.com/ai-marketing-agency/" TargetMode="External"/><Relationship Id="rId531" Type="http://schemas.openxmlformats.org/officeDocument/2006/relationships/hyperlink" Target="https://birdeye.com/blog/ai-companies-uk/" TargetMode="External"/><Relationship Id="rId1122" Type="http://schemas.openxmlformats.org/officeDocument/2006/relationships/hyperlink" Target="http://flyingvgroup.com" TargetMode="External"/><Relationship Id="rId530" Type="http://schemas.openxmlformats.org/officeDocument/2006/relationships/hyperlink" Target="http://bestwebdevelopers.co.uk" TargetMode="External"/><Relationship Id="rId1123" Type="http://schemas.openxmlformats.org/officeDocument/2006/relationships/hyperlink" Target="https://www.flyingvgroup.com/franchise-marketing-agency/" TargetMode="External"/><Relationship Id="rId1124" Type="http://schemas.openxmlformats.org/officeDocument/2006/relationships/hyperlink" Target="http://flyingvgroup.com" TargetMode="External"/><Relationship Id="rId1158" Type="http://schemas.openxmlformats.org/officeDocument/2006/relationships/hyperlink" Target="http://goodfirms.co" TargetMode="External"/><Relationship Id="rId1159" Type="http://schemas.openxmlformats.org/officeDocument/2006/relationships/hyperlink" Target="https://www.goodfirms.co/advertising-companies/creative/uk?sort_by=reviews" TargetMode="External"/><Relationship Id="rId569" Type="http://schemas.openxmlformats.org/officeDocument/2006/relationships/hyperlink" Target="https://www.sortlist.co.uk/branding/united-kingdom-gb" TargetMode="External"/><Relationship Id="rId568" Type="http://schemas.openxmlformats.org/officeDocument/2006/relationships/hyperlink" Target="http://socialchameleon.com" TargetMode="External"/><Relationship Id="rId567" Type="http://schemas.openxmlformats.org/officeDocument/2006/relationships/hyperlink" Target="https://socialchameleon.com/30-marketing-agencies-uk/" TargetMode="External"/><Relationship Id="rId566" Type="http://schemas.openxmlformats.org/officeDocument/2006/relationships/hyperlink" Target="http://ppcgeeks.co.uk" TargetMode="External"/><Relationship Id="rId561" Type="http://schemas.openxmlformats.org/officeDocument/2006/relationships/hyperlink" Target="https://www.phable.io/top-branding-agencies/top-branding-agencies-in-the-uk-2025-leaders-in-creative-identity" TargetMode="External"/><Relationship Id="rId1150" Type="http://schemas.openxmlformats.org/officeDocument/2006/relationships/hyperlink" Target="http://geniecrawl.com" TargetMode="External"/><Relationship Id="rId560" Type="http://schemas.openxmlformats.org/officeDocument/2006/relationships/hyperlink" Target="http://nutshell.com" TargetMode="External"/><Relationship Id="rId1151" Type="http://schemas.openxmlformats.org/officeDocument/2006/relationships/hyperlink" Target="https://gigawattgroup.com/insights/best-geo-agencies-in-2026-who-actually-drives-ai-visibility-and-citations/" TargetMode="External"/><Relationship Id="rId1152" Type="http://schemas.openxmlformats.org/officeDocument/2006/relationships/hyperlink" Target="http://gigawattgroup.com" TargetMode="External"/><Relationship Id="rId1153" Type="http://schemas.openxmlformats.org/officeDocument/2006/relationships/hyperlink" Target="https://ginitalent.com/top-10-creative-agencies-in-the-uk-2025-guide/" TargetMode="External"/><Relationship Id="rId565" Type="http://schemas.openxmlformats.org/officeDocument/2006/relationships/hyperlink" Target="https://ppcgeeks.co.uk/ppc/programmatic-advertising-companies/" TargetMode="External"/><Relationship Id="rId1154" Type="http://schemas.openxmlformats.org/officeDocument/2006/relationships/hyperlink" Target="http://ginitalent.com" TargetMode="External"/><Relationship Id="rId564" Type="http://schemas.openxmlformats.org/officeDocument/2006/relationships/hyperlink" Target="http://phable.io" TargetMode="External"/><Relationship Id="rId1155" Type="http://schemas.openxmlformats.org/officeDocument/2006/relationships/hyperlink" Target="https://www.gohighlevel.com/post/the-ai-ready-agency-what-the-top-5-are-doing-differently" TargetMode="External"/><Relationship Id="rId563" Type="http://schemas.openxmlformats.org/officeDocument/2006/relationships/hyperlink" Target="https://www.phable.io/top-branding-agencies/top-branding-agencies-in-the-uk-experts-in-building-iconic-identities" TargetMode="External"/><Relationship Id="rId1156" Type="http://schemas.openxmlformats.org/officeDocument/2006/relationships/hyperlink" Target="http://gohighlevel.com" TargetMode="External"/><Relationship Id="rId562" Type="http://schemas.openxmlformats.org/officeDocument/2006/relationships/hyperlink" Target="http://phable.io" TargetMode="External"/><Relationship Id="rId1157" Type="http://schemas.openxmlformats.org/officeDocument/2006/relationships/hyperlink" Target="https://www.goodfirms.co/advertising-companies/creative" TargetMode="External"/><Relationship Id="rId1147" Type="http://schemas.openxmlformats.org/officeDocument/2006/relationships/hyperlink" Target="https://www.gen-optima.com/geo/top-generative-ai-search-engine-optimization-agencies-2026/" TargetMode="External"/><Relationship Id="rId1148" Type="http://schemas.openxmlformats.org/officeDocument/2006/relationships/hyperlink" Target="http://gen-optima.com" TargetMode="External"/><Relationship Id="rId1149" Type="http://schemas.openxmlformats.org/officeDocument/2006/relationships/hyperlink" Target="https://www.geniecrawl.com/top-50-seo-agencies-in-the-uk-2026-rankings/" TargetMode="External"/><Relationship Id="rId558" Type="http://schemas.openxmlformats.org/officeDocument/2006/relationships/hyperlink" Target="http://ninjapromo.io" TargetMode="External"/><Relationship Id="rId557" Type="http://schemas.openxmlformats.org/officeDocument/2006/relationships/hyperlink" Target="https://ninjapromo.io/top-digital-marketing-agencies-in-the-uk" TargetMode="External"/><Relationship Id="rId556" Type="http://schemas.openxmlformats.org/officeDocument/2006/relationships/hyperlink" Target="http://magnetic-london.co.uk" TargetMode="External"/><Relationship Id="rId555" Type="http://schemas.openxmlformats.org/officeDocument/2006/relationships/hyperlink" Target="https://www.magnetic-london.co.uk/post/best-digital-marketing-agencies-in-the-uk-for-2026-what-they-do-why-it-matters-and-top-picks" TargetMode="External"/><Relationship Id="rId559" Type="http://schemas.openxmlformats.org/officeDocument/2006/relationships/hyperlink" Target="https://www.nutshell.com/blog/top-geo-agencies" TargetMode="External"/><Relationship Id="rId550" Type="http://schemas.openxmlformats.org/officeDocument/2006/relationships/hyperlink" Target="http://goodfirms.co" TargetMode="External"/><Relationship Id="rId1140" Type="http://schemas.openxmlformats.org/officeDocument/2006/relationships/hyperlink" Target="http://gambitagency.co.uk" TargetMode="External"/><Relationship Id="rId1141" Type="http://schemas.openxmlformats.org/officeDocument/2006/relationships/hyperlink" Target="https://www.gartner.com/reviews/market/global-digital-marketing-agencies" TargetMode="External"/><Relationship Id="rId1142" Type="http://schemas.openxmlformats.org/officeDocument/2006/relationships/hyperlink" Target="http://gartner.com" TargetMode="External"/><Relationship Id="rId554" Type="http://schemas.openxmlformats.org/officeDocument/2006/relationships/hyperlink" Target="http://inbeat.co" TargetMode="External"/><Relationship Id="rId1143" Type="http://schemas.openxmlformats.org/officeDocument/2006/relationships/hyperlink" Target="https://www.gartner.com/reviews/market/global-digital-marketing-agencies/vendor/r-ga/product/r-ga-global-digital-marketing-services/alternatives" TargetMode="External"/><Relationship Id="rId553" Type="http://schemas.openxmlformats.org/officeDocument/2006/relationships/hyperlink" Target="https://www.inbeat.co/articles/marketing-agencies-in-uk/" TargetMode="External"/><Relationship Id="rId1144" Type="http://schemas.openxmlformats.org/officeDocument/2006/relationships/hyperlink" Target="http://gartner.com" TargetMode="External"/><Relationship Id="rId552" Type="http://schemas.openxmlformats.org/officeDocument/2006/relationships/hyperlink" Target="http://goodfirms.co" TargetMode="External"/><Relationship Id="rId1145" Type="http://schemas.openxmlformats.org/officeDocument/2006/relationships/hyperlink" Target="https://www.gartner.com/reviews/product/r-ga-global-digital-marketing-services/alternatives" TargetMode="External"/><Relationship Id="rId551" Type="http://schemas.openxmlformats.org/officeDocument/2006/relationships/hyperlink" Target="https://www.goodfirms.co/directory/country/top-digital-marketing-companies/advertising-ppc/uk" TargetMode="External"/><Relationship Id="rId1146" Type="http://schemas.openxmlformats.org/officeDocument/2006/relationships/hyperlink" Target="http://gartner.com" TargetMode="External"/><Relationship Id="rId495" Type="http://schemas.openxmlformats.org/officeDocument/2006/relationships/hyperlink" Target="https://agencies.semrush.com/list/analytics-data-science/business-professional-services/united-kingdom/" TargetMode="External"/><Relationship Id="rId494" Type="http://schemas.openxmlformats.org/officeDocument/2006/relationships/hyperlink" Target="http://semrush.com" TargetMode="External"/><Relationship Id="rId493" Type="http://schemas.openxmlformats.org/officeDocument/2006/relationships/hyperlink" Target="https://agencies.semrush.com/list/ai-optimization/united-kingdom/enterprise-business/" TargetMode="External"/><Relationship Id="rId492" Type="http://schemas.openxmlformats.org/officeDocument/2006/relationships/hyperlink" Target="http://weframetech.com" TargetMode="External"/><Relationship Id="rId499" Type="http://schemas.openxmlformats.org/officeDocument/2006/relationships/hyperlink" Target="https://clutch.co/agencies/ppc/display" TargetMode="External"/><Relationship Id="rId498" Type="http://schemas.openxmlformats.org/officeDocument/2006/relationships/hyperlink" Target="http://bluearray.co.uk" TargetMode="External"/><Relationship Id="rId497" Type="http://schemas.openxmlformats.org/officeDocument/2006/relationships/hyperlink" Target="https://www.bluearray.co.uk/agency-directory/best-google-analytics-agencies-in-the-uk/" TargetMode="External"/><Relationship Id="rId496" Type="http://schemas.openxmlformats.org/officeDocument/2006/relationships/hyperlink" Target="http://semrush.com" TargetMode="External"/><Relationship Id="rId907" Type="http://schemas.openxmlformats.org/officeDocument/2006/relationships/hyperlink" Target="http://semrush.com" TargetMode="External"/><Relationship Id="rId906" Type="http://schemas.openxmlformats.org/officeDocument/2006/relationships/hyperlink" Target="https://agencies.semrush.com/list/machine-learning-and-ai/london-city/" TargetMode="External"/><Relationship Id="rId905" Type="http://schemas.openxmlformats.org/officeDocument/2006/relationships/hyperlink" Target="http://semrush.com" TargetMode="External"/><Relationship Id="rId904" Type="http://schemas.openxmlformats.org/officeDocument/2006/relationships/hyperlink" Target="https://agencies.semrush.com/list/los-angeles/" TargetMode="External"/><Relationship Id="rId909" Type="http://schemas.openxmlformats.org/officeDocument/2006/relationships/hyperlink" Target="http://semrush.com" TargetMode="External"/><Relationship Id="rId908" Type="http://schemas.openxmlformats.org/officeDocument/2006/relationships/hyperlink" Target="https://agencies.semrush.com/list/ppc/united-kingdom/" TargetMode="External"/><Relationship Id="rId903" Type="http://schemas.openxmlformats.org/officeDocument/2006/relationships/hyperlink" Target="http://semrush.com" TargetMode="External"/><Relationship Id="rId902" Type="http://schemas.openxmlformats.org/officeDocument/2006/relationships/hyperlink" Target="https://agencies.semrush.com/list/display-advertising/" TargetMode="External"/><Relationship Id="rId901" Type="http://schemas.openxmlformats.org/officeDocument/2006/relationships/hyperlink" Target="http://semrush.com" TargetMode="External"/><Relationship Id="rId900" Type="http://schemas.openxmlformats.org/officeDocument/2006/relationships/hyperlink" Target="https://agencies.semrush.com/list/ai-optimization/united-kingdom/mid-business/" TargetMode="External"/><Relationship Id="rId929" Type="http://schemas.openxmlformats.org/officeDocument/2006/relationships/hyperlink" Target="http://awarenessai.co.uk" TargetMode="External"/><Relationship Id="rId928" Type="http://schemas.openxmlformats.org/officeDocument/2006/relationships/hyperlink" Target="https://www.awarenessai.co.uk/blogs/top-geo-and-ai-visibility-agencies-in-the-uk-2026" TargetMode="External"/><Relationship Id="rId927" Type="http://schemas.openxmlformats.org/officeDocument/2006/relationships/hyperlink" Target="http://auditynow.com" TargetMode="External"/><Relationship Id="rId926" Type="http://schemas.openxmlformats.org/officeDocument/2006/relationships/hyperlink" Target="https://auditynow.com/blog/best-ai-readiness-assessment-tools" TargetMode="External"/><Relationship Id="rId921" Type="http://schemas.openxmlformats.org/officeDocument/2006/relationships/hyperlink" Target="http://altorise.com" TargetMode="External"/><Relationship Id="rId920" Type="http://schemas.openxmlformats.org/officeDocument/2006/relationships/hyperlink" Target="https://altorise.com/hub/content-marketing-agency-in-london/" TargetMode="External"/><Relationship Id="rId925" Type="http://schemas.openxmlformats.org/officeDocument/2006/relationships/hyperlink" Target="http://appearonline.co.uk" TargetMode="External"/><Relationship Id="rId924" Type="http://schemas.openxmlformats.org/officeDocument/2006/relationships/hyperlink" Target="https://www.appearonline.co.uk/blog/best-uk-digital-marketing-agencies" TargetMode="External"/><Relationship Id="rId923" Type="http://schemas.openxmlformats.org/officeDocument/2006/relationships/hyperlink" Target="http://amraandelma.com" TargetMode="External"/><Relationship Id="rId922" Type="http://schemas.openxmlformats.org/officeDocument/2006/relationships/hyperlink" Target="https://www.amraandelma.com/sports-social-media-management-agencies/" TargetMode="External"/><Relationship Id="rId918" Type="http://schemas.openxmlformats.org/officeDocument/2006/relationships/hyperlink" Target="https://alexbirkett.com/digital-pr-agencies/" TargetMode="External"/><Relationship Id="rId917" Type="http://schemas.openxmlformats.org/officeDocument/2006/relationships/hyperlink" Target="http://aimerce.ai" TargetMode="External"/><Relationship Id="rId916" Type="http://schemas.openxmlformats.org/officeDocument/2006/relationships/hyperlink" Target="https://www.aimerce.ai/blogs/seo/top-5-incrementality-testing-tools-for-dtc-brands-in-2026" TargetMode="External"/><Relationship Id="rId915" Type="http://schemas.openxmlformats.org/officeDocument/2006/relationships/hyperlink" Target="http://aigeo360.com" TargetMode="External"/><Relationship Id="rId919" Type="http://schemas.openxmlformats.org/officeDocument/2006/relationships/hyperlink" Target="http://alexbirkett.com" TargetMode="External"/><Relationship Id="rId910" Type="http://schemas.openxmlformats.org/officeDocument/2006/relationships/hyperlink" Target="https://agencies.semrush.com/list/ppc/united-states/" TargetMode="External"/><Relationship Id="rId914" Type="http://schemas.openxmlformats.org/officeDocument/2006/relationships/hyperlink" Target="https://aigeo360.com/gis-companies-in-uk/" TargetMode="External"/><Relationship Id="rId913" Type="http://schemas.openxmlformats.org/officeDocument/2006/relationships/hyperlink" Target="http://agencylocator.io" TargetMode="External"/><Relationship Id="rId912" Type="http://schemas.openxmlformats.org/officeDocument/2006/relationships/hyperlink" Target="https://agencylocator.io/r-ga-vs-accenture-interactive" TargetMode="External"/><Relationship Id="rId911" Type="http://schemas.openxmlformats.org/officeDocument/2006/relationships/hyperlink" Target="http://semrush.com" TargetMode="External"/><Relationship Id="rId1213" Type="http://schemas.openxmlformats.org/officeDocument/2006/relationships/hyperlink" Target="https://jake-jorgovan.com/blog/tiktok-marketing-agencies" TargetMode="External"/><Relationship Id="rId1214" Type="http://schemas.openxmlformats.org/officeDocument/2006/relationships/hyperlink" Target="http://jake-jorgovan.com" TargetMode="External"/><Relationship Id="rId1215" Type="http://schemas.openxmlformats.org/officeDocument/2006/relationships/hyperlink" Target="https://www.k2l.co.uk/top-25-digital-marketing-agencies-in-the-uk-2024/" TargetMode="External"/><Relationship Id="rId1216" Type="http://schemas.openxmlformats.org/officeDocument/2006/relationships/hyperlink" Target="http://k2l.co.uk" TargetMode="External"/><Relationship Id="rId1217" Type="http://schemas.openxmlformats.org/officeDocument/2006/relationships/hyperlink" Target="https://www.kaweb.co.uk/blog/best-ppc-agencies-uk" TargetMode="External"/><Relationship Id="rId1218" Type="http://schemas.openxmlformats.org/officeDocument/2006/relationships/hyperlink" Target="http://kaweb.co.uk" TargetMode="External"/><Relationship Id="rId1219" Type="http://schemas.openxmlformats.org/officeDocument/2006/relationships/hyperlink" Target="https://lengreo.com/erotic-lead-generation-agencies/" TargetMode="External"/><Relationship Id="rId866" Type="http://schemas.openxmlformats.org/officeDocument/2006/relationships/hyperlink" Target="http://spicyadvisory.com" TargetMode="External"/><Relationship Id="rId865" Type="http://schemas.openxmlformats.org/officeDocument/2006/relationships/hyperlink" Target="https://spicyadvisory.com/blog/best-ai-consulting-firms-london-uk-2026" TargetMode="External"/><Relationship Id="rId864" Type="http://schemas.openxmlformats.org/officeDocument/2006/relationships/hyperlink" Target="http://sourceloop.ai" TargetMode="External"/><Relationship Id="rId863" Type="http://schemas.openxmlformats.org/officeDocument/2006/relationships/hyperlink" Target="https://sourceloop.ai/blog/best-marketing-measurement-tools/" TargetMode="External"/><Relationship Id="rId869" Type="http://schemas.openxmlformats.org/officeDocument/2006/relationships/hyperlink" Target="https://techbehemoths.com/companies/google-marketing-platform/united-kingdom" TargetMode="External"/><Relationship Id="rId868" Type="http://schemas.openxmlformats.org/officeDocument/2006/relationships/hyperlink" Target="http://superbcompanies.com" TargetMode="External"/><Relationship Id="rId867" Type="http://schemas.openxmlformats.org/officeDocument/2006/relationships/hyperlink" Target="https://superbcompanies.com/categories/digital-marketing-companies-in-the-uk/" TargetMode="External"/><Relationship Id="rId862" Type="http://schemas.openxmlformats.org/officeDocument/2006/relationships/hyperlink" Target="http://sortlist.com" TargetMode="External"/><Relationship Id="rId861" Type="http://schemas.openxmlformats.org/officeDocument/2006/relationships/hyperlink" Target="https://www.sortlist.com/marketing-analytics" TargetMode="External"/><Relationship Id="rId1210" Type="http://schemas.openxmlformats.org/officeDocument/2006/relationships/hyperlink" Target="http://intellectyx.com" TargetMode="External"/><Relationship Id="rId860" Type="http://schemas.openxmlformats.org/officeDocument/2006/relationships/hyperlink" Target="http://sortlist.co.uk" TargetMode="External"/><Relationship Id="rId1211" Type="http://schemas.openxmlformats.org/officeDocument/2006/relationships/hyperlink" Target="https://itprofiles.com/services/ai-consulting/uk" TargetMode="External"/><Relationship Id="rId1212" Type="http://schemas.openxmlformats.org/officeDocument/2006/relationships/hyperlink" Target="http://itprofiles.com" TargetMode="External"/><Relationship Id="rId1202" Type="http://schemas.openxmlformats.org/officeDocument/2006/relationships/hyperlink" Target="http://influencermarketinghub.com" TargetMode="External"/><Relationship Id="rId1203" Type="http://schemas.openxmlformats.org/officeDocument/2006/relationships/hyperlink" Target="https://influencermarketinghub.com/performance-marketing-agencies/" TargetMode="External"/><Relationship Id="rId1204" Type="http://schemas.openxmlformats.org/officeDocument/2006/relationships/hyperlink" Target="http://influencermarketinghub.com" TargetMode="External"/><Relationship Id="rId1205" Type="http://schemas.openxmlformats.org/officeDocument/2006/relationships/hyperlink" Target="https://insanelogic.co.uk/top-uk-geo-agencies-for-scaling-visibility-in-generative-engines" TargetMode="External"/><Relationship Id="rId1206" Type="http://schemas.openxmlformats.org/officeDocument/2006/relationships/hyperlink" Target="http://insanelogic.co.uk" TargetMode="External"/><Relationship Id="rId1207" Type="http://schemas.openxmlformats.org/officeDocument/2006/relationships/hyperlink" Target="https://insight.atlas-mapping.com/blog/top-8-gis-mapping-companies" TargetMode="External"/><Relationship Id="rId1208" Type="http://schemas.openxmlformats.org/officeDocument/2006/relationships/hyperlink" Target="http://atlas-mapping.com" TargetMode="External"/><Relationship Id="rId1209" Type="http://schemas.openxmlformats.org/officeDocument/2006/relationships/hyperlink" Target="https://www.intellectyx.com/ai-agent-development-companies-in-usa/" TargetMode="External"/><Relationship Id="rId855" Type="http://schemas.openxmlformats.org/officeDocument/2006/relationships/hyperlink" Target="https://www.sortlist.co.uk/s/marketing-analytics/birmingham-england-gb" TargetMode="External"/><Relationship Id="rId854" Type="http://schemas.openxmlformats.org/officeDocument/2006/relationships/hyperlink" Target="http://sortlist.co.uk" TargetMode="External"/><Relationship Id="rId853" Type="http://schemas.openxmlformats.org/officeDocument/2006/relationships/hyperlink" Target="https://www.sortlist.co.uk/s/digital-advertising/united-kingdom-gb" TargetMode="External"/><Relationship Id="rId852" Type="http://schemas.openxmlformats.org/officeDocument/2006/relationships/hyperlink" Target="http://sortlist.co.uk" TargetMode="External"/><Relationship Id="rId859" Type="http://schemas.openxmlformats.org/officeDocument/2006/relationships/hyperlink" Target="https://www.sortlist.co.uk/s/programmatic-advertising/united-kingdom-gb" TargetMode="External"/><Relationship Id="rId858" Type="http://schemas.openxmlformats.org/officeDocument/2006/relationships/hyperlink" Target="http://sortlist.co.uk" TargetMode="External"/><Relationship Id="rId857" Type="http://schemas.openxmlformats.org/officeDocument/2006/relationships/hyperlink" Target="https://www.sortlist.co.uk/s/paid-media/greater-london-england-gb" TargetMode="External"/><Relationship Id="rId856" Type="http://schemas.openxmlformats.org/officeDocument/2006/relationships/hyperlink" Target="http://sortlist.co.uk" TargetMode="External"/><Relationship Id="rId851" Type="http://schemas.openxmlformats.org/officeDocument/2006/relationships/hyperlink" Target="https://www.sortlist.co.uk/s/creative/england-england-gb" TargetMode="External"/><Relationship Id="rId850" Type="http://schemas.openxmlformats.org/officeDocument/2006/relationships/hyperlink" Target="http://sortlist.co.uk" TargetMode="External"/><Relationship Id="rId1200" Type="http://schemas.openxmlformats.org/officeDocument/2006/relationships/hyperlink" Target="http://inbeat.co" TargetMode="External"/><Relationship Id="rId1201" Type="http://schemas.openxmlformats.org/officeDocument/2006/relationships/hyperlink" Target="https://influencermarketinghub.com/geo-agencies/" TargetMode="External"/><Relationship Id="rId1235" Type="http://schemas.openxmlformats.org/officeDocument/2006/relationships/hyperlink" Target="https://www.marketingagencyindex.com/uk" TargetMode="External"/><Relationship Id="rId1236" Type="http://schemas.openxmlformats.org/officeDocument/2006/relationships/hyperlink" Target="http://marketingagencyindex.com" TargetMode="External"/><Relationship Id="rId1237" Type="http://schemas.openxmlformats.org/officeDocument/2006/relationships/hyperlink" Target="https://www.marketingagencyindex.com/uk/ownership-model/network" TargetMode="External"/><Relationship Id="rId1238" Type="http://schemas.openxmlformats.org/officeDocument/2006/relationships/hyperlink" Target="http://marketingagencyindex.com" TargetMode="External"/><Relationship Id="rId1239" Type="http://schemas.openxmlformats.org/officeDocument/2006/relationships/hyperlink" Target="https://marketingsignals.com/best-ppc-agency-2026-the-top-uk-pay-per-click-agencies-ranked/" TargetMode="External"/><Relationship Id="rId409" Type="http://schemas.openxmlformats.org/officeDocument/2006/relationships/hyperlink" Target="http://gripped.io" TargetMode="External"/><Relationship Id="rId404" Type="http://schemas.openxmlformats.org/officeDocument/2006/relationships/hyperlink" Target="https://www.ecomone.com/insights/top-geo-agencies-uk/" TargetMode="External"/><Relationship Id="rId888" Type="http://schemas.openxmlformats.org/officeDocument/2006/relationships/hyperlink" Target="http://2pointagency.com" TargetMode="External"/><Relationship Id="rId403" Type="http://schemas.openxmlformats.org/officeDocument/2006/relationships/hyperlink" Target="http://digitalreference.co" TargetMode="External"/><Relationship Id="rId887" Type="http://schemas.openxmlformats.org/officeDocument/2006/relationships/hyperlink" Target="https://www.2pointagency.com/glossary/data-activation-and-first-party-data-strategy-a-comprehensive-guide-for-businesses/" TargetMode="External"/><Relationship Id="rId402" Type="http://schemas.openxmlformats.org/officeDocument/2006/relationships/hyperlink" Target="https://www.digitalreference.co/insights/marketing-professionals/best-digital-marketing-agencies-companies-in-uk" TargetMode="External"/><Relationship Id="rId886" Type="http://schemas.openxmlformats.org/officeDocument/2006/relationships/hyperlink" Target="http://20northmarketing.com" TargetMode="External"/><Relationship Id="rId401" Type="http://schemas.openxmlformats.org/officeDocument/2006/relationships/hyperlink" Target="http://clutch.co" TargetMode="External"/><Relationship Id="rId885" Type="http://schemas.openxmlformats.org/officeDocument/2006/relationships/hyperlink" Target="https://www.20northmarketing.com/blog/top-ai-optimization-agencies" TargetMode="External"/><Relationship Id="rId408" Type="http://schemas.openxmlformats.org/officeDocument/2006/relationships/hyperlink" Target="https://gripped.io/b2b-marketing/top-marketing-agencies-uk/" TargetMode="External"/><Relationship Id="rId407" Type="http://schemas.openxmlformats.org/officeDocument/2006/relationships/hyperlink" Target="http://factoryjet.com" TargetMode="External"/><Relationship Id="rId406" Type="http://schemas.openxmlformats.org/officeDocument/2006/relationships/hyperlink" Target="https://factoryjet.com/blog/best-ai-seo-agencies-uk" TargetMode="External"/><Relationship Id="rId405" Type="http://schemas.openxmlformats.org/officeDocument/2006/relationships/hyperlink" Target="http://ecomone.com" TargetMode="External"/><Relationship Id="rId889" Type="http://schemas.openxmlformats.org/officeDocument/2006/relationships/hyperlink" Target="https://www.303.london/blog/top-creative-agencies-uk" TargetMode="External"/><Relationship Id="rId880" Type="http://schemas.openxmlformats.org/officeDocument/2006/relationships/hyperlink" Target="http://topseobrands.com" TargetMode="External"/><Relationship Id="rId1230" Type="http://schemas.openxmlformats.org/officeDocument/2006/relationships/hyperlink" Target="http://madebyshape.co.uk" TargetMode="External"/><Relationship Id="rId400" Type="http://schemas.openxmlformats.org/officeDocument/2006/relationships/hyperlink" Target="https://clutch.co/agencies/sem/uk" TargetMode="External"/><Relationship Id="rId884" Type="http://schemas.openxmlformats.org/officeDocument/2006/relationships/hyperlink" Target="http://webtonic.io" TargetMode="External"/><Relationship Id="rId1231" Type="http://schemas.openxmlformats.org/officeDocument/2006/relationships/hyperlink" Target="https://marketerhire.com/blog/display-advertising-agency" TargetMode="External"/><Relationship Id="rId883" Type="http://schemas.openxmlformats.org/officeDocument/2006/relationships/hyperlink" Target="https://www.webtonic.io/blog/top-social-media-agencies-uk" TargetMode="External"/><Relationship Id="rId1232" Type="http://schemas.openxmlformats.org/officeDocument/2006/relationships/hyperlink" Target="http://marketerhire.com" TargetMode="External"/><Relationship Id="rId882" Type="http://schemas.openxmlformats.org/officeDocument/2006/relationships/hyperlink" Target="http://webtonic.io" TargetMode="External"/><Relationship Id="rId1233" Type="http://schemas.openxmlformats.org/officeDocument/2006/relationships/hyperlink" Target="https://marketing-attribution-and-consulting.martechoutlook.com/vendors/top-marketing-attribution-and-consulting-services.html" TargetMode="External"/><Relationship Id="rId881" Type="http://schemas.openxmlformats.org/officeDocument/2006/relationships/hyperlink" Target="https://www.webtonic.io/blog/top-conversion-rate-optimisation-agencies-london" TargetMode="External"/><Relationship Id="rId1234" Type="http://schemas.openxmlformats.org/officeDocument/2006/relationships/hyperlink" Target="http://martechoutlook.com" TargetMode="External"/><Relationship Id="rId1224" Type="http://schemas.openxmlformats.org/officeDocument/2006/relationships/hyperlink" Target="http://linkedin.com" TargetMode="External"/><Relationship Id="rId1225" Type="http://schemas.openxmlformats.org/officeDocument/2006/relationships/hyperlink" Target="https://www.loudface.co/blog/best-aeo-agencies-b2b-saas-2026" TargetMode="External"/><Relationship Id="rId1226" Type="http://schemas.openxmlformats.org/officeDocument/2006/relationships/hyperlink" Target="http://loudface.co" TargetMode="External"/><Relationship Id="rId1227" Type="http://schemas.openxmlformats.org/officeDocument/2006/relationships/hyperlink" Target="https://lunarailab.com/blog/2026/03/04/top-5-ai-agent-adoption-agencies-in-2026/" TargetMode="External"/><Relationship Id="rId1228" Type="http://schemas.openxmlformats.org/officeDocument/2006/relationships/hyperlink" Target="http://lunarailab.com" TargetMode="External"/><Relationship Id="rId1229" Type="http://schemas.openxmlformats.org/officeDocument/2006/relationships/hyperlink" Target="https://madebyshape.co.uk/web-design-blog/the-best-branding-agencies-to-work-for-in-the-uk/" TargetMode="External"/><Relationship Id="rId877" Type="http://schemas.openxmlformats.org/officeDocument/2006/relationships/hyperlink" Target="https://thetechfounders.co.uk/guides/10-best-ai-readiness-assessment-platforms-available-in-2026/" TargetMode="External"/><Relationship Id="rId876" Type="http://schemas.openxmlformats.org/officeDocument/2006/relationships/hyperlink" Target="http://themanifest.com" TargetMode="External"/><Relationship Id="rId875" Type="http://schemas.openxmlformats.org/officeDocument/2006/relationships/hyperlink" Target="https://themanifest.com/programmatic/agencies/uk" TargetMode="External"/><Relationship Id="rId874" Type="http://schemas.openxmlformats.org/officeDocument/2006/relationships/hyperlink" Target="http://thegrowthsyndicate.com" TargetMode="External"/><Relationship Id="rId879" Type="http://schemas.openxmlformats.org/officeDocument/2006/relationships/hyperlink" Target="https://www.topseobrands.com/uk/best-display-advertising-firms-in-uk/page/8" TargetMode="External"/><Relationship Id="rId878" Type="http://schemas.openxmlformats.org/officeDocument/2006/relationships/hyperlink" Target="http://thetechfounders.co.uk" TargetMode="External"/><Relationship Id="rId873" Type="http://schemas.openxmlformats.org/officeDocument/2006/relationships/hyperlink" Target="https://www.thegrowthsyndicate.com/agencies/best-b2b-digital-marketing-agencies-uk" TargetMode="External"/><Relationship Id="rId1220" Type="http://schemas.openxmlformats.org/officeDocument/2006/relationships/hyperlink" Target="http://lengreo.com" TargetMode="External"/><Relationship Id="rId872" Type="http://schemas.openxmlformats.org/officeDocument/2006/relationships/hyperlink" Target="http://thatware.co" TargetMode="External"/><Relationship Id="rId1221" Type="http://schemas.openxmlformats.org/officeDocument/2006/relationships/hyperlink" Target="https://www.leverdigital.co.uk/post/best-ppc-agencies-uk" TargetMode="External"/><Relationship Id="rId871" Type="http://schemas.openxmlformats.org/officeDocument/2006/relationships/hyperlink" Target="https://thatware.co/top-10-seo-companies-in-uk/" TargetMode="External"/><Relationship Id="rId1222" Type="http://schemas.openxmlformats.org/officeDocument/2006/relationships/hyperlink" Target="http://leverdigital.co.uk" TargetMode="External"/><Relationship Id="rId870" Type="http://schemas.openxmlformats.org/officeDocument/2006/relationships/hyperlink" Target="http://techbehemoths.com" TargetMode="External"/><Relationship Id="rId1223" Type="http://schemas.openxmlformats.org/officeDocument/2006/relationships/hyperlink" Target="https://www.linkedin.com/pulse/top-21-data-science-consulting-companies-2026-saurabh-sharma-kzwge" TargetMode="External"/><Relationship Id="rId829" Type="http://schemas.openxmlformats.org/officeDocument/2006/relationships/hyperlink" Target="http://outrightcrm.com" TargetMode="External"/><Relationship Id="rId828" Type="http://schemas.openxmlformats.org/officeDocument/2006/relationships/hyperlink" Target="https://www.outrightcrm.com/blog/roi-focused-digital-marketing-agencies/" TargetMode="External"/><Relationship Id="rId827" Type="http://schemas.openxmlformats.org/officeDocument/2006/relationships/hyperlink" Target="http://orm-tech.com" TargetMode="External"/><Relationship Id="rId822" Type="http://schemas.openxmlformats.org/officeDocument/2006/relationships/hyperlink" Target="http://noisemediagroup.co.uk" TargetMode="External"/><Relationship Id="rId821" Type="http://schemas.openxmlformats.org/officeDocument/2006/relationships/hyperlink" Target="https://www.noisemediagroup.co.uk/insights/the-best-tiktok-marketing-agencies-in-the-uk-2026" TargetMode="External"/><Relationship Id="rId820" Type="http://schemas.openxmlformats.org/officeDocument/2006/relationships/hyperlink" Target="http://noisemediagroup.co.uk" TargetMode="External"/><Relationship Id="rId826" Type="http://schemas.openxmlformats.org/officeDocument/2006/relationships/hyperlink" Target="https://orm-tech.com/blog/best-marketing-attribution-software/" TargetMode="External"/><Relationship Id="rId825" Type="http://schemas.openxmlformats.org/officeDocument/2006/relationships/hyperlink" Target="https://open.partners/open-partners-insights/top-uk-independent-marketing-agencies-5m-budgets/" TargetMode="External"/><Relationship Id="rId824" Type="http://schemas.openxmlformats.org/officeDocument/2006/relationships/hyperlink" Target="http://omnius.so" TargetMode="External"/><Relationship Id="rId823" Type="http://schemas.openxmlformats.org/officeDocument/2006/relationships/hyperlink" Target="https://www.omnius.so/blog/best-answer-engine-optimization-agencies" TargetMode="External"/><Relationship Id="rId819" Type="http://schemas.openxmlformats.org/officeDocument/2006/relationships/hyperlink" Target="https://www.noisemediagroup.co.uk/insights/the-best-social-media-marketing-agencies-in-london-2026" TargetMode="External"/><Relationship Id="rId818" Type="http://schemas.openxmlformats.org/officeDocument/2006/relationships/hyperlink" Target="http://nogood.io" TargetMode="External"/><Relationship Id="rId817" Type="http://schemas.openxmlformats.org/officeDocument/2006/relationships/hyperlink" Target="https://nogood.io/blog/ai-marketing-agency/" TargetMode="External"/><Relationship Id="rId816" Type="http://schemas.openxmlformats.org/officeDocument/2006/relationships/hyperlink" Target="http://neuraladx.com" TargetMode="External"/><Relationship Id="rId811" Type="http://schemas.openxmlformats.org/officeDocument/2006/relationships/hyperlink" Target="https://netmonkeys.co.uk/top-10-ai-gen-ai-consultancy-firms-in-the-uk-netmonkeys" TargetMode="External"/><Relationship Id="rId810" Type="http://schemas.openxmlformats.org/officeDocument/2006/relationships/hyperlink" Target="https://www.munro.agency/insights/top-marketing-companies-in-the-world/" TargetMode="External"/><Relationship Id="rId815" Type="http://schemas.openxmlformats.org/officeDocument/2006/relationships/hyperlink" Target="https://neuraladx.com/top-10-geo-agencies-uk/" TargetMode="External"/><Relationship Id="rId814" Type="http://schemas.openxmlformats.org/officeDocument/2006/relationships/hyperlink" Target="http://neuraladx.com" TargetMode="External"/><Relationship Id="rId813" Type="http://schemas.openxmlformats.org/officeDocument/2006/relationships/hyperlink" Target="https://neuraladx.com/best-ai-search-optimisation-agency-property-companies-uk/" TargetMode="External"/><Relationship Id="rId812" Type="http://schemas.openxmlformats.org/officeDocument/2006/relationships/hyperlink" Target="http://netmonkeys.co.uk" TargetMode="External"/><Relationship Id="rId849" Type="http://schemas.openxmlformats.org/officeDocument/2006/relationships/hyperlink" Target="https://www.sortlist.co.uk/s/attribution-marketing/essex-england-gb" TargetMode="External"/><Relationship Id="rId844" Type="http://schemas.openxmlformats.org/officeDocument/2006/relationships/hyperlink" Target="http://silverspoonagency.com" TargetMode="External"/><Relationship Id="rId843" Type="http://schemas.openxmlformats.org/officeDocument/2006/relationships/hyperlink" Target="https://silverspoonagency.com/best-performance-marketing-agencies/" TargetMode="External"/><Relationship Id="rId842" Type="http://schemas.openxmlformats.org/officeDocument/2006/relationships/hyperlink" Target="http://scopicstudios.com" TargetMode="External"/><Relationship Id="rId841" Type="http://schemas.openxmlformats.org/officeDocument/2006/relationships/hyperlink" Target="https://scopicstudios.com/blog/top-performance-marketing-agencies/" TargetMode="External"/><Relationship Id="rId848" Type="http://schemas.openxmlformats.org/officeDocument/2006/relationships/hyperlink" Target="http://sortlist.co.uk" TargetMode="External"/><Relationship Id="rId847" Type="http://schemas.openxmlformats.org/officeDocument/2006/relationships/hyperlink" Target="https://www.sortlist.co.uk/s/ai-marketing/london-england-gb" TargetMode="External"/><Relationship Id="rId846" Type="http://schemas.openxmlformats.org/officeDocument/2006/relationships/hyperlink" Target="http://socialander.com" TargetMode="External"/><Relationship Id="rId845" Type="http://schemas.openxmlformats.org/officeDocument/2006/relationships/hyperlink" Target="https://socialander.com/top-digital-marketing-company-in-the-united-kingdom/" TargetMode="External"/><Relationship Id="rId840" Type="http://schemas.openxmlformats.org/officeDocument/2006/relationships/hyperlink" Target="http://rightfirms.co" TargetMode="External"/><Relationship Id="rId839" Type="http://schemas.openxmlformats.org/officeDocument/2006/relationships/hyperlink" Target="https://www.rightfirms.co/directory/geo-services/country/united-kingdom" TargetMode="External"/><Relationship Id="rId838" Type="http://schemas.openxmlformats.org/officeDocument/2006/relationships/hyperlink" Target="http://reddit.com" TargetMode="External"/><Relationship Id="rId833" Type="http://schemas.openxmlformats.org/officeDocument/2006/relationships/hyperlink" Target="https://ppcgeeks.co.uk/ppc/top-7-google-ads-agencies-in-the-uk-for-exceptional-ppc-results/" TargetMode="External"/><Relationship Id="rId832" Type="http://schemas.openxmlformats.org/officeDocument/2006/relationships/hyperlink" Target="https://pinpoint-media.global/insights/best-10-digital-marketing-companies-in-the-uk-2026" TargetMode="External"/><Relationship Id="rId831" Type="http://schemas.openxmlformats.org/officeDocument/2006/relationships/hyperlink" Target="http://phosailabs.com" TargetMode="External"/><Relationship Id="rId830" Type="http://schemas.openxmlformats.org/officeDocument/2006/relationships/hyperlink" Target="https://phosailabs.com/blog/best-ai-consulting-firms-marketing-agencies" TargetMode="External"/><Relationship Id="rId837" Type="http://schemas.openxmlformats.org/officeDocument/2006/relationships/hyperlink" Target="https://www.reddit.com/r/b2bmarketing/comments/1rl47cr/the_10_best_visibility_companies_and_agencies_for/" TargetMode="External"/><Relationship Id="rId836" Type="http://schemas.openxmlformats.org/officeDocument/2006/relationships/hyperlink" Target="http://rank4ai.co.uk" TargetMode="External"/><Relationship Id="rId835" Type="http://schemas.openxmlformats.org/officeDocument/2006/relationships/hyperlink" Target="https://www.rank4ai.co.uk/research/rankings/top-ai-search-visibility-agencies-2026/" TargetMode="External"/><Relationship Id="rId834" Type="http://schemas.openxmlformats.org/officeDocument/2006/relationships/hyperlink" Target="http://ppcgeeks.co.uk" TargetMode="External"/><Relationship Id="rId469" Type="http://schemas.openxmlformats.org/officeDocument/2006/relationships/hyperlink" Target="https://www.design-intellect.co.uk/top_50_advertising_marketing_agencies_list.html" TargetMode="External"/><Relationship Id="rId468" Type="http://schemas.openxmlformats.org/officeDocument/2006/relationships/hyperlink" Target="http://semrush.com" TargetMode="External"/><Relationship Id="rId467" Type="http://schemas.openxmlformats.org/officeDocument/2006/relationships/hyperlink" Target="https://agencies.semrush.com/list/search-engine-marketing/united-kingdom/" TargetMode="External"/><Relationship Id="rId1290" Type="http://schemas.openxmlformats.org/officeDocument/2006/relationships/hyperlink" Target="http://phable.io" TargetMode="External"/><Relationship Id="rId1291" Type="http://schemas.openxmlformats.org/officeDocument/2006/relationships/hyperlink" Target="https://pinpoint-media.global/insights/top-10-full-service-marketing-agencies-in-london" TargetMode="External"/><Relationship Id="rId1292" Type="http://schemas.openxmlformats.org/officeDocument/2006/relationships/hyperlink" Target="https://pinpoint-media.global/insights/top-10-tailored-paid-media-agencies-in-london" TargetMode="External"/><Relationship Id="rId462" Type="http://schemas.openxmlformats.org/officeDocument/2006/relationships/hyperlink" Target="http://techbehemoths.com" TargetMode="External"/><Relationship Id="rId1293" Type="http://schemas.openxmlformats.org/officeDocument/2006/relationships/hyperlink" Target="https://pinpoint-media.global/insights/top-5-paid-media-performance-agencies-for-health-wellness-brands" TargetMode="External"/><Relationship Id="rId461" Type="http://schemas.openxmlformats.org/officeDocument/2006/relationships/hyperlink" Target="https://techbehemoths.com/companies/google-ads/united-kingdom" TargetMode="External"/><Relationship Id="rId1294" Type="http://schemas.openxmlformats.org/officeDocument/2006/relationships/hyperlink" Target="https://pipeline.zoominfo.com/sales/intent-data-platform" TargetMode="External"/><Relationship Id="rId460" Type="http://schemas.openxmlformats.org/officeDocument/2006/relationships/hyperlink" Target="http://superside.com" TargetMode="External"/><Relationship Id="rId1295" Type="http://schemas.openxmlformats.org/officeDocument/2006/relationships/hyperlink" Target="http://zoominfo.com" TargetMode="External"/><Relationship Id="rId1296" Type="http://schemas.openxmlformats.org/officeDocument/2006/relationships/hyperlink" Target="https://www.pitchkitchen.com/best-ai-sales-marketing-agencies" TargetMode="External"/><Relationship Id="rId466" Type="http://schemas.openxmlformats.org/officeDocument/2006/relationships/hyperlink" Target="http://zipdo.co" TargetMode="External"/><Relationship Id="rId1297" Type="http://schemas.openxmlformats.org/officeDocument/2006/relationships/hyperlink" Target="http://pitchkitchen.com" TargetMode="External"/><Relationship Id="rId465" Type="http://schemas.openxmlformats.org/officeDocument/2006/relationships/hyperlink" Target="https://zipdo.co/service/marketing-attribution/" TargetMode="External"/><Relationship Id="rId1298" Type="http://schemas.openxmlformats.org/officeDocument/2006/relationships/hyperlink" Target="https://www.polarisagency.com/marketing-insights/best-demand-gen-agencies-b2b-uk/" TargetMode="External"/><Relationship Id="rId464" Type="http://schemas.openxmlformats.org/officeDocument/2006/relationships/hyperlink" Target="http://wildishandco.co.uk" TargetMode="External"/><Relationship Id="rId1299" Type="http://schemas.openxmlformats.org/officeDocument/2006/relationships/hyperlink" Target="http://polarisagency.com" TargetMode="External"/><Relationship Id="rId463" Type="http://schemas.openxmlformats.org/officeDocument/2006/relationships/hyperlink" Target="https://www.wildishandco.co.uk/blog/best-creative-agencies-lifestyle-brands-uk" TargetMode="External"/><Relationship Id="rId459" Type="http://schemas.openxmlformats.org/officeDocument/2006/relationships/hyperlink" Target="https://www.superside.com/blog/creative-agencies-london" TargetMode="External"/><Relationship Id="rId458" Type="http://schemas.openxmlformats.org/officeDocument/2006/relationships/hyperlink" Target="http://sortlist.com" TargetMode="External"/><Relationship Id="rId457" Type="http://schemas.openxmlformats.org/officeDocument/2006/relationships/hyperlink" Target="https://www.sortlist.com/attribution-marketing" TargetMode="External"/><Relationship Id="rId456" Type="http://schemas.openxmlformats.org/officeDocument/2006/relationships/hyperlink" Target="http://sortlist.co.uk" TargetMode="External"/><Relationship Id="rId1280" Type="http://schemas.openxmlformats.org/officeDocument/2006/relationships/hyperlink" Target="https://onlineoptimism.com/learn/top-b2b-social-media-agencies-in-the-world/" TargetMode="External"/><Relationship Id="rId1281" Type="http://schemas.openxmlformats.org/officeDocument/2006/relationships/hyperlink" Target="http://onlineoptimism.com" TargetMode="External"/><Relationship Id="rId451" Type="http://schemas.openxmlformats.org/officeDocument/2006/relationships/hyperlink" Target="https://www.seoworks.com/lists/20-best-digital-marketing-companies-in-the-uk/" TargetMode="External"/><Relationship Id="rId1282" Type="http://schemas.openxmlformats.org/officeDocument/2006/relationships/hyperlink" Target="https://oski.site/blog/sales-and-marketing-analytics-companies-europe/" TargetMode="External"/><Relationship Id="rId450" Type="http://schemas.openxmlformats.org/officeDocument/2006/relationships/hyperlink" Target="http://semnexus.com" TargetMode="External"/><Relationship Id="rId1283" Type="http://schemas.openxmlformats.org/officeDocument/2006/relationships/hyperlink" Target="https://outreachz.com/blog/best-ai-marketing-agencies-2026/" TargetMode="External"/><Relationship Id="rId1284" Type="http://schemas.openxmlformats.org/officeDocument/2006/relationships/hyperlink" Target="http://outreachz.com" TargetMode="External"/><Relationship Id="rId1285" Type="http://schemas.openxmlformats.org/officeDocument/2006/relationships/hyperlink" Target="https://www.panovistamarketing.com/blog/best-seo-company-uk" TargetMode="External"/><Relationship Id="rId455" Type="http://schemas.openxmlformats.org/officeDocument/2006/relationships/hyperlink" Target="https://www.sortlist.co.uk/s/artificial-intelligence/london-england-gb" TargetMode="External"/><Relationship Id="rId1286" Type="http://schemas.openxmlformats.org/officeDocument/2006/relationships/hyperlink" Target="http://panovistamarketing.com" TargetMode="External"/><Relationship Id="rId454" Type="http://schemas.openxmlformats.org/officeDocument/2006/relationships/hyperlink" Target="http://softomatesolutions.com" TargetMode="External"/><Relationship Id="rId1287" Type="http://schemas.openxmlformats.org/officeDocument/2006/relationships/hyperlink" Target="https://pearllemon.com/top-performance-marketing-agencies-uk-2/" TargetMode="External"/><Relationship Id="rId453" Type="http://schemas.openxmlformats.org/officeDocument/2006/relationships/hyperlink" Target="https://www.softomatesolutions.com/blog/best-ai-strategy-consultants-london/" TargetMode="External"/><Relationship Id="rId1288" Type="http://schemas.openxmlformats.org/officeDocument/2006/relationships/hyperlink" Target="http://pearllemon.com" TargetMode="External"/><Relationship Id="rId452" Type="http://schemas.openxmlformats.org/officeDocument/2006/relationships/hyperlink" Target="http://seoworks.com" TargetMode="External"/><Relationship Id="rId1289" Type="http://schemas.openxmlformats.org/officeDocument/2006/relationships/hyperlink" Target="https://www.phable.io/top-creative-agencies/in-east-london-masters-of-branding-content-creation-and-digital-innovation" TargetMode="External"/><Relationship Id="rId491" Type="http://schemas.openxmlformats.org/officeDocument/2006/relationships/hyperlink" Target="https://weframetech.com/blog/top-ai-marketing-agencies-in-london-2026-for-growth" TargetMode="External"/><Relationship Id="rId490" Type="http://schemas.openxmlformats.org/officeDocument/2006/relationships/hyperlink" Target="http://seo.com" TargetMode="External"/><Relationship Id="rId489" Type="http://schemas.openxmlformats.org/officeDocument/2006/relationships/hyperlink" Target="https://www.seo.com/agency/best-digital-marketing-companies-uk/" TargetMode="External"/><Relationship Id="rId484" Type="http://schemas.openxmlformats.org/officeDocument/2006/relationships/hyperlink" Target="http://rank4ai.co.uk" TargetMode="External"/><Relationship Id="rId483" Type="http://schemas.openxmlformats.org/officeDocument/2006/relationships/hyperlink" Target="https://www.rank4ai.co.uk/research/rankings/top-ai-seo-agencies-uk-2026/" TargetMode="External"/><Relationship Id="rId482" Type="http://schemas.openxmlformats.org/officeDocument/2006/relationships/hyperlink" Target="http://neuraladx.com" TargetMode="External"/><Relationship Id="rId481" Type="http://schemas.openxmlformats.org/officeDocument/2006/relationships/hyperlink" Target="https://neuraladx.com/top-5-geo-agencies-uk-2026-review/" TargetMode="External"/><Relationship Id="rId488" Type="http://schemas.openxmlformats.org/officeDocument/2006/relationships/hyperlink" Target="http://selectedfirms.co" TargetMode="External"/><Relationship Id="rId487" Type="http://schemas.openxmlformats.org/officeDocument/2006/relationships/hyperlink" Target="https://selectedfirms.co/companies/aeo-companies" TargetMode="External"/><Relationship Id="rId486" Type="http://schemas.openxmlformats.org/officeDocument/2006/relationships/hyperlink" Target="http://reddit.com" TargetMode="External"/><Relationship Id="rId485" Type="http://schemas.openxmlformats.org/officeDocument/2006/relationships/hyperlink" Target="https://www.reddit.com/r/aeo/comments/1sf4z2h/what_are_the_top_ai_visibility_agencies_in_the_uk/" TargetMode="External"/><Relationship Id="rId480" Type="http://schemas.openxmlformats.org/officeDocument/2006/relationships/hyperlink" Target="http://nautilusmarketing.co.uk" TargetMode="External"/><Relationship Id="rId479" Type="http://schemas.openxmlformats.org/officeDocument/2006/relationships/hyperlink" Target="https://nautilusmarketing.co.uk/top-15-paid-media-agencies-in-the-uk-2025/" TargetMode="External"/><Relationship Id="rId478" Type="http://schemas.openxmlformats.org/officeDocument/2006/relationships/hyperlink" Target="http://loudface.co" TargetMode="External"/><Relationship Id="rId473" Type="http://schemas.openxmlformats.org/officeDocument/2006/relationships/hyperlink" Target="https://directiveconsulting.com/uk/blog/top-performance-marketing-agencies/" TargetMode="External"/><Relationship Id="rId472" Type="http://schemas.openxmlformats.org/officeDocument/2006/relationships/hyperlink" Target="http://digitalagencynetwork.com" TargetMode="External"/><Relationship Id="rId471" Type="http://schemas.openxmlformats.org/officeDocument/2006/relationships/hyperlink" Target="https://digitalagencynetwork.com/agencies/uk/branding/" TargetMode="External"/><Relationship Id="rId470" Type="http://schemas.openxmlformats.org/officeDocument/2006/relationships/hyperlink" Target="http://design-intellect.co.uk" TargetMode="External"/><Relationship Id="rId477" Type="http://schemas.openxmlformats.org/officeDocument/2006/relationships/hyperlink" Target="https://www.loudface.co/blog/best-aeo-agencies-2026" TargetMode="External"/><Relationship Id="rId476" Type="http://schemas.openxmlformats.org/officeDocument/2006/relationships/hyperlink" Target="http://hikemytraffic.com" TargetMode="External"/><Relationship Id="rId475" Type="http://schemas.openxmlformats.org/officeDocument/2006/relationships/hyperlink" Target="https://hikemytraffic.com/ai-social-media-marketing-agencies-in-uk/" TargetMode="External"/><Relationship Id="rId474" Type="http://schemas.openxmlformats.org/officeDocument/2006/relationships/hyperlink" Target="http://directiveconsulting.com" TargetMode="External"/><Relationship Id="rId1257" Type="http://schemas.openxmlformats.org/officeDocument/2006/relationships/hyperlink" Target="https://www.munro.agency/top-geo-agencies/" TargetMode="External"/><Relationship Id="rId1258" Type="http://schemas.openxmlformats.org/officeDocument/2006/relationships/hyperlink" Target="https://nalaber.com/insights/best-ai-seo-agencies-uk" TargetMode="External"/><Relationship Id="rId1259" Type="http://schemas.openxmlformats.org/officeDocument/2006/relationships/hyperlink" Target="http://nalaber.com" TargetMode="External"/><Relationship Id="rId426" Type="http://schemas.openxmlformats.org/officeDocument/2006/relationships/hyperlink" Target="https://agencies.semrush.com/list/advertising/united-kingdom/" TargetMode="External"/><Relationship Id="rId425" Type="http://schemas.openxmlformats.org/officeDocument/2006/relationships/hyperlink" Target="http://themanifest.com" TargetMode="External"/><Relationship Id="rId424" Type="http://schemas.openxmlformats.org/officeDocument/2006/relationships/hyperlink" Target="https://themanifest.com/creative/agencies/uk" TargetMode="External"/><Relationship Id="rId423" Type="http://schemas.openxmlformats.org/officeDocument/2006/relationships/hyperlink" Target="http://thedigitalmaze.com" TargetMode="External"/><Relationship Id="rId429" Type="http://schemas.openxmlformats.org/officeDocument/2006/relationships/hyperlink" Target="http://semrush.com" TargetMode="External"/><Relationship Id="rId428" Type="http://schemas.openxmlformats.org/officeDocument/2006/relationships/hyperlink" Target="https://agencies.semrush.com/list/display-advertising/united-kingdom/mid-business/" TargetMode="External"/><Relationship Id="rId427" Type="http://schemas.openxmlformats.org/officeDocument/2006/relationships/hyperlink" Target="http://semrush.com" TargetMode="External"/><Relationship Id="rId1250" Type="http://schemas.openxmlformats.org/officeDocument/2006/relationships/hyperlink" Target="http://mitochonpixel.co.uk" TargetMode="External"/><Relationship Id="rId1251" Type="http://schemas.openxmlformats.org/officeDocument/2006/relationships/hyperlink" Target="https://www.mobileappdaily.com/directory/digital-marketing-companies/uk" TargetMode="External"/><Relationship Id="rId1252" Type="http://schemas.openxmlformats.org/officeDocument/2006/relationships/hyperlink" Target="http://mobileappdaily.com" TargetMode="External"/><Relationship Id="rId422" Type="http://schemas.openxmlformats.org/officeDocument/2006/relationships/hyperlink" Target="https://thedigitalmaze.com/blog/top-10-ppc-agencies-in-the-uk-2026/" TargetMode="External"/><Relationship Id="rId1253" Type="http://schemas.openxmlformats.org/officeDocument/2006/relationships/hyperlink" Target="https://www.munro.agency/best-growth-marketing-agencies/" TargetMode="External"/><Relationship Id="rId421" Type="http://schemas.openxmlformats.org/officeDocument/2006/relationships/hyperlink" Target="http://swifterm.com" TargetMode="External"/><Relationship Id="rId1254" Type="http://schemas.openxmlformats.org/officeDocument/2006/relationships/hyperlink" Target="https://www.munro.agency/creative-advertising-agencies/" TargetMode="External"/><Relationship Id="rId420" Type="http://schemas.openxmlformats.org/officeDocument/2006/relationships/hyperlink" Target="https://swifterm.com/top-google-ad-agencies-in-the-united-kingdom/" TargetMode="External"/><Relationship Id="rId1255" Type="http://schemas.openxmlformats.org/officeDocument/2006/relationships/hyperlink" Target="https://www.munro.agency/google-ads-agencies/" TargetMode="External"/><Relationship Id="rId1256" Type="http://schemas.openxmlformats.org/officeDocument/2006/relationships/hyperlink" Target="https://www.munro.agency/top-10-paid-media-agencies/" TargetMode="External"/><Relationship Id="rId1246" Type="http://schemas.openxmlformats.org/officeDocument/2006/relationships/hyperlink" Target="http://mediascape.ltd.uk" TargetMode="External"/><Relationship Id="rId1247" Type="http://schemas.openxmlformats.org/officeDocument/2006/relationships/hyperlink" Target="https://www.mediaworxfilms.com/post/best-10-creative-agencies-in-london-2025" TargetMode="External"/><Relationship Id="rId1248" Type="http://schemas.openxmlformats.org/officeDocument/2006/relationships/hyperlink" Target="http://mediaworxfilms.com" TargetMode="External"/><Relationship Id="rId1249" Type="http://schemas.openxmlformats.org/officeDocument/2006/relationships/hyperlink" Target="https://www.mitochonpixel.co.uk/blogs/top-10-analytics-and-reporting-companies-in-uk" TargetMode="External"/><Relationship Id="rId415" Type="http://schemas.openxmlformats.org/officeDocument/2006/relationships/hyperlink" Target="http://seoworks.com" TargetMode="External"/><Relationship Id="rId899" Type="http://schemas.openxmlformats.org/officeDocument/2006/relationships/hyperlink" Target="http://semrush.com" TargetMode="External"/><Relationship Id="rId414" Type="http://schemas.openxmlformats.org/officeDocument/2006/relationships/hyperlink" Target="https://www.seoworks.com/lists/best-aeo-answer-engine-optimisation-agencies/" TargetMode="External"/><Relationship Id="rId898" Type="http://schemas.openxmlformats.org/officeDocument/2006/relationships/hyperlink" Target="https://agencies.semrush.com/list/advertising/united-kingdom/small-business/" TargetMode="External"/><Relationship Id="rId413" Type="http://schemas.openxmlformats.org/officeDocument/2006/relationships/hyperlink" Target="http://joinupscale.com" TargetMode="External"/><Relationship Id="rId897" Type="http://schemas.openxmlformats.org/officeDocument/2006/relationships/hyperlink" Target="http://aeo-rex.com" TargetMode="External"/><Relationship Id="rId412" Type="http://schemas.openxmlformats.org/officeDocument/2006/relationships/hyperlink" Target="https://joinupscale.com/blog/top-google-shopping-ads-agencies-uk/" TargetMode="External"/><Relationship Id="rId896" Type="http://schemas.openxmlformats.org/officeDocument/2006/relationships/hyperlink" Target="https://aeo-rex.com/blog/best-aeo-agencies-uk-2026" TargetMode="External"/><Relationship Id="rId419" Type="http://schemas.openxmlformats.org/officeDocument/2006/relationships/hyperlink" Target="http://sourceforge.net" TargetMode="External"/><Relationship Id="rId418" Type="http://schemas.openxmlformats.org/officeDocument/2006/relationships/hyperlink" Target="https://sourceforge.net/software/incrementality-testing/uk/" TargetMode="External"/><Relationship Id="rId417" Type="http://schemas.openxmlformats.org/officeDocument/2006/relationships/hyperlink" Target="http://sortlist.co.uk" TargetMode="External"/><Relationship Id="rId416" Type="http://schemas.openxmlformats.org/officeDocument/2006/relationships/hyperlink" Target="https://www.sortlist.co.uk/s/performance-marketing/england-england-gb" TargetMode="External"/><Relationship Id="rId891" Type="http://schemas.openxmlformats.org/officeDocument/2006/relationships/hyperlink" Target="http://50pros.com" TargetMode="External"/><Relationship Id="rId890" Type="http://schemas.openxmlformats.org/officeDocument/2006/relationships/hyperlink" Target="https://www.50pros.com/hire/market-research" TargetMode="External"/><Relationship Id="rId1240" Type="http://schemas.openxmlformats.org/officeDocument/2006/relationships/hyperlink" Target="http://marketingsignals.com" TargetMode="External"/><Relationship Id="rId1241" Type="http://schemas.openxmlformats.org/officeDocument/2006/relationships/hyperlink" Target="https://martal.ca/integrated-marketing-agencies-lb/" TargetMode="External"/><Relationship Id="rId411" Type="http://schemas.openxmlformats.org/officeDocument/2006/relationships/hyperlink" Target="http://hockeystack.com" TargetMode="External"/><Relationship Id="rId895" Type="http://schemas.openxmlformats.org/officeDocument/2006/relationships/hyperlink" Target="http://adzooma.com" TargetMode="External"/><Relationship Id="rId1242" Type="http://schemas.openxmlformats.org/officeDocument/2006/relationships/hyperlink" Target="http://martal.ca" TargetMode="External"/><Relationship Id="rId410" Type="http://schemas.openxmlformats.org/officeDocument/2006/relationships/hyperlink" Target="https://www.hockeystack.com/blog-posts/best-marketing-attribution-software" TargetMode="External"/><Relationship Id="rId894" Type="http://schemas.openxmlformats.org/officeDocument/2006/relationships/hyperlink" Target="https://adzooma.com/blog/top-10-advertising-agencies-in-the-uk/" TargetMode="External"/><Relationship Id="rId1243" Type="http://schemas.openxmlformats.org/officeDocument/2006/relationships/hyperlink" Target="https://www.measured.com/faq/top-11-best-media-mix-modeling-companies-software-for-2026/" TargetMode="External"/><Relationship Id="rId893" Type="http://schemas.openxmlformats.org/officeDocument/2006/relationships/hyperlink" Target="http://adstellar.ai" TargetMode="External"/><Relationship Id="rId1244" Type="http://schemas.openxmlformats.org/officeDocument/2006/relationships/hyperlink" Target="http://measured.com" TargetMode="External"/><Relationship Id="rId892" Type="http://schemas.openxmlformats.org/officeDocument/2006/relationships/hyperlink" Target="https://www.adstellar.ai/blog/media-buying-automation-tools" TargetMode="External"/><Relationship Id="rId1245" Type="http://schemas.openxmlformats.org/officeDocument/2006/relationships/hyperlink" Target="https://mediascape.ltd.uk/av-insights/top-digital-screen-companies-in-the-uk/" TargetMode="External"/><Relationship Id="rId1279" Type="http://schemas.openxmlformats.org/officeDocument/2006/relationships/hyperlink" Target="http://onely.com" TargetMode="External"/><Relationship Id="rId448" Type="http://schemas.openxmlformats.org/officeDocument/2006/relationships/hyperlink" Target="http://reddit.com" TargetMode="External"/><Relationship Id="rId447" Type="http://schemas.openxmlformats.org/officeDocument/2006/relationships/hyperlink" Target="https://www.reddit.com/r/Topagencies/comments/1spi0q0/top_ppc_agencies_in_england_packages_pricing_cost/" TargetMode="External"/><Relationship Id="rId446" Type="http://schemas.openxmlformats.org/officeDocument/2006/relationships/hyperlink" Target="http://reddit.com" TargetMode="External"/><Relationship Id="rId445" Type="http://schemas.openxmlformats.org/officeDocument/2006/relationships/hyperlink" Target="https://www.reddit.com/r/Superframeworks/comments/1twfxf1/10_best_ai_seo_geoaeo_agencies_for_2026_no/" TargetMode="External"/><Relationship Id="rId449" Type="http://schemas.openxmlformats.org/officeDocument/2006/relationships/hyperlink" Target="https://semnexus.com/top-aeo-agencies-london" TargetMode="External"/><Relationship Id="rId1270" Type="http://schemas.openxmlformats.org/officeDocument/2006/relationships/hyperlink" Target="https://www.niracore.com/top-ai-consulting-companies-in-the-uk/" TargetMode="External"/><Relationship Id="rId440" Type="http://schemas.openxmlformats.org/officeDocument/2006/relationships/hyperlink" Target="https://www.influencer-hero.com/de/blogs/top-paid-media-agencies-in-the-united-kingdom" TargetMode="External"/><Relationship Id="rId1271" Type="http://schemas.openxmlformats.org/officeDocument/2006/relationships/hyperlink" Target="http://niracore.com" TargetMode="External"/><Relationship Id="rId1272" Type="http://schemas.openxmlformats.org/officeDocument/2006/relationships/hyperlink" Target="https://noirandblanco.com/best-digital-marketing-agencies-in-the-uk/" TargetMode="External"/><Relationship Id="rId1273" Type="http://schemas.openxmlformats.org/officeDocument/2006/relationships/hyperlink" Target="http://noirandblanco.com" TargetMode="External"/><Relationship Id="rId1274" Type="http://schemas.openxmlformats.org/officeDocument/2006/relationships/hyperlink" Target="https://oakpool.xyz/drift/top-10-geo-aeo-ai-search-agencies/" TargetMode="External"/><Relationship Id="rId444" Type="http://schemas.openxmlformats.org/officeDocument/2006/relationships/hyperlink" Target="https://pinpoint-media.global/insights/top-10-paid-media-agencies-in-london" TargetMode="External"/><Relationship Id="rId1275" Type="http://schemas.openxmlformats.org/officeDocument/2006/relationships/hyperlink" Target="http://oakpool.xyz" TargetMode="External"/><Relationship Id="rId443" Type="http://schemas.openxmlformats.org/officeDocument/2006/relationships/hyperlink" Target="http://pearllemon.com" TargetMode="External"/><Relationship Id="rId1276" Type="http://schemas.openxmlformats.org/officeDocument/2006/relationships/hyperlink" Target="https://www.ofspace.co/blog/digital-product-design-agency-london" TargetMode="External"/><Relationship Id="rId442" Type="http://schemas.openxmlformats.org/officeDocument/2006/relationships/hyperlink" Target="https://pearllemon.com/top-paid-media-agencies-uk/" TargetMode="External"/><Relationship Id="rId1277" Type="http://schemas.openxmlformats.org/officeDocument/2006/relationships/hyperlink" Target="http://ofspace.co" TargetMode="External"/><Relationship Id="rId441" Type="http://schemas.openxmlformats.org/officeDocument/2006/relationships/hyperlink" Target="http://influencer-hero.com" TargetMode="External"/><Relationship Id="rId1278" Type="http://schemas.openxmlformats.org/officeDocument/2006/relationships/hyperlink" Target="https://www.onely.com/blog/best-digital-marketing-agencies/" TargetMode="External"/><Relationship Id="rId1268" Type="http://schemas.openxmlformats.org/officeDocument/2006/relationships/hyperlink" Target="https://ninjapromo.io/best-ai-marketing-agencies" TargetMode="External"/><Relationship Id="rId1269" Type="http://schemas.openxmlformats.org/officeDocument/2006/relationships/hyperlink" Target="http://ninjapromo.io" TargetMode="External"/><Relationship Id="rId437" Type="http://schemas.openxmlformats.org/officeDocument/2006/relationships/hyperlink" Target="http://dramatik.com" TargetMode="External"/><Relationship Id="rId436" Type="http://schemas.openxmlformats.org/officeDocument/2006/relationships/hyperlink" Target="https://dramatik.com/blog/google-ads-agencies-uk/" TargetMode="External"/><Relationship Id="rId435" Type="http://schemas.openxmlformats.org/officeDocument/2006/relationships/hyperlink" Target="http://cornishwebservices.co.uk" TargetMode="External"/><Relationship Id="rId434" Type="http://schemas.openxmlformats.org/officeDocument/2006/relationships/hyperlink" Target="https://www.cornishwebservices.co.uk/articles/marketing/Top-10-PPC-Agencies-in-the-UK-in-2026.html" TargetMode="External"/><Relationship Id="rId439" Type="http://schemas.openxmlformats.org/officeDocument/2006/relationships/hyperlink" Target="http://ecomposer.io" TargetMode="External"/><Relationship Id="rId438" Type="http://schemas.openxmlformats.org/officeDocument/2006/relationships/hyperlink" Target="https://ecomposer.io/blogs/comparison/data-driven-marketing-agencies-uk" TargetMode="External"/><Relationship Id="rId1260" Type="http://schemas.openxmlformats.org/officeDocument/2006/relationships/hyperlink" Target="https://nealschaffer.com/ai-marketing-agency/" TargetMode="External"/><Relationship Id="rId1261" Type="http://schemas.openxmlformats.org/officeDocument/2006/relationships/hyperlink" Target="http://nealschaffer.com" TargetMode="External"/><Relationship Id="rId1262" Type="http://schemas.openxmlformats.org/officeDocument/2006/relationships/hyperlink" Target="https://neuraladx.com/best-perplexity-optimisation-agency-uk/" TargetMode="External"/><Relationship Id="rId1263" Type="http://schemas.openxmlformats.org/officeDocument/2006/relationships/hyperlink" Target="http://neuraladx.com" TargetMode="External"/><Relationship Id="rId433" Type="http://schemas.openxmlformats.org/officeDocument/2006/relationships/hyperlink" Target="http://atomicdigitalmarketing.co.uk" TargetMode="External"/><Relationship Id="rId1264" Type="http://schemas.openxmlformats.org/officeDocument/2006/relationships/hyperlink" Target="https://neuraladx.com/comparison-of-the-top-10-generative-engine-optimisation-geo-service-agencies-2026/" TargetMode="External"/><Relationship Id="rId432" Type="http://schemas.openxmlformats.org/officeDocument/2006/relationships/hyperlink" Target="https://atomicdigitalmarketing.co.uk/" TargetMode="External"/><Relationship Id="rId1265" Type="http://schemas.openxmlformats.org/officeDocument/2006/relationships/hyperlink" Target="http://neuraladx.com" TargetMode="External"/><Relationship Id="rId431" Type="http://schemas.openxmlformats.org/officeDocument/2006/relationships/hyperlink" Target="http://ampliflow.ai" TargetMode="External"/><Relationship Id="rId1266" Type="http://schemas.openxmlformats.org/officeDocument/2006/relationships/hyperlink" Target="https://www.nikaconsulting.co.nz/advertising-agencies-auckland/" TargetMode="External"/><Relationship Id="rId430" Type="http://schemas.openxmlformats.org/officeDocument/2006/relationships/hyperlink" Target="https://ampliflow.ai/blog/best-ai-agencies-uk-2026" TargetMode="External"/><Relationship Id="rId1267" Type="http://schemas.openxmlformats.org/officeDocument/2006/relationships/hyperlink" Target="http://nikaconsulting.co.nz"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youtube.com" TargetMode="External"/><Relationship Id="rId2" Type="http://schemas.openxmlformats.org/officeDocument/2006/relationships/hyperlink" Target="https://www.youtube.com/watch?v=fdPFLXFJlwo&amp;t=55" TargetMode="External"/><Relationship Id="rId3" Type="http://schemas.openxmlformats.org/officeDocument/2006/relationships/hyperlink" Target="http://youtube.com" TargetMode="External"/><Relationship Id="rId4" Type="http://schemas.openxmlformats.org/officeDocument/2006/relationships/hyperlink" Target="https://www.trendygrandad.com/blog/best-youtube-video-production-companies-in-london" TargetMode="External"/><Relationship Id="rId9" Type="http://schemas.openxmlformats.org/officeDocument/2006/relationships/hyperlink" Target="http://youtube.com" TargetMode="External"/><Relationship Id="rId5" Type="http://schemas.openxmlformats.org/officeDocument/2006/relationships/hyperlink" Target="http://trendygrandad.com" TargetMode="External"/><Relationship Id="rId6" Type="http://schemas.openxmlformats.org/officeDocument/2006/relationships/hyperlink" Target="https://www.youtube.com/watch?v=J3TiyuWqYng" TargetMode="External"/><Relationship Id="rId7" Type="http://schemas.openxmlformats.org/officeDocument/2006/relationships/hyperlink" Target="http://youtube.com" TargetMode="External"/><Relationship Id="rId8" Type="http://schemas.openxmlformats.org/officeDocument/2006/relationships/hyperlink" Target="https://www.youtube.com/watch?v=KjRgCP-x_Dw" TargetMode="External"/><Relationship Id="rId20" Type="http://schemas.openxmlformats.org/officeDocument/2006/relationships/hyperlink" Target="https://www.youtube.com/watch?v=wfXrhCjh9mA" TargetMode="External"/><Relationship Id="rId22" Type="http://schemas.openxmlformats.org/officeDocument/2006/relationships/drawing" Target="../drawings/drawing4.xml"/><Relationship Id="rId21" Type="http://schemas.openxmlformats.org/officeDocument/2006/relationships/hyperlink" Target="http://youtube.com" TargetMode="External"/><Relationship Id="rId11" Type="http://schemas.openxmlformats.org/officeDocument/2006/relationships/hyperlink" Target="http://youtube.com" TargetMode="External"/><Relationship Id="rId10" Type="http://schemas.openxmlformats.org/officeDocument/2006/relationships/hyperlink" Target="https://www.youtube.com/watch?v=OR58Odpst7Q" TargetMode="External"/><Relationship Id="rId13" Type="http://schemas.openxmlformats.org/officeDocument/2006/relationships/hyperlink" Target="http://youtube.com" TargetMode="External"/><Relationship Id="rId12" Type="http://schemas.openxmlformats.org/officeDocument/2006/relationships/hyperlink" Target="https://www.youtube.com/watch?v=XGLA7lE-TLo" TargetMode="External"/><Relationship Id="rId15" Type="http://schemas.openxmlformats.org/officeDocument/2006/relationships/hyperlink" Target="http://youtube.com" TargetMode="External"/><Relationship Id="rId14" Type="http://schemas.openxmlformats.org/officeDocument/2006/relationships/hyperlink" Target="https://www.youtube.com/watch?v=dtlZTULGX4A" TargetMode="External"/><Relationship Id="rId17" Type="http://schemas.openxmlformats.org/officeDocument/2006/relationships/hyperlink" Target="http://youtube.com" TargetMode="External"/><Relationship Id="rId16" Type="http://schemas.openxmlformats.org/officeDocument/2006/relationships/hyperlink" Target="https://www.youtube.com/watch?v=osffLDnwyR8" TargetMode="External"/><Relationship Id="rId19" Type="http://schemas.openxmlformats.org/officeDocument/2006/relationships/hyperlink" Target="http://youtube.com" TargetMode="External"/><Relationship Id="rId18" Type="http://schemas.openxmlformats.org/officeDocument/2006/relationships/hyperlink" Target="https://www.youtube.com/watch?v=qnrNaTO7nC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ortlist.co.uk" TargetMode="External"/><Relationship Id="rId2" Type="http://schemas.openxmlformats.org/officeDocument/2006/relationships/hyperlink" Target="https://www.sortlist.co.uk/s/display-advertising/united-kingdom-gb" TargetMode="External"/><Relationship Id="rId3" Type="http://schemas.openxmlformats.org/officeDocument/2006/relationships/hyperlink" Target="http://sortlist.co.uk" TargetMode="External"/><Relationship Id="rId4" Type="http://schemas.openxmlformats.org/officeDocument/2006/relationships/hyperlink" Target="https://www.sortlist.co.uk/s/marketing-analytics/united-kingdom-gb" TargetMode="External"/><Relationship Id="rId9" Type="http://schemas.openxmlformats.org/officeDocument/2006/relationships/hyperlink" Target="http://sortlist.co.uk" TargetMode="External"/><Relationship Id="rId5" Type="http://schemas.openxmlformats.org/officeDocument/2006/relationships/hyperlink" Target="http://sortlist.co.uk" TargetMode="External"/><Relationship Id="rId6" Type="http://schemas.openxmlformats.org/officeDocument/2006/relationships/hyperlink" Target="https://www.sortlist.co.uk/s/marketing-analytics/london-england-gb" TargetMode="External"/><Relationship Id="rId7" Type="http://schemas.openxmlformats.org/officeDocument/2006/relationships/hyperlink" Target="http://sortlist.co.uk" TargetMode="External"/><Relationship Id="rId8" Type="http://schemas.openxmlformats.org/officeDocument/2006/relationships/hyperlink" Target="https://www.sortlist.co.uk/s/paid-media/london-england-gb" TargetMode="External"/><Relationship Id="rId40" Type="http://schemas.openxmlformats.org/officeDocument/2006/relationships/hyperlink" Target="https://www.sortlist.co.uk/branding/united-kingdom-gb" TargetMode="External"/><Relationship Id="rId42" Type="http://schemas.openxmlformats.org/officeDocument/2006/relationships/hyperlink" Target="https://www.sortlist.co.uk/digital-marketing/united-kingdom-gb" TargetMode="External"/><Relationship Id="rId41" Type="http://schemas.openxmlformats.org/officeDocument/2006/relationships/hyperlink" Target="http://sortlist.co.uk" TargetMode="External"/><Relationship Id="rId44" Type="http://schemas.openxmlformats.org/officeDocument/2006/relationships/hyperlink" Target="https://www.sortlist.co.uk/media-planning/united-kingdom-gb" TargetMode="External"/><Relationship Id="rId43" Type="http://schemas.openxmlformats.org/officeDocument/2006/relationships/hyperlink" Target="http://sortlist.co.uk" TargetMode="External"/><Relationship Id="rId46" Type="http://schemas.openxmlformats.org/officeDocument/2006/relationships/hyperlink" Target="https://www.sortlist.co.uk/s/attribution-marketing/united-kingdom-gb" TargetMode="External"/><Relationship Id="rId45" Type="http://schemas.openxmlformats.org/officeDocument/2006/relationships/hyperlink" Target="http://sortlist.co.uk" TargetMode="External"/><Relationship Id="rId48" Type="http://schemas.openxmlformats.org/officeDocument/2006/relationships/hyperlink" Target="https://www.sortlist.com/i/s/data-driven-marketing/united-kingdom-gb" TargetMode="External"/><Relationship Id="rId47" Type="http://schemas.openxmlformats.org/officeDocument/2006/relationships/hyperlink" Target="http://sortlist.co.uk" TargetMode="External"/><Relationship Id="rId49" Type="http://schemas.openxmlformats.org/officeDocument/2006/relationships/hyperlink" Target="http://sortlist.com" TargetMode="External"/><Relationship Id="rId31" Type="http://schemas.openxmlformats.org/officeDocument/2006/relationships/hyperlink" Target="http://sortlist.co.uk" TargetMode="External"/><Relationship Id="rId30" Type="http://schemas.openxmlformats.org/officeDocument/2006/relationships/hyperlink" Target="https://www.sortlist.co.uk/s/artificial-intelligence/london-england-gb" TargetMode="External"/><Relationship Id="rId33" Type="http://schemas.openxmlformats.org/officeDocument/2006/relationships/hyperlink" Target="http://sortlist.com" TargetMode="External"/><Relationship Id="rId32" Type="http://schemas.openxmlformats.org/officeDocument/2006/relationships/hyperlink" Target="https://www.sortlist.com/attribution-marketing" TargetMode="External"/><Relationship Id="rId35" Type="http://schemas.openxmlformats.org/officeDocument/2006/relationships/hyperlink" Target="http://sortlist.co.uk" TargetMode="External"/><Relationship Id="rId34" Type="http://schemas.openxmlformats.org/officeDocument/2006/relationships/hyperlink" Target="https://www.sortlist.co.uk/s/ai-marketing/greater-london-england-gb" TargetMode="External"/><Relationship Id="rId37" Type="http://schemas.openxmlformats.org/officeDocument/2006/relationships/hyperlink" Target="http://sortlist.co.uk" TargetMode="External"/><Relationship Id="rId36" Type="http://schemas.openxmlformats.org/officeDocument/2006/relationships/hyperlink" Target="https://www.sortlist.co.uk/s/paid-media/england-england-gb" TargetMode="External"/><Relationship Id="rId39" Type="http://schemas.openxmlformats.org/officeDocument/2006/relationships/hyperlink" Target="http://sortlist.com" TargetMode="External"/><Relationship Id="rId38" Type="http://schemas.openxmlformats.org/officeDocument/2006/relationships/hyperlink" Target="https://www.sortlist.com/display-advertising" TargetMode="External"/><Relationship Id="rId20" Type="http://schemas.openxmlformats.org/officeDocument/2006/relationships/hyperlink" Target="https://www.sortlist.co.uk/s/attribution-marketing/london-england-gb" TargetMode="External"/><Relationship Id="rId22" Type="http://schemas.openxmlformats.org/officeDocument/2006/relationships/hyperlink" Target="https://www.sortlist.co.uk/s/display-advertising/london-england-gb" TargetMode="External"/><Relationship Id="rId21" Type="http://schemas.openxmlformats.org/officeDocument/2006/relationships/hyperlink" Target="http://sortlist.co.uk" TargetMode="External"/><Relationship Id="rId24" Type="http://schemas.openxmlformats.org/officeDocument/2006/relationships/hyperlink" Target="https://www.sortlist.co.uk/social-media/united-kingdom-gb" TargetMode="External"/><Relationship Id="rId23" Type="http://schemas.openxmlformats.org/officeDocument/2006/relationships/hyperlink" Target="http://sortlist.co.uk" TargetMode="External"/><Relationship Id="rId26" Type="http://schemas.openxmlformats.org/officeDocument/2006/relationships/hyperlink" Target="https://www.sortlist.co.uk/web-analytics/united-kingdom-gb" TargetMode="External"/><Relationship Id="rId25" Type="http://schemas.openxmlformats.org/officeDocument/2006/relationships/hyperlink" Target="http://sortlist.co.uk" TargetMode="External"/><Relationship Id="rId28" Type="http://schemas.openxmlformats.org/officeDocument/2006/relationships/hyperlink" Target="https://www.sortlist.co.uk/s/performance-marketing/england-england-gb" TargetMode="External"/><Relationship Id="rId27" Type="http://schemas.openxmlformats.org/officeDocument/2006/relationships/hyperlink" Target="http://sortlist.co.uk" TargetMode="External"/><Relationship Id="rId29" Type="http://schemas.openxmlformats.org/officeDocument/2006/relationships/hyperlink" Target="http://sortlist.co.uk" TargetMode="External"/><Relationship Id="rId11" Type="http://schemas.openxmlformats.org/officeDocument/2006/relationships/hyperlink" Target="http://sortlist.co.uk" TargetMode="External"/><Relationship Id="rId10" Type="http://schemas.openxmlformats.org/officeDocument/2006/relationships/hyperlink" Target="https://www.sortlist.co.uk/s/performance-marketing/united-kingdom-gb" TargetMode="External"/><Relationship Id="rId13" Type="http://schemas.openxmlformats.org/officeDocument/2006/relationships/hyperlink" Target="http://sortlist.co.uk" TargetMode="External"/><Relationship Id="rId12" Type="http://schemas.openxmlformats.org/officeDocument/2006/relationships/hyperlink" Target="https://www.sortlist.co.uk/s/display-advertising/england-england-gb" TargetMode="External"/><Relationship Id="rId15" Type="http://schemas.openxmlformats.org/officeDocument/2006/relationships/hyperlink" Target="http://sortlist.co.uk" TargetMode="External"/><Relationship Id="rId14" Type="http://schemas.openxmlformats.org/officeDocument/2006/relationships/hyperlink" Target="https://www.sortlist.co.uk/s/performance-marketing/london-england-gb" TargetMode="External"/><Relationship Id="rId17" Type="http://schemas.openxmlformats.org/officeDocument/2006/relationships/hyperlink" Target="http://sortlist.co.uk" TargetMode="External"/><Relationship Id="rId16" Type="http://schemas.openxmlformats.org/officeDocument/2006/relationships/hyperlink" Target="https://www.sortlist.co.uk/s/creative/united-kingdom-gb" TargetMode="External"/><Relationship Id="rId19" Type="http://schemas.openxmlformats.org/officeDocument/2006/relationships/hyperlink" Target="http://sortlist.co.uk" TargetMode="External"/><Relationship Id="rId18" Type="http://schemas.openxmlformats.org/officeDocument/2006/relationships/hyperlink" Target="https://www.sortlist.co.uk/s/paid-media/united-kingdom-gb" TargetMode="External"/><Relationship Id="rId84" Type="http://schemas.openxmlformats.org/officeDocument/2006/relationships/hyperlink" Target="https://www.sortlist.co.uk/s/display-advertising/luton-england-gb" TargetMode="External"/><Relationship Id="rId83" Type="http://schemas.openxmlformats.org/officeDocument/2006/relationships/hyperlink" Target="http://sortlist.co.uk" TargetMode="External"/><Relationship Id="rId86" Type="http://schemas.openxmlformats.org/officeDocument/2006/relationships/hyperlink" Target="https://www.sortlist.co.uk/s/display-advertising/manchester-england-gb" TargetMode="External"/><Relationship Id="rId85" Type="http://schemas.openxmlformats.org/officeDocument/2006/relationships/hyperlink" Target="http://sortlist.co.uk" TargetMode="External"/><Relationship Id="rId88" Type="http://schemas.openxmlformats.org/officeDocument/2006/relationships/hyperlink" Target="https://www.sortlist.co.uk/s/google-ads/united-kingdom-gb" TargetMode="External"/><Relationship Id="rId87" Type="http://schemas.openxmlformats.org/officeDocument/2006/relationships/hyperlink" Target="http://sortlist.co.uk" TargetMode="External"/><Relationship Id="rId89" Type="http://schemas.openxmlformats.org/officeDocument/2006/relationships/hyperlink" Target="http://sortlist.co.uk" TargetMode="External"/><Relationship Id="rId80" Type="http://schemas.openxmlformats.org/officeDocument/2006/relationships/hyperlink" Target="https://www.sortlist.co.uk/s/display-advertising/birmingham-england-gb" TargetMode="External"/><Relationship Id="rId82" Type="http://schemas.openxmlformats.org/officeDocument/2006/relationships/hyperlink" Target="https://www.sortlist.co.uk/s/display-advertising/greater-london-england-gb" TargetMode="External"/><Relationship Id="rId81" Type="http://schemas.openxmlformats.org/officeDocument/2006/relationships/hyperlink" Target="http://sortlist.co.uk" TargetMode="External"/><Relationship Id="rId73" Type="http://schemas.openxmlformats.org/officeDocument/2006/relationships/hyperlink" Target="http://sortlist.com" TargetMode="External"/><Relationship Id="rId72" Type="http://schemas.openxmlformats.org/officeDocument/2006/relationships/hyperlink" Target="https://www.sortlist.com/marketing-analytics" TargetMode="External"/><Relationship Id="rId75" Type="http://schemas.openxmlformats.org/officeDocument/2006/relationships/hyperlink" Target="http://sortlist.co.uk" TargetMode="External"/><Relationship Id="rId74" Type="http://schemas.openxmlformats.org/officeDocument/2006/relationships/hyperlink" Target="https://www.sortlist.co.uk/advertising/england-england-gb" TargetMode="External"/><Relationship Id="rId77" Type="http://schemas.openxmlformats.org/officeDocument/2006/relationships/hyperlink" Target="http://sortlist.co.uk" TargetMode="External"/><Relationship Id="rId76" Type="http://schemas.openxmlformats.org/officeDocument/2006/relationships/hyperlink" Target="https://www.sortlist.co.uk/s/attribution-marketing/greater-london-england-gb" TargetMode="External"/><Relationship Id="rId79" Type="http://schemas.openxmlformats.org/officeDocument/2006/relationships/hyperlink" Target="http://sortlist.co.uk" TargetMode="External"/><Relationship Id="rId78" Type="http://schemas.openxmlformats.org/officeDocument/2006/relationships/hyperlink" Target="https://www.sortlist.co.uk/s/creative/united-kingdom-gb?custom=creative" TargetMode="External"/><Relationship Id="rId71" Type="http://schemas.openxmlformats.org/officeDocument/2006/relationships/hyperlink" Target="http://sortlist.co.uk" TargetMode="External"/><Relationship Id="rId70" Type="http://schemas.openxmlformats.org/officeDocument/2006/relationships/hyperlink" Target="https://www.sortlist.co.uk/s/programmatic-advertising/united-kingdom-gb" TargetMode="External"/><Relationship Id="rId62" Type="http://schemas.openxmlformats.org/officeDocument/2006/relationships/hyperlink" Target="https://www.sortlist.co.uk/s/creative/england-england-gb" TargetMode="External"/><Relationship Id="rId61" Type="http://schemas.openxmlformats.org/officeDocument/2006/relationships/hyperlink" Target="http://sortlist.co.uk" TargetMode="External"/><Relationship Id="rId64" Type="http://schemas.openxmlformats.org/officeDocument/2006/relationships/hyperlink" Target="https://www.sortlist.co.uk/s/digital-advertising/united-kingdom-gb" TargetMode="External"/><Relationship Id="rId63" Type="http://schemas.openxmlformats.org/officeDocument/2006/relationships/hyperlink" Target="http://sortlist.co.uk" TargetMode="External"/><Relationship Id="rId66" Type="http://schemas.openxmlformats.org/officeDocument/2006/relationships/hyperlink" Target="https://www.sortlist.co.uk/s/marketing-analytics/birmingham-england-gb" TargetMode="External"/><Relationship Id="rId65" Type="http://schemas.openxmlformats.org/officeDocument/2006/relationships/hyperlink" Target="http://sortlist.co.uk" TargetMode="External"/><Relationship Id="rId68" Type="http://schemas.openxmlformats.org/officeDocument/2006/relationships/hyperlink" Target="https://www.sortlist.co.uk/s/paid-media/greater-london-england-gb" TargetMode="External"/><Relationship Id="rId67" Type="http://schemas.openxmlformats.org/officeDocument/2006/relationships/hyperlink" Target="http://sortlist.co.uk" TargetMode="External"/><Relationship Id="rId60" Type="http://schemas.openxmlformats.org/officeDocument/2006/relationships/hyperlink" Target="https://www.sortlist.co.uk/s/attribution-marketing/essex-england-gb" TargetMode="External"/><Relationship Id="rId69" Type="http://schemas.openxmlformats.org/officeDocument/2006/relationships/hyperlink" Target="http://sortlist.co.uk" TargetMode="External"/><Relationship Id="rId51" Type="http://schemas.openxmlformats.org/officeDocument/2006/relationships/hyperlink" Target="http://sortlist.co.uk" TargetMode="External"/><Relationship Id="rId50" Type="http://schemas.openxmlformats.org/officeDocument/2006/relationships/hyperlink" Target="https://www.sortlist.co.uk/s/ai-marketing/england-england-gb" TargetMode="External"/><Relationship Id="rId53" Type="http://schemas.openxmlformats.org/officeDocument/2006/relationships/hyperlink" Target="http://sortlist.co.uk" TargetMode="External"/><Relationship Id="rId52" Type="http://schemas.openxmlformats.org/officeDocument/2006/relationships/hyperlink" Target="https://www.sortlist.co.uk/s/attribution-marketing/england-england-gb" TargetMode="External"/><Relationship Id="rId55" Type="http://schemas.openxmlformats.org/officeDocument/2006/relationships/hyperlink" Target="http://sortlist.co.uk" TargetMode="External"/><Relationship Id="rId54" Type="http://schemas.openxmlformats.org/officeDocument/2006/relationships/hyperlink" Target="https://www.sortlist.co.uk/s/marketing-analytics/west-midlands-england-gb" TargetMode="External"/><Relationship Id="rId57" Type="http://schemas.openxmlformats.org/officeDocument/2006/relationships/hyperlink" Target="http://sortlist.co.uk" TargetMode="External"/><Relationship Id="rId56" Type="http://schemas.openxmlformats.org/officeDocument/2006/relationships/hyperlink" Target="https://www.sortlist.co.uk/s/data-driven-marketing/united-kingdom-gb" TargetMode="External"/><Relationship Id="rId59" Type="http://schemas.openxmlformats.org/officeDocument/2006/relationships/hyperlink" Target="http://sortlist.co.uk" TargetMode="External"/><Relationship Id="rId58" Type="http://schemas.openxmlformats.org/officeDocument/2006/relationships/hyperlink" Target="https://www.sortlist.co.uk/s/ai-marketing/london-england-gb" TargetMode="External"/><Relationship Id="rId95" Type="http://schemas.openxmlformats.org/officeDocument/2006/relationships/hyperlink" Target="http://sortlist.co.uk" TargetMode="External"/><Relationship Id="rId94" Type="http://schemas.openxmlformats.org/officeDocument/2006/relationships/hyperlink" Target="https://www.sortlist.co.uk/s/performance-marketing/greater-london-england-gb" TargetMode="External"/><Relationship Id="rId97" Type="http://schemas.openxmlformats.org/officeDocument/2006/relationships/hyperlink" Target="http://sortlist.co.uk" TargetMode="External"/><Relationship Id="rId96" Type="http://schemas.openxmlformats.org/officeDocument/2006/relationships/hyperlink" Target="https://www.sortlist.co.uk/s/programmatic-advertising/london-england-gb" TargetMode="External"/><Relationship Id="rId99" Type="http://schemas.openxmlformats.org/officeDocument/2006/relationships/hyperlink" Target="http://sortlist.co.uk" TargetMode="External"/><Relationship Id="rId98" Type="http://schemas.openxmlformats.org/officeDocument/2006/relationships/hyperlink" Target="https://www.sortlist.co.uk/s/storytelling/london-england-gb" TargetMode="External"/><Relationship Id="rId91" Type="http://schemas.openxmlformats.org/officeDocument/2006/relationships/hyperlink" Target="http://sortlist.co.uk" TargetMode="External"/><Relationship Id="rId90" Type="http://schemas.openxmlformats.org/officeDocument/2006/relationships/hyperlink" Target="https://www.sortlist.co.uk/s/international-branding/united-kingdom-gb" TargetMode="External"/><Relationship Id="rId93" Type="http://schemas.openxmlformats.org/officeDocument/2006/relationships/hyperlink" Target="http://sortlist.co.uk" TargetMode="External"/><Relationship Id="rId92" Type="http://schemas.openxmlformats.org/officeDocument/2006/relationships/hyperlink" Target="https://www.sortlist.co.uk/s/paid-media/united-kingdom-gb?page=4" TargetMode="External"/><Relationship Id="rId107" Type="http://schemas.openxmlformats.org/officeDocument/2006/relationships/hyperlink" Target="http://sortlist.com" TargetMode="External"/><Relationship Id="rId106" Type="http://schemas.openxmlformats.org/officeDocument/2006/relationships/hyperlink" Target="https://www.sortlist.com/marketing-communication" TargetMode="External"/><Relationship Id="rId105" Type="http://schemas.openxmlformats.org/officeDocument/2006/relationships/hyperlink" Target="http://sortlist.com" TargetMode="External"/><Relationship Id="rId104" Type="http://schemas.openxmlformats.org/officeDocument/2006/relationships/hyperlink" Target="https://www.sortlist.com/l/dubai-ae" TargetMode="External"/><Relationship Id="rId109" Type="http://schemas.openxmlformats.org/officeDocument/2006/relationships/hyperlink" Target="http://sortlist.com" TargetMode="External"/><Relationship Id="rId108" Type="http://schemas.openxmlformats.org/officeDocument/2006/relationships/hyperlink" Target="https://www.sortlist.com/performance-marketing" TargetMode="External"/><Relationship Id="rId103" Type="http://schemas.openxmlformats.org/officeDocument/2006/relationships/hyperlink" Target="http://sortlist.co.uk" TargetMode="External"/><Relationship Id="rId102" Type="http://schemas.openxmlformats.org/officeDocument/2006/relationships/hyperlink" Target="https://www.sortlist.co.uk/web-analytics/london-england-gb" TargetMode="External"/><Relationship Id="rId101" Type="http://schemas.openxmlformats.org/officeDocument/2006/relationships/hyperlink" Target="http://sortlist.co.uk" TargetMode="External"/><Relationship Id="rId100" Type="http://schemas.openxmlformats.org/officeDocument/2006/relationships/hyperlink" Target="https://www.sortlist.co.uk/s/testing-services/united-kingdom-gb" TargetMode="External"/><Relationship Id="rId110" Type="http://schemas.openxmlformats.org/officeDocument/2006/relationships/hyperlink" Target="https://www.sortlist.com/social-media-optimization" TargetMode="External"/><Relationship Id="rId112" Type="http://schemas.openxmlformats.org/officeDocument/2006/relationships/drawing" Target="../drawings/drawing7.xml"/><Relationship Id="rId111" Type="http://schemas.openxmlformats.org/officeDocument/2006/relationships/hyperlink" Target="http://sortlist.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clutch.co" TargetMode="External"/><Relationship Id="rId2" Type="http://schemas.openxmlformats.org/officeDocument/2006/relationships/hyperlink" Target="https://clutch.co/agencies/digital-marketing/uk" TargetMode="External"/><Relationship Id="rId3" Type="http://schemas.openxmlformats.org/officeDocument/2006/relationships/hyperlink" Target="http://clutch.co" TargetMode="External"/><Relationship Id="rId4" Type="http://schemas.openxmlformats.org/officeDocument/2006/relationships/hyperlink" Target="https://clutch.co/agencies/creative/uk" TargetMode="External"/><Relationship Id="rId9" Type="http://schemas.openxmlformats.org/officeDocument/2006/relationships/hyperlink" Target="http://clutch.co" TargetMode="External"/><Relationship Id="rId5" Type="http://schemas.openxmlformats.org/officeDocument/2006/relationships/hyperlink" Target="http://clutch.co" TargetMode="External"/><Relationship Id="rId6" Type="http://schemas.openxmlformats.org/officeDocument/2006/relationships/hyperlink" Target="https://clutch.co/agencies/ppc/uk/england" TargetMode="External"/><Relationship Id="rId7" Type="http://schemas.openxmlformats.org/officeDocument/2006/relationships/hyperlink" Target="http://clutch.co" TargetMode="External"/><Relationship Id="rId8" Type="http://schemas.openxmlformats.org/officeDocument/2006/relationships/hyperlink" Target="https://clutch.co/agencies/ppc/display/uk" TargetMode="External"/><Relationship Id="rId40" Type="http://schemas.openxmlformats.org/officeDocument/2006/relationships/hyperlink" Target="https://clutch.co/agencies/ppc/advertising-industry/uk" TargetMode="External"/><Relationship Id="rId42" Type="http://schemas.openxmlformats.org/officeDocument/2006/relationships/hyperlink" Target="https://clutch.co/agencies/ppc/display/uk/england/london" TargetMode="External"/><Relationship Id="rId41" Type="http://schemas.openxmlformats.org/officeDocument/2006/relationships/hyperlink" Target="http://clutch.co" TargetMode="External"/><Relationship Id="rId44" Type="http://schemas.openxmlformats.org/officeDocument/2006/relationships/hyperlink" Target="https://clutch.co/agencies/ppc/display/uk?page=2" TargetMode="External"/><Relationship Id="rId43" Type="http://schemas.openxmlformats.org/officeDocument/2006/relationships/hyperlink" Target="http://clutch.co" TargetMode="External"/><Relationship Id="rId46" Type="http://schemas.openxmlformats.org/officeDocument/2006/relationships/hyperlink" Target="https://clutch.co/agencies" TargetMode="External"/><Relationship Id="rId45" Type="http://schemas.openxmlformats.org/officeDocument/2006/relationships/hyperlink" Target="http://clutch.co" TargetMode="External"/><Relationship Id="rId48" Type="http://schemas.openxmlformats.org/officeDocument/2006/relationships/hyperlink" Target="https://clutch.co/agencies/market-research/shopper-marketing/uk" TargetMode="External"/><Relationship Id="rId47" Type="http://schemas.openxmlformats.org/officeDocument/2006/relationships/hyperlink" Target="http://clutch.co" TargetMode="External"/><Relationship Id="rId49" Type="http://schemas.openxmlformats.org/officeDocument/2006/relationships/hyperlink" Target="http://clutch.co" TargetMode="External"/><Relationship Id="rId31" Type="http://schemas.openxmlformats.org/officeDocument/2006/relationships/hyperlink" Target="http://clutch.co" TargetMode="External"/><Relationship Id="rId30" Type="http://schemas.openxmlformats.org/officeDocument/2006/relationships/hyperlink" Target="https://clutch.co/agencies/sem/uk" TargetMode="External"/><Relationship Id="rId33" Type="http://schemas.openxmlformats.org/officeDocument/2006/relationships/hyperlink" Target="http://clutch.co" TargetMode="External"/><Relationship Id="rId32" Type="http://schemas.openxmlformats.org/officeDocument/2006/relationships/hyperlink" Target="https://clutch.co/agencies/ppc/display" TargetMode="External"/><Relationship Id="rId35" Type="http://schemas.openxmlformats.org/officeDocument/2006/relationships/hyperlink" Target="http://clutch.co" TargetMode="External"/><Relationship Id="rId34" Type="http://schemas.openxmlformats.org/officeDocument/2006/relationships/hyperlink" Target="https://clutch.co/agencies/performance-marketing" TargetMode="External"/><Relationship Id="rId37" Type="http://schemas.openxmlformats.org/officeDocument/2006/relationships/hyperlink" Target="http://clutch.co" TargetMode="External"/><Relationship Id="rId36" Type="http://schemas.openxmlformats.org/officeDocument/2006/relationships/hyperlink" Target="https://clutch.co/agencies/ppc/display/uk?page=1" TargetMode="External"/><Relationship Id="rId39" Type="http://schemas.openxmlformats.org/officeDocument/2006/relationships/hyperlink" Target="http://clutch.co" TargetMode="External"/><Relationship Id="rId38" Type="http://schemas.openxmlformats.org/officeDocument/2006/relationships/hyperlink" Target="https://clutch.co/agencies/branding/uk" TargetMode="External"/><Relationship Id="rId20" Type="http://schemas.openxmlformats.org/officeDocument/2006/relationships/hyperlink" Target="https://clutch.co/agencies/digital/uk" TargetMode="External"/><Relationship Id="rId22" Type="http://schemas.openxmlformats.org/officeDocument/2006/relationships/hyperlink" Target="https://clutch.co/agencies/digital-marketing/uk/england/london" TargetMode="External"/><Relationship Id="rId21" Type="http://schemas.openxmlformats.org/officeDocument/2006/relationships/hyperlink" Target="http://clutch.co" TargetMode="External"/><Relationship Id="rId24" Type="http://schemas.openxmlformats.org/officeDocument/2006/relationships/hyperlink" Target="https://clutch.co/agencies/media-buying/uk" TargetMode="External"/><Relationship Id="rId23" Type="http://schemas.openxmlformats.org/officeDocument/2006/relationships/hyperlink" Target="http://clutch.co" TargetMode="External"/><Relationship Id="rId26" Type="http://schemas.openxmlformats.org/officeDocument/2006/relationships/hyperlink" Target="https://clutch.co/agencies/ppc/google-adwords/uk" TargetMode="External"/><Relationship Id="rId25" Type="http://schemas.openxmlformats.org/officeDocument/2006/relationships/hyperlink" Target="http://clutch.co" TargetMode="External"/><Relationship Id="rId28" Type="http://schemas.openxmlformats.org/officeDocument/2006/relationships/hyperlink" Target="https://clutch.co/agencies/programmatic/uk" TargetMode="External"/><Relationship Id="rId27" Type="http://schemas.openxmlformats.org/officeDocument/2006/relationships/hyperlink" Target="http://clutch.co" TargetMode="External"/><Relationship Id="rId29" Type="http://schemas.openxmlformats.org/officeDocument/2006/relationships/hyperlink" Target="http://clutch.co" TargetMode="External"/><Relationship Id="rId11" Type="http://schemas.openxmlformats.org/officeDocument/2006/relationships/hyperlink" Target="http://clutch.co" TargetMode="External"/><Relationship Id="rId10" Type="http://schemas.openxmlformats.org/officeDocument/2006/relationships/hyperlink" Target="https://clutch.co/agencies/social-media-marketing/uk" TargetMode="External"/><Relationship Id="rId13" Type="http://schemas.openxmlformats.org/officeDocument/2006/relationships/hyperlink" Target="http://clutch.co" TargetMode="External"/><Relationship Id="rId12" Type="http://schemas.openxmlformats.org/officeDocument/2006/relationships/hyperlink" Target="https://clutch.co/consulting/ai/uk" TargetMode="External"/><Relationship Id="rId15" Type="http://schemas.openxmlformats.org/officeDocument/2006/relationships/hyperlink" Target="http://clutch.co" TargetMode="External"/><Relationship Id="rId14" Type="http://schemas.openxmlformats.org/officeDocument/2006/relationships/hyperlink" Target="https://clutch.co/agencies/ppc/uk" TargetMode="External"/><Relationship Id="rId17" Type="http://schemas.openxmlformats.org/officeDocument/2006/relationships/hyperlink" Target="http://clutch.co" TargetMode="External"/><Relationship Id="rId16" Type="http://schemas.openxmlformats.org/officeDocument/2006/relationships/hyperlink" Target="https://clutch.co/consulting/ai/strategy/uk" TargetMode="External"/><Relationship Id="rId19" Type="http://schemas.openxmlformats.org/officeDocument/2006/relationships/hyperlink" Target="http://clutch.co" TargetMode="External"/><Relationship Id="rId18" Type="http://schemas.openxmlformats.org/officeDocument/2006/relationships/hyperlink" Target="https://clutch.co/consulting/ai/uk/england/london" TargetMode="External"/><Relationship Id="rId84" Type="http://schemas.openxmlformats.org/officeDocument/2006/relationships/hyperlink" Target="https://clutch.co/seo-firms/link-building" TargetMode="External"/><Relationship Id="rId83" Type="http://schemas.openxmlformats.org/officeDocument/2006/relationships/hyperlink" Target="http://clutch.co" TargetMode="External"/><Relationship Id="rId86" Type="http://schemas.openxmlformats.org/officeDocument/2006/relationships/drawing" Target="../drawings/drawing8.xml"/><Relationship Id="rId85" Type="http://schemas.openxmlformats.org/officeDocument/2006/relationships/hyperlink" Target="http://clutch.co" TargetMode="External"/><Relationship Id="rId80" Type="http://schemas.openxmlformats.org/officeDocument/2006/relationships/hyperlink" Target="https://clutch.co/developers/ecommerce" TargetMode="External"/><Relationship Id="rId82" Type="http://schemas.openxmlformats.org/officeDocument/2006/relationships/hyperlink" Target="https://clutch.co/seo-firms/amazon/uk"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agencies/programmatic/uk/england/london" TargetMode="External"/><Relationship Id="rId75" Type="http://schemas.openxmlformats.org/officeDocument/2006/relationships/hyperlink" Target="http://clutch.co" TargetMode="External"/><Relationship Id="rId74" Type="http://schemas.openxmlformats.org/officeDocument/2006/relationships/hyperlink" Target="https://clutch.co/agencies/programmatic/uk/england/manchester" TargetMode="External"/><Relationship Id="rId77" Type="http://schemas.openxmlformats.org/officeDocument/2006/relationships/hyperlink" Target="http://clutch.co" TargetMode="External"/><Relationship Id="rId76" Type="http://schemas.openxmlformats.org/officeDocument/2006/relationships/hyperlink" Target="https://clutch.co/agencies/programmatic/uk?page=2" TargetMode="External"/><Relationship Id="rId79" Type="http://schemas.openxmlformats.org/officeDocument/2006/relationships/hyperlink" Target="http://clutch.co" TargetMode="External"/><Relationship Id="rId78" Type="http://schemas.openxmlformats.org/officeDocument/2006/relationships/hyperlink" Target="https://clutch.co/agencies/social-media-marketing/tik-tok/uk" TargetMode="External"/><Relationship Id="rId71" Type="http://schemas.openxmlformats.org/officeDocument/2006/relationships/hyperlink" Target="http://clutch.co" TargetMode="External"/><Relationship Id="rId70" Type="http://schemas.openxmlformats.org/officeDocument/2006/relationships/hyperlink" Target="https://clutch.co/agencies/ppc/uk/england/nottingham" TargetMode="External"/><Relationship Id="rId62" Type="http://schemas.openxmlformats.org/officeDocument/2006/relationships/hyperlink" Target="https://clutch.co/agencies/digital-marketing/enterprise/uk/england/london" TargetMode="External"/><Relationship Id="rId61" Type="http://schemas.openxmlformats.org/officeDocument/2006/relationships/hyperlink" Target="http://clutch.co" TargetMode="External"/><Relationship Id="rId64" Type="http://schemas.openxmlformats.org/officeDocument/2006/relationships/hyperlink" Target="https://clutch.co/agencies/market-research/uk" TargetMode="External"/><Relationship Id="rId63" Type="http://schemas.openxmlformats.org/officeDocument/2006/relationships/hyperlink" Target="http://clutch.co" TargetMode="External"/><Relationship Id="rId66" Type="http://schemas.openxmlformats.org/officeDocument/2006/relationships/hyperlink" Target="https://clutch.co/agencies/performance-marketing%3Fpage%3D0" TargetMode="External"/><Relationship Id="rId65" Type="http://schemas.openxmlformats.org/officeDocument/2006/relationships/hyperlink" Target="http://clutch.co" TargetMode="External"/><Relationship Id="rId68" Type="http://schemas.openxmlformats.org/officeDocument/2006/relationships/hyperlink" Target="https://clutch.co/agencies/ppc/display%3Fpage%3D0" TargetMode="External"/><Relationship Id="rId67" Type="http://schemas.openxmlformats.org/officeDocument/2006/relationships/hyperlink" Target="http://clutch.co" TargetMode="External"/><Relationship Id="rId60" Type="http://schemas.openxmlformats.org/officeDocument/2006/relationships/hyperlink" Target="https://clutch.co/agencies/digital-marketing" TargetMode="External"/><Relationship Id="rId69" Type="http://schemas.openxmlformats.org/officeDocument/2006/relationships/hyperlink" Target="http://clutch.co" TargetMode="External"/><Relationship Id="rId51" Type="http://schemas.openxmlformats.org/officeDocument/2006/relationships/hyperlink" Target="http://clutch.co" TargetMode="External"/><Relationship Id="rId50" Type="http://schemas.openxmlformats.org/officeDocument/2006/relationships/hyperlink" Target="https://clutch.co/agencies/ppc/display/uk/england" TargetMode="External"/><Relationship Id="rId53" Type="http://schemas.openxmlformats.org/officeDocument/2006/relationships/hyperlink" Target="http://clutch.co" TargetMode="External"/><Relationship Id="rId52" Type="http://schemas.openxmlformats.org/officeDocument/2006/relationships/hyperlink" Target="https://clutch.co/agencies/social-media-marketing/influencer/uk" TargetMode="External"/><Relationship Id="rId55" Type="http://schemas.openxmlformats.org/officeDocument/2006/relationships/hyperlink" Target="http://clutch.co" TargetMode="External"/><Relationship Id="rId54" Type="http://schemas.openxmlformats.org/officeDocument/2006/relationships/hyperlink" Target="https://clutch.co/consulting/ai/uk?page=3" TargetMode="External"/><Relationship Id="rId57" Type="http://schemas.openxmlformats.org/officeDocument/2006/relationships/hyperlink" Target="http://clutch.co" TargetMode="External"/><Relationship Id="rId56" Type="http://schemas.openxmlformats.org/officeDocument/2006/relationships/hyperlink" Target="https://clutch.co/agencies/account-based-marketing/uk" TargetMode="External"/><Relationship Id="rId59" Type="http://schemas.openxmlformats.org/officeDocument/2006/relationships/hyperlink" Target="http://clutch.co" TargetMode="External"/><Relationship Id="rId58" Type="http://schemas.openxmlformats.org/officeDocument/2006/relationships/hyperlink" Target="https://clutch.co/agencies/conversion-optimization/uk"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agencies.semrush.com/list/display-advertising/united-kingdom/" TargetMode="External"/><Relationship Id="rId3" Type="http://schemas.openxmlformats.org/officeDocument/2006/relationships/hyperlink" Target="http://semrush.com" TargetMode="External"/><Relationship Id="rId4" Type="http://schemas.openxmlformats.org/officeDocument/2006/relationships/hyperlink" Target="https://agencies.semrush.com/list/ai-optimization/london-city/" TargetMode="External"/><Relationship Id="rId9" Type="http://schemas.openxmlformats.org/officeDocument/2006/relationships/hyperlink" Target="http://semrush.com" TargetMode="External"/><Relationship Id="rId5" Type="http://schemas.openxmlformats.org/officeDocument/2006/relationships/hyperlink" Target="http://semrush.com" TargetMode="External"/><Relationship Id="rId6" Type="http://schemas.openxmlformats.org/officeDocument/2006/relationships/hyperlink" Target="https://agencies.semrush.com/list/ai-optimization/united-kingdom/" TargetMode="External"/><Relationship Id="rId7" Type="http://schemas.openxmlformats.org/officeDocument/2006/relationships/hyperlink" Target="http://semrush.com" TargetMode="External"/><Relationship Id="rId8" Type="http://schemas.openxmlformats.org/officeDocument/2006/relationships/hyperlink" Target="https://agencies.semrush.com/list/display-advertising/london-city/" TargetMode="External"/><Relationship Id="rId40" Type="http://schemas.openxmlformats.org/officeDocument/2006/relationships/hyperlink" Target="https://www.carrieannsudlow.co.uk/ai-seo-agency/" TargetMode="External"/><Relationship Id="rId42" Type="http://schemas.openxmlformats.org/officeDocument/2006/relationships/hyperlink" Target="https://agencies.semrush.com/list/advertising/united-kingdom/small-business/" TargetMode="External"/><Relationship Id="rId41" Type="http://schemas.openxmlformats.org/officeDocument/2006/relationships/hyperlink" Target="http://carrieannsudlow.co.uk" TargetMode="External"/><Relationship Id="rId44" Type="http://schemas.openxmlformats.org/officeDocument/2006/relationships/hyperlink" Target="https://agencies.semrush.com/list/ai-optimization/united-kingdom/mid-business/" TargetMode="External"/><Relationship Id="rId43" Type="http://schemas.openxmlformats.org/officeDocument/2006/relationships/hyperlink" Target="http://semrush.com" TargetMode="External"/><Relationship Id="rId46" Type="http://schemas.openxmlformats.org/officeDocument/2006/relationships/hyperlink" Target="https://agencies.semrush.com/list/display-advertising/" TargetMode="External"/><Relationship Id="rId45" Type="http://schemas.openxmlformats.org/officeDocument/2006/relationships/hyperlink" Target="http://semrush.com" TargetMode="External"/><Relationship Id="rId48" Type="http://schemas.openxmlformats.org/officeDocument/2006/relationships/hyperlink" Target="https://agencies.semrush.com/list/los-angeles/" TargetMode="External"/><Relationship Id="rId47" Type="http://schemas.openxmlformats.org/officeDocument/2006/relationships/hyperlink" Target="http://semrush.com" TargetMode="External"/><Relationship Id="rId49" Type="http://schemas.openxmlformats.org/officeDocument/2006/relationships/hyperlink" Target="http://semrush.com" TargetMode="External"/><Relationship Id="rId31" Type="http://schemas.openxmlformats.org/officeDocument/2006/relationships/hyperlink" Target="http://semrush.com" TargetMode="External"/><Relationship Id="rId30" Type="http://schemas.openxmlformats.org/officeDocument/2006/relationships/hyperlink" Target="https://agencies.semrush.com/list/market-analysis/united-kingdom/"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i-optimization/london-city/mid-business/" TargetMode="External"/><Relationship Id="rId35" Type="http://schemas.openxmlformats.org/officeDocument/2006/relationships/hyperlink" Target="http://semrush.com" TargetMode="External"/><Relationship Id="rId34" Type="http://schemas.openxmlformats.org/officeDocument/2006/relationships/hyperlink" Target="https://agencies.semrush.com/list/analytics-data-science/london-city/" TargetMode="External"/><Relationship Id="rId37" Type="http://schemas.openxmlformats.org/officeDocument/2006/relationships/hyperlink" Target="http://semrush.com" TargetMode="External"/><Relationship Id="rId36" Type="http://schemas.openxmlformats.org/officeDocument/2006/relationships/hyperlink" Target="https://agencies.semrush.com/list/ppc/london-city/" TargetMode="External"/><Relationship Id="rId39" Type="http://schemas.openxmlformats.org/officeDocument/2006/relationships/hyperlink" Target="http://semrush.com" TargetMode="External"/><Relationship Id="rId38" Type="http://schemas.openxmlformats.org/officeDocument/2006/relationships/hyperlink" Target="https://agencies.semrush.com/list/programmatic-advertising/united-kingdom/" TargetMode="External"/><Relationship Id="rId20" Type="http://schemas.openxmlformats.org/officeDocument/2006/relationships/hyperlink" Target="https://agencies.semrush.com/list/advertising/united-kingdom/" TargetMode="External"/><Relationship Id="rId22" Type="http://schemas.openxmlformats.org/officeDocument/2006/relationships/hyperlink" Target="https://agencies.semrush.com/list/display-advertising/united-kingdom/mid-business/" TargetMode="External"/><Relationship Id="rId21" Type="http://schemas.openxmlformats.org/officeDocument/2006/relationships/hyperlink" Target="http://semrush.com" TargetMode="External"/><Relationship Id="rId24" Type="http://schemas.openxmlformats.org/officeDocument/2006/relationships/hyperlink" Target="https://agencies.semrush.com/list/search-engine-marketing/united-kingdom/" TargetMode="External"/><Relationship Id="rId23" Type="http://schemas.openxmlformats.org/officeDocument/2006/relationships/hyperlink" Target="http://semrush.com" TargetMode="External"/><Relationship Id="rId26" Type="http://schemas.openxmlformats.org/officeDocument/2006/relationships/hyperlink" Target="https://agencies.semrush.com/list/ai-optimization/united-kingdom/enterprise-business/" TargetMode="External"/><Relationship Id="rId25" Type="http://schemas.openxmlformats.org/officeDocument/2006/relationships/hyperlink" Target="http://semrush.com" TargetMode="External"/><Relationship Id="rId28" Type="http://schemas.openxmlformats.org/officeDocument/2006/relationships/hyperlink" Target="https://agencies.semrush.com/list/analytics-data-science/business-professional-services/united-kingdom/" TargetMode="External"/><Relationship Id="rId27" Type="http://schemas.openxmlformats.org/officeDocument/2006/relationships/hyperlink" Target="http://semrush.com" TargetMode="External"/><Relationship Id="rId29" Type="http://schemas.openxmlformats.org/officeDocument/2006/relationships/hyperlink" Target="http://semrush.com"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united-kingdom/enterprise-business/" TargetMode="External"/><Relationship Id="rId13" Type="http://schemas.openxmlformats.org/officeDocument/2006/relationships/hyperlink" Target="http://semrush.com" TargetMode="External"/><Relationship Id="rId12" Type="http://schemas.openxmlformats.org/officeDocument/2006/relationships/hyperlink" Target="https://agencies.semrush.com/list/display-advertising/united-kingdom/small-business/" TargetMode="External"/><Relationship Id="rId15" Type="http://schemas.openxmlformats.org/officeDocument/2006/relationships/hyperlink" Target="http://semrush.com" TargetMode="External"/><Relationship Id="rId14" Type="http://schemas.openxmlformats.org/officeDocument/2006/relationships/hyperlink" Target="https://agencies.semrush.com/list/display-advertising/london-city/small-business/" TargetMode="External"/><Relationship Id="rId17" Type="http://schemas.openxmlformats.org/officeDocument/2006/relationships/hyperlink" Target="http://semrush.com" TargetMode="External"/><Relationship Id="rId16" Type="http://schemas.openxmlformats.org/officeDocument/2006/relationships/hyperlink" Target="https://agencies.semrush.com/list/display-advertising/london-city/mid-business/" TargetMode="External"/><Relationship Id="rId19" Type="http://schemas.openxmlformats.org/officeDocument/2006/relationships/hyperlink" Target="http://semrush.com" TargetMode="External"/><Relationship Id="rId18" Type="http://schemas.openxmlformats.org/officeDocument/2006/relationships/hyperlink" Target="https://agencies.semrush.com/list/analytics-data-science/united-kingdom/" TargetMode="External"/><Relationship Id="rId51" Type="http://schemas.openxmlformats.org/officeDocument/2006/relationships/hyperlink" Target="http://semrush.com" TargetMode="External"/><Relationship Id="rId50" Type="http://schemas.openxmlformats.org/officeDocument/2006/relationships/hyperlink" Target="https://agencies.semrush.com/list/machine-learning-and-ai/london-city/" TargetMode="External"/><Relationship Id="rId53" Type="http://schemas.openxmlformats.org/officeDocument/2006/relationships/hyperlink" Target="http://semrush.com" TargetMode="External"/><Relationship Id="rId52" Type="http://schemas.openxmlformats.org/officeDocument/2006/relationships/hyperlink" Target="https://agencies.semrush.com/list/ppc/united-kingdom/" TargetMode="External"/><Relationship Id="rId55" Type="http://schemas.openxmlformats.org/officeDocument/2006/relationships/hyperlink" Target="http://semrush.com" TargetMode="External"/><Relationship Id="rId54" Type="http://schemas.openxmlformats.org/officeDocument/2006/relationships/hyperlink" Target="https://agencies.semrush.com/list/ppc/united-states/" TargetMode="External"/><Relationship Id="rId57" Type="http://schemas.openxmlformats.org/officeDocument/2006/relationships/hyperlink" Target="http://semrush.com" TargetMode="External"/><Relationship Id="rId56" Type="http://schemas.openxmlformats.org/officeDocument/2006/relationships/hyperlink" Target="https://cw.semrush.com/agencies/list/analytics-data-science/united-kingdom" TargetMode="External"/><Relationship Id="rId5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directiveconsulting.com" TargetMode="External"/><Relationship Id="rId2" Type="http://schemas.openxmlformats.org/officeDocument/2006/relationships/hyperlink" Target="https://directiveconsulting.com/uk/blog/10-ai-marketing-agencies-outperforming-the-market/" TargetMode="External"/><Relationship Id="rId3" Type="http://schemas.openxmlformats.org/officeDocument/2006/relationships/hyperlink" Target="http://directiveconsulting.com" TargetMode="External"/><Relationship Id="rId4" Type="http://schemas.openxmlformats.org/officeDocument/2006/relationships/hyperlink" Target="https://directiveconsulting.com/uk/blog/top-performance-marketing-agencies/" TargetMode="External"/><Relationship Id="rId9" Type="http://schemas.openxmlformats.org/officeDocument/2006/relationships/hyperlink" Target="http://directiveconsulting.com" TargetMode="External"/><Relationship Id="rId5" Type="http://schemas.openxmlformats.org/officeDocument/2006/relationships/hyperlink" Target="http://directiveconsulting.com" TargetMode="External"/><Relationship Id="rId6" Type="http://schemas.openxmlformats.org/officeDocument/2006/relationships/hyperlink" Target="https://directiveconsulting.com/uk/blog/25-best-paid-media-agencies-that-turn-ad-spend-into-revenue/" TargetMode="External"/><Relationship Id="rId7" Type="http://schemas.openxmlformats.org/officeDocument/2006/relationships/hyperlink" Target="http://directiveconsulting.com" TargetMode="External"/><Relationship Id="rId8" Type="http://schemas.openxmlformats.org/officeDocument/2006/relationships/hyperlink" Target="https://directiveconsulting.com/blog/top-performance-marketing-agencies/" TargetMode="External"/><Relationship Id="rId20" Type="http://schemas.openxmlformats.org/officeDocument/2006/relationships/drawing" Target="../drawings/drawing10.xml"/><Relationship Id="rId11" Type="http://schemas.openxmlformats.org/officeDocument/2006/relationships/hyperlink" Target="http://directiveconsulting.com" TargetMode="External"/><Relationship Id="rId10" Type="http://schemas.openxmlformats.org/officeDocument/2006/relationships/hyperlink" Target="https://directiveconsulting.com/uk/blog/25-best-advertising-agencies-built-for-media-momentum/" TargetMode="External"/><Relationship Id="rId13" Type="http://schemas.openxmlformats.org/officeDocument/2006/relationships/hyperlink" Target="http://directiveconsulting.com" TargetMode="External"/><Relationship Id="rId12" Type="http://schemas.openxmlformats.org/officeDocument/2006/relationships/hyperlink" Target="https://directiveconsulting.com/blog/17-leading-llm-agencies-powering-ai-innovation-for-modern-b2b-teams/" TargetMode="External"/><Relationship Id="rId15" Type="http://schemas.openxmlformats.org/officeDocument/2006/relationships/hyperlink" Target="http://directiveconsulting.com" TargetMode="External"/><Relationship Id="rId14" Type="http://schemas.openxmlformats.org/officeDocument/2006/relationships/hyperlink" Target="https://directiveconsulting.com/blog/25-best-advertising-agencies-built-for-media-momentum/" TargetMode="External"/><Relationship Id="rId17" Type="http://schemas.openxmlformats.org/officeDocument/2006/relationships/hyperlink" Target="http://directiveconsulting.com" TargetMode="External"/><Relationship Id="rId16" Type="http://schemas.openxmlformats.org/officeDocument/2006/relationships/hyperlink" Target="https://directiveconsulting.com/blog/25-best-paid-media-agencies-that-turn-ad-spend-into-revenue/" TargetMode="External"/><Relationship Id="rId19" Type="http://schemas.openxmlformats.org/officeDocument/2006/relationships/hyperlink" Target="http://directiveconsulting.com" TargetMode="External"/><Relationship Id="rId18" Type="http://schemas.openxmlformats.org/officeDocument/2006/relationships/hyperlink" Target="https://directiveconsulting.com/uk/blog/top-25-b2b-enterprise-marketing-agencie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designrush.com" TargetMode="External"/><Relationship Id="rId2" Type="http://schemas.openxmlformats.org/officeDocument/2006/relationships/hyperlink" Target="https://www.designrush.com/agency/digital-marketing/uk" TargetMode="External"/><Relationship Id="rId3" Type="http://schemas.openxmlformats.org/officeDocument/2006/relationships/hyperlink" Target="http://designrush.com" TargetMode="External"/><Relationship Id="rId4" Type="http://schemas.openxmlformats.org/officeDocument/2006/relationships/hyperlink" Target="https://www.designrush.com/agency/social-media-marketing/uk" TargetMode="External"/><Relationship Id="rId9" Type="http://schemas.openxmlformats.org/officeDocument/2006/relationships/hyperlink" Target="http://designrush.com" TargetMode="External"/><Relationship Id="rId5" Type="http://schemas.openxmlformats.org/officeDocument/2006/relationships/hyperlink" Target="http://designrush.com" TargetMode="External"/><Relationship Id="rId6" Type="http://schemas.openxmlformats.org/officeDocument/2006/relationships/hyperlink" Target="https://www.designrush.com/agency/ad-agencies/uk" TargetMode="External"/><Relationship Id="rId7" Type="http://schemas.openxmlformats.org/officeDocument/2006/relationships/hyperlink" Target="http://designrush.com" TargetMode="External"/><Relationship Id="rId8" Type="http://schemas.openxmlformats.org/officeDocument/2006/relationships/hyperlink" Target="https://www.designrush.com/agency/digital-marketing/artificial-intelligence" TargetMode="External"/><Relationship Id="rId20" Type="http://schemas.openxmlformats.org/officeDocument/2006/relationships/drawing" Target="../drawings/drawing11.xml"/><Relationship Id="rId11" Type="http://schemas.openxmlformats.org/officeDocument/2006/relationships/hyperlink" Target="http://designrush.com" TargetMode="External"/><Relationship Id="rId10" Type="http://schemas.openxmlformats.org/officeDocument/2006/relationships/hyperlink" Target="https://www.designrush.com/agency/digital-marketing/performance-marketing-agencies" TargetMode="External"/><Relationship Id="rId13" Type="http://schemas.openxmlformats.org/officeDocument/2006/relationships/hyperlink" Target="http://designrush.com" TargetMode="External"/><Relationship Id="rId12" Type="http://schemas.openxmlformats.org/officeDocument/2006/relationships/hyperlink" Target="https://www.designrush.com/agency/paid-media-pay-per-click/display-advertising-agency" TargetMode="External"/><Relationship Id="rId15" Type="http://schemas.openxmlformats.org/officeDocument/2006/relationships/hyperlink" Target="http://designrush.com" TargetMode="External"/><Relationship Id="rId14" Type="http://schemas.openxmlformats.org/officeDocument/2006/relationships/hyperlink" Target="https://www.designrush.com/agency/digital-marketing/analytics" TargetMode="External"/><Relationship Id="rId17" Type="http://schemas.openxmlformats.org/officeDocument/2006/relationships/hyperlink" Target="http://designrush.com" TargetMode="External"/><Relationship Id="rId16" Type="http://schemas.openxmlformats.org/officeDocument/2006/relationships/hyperlink" Target="https://www.designrush.com/agency/digital-marketing/integrated-marketing"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profile/the-good-marketer"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pi0q0/top_ppc_agencies_in_england_packages_pricing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MktgSupermarket/comments/1qom30j/compiled_a_directory_of_25_ai_marketing_agencies/" TargetMode="External"/><Relationship Id="rId7" Type="http://schemas.openxmlformats.org/officeDocument/2006/relationships/hyperlink" Target="http://reddit.com" TargetMode="External"/><Relationship Id="rId8" Type="http://schemas.openxmlformats.org/officeDocument/2006/relationships/hyperlink" Target="https://www.reddit.com/r/aeo/comments/1sf4z2h/what_are_the_top_ai_visibility_agencies_in_the_uk/" TargetMode="External"/><Relationship Id="rId40" Type="http://schemas.openxmlformats.org/officeDocument/2006/relationships/hyperlink" Target="https://www.reddit.com/r/u_Temporary_Meeting182/comments/1tp4iah/best_saas_geo_agencies_in_2026_who_should/" TargetMode="External"/><Relationship Id="rId42" Type="http://schemas.openxmlformats.org/officeDocument/2006/relationships/drawing" Target="../drawings/drawing13.xml"/><Relationship Id="rId41" Type="http://schemas.openxmlformats.org/officeDocument/2006/relationships/hyperlink" Target="http://reddit.com" TargetMode="External"/><Relationship Id="rId31" Type="http://schemas.openxmlformats.org/officeDocument/2006/relationships/hyperlink" Target="http://reddit.com" TargetMode="External"/><Relationship Id="rId30" Type="http://schemas.openxmlformats.org/officeDocument/2006/relationships/hyperlink" Target="https://www.reddit.com/r/agency/comments/1j8nw3r/digital_marketing_attribution_challenges/" TargetMode="External"/><Relationship Id="rId33" Type="http://schemas.openxmlformats.org/officeDocument/2006/relationships/hyperlink" Target="http://reddit.com" TargetMode="External"/><Relationship Id="rId32" Type="http://schemas.openxmlformats.org/officeDocument/2006/relationships/hyperlink" Target="https://www.reddit.com/r/branding/comments/d6zp5l/what_are_the_top_branding_agencies_out_there/" TargetMode="External"/><Relationship Id="rId35" Type="http://schemas.openxmlformats.org/officeDocument/2006/relationships/hyperlink" Target="http://reddit.com" TargetMode="External"/><Relationship Id="rId34" Type="http://schemas.openxmlformats.org/officeDocument/2006/relationships/hyperlink" Target="https://www.reddit.com/r/digital_marketing/comments/1sd6dxn/whats_the_best_aeogeo_agency_that_actually_gets/" TargetMode="External"/><Relationship Id="rId37" Type="http://schemas.openxmlformats.org/officeDocument/2006/relationships/hyperlink" Target="http://reddit.com" TargetMode="External"/><Relationship Id="rId36" Type="http://schemas.openxmlformats.org/officeDocument/2006/relationships/hyperlink" Target="https://www.reddit.com/r/ecommerce/comments/1qusfa4/looking_for_best_incrementality_testing_tools/" TargetMode="External"/><Relationship Id="rId39" Type="http://schemas.openxmlformats.org/officeDocument/2006/relationships/hyperlink" Target="http://reddit.com" TargetMode="External"/><Relationship Id="rId38" Type="http://schemas.openxmlformats.org/officeDocument/2006/relationships/hyperlink" Target="https://www.reddit.com/r/smallbusiness/comments/1r3lo3y/good_agency_for_performance_marketing/" TargetMode="External"/><Relationship Id="rId20" Type="http://schemas.openxmlformats.org/officeDocument/2006/relationships/hyperlink" Target="https://www.brandlective.com/2025/11/03/how-reddit-fits-into-a-geo-aeo-strategy/" TargetMode="External"/><Relationship Id="rId22" Type="http://schemas.openxmlformats.org/officeDocument/2006/relationships/hyperlink" Target="https://www.reddit.com/r/Analyzify/comments/1d2js1n" TargetMode="External"/><Relationship Id="rId21" Type="http://schemas.openxmlformats.org/officeDocument/2006/relationships/hyperlink" Target="http://brandlective.com" TargetMode="External"/><Relationship Id="rId24" Type="http://schemas.openxmlformats.org/officeDocument/2006/relationships/hyperlink" Target="https://www.reddit.com/r/DigitalMarketing/comments/1tdfcjb/every_seo_agency_now_lists_ai_search_optimization/" TargetMode="External"/><Relationship Id="rId23" Type="http://schemas.openxmlformats.org/officeDocument/2006/relationships/hyperlink" Target="http://reddit.com" TargetMode="External"/><Relationship Id="rId26" Type="http://schemas.openxmlformats.org/officeDocument/2006/relationships/hyperlink" Target="https://www.reddit.com/r/MktgSupermarket/comments/1rqsemv/i_spent_weeks_researching_london_digital/" TargetMode="External"/><Relationship Id="rId25" Type="http://schemas.openxmlformats.org/officeDocument/2006/relationships/hyperlink" Target="http://reddit.com" TargetMode="External"/><Relationship Id="rId28" Type="http://schemas.openxmlformats.org/officeDocument/2006/relationships/hyperlink" Target="https://www.reddit.com/r/aeo/comments/1twcbr2/best_aeo_agency_guide_what_to_look_for_in_an/"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PPC/comments/15afa5c/best_agencies_for_paid_media_ld_uk/" TargetMode="External"/><Relationship Id="rId13" Type="http://schemas.openxmlformats.org/officeDocument/2006/relationships/hyperlink" Target="http://reddit.com" TargetMode="External"/><Relationship Id="rId12" Type="http://schemas.openxmlformats.org/officeDocument/2006/relationships/hyperlink" Target="https://www.reddit.com/r/LLMTraffic/comments/1t44tn7/which_geo_marketing_agencies_are_actually_worth/" TargetMode="External"/><Relationship Id="rId15" Type="http://schemas.openxmlformats.org/officeDocument/2006/relationships/hyperlink" Target="http://reddit.com" TargetMode="External"/><Relationship Id="rId14" Type="http://schemas.openxmlformats.org/officeDocument/2006/relationships/hyperlink" Target="https://www.reddit.com/r/PPC/comments/1tkc7rr/which_ppc_agencies_are_actually_considered_the/" TargetMode="External"/><Relationship Id="rId17" Type="http://schemas.openxmlformats.org/officeDocument/2006/relationships/hyperlink" Target="http://reddit.com" TargetMode="External"/><Relationship Id="rId16" Type="http://schemas.openxmlformats.org/officeDocument/2006/relationships/hyperlink" Target="https://www.reddit.com/r/agency/comments/1ok212i/performance_marketing_incrementality/" TargetMode="External"/><Relationship Id="rId19" Type="http://schemas.openxmlformats.org/officeDocument/2006/relationships/hyperlink" Target="http://reddit.com" TargetMode="External"/><Relationship Id="rId18" Type="http://schemas.openxmlformats.org/officeDocument/2006/relationships/hyperlink" Target="https://www.reddit.com/r/b2bmarketing/comments/1rl47cr/the_10_best_visibility_companies_and_agencies_for/"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icpnet.com" TargetMode="External"/><Relationship Id="rId2" Type="http://schemas.openxmlformats.org/officeDocument/2006/relationships/hyperlink" Target="https://pipeline.zoominfo.com/sales/intent-data-platform" TargetMode="External"/><Relationship Id="rId3" Type="http://schemas.openxmlformats.org/officeDocument/2006/relationships/hyperlink" Target="http://zoominfo.com" TargetMode="External"/><Relationship Id="rId4" Type="http://schemas.openxmlformats.org/officeDocument/2006/relationships/hyperlink" Target="https://uk.trustpilot.com/categories/topography_company" TargetMode="External"/><Relationship Id="rId5" Type="http://schemas.openxmlformats.org/officeDocument/2006/relationships/hyperlink" Target="http://trustpilot.com"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ecomone.com" TargetMode="External"/><Relationship Id="rId2" Type="http://schemas.openxmlformats.org/officeDocument/2006/relationships/hyperlink" Target="https://www.sevenatoms.com/blog/facebook-advertising-companies" TargetMode="External"/><Relationship Id="rId3" Type="http://schemas.openxmlformats.org/officeDocument/2006/relationships/hyperlink" Target="http://sevenatoms.com"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linkedin.com" TargetMode="External"/><Relationship Id="rId2" Type="http://schemas.openxmlformats.org/officeDocument/2006/relationships/hyperlink" Target="https://uk.linkedin.com/company/lynchpin-analytics-ltd" TargetMode="External"/><Relationship Id="rId3" Type="http://schemas.openxmlformats.org/officeDocument/2006/relationships/hyperlink" Target="http://linkedin.com" TargetMode="External"/><Relationship Id="rId4" Type="http://schemas.openxmlformats.org/officeDocument/2006/relationships/hyperlink" Target="https://uk.linkedin.com/company/queryclick" TargetMode="External"/><Relationship Id="rId9" Type="http://schemas.openxmlformats.org/officeDocument/2006/relationships/hyperlink" Target="http://linkedin.com" TargetMode="External"/><Relationship Id="rId5" Type="http://schemas.openxmlformats.org/officeDocument/2006/relationships/hyperlink" Target="http://linkedin.com" TargetMode="External"/><Relationship Id="rId6" Type="http://schemas.openxmlformats.org/officeDocument/2006/relationships/hyperlink" Target="https://www.digitallitmus.com/blog/best-linkedin-marketing-agencies-for-2024" TargetMode="External"/><Relationship Id="rId7" Type="http://schemas.openxmlformats.org/officeDocument/2006/relationships/hyperlink" Target="http://digitallitmus.com" TargetMode="External"/><Relationship Id="rId8" Type="http://schemas.openxmlformats.org/officeDocument/2006/relationships/hyperlink" Target="https://www.linkedin.com/pulse/deconstructing-common-solutions-first-party-data-pierre-cholet-booce" TargetMode="External"/><Relationship Id="rId11" Type="http://schemas.openxmlformats.org/officeDocument/2006/relationships/hyperlink" Target="http://linkedin.com" TargetMode="External"/><Relationship Id="rId10" Type="http://schemas.openxmlformats.org/officeDocument/2006/relationships/hyperlink" Target="https://www.linkedin.com/pulse/top-21-data-science-consulting-companies-2026-saurabh-sharma-kzwge" TargetMode="External"/><Relationship Id="rId13" Type="http://schemas.openxmlformats.org/officeDocument/2006/relationships/hyperlink" Target="http://linkedin.com" TargetMode="External"/><Relationship Id="rId12" Type="http://schemas.openxmlformats.org/officeDocument/2006/relationships/hyperlink" Target="https://uk.linkedin.com/company/ruleranalytics" TargetMode="External"/><Relationship Id="rId15" Type="http://schemas.openxmlformats.org/officeDocument/2006/relationships/hyperlink" Target="http://linkedin.com" TargetMode="External"/><Relationship Id="rId14" Type="http://schemas.openxmlformats.org/officeDocument/2006/relationships/hyperlink" Target="https://uk.linkedin.com/company/the-social-shepherd" TargetMode="External"/><Relationship Id="rId17" Type="http://schemas.openxmlformats.org/officeDocument/2006/relationships/hyperlink" Target="http://linkedin.com" TargetMode="External"/><Relationship Id="rId16" Type="http://schemas.openxmlformats.org/officeDocument/2006/relationships/hyperlink" Target="https://uk.linkedin.com/in/digantika-mitra" TargetMode="External"/><Relationship Id="rId1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wikipedia.org" TargetMode="External"/><Relationship Id="rId2" Type="http://schemas.openxmlformats.org/officeDocument/2006/relationships/hyperlink" Target="https://en.wikipedia.org/wiki/Attribution_(marketing)" TargetMode="External"/><Relationship Id="rId3" Type="http://schemas.openxmlformats.org/officeDocument/2006/relationships/hyperlink" Target="http://wikipedia.org"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gartner.com" TargetMode="External"/><Relationship Id="rId2" Type="http://schemas.openxmlformats.org/officeDocument/2006/relationships/hyperlink" Target="https://www.gartner.com/reviews/product/r-ga-global-digital-marketing-services/alternatives" TargetMode="External"/><Relationship Id="rId3" Type="http://schemas.openxmlformats.org/officeDocument/2006/relationships/hyperlink" Target="http://gartner.com" TargetMode="External"/><Relationship Id="rId4" Type="http://schemas.openxmlformats.org/officeDocument/2006/relationships/hyperlink" Target="https://segmentstream.com/blog/articles/top-haus-io-alternatives-for-geo-lift-incrementality-testing" TargetMode="External"/><Relationship Id="rId5" Type="http://schemas.openxmlformats.org/officeDocument/2006/relationships/hyperlink" Target="http://segmentstream.com" TargetMode="External"/><Relationship Id="rId6"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thesocialshepherd.com" TargetMode="External"/><Relationship Id="rId2" Type="http://schemas.openxmlformats.org/officeDocument/2006/relationships/hyperlink" Target="https://www.propeller.co.uk/insights/top-digital-marketing-agencies-uk-2025" TargetMode="External"/><Relationship Id="rId3" Type="http://schemas.openxmlformats.org/officeDocument/2006/relationships/hyperlink" Target="http://propeller.co.uk" TargetMode="External"/><Relationship Id="rId4" Type="http://schemas.openxmlformats.org/officeDocument/2006/relationships/hyperlink" Target="https://www.accuracast.com/articles/advertising/ai-marketing-agencies-uk/" TargetMode="External"/><Relationship Id="rId9" Type="http://schemas.openxmlformats.org/officeDocument/2006/relationships/hyperlink" Target="http://dentsu.com" TargetMode="External"/><Relationship Id="rId5" Type="http://schemas.openxmlformats.org/officeDocument/2006/relationships/hyperlink" Target="http://accuracast.com" TargetMode="External"/><Relationship Id="rId6" Type="http://schemas.openxmlformats.org/officeDocument/2006/relationships/hyperlink" Target="https://news.digitalagencyleaders.net/the-best-ai-marketing-agencies-in-the-uk-2025/" TargetMode="External"/><Relationship Id="rId7" Type="http://schemas.openxmlformats.org/officeDocument/2006/relationships/hyperlink" Target="http://digitalagencyleaders.net" TargetMode="External"/><Relationship Id="rId8" Type="http://schemas.openxmlformats.org/officeDocument/2006/relationships/hyperlink" Target="https://www.dentsu.com/uk/en/media-and-investors/elevating-marketing-measurement-for-the-modern-era" TargetMode="External"/><Relationship Id="rId40" Type="http://schemas.openxmlformats.org/officeDocument/2006/relationships/hyperlink" Target="http://cleandigital.co.uk" TargetMode="External"/><Relationship Id="rId42" Type="http://schemas.openxmlformats.org/officeDocument/2006/relationships/hyperlink" Target="http://deloitte.co.uk" TargetMode="External"/><Relationship Id="rId41" Type="http://schemas.openxmlformats.org/officeDocument/2006/relationships/hyperlink" Target="https://www.deloitte.co.uk/fast50/winners/2016/winner-profiles/brainlabs/" TargetMode="External"/><Relationship Id="rId44" Type="http://schemas.openxmlformats.org/officeDocument/2006/relationships/hyperlink" Target="http://itpro.com" TargetMode="External"/><Relationship Id="rId43" Type="http://schemas.openxmlformats.org/officeDocument/2006/relationships/hyperlink" Target="https://www.itpro.com/business/business-strategy/ai-projects-are-stalling-at-mid-market-firms-google-cloud-and-accenture-want-to-solve-that" TargetMode="External"/><Relationship Id="rId46" Type="http://schemas.openxmlformats.org/officeDocument/2006/relationships/hyperlink" Target="http://mobitsolutions.com" TargetMode="External"/><Relationship Id="rId45" Type="http://schemas.openxmlformats.org/officeDocument/2006/relationships/hyperlink" Target="https://www.mobitsolutions.com/digital-marketing-in-the-uk-what-agencies-charge-vs-what-you-get-back/" TargetMode="External"/><Relationship Id="rId48" Type="http://schemas.openxmlformats.org/officeDocument/2006/relationships/hyperlink" Target="http://thetimes.co.uk" TargetMode="External"/><Relationship Id="rId47" Type="http://schemas.openxmlformats.org/officeDocument/2006/relationships/hyperlink" Target="https://www.thetimes.co.uk/article/open-communication-partners-fastest-growing-sunday-times-100-3m3klfjkf" TargetMode="External"/><Relationship Id="rId49" Type="http://schemas.openxmlformats.org/officeDocument/2006/relationships/hyperlink" Target="https://www.theverge.com/tech/900302/ai-seo-industry-google-search-chatgpt-gemini-marketing" TargetMode="External"/><Relationship Id="rId31" Type="http://schemas.openxmlformats.org/officeDocument/2006/relationships/hyperlink" Target="https://saatchi.co.uk/news/john-lewis-partnership-appoints-saatchi/" TargetMode="External"/><Relationship Id="rId30" Type="http://schemas.openxmlformats.org/officeDocument/2006/relationships/hyperlink" Target="http://happyhourproductions.co.uk" TargetMode="External"/><Relationship Id="rId33" Type="http://schemas.openxmlformats.org/officeDocument/2006/relationships/hyperlink" Target="https://www.wsj.com/cio-journal/the-ai-superfans-companies-count-on-to-convert-the-skeptics-5b301a90" TargetMode="External"/><Relationship Id="rId32" Type="http://schemas.openxmlformats.org/officeDocument/2006/relationships/hyperlink" Target="http://saatchi.co.uk" TargetMode="External"/><Relationship Id="rId35" Type="http://schemas.openxmlformats.org/officeDocument/2006/relationships/hyperlink" Target="https://anicca.co.uk/blog/map-of-uk-google-ads-premier-partner-agencies-march-2022/" TargetMode="External"/><Relationship Id="rId34" Type="http://schemas.openxmlformats.org/officeDocument/2006/relationships/hyperlink" Target="http://wsj.com" TargetMode="External"/><Relationship Id="rId37" Type="http://schemas.openxmlformats.org/officeDocument/2006/relationships/hyperlink" Target="https://www.businessinsider.com/ai-adoption-strategies-companies-2026-7" TargetMode="External"/><Relationship Id="rId36" Type="http://schemas.openxmlformats.org/officeDocument/2006/relationships/hyperlink" Target="http://anicca.co.uk" TargetMode="External"/><Relationship Id="rId39" Type="http://schemas.openxmlformats.org/officeDocument/2006/relationships/hyperlink" Target="https://cleandigital.co.uk/blog/clean-digital-achieves-google-premier-partner-status" TargetMode="External"/><Relationship Id="rId38" Type="http://schemas.openxmlformats.org/officeDocument/2006/relationships/hyperlink" Target="http://businessinsider.com" TargetMode="External"/><Relationship Id="rId20" Type="http://schemas.openxmlformats.org/officeDocument/2006/relationships/hyperlink" Target="http://ie.edu" TargetMode="External"/><Relationship Id="rId22" Type="http://schemas.openxmlformats.org/officeDocument/2006/relationships/hyperlink" Target="http://the7stars.co.uk" TargetMode="External"/><Relationship Id="rId21" Type="http://schemas.openxmlformats.org/officeDocument/2006/relationships/hyperlink" Target="https://www.the7stars.co.uk/blog/the7stars-becomes-a-google-marketing-platform-certified-partner/" TargetMode="External"/><Relationship Id="rId24" Type="http://schemas.openxmlformats.org/officeDocument/2006/relationships/hyperlink" Target="http://techradar.com" TargetMode="External"/><Relationship Id="rId23" Type="http://schemas.openxmlformats.org/officeDocument/2006/relationships/hyperlink" Target="https://www.techradar.com/pro/hubspot-increased-leads-by-1850-percent-and-we-asked-them-how-the-aeo-playbook" TargetMode="External"/><Relationship Id="rId26" Type="http://schemas.openxmlformats.org/officeDocument/2006/relationships/hyperlink" Target="http://architecturaldigest.com" TargetMode="External"/><Relationship Id="rId25" Type="http://schemas.openxmlformats.org/officeDocument/2006/relationships/hyperlink" Target="https://www.architecturaldigest.com/story/is-your-business-ready-for-the-ai-overview-era" TargetMode="External"/><Relationship Id="rId28" Type="http://schemas.openxmlformats.org/officeDocument/2006/relationships/hyperlink" Target="http://ft.com" TargetMode="External"/><Relationship Id="rId27" Type="http://schemas.openxmlformats.org/officeDocument/2006/relationships/hyperlink" Target="https://www.ft.com/content/ccf5ea33-1398-4b9d-8bf6-a403f2f5493e" TargetMode="External"/><Relationship Id="rId29" Type="http://schemas.openxmlformats.org/officeDocument/2006/relationships/hyperlink" Target="https://www.happyhourproductions.co.uk/insights/top-creative-agencies-2026" TargetMode="External"/><Relationship Id="rId11" Type="http://schemas.openxmlformats.org/officeDocument/2006/relationships/hyperlink" Target="http://supermetrics.com" TargetMode="External"/><Relationship Id="rId10" Type="http://schemas.openxmlformats.org/officeDocument/2006/relationships/hyperlink" Target="https://supermetrics.com/blog/incrementality-testing" TargetMode="External"/><Relationship Id="rId13" Type="http://schemas.openxmlformats.org/officeDocument/2006/relationships/hyperlink" Target="http://appsflyer.com" TargetMode="External"/><Relationship Id="rId12" Type="http://schemas.openxmlformats.org/officeDocument/2006/relationships/hyperlink" Target="https://www.appsflyer.com/blog/tips-strategy/incrementality-testing-for-marketers/" TargetMode="External"/><Relationship Id="rId15" Type="http://schemas.openxmlformats.org/officeDocument/2006/relationships/hyperlink" Target="https://www.reuters.com/business/publicis-raises-growth-target-ai-driven-marketing-demand-stays-strong-2026-07-16/" TargetMode="External"/><Relationship Id="rId14" Type="http://schemas.openxmlformats.org/officeDocument/2006/relationships/hyperlink" Target="https://inbeat.agency/blog/incrementality-testing" TargetMode="External"/><Relationship Id="rId17" Type="http://schemas.openxmlformats.org/officeDocument/2006/relationships/hyperlink" Target="https://sellforte.com/blog/what-is-incrementality-testing" TargetMode="External"/><Relationship Id="rId16" Type="http://schemas.openxmlformats.org/officeDocument/2006/relationships/hyperlink" Target="http://reuters.com" TargetMode="External"/><Relationship Id="rId19" Type="http://schemas.openxmlformats.org/officeDocument/2006/relationships/hyperlink" Target="https://www.ie.edu/uncover-ie/the-big-six-agencies-marcom-ie-business-school/" TargetMode="External"/><Relationship Id="rId18" Type="http://schemas.openxmlformats.org/officeDocument/2006/relationships/hyperlink" Target="http://sellforte.com" TargetMode="External"/><Relationship Id="rId84" Type="http://schemas.openxmlformats.org/officeDocument/2006/relationships/hyperlink" Target="http://ekimetrics.com" TargetMode="External"/><Relationship Id="rId83" Type="http://schemas.openxmlformats.org/officeDocument/2006/relationships/hyperlink" Target="https://www.ekimetrics.com/articles/marketing-mix-modeling-how-to-measure-marketing-impact-and-optimize-budget-allocation" TargetMode="External"/><Relationship Id="rId86" Type="http://schemas.openxmlformats.org/officeDocument/2006/relationships/hyperlink" Target="http://emarketer.com" TargetMode="External"/><Relationship Id="rId85" Type="http://schemas.openxmlformats.org/officeDocument/2006/relationships/hyperlink" Target="https://www.emarketer.com/content/faq-on-ai-media-buying--platform-tools--agency-strategy--how-win-2026" TargetMode="External"/><Relationship Id="rId88" Type="http://schemas.openxmlformats.org/officeDocument/2006/relationships/hyperlink" Target="http://wikipedia.org" TargetMode="External"/><Relationship Id="rId87" Type="http://schemas.openxmlformats.org/officeDocument/2006/relationships/hyperlink" Target="https://en.wikipedia.org/wiki/Attribution_(marketing)" TargetMode="External"/><Relationship Id="rId89" Type="http://schemas.openxmlformats.org/officeDocument/2006/relationships/hyperlink" Target="https://www.enrichlabs.ai/blog/what-is-an-ai-marketing-agent" TargetMode="External"/><Relationship Id="rId80" Type="http://schemas.openxmlformats.org/officeDocument/2006/relationships/hyperlink" Target="http://croud.com" TargetMode="External"/><Relationship Id="rId82" Type="http://schemas.openxmlformats.org/officeDocument/2006/relationships/hyperlink" Target="http://digitalagencynetwork.com" TargetMode="External"/><Relationship Id="rId81" Type="http://schemas.openxmlformats.org/officeDocument/2006/relationships/hyperlink" Target="https://digitalagencynetwork.com/geo-agency/" TargetMode="External"/><Relationship Id="rId73" Type="http://schemas.openxmlformats.org/officeDocument/2006/relationships/hyperlink" Target="http://businessinsider.com" TargetMode="External"/><Relationship Id="rId72" Type="http://schemas.openxmlformats.org/officeDocument/2006/relationships/hyperlink" Target="https://www.businessinsider.com/ai-search-reshapes-seo-fueling-geo-gold-rush-2025-11" TargetMode="External"/><Relationship Id="rId75" Type="http://schemas.openxmlformats.org/officeDocument/2006/relationships/hyperlink" Target="http://businessinsider.com" TargetMode="External"/><Relationship Id="rId74" Type="http://schemas.openxmlformats.org/officeDocument/2006/relationships/hyperlink" Target="https://www.businessinsider.com/bain-cmo-erika-serow-cannes-lions-2026-7" TargetMode="External"/><Relationship Id="rId77" Type="http://schemas.openxmlformats.org/officeDocument/2006/relationships/hyperlink" Target="http://cometly.com" TargetMode="External"/><Relationship Id="rId76" Type="http://schemas.openxmlformats.org/officeDocument/2006/relationships/hyperlink" Target="https://www.cometly.com/post/marketing-measurement-and-attribution" TargetMode="External"/><Relationship Id="rId79" Type="http://schemas.openxmlformats.org/officeDocument/2006/relationships/hyperlink" Target="https://croud.com/resources/custom-attribution/" TargetMode="External"/><Relationship Id="rId78" Type="http://schemas.openxmlformats.org/officeDocument/2006/relationships/hyperlink" Target="https://www.consultancy.eu/news/7008/googles-top-emea-premier-partner-digital-marketing-consultancies" TargetMode="External"/><Relationship Id="rId71" Type="http://schemas.openxmlformats.org/officeDocument/2006/relationships/hyperlink" Target="http://google.com" TargetMode="External"/><Relationship Id="rId70" Type="http://schemas.openxmlformats.org/officeDocument/2006/relationships/hyperlink" Target="https://business.google.com/us/think/measurement/incrementality-testing/" TargetMode="External"/><Relationship Id="rId62" Type="http://schemas.openxmlformats.org/officeDocument/2006/relationships/hyperlink" Target="https://arxiv.org/abs/2606.04362" TargetMode="External"/><Relationship Id="rId61" Type="http://schemas.openxmlformats.org/officeDocument/2006/relationships/hyperlink" Target="http://arxiv.org" TargetMode="External"/><Relationship Id="rId64" Type="http://schemas.openxmlformats.org/officeDocument/2006/relationships/hyperlink" Target="https://brandience.com/insights/measuring-success-attribution-models-explained-by-a-full-service-agency" TargetMode="External"/><Relationship Id="rId63" Type="http://schemas.openxmlformats.org/officeDocument/2006/relationships/hyperlink" Target="http://arxiv.org" TargetMode="External"/><Relationship Id="rId66" Type="http://schemas.openxmlformats.org/officeDocument/2006/relationships/hyperlink" Target="https://www.brandlective.com/2025/11/03/how-reddit-fits-into-a-geo-aeo-strategy/" TargetMode="External"/><Relationship Id="rId65" Type="http://schemas.openxmlformats.org/officeDocument/2006/relationships/hyperlink" Target="http://brandience.com" TargetMode="External"/><Relationship Id="rId68" Type="http://schemas.openxmlformats.org/officeDocument/2006/relationships/hyperlink" Target="https://business.adobe.com/blog/basics/marketing-attribution" TargetMode="External"/><Relationship Id="rId67" Type="http://schemas.openxmlformats.org/officeDocument/2006/relationships/hyperlink" Target="http://brandlective.com" TargetMode="External"/><Relationship Id="rId60" Type="http://schemas.openxmlformats.org/officeDocument/2006/relationships/hyperlink" Target="https://arxiv.org/abs/2604.07585" TargetMode="External"/><Relationship Id="rId69" Type="http://schemas.openxmlformats.org/officeDocument/2006/relationships/hyperlink" Target="http://adobe.com" TargetMode="External"/><Relationship Id="rId51" Type="http://schemas.openxmlformats.org/officeDocument/2006/relationships/hyperlink" Target="https://whitehat-seo.co.uk/blog/ai-consultancy-ai-consulting" TargetMode="External"/><Relationship Id="rId50" Type="http://schemas.openxmlformats.org/officeDocument/2006/relationships/hyperlink" Target="http://theverge.com" TargetMode="External"/><Relationship Id="rId53" Type="http://schemas.openxmlformats.org/officeDocument/2006/relationships/hyperlink" Target="https://www.11x.marketing/blog/what-is-performance-marketing-agency" TargetMode="External"/><Relationship Id="rId52" Type="http://schemas.openxmlformats.org/officeDocument/2006/relationships/hyperlink" Target="http://whitehat-seo.co.uk" TargetMode="External"/><Relationship Id="rId55" Type="http://schemas.openxmlformats.org/officeDocument/2006/relationships/hyperlink" Target="http://advanced-television.com" TargetMode="External"/><Relationship Id="rId54" Type="http://schemas.openxmlformats.org/officeDocument/2006/relationships/hyperlink" Target="https://www.advanced-television.com/2026/03/17/smartly-acquires-incrmntal-measurement-platform/" TargetMode="External"/><Relationship Id="rId57" Type="http://schemas.openxmlformats.org/officeDocument/2006/relationships/hyperlink" Target="http://aiblmedia.com" TargetMode="External"/><Relationship Id="rId56" Type="http://schemas.openxmlformats.org/officeDocument/2006/relationships/hyperlink" Target="https://aiblmedia.com/practical-ai-insights/research/" TargetMode="External"/><Relationship Id="rId59" Type="http://schemas.openxmlformats.org/officeDocument/2006/relationships/hyperlink" Target="http://arxiv.org" TargetMode="External"/><Relationship Id="rId58" Type="http://schemas.openxmlformats.org/officeDocument/2006/relationships/hyperlink" Target="https://arxiv.org/abs/2509.08919" TargetMode="External"/><Relationship Id="rId95" Type="http://schemas.openxmlformats.org/officeDocument/2006/relationships/hyperlink" Target="https://www.fortismedia.com/en/articles/roi-marketing-agency/" TargetMode="External"/><Relationship Id="rId94" Type="http://schemas.openxmlformats.org/officeDocument/2006/relationships/hyperlink" Target="http://experian.com" TargetMode="External"/><Relationship Id="rId97" Type="http://schemas.openxmlformats.org/officeDocument/2006/relationships/hyperlink" Target="https://funnel.io/blog/incrementality-testing" TargetMode="External"/><Relationship Id="rId96" Type="http://schemas.openxmlformats.org/officeDocument/2006/relationships/hyperlink" Target="http://fortismedia.com" TargetMode="External"/><Relationship Id="rId99" Type="http://schemas.openxmlformats.org/officeDocument/2006/relationships/hyperlink" Target="https://improvado.io/blog/marketing-attribution-models" TargetMode="External"/><Relationship Id="rId98" Type="http://schemas.openxmlformats.org/officeDocument/2006/relationships/hyperlink" Target="http://funnel.io" TargetMode="External"/><Relationship Id="rId91" Type="http://schemas.openxmlformats.org/officeDocument/2006/relationships/hyperlink" Target="https://www.exchangewire.com/blog/2023/02/16/fifty-fives-record-setting-growth-in-2022-sparks-an-expansion-of-services-brand-refresh/" TargetMode="External"/><Relationship Id="rId90" Type="http://schemas.openxmlformats.org/officeDocument/2006/relationships/hyperlink" Target="http://enrichlabs.ai" TargetMode="External"/><Relationship Id="rId93" Type="http://schemas.openxmlformats.org/officeDocument/2006/relationships/hyperlink" Target="https://www.experian.com/blogs/marketing-forward/first-party-data-activation-2026/" TargetMode="External"/><Relationship Id="rId92" Type="http://schemas.openxmlformats.org/officeDocument/2006/relationships/hyperlink" Target="http://exchangewire.com" TargetMode="External"/><Relationship Id="rId150" Type="http://schemas.openxmlformats.org/officeDocument/2006/relationships/hyperlink" Target="http://whitehat-seo.co.uk" TargetMode="External"/><Relationship Id="rId149" Type="http://schemas.openxmlformats.org/officeDocument/2006/relationships/hyperlink" Target="https://whitehat-seo.co.uk/blog/ai-impact-on-consulting" TargetMode="External"/><Relationship Id="rId148" Type="http://schemas.openxmlformats.org/officeDocument/2006/relationships/hyperlink" Target="http://triplewhale.com" TargetMode="External"/><Relationship Id="rId143" Type="http://schemas.openxmlformats.org/officeDocument/2006/relationships/hyperlink" Target="https://www.theverge.com/podcast/959792/digitas-ceo-amy-lanzi-cannes-ad-industry-marketing-ai-creators" TargetMode="External"/><Relationship Id="rId142" Type="http://schemas.openxmlformats.org/officeDocument/2006/relationships/hyperlink" Target="http://thetradedesk.com" TargetMode="External"/><Relationship Id="rId141" Type="http://schemas.openxmlformats.org/officeDocument/2006/relationships/hyperlink" Target="https://www.thetradedesk.com/resources/premium-internet-reach-audiences-activate-first-party-data" TargetMode="External"/><Relationship Id="rId140" Type="http://schemas.openxmlformats.org/officeDocument/2006/relationships/hyperlink" Target="http://thetimes.co.uk" TargetMode="External"/><Relationship Id="rId147" Type="http://schemas.openxmlformats.org/officeDocument/2006/relationships/hyperlink" Target="https://www.triplewhale.com/blog/marketing-attribution" TargetMode="External"/><Relationship Id="rId146" Type="http://schemas.openxmlformats.org/officeDocument/2006/relationships/hyperlink" Target="http://tinuiti.com" TargetMode="External"/><Relationship Id="rId145" Type="http://schemas.openxmlformats.org/officeDocument/2006/relationships/hyperlink" Target="https://tinuiti.com/blog/measurement/incrementality-in-marketing/" TargetMode="External"/><Relationship Id="rId144" Type="http://schemas.openxmlformats.org/officeDocument/2006/relationships/hyperlink" Target="http://theverge.com" TargetMode="External"/><Relationship Id="rId139" Type="http://schemas.openxmlformats.org/officeDocument/2006/relationships/hyperlink" Target="https://www.thetimes.co.uk/article/jman-group-fastest-growing-sunday-times-100-8vl7jfw3p" TargetMode="External"/><Relationship Id="rId138" Type="http://schemas.openxmlformats.org/officeDocument/2006/relationships/hyperlink" Target="http://theguardian.com" TargetMode="External"/><Relationship Id="rId137" Type="http://schemas.openxmlformats.org/officeDocument/2006/relationships/hyperlink" Target="https://www.theguardian.com/business/2026/feb/26/wpp-merge-ad-agencies-cut-jobs-ai-threat-advertising" TargetMode="External"/><Relationship Id="rId132" Type="http://schemas.openxmlformats.org/officeDocument/2006/relationships/hyperlink" Target="http://techradar.com" TargetMode="External"/><Relationship Id="rId131" Type="http://schemas.openxmlformats.org/officeDocument/2006/relationships/hyperlink" Target="https://www.techradar.com/pro/marketing-doesnt-have-a-data-problem-it-has-an-action-problem" TargetMode="External"/><Relationship Id="rId130" Type="http://schemas.openxmlformats.org/officeDocument/2006/relationships/hyperlink" Target="http://techradar.com" TargetMode="External"/><Relationship Id="rId136" Type="http://schemas.openxmlformats.org/officeDocument/2006/relationships/hyperlink" Target="http://theaustralian.com.au" TargetMode="External"/><Relationship Id="rId135" Type="http://schemas.openxmlformats.org/officeDocument/2006/relationships/hyperlink" Target="https://www.theaustralian.com.au/business/growth-agenda/reinventing-media-how-accenture-song-plans-to-overhaul-media/news-story/69b59fae5073dde8984e001927f62bfd" TargetMode="External"/><Relationship Id="rId134" Type="http://schemas.openxmlformats.org/officeDocument/2006/relationships/hyperlink" Target="http://theaustralian.com.au" TargetMode="External"/><Relationship Id="rId133" Type="http://schemas.openxmlformats.org/officeDocument/2006/relationships/hyperlink" Target="https://www.theaustralian.com.au/business/growth-agenda/marketers-trapped-in-roi-death-spiral-need-to-think-like-investors/news-story/4103c5b9879892d34bcaee3dc85a71fa" TargetMode="External"/><Relationship Id="rId165" Type="http://schemas.openxmlformats.org/officeDocument/2006/relationships/drawing" Target="../drawings/drawing21.xml"/><Relationship Id="rId164" Type="http://schemas.openxmlformats.org/officeDocument/2006/relationships/hyperlink" Target="http://zetaglobal.com" TargetMode="External"/><Relationship Id="rId163" Type="http://schemas.openxmlformats.org/officeDocument/2006/relationships/hyperlink" Target="https://zetaglobal.com/resource-center/ai-first-party-data-agency-growth/" TargetMode="External"/><Relationship Id="rId162" Type="http://schemas.openxmlformats.org/officeDocument/2006/relationships/hyperlink" Target="http://youtube.com" TargetMode="External"/><Relationship Id="rId161" Type="http://schemas.openxmlformats.org/officeDocument/2006/relationships/hyperlink" Target="https://www.youtube.com/watch?v=osffLDnwyR8" TargetMode="External"/><Relationship Id="rId160" Type="http://schemas.openxmlformats.org/officeDocument/2006/relationships/hyperlink" Target="http://youtube.com" TargetMode="External"/><Relationship Id="rId159" Type="http://schemas.openxmlformats.org/officeDocument/2006/relationships/hyperlink" Target="https://www.youtube.com/watch?v=KjRgCP-x_Dw" TargetMode="External"/><Relationship Id="rId154" Type="http://schemas.openxmlformats.org/officeDocument/2006/relationships/hyperlink" Target="http://wpp.com" TargetMode="External"/><Relationship Id="rId153" Type="http://schemas.openxmlformats.org/officeDocument/2006/relationships/hyperlink" Target="https://www.wpp.com/en/news/2025/06/wpp-wins-creative-company-of-the-year-at-cannes-lions-2025" TargetMode="External"/><Relationship Id="rId152" Type="http://schemas.openxmlformats.org/officeDocument/2006/relationships/hyperlink" Target="http://wpp.com" TargetMode="External"/><Relationship Id="rId151" Type="http://schemas.openxmlformats.org/officeDocument/2006/relationships/hyperlink" Target="https://www.wpp.com/en/news/2025/03/wpp-claims-top-honours-on-the-warc-creative-100" TargetMode="External"/><Relationship Id="rId158" Type="http://schemas.openxmlformats.org/officeDocument/2006/relationships/hyperlink" Target="http://youtube.com" TargetMode="External"/><Relationship Id="rId157" Type="http://schemas.openxmlformats.org/officeDocument/2006/relationships/hyperlink" Target="https://www.youtube.com/watch?v=J3TiyuWqYng" TargetMode="External"/><Relationship Id="rId156" Type="http://schemas.openxmlformats.org/officeDocument/2006/relationships/hyperlink" Target="http://xo3d.co.uk" TargetMode="External"/><Relationship Id="rId155" Type="http://schemas.openxmlformats.org/officeDocument/2006/relationships/hyperlink" Target="https://xo3d.co.uk/blog/3d-creative-agency-for-marketing-professionals/" TargetMode="External"/><Relationship Id="rId107" Type="http://schemas.openxmlformats.org/officeDocument/2006/relationships/hyperlink" Target="https://www.marketingweek.com/john-lewis-new-agency/" TargetMode="External"/><Relationship Id="rId106" Type="http://schemas.openxmlformats.org/officeDocument/2006/relationships/hyperlink" Target="http://economictimes.com" TargetMode="External"/><Relationship Id="rId105" Type="http://schemas.openxmlformats.org/officeDocument/2006/relationships/hyperlink" Target="https://m.economictimes.com/industry/services/advertising/bcg-sees-wider-ai-execution-gap-in-india-as-marketers-prepare-for-agentic-ai/articleshow/132398248.cms" TargetMode="External"/><Relationship Id="rId104" Type="http://schemas.openxmlformats.org/officeDocument/2006/relationships/hyperlink" Target="http://linkedin.com" TargetMode="External"/><Relationship Id="rId109" Type="http://schemas.openxmlformats.org/officeDocument/2006/relationships/hyperlink" Target="https://www.measured.com/faq/incrementality-testing-how-to-choose-the-right-platform/" TargetMode="External"/><Relationship Id="rId108" Type="http://schemas.openxmlformats.org/officeDocument/2006/relationships/hyperlink" Target="http://marketingweek.com" TargetMode="External"/><Relationship Id="rId103" Type="http://schemas.openxmlformats.org/officeDocument/2006/relationships/hyperlink" Target="https://www.linkedin.com/pulse/deconstructing-common-solutions-first-party-data-pierre-cholet-booce" TargetMode="External"/><Relationship Id="rId102" Type="http://schemas.openxmlformats.org/officeDocument/2006/relationships/hyperlink" Target="http://ipa.co.uk" TargetMode="External"/><Relationship Id="rId101" Type="http://schemas.openxmlformats.org/officeDocument/2006/relationships/hyperlink" Target="https://ipa.co.uk/knowledge/publications-reports/making-effectiveness-work/" TargetMode="External"/><Relationship Id="rId100" Type="http://schemas.openxmlformats.org/officeDocument/2006/relationships/hyperlink" Target="http://improvado.io" TargetMode="External"/><Relationship Id="rId129" Type="http://schemas.openxmlformats.org/officeDocument/2006/relationships/hyperlink" Target="https://www.techradar.com/pro/many-businesses-are-deploying-ai-faster-than-theyre-preparing-employees-leading-to-an-ai-underclass-at-some-firms" TargetMode="External"/><Relationship Id="rId128" Type="http://schemas.openxmlformats.org/officeDocument/2006/relationships/hyperlink" Target="http://techradar.com" TargetMode="External"/><Relationship Id="rId127" Type="http://schemas.openxmlformats.org/officeDocument/2006/relationships/hyperlink" Target="https://www.techradar.com/pro/how-ai-has-made-bad-measurement-worse" TargetMode="External"/><Relationship Id="rId126" Type="http://schemas.openxmlformats.org/officeDocument/2006/relationships/hyperlink" Target="http://techradar.com" TargetMode="External"/><Relationship Id="rId121" Type="http://schemas.openxmlformats.org/officeDocument/2006/relationships/hyperlink" Target="https://www.shopify.com/blog/paid-media" TargetMode="External"/><Relationship Id="rId120" Type="http://schemas.openxmlformats.org/officeDocument/2006/relationships/hyperlink" Target="http://scalewithfuture.com" TargetMode="External"/><Relationship Id="rId125" Type="http://schemas.openxmlformats.org/officeDocument/2006/relationships/hyperlink" Target="https://www.techradar.com/pro/companies-that-can-serve-both-human-and-agent-audiences-will-be-the-ones-that-survive-wordpress-vip-cto-spells-out-the-future-of-seo-geo-and-more" TargetMode="External"/><Relationship Id="rId124" Type="http://schemas.openxmlformats.org/officeDocument/2006/relationships/hyperlink" Target="http://superside.com" TargetMode="External"/><Relationship Id="rId123" Type="http://schemas.openxmlformats.org/officeDocument/2006/relationships/hyperlink" Target="https://www.superside.com/blog/creative-at-scale" TargetMode="External"/><Relationship Id="rId122" Type="http://schemas.openxmlformats.org/officeDocument/2006/relationships/hyperlink" Target="http://shopify.com" TargetMode="External"/><Relationship Id="rId118" Type="http://schemas.openxmlformats.org/officeDocument/2006/relationships/hyperlink" Target="http://queryclick.com" TargetMode="External"/><Relationship Id="rId117" Type="http://schemas.openxmlformats.org/officeDocument/2006/relationships/hyperlink" Target="https://queryclick.com/insights/ecommerce-insights-conversions-rebound-external-factors/" TargetMode="External"/><Relationship Id="rId116" Type="http://schemas.openxmlformats.org/officeDocument/2006/relationships/hyperlink" Target="http://omnicommedia.com" TargetMode="External"/><Relationship Id="rId115" Type="http://schemas.openxmlformats.org/officeDocument/2006/relationships/hyperlink" Target="https://omnicommedia.com/uk/omnicom-consultancy-trkkn-launches-in-uk/" TargetMode="External"/><Relationship Id="rId119" Type="http://schemas.openxmlformats.org/officeDocument/2006/relationships/hyperlink" Target="https://www.scalewithfuture.com/resources/from-concept-to-completion-choosing-the-right-creative-production-agency" TargetMode="External"/><Relationship Id="rId110" Type="http://schemas.openxmlformats.org/officeDocument/2006/relationships/hyperlink" Target="http://measured.com" TargetMode="External"/><Relationship Id="rId114" Type="http://schemas.openxmlformats.org/officeDocument/2006/relationships/hyperlink" Target="http://oaknorth.co.uk" TargetMode="External"/><Relationship Id="rId113" Type="http://schemas.openxmlformats.org/officeDocument/2006/relationships/hyperlink" Target="https://oaknorth.co.uk/press/eci-partners-acquires-majority-stake-in-digital-marketing-agency-croud-to-accelerate-growth-following-77-6m-club-loan-from-oaknorth/" TargetMode="External"/><Relationship Id="rId112" Type="http://schemas.openxmlformats.org/officeDocument/2006/relationships/hyperlink" Target="http://measured.com" TargetMode="External"/><Relationship Id="rId111" Type="http://schemas.openxmlformats.org/officeDocument/2006/relationships/hyperlink" Target="https://www.measured.com/faq/what-is-incrementality-testing/"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emrush.com" TargetMode="External"/><Relationship Id="rId2" Type="http://schemas.openxmlformats.org/officeDocument/2006/relationships/hyperlink" Target="https://clutch.co/agencies/uk" TargetMode="External"/><Relationship Id="rId3" Type="http://schemas.openxmlformats.org/officeDocument/2006/relationships/hyperlink" Target="http://clutch.co" TargetMode="External"/><Relationship Id="rId4" Type="http://schemas.openxmlformats.org/officeDocument/2006/relationships/hyperlink" Target="https://digitalagencynetwork.com/agencies/uk/ai-marketing/" TargetMode="External"/><Relationship Id="rId9" Type="http://schemas.openxmlformats.org/officeDocument/2006/relationships/hyperlink" Target="http://sortlist.co.uk" TargetMode="External"/><Relationship Id="rId5" Type="http://schemas.openxmlformats.org/officeDocument/2006/relationships/hyperlink" Target="http://digitalagencynetwork.com" TargetMode="External"/><Relationship Id="rId6" Type="http://schemas.openxmlformats.org/officeDocument/2006/relationships/hyperlink" Target="https://clutch.co/agencies/digital-marketing/uk" TargetMode="External"/><Relationship Id="rId7" Type="http://schemas.openxmlformats.org/officeDocument/2006/relationships/hyperlink" Target="http://clutch.co" TargetMode="External"/><Relationship Id="rId8" Type="http://schemas.openxmlformats.org/officeDocument/2006/relationships/hyperlink" Target="https://www.sortlist.co.uk/s/ai-marketing/united-kingdom-gb" TargetMode="External"/><Relationship Id="rId40" Type="http://schemas.openxmlformats.org/officeDocument/2006/relationships/hyperlink" Target="https://www.sortlist.co.uk/s/performance-marketing/united-kingdom-gb" TargetMode="External"/><Relationship Id="rId42" Type="http://schemas.openxmlformats.org/officeDocument/2006/relationships/hyperlink" Target="https://clutch.co/agencies/social-media-marketing/uk" TargetMode="External"/><Relationship Id="rId41" Type="http://schemas.openxmlformats.org/officeDocument/2006/relationships/hyperlink" Target="http://sortlist.co.uk" TargetMode="External"/><Relationship Id="rId44" Type="http://schemas.openxmlformats.org/officeDocument/2006/relationships/hyperlink" Target="https://www.goodfirms.co/directory/country/top-digital-marketing-companies/gb" TargetMode="External"/><Relationship Id="rId43" Type="http://schemas.openxmlformats.org/officeDocument/2006/relationships/hyperlink" Target="http://clutch.co" TargetMode="External"/><Relationship Id="rId46" Type="http://schemas.openxmlformats.org/officeDocument/2006/relationships/hyperlink" Target="https://slashdot.org/software/incrementality-testing/in-uk/" TargetMode="External"/><Relationship Id="rId45" Type="http://schemas.openxmlformats.org/officeDocument/2006/relationships/hyperlink" Target="http://goodfirms.co" TargetMode="External"/><Relationship Id="rId48" Type="http://schemas.openxmlformats.org/officeDocument/2006/relationships/hyperlink" Target="https://www.sortlist.co.uk/s/display-advertising/england-england-gb" TargetMode="External"/><Relationship Id="rId47" Type="http://schemas.openxmlformats.org/officeDocument/2006/relationships/hyperlink" Target="http://slashdot.org" TargetMode="External"/><Relationship Id="rId49" Type="http://schemas.openxmlformats.org/officeDocument/2006/relationships/hyperlink" Target="http://sortlist.co.uk" TargetMode="External"/><Relationship Id="rId31" Type="http://schemas.openxmlformats.org/officeDocument/2006/relationships/hyperlink" Target="http://semrush.com" TargetMode="External"/><Relationship Id="rId30" Type="http://schemas.openxmlformats.org/officeDocument/2006/relationships/hyperlink" Target="https://agencies.semrush.com/list/ai-optimization/london-city/" TargetMode="External"/><Relationship Id="rId33" Type="http://schemas.openxmlformats.org/officeDocument/2006/relationships/hyperlink" Target="http://semrush.com" TargetMode="External"/><Relationship Id="rId32" Type="http://schemas.openxmlformats.org/officeDocument/2006/relationships/hyperlink" Target="https://agencies.semrush.com/list/ai-optimization/united-kingdom/" TargetMode="External"/><Relationship Id="rId35" Type="http://schemas.openxmlformats.org/officeDocument/2006/relationships/hyperlink" Target="http://semrush.com" TargetMode="External"/><Relationship Id="rId34" Type="http://schemas.openxmlformats.org/officeDocument/2006/relationships/hyperlink" Target="https://agencies.semrush.com/list/display-advertising/london-city/" TargetMode="External"/><Relationship Id="rId37" Type="http://schemas.openxmlformats.org/officeDocument/2006/relationships/hyperlink" Target="http://digitalagencynetwork.com" TargetMode="External"/><Relationship Id="rId36" Type="http://schemas.openxmlformats.org/officeDocument/2006/relationships/hyperlink" Target="https://digitalagencynetwork.com/agencies/uk/creative/" TargetMode="External"/><Relationship Id="rId39" Type="http://schemas.openxmlformats.org/officeDocument/2006/relationships/hyperlink" Target="http://clutch.co" TargetMode="External"/><Relationship Id="rId38" Type="http://schemas.openxmlformats.org/officeDocument/2006/relationships/hyperlink" Target="https://clutch.co/agencies/ppc/uk/england" TargetMode="External"/><Relationship Id="rId20" Type="http://schemas.openxmlformats.org/officeDocument/2006/relationships/hyperlink" Target="https://ensun.io/search/marketing-analytics/united-kingdom" TargetMode="External"/><Relationship Id="rId22" Type="http://schemas.openxmlformats.org/officeDocument/2006/relationships/hyperlink" Target="https://digitalagencynetwork.com/agencies/london/" TargetMode="External"/><Relationship Id="rId21" Type="http://schemas.openxmlformats.org/officeDocument/2006/relationships/hyperlink" Target="http://ensun.io" TargetMode="External"/><Relationship Id="rId24" Type="http://schemas.openxmlformats.org/officeDocument/2006/relationships/hyperlink" Target="https://digitalagencynetwork.com/agencies/uk/" TargetMode="External"/><Relationship Id="rId23" Type="http://schemas.openxmlformats.org/officeDocument/2006/relationships/hyperlink" Target="http://digitalagencynetwork.com" TargetMode="External"/><Relationship Id="rId26" Type="http://schemas.openxmlformats.org/officeDocument/2006/relationships/hyperlink" Target="https://www.sortlist.co.uk/s/paid-media/london-england-gb" TargetMode="External"/><Relationship Id="rId25" Type="http://schemas.openxmlformats.org/officeDocument/2006/relationships/hyperlink" Target="http://digitalagencynetwork.com" TargetMode="External"/><Relationship Id="rId28" Type="http://schemas.openxmlformats.org/officeDocument/2006/relationships/hyperlink" Target="https://clutch.co/agencies/creative/uk" TargetMode="External"/><Relationship Id="rId27" Type="http://schemas.openxmlformats.org/officeDocument/2006/relationships/hyperlink" Target="http://sortlist.co.uk" TargetMode="External"/><Relationship Id="rId29" Type="http://schemas.openxmlformats.org/officeDocument/2006/relationships/hyperlink" Target="http://clutch.co"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united-kingdom/" TargetMode="External"/><Relationship Id="rId13" Type="http://schemas.openxmlformats.org/officeDocument/2006/relationships/hyperlink" Target="http://sortlist.co.uk" TargetMode="External"/><Relationship Id="rId12" Type="http://schemas.openxmlformats.org/officeDocument/2006/relationships/hyperlink" Target="https://www.sortlist.co.uk/s/display-advertising/united-kingdom-gb" TargetMode="External"/><Relationship Id="rId15" Type="http://schemas.openxmlformats.org/officeDocument/2006/relationships/hyperlink" Target="http://sortlist.co.uk" TargetMode="External"/><Relationship Id="rId14" Type="http://schemas.openxmlformats.org/officeDocument/2006/relationships/hyperlink" Target="https://www.sortlist.co.uk/s/marketing-analytics/united-kingdom-gb" TargetMode="External"/><Relationship Id="rId17" Type="http://schemas.openxmlformats.org/officeDocument/2006/relationships/hyperlink" Target="http://digitalagencynetwork.com" TargetMode="External"/><Relationship Id="rId16" Type="http://schemas.openxmlformats.org/officeDocument/2006/relationships/hyperlink" Target="https://digitalagencynetwork.com/agencies/london/ai-marketing/" TargetMode="External"/><Relationship Id="rId19" Type="http://schemas.openxmlformats.org/officeDocument/2006/relationships/hyperlink" Target="http://designrush.com" TargetMode="External"/><Relationship Id="rId18" Type="http://schemas.openxmlformats.org/officeDocument/2006/relationships/hyperlink" Target="https://www.designrush.com/agency/creative-agencies/uk" TargetMode="External"/><Relationship Id="rId84" Type="http://schemas.openxmlformats.org/officeDocument/2006/relationships/hyperlink" Target="https://clutch.co/agencies/digital/uk" TargetMode="External"/><Relationship Id="rId83" Type="http://schemas.openxmlformats.org/officeDocument/2006/relationships/hyperlink" Target="http://semrush.com" TargetMode="External"/><Relationship Id="rId86" Type="http://schemas.openxmlformats.org/officeDocument/2006/relationships/hyperlink" Target="https://www.gartner.com/reviews/market/incrementality-measurement-platforms" TargetMode="External"/><Relationship Id="rId85" Type="http://schemas.openxmlformats.org/officeDocument/2006/relationships/hyperlink" Target="http://clutch.co" TargetMode="External"/><Relationship Id="rId88" Type="http://schemas.openxmlformats.org/officeDocument/2006/relationships/hyperlink" Target="https://www.google.co.uk/intl/en/ads/publisher/partners/find-a-partner/" TargetMode="External"/><Relationship Id="rId87" Type="http://schemas.openxmlformats.org/officeDocument/2006/relationships/hyperlink" Target="http://gartner.com" TargetMode="External"/><Relationship Id="rId89" Type="http://schemas.openxmlformats.org/officeDocument/2006/relationships/hyperlink" Target="http://google.co.uk" TargetMode="External"/><Relationship Id="rId80" Type="http://schemas.openxmlformats.org/officeDocument/2006/relationships/hyperlink" Target="https://clutch.co/consulting/ai/uk/england/london" TargetMode="External"/><Relationship Id="rId82" Type="http://schemas.openxmlformats.org/officeDocument/2006/relationships/hyperlink" Target="https://agencies.semrush.com/list/display-advertising/london-city/small-business/" TargetMode="External"/><Relationship Id="rId81" Type="http://schemas.openxmlformats.org/officeDocument/2006/relationships/hyperlink" Target="http://clutch.co" TargetMode="External"/><Relationship Id="rId73" Type="http://schemas.openxmlformats.org/officeDocument/2006/relationships/hyperlink" Target="http://clutch.co" TargetMode="External"/><Relationship Id="rId72" Type="http://schemas.openxmlformats.org/officeDocument/2006/relationships/hyperlink" Target="https://clutch.co/consulting/ai/strategy/uk" TargetMode="External"/><Relationship Id="rId75" Type="http://schemas.openxmlformats.org/officeDocument/2006/relationships/hyperlink" Target="http://superbcompanies.com" TargetMode="External"/><Relationship Id="rId74" Type="http://schemas.openxmlformats.org/officeDocument/2006/relationships/hyperlink" Target="https://superbcompanies.com/categories/creative-agencies-in-the-uk/" TargetMode="External"/><Relationship Id="rId77" Type="http://schemas.openxmlformats.org/officeDocument/2006/relationships/hyperlink" Target="http://50pros.com" TargetMode="External"/><Relationship Id="rId76" Type="http://schemas.openxmlformats.org/officeDocument/2006/relationships/hyperlink" Target="https://www.50pros.com/hire/advertising/attribution-and-measurement" TargetMode="External"/><Relationship Id="rId79" Type="http://schemas.openxmlformats.org/officeDocument/2006/relationships/hyperlink" Target="http://50pros.com" TargetMode="External"/><Relationship Id="rId78" Type="http://schemas.openxmlformats.org/officeDocument/2006/relationships/hyperlink" Target="https://www.50pros.com/hire/digital-marketing/marketing-attribution" TargetMode="External"/><Relationship Id="rId71" Type="http://schemas.openxmlformats.org/officeDocument/2006/relationships/hyperlink" Target="http://sortlist.co.uk" TargetMode="External"/><Relationship Id="rId70" Type="http://schemas.openxmlformats.org/officeDocument/2006/relationships/hyperlink" Target="https://www.sortlist.co.uk/web-analytics/united-kingdom-gb" TargetMode="External"/><Relationship Id="rId62" Type="http://schemas.openxmlformats.org/officeDocument/2006/relationships/hyperlink" Target="https://www.sortlist.co.uk/s/paid-media/united-kingdom-gb" TargetMode="External"/><Relationship Id="rId61" Type="http://schemas.openxmlformats.org/officeDocument/2006/relationships/hyperlink" Target="http://sortlist.co.uk" TargetMode="External"/><Relationship Id="rId64" Type="http://schemas.openxmlformats.org/officeDocument/2006/relationships/hyperlink" Target="https://www.sortlist.co.uk/s/attribution-marketing/london-england-gb" TargetMode="External"/><Relationship Id="rId63" Type="http://schemas.openxmlformats.org/officeDocument/2006/relationships/hyperlink" Target="http://sortlist.co.uk" TargetMode="External"/><Relationship Id="rId66" Type="http://schemas.openxmlformats.org/officeDocument/2006/relationships/hyperlink" Target="https://www.sortlist.co.uk/s/display-advertising/london-england-gb" TargetMode="External"/><Relationship Id="rId65" Type="http://schemas.openxmlformats.org/officeDocument/2006/relationships/hyperlink" Target="http://sortlist.co.uk" TargetMode="External"/><Relationship Id="rId68" Type="http://schemas.openxmlformats.org/officeDocument/2006/relationships/hyperlink" Target="https://www.sortlist.co.uk/social-media/united-kingdom-gb" TargetMode="External"/><Relationship Id="rId67" Type="http://schemas.openxmlformats.org/officeDocument/2006/relationships/hyperlink" Target="http://sortlist.co.uk" TargetMode="External"/><Relationship Id="rId60" Type="http://schemas.openxmlformats.org/officeDocument/2006/relationships/hyperlink" Target="https://www.sortlist.co.uk/s/creative/united-kingdom-gb" TargetMode="External"/><Relationship Id="rId69" Type="http://schemas.openxmlformats.org/officeDocument/2006/relationships/hyperlink" Target="http://sortlist.co.uk" TargetMode="External"/><Relationship Id="rId51" Type="http://schemas.openxmlformats.org/officeDocument/2006/relationships/hyperlink" Target="http://sortlist.co.uk" TargetMode="External"/><Relationship Id="rId50" Type="http://schemas.openxmlformats.org/officeDocument/2006/relationships/hyperlink" Target="https://www.sortlist.co.uk/s/performance-marketing/london-england-gb" TargetMode="External"/><Relationship Id="rId53" Type="http://schemas.openxmlformats.org/officeDocument/2006/relationships/hyperlink" Target="http://clutch.co" TargetMode="External"/><Relationship Id="rId52" Type="http://schemas.openxmlformats.org/officeDocument/2006/relationships/hyperlink" Target="https://clutch.co/consulting/ai/uk" TargetMode="External"/><Relationship Id="rId55" Type="http://schemas.openxmlformats.org/officeDocument/2006/relationships/hyperlink" Target="http://designrush.com" TargetMode="External"/><Relationship Id="rId54" Type="http://schemas.openxmlformats.org/officeDocument/2006/relationships/hyperlink" Target="https://www.designrush.com/agency/digital-marketing/uk" TargetMode="External"/><Relationship Id="rId57" Type="http://schemas.openxmlformats.org/officeDocument/2006/relationships/hyperlink" Target="http://clutch.co" TargetMode="External"/><Relationship Id="rId56" Type="http://schemas.openxmlformats.org/officeDocument/2006/relationships/hyperlink" Target="https://clutch.co/agencies/ppc/uk" TargetMode="External"/><Relationship Id="rId59" Type="http://schemas.openxmlformats.org/officeDocument/2006/relationships/hyperlink" Target="http://impressiondigital.com" TargetMode="External"/><Relationship Id="rId58" Type="http://schemas.openxmlformats.org/officeDocument/2006/relationships/hyperlink" Target="https://www.impressiondigital.com/paid-media/" TargetMode="External"/><Relationship Id="rId346" Type="http://schemas.openxmlformats.org/officeDocument/2006/relationships/drawing" Target="../drawings/drawing22.xml"/><Relationship Id="rId341" Type="http://schemas.openxmlformats.org/officeDocument/2006/relationships/hyperlink" Target="http://thedca.co" TargetMode="External"/><Relationship Id="rId340" Type="http://schemas.openxmlformats.org/officeDocument/2006/relationships/hyperlink" Target="https://www.thedca.co/services/production" TargetMode="External"/><Relationship Id="rId345" Type="http://schemas.openxmlformats.org/officeDocument/2006/relationships/hyperlink" Target="http://zyppy.com" TargetMode="External"/><Relationship Id="rId344" Type="http://schemas.openxmlformats.org/officeDocument/2006/relationships/hyperlink" Target="https://zyppy.com/companies/c/generative-ai-seo/united-kingdom/london/" TargetMode="External"/><Relationship Id="rId343" Type="http://schemas.openxmlformats.org/officeDocument/2006/relationships/hyperlink" Target="http://ukagencies.co.uk" TargetMode="External"/><Relationship Id="rId342" Type="http://schemas.openxmlformats.org/officeDocument/2006/relationships/hyperlink" Target="https://ukagencies.co.uk/services/ppc/" TargetMode="External"/><Relationship Id="rId338" Type="http://schemas.openxmlformats.org/officeDocument/2006/relationships/hyperlink" Target="https://support.google.com/displayvideo/answer/9030625?hl=en-GB" TargetMode="External"/><Relationship Id="rId337" Type="http://schemas.openxmlformats.org/officeDocument/2006/relationships/hyperlink" Target="http://sortlist.com" TargetMode="External"/><Relationship Id="rId336" Type="http://schemas.openxmlformats.org/officeDocument/2006/relationships/hyperlink" Target="https://www.sortlist.com/social-media-optimization" TargetMode="External"/><Relationship Id="rId335" Type="http://schemas.openxmlformats.org/officeDocument/2006/relationships/hyperlink" Target="http://sortlist.com" TargetMode="External"/><Relationship Id="rId339" Type="http://schemas.openxmlformats.org/officeDocument/2006/relationships/hyperlink" Target="http://google.com" TargetMode="External"/><Relationship Id="rId330" Type="http://schemas.openxmlformats.org/officeDocument/2006/relationships/hyperlink" Target="https://www.sortlist.com/l/dubai-ae" TargetMode="External"/><Relationship Id="rId334" Type="http://schemas.openxmlformats.org/officeDocument/2006/relationships/hyperlink" Target="https://www.sortlist.com/performance-marketing" TargetMode="External"/><Relationship Id="rId333" Type="http://schemas.openxmlformats.org/officeDocument/2006/relationships/hyperlink" Target="http://sortlist.com" TargetMode="External"/><Relationship Id="rId332" Type="http://schemas.openxmlformats.org/officeDocument/2006/relationships/hyperlink" Target="https://www.sortlist.com/marketing-communication" TargetMode="External"/><Relationship Id="rId331" Type="http://schemas.openxmlformats.org/officeDocument/2006/relationships/hyperlink" Target="http://sortlist.com" TargetMode="External"/><Relationship Id="rId95" Type="http://schemas.openxmlformats.org/officeDocument/2006/relationships/hyperlink" Target="http://clutch.co" TargetMode="External"/><Relationship Id="rId94" Type="http://schemas.openxmlformats.org/officeDocument/2006/relationships/hyperlink" Target="https://clutch.co/agencies/digital-marketing/uk/england/london" TargetMode="External"/><Relationship Id="rId97" Type="http://schemas.openxmlformats.org/officeDocument/2006/relationships/hyperlink" Target="http://clutch.co" TargetMode="External"/><Relationship Id="rId96" Type="http://schemas.openxmlformats.org/officeDocument/2006/relationships/hyperlink" Target="https://clutch.co/agencies/media-buying/uk" TargetMode="External"/><Relationship Id="rId99" Type="http://schemas.openxmlformats.org/officeDocument/2006/relationships/hyperlink" Target="http://clutch.co" TargetMode="External"/><Relationship Id="rId98" Type="http://schemas.openxmlformats.org/officeDocument/2006/relationships/hyperlink" Target="https://clutch.co/agencies/ppc/google-adwords/uk" TargetMode="External"/><Relationship Id="rId91" Type="http://schemas.openxmlformats.org/officeDocument/2006/relationships/hyperlink" Target="http://greenbook.org" TargetMode="External"/><Relationship Id="rId90" Type="http://schemas.openxmlformats.org/officeDocument/2006/relationships/hyperlink" Target="https://www.greenbook.org/market-research-companies/united-kingdom" TargetMode="External"/><Relationship Id="rId93" Type="http://schemas.openxmlformats.org/officeDocument/2006/relationships/hyperlink" Target="http://marketingagencyindex.com" TargetMode="External"/><Relationship Id="rId92" Type="http://schemas.openxmlformats.org/officeDocument/2006/relationships/hyperlink" Target="https://www.marketingagencyindex.com/uk/industries/ai" TargetMode="External"/><Relationship Id="rId305" Type="http://schemas.openxmlformats.org/officeDocument/2006/relationships/hyperlink" Target="http://softwareadvice.co.uk" TargetMode="External"/><Relationship Id="rId304" Type="http://schemas.openxmlformats.org/officeDocument/2006/relationships/hyperlink" Target="https://www.softwareadvice.co.uk/directory/4315/marketing-attribution/software" TargetMode="External"/><Relationship Id="rId303" Type="http://schemas.openxmlformats.org/officeDocument/2006/relationships/hyperlink" Target="http://seo-london.com" TargetMode="External"/><Relationship Id="rId302" Type="http://schemas.openxmlformats.org/officeDocument/2006/relationships/hyperlink" Target="https://www.seo-london.com/agencies/" TargetMode="External"/><Relationship Id="rId309" Type="http://schemas.openxmlformats.org/officeDocument/2006/relationships/hyperlink" Target="http://sortlist.co.uk" TargetMode="External"/><Relationship Id="rId308" Type="http://schemas.openxmlformats.org/officeDocument/2006/relationships/hyperlink" Target="https://www.sortlist.co.uk/s/creative/united-kingdom-gb?custom=creative" TargetMode="External"/><Relationship Id="rId307" Type="http://schemas.openxmlformats.org/officeDocument/2006/relationships/hyperlink" Target="http://sortlist.co.uk" TargetMode="External"/><Relationship Id="rId306" Type="http://schemas.openxmlformats.org/officeDocument/2006/relationships/hyperlink" Target="https://www.sortlist.co.uk/s/attribution-marketing/greater-london-england-gb" TargetMode="External"/><Relationship Id="rId301" Type="http://schemas.openxmlformats.org/officeDocument/2006/relationships/hyperlink" Target="http://scopicstudios.com" TargetMode="External"/><Relationship Id="rId300" Type="http://schemas.openxmlformats.org/officeDocument/2006/relationships/hyperlink" Target="https://scopicstudios.com/blog/best-incrementality-testing-tools-2026/" TargetMode="External"/><Relationship Id="rId327" Type="http://schemas.openxmlformats.org/officeDocument/2006/relationships/hyperlink" Target="http://sortlist.co.uk" TargetMode="External"/><Relationship Id="rId326" Type="http://schemas.openxmlformats.org/officeDocument/2006/relationships/hyperlink" Target="https://www.sortlist.co.uk/s/testing-services/united-kingdom-gb" TargetMode="External"/><Relationship Id="rId325" Type="http://schemas.openxmlformats.org/officeDocument/2006/relationships/hyperlink" Target="http://sortlist.co.uk" TargetMode="External"/><Relationship Id="rId324" Type="http://schemas.openxmlformats.org/officeDocument/2006/relationships/hyperlink" Target="https://www.sortlist.co.uk/s/storytelling/london-england-gb" TargetMode="External"/><Relationship Id="rId329" Type="http://schemas.openxmlformats.org/officeDocument/2006/relationships/hyperlink" Target="http://sortlist.co.uk" TargetMode="External"/><Relationship Id="rId328" Type="http://schemas.openxmlformats.org/officeDocument/2006/relationships/hyperlink" Target="https://www.sortlist.co.uk/web-analytics/london-england-gb" TargetMode="External"/><Relationship Id="rId323" Type="http://schemas.openxmlformats.org/officeDocument/2006/relationships/hyperlink" Target="http://sortlist.co.uk" TargetMode="External"/><Relationship Id="rId322" Type="http://schemas.openxmlformats.org/officeDocument/2006/relationships/hyperlink" Target="https://www.sortlist.co.uk/s/programmatic-advertising/london-england-gb" TargetMode="External"/><Relationship Id="rId321" Type="http://schemas.openxmlformats.org/officeDocument/2006/relationships/hyperlink" Target="http://sortlist.co.uk" TargetMode="External"/><Relationship Id="rId320" Type="http://schemas.openxmlformats.org/officeDocument/2006/relationships/hyperlink" Target="https://www.sortlist.co.uk/s/performance-marketing/greater-london-england-gb" TargetMode="External"/><Relationship Id="rId316" Type="http://schemas.openxmlformats.org/officeDocument/2006/relationships/hyperlink" Target="https://www.sortlist.co.uk/s/display-advertising/manchester-england-gb" TargetMode="External"/><Relationship Id="rId315" Type="http://schemas.openxmlformats.org/officeDocument/2006/relationships/hyperlink" Target="http://sortlist.co.uk" TargetMode="External"/><Relationship Id="rId314" Type="http://schemas.openxmlformats.org/officeDocument/2006/relationships/hyperlink" Target="https://www.sortlist.co.uk/s/display-advertising/luton-england-gb" TargetMode="External"/><Relationship Id="rId313" Type="http://schemas.openxmlformats.org/officeDocument/2006/relationships/hyperlink" Target="http://sortlist.co.uk" TargetMode="External"/><Relationship Id="rId319" Type="http://schemas.openxmlformats.org/officeDocument/2006/relationships/hyperlink" Target="http://sortlist.co.uk" TargetMode="External"/><Relationship Id="rId318" Type="http://schemas.openxmlformats.org/officeDocument/2006/relationships/hyperlink" Target="https://www.sortlist.co.uk/s/international-branding/united-kingdom-gb" TargetMode="External"/><Relationship Id="rId317" Type="http://schemas.openxmlformats.org/officeDocument/2006/relationships/hyperlink" Target="http://sortlist.co.uk" TargetMode="External"/><Relationship Id="rId312" Type="http://schemas.openxmlformats.org/officeDocument/2006/relationships/hyperlink" Target="https://www.sortlist.co.uk/s/display-advertising/greater-london-england-gb" TargetMode="External"/><Relationship Id="rId311" Type="http://schemas.openxmlformats.org/officeDocument/2006/relationships/hyperlink" Target="http://sortlist.co.uk" TargetMode="External"/><Relationship Id="rId310" Type="http://schemas.openxmlformats.org/officeDocument/2006/relationships/hyperlink" Target="https://www.sortlist.co.uk/s/display-advertising/birmingham-england-gb" TargetMode="External"/><Relationship Id="rId297" Type="http://schemas.openxmlformats.org/officeDocument/2006/relationships/hyperlink" Target="http://greenbook.org" TargetMode="External"/><Relationship Id="rId296" Type="http://schemas.openxmlformats.org/officeDocument/2006/relationships/hyperlink" Target="https://www.greenbook.org/market-research-firms/tracking" TargetMode="External"/><Relationship Id="rId295" Type="http://schemas.openxmlformats.org/officeDocument/2006/relationships/hyperlink" Target="http://goodfirms.co" TargetMode="External"/><Relationship Id="rId294" Type="http://schemas.openxmlformats.org/officeDocument/2006/relationships/hyperlink" Target="https://www.goodfirms.co/advertising-companies/programmatic" TargetMode="External"/><Relationship Id="rId299" Type="http://schemas.openxmlformats.org/officeDocument/2006/relationships/hyperlink" Target="http://scopicstudios.com" TargetMode="External"/><Relationship Id="rId298" Type="http://schemas.openxmlformats.org/officeDocument/2006/relationships/hyperlink" Target="https://scopicstudios.com/blog/best-geo-agencies-ai-search-visibility-2026/" TargetMode="External"/><Relationship Id="rId271" Type="http://schemas.openxmlformats.org/officeDocument/2006/relationships/hyperlink" Target="https://clutch.co/developers/ecommerce" TargetMode="External"/><Relationship Id="rId270" Type="http://schemas.openxmlformats.org/officeDocument/2006/relationships/hyperlink" Target="http://clutch.co" TargetMode="External"/><Relationship Id="rId269" Type="http://schemas.openxmlformats.org/officeDocument/2006/relationships/hyperlink" Target="https://clutch.co/agencies/social-media-marketing/tik-tok/uk" TargetMode="External"/><Relationship Id="rId264" Type="http://schemas.openxmlformats.org/officeDocument/2006/relationships/hyperlink" Target="http://clutch.co" TargetMode="External"/><Relationship Id="rId263" Type="http://schemas.openxmlformats.org/officeDocument/2006/relationships/hyperlink" Target="https://clutch.co/agencies/ppc/uk/england/nottingham" TargetMode="External"/><Relationship Id="rId262" Type="http://schemas.openxmlformats.org/officeDocument/2006/relationships/hyperlink" Target="http://clutch.co" TargetMode="External"/><Relationship Id="rId261" Type="http://schemas.openxmlformats.org/officeDocument/2006/relationships/hyperlink" Target="https://clutch.co/agencies/market-research/uk" TargetMode="External"/><Relationship Id="rId268" Type="http://schemas.openxmlformats.org/officeDocument/2006/relationships/hyperlink" Target="http://clutch.co" TargetMode="External"/><Relationship Id="rId267" Type="http://schemas.openxmlformats.org/officeDocument/2006/relationships/hyperlink" Target="https://clutch.co/agencies/programmatic/uk?page=2" TargetMode="External"/><Relationship Id="rId266" Type="http://schemas.openxmlformats.org/officeDocument/2006/relationships/hyperlink" Target="http://clutch.co" TargetMode="External"/><Relationship Id="rId265" Type="http://schemas.openxmlformats.org/officeDocument/2006/relationships/hyperlink" Target="https://clutch.co/agencies/programmatic/uk/england/london" TargetMode="External"/><Relationship Id="rId260" Type="http://schemas.openxmlformats.org/officeDocument/2006/relationships/hyperlink" Target="http://clutch.co" TargetMode="External"/><Relationship Id="rId259" Type="http://schemas.openxmlformats.org/officeDocument/2006/relationships/hyperlink" Target="https://clutch.co/agencies/digital-marketing/enterprise/uk/england/london" TargetMode="External"/><Relationship Id="rId258" Type="http://schemas.openxmlformats.org/officeDocument/2006/relationships/hyperlink" Target="http://clutch.co" TargetMode="External"/><Relationship Id="rId253" Type="http://schemas.openxmlformats.org/officeDocument/2006/relationships/hyperlink" Target="https://clutch.co/agencies/account-based-marketing/uk" TargetMode="External"/><Relationship Id="rId252" Type="http://schemas.openxmlformats.org/officeDocument/2006/relationships/hyperlink" Target="http://clicktrain.com" TargetMode="External"/><Relationship Id="rId251" Type="http://schemas.openxmlformats.org/officeDocument/2006/relationships/hyperlink" Target="https://clicktrain.com/en-gb/ppc-agencies/" TargetMode="External"/><Relationship Id="rId250" Type="http://schemas.openxmlformats.org/officeDocument/2006/relationships/hyperlink" Target="http://businessofapps.com" TargetMode="External"/><Relationship Id="rId257" Type="http://schemas.openxmlformats.org/officeDocument/2006/relationships/hyperlink" Target="https://clutch.co/agencies/digital-marketing" TargetMode="External"/><Relationship Id="rId256" Type="http://schemas.openxmlformats.org/officeDocument/2006/relationships/hyperlink" Target="http://clutch.co" TargetMode="External"/><Relationship Id="rId255" Type="http://schemas.openxmlformats.org/officeDocument/2006/relationships/hyperlink" Target="https://clutch.co/agencies/conversion-optimization/uk" TargetMode="External"/><Relationship Id="rId254" Type="http://schemas.openxmlformats.org/officeDocument/2006/relationships/hyperlink" Target="http://clutch.co" TargetMode="External"/><Relationship Id="rId293" Type="http://schemas.openxmlformats.org/officeDocument/2006/relationships/hyperlink" Target="https://enterprisemarketingportal.google/find-a-partner" TargetMode="External"/><Relationship Id="rId292" Type="http://schemas.openxmlformats.org/officeDocument/2006/relationships/hyperlink" Target="http://ensun.io" TargetMode="External"/><Relationship Id="rId291" Type="http://schemas.openxmlformats.org/officeDocument/2006/relationships/hyperlink" Target="https://ensun.io/search/geospatial-gis/united-kingdom" TargetMode="External"/><Relationship Id="rId290" Type="http://schemas.openxmlformats.org/officeDocument/2006/relationships/hyperlink" Target="http://ensun.io" TargetMode="External"/><Relationship Id="rId286" Type="http://schemas.openxmlformats.org/officeDocument/2006/relationships/hyperlink" Target="http://hubspot.com" TargetMode="External"/><Relationship Id="rId285" Type="http://schemas.openxmlformats.org/officeDocument/2006/relationships/hyperlink" Target="https://ecosystem.hubspot.com/marketplace/solutions/greece" TargetMode="External"/><Relationship Id="rId284" Type="http://schemas.openxmlformats.org/officeDocument/2006/relationships/hyperlink" Target="http://digitalagencynetwork.com" TargetMode="External"/><Relationship Id="rId283" Type="http://schemas.openxmlformats.org/officeDocument/2006/relationships/hyperlink" Target="https://digitalagencynetwork.com/agencies/london/creative/" TargetMode="External"/><Relationship Id="rId289" Type="http://schemas.openxmlformats.org/officeDocument/2006/relationships/hyperlink" Target="https://ensun.io/search/ai-consulting/united-kingdom" TargetMode="External"/><Relationship Id="rId288" Type="http://schemas.openxmlformats.org/officeDocument/2006/relationships/hyperlink" Target="http://wikipedia.org" TargetMode="External"/><Relationship Id="rId287" Type="http://schemas.openxmlformats.org/officeDocument/2006/relationships/hyperlink" Target="https://en.wikipedia.org/wiki/Advertising_agency" TargetMode="External"/><Relationship Id="rId282" Type="http://schemas.openxmlformats.org/officeDocument/2006/relationships/hyperlink" Target="http://designrush.com" TargetMode="External"/><Relationship Id="rId281" Type="http://schemas.openxmlformats.org/officeDocument/2006/relationships/hyperlink" Target="https://www.designrush.com/agency/digital-marketing/analytics" TargetMode="External"/><Relationship Id="rId280" Type="http://schemas.openxmlformats.org/officeDocument/2006/relationships/hyperlink" Target="http://creativepool.com" TargetMode="External"/><Relationship Id="rId275" Type="http://schemas.openxmlformats.org/officeDocument/2006/relationships/hyperlink" Target="https://clutch.co/seo-firms/link-building" TargetMode="External"/><Relationship Id="rId274" Type="http://schemas.openxmlformats.org/officeDocument/2006/relationships/hyperlink" Target="http://clutch.co" TargetMode="External"/><Relationship Id="rId273" Type="http://schemas.openxmlformats.org/officeDocument/2006/relationships/hyperlink" Target="https://clutch.co/seo-firms/amazon/uk" TargetMode="External"/><Relationship Id="rId272" Type="http://schemas.openxmlformats.org/officeDocument/2006/relationships/hyperlink" Target="http://clutch.co" TargetMode="External"/><Relationship Id="rId279" Type="http://schemas.openxmlformats.org/officeDocument/2006/relationships/hyperlink" Target="https://creativepool.com/advertising-agency" TargetMode="External"/><Relationship Id="rId278" Type="http://schemas.openxmlformats.org/officeDocument/2006/relationships/hyperlink" Target="http://consultancy.uk" TargetMode="External"/><Relationship Id="rId277" Type="http://schemas.openxmlformats.org/officeDocument/2006/relationships/hyperlink" Target="https://www.consultancy.uk/services/expertise/ai-genai" TargetMode="External"/><Relationship Id="rId276" Type="http://schemas.openxmlformats.org/officeDocument/2006/relationships/hyperlink" Target="http://clutch.co" TargetMode="External"/><Relationship Id="rId228" Type="http://schemas.openxmlformats.org/officeDocument/2006/relationships/hyperlink" Target="http://sortlist.com" TargetMode="External"/><Relationship Id="rId227" Type="http://schemas.openxmlformats.org/officeDocument/2006/relationships/hyperlink" Target="https://www.sortlist.com/marketing-analytics" TargetMode="External"/><Relationship Id="rId226" Type="http://schemas.openxmlformats.org/officeDocument/2006/relationships/hyperlink" Target="http://sortlist.co.uk" TargetMode="External"/><Relationship Id="rId225" Type="http://schemas.openxmlformats.org/officeDocument/2006/relationships/hyperlink" Target="https://www.sortlist.co.uk/s/paid-media/greater-london-england-gb" TargetMode="External"/><Relationship Id="rId229" Type="http://schemas.openxmlformats.org/officeDocument/2006/relationships/hyperlink" Target="https://themanifest.com/programmatic/agencies/uk" TargetMode="External"/><Relationship Id="rId220" Type="http://schemas.openxmlformats.org/officeDocument/2006/relationships/hyperlink" Target="http://sortlist.co.uk" TargetMode="External"/><Relationship Id="rId224" Type="http://schemas.openxmlformats.org/officeDocument/2006/relationships/hyperlink" Target="http://sortlist.co.uk" TargetMode="External"/><Relationship Id="rId223" Type="http://schemas.openxmlformats.org/officeDocument/2006/relationships/hyperlink" Target="https://www.sortlist.co.uk/s/marketing-analytics/birmingham-england-gb" TargetMode="External"/><Relationship Id="rId222" Type="http://schemas.openxmlformats.org/officeDocument/2006/relationships/hyperlink" Target="http://sortlist.co.uk" TargetMode="External"/><Relationship Id="rId221" Type="http://schemas.openxmlformats.org/officeDocument/2006/relationships/hyperlink" Target="https://www.sortlist.co.uk/s/digital-advertising/united-kingdom-gb" TargetMode="External"/><Relationship Id="rId217" Type="http://schemas.openxmlformats.org/officeDocument/2006/relationships/hyperlink" Target="https://www.sortlist.co.uk/s/attribution-marketing/essex-england-gb" TargetMode="External"/><Relationship Id="rId216" Type="http://schemas.openxmlformats.org/officeDocument/2006/relationships/hyperlink" Target="http://sortlist.co.uk" TargetMode="External"/><Relationship Id="rId215" Type="http://schemas.openxmlformats.org/officeDocument/2006/relationships/hyperlink" Target="https://www.sortlist.co.uk/s/ai-marketing/london-england-gb" TargetMode="External"/><Relationship Id="rId214" Type="http://schemas.openxmlformats.org/officeDocument/2006/relationships/hyperlink" Target="http://rightfirms.co" TargetMode="External"/><Relationship Id="rId219" Type="http://schemas.openxmlformats.org/officeDocument/2006/relationships/hyperlink" Target="https://www.sortlist.co.uk/s/creative/england-england-gb" TargetMode="External"/><Relationship Id="rId218" Type="http://schemas.openxmlformats.org/officeDocument/2006/relationships/hyperlink" Target="http://sortlist.co.uk" TargetMode="External"/><Relationship Id="rId213" Type="http://schemas.openxmlformats.org/officeDocument/2006/relationships/hyperlink" Target="https://www.rightfirms.co/directory/geo-services/country/united-kingdom" TargetMode="External"/><Relationship Id="rId212" Type="http://schemas.openxmlformats.org/officeDocument/2006/relationships/hyperlink" Target="http://masoncircle.com" TargetMode="External"/><Relationship Id="rId211" Type="http://schemas.openxmlformats.org/officeDocument/2006/relationships/hyperlink" Target="https://www.masoncircle.com/blog/" TargetMode="External"/><Relationship Id="rId210" Type="http://schemas.openxmlformats.org/officeDocument/2006/relationships/hyperlink" Target="http://marketingagencyindex.com" TargetMode="External"/><Relationship Id="rId249" Type="http://schemas.openxmlformats.org/officeDocument/2006/relationships/hyperlink" Target="https://www.businessofapps.com/marketplace/performance-marketing/" TargetMode="External"/><Relationship Id="rId248" Type="http://schemas.openxmlformats.org/officeDocument/2006/relationships/hyperlink" Target="http://semrush.com" TargetMode="External"/><Relationship Id="rId247" Type="http://schemas.openxmlformats.org/officeDocument/2006/relationships/hyperlink" Target="https://agencies.semrush.com/list/ppc/united-states/" TargetMode="External"/><Relationship Id="rId242" Type="http://schemas.openxmlformats.org/officeDocument/2006/relationships/hyperlink" Target="http://semrush.com" TargetMode="External"/><Relationship Id="rId241" Type="http://schemas.openxmlformats.org/officeDocument/2006/relationships/hyperlink" Target="https://agencies.semrush.com/list/display-advertising/" TargetMode="External"/><Relationship Id="rId240" Type="http://schemas.openxmlformats.org/officeDocument/2006/relationships/hyperlink" Target="http://semrush.com" TargetMode="External"/><Relationship Id="rId246" Type="http://schemas.openxmlformats.org/officeDocument/2006/relationships/hyperlink" Target="http://semrush.com" TargetMode="External"/><Relationship Id="rId245" Type="http://schemas.openxmlformats.org/officeDocument/2006/relationships/hyperlink" Target="https://agencies.semrush.com/list/ppc/united-kingdom/" TargetMode="External"/><Relationship Id="rId244" Type="http://schemas.openxmlformats.org/officeDocument/2006/relationships/hyperlink" Target="http://semrush.com" TargetMode="External"/><Relationship Id="rId243" Type="http://schemas.openxmlformats.org/officeDocument/2006/relationships/hyperlink" Target="https://agencies.semrush.com/list/los-angeles/" TargetMode="External"/><Relationship Id="rId239" Type="http://schemas.openxmlformats.org/officeDocument/2006/relationships/hyperlink" Target="https://agencies.semrush.com/list/ai-optimization/united-kingdom/mid-business/" TargetMode="External"/><Relationship Id="rId238" Type="http://schemas.openxmlformats.org/officeDocument/2006/relationships/hyperlink" Target="http://semrush.com" TargetMode="External"/><Relationship Id="rId237" Type="http://schemas.openxmlformats.org/officeDocument/2006/relationships/hyperlink" Target="https://agencies.semrush.com/list/advertising/united-kingdom/small-business/" TargetMode="External"/><Relationship Id="rId236" Type="http://schemas.openxmlformats.org/officeDocument/2006/relationships/hyperlink" Target="http://aeoengine.ai" TargetMode="External"/><Relationship Id="rId231" Type="http://schemas.openxmlformats.org/officeDocument/2006/relationships/hyperlink" Target="https://www.50pros.com/hire/market-research" TargetMode="External"/><Relationship Id="rId230" Type="http://schemas.openxmlformats.org/officeDocument/2006/relationships/hyperlink" Target="http://themanifest.com" TargetMode="External"/><Relationship Id="rId235" Type="http://schemas.openxmlformats.org/officeDocument/2006/relationships/hyperlink" Target="https://aeoengine.ai/blog" TargetMode="External"/><Relationship Id="rId234" Type="http://schemas.openxmlformats.org/officeDocument/2006/relationships/hyperlink" Target="http://adassoc.org.uk" TargetMode="External"/><Relationship Id="rId233" Type="http://schemas.openxmlformats.org/officeDocument/2006/relationships/hyperlink" Target="https://adassoc.org.uk/ukadvertising-companies/" TargetMode="External"/><Relationship Id="rId232" Type="http://schemas.openxmlformats.org/officeDocument/2006/relationships/hyperlink" Target="http://50pros.com" TargetMode="External"/><Relationship Id="rId206" Type="http://schemas.openxmlformats.org/officeDocument/2006/relationships/hyperlink" Target="http://goodfirms.co" TargetMode="External"/><Relationship Id="rId205" Type="http://schemas.openxmlformats.org/officeDocument/2006/relationships/hyperlink" Target="https://www.goodfirms.co/advertising-companies/creative/uk?page=2" TargetMode="External"/><Relationship Id="rId204" Type="http://schemas.openxmlformats.org/officeDocument/2006/relationships/hyperlink" Target="http://clutch.co" TargetMode="External"/><Relationship Id="rId203" Type="http://schemas.openxmlformats.org/officeDocument/2006/relationships/hyperlink" Target="https://clutch.co/consulting/ai/uk?page=3" TargetMode="External"/><Relationship Id="rId209" Type="http://schemas.openxmlformats.org/officeDocument/2006/relationships/hyperlink" Target="https://www.marketingagencyindex.com/uk/services/creative" TargetMode="External"/><Relationship Id="rId208" Type="http://schemas.openxmlformats.org/officeDocument/2006/relationships/hyperlink" Target="http://havas.com" TargetMode="External"/><Relationship Id="rId207" Type="http://schemas.openxmlformats.org/officeDocument/2006/relationships/hyperlink" Target="https://lon.havas.com/havas-london/" TargetMode="External"/><Relationship Id="rId202" Type="http://schemas.openxmlformats.org/officeDocument/2006/relationships/hyperlink" Target="http://clutch.co" TargetMode="External"/><Relationship Id="rId201" Type="http://schemas.openxmlformats.org/officeDocument/2006/relationships/hyperlink" Target="https://clutch.co/agencies/ppc/display/uk/england" TargetMode="External"/><Relationship Id="rId200" Type="http://schemas.openxmlformats.org/officeDocument/2006/relationships/hyperlink" Target="http://clutch.co" TargetMode="External"/><Relationship Id="rId190" Type="http://schemas.openxmlformats.org/officeDocument/2006/relationships/hyperlink" Target="http://semrush.com" TargetMode="External"/><Relationship Id="rId194" Type="http://schemas.openxmlformats.org/officeDocument/2006/relationships/hyperlink" Target="http://semrush.com" TargetMode="External"/><Relationship Id="rId193" Type="http://schemas.openxmlformats.org/officeDocument/2006/relationships/hyperlink" Target="https://agencies.semrush.com/list/programmatic-advertising/united-kingdom/" TargetMode="External"/><Relationship Id="rId192" Type="http://schemas.openxmlformats.org/officeDocument/2006/relationships/hyperlink" Target="http://semrush.com" TargetMode="External"/><Relationship Id="rId191" Type="http://schemas.openxmlformats.org/officeDocument/2006/relationships/hyperlink" Target="https://agencies.semrush.com/list/ppc/london-city/" TargetMode="External"/><Relationship Id="rId187" Type="http://schemas.openxmlformats.org/officeDocument/2006/relationships/hyperlink" Target="https://agencies.semrush.com/list/ai-optimization/london-city/mid-business/" TargetMode="External"/><Relationship Id="rId186" Type="http://schemas.openxmlformats.org/officeDocument/2006/relationships/hyperlink" Target="http://sortlist.co.uk" TargetMode="External"/><Relationship Id="rId185" Type="http://schemas.openxmlformats.org/officeDocument/2006/relationships/hyperlink" Target="https://www.sortlist.co.uk/s/data-driven-marketing/united-kingdom-gb" TargetMode="External"/><Relationship Id="rId184" Type="http://schemas.openxmlformats.org/officeDocument/2006/relationships/hyperlink" Target="http://mida.so" TargetMode="External"/><Relationship Id="rId189" Type="http://schemas.openxmlformats.org/officeDocument/2006/relationships/hyperlink" Target="https://agencies.semrush.com/list/analytics-data-science/london-city/" TargetMode="External"/><Relationship Id="rId188" Type="http://schemas.openxmlformats.org/officeDocument/2006/relationships/hyperlink" Target="http://semrush.com" TargetMode="External"/><Relationship Id="rId183" Type="http://schemas.openxmlformats.org/officeDocument/2006/relationships/hyperlink" Target="https://www.mida.so/cro-agency/service/a-b-testing" TargetMode="External"/><Relationship Id="rId182" Type="http://schemas.openxmlformats.org/officeDocument/2006/relationships/hyperlink" Target="http://marketingagencyindex.com" TargetMode="External"/><Relationship Id="rId181" Type="http://schemas.openxmlformats.org/officeDocument/2006/relationships/hyperlink" Target="https://www.marketingagencyindex.com/uk/services/creative-ai-agencies" TargetMode="External"/><Relationship Id="rId180" Type="http://schemas.openxmlformats.org/officeDocument/2006/relationships/hyperlink" Target="http://google.com" TargetMode="External"/><Relationship Id="rId176" Type="http://schemas.openxmlformats.org/officeDocument/2006/relationships/hyperlink" Target="http://clutch.co" TargetMode="External"/><Relationship Id="rId175" Type="http://schemas.openxmlformats.org/officeDocument/2006/relationships/hyperlink" Target="https://clutch.co/agencies/ppc/display/uk?page=2" TargetMode="External"/><Relationship Id="rId174" Type="http://schemas.openxmlformats.org/officeDocument/2006/relationships/hyperlink" Target="http://agencylist.com" TargetMode="External"/><Relationship Id="rId173" Type="http://schemas.openxmlformats.org/officeDocument/2006/relationships/hyperlink" Target="https://agencylist.com/data-and-analytics/gb/" TargetMode="External"/><Relationship Id="rId179" Type="http://schemas.openxmlformats.org/officeDocument/2006/relationships/hyperlink" Target="https://www.google.com/ads/publisher/partners/find-a-partner/" TargetMode="External"/><Relationship Id="rId178" Type="http://schemas.openxmlformats.org/officeDocument/2006/relationships/hyperlink" Target="http://goodfirms.co" TargetMode="External"/><Relationship Id="rId177" Type="http://schemas.openxmlformats.org/officeDocument/2006/relationships/hyperlink" Target="https://www.goodfirms.co/advertising-companies/creative/uk?sort_by=rating" TargetMode="External"/><Relationship Id="rId198" Type="http://schemas.openxmlformats.org/officeDocument/2006/relationships/hyperlink" Target="http://bcg.com" TargetMode="External"/><Relationship Id="rId197" Type="http://schemas.openxmlformats.org/officeDocument/2006/relationships/hyperlink" Target="https://www.bcg.com/capabilities/artificial-intelligence" TargetMode="External"/><Relationship Id="rId196" Type="http://schemas.openxmlformats.org/officeDocument/2006/relationships/hyperlink" Target="http://agencylist.com" TargetMode="External"/><Relationship Id="rId195" Type="http://schemas.openxmlformats.org/officeDocument/2006/relationships/hyperlink" Target="https://agencylist.com/services/programmatic-display-and-video/gb/" TargetMode="External"/><Relationship Id="rId199" Type="http://schemas.openxmlformats.org/officeDocument/2006/relationships/hyperlink" Target="https://clutch.co/agencies" TargetMode="External"/><Relationship Id="rId150" Type="http://schemas.openxmlformats.org/officeDocument/2006/relationships/hyperlink" Target="http://sortlist.com" TargetMode="External"/><Relationship Id="rId149" Type="http://schemas.openxmlformats.org/officeDocument/2006/relationships/hyperlink" Target="https://www.sortlist.com/i/s/data-driven-marketing/united-kingdom-gb" TargetMode="External"/><Relationship Id="rId148" Type="http://schemas.openxmlformats.org/officeDocument/2006/relationships/hyperlink" Target="http://sortlist.co.uk" TargetMode="External"/><Relationship Id="rId143" Type="http://schemas.openxmlformats.org/officeDocument/2006/relationships/hyperlink" Target="https://www.sortlist.co.uk/digital-marketing/united-kingdom-gb" TargetMode="External"/><Relationship Id="rId142" Type="http://schemas.openxmlformats.org/officeDocument/2006/relationships/hyperlink" Target="http://sortlist.co.uk" TargetMode="External"/><Relationship Id="rId141" Type="http://schemas.openxmlformats.org/officeDocument/2006/relationships/hyperlink" Target="https://www.sortlist.co.uk/branding/united-kingdom-gb" TargetMode="External"/><Relationship Id="rId140" Type="http://schemas.openxmlformats.org/officeDocument/2006/relationships/hyperlink" Target="http://goodfirms.co" TargetMode="External"/><Relationship Id="rId147" Type="http://schemas.openxmlformats.org/officeDocument/2006/relationships/hyperlink" Target="https://www.sortlist.co.uk/s/attribution-marketing/united-kingdom-gb" TargetMode="External"/><Relationship Id="rId146" Type="http://schemas.openxmlformats.org/officeDocument/2006/relationships/hyperlink" Target="http://sortlist.co.uk" TargetMode="External"/><Relationship Id="rId145" Type="http://schemas.openxmlformats.org/officeDocument/2006/relationships/hyperlink" Target="https://www.sortlist.co.uk/media-planning/united-kingdom-gb" TargetMode="External"/><Relationship Id="rId144" Type="http://schemas.openxmlformats.org/officeDocument/2006/relationships/hyperlink" Target="http://sortlist.co.uk" TargetMode="External"/><Relationship Id="rId139" Type="http://schemas.openxmlformats.org/officeDocument/2006/relationships/hyperlink" Target="https://www.goodfirms.co/directory/country/top-digital-marketing-companies/advertising-ppc/uk" TargetMode="External"/><Relationship Id="rId138" Type="http://schemas.openxmlformats.org/officeDocument/2006/relationships/hyperlink" Target="http://goodfirms.co" TargetMode="External"/><Relationship Id="rId137" Type="http://schemas.openxmlformats.org/officeDocument/2006/relationships/hyperlink" Target="https://www.goodfirms.co/advertising-companies/creative/uk" TargetMode="External"/><Relationship Id="rId132" Type="http://schemas.openxmlformats.org/officeDocument/2006/relationships/hyperlink" Target="https://clutch.co/agencies/ppc/display/uk?page=1" TargetMode="External"/><Relationship Id="rId131" Type="http://schemas.openxmlformats.org/officeDocument/2006/relationships/hyperlink" Target="http://clutch.co" TargetMode="External"/><Relationship Id="rId130" Type="http://schemas.openxmlformats.org/officeDocument/2006/relationships/hyperlink" Target="https://clutch.co/agencies/performance-marketing" TargetMode="External"/><Relationship Id="rId136" Type="http://schemas.openxmlformats.org/officeDocument/2006/relationships/hyperlink" Target="https://enterprisemarketingportal.google/work-with-partners" TargetMode="External"/><Relationship Id="rId135" Type="http://schemas.openxmlformats.org/officeDocument/2006/relationships/hyperlink" Target="http://designrush.com" TargetMode="External"/><Relationship Id="rId134" Type="http://schemas.openxmlformats.org/officeDocument/2006/relationships/hyperlink" Target="https://www.designrush.com/agency/social-media-marketing/uk" TargetMode="External"/><Relationship Id="rId133" Type="http://schemas.openxmlformats.org/officeDocument/2006/relationships/hyperlink" Target="http://clutch.co" TargetMode="External"/><Relationship Id="rId172" Type="http://schemas.openxmlformats.org/officeDocument/2006/relationships/hyperlink" Target="http://semrush.com" TargetMode="External"/><Relationship Id="rId171" Type="http://schemas.openxmlformats.org/officeDocument/2006/relationships/hyperlink" Target="https://agencies.semrush.com/list/market-analysis/united-kingdom/" TargetMode="External"/><Relationship Id="rId170" Type="http://schemas.openxmlformats.org/officeDocument/2006/relationships/hyperlink" Target="http://sortlist.co.uk" TargetMode="External"/><Relationship Id="rId165" Type="http://schemas.openxmlformats.org/officeDocument/2006/relationships/hyperlink" Target="https://www.sortlist.co.uk/s/ai-marketing/england-england-gb" TargetMode="External"/><Relationship Id="rId164" Type="http://schemas.openxmlformats.org/officeDocument/2006/relationships/hyperlink" Target="http://softwaresuggest.com" TargetMode="External"/><Relationship Id="rId163" Type="http://schemas.openxmlformats.org/officeDocument/2006/relationships/hyperlink" Target="https://www.softwaresuggest.com/services/marketing-analytics-companies/uk" TargetMode="External"/><Relationship Id="rId162" Type="http://schemas.openxmlformats.org/officeDocument/2006/relationships/hyperlink" Target="http://google.com" TargetMode="External"/><Relationship Id="rId169" Type="http://schemas.openxmlformats.org/officeDocument/2006/relationships/hyperlink" Target="https://www.sortlist.co.uk/s/marketing-analytics/west-midlands-england-gb" TargetMode="External"/><Relationship Id="rId168" Type="http://schemas.openxmlformats.org/officeDocument/2006/relationships/hyperlink" Target="http://sortlist.co.uk" TargetMode="External"/><Relationship Id="rId167" Type="http://schemas.openxmlformats.org/officeDocument/2006/relationships/hyperlink" Target="https://www.sortlist.co.uk/s/attribution-marketing/england-england-gb" TargetMode="External"/><Relationship Id="rId166" Type="http://schemas.openxmlformats.org/officeDocument/2006/relationships/hyperlink" Target="http://sortlist.co.uk" TargetMode="External"/><Relationship Id="rId161" Type="http://schemas.openxmlformats.org/officeDocument/2006/relationships/hyperlink" Target="https://marketingplatform.google.com/about/partners/?authuser=1" TargetMode="External"/><Relationship Id="rId160" Type="http://schemas.openxmlformats.org/officeDocument/2006/relationships/hyperlink" Target="http://marketingagencyindex.com" TargetMode="External"/><Relationship Id="rId159" Type="http://schemas.openxmlformats.org/officeDocument/2006/relationships/hyperlink" Target="https://www.marketingagencyindex.com/uk/services/ppc" TargetMode="External"/><Relationship Id="rId154" Type="http://schemas.openxmlformats.org/officeDocument/2006/relationships/hyperlink" Target="http://clutch.co" TargetMode="External"/><Relationship Id="rId153" Type="http://schemas.openxmlformats.org/officeDocument/2006/relationships/hyperlink" Target="https://clutch.co/agencies/ppc/advertising-industry/uk" TargetMode="External"/><Relationship Id="rId152" Type="http://schemas.openxmlformats.org/officeDocument/2006/relationships/hyperlink" Target="http://clutch.co" TargetMode="External"/><Relationship Id="rId151" Type="http://schemas.openxmlformats.org/officeDocument/2006/relationships/hyperlink" Target="https://clutch.co/agencies/branding/uk" TargetMode="External"/><Relationship Id="rId158" Type="http://schemas.openxmlformats.org/officeDocument/2006/relationships/hyperlink" Target="http://designrush.com" TargetMode="External"/><Relationship Id="rId157" Type="http://schemas.openxmlformats.org/officeDocument/2006/relationships/hyperlink" Target="https://www.designrush.com/agency/ad-agencies/uk" TargetMode="External"/><Relationship Id="rId156" Type="http://schemas.openxmlformats.org/officeDocument/2006/relationships/hyperlink" Target="http://clutch.co" TargetMode="External"/><Relationship Id="rId155" Type="http://schemas.openxmlformats.org/officeDocument/2006/relationships/hyperlink" Target="https://clutch.co/agencies/ppc/display/uk/england/london" TargetMode="External"/><Relationship Id="rId107" Type="http://schemas.openxmlformats.org/officeDocument/2006/relationships/hyperlink" Target="http://clutch.co" TargetMode="External"/><Relationship Id="rId106" Type="http://schemas.openxmlformats.org/officeDocument/2006/relationships/hyperlink" Target="https://clutch.co/agencies/sem/uk" TargetMode="External"/><Relationship Id="rId105" Type="http://schemas.openxmlformats.org/officeDocument/2006/relationships/hyperlink" Target="http://clutch.co" TargetMode="External"/><Relationship Id="rId104" Type="http://schemas.openxmlformats.org/officeDocument/2006/relationships/hyperlink" Target="https://clutch.co/agencies/programmatic/uk" TargetMode="External"/><Relationship Id="rId109" Type="http://schemas.openxmlformats.org/officeDocument/2006/relationships/hyperlink" Target="http://sortlist.co.uk" TargetMode="External"/><Relationship Id="rId108" Type="http://schemas.openxmlformats.org/officeDocument/2006/relationships/hyperlink" Target="https://www.sortlist.co.uk/s/performance-marketing/england-england-gb" TargetMode="External"/><Relationship Id="rId103" Type="http://schemas.openxmlformats.org/officeDocument/2006/relationships/hyperlink" Target="http://semrush.com" TargetMode="External"/><Relationship Id="rId102" Type="http://schemas.openxmlformats.org/officeDocument/2006/relationships/hyperlink" Target="https://agencies.semrush.com/list/analytics-data-science/united-kingdom/" TargetMode="External"/><Relationship Id="rId101" Type="http://schemas.openxmlformats.org/officeDocument/2006/relationships/hyperlink" Target="http://marketingagencyindex.com" TargetMode="External"/><Relationship Id="rId100" Type="http://schemas.openxmlformats.org/officeDocument/2006/relationships/hyperlink" Target="https://www.marketingagencyindex.com/uk/services/social-media-advertising" TargetMode="External"/><Relationship Id="rId129" Type="http://schemas.openxmlformats.org/officeDocument/2006/relationships/hyperlink" Target="http://sortlist.co.uk" TargetMode="External"/><Relationship Id="rId128" Type="http://schemas.openxmlformats.org/officeDocument/2006/relationships/hyperlink" Target="https://www.sortlist.co.uk/s/paid-media/england-england-gb" TargetMode="External"/><Relationship Id="rId127" Type="http://schemas.openxmlformats.org/officeDocument/2006/relationships/hyperlink" Target="http://sortlist.co.uk" TargetMode="External"/><Relationship Id="rId126" Type="http://schemas.openxmlformats.org/officeDocument/2006/relationships/hyperlink" Target="https://www.sortlist.co.uk/s/ai-marketing/greater-london-england-gb" TargetMode="External"/><Relationship Id="rId121" Type="http://schemas.openxmlformats.org/officeDocument/2006/relationships/hyperlink" Target="http://semrush.com" TargetMode="External"/><Relationship Id="rId120" Type="http://schemas.openxmlformats.org/officeDocument/2006/relationships/hyperlink" Target="https://agencies.semrush.com/list/ai-optimization/united-kingdom/enterprise-business/" TargetMode="External"/><Relationship Id="rId125" Type="http://schemas.openxmlformats.org/officeDocument/2006/relationships/hyperlink" Target="http://clutch.co" TargetMode="External"/><Relationship Id="rId124" Type="http://schemas.openxmlformats.org/officeDocument/2006/relationships/hyperlink" Target="https://clutch.co/agencies/ppc/display" TargetMode="External"/><Relationship Id="rId123" Type="http://schemas.openxmlformats.org/officeDocument/2006/relationships/hyperlink" Target="http://semrush.com" TargetMode="External"/><Relationship Id="rId122" Type="http://schemas.openxmlformats.org/officeDocument/2006/relationships/hyperlink" Target="https://agencies.semrush.com/list/analytics-data-science/business-professional-services/united-kingdom/" TargetMode="External"/><Relationship Id="rId118" Type="http://schemas.openxmlformats.org/officeDocument/2006/relationships/hyperlink" Target="https://www.aeodirectory.com/aeo/search/?country=United+Kingdom&amp;page=7" TargetMode="External"/><Relationship Id="rId117" Type="http://schemas.openxmlformats.org/officeDocument/2006/relationships/hyperlink" Target="http://digitalagencynetwork.com" TargetMode="External"/><Relationship Id="rId116" Type="http://schemas.openxmlformats.org/officeDocument/2006/relationships/hyperlink" Target="https://digitalagencynetwork.com/agencies/uk/branding/" TargetMode="External"/><Relationship Id="rId115" Type="http://schemas.openxmlformats.org/officeDocument/2006/relationships/hyperlink" Target="http://semrush.com" TargetMode="External"/><Relationship Id="rId119" Type="http://schemas.openxmlformats.org/officeDocument/2006/relationships/hyperlink" Target="http://aeodirectory.com" TargetMode="External"/><Relationship Id="rId110" Type="http://schemas.openxmlformats.org/officeDocument/2006/relationships/hyperlink" Target="https://agencyvista.com/lists/google-marketing-platform-sales-partners/" TargetMode="External"/><Relationship Id="rId114" Type="http://schemas.openxmlformats.org/officeDocument/2006/relationships/hyperlink" Target="https://agencies.semrush.com/list/search-engine-marketing/united-kingdom/" TargetMode="External"/><Relationship Id="rId113" Type="http://schemas.openxmlformats.org/officeDocument/2006/relationships/hyperlink" Target="http://sortlist.co.uk" TargetMode="External"/><Relationship Id="rId112" Type="http://schemas.openxmlformats.org/officeDocument/2006/relationships/hyperlink" Target="https://www.sortlist.co.uk/s/artificial-intelligence/london-england-gb" TargetMode="External"/><Relationship Id="rId111" Type="http://schemas.openxmlformats.org/officeDocument/2006/relationships/hyperlink" Target="http://agencyvista.com"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triplewhale.com" TargetMode="External"/><Relationship Id="rId2" Type="http://schemas.openxmlformats.org/officeDocument/2006/relationships/hyperlink" Target="https://www.hunterlodge.co.uk/ai-visibility-research/insights/top-ai-visibility-agencies-in-the-uk/" TargetMode="External"/><Relationship Id="rId3" Type="http://schemas.openxmlformats.org/officeDocument/2006/relationships/hyperlink" Target="http://hunterlodge.co.uk" TargetMode="External"/><Relationship Id="rId4" Type="http://schemas.openxmlformats.org/officeDocument/2006/relationships/hyperlink" Target="https://sellforte.com/blog/best-incrementality-testing-tools" TargetMode="External"/><Relationship Id="rId9" Type="http://schemas.openxmlformats.org/officeDocument/2006/relationships/hyperlink" Target="http://seocompare.co.uk" TargetMode="External"/><Relationship Id="rId5" Type="http://schemas.openxmlformats.org/officeDocument/2006/relationships/hyperlink" Target="http://sellforte.com" TargetMode="External"/><Relationship Id="rId6" Type="http://schemas.openxmlformats.org/officeDocument/2006/relationships/hyperlink" Target="https://www.techradar.com/pro/aeo-vs-seo-whats-the-difference-and-do-you-need-both" TargetMode="External"/><Relationship Id="rId7" Type="http://schemas.openxmlformats.org/officeDocument/2006/relationships/hyperlink" Target="http://techradar.com" TargetMode="External"/><Relationship Id="rId8" Type="http://schemas.openxmlformats.org/officeDocument/2006/relationships/hyperlink" Target="https://seocompare.co.uk/best-ai-search-agencies/" TargetMode="External"/><Relationship Id="rId40" Type="http://schemas.openxmlformats.org/officeDocument/2006/relationships/hyperlink" Target="https://www.rank4ai.co.uk/research/rankings/ai-seo-agency-comparison-uk/" TargetMode="External"/><Relationship Id="rId42" Type="http://schemas.openxmlformats.org/officeDocument/2006/relationships/hyperlink" Target="https://www.rank4ai.co.uk/research/rankings/geo-vs-aeo-agencies-uk/" TargetMode="External"/><Relationship Id="rId41" Type="http://schemas.openxmlformats.org/officeDocument/2006/relationships/hyperlink" Target="http://rank4ai.co.uk" TargetMode="External"/><Relationship Id="rId44" Type="http://schemas.openxmlformats.org/officeDocument/2006/relationships/hyperlink" Target="https://www.thetimes.co.uk/article/wpp-publicis-or-omnicom-ipg-which-is-the-best-buy-in-adland-3hfhgjl6m" TargetMode="External"/><Relationship Id="rId43" Type="http://schemas.openxmlformats.org/officeDocument/2006/relationships/hyperlink" Target="http://rank4ai.co.uk" TargetMode="External"/><Relationship Id="rId46" Type="http://schemas.openxmlformats.org/officeDocument/2006/relationships/hyperlink" Target="https://www.tilio.co.uk/geo-agency" TargetMode="External"/><Relationship Id="rId45" Type="http://schemas.openxmlformats.org/officeDocument/2006/relationships/hyperlink" Target="http://thetimes.co.uk" TargetMode="External"/><Relationship Id="rId48" Type="http://schemas.openxmlformats.org/officeDocument/2006/relationships/drawing" Target="../drawings/drawing23.xml"/><Relationship Id="rId47" Type="http://schemas.openxmlformats.org/officeDocument/2006/relationships/hyperlink" Target="http://tilio.co.uk" TargetMode="External"/><Relationship Id="rId31" Type="http://schemas.openxmlformats.org/officeDocument/2006/relationships/hyperlink" Target="http://atlas-mapping.com" TargetMode="External"/><Relationship Id="rId30" Type="http://schemas.openxmlformats.org/officeDocument/2006/relationships/hyperlink" Target="https://insight.atlas-mapping.com/blog/top-8-gis-mapping-companies" TargetMode="External"/><Relationship Id="rId33" Type="http://schemas.openxmlformats.org/officeDocument/2006/relationships/hyperlink" Target="http://medianug.com" TargetMode="External"/><Relationship Id="rId32" Type="http://schemas.openxmlformats.org/officeDocument/2006/relationships/hyperlink" Target="https://www.medianug.com/blog/paid-social-advertising-agency-vs-performance-marketing-agency-which-does-your-business-actually-need" TargetMode="External"/><Relationship Id="rId35" Type="http://schemas.openxmlformats.org/officeDocument/2006/relationships/hyperlink" Target="http://neuraladx.com" TargetMode="External"/><Relationship Id="rId34" Type="http://schemas.openxmlformats.org/officeDocument/2006/relationships/hyperlink" Target="https://neuraladx.com/comparison-of-the-top-10-generative-engine-optimisation-geo-service-agencies-2026/" TargetMode="External"/><Relationship Id="rId37" Type="http://schemas.openxmlformats.org/officeDocument/2006/relationships/hyperlink" Target="http://objectiveplatform.com" TargetMode="External"/><Relationship Id="rId36" Type="http://schemas.openxmlformats.org/officeDocument/2006/relationships/hyperlink" Target="https://www.objectiveplatform.com/blog/marketing-mix-modelling-solutions-compared" TargetMode="External"/><Relationship Id="rId39" Type="http://schemas.openxmlformats.org/officeDocument/2006/relationships/hyperlink" Target="http://presenc.ai" TargetMode="External"/><Relationship Id="rId38" Type="http://schemas.openxmlformats.org/officeDocument/2006/relationships/hyperlink" Target="https://presenc.ai/compare/measured-vs-haus-vs-statsig" TargetMode="External"/><Relationship Id="rId20" Type="http://schemas.openxmlformats.org/officeDocument/2006/relationships/hyperlink" Target="https://trendfingers.com/signals/marketing-attribution-models-2026.html" TargetMode="External"/><Relationship Id="rId22" Type="http://schemas.openxmlformats.org/officeDocument/2006/relationships/hyperlink" Target="https://agencylocator.io/r-ga-vs-accenture-interactive" TargetMode="External"/><Relationship Id="rId21" Type="http://schemas.openxmlformats.org/officeDocument/2006/relationships/hyperlink" Target="http://trendfingers.com" TargetMode="External"/><Relationship Id="rId24" Type="http://schemas.openxmlformats.org/officeDocument/2006/relationships/hyperlink" Target="https://agencylocator.io/rga-vs-sapient-nitro" TargetMode="External"/><Relationship Id="rId23" Type="http://schemas.openxmlformats.org/officeDocument/2006/relationships/hyperlink" Target="http://agencylocator.io" TargetMode="External"/><Relationship Id="rId26" Type="http://schemas.openxmlformats.org/officeDocument/2006/relationships/hyperlink" Target="https://www.freshegg.co.uk/analytics/google-analytics-360/" TargetMode="External"/><Relationship Id="rId25" Type="http://schemas.openxmlformats.org/officeDocument/2006/relationships/hyperlink" Target="http://agencylocator.io" TargetMode="External"/><Relationship Id="rId28" Type="http://schemas.openxmlformats.org/officeDocument/2006/relationships/hyperlink" Target="https://improvado.io/blog/multi-touch-attribution-solutions" TargetMode="External"/><Relationship Id="rId27" Type="http://schemas.openxmlformats.org/officeDocument/2006/relationships/hyperlink" Target="http://freshegg.co.uk" TargetMode="External"/><Relationship Id="rId29" Type="http://schemas.openxmlformats.org/officeDocument/2006/relationships/hyperlink" Target="http://improvado.io" TargetMode="External"/><Relationship Id="rId11" Type="http://schemas.openxmlformats.org/officeDocument/2006/relationships/hyperlink" Target="http://seocompare.co.uk" TargetMode="External"/><Relationship Id="rId10" Type="http://schemas.openxmlformats.org/officeDocument/2006/relationships/hyperlink" Target="https://seocompare.co.uk/best-ai-seo-agencies/" TargetMode="External"/><Relationship Id="rId13" Type="http://schemas.openxmlformats.org/officeDocument/2006/relationships/hyperlink" Target="http://neuraladx.com" TargetMode="External"/><Relationship Id="rId12" Type="http://schemas.openxmlformats.org/officeDocument/2006/relationships/hyperlink" Target="https://neuraladx.com/top-5-geo-agencies-uk-2026-review/" TargetMode="External"/><Relationship Id="rId15" Type="http://schemas.openxmlformats.org/officeDocument/2006/relationships/hyperlink" Target="http://marketingmary.ai" TargetMode="External"/><Relationship Id="rId14" Type="http://schemas.openxmlformats.org/officeDocument/2006/relationships/hyperlink" Target="https://www.marketingmary.ai/blog/marketing-attribution-models-guide" TargetMode="External"/><Relationship Id="rId17" Type="http://schemas.openxmlformats.org/officeDocument/2006/relationships/hyperlink" Target="http://rank4ai.co.uk" TargetMode="External"/><Relationship Id="rId16" Type="http://schemas.openxmlformats.org/officeDocument/2006/relationships/hyperlink" Target="https://www.rank4ai.co.uk/research/rankings/ai-search-agencies-compared/" TargetMode="External"/><Relationship Id="rId19" Type="http://schemas.openxmlformats.org/officeDocument/2006/relationships/hyperlink" Target="http://spicyadvisory.com" TargetMode="External"/><Relationship Id="rId18" Type="http://schemas.openxmlformats.org/officeDocument/2006/relationships/hyperlink" Target="https://spicyadvisory.com/blog/best-ai-consulting-firms-london-uk-2026"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reddit.com" TargetMode="External"/><Relationship Id="rId2" Type="http://schemas.openxmlformats.org/officeDocument/2006/relationships/hyperlink" Target="https://www.reddit.com/r/Superframeworks/comments/1twfxf1/10_best_ai_seo_geoaeo_agencies_for_2026_no/" TargetMode="External"/><Relationship Id="rId3" Type="http://schemas.openxmlformats.org/officeDocument/2006/relationships/hyperlink" Target="http://reddit.com" TargetMode="External"/><Relationship Id="rId4" Type="http://schemas.openxmlformats.org/officeDocument/2006/relationships/hyperlink" Target="https://www.reddit.com/r/Topagencies/comments/1spi0q0/top_ppc_agencies_in_england_packages_pricing_cost/" TargetMode="External"/><Relationship Id="rId9" Type="http://schemas.openxmlformats.org/officeDocument/2006/relationships/hyperlink" Target="http://reddit.com" TargetMode="External"/><Relationship Id="rId5" Type="http://schemas.openxmlformats.org/officeDocument/2006/relationships/hyperlink" Target="http://reddit.com" TargetMode="External"/><Relationship Id="rId6" Type="http://schemas.openxmlformats.org/officeDocument/2006/relationships/hyperlink" Target="https://www.reddit.com/r/MktgSupermarket/comments/1qom30j/compiled_a_directory_of_25_ai_marketing_agencies/" TargetMode="External"/><Relationship Id="rId7" Type="http://schemas.openxmlformats.org/officeDocument/2006/relationships/hyperlink" Target="http://reddit.com" TargetMode="External"/><Relationship Id="rId8" Type="http://schemas.openxmlformats.org/officeDocument/2006/relationships/hyperlink" Target="https://www.reddit.com/r/aeo/comments/1sf4z2h/what_are_the_top_ai_visibility_agencies_in_the_uk/" TargetMode="External"/><Relationship Id="rId40" Type="http://schemas.openxmlformats.org/officeDocument/2006/relationships/drawing" Target="../drawings/drawing24.xml"/><Relationship Id="rId31" Type="http://schemas.openxmlformats.org/officeDocument/2006/relationships/hyperlink" Target="http://reddit.com" TargetMode="External"/><Relationship Id="rId30" Type="http://schemas.openxmlformats.org/officeDocument/2006/relationships/hyperlink" Target="https://www.reddit.com/r/branding/comments/d6zp5l/what_are_the_top_branding_agencies_out_there/" TargetMode="External"/><Relationship Id="rId33" Type="http://schemas.openxmlformats.org/officeDocument/2006/relationships/hyperlink" Target="http://reddit.com" TargetMode="External"/><Relationship Id="rId32" Type="http://schemas.openxmlformats.org/officeDocument/2006/relationships/hyperlink" Target="https://www.reddit.com/r/digital_marketing/comments/1sd6dxn/whats_the_best_aeogeo_agency_that_actually_gets/" TargetMode="External"/><Relationship Id="rId35" Type="http://schemas.openxmlformats.org/officeDocument/2006/relationships/hyperlink" Target="http://reddit.com" TargetMode="External"/><Relationship Id="rId34" Type="http://schemas.openxmlformats.org/officeDocument/2006/relationships/hyperlink" Target="https://www.reddit.com/r/ecommerce/comments/1qusfa4/looking_for_best_incrementality_testing_tools/" TargetMode="External"/><Relationship Id="rId37" Type="http://schemas.openxmlformats.org/officeDocument/2006/relationships/hyperlink" Target="http://reddit.com" TargetMode="External"/><Relationship Id="rId36" Type="http://schemas.openxmlformats.org/officeDocument/2006/relationships/hyperlink" Target="https://www.reddit.com/r/smallbusiness/comments/1r3lo3y/good_agency_for_performance_marketing/" TargetMode="External"/><Relationship Id="rId39" Type="http://schemas.openxmlformats.org/officeDocument/2006/relationships/hyperlink" Target="http://reddit.com" TargetMode="External"/><Relationship Id="rId38" Type="http://schemas.openxmlformats.org/officeDocument/2006/relationships/hyperlink" Target="https://www.reddit.com/r/u_Temporary_Meeting182/comments/1tp4iah/best_saas_geo_agencies_in_2026_who_should/" TargetMode="External"/><Relationship Id="rId20" Type="http://schemas.openxmlformats.org/officeDocument/2006/relationships/hyperlink" Target="https://www.reddit.com/r/Analyzify/comments/1d2js1n" TargetMode="External"/><Relationship Id="rId22" Type="http://schemas.openxmlformats.org/officeDocument/2006/relationships/hyperlink" Target="https://www.reddit.com/r/DigitalMarketing/comments/1tdfcjb/every_seo_agency_now_lists_ai_search_optimization/" TargetMode="External"/><Relationship Id="rId21" Type="http://schemas.openxmlformats.org/officeDocument/2006/relationships/hyperlink" Target="http://reddit.com" TargetMode="External"/><Relationship Id="rId24" Type="http://schemas.openxmlformats.org/officeDocument/2006/relationships/hyperlink" Target="https://www.reddit.com/r/MktgSupermarket/comments/1rqsemv/i_spent_weeks_researching_london_digital/" TargetMode="External"/><Relationship Id="rId23" Type="http://schemas.openxmlformats.org/officeDocument/2006/relationships/hyperlink" Target="http://reddit.com" TargetMode="External"/><Relationship Id="rId26" Type="http://schemas.openxmlformats.org/officeDocument/2006/relationships/hyperlink" Target="https://www.reddit.com/r/aeo/comments/1twcbr2/best_aeo_agency_guide_what_to_look_for_in_an/" TargetMode="External"/><Relationship Id="rId25" Type="http://schemas.openxmlformats.org/officeDocument/2006/relationships/hyperlink" Target="http://reddit.com" TargetMode="External"/><Relationship Id="rId28" Type="http://schemas.openxmlformats.org/officeDocument/2006/relationships/hyperlink" Target="https://www.reddit.com/r/agency/comments/1j8nw3r/digital_marketing_attribution_challenges/" TargetMode="External"/><Relationship Id="rId27" Type="http://schemas.openxmlformats.org/officeDocument/2006/relationships/hyperlink" Target="http://reddit.com" TargetMode="External"/><Relationship Id="rId29" Type="http://schemas.openxmlformats.org/officeDocument/2006/relationships/hyperlink" Target="http://reddit.com" TargetMode="External"/><Relationship Id="rId11" Type="http://schemas.openxmlformats.org/officeDocument/2006/relationships/hyperlink" Target="http://reddit.com" TargetMode="External"/><Relationship Id="rId10" Type="http://schemas.openxmlformats.org/officeDocument/2006/relationships/hyperlink" Target="https://www.reddit.com/r/PPC/comments/15afa5c/best_agencies_for_paid_media_ld_uk/" TargetMode="External"/><Relationship Id="rId13" Type="http://schemas.openxmlformats.org/officeDocument/2006/relationships/hyperlink" Target="http://reddit.com" TargetMode="External"/><Relationship Id="rId12" Type="http://schemas.openxmlformats.org/officeDocument/2006/relationships/hyperlink" Target="https://www.reddit.com/r/LLMTraffic/comments/1t44tn7/which_geo_marketing_agencies_are_actually_worth/" TargetMode="External"/><Relationship Id="rId15" Type="http://schemas.openxmlformats.org/officeDocument/2006/relationships/hyperlink" Target="http://reddit.com" TargetMode="External"/><Relationship Id="rId14" Type="http://schemas.openxmlformats.org/officeDocument/2006/relationships/hyperlink" Target="https://www.reddit.com/r/PPC/comments/1tkc7rr/which_ppc_agencies_are_actually_considered_the/" TargetMode="External"/><Relationship Id="rId17" Type="http://schemas.openxmlformats.org/officeDocument/2006/relationships/hyperlink" Target="http://reddit.com" TargetMode="External"/><Relationship Id="rId16" Type="http://schemas.openxmlformats.org/officeDocument/2006/relationships/hyperlink" Target="https://www.reddit.com/r/agency/comments/1ok212i/performance_marketing_incrementality/" TargetMode="External"/><Relationship Id="rId19" Type="http://schemas.openxmlformats.org/officeDocument/2006/relationships/hyperlink" Target="http://reddit.com" TargetMode="External"/><Relationship Id="rId18" Type="http://schemas.openxmlformats.org/officeDocument/2006/relationships/hyperlink" Target="https://www.reddit.com/r/b2bmarketing/comments/1rl47cr/the_10_best_visibility_companies_and_agencies_for/"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purealanalytics.co.uk" TargetMode="External"/><Relationship Id="rId2" Type="http://schemas.openxmlformats.org/officeDocument/2006/relationships/hyperlink" Target="https://www.found.co.uk/" TargetMode="External"/><Relationship Id="rId3" Type="http://schemas.openxmlformats.org/officeDocument/2006/relationships/hyperlink" Target="http://found.co.uk" TargetMode="External"/><Relationship Id="rId4" Type="http://schemas.openxmlformats.org/officeDocument/2006/relationships/hyperlink" Target="https://wearesocial.com/uk/" TargetMode="External"/><Relationship Id="rId9" Type="http://schemas.openxmlformats.org/officeDocument/2006/relationships/hyperlink" Target="http://getaiready.uk" TargetMode="External"/><Relationship Id="rId5" Type="http://schemas.openxmlformats.org/officeDocument/2006/relationships/hyperlink" Target="http://wearesocial.com" TargetMode="External"/><Relationship Id="rId6" Type="http://schemas.openxmlformats.org/officeDocument/2006/relationships/hyperlink" Target="https://seocompare.co.uk/" TargetMode="External"/><Relationship Id="rId7" Type="http://schemas.openxmlformats.org/officeDocument/2006/relationships/hyperlink" Target="http://seocompare.co.uk" TargetMode="External"/><Relationship Id="rId8" Type="http://schemas.openxmlformats.org/officeDocument/2006/relationships/hyperlink" Target="https://getaiready.uk/" TargetMode="External"/><Relationship Id="rId40" Type="http://schemas.openxmlformats.org/officeDocument/2006/relationships/hyperlink" Target="https://www.measured.com/" TargetMode="External"/><Relationship Id="rId42" Type="http://schemas.openxmlformats.org/officeDocument/2006/relationships/hyperlink" Target="https://megatrendsolutions.com/" TargetMode="External"/><Relationship Id="rId41" Type="http://schemas.openxmlformats.org/officeDocument/2006/relationships/hyperlink" Target="http://measured.com" TargetMode="External"/><Relationship Id="rId44" Type="http://schemas.openxmlformats.org/officeDocument/2006/relationships/hyperlink" Target="https://thegoodmarketer.co.uk/" TargetMode="External"/><Relationship Id="rId43" Type="http://schemas.openxmlformats.org/officeDocument/2006/relationships/hyperlink" Target="http://megatrendsolutions.com" TargetMode="External"/><Relationship Id="rId46" Type="http://schemas.openxmlformats.org/officeDocument/2006/relationships/hyperlink" Target="https://aireadinesspartner.com/" TargetMode="External"/><Relationship Id="rId45" Type="http://schemas.openxmlformats.org/officeDocument/2006/relationships/hyperlink" Target="http://thegoodmarketer.co.uk" TargetMode="External"/><Relationship Id="rId48" Type="http://schemas.openxmlformats.org/officeDocument/2006/relationships/hyperlink" Target="https://bark.london/" TargetMode="External"/><Relationship Id="rId47" Type="http://schemas.openxmlformats.org/officeDocument/2006/relationships/hyperlink" Target="http://aireadinesspartner.com" TargetMode="External"/><Relationship Id="rId49" Type="http://schemas.openxmlformats.org/officeDocument/2006/relationships/hyperlink" Target="https://bigspring.co.uk/" TargetMode="External"/><Relationship Id="rId31" Type="http://schemas.openxmlformats.org/officeDocument/2006/relationships/hyperlink" Target="http://londence.com" TargetMode="External"/><Relationship Id="rId30" Type="http://schemas.openxmlformats.org/officeDocument/2006/relationships/hyperlink" Target="https://londence.com/" TargetMode="External"/><Relationship Id="rId33" Type="http://schemas.openxmlformats.org/officeDocument/2006/relationships/hyperlink" Target="http://originmediameasurement.com" TargetMode="External"/><Relationship Id="rId32" Type="http://schemas.openxmlformats.org/officeDocument/2006/relationships/hyperlink" Target="https://originmediameasurement.com/" TargetMode="External"/><Relationship Id="rId35" Type="http://schemas.openxmlformats.org/officeDocument/2006/relationships/hyperlink" Target="http://rethinkworks.co.uk" TargetMode="External"/><Relationship Id="rId34" Type="http://schemas.openxmlformats.org/officeDocument/2006/relationships/hyperlink" Target="https://rethinkworks.co.uk/" TargetMode="External"/><Relationship Id="rId37" Type="http://schemas.openxmlformats.org/officeDocument/2006/relationships/hyperlink" Target="http://getapexanalytics.com" TargetMode="External"/><Relationship Id="rId36" Type="http://schemas.openxmlformats.org/officeDocument/2006/relationships/hyperlink" Target="https://www.getapexanalytics.com/" TargetMode="External"/><Relationship Id="rId39" Type="http://schemas.openxmlformats.org/officeDocument/2006/relationships/hyperlink" Target="http://intellscore.uk" TargetMode="External"/><Relationship Id="rId38" Type="http://schemas.openxmlformats.org/officeDocument/2006/relationships/hyperlink" Target="https://www.intellscore.uk/" TargetMode="External"/><Relationship Id="rId20" Type="http://schemas.openxmlformats.org/officeDocument/2006/relationships/hyperlink" Target="https://atomicdigitalmarketing.co.uk/" TargetMode="External"/><Relationship Id="rId22" Type="http://schemas.openxmlformats.org/officeDocument/2006/relationships/hyperlink" Target="https://www.pushgroup.co.uk/" TargetMode="External"/><Relationship Id="rId21" Type="http://schemas.openxmlformats.org/officeDocument/2006/relationships/hyperlink" Target="http://atomicdigitalmarketing.co.uk" TargetMode="External"/><Relationship Id="rId24" Type="http://schemas.openxmlformats.org/officeDocument/2006/relationships/hyperlink" Target="https://sellforte.com/" TargetMode="External"/><Relationship Id="rId23" Type="http://schemas.openxmlformats.org/officeDocument/2006/relationships/hyperlink" Target="http://pushgroup.co.uk" TargetMode="External"/><Relationship Id="rId26" Type="http://schemas.openxmlformats.org/officeDocument/2006/relationships/hyperlink" Target="https://bird.co.uk/ai/" TargetMode="External"/><Relationship Id="rId25" Type="http://schemas.openxmlformats.org/officeDocument/2006/relationships/hyperlink" Target="http://sellforte.com" TargetMode="External"/><Relationship Id="rId28" Type="http://schemas.openxmlformats.org/officeDocument/2006/relationships/hyperlink" Target="https://www.elevenmiles.com/" TargetMode="External"/><Relationship Id="rId27" Type="http://schemas.openxmlformats.org/officeDocument/2006/relationships/hyperlink" Target="http://bird.co.uk" TargetMode="External"/><Relationship Id="rId29" Type="http://schemas.openxmlformats.org/officeDocument/2006/relationships/hyperlink" Target="http://elevenmiles.com" TargetMode="External"/><Relationship Id="rId11" Type="http://schemas.openxmlformats.org/officeDocument/2006/relationships/hyperlink" Target="http://iwantmore.ai" TargetMode="External"/><Relationship Id="rId10" Type="http://schemas.openxmlformats.org/officeDocument/2006/relationships/hyperlink" Target="https://iwantmore.ai/" TargetMode="External"/><Relationship Id="rId13" Type="http://schemas.openxmlformats.org/officeDocument/2006/relationships/hyperlink" Target="http://withgoogle.com" TargetMode="External"/><Relationship Id="rId12" Type="http://schemas.openxmlformats.org/officeDocument/2006/relationships/hyperlink" Target="https://www.partnersdirectory.withgoogle.com/" TargetMode="External"/><Relationship Id="rId15" Type="http://schemas.openxmlformats.org/officeDocument/2006/relationships/hyperlink" Target="http://pinemarsh.com" TargetMode="External"/><Relationship Id="rId14" Type="http://schemas.openxmlformats.org/officeDocument/2006/relationships/hyperlink" Target="https://pinemarsh.com/" TargetMode="External"/><Relationship Id="rId17" Type="http://schemas.openxmlformats.org/officeDocument/2006/relationships/hyperlink" Target="http://aeoagencyservices.com" TargetMode="External"/><Relationship Id="rId16" Type="http://schemas.openxmlformats.org/officeDocument/2006/relationships/hyperlink" Target="https://aeoagencyservices.com/aeo-uk" TargetMode="External"/><Relationship Id="rId19" Type="http://schemas.openxmlformats.org/officeDocument/2006/relationships/hyperlink" Target="http://giraffesocialmedia.co.uk" TargetMode="External"/><Relationship Id="rId18" Type="http://schemas.openxmlformats.org/officeDocument/2006/relationships/hyperlink" Target="https://www.giraffesocialmedia.co.uk/" TargetMode="External"/><Relationship Id="rId84" Type="http://schemas.openxmlformats.org/officeDocument/2006/relationships/hyperlink" Target="http://pentagram.com" TargetMode="External"/><Relationship Id="rId83" Type="http://schemas.openxmlformats.org/officeDocument/2006/relationships/hyperlink" Target="https://www.pentagram.com/" TargetMode="External"/><Relationship Id="rId86" Type="http://schemas.openxmlformats.org/officeDocument/2006/relationships/hyperlink" Target="http://readysetconsultancy.com" TargetMode="External"/><Relationship Id="rId85" Type="http://schemas.openxmlformats.org/officeDocument/2006/relationships/hyperlink" Target="https://www.readysetconsultancy.com/aeo" TargetMode="External"/><Relationship Id="rId88" Type="http://schemas.openxmlformats.org/officeDocument/2006/relationships/hyperlink" Target="http://visionone.co.uk" TargetMode="External"/><Relationship Id="rId87" Type="http://schemas.openxmlformats.org/officeDocument/2006/relationships/hyperlink" Target="https://visionone.co.uk/" TargetMode="External"/><Relationship Id="rId89" Type="http://schemas.openxmlformats.org/officeDocument/2006/relationships/hyperlink" Target="https://www.adnomics.co.uk/" TargetMode="External"/><Relationship Id="rId80" Type="http://schemas.openxmlformats.org/officeDocument/2006/relationships/hyperlink" Target="http://leverageconsulting.uk" TargetMode="External"/><Relationship Id="rId82" Type="http://schemas.openxmlformats.org/officeDocument/2006/relationships/hyperlink" Target="http://peak-agency.co.uk" TargetMode="External"/><Relationship Id="rId81" Type="http://schemas.openxmlformats.org/officeDocument/2006/relationships/hyperlink" Target="https://peak-agency.co.uk/" TargetMode="External"/><Relationship Id="rId73" Type="http://schemas.openxmlformats.org/officeDocument/2006/relationships/hyperlink" Target="https://www.geointelligence.co.uk/" TargetMode="External"/><Relationship Id="rId72" Type="http://schemas.openxmlformats.org/officeDocument/2006/relationships/hyperlink" Target="http://bird.co.uk" TargetMode="External"/><Relationship Id="rId75" Type="http://schemas.openxmlformats.org/officeDocument/2006/relationships/hyperlink" Target="https://www.intellscore.co.uk/" TargetMode="External"/><Relationship Id="rId74" Type="http://schemas.openxmlformats.org/officeDocument/2006/relationships/hyperlink" Target="http://geointelligence.co.uk" TargetMode="External"/><Relationship Id="rId77" Type="http://schemas.openxmlformats.org/officeDocument/2006/relationships/hyperlink" Target="https://knowanalytics.co.uk/" TargetMode="External"/><Relationship Id="rId76" Type="http://schemas.openxmlformats.org/officeDocument/2006/relationships/hyperlink" Target="http://intellscore.co.uk" TargetMode="External"/><Relationship Id="rId79" Type="http://schemas.openxmlformats.org/officeDocument/2006/relationships/hyperlink" Target="https://leverageconsulting.uk/" TargetMode="External"/><Relationship Id="rId78" Type="http://schemas.openxmlformats.org/officeDocument/2006/relationships/hyperlink" Target="http://knowanalytics.co.uk" TargetMode="External"/><Relationship Id="rId71" Type="http://schemas.openxmlformats.org/officeDocument/2006/relationships/hyperlink" Target="https://bird.co.uk/" TargetMode="External"/><Relationship Id="rId70" Type="http://schemas.openxmlformats.org/officeDocument/2006/relationships/hyperlink" Target="http://bimodal.io" TargetMode="External"/><Relationship Id="rId62" Type="http://schemas.openxmlformats.org/officeDocument/2006/relationships/hyperlink" Target="http://measurelab.co.uk" TargetMode="External"/><Relationship Id="rId61" Type="http://schemas.openxmlformats.org/officeDocument/2006/relationships/hyperlink" Target="https://www.measurelab.co.uk/" TargetMode="External"/><Relationship Id="rId64" Type="http://schemas.openxmlformats.org/officeDocument/2006/relationships/hyperlink" Target="http://stratifyadvisory.co.uk" TargetMode="External"/><Relationship Id="rId63" Type="http://schemas.openxmlformats.org/officeDocument/2006/relationships/hyperlink" Target="https://www.stratifyadvisory.co.uk/" TargetMode="External"/><Relationship Id="rId66" Type="http://schemas.openxmlformats.org/officeDocument/2006/relationships/hyperlink" Target="http://adcountable.com" TargetMode="External"/><Relationship Id="rId65" Type="http://schemas.openxmlformats.org/officeDocument/2006/relationships/hyperlink" Target="https://www.adcountable.com/" TargetMode="External"/><Relationship Id="rId68" Type="http://schemas.openxmlformats.org/officeDocument/2006/relationships/hyperlink" Target="http://airconsulting.ai" TargetMode="External"/><Relationship Id="rId67" Type="http://schemas.openxmlformats.org/officeDocument/2006/relationships/hyperlink" Target="https://www.airconsulting.ai/" TargetMode="External"/><Relationship Id="rId60" Type="http://schemas.openxmlformats.org/officeDocument/2006/relationships/hyperlink" Target="http://aiconsultingfirms.co.uk" TargetMode="External"/><Relationship Id="rId69" Type="http://schemas.openxmlformats.org/officeDocument/2006/relationships/hyperlink" Target="https://www.bimodal.io/" TargetMode="External"/><Relationship Id="rId51" Type="http://schemas.openxmlformats.org/officeDocument/2006/relationships/hyperlink" Target="https://www.kingsbury.io/" TargetMode="External"/><Relationship Id="rId50" Type="http://schemas.openxmlformats.org/officeDocument/2006/relationships/hyperlink" Target="http://bigspring.co.uk" TargetMode="External"/><Relationship Id="rId53" Type="http://schemas.openxmlformats.org/officeDocument/2006/relationships/hyperlink" Target="https://www.kometadvisory.com/" TargetMode="External"/><Relationship Id="rId52" Type="http://schemas.openxmlformats.org/officeDocument/2006/relationships/hyperlink" Target="http://kingsbury.io" TargetMode="External"/><Relationship Id="rId55" Type="http://schemas.openxmlformats.org/officeDocument/2006/relationships/hyperlink" Target="https://www.marketingattribution.com/" TargetMode="External"/><Relationship Id="rId54" Type="http://schemas.openxmlformats.org/officeDocument/2006/relationships/hyperlink" Target="http://kometadvisory.com" TargetMode="External"/><Relationship Id="rId57" Type="http://schemas.openxmlformats.org/officeDocument/2006/relationships/hyperlink" Target="https://www.ruleranalytics.com/" TargetMode="External"/><Relationship Id="rId56" Type="http://schemas.openxmlformats.org/officeDocument/2006/relationships/hyperlink" Target="http://marketingattribution.com" TargetMode="External"/><Relationship Id="rId59" Type="http://schemas.openxmlformats.org/officeDocument/2006/relationships/hyperlink" Target="https://aiconsultingfirms.co.uk/" TargetMode="External"/><Relationship Id="rId58" Type="http://schemas.openxmlformats.org/officeDocument/2006/relationships/hyperlink" Target="http://ruleranalytics.com" TargetMode="External"/><Relationship Id="rId95" Type="http://schemas.openxmlformats.org/officeDocument/2006/relationships/hyperlink" Target="http://brainlabsdigital.com" TargetMode="External"/><Relationship Id="rId94" Type="http://schemas.openxmlformats.org/officeDocument/2006/relationships/hyperlink" Target="https://www.brainlabsdigital.com/" TargetMode="External"/><Relationship Id="rId97" Type="http://schemas.openxmlformats.org/officeDocument/2006/relationships/hyperlink" Target="http://deducive.com" TargetMode="External"/><Relationship Id="rId96" Type="http://schemas.openxmlformats.org/officeDocument/2006/relationships/hyperlink" Target="https://www.deducive.com/" TargetMode="External"/><Relationship Id="rId99" Type="http://schemas.openxmlformats.org/officeDocument/2006/relationships/hyperlink" Target="http://inceptiontoaction.ai" TargetMode="External"/><Relationship Id="rId98" Type="http://schemas.openxmlformats.org/officeDocument/2006/relationships/hyperlink" Target="https://www.inceptiontoaction.ai/" TargetMode="External"/><Relationship Id="rId91" Type="http://schemas.openxmlformats.org/officeDocument/2006/relationships/hyperlink" Target="https://aeoagency.co.uk/" TargetMode="External"/><Relationship Id="rId90" Type="http://schemas.openxmlformats.org/officeDocument/2006/relationships/hyperlink" Target="http://adnomics.co.uk" TargetMode="External"/><Relationship Id="rId93" Type="http://schemas.openxmlformats.org/officeDocument/2006/relationships/hyperlink" Target="https://www.aitransformation.global/" TargetMode="External"/><Relationship Id="rId92" Type="http://schemas.openxmlformats.org/officeDocument/2006/relationships/hyperlink" Target="http://aeoagency.co.uk" TargetMode="External"/><Relationship Id="rId271" Type="http://schemas.openxmlformats.org/officeDocument/2006/relationships/drawing" Target="../drawings/drawing25.xml"/><Relationship Id="rId270" Type="http://schemas.openxmlformats.org/officeDocument/2006/relationships/hyperlink" Target="http://zealcreative.com" TargetMode="External"/><Relationship Id="rId269" Type="http://schemas.openxmlformats.org/officeDocument/2006/relationships/hyperlink" Target="https://www.zealcreative.com/" TargetMode="External"/><Relationship Id="rId264" Type="http://schemas.openxmlformats.org/officeDocument/2006/relationships/hyperlink" Target="http://wearespark.ai" TargetMode="External"/><Relationship Id="rId263" Type="http://schemas.openxmlformats.org/officeDocument/2006/relationships/hyperlink" Target="https://www.wearespark.ai/" TargetMode="External"/><Relationship Id="rId262" Type="http://schemas.openxmlformats.org/officeDocument/2006/relationships/hyperlink" Target="http://wearemetric.co.uk" TargetMode="External"/><Relationship Id="rId261" Type="http://schemas.openxmlformats.org/officeDocument/2006/relationships/hyperlink" Target="https://www.wearemetric.co.uk/" TargetMode="External"/><Relationship Id="rId268" Type="http://schemas.openxmlformats.org/officeDocument/2006/relationships/hyperlink" Target="http://workmagic.io" TargetMode="External"/><Relationship Id="rId267" Type="http://schemas.openxmlformats.org/officeDocument/2006/relationships/hyperlink" Target="https://www.workmagic.io/" TargetMode="External"/><Relationship Id="rId266" Type="http://schemas.openxmlformats.org/officeDocument/2006/relationships/hyperlink" Target="http://workingmedia.com" TargetMode="External"/><Relationship Id="rId265" Type="http://schemas.openxmlformats.org/officeDocument/2006/relationships/hyperlink" Target="https://workingmedia.com/" TargetMode="External"/><Relationship Id="rId260" Type="http://schemas.openxmlformats.org/officeDocument/2006/relationships/hyperlink" Target="http://wearema.com" TargetMode="External"/><Relationship Id="rId259" Type="http://schemas.openxmlformats.org/officeDocument/2006/relationships/hyperlink" Target="https://www.wearema.com/" TargetMode="External"/><Relationship Id="rId258" Type="http://schemas.openxmlformats.org/officeDocument/2006/relationships/hyperlink" Target="http://vxtx.co.uk" TargetMode="External"/><Relationship Id="rId253" Type="http://schemas.openxmlformats.org/officeDocument/2006/relationships/hyperlink" Target="http://tryinhouse.co" TargetMode="External"/><Relationship Id="rId252" Type="http://schemas.openxmlformats.org/officeDocument/2006/relationships/hyperlink" Target="https://tryinhouse.co/" TargetMode="External"/><Relationship Id="rId251" Type="http://schemas.openxmlformats.org/officeDocument/2006/relationships/hyperlink" Target="http://topgeoagencies.com" TargetMode="External"/><Relationship Id="rId250" Type="http://schemas.openxmlformats.org/officeDocument/2006/relationships/hyperlink" Target="https://topgeoagencies.com/" TargetMode="External"/><Relationship Id="rId257" Type="http://schemas.openxmlformats.org/officeDocument/2006/relationships/hyperlink" Target="https://www.vxtx.co.uk/" TargetMode="External"/><Relationship Id="rId256" Type="http://schemas.openxmlformats.org/officeDocument/2006/relationships/hyperlink" Target="https://videofactory.agency/" TargetMode="External"/><Relationship Id="rId255" Type="http://schemas.openxmlformats.org/officeDocument/2006/relationships/hyperlink" Target="http://vertius.com" TargetMode="External"/><Relationship Id="rId254" Type="http://schemas.openxmlformats.org/officeDocument/2006/relationships/hyperlink" Target="https://www.vertius.com/" TargetMode="External"/><Relationship Id="rId228" Type="http://schemas.openxmlformats.org/officeDocument/2006/relationships/hyperlink" Target="http://singleframe.co.uk" TargetMode="External"/><Relationship Id="rId227" Type="http://schemas.openxmlformats.org/officeDocument/2006/relationships/hyperlink" Target="https://www.singleframe.co.uk/" TargetMode="External"/><Relationship Id="rId226" Type="http://schemas.openxmlformats.org/officeDocument/2006/relationships/hyperlink" Target="http://seoworks.co.uk" TargetMode="External"/><Relationship Id="rId225" Type="http://schemas.openxmlformats.org/officeDocument/2006/relationships/hyperlink" Target="https://www.seoworks.co.uk/" TargetMode="External"/><Relationship Id="rId229" Type="http://schemas.openxmlformats.org/officeDocument/2006/relationships/hyperlink" Target="https://www.slateandmortar.com/" TargetMode="External"/><Relationship Id="rId220" Type="http://schemas.openxmlformats.org/officeDocument/2006/relationships/hyperlink" Target="http://ppckingdom.com" TargetMode="External"/><Relationship Id="rId224" Type="http://schemas.openxmlformats.org/officeDocument/2006/relationships/hyperlink" Target="http://searchable.com" TargetMode="External"/><Relationship Id="rId223" Type="http://schemas.openxmlformats.org/officeDocument/2006/relationships/hyperlink" Target="https://www.searchable.com/" TargetMode="External"/><Relationship Id="rId222" Type="http://schemas.openxmlformats.org/officeDocument/2006/relationships/hyperlink" Target="http://queryclick.com" TargetMode="External"/><Relationship Id="rId221" Type="http://schemas.openxmlformats.org/officeDocument/2006/relationships/hyperlink" Target="https://queryclick.com/" TargetMode="External"/><Relationship Id="rId217" Type="http://schemas.openxmlformats.org/officeDocument/2006/relationships/hyperlink" Target="http://pgammedia.com" TargetMode="External"/><Relationship Id="rId216" Type="http://schemas.openxmlformats.org/officeDocument/2006/relationships/hyperlink" Target="https://www.pgammedia.com/" TargetMode="External"/><Relationship Id="rId215" Type="http://schemas.openxmlformats.org/officeDocument/2006/relationships/hyperlink" Target="https://passion.digital/" TargetMode="External"/><Relationship Id="rId214" Type="http://schemas.openxmlformats.org/officeDocument/2006/relationships/hyperlink" Target="https://www.pario.agency/" TargetMode="External"/><Relationship Id="rId219" Type="http://schemas.openxmlformats.org/officeDocument/2006/relationships/hyperlink" Target="https://ppckingdom.com/" TargetMode="External"/><Relationship Id="rId218" Type="http://schemas.openxmlformats.org/officeDocument/2006/relationships/hyperlink" Target="https://pinpoint-media.global/" TargetMode="External"/><Relationship Id="rId213" Type="http://schemas.openxmlformats.org/officeDocument/2006/relationships/hyperlink" Target="http://opticomm.co.uk" TargetMode="External"/><Relationship Id="rId212" Type="http://schemas.openxmlformats.org/officeDocument/2006/relationships/hyperlink" Target="https://www.opticomm.co.uk/" TargetMode="External"/><Relationship Id="rId211" Type="http://schemas.openxmlformats.org/officeDocument/2006/relationships/hyperlink" Target="http://openleaf.com" TargetMode="External"/><Relationship Id="rId210" Type="http://schemas.openxmlformats.org/officeDocument/2006/relationships/hyperlink" Target="https://www.openleaf.com/" TargetMode="External"/><Relationship Id="rId249" Type="http://schemas.openxmlformats.org/officeDocument/2006/relationships/hyperlink" Target="http://tivradigital.co.uk" TargetMode="External"/><Relationship Id="rId248" Type="http://schemas.openxmlformats.org/officeDocument/2006/relationships/hyperlink" Target="https://tivradigital.co.uk/" TargetMode="External"/><Relationship Id="rId247" Type="http://schemas.openxmlformats.org/officeDocument/2006/relationships/hyperlink" Target="http://tilio.co.uk" TargetMode="External"/><Relationship Id="rId242" Type="http://schemas.openxmlformats.org/officeDocument/2006/relationships/hyperlink" Target="https://www.theadlounge.co.uk/" TargetMode="External"/><Relationship Id="rId241" Type="http://schemas.openxmlformats.org/officeDocument/2006/relationships/hyperlink" Target="http://talisman-ai.co.uk" TargetMode="External"/><Relationship Id="rId240" Type="http://schemas.openxmlformats.org/officeDocument/2006/relationships/hyperlink" Target="https://www.talisman-ai.co.uk/" TargetMode="External"/><Relationship Id="rId246" Type="http://schemas.openxmlformats.org/officeDocument/2006/relationships/hyperlink" Target="https://www.tilio.co.uk/" TargetMode="External"/><Relationship Id="rId245" Type="http://schemas.openxmlformats.org/officeDocument/2006/relationships/hyperlink" Target="http://themill.com" TargetMode="External"/><Relationship Id="rId244" Type="http://schemas.openxmlformats.org/officeDocument/2006/relationships/hyperlink" Target="https://www.themill.com/" TargetMode="External"/><Relationship Id="rId243" Type="http://schemas.openxmlformats.org/officeDocument/2006/relationships/hyperlink" Target="http://theadlounge.co.uk" TargetMode="External"/><Relationship Id="rId239" Type="http://schemas.openxmlformats.org/officeDocument/2006/relationships/hyperlink" Target="http://superside.com" TargetMode="External"/><Relationship Id="rId238" Type="http://schemas.openxmlformats.org/officeDocument/2006/relationships/hyperlink" Target="https://www.superside.com/" TargetMode="External"/><Relationship Id="rId237" Type="http://schemas.openxmlformats.org/officeDocument/2006/relationships/hyperlink" Target="https://stamp.productions/" TargetMode="External"/><Relationship Id="rId236" Type="http://schemas.openxmlformats.org/officeDocument/2006/relationships/hyperlink" Target="http://spotlightgb.co" TargetMode="External"/><Relationship Id="rId231" Type="http://schemas.openxmlformats.org/officeDocument/2006/relationships/hyperlink" Target="https://sociallypowerful.com/why-us" TargetMode="External"/><Relationship Id="rId230" Type="http://schemas.openxmlformats.org/officeDocument/2006/relationships/hyperlink" Target="http://slateandmortar.com" TargetMode="External"/><Relationship Id="rId235" Type="http://schemas.openxmlformats.org/officeDocument/2006/relationships/hyperlink" Target="https://www.spotlightgb.co/" TargetMode="External"/><Relationship Id="rId234" Type="http://schemas.openxmlformats.org/officeDocument/2006/relationships/hyperlink" Target="http://solvid.co.uk" TargetMode="External"/><Relationship Id="rId233" Type="http://schemas.openxmlformats.org/officeDocument/2006/relationships/hyperlink" Target="https://solvid.co.uk/" TargetMode="External"/><Relationship Id="rId232" Type="http://schemas.openxmlformats.org/officeDocument/2006/relationships/hyperlink" Target="http://sociallypowerful.com" TargetMode="External"/><Relationship Id="rId206" Type="http://schemas.openxmlformats.org/officeDocument/2006/relationships/hyperlink" Target="https://measuremindsgroup.com/" TargetMode="External"/><Relationship Id="rId205" Type="http://schemas.openxmlformats.org/officeDocument/2006/relationships/hyperlink" Target="http://marketingiq.co.uk" TargetMode="External"/><Relationship Id="rId204" Type="http://schemas.openxmlformats.org/officeDocument/2006/relationships/hyperlink" Target="https://www.marketingiq.co.uk/" TargetMode="External"/><Relationship Id="rId203" Type="http://schemas.openxmlformats.org/officeDocument/2006/relationships/hyperlink" Target="http://marketingagencyindex.com" TargetMode="External"/><Relationship Id="rId209" Type="http://schemas.openxmlformats.org/officeDocument/2006/relationships/hyperlink" Target="http://mediaaddict.co.uk" TargetMode="External"/><Relationship Id="rId208" Type="http://schemas.openxmlformats.org/officeDocument/2006/relationships/hyperlink" Target="https://mediaaddict.co.uk/" TargetMode="External"/><Relationship Id="rId207" Type="http://schemas.openxmlformats.org/officeDocument/2006/relationships/hyperlink" Target="http://measuremindsgroup.com" TargetMode="External"/><Relationship Id="rId202" Type="http://schemas.openxmlformats.org/officeDocument/2006/relationships/hyperlink" Target="https://www.marketingagencyindex.com/uk" TargetMode="External"/><Relationship Id="rId201" Type="http://schemas.openxmlformats.org/officeDocument/2006/relationships/hyperlink" Target="http://mapleforest.co.uk" TargetMode="External"/><Relationship Id="rId200" Type="http://schemas.openxmlformats.org/officeDocument/2006/relationships/hyperlink" Target="https://www.mapleforest.co.uk/" TargetMode="External"/><Relationship Id="rId190" Type="http://schemas.openxmlformats.org/officeDocument/2006/relationships/hyperlink" Target="https://insideoutdigital.co.uk/" TargetMode="External"/><Relationship Id="rId194" Type="http://schemas.openxmlformats.org/officeDocument/2006/relationships/hyperlink" Target="https://www.leadtheway.io/" TargetMode="External"/><Relationship Id="rId193" Type="http://schemas.openxmlformats.org/officeDocument/2006/relationships/hyperlink" Target="http://jampictures.co.uk" TargetMode="External"/><Relationship Id="rId192" Type="http://schemas.openxmlformats.org/officeDocument/2006/relationships/hyperlink" Target="https://www.jampictures.co.uk/" TargetMode="External"/><Relationship Id="rId191" Type="http://schemas.openxmlformats.org/officeDocument/2006/relationships/hyperlink" Target="http://insideoutdigital.co.uk" TargetMode="External"/><Relationship Id="rId187" Type="http://schemas.openxmlformats.org/officeDocument/2006/relationships/hyperlink" Target="https://hallam.agency/" TargetMode="External"/><Relationship Id="rId186" Type="http://schemas.openxmlformats.org/officeDocument/2006/relationships/hyperlink" Target="http://goup.co.uk" TargetMode="External"/><Relationship Id="rId185" Type="http://schemas.openxmlformats.org/officeDocument/2006/relationships/hyperlink" Target="https://www.goup.co.uk/" TargetMode="External"/><Relationship Id="rId184" Type="http://schemas.openxmlformats.org/officeDocument/2006/relationships/hyperlink" Target="http://giantleapdigital.co.uk" TargetMode="External"/><Relationship Id="rId189" Type="http://schemas.openxmlformats.org/officeDocument/2006/relationships/hyperlink" Target="http://hellogameplan.com" TargetMode="External"/><Relationship Id="rId188" Type="http://schemas.openxmlformats.org/officeDocument/2006/relationships/hyperlink" Target="https://hellogameplan.com/" TargetMode="External"/><Relationship Id="rId183" Type="http://schemas.openxmlformats.org/officeDocument/2006/relationships/hyperlink" Target="https://giantleapdigital.co.uk/why-us/" TargetMode="External"/><Relationship Id="rId182" Type="http://schemas.openxmlformats.org/officeDocument/2006/relationships/hyperlink" Target="http://getrecast.com" TargetMode="External"/><Relationship Id="rId181" Type="http://schemas.openxmlformats.org/officeDocument/2006/relationships/hyperlink" Target="https://getrecast.com/" TargetMode="External"/><Relationship Id="rId180" Type="http://schemas.openxmlformats.org/officeDocument/2006/relationships/hyperlink" Target="http://gaintheory.com" TargetMode="External"/><Relationship Id="rId176" Type="http://schemas.openxmlformats.org/officeDocument/2006/relationships/hyperlink" Target="https://www.futuresupply.io/" TargetMode="External"/><Relationship Id="rId175" Type="http://schemas.openxmlformats.org/officeDocument/2006/relationships/hyperlink" Target="http://frontier15.com" TargetMode="External"/><Relationship Id="rId174" Type="http://schemas.openxmlformats.org/officeDocument/2006/relationships/hyperlink" Target="https://www.frontier15.com/" TargetMode="External"/><Relationship Id="rId173" Type="http://schemas.openxmlformats.org/officeDocument/2006/relationships/hyperlink" Target="http://extradigital.co.uk" TargetMode="External"/><Relationship Id="rId179" Type="http://schemas.openxmlformats.org/officeDocument/2006/relationships/hyperlink" Target="https://gaintheory.com/" TargetMode="External"/><Relationship Id="rId178" Type="http://schemas.openxmlformats.org/officeDocument/2006/relationships/hyperlink" Target="https://ga.agency/en/" TargetMode="External"/><Relationship Id="rId177" Type="http://schemas.openxmlformats.org/officeDocument/2006/relationships/hyperlink" Target="http://futuresupply.io" TargetMode="External"/><Relationship Id="rId198" Type="http://schemas.openxmlformats.org/officeDocument/2006/relationships/hyperlink" Target="https://www.lightworksconsulting.uk/" TargetMode="External"/><Relationship Id="rId197" Type="http://schemas.openxmlformats.org/officeDocument/2006/relationships/hyperlink" Target="http://leoburnett.co.uk" TargetMode="External"/><Relationship Id="rId196" Type="http://schemas.openxmlformats.org/officeDocument/2006/relationships/hyperlink" Target="https://leoburnett.co.uk" TargetMode="External"/><Relationship Id="rId195" Type="http://schemas.openxmlformats.org/officeDocument/2006/relationships/hyperlink" Target="http://leadtheway.io" TargetMode="External"/><Relationship Id="rId199" Type="http://schemas.openxmlformats.org/officeDocument/2006/relationships/hyperlink" Target="http://lightworksconsulting.uk" TargetMode="External"/><Relationship Id="rId150" Type="http://schemas.openxmlformats.org/officeDocument/2006/relationships/hyperlink" Target="https://www.creativemarketingltd.co.uk/" TargetMode="External"/><Relationship Id="rId149" Type="http://schemas.openxmlformats.org/officeDocument/2006/relationships/hyperlink" Target="http://creativebrief.com" TargetMode="External"/><Relationship Id="rId148" Type="http://schemas.openxmlformats.org/officeDocument/2006/relationships/hyperlink" Target="https://www.creativebrief.com/" TargetMode="External"/><Relationship Id="rId143" Type="http://schemas.openxmlformats.org/officeDocument/2006/relationships/hyperlink" Target="http://circusppc.com" TargetMode="External"/><Relationship Id="rId142" Type="http://schemas.openxmlformats.org/officeDocument/2006/relationships/hyperlink" Target="https://circusppc.com/" TargetMode="External"/><Relationship Id="rId141" Type="http://schemas.openxmlformats.org/officeDocument/2006/relationships/hyperlink" Target="http://choreograph.com" TargetMode="External"/><Relationship Id="rId140" Type="http://schemas.openxmlformats.org/officeDocument/2006/relationships/hyperlink" Target="https://www.choreograph.com/" TargetMode="External"/><Relationship Id="rId147" Type="http://schemas.openxmlformats.org/officeDocument/2006/relationships/hyperlink" Target="http://clickintelligence.co.uk" TargetMode="External"/><Relationship Id="rId146" Type="http://schemas.openxmlformats.org/officeDocument/2006/relationships/hyperlink" Target="https://www.clickintelligence.co.uk/" TargetMode="External"/><Relationship Id="rId145" Type="http://schemas.openxmlformats.org/officeDocument/2006/relationships/hyperlink" Target="http://cleandigital.co.uk" TargetMode="External"/><Relationship Id="rId144" Type="http://schemas.openxmlformats.org/officeDocument/2006/relationships/hyperlink" Target="https://cleandigital.co.uk/" TargetMode="External"/><Relationship Id="rId139" Type="http://schemas.openxmlformats.org/officeDocument/2006/relationships/hyperlink" Target="http://ceek.co.uk" TargetMode="External"/><Relationship Id="rId138" Type="http://schemas.openxmlformats.org/officeDocument/2006/relationships/hyperlink" Target="https://ceek.co.uk/" TargetMode="External"/><Relationship Id="rId137" Type="http://schemas.openxmlformats.org/officeDocument/2006/relationships/hyperlink" Target="http://brainlabsdigital.com" TargetMode="External"/><Relationship Id="rId132" Type="http://schemas.openxmlformats.org/officeDocument/2006/relationships/hyperlink" Target="http://backhouse.com" TargetMode="External"/><Relationship Id="rId131" Type="http://schemas.openxmlformats.org/officeDocument/2006/relationships/hyperlink" Target="https://www.backhouse.com/" TargetMode="External"/><Relationship Id="rId130" Type="http://schemas.openxmlformats.org/officeDocument/2006/relationships/hyperlink" Target="http://avorioproductions.com" TargetMode="External"/><Relationship Id="rId136" Type="http://schemas.openxmlformats.org/officeDocument/2006/relationships/hyperlink" Target="https://www.brainlabsdigital.com/home/" TargetMode="External"/><Relationship Id="rId135" Type="http://schemas.openxmlformats.org/officeDocument/2006/relationships/hyperlink" Target="https://bind.media/" TargetMode="External"/><Relationship Id="rId134" Type="http://schemas.openxmlformats.org/officeDocument/2006/relationships/hyperlink" Target="http://best-ai-readiness-assessments.com" TargetMode="External"/><Relationship Id="rId133" Type="http://schemas.openxmlformats.org/officeDocument/2006/relationships/hyperlink" Target="https://best-ai-readiness-assessments.com/" TargetMode="External"/><Relationship Id="rId172" Type="http://schemas.openxmlformats.org/officeDocument/2006/relationships/hyperlink" Target="https://www.extradigital.co.uk/ppc/" TargetMode="External"/><Relationship Id="rId171" Type="http://schemas.openxmlformats.org/officeDocument/2006/relationships/hyperlink" Target="http://ekimetrics.com" TargetMode="External"/><Relationship Id="rId170" Type="http://schemas.openxmlformats.org/officeDocument/2006/relationships/hyperlink" Target="https://www.ekimetrics.com/" TargetMode="External"/><Relationship Id="rId165" Type="http://schemas.openxmlformats.org/officeDocument/2006/relationships/hyperlink" Target="http://efficiencymedia.com" TargetMode="External"/><Relationship Id="rId164" Type="http://schemas.openxmlformats.org/officeDocument/2006/relationships/hyperlink" Target="https://efficiencymedia.com/" TargetMode="External"/><Relationship Id="rId163" Type="http://schemas.openxmlformats.org/officeDocument/2006/relationships/hyperlink" Target="http://droga5.com" TargetMode="External"/><Relationship Id="rId162" Type="http://schemas.openxmlformats.org/officeDocument/2006/relationships/hyperlink" Target="https://droga5.com/" TargetMode="External"/><Relationship Id="rId169" Type="http://schemas.openxmlformats.org/officeDocument/2006/relationships/hyperlink" Target="http://ekcs.co" TargetMode="External"/><Relationship Id="rId168" Type="http://schemas.openxmlformats.org/officeDocument/2006/relationships/hyperlink" Target="https://www.ekcs.co/" TargetMode="External"/><Relationship Id="rId167" Type="http://schemas.openxmlformats.org/officeDocument/2006/relationships/hyperlink" Target="http://eightandfour.com" TargetMode="External"/><Relationship Id="rId166" Type="http://schemas.openxmlformats.org/officeDocument/2006/relationships/hyperlink" Target="https://www.eightandfour.com/" TargetMode="External"/><Relationship Id="rId161" Type="http://schemas.openxmlformats.org/officeDocument/2006/relationships/hyperlink" Target="http://digitalmarketingagencyuk.com" TargetMode="External"/><Relationship Id="rId160" Type="http://schemas.openxmlformats.org/officeDocument/2006/relationships/hyperlink" Target="https://www.digitalmarketingagencyuk.com/" TargetMode="External"/><Relationship Id="rId159" Type="http://schemas.openxmlformats.org/officeDocument/2006/relationships/hyperlink" Target="http://digiactus.co.uk" TargetMode="External"/><Relationship Id="rId154" Type="http://schemas.openxmlformats.org/officeDocument/2006/relationships/hyperlink" Target="https://daio.uk/" TargetMode="External"/><Relationship Id="rId153" Type="http://schemas.openxmlformats.org/officeDocument/2006/relationships/hyperlink" Target="http://croud.com" TargetMode="External"/><Relationship Id="rId152" Type="http://schemas.openxmlformats.org/officeDocument/2006/relationships/hyperlink" Target="https://croud.com/en-gb/" TargetMode="External"/><Relationship Id="rId151" Type="http://schemas.openxmlformats.org/officeDocument/2006/relationships/hyperlink" Target="http://creativemarketingltd.co.uk" TargetMode="External"/><Relationship Id="rId158" Type="http://schemas.openxmlformats.org/officeDocument/2006/relationships/hyperlink" Target="https://digiactus.co.uk/" TargetMode="External"/><Relationship Id="rId157" Type="http://schemas.openxmlformats.org/officeDocument/2006/relationships/hyperlink" Target="http://deptagency.com" TargetMode="External"/><Relationship Id="rId156" Type="http://schemas.openxmlformats.org/officeDocument/2006/relationships/hyperlink" Target="https://www.deptagency.com/" TargetMode="External"/><Relationship Id="rId155" Type="http://schemas.openxmlformats.org/officeDocument/2006/relationships/hyperlink" Target="http://daio.uk" TargetMode="External"/><Relationship Id="rId107" Type="http://schemas.openxmlformats.org/officeDocument/2006/relationships/hyperlink" Target="http://linea-analytics.com" TargetMode="External"/><Relationship Id="rId106" Type="http://schemas.openxmlformats.org/officeDocument/2006/relationships/hyperlink" Target="https://linea-analytics.com/" TargetMode="External"/><Relationship Id="rId105" Type="http://schemas.openxmlformats.org/officeDocument/2006/relationships/hyperlink" Target="http://liftlab.com" TargetMode="External"/><Relationship Id="rId104" Type="http://schemas.openxmlformats.org/officeDocument/2006/relationships/hyperlink" Target="https://liftlab.com/" TargetMode="External"/><Relationship Id="rId109" Type="http://schemas.openxmlformats.org/officeDocument/2006/relationships/hyperlink" Target="http://mqlflow.com" TargetMode="External"/><Relationship Id="rId108" Type="http://schemas.openxmlformats.org/officeDocument/2006/relationships/hyperlink" Target="https://mqlflow.com/" TargetMode="External"/><Relationship Id="rId103" Type="http://schemas.openxmlformats.org/officeDocument/2006/relationships/hyperlink" Target="http://incrmntal.com" TargetMode="External"/><Relationship Id="rId102" Type="http://schemas.openxmlformats.org/officeDocument/2006/relationships/hyperlink" Target="https://www.incrmntal.com/" TargetMode="External"/><Relationship Id="rId101" Type="http://schemas.openxmlformats.org/officeDocument/2006/relationships/hyperlink" Target="http://incremental.com" TargetMode="External"/><Relationship Id="rId100" Type="http://schemas.openxmlformats.org/officeDocument/2006/relationships/hyperlink" Target="https://www.incremental.com/" TargetMode="External"/><Relationship Id="rId129" Type="http://schemas.openxmlformats.org/officeDocument/2006/relationships/hyperlink" Target="https://www.avorioproductions.com/" TargetMode="External"/><Relationship Id="rId128" Type="http://schemas.openxmlformats.org/officeDocument/2006/relationships/hyperlink" Target="http://audigent.com" TargetMode="External"/><Relationship Id="rId127" Type="http://schemas.openxmlformats.org/officeDocument/2006/relationships/hyperlink" Target="https://audigent.com/" TargetMode="External"/><Relationship Id="rId126" Type="http://schemas.openxmlformats.org/officeDocument/2006/relationships/hyperlink" Target="http://anglux.uk" TargetMode="External"/><Relationship Id="rId121" Type="http://schemas.openxmlformats.org/officeDocument/2006/relationships/hyperlink" Target="https://ality.co.uk/" TargetMode="External"/><Relationship Id="rId120" Type="http://schemas.openxmlformats.org/officeDocument/2006/relationships/hyperlink" Target="http://ai-expert.co.uk" TargetMode="External"/><Relationship Id="rId125" Type="http://schemas.openxmlformats.org/officeDocument/2006/relationships/hyperlink" Target="https://anglux.uk/" TargetMode="External"/><Relationship Id="rId124" Type="http://schemas.openxmlformats.org/officeDocument/2006/relationships/hyperlink" Target="http://analytics.co.uk" TargetMode="External"/><Relationship Id="rId123" Type="http://schemas.openxmlformats.org/officeDocument/2006/relationships/hyperlink" Target="https://analytics.co.uk/" TargetMode="External"/><Relationship Id="rId122" Type="http://schemas.openxmlformats.org/officeDocument/2006/relationships/hyperlink" Target="http://ality.co.uk" TargetMode="External"/><Relationship Id="rId118" Type="http://schemas.openxmlformats.org/officeDocument/2006/relationships/hyperlink" Target="http://agencybyagency.com" TargetMode="External"/><Relationship Id="rId117" Type="http://schemas.openxmlformats.org/officeDocument/2006/relationships/hyperlink" Target="https://agencybyagency.com/" TargetMode="External"/><Relationship Id="rId116" Type="http://schemas.openxmlformats.org/officeDocument/2006/relationships/hyperlink" Target="http://weareaudiences.com" TargetMode="External"/><Relationship Id="rId115" Type="http://schemas.openxmlformats.org/officeDocument/2006/relationships/hyperlink" Target="https://weareaudiences.com/" TargetMode="External"/><Relationship Id="rId119" Type="http://schemas.openxmlformats.org/officeDocument/2006/relationships/hyperlink" Target="https://www.ai-expert.co.uk/" TargetMode="External"/><Relationship Id="rId110" Type="http://schemas.openxmlformats.org/officeDocument/2006/relationships/hyperlink" Target="https://primelis.co.uk/" TargetMode="External"/><Relationship Id="rId114" Type="http://schemas.openxmlformats.org/officeDocument/2006/relationships/hyperlink" Target="http://theaiconsultancy.ai" TargetMode="External"/><Relationship Id="rId113" Type="http://schemas.openxmlformats.org/officeDocument/2006/relationships/hyperlink" Target="https://theaiconsultancy.ai/" TargetMode="External"/><Relationship Id="rId112" Type="http://schemas.openxmlformats.org/officeDocument/2006/relationships/hyperlink" Target="https://simplicity.media/" TargetMode="External"/><Relationship Id="rId111" Type="http://schemas.openxmlformats.org/officeDocument/2006/relationships/hyperlink" Target="http://primelis.co.uk"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helium42.com" TargetMode="External"/><Relationship Id="rId2" Type="http://schemas.openxmlformats.org/officeDocument/2006/relationships/hyperlink" Target="https://business.google.com/uk/think/measurement/incrementality-testing/" TargetMode="External"/><Relationship Id="rId3" Type="http://schemas.openxmlformats.org/officeDocument/2006/relationships/hyperlink" Target="http://google.com" TargetMode="External"/><Relationship Id="rId4" Type="http://schemas.openxmlformats.org/officeDocument/2006/relationships/hyperlink" Target="https://www.stellaheystella.com/blog/incrementality-testing-platforms-the-complete-guide-to-measuring-true-marketing-impact-2025" TargetMode="External"/><Relationship Id="rId9" Type="http://schemas.openxmlformats.org/officeDocument/2006/relationships/hyperlink" Target="http://triplewhale.com" TargetMode="External"/><Relationship Id="rId5" Type="http://schemas.openxmlformats.org/officeDocument/2006/relationships/hyperlink" Target="http://stellaheystella.com" TargetMode="External"/><Relationship Id="rId6" Type="http://schemas.openxmlformats.org/officeDocument/2006/relationships/hyperlink" Target="https://www.techradar.com/pro/how-to-use-an-aeo-tool-for-your-small-business" TargetMode="External"/><Relationship Id="rId7" Type="http://schemas.openxmlformats.org/officeDocument/2006/relationships/hyperlink" Target="http://techradar.com" TargetMode="External"/><Relationship Id="rId8" Type="http://schemas.openxmlformats.org/officeDocument/2006/relationships/hyperlink" Target="https://www.triplewhale.com/blog/incrementality-testing-methods" TargetMode="External"/><Relationship Id="rId40" Type="http://schemas.openxmlformats.org/officeDocument/2006/relationships/hyperlink" Target="http://amplitude.com" TargetMode="External"/><Relationship Id="rId42" Type="http://schemas.openxmlformats.org/officeDocument/2006/relationships/hyperlink" Target="http://attnagency.com" TargetMode="External"/><Relationship Id="rId41" Type="http://schemas.openxmlformats.org/officeDocument/2006/relationships/hyperlink" Target="https://www.attnagency.com/blog/first-party-data-activation-cdp-ad-platform-strategy" TargetMode="External"/><Relationship Id="rId44" Type="http://schemas.openxmlformats.org/officeDocument/2006/relationships/hyperlink" Target="http://avaus.com" TargetMode="External"/><Relationship Id="rId43" Type="http://schemas.openxmlformats.org/officeDocument/2006/relationships/hyperlink" Target="https://www.avaus.com/blog/how-media-agencies-can-utilize-first-party-data-to-drive-better-results/" TargetMode="External"/><Relationship Id="rId46" Type="http://schemas.openxmlformats.org/officeDocument/2006/relationships/hyperlink" Target="http://back9.co.nz" TargetMode="External"/><Relationship Id="rId45" Type="http://schemas.openxmlformats.org/officeDocument/2006/relationships/hyperlink" Target="https://www.back9.co.nz/how-to-find-a-certified-google-partner/" TargetMode="External"/><Relationship Id="rId48" Type="http://schemas.openxmlformats.org/officeDocument/2006/relationships/hyperlink" Target="http://blueduckagency.com" TargetMode="External"/><Relationship Id="rId47" Type="http://schemas.openxmlformats.org/officeDocument/2006/relationships/hyperlink" Target="https://www.blueduckagency.com/blog/incrementality" TargetMode="External"/><Relationship Id="rId49" Type="http://schemas.openxmlformats.org/officeDocument/2006/relationships/hyperlink" Target="https://clicksgeek.com/best-marketing-agency-for-roi/" TargetMode="External"/><Relationship Id="rId31" Type="http://schemas.openxmlformats.org/officeDocument/2006/relationships/hyperlink" Target="https://adoption.microsoft.com/en-us/ai-readiness-wizard/" TargetMode="External"/><Relationship Id="rId30" Type="http://schemas.openxmlformats.org/officeDocument/2006/relationships/hyperlink" Target="http://2pointagency.com" TargetMode="External"/><Relationship Id="rId33" Type="http://schemas.openxmlformats.org/officeDocument/2006/relationships/hyperlink" Target="https://www.afiniti.co.uk/insights/ai-adoption/" TargetMode="External"/><Relationship Id="rId32" Type="http://schemas.openxmlformats.org/officeDocument/2006/relationships/hyperlink" Target="http://microsoft.com" TargetMode="External"/><Relationship Id="rId35" Type="http://schemas.openxmlformats.org/officeDocument/2006/relationships/hyperlink" Target="https://www.ai-expert.co.uk/blog/how-do-i-know-if-ai-consulting-firms-are-legitimate" TargetMode="External"/><Relationship Id="rId34" Type="http://schemas.openxmlformats.org/officeDocument/2006/relationships/hyperlink" Target="http://afiniti.co.uk" TargetMode="External"/><Relationship Id="rId37" Type="http://schemas.openxmlformats.org/officeDocument/2006/relationships/hyperlink" Target="https://aiadvantageagency.com/first-party-data-strategy/" TargetMode="External"/><Relationship Id="rId36" Type="http://schemas.openxmlformats.org/officeDocument/2006/relationships/hyperlink" Target="http://ai-expert.co.uk" TargetMode="External"/><Relationship Id="rId39" Type="http://schemas.openxmlformats.org/officeDocument/2006/relationships/hyperlink" Target="https://amplitude.com/explore/digital-marketing/marketing-attribution-guide" TargetMode="External"/><Relationship Id="rId38" Type="http://schemas.openxmlformats.org/officeDocument/2006/relationships/hyperlink" Target="http://aiadvantageagency.com" TargetMode="External"/><Relationship Id="rId20" Type="http://schemas.openxmlformats.org/officeDocument/2006/relationships/hyperlink" Target="https://www.ekimetrics.com/articles/incrementality-testing-how-to-measure-what-marketing-actually-causes" TargetMode="External"/><Relationship Id="rId22" Type="http://schemas.openxmlformats.org/officeDocument/2006/relationships/hyperlink" Target="https://www.fieldtrip.agency/post/overcoming-creative-production-challenges-for-large-brand" TargetMode="External"/><Relationship Id="rId21" Type="http://schemas.openxmlformats.org/officeDocument/2006/relationships/hyperlink" Target="http://ekimetrics.com" TargetMode="External"/><Relationship Id="rId24" Type="http://schemas.openxmlformats.org/officeDocument/2006/relationships/hyperlink" Target="http://found.co.uk" TargetMode="External"/><Relationship Id="rId23" Type="http://schemas.openxmlformats.org/officeDocument/2006/relationships/hyperlink" Target="https://www.found.co.uk/blog/how-to-measure-incrementality/" TargetMode="External"/><Relationship Id="rId26" Type="http://schemas.openxmlformats.org/officeDocument/2006/relationships/hyperlink" Target="http://latentview.com" TargetMode="External"/><Relationship Id="rId25" Type="http://schemas.openxmlformats.org/officeDocument/2006/relationships/hyperlink" Target="https://www.latentview.com/glossary/incrementality-testing/" TargetMode="External"/><Relationship Id="rId28" Type="http://schemas.openxmlformats.org/officeDocument/2006/relationships/hyperlink" Target="http://google.com" TargetMode="External"/><Relationship Id="rId27" Type="http://schemas.openxmlformats.org/officeDocument/2006/relationships/hyperlink" Target="https://support.google.com/google-ads/answer/11410677?hl=en" TargetMode="External"/><Relationship Id="rId29" Type="http://schemas.openxmlformats.org/officeDocument/2006/relationships/hyperlink" Target="https://www.2pointagency.com/glossary/data-activation-and-first-party-data-strategy-a-comprehensive-guide-for-businesses/" TargetMode="External"/><Relationship Id="rId11" Type="http://schemas.openxmlformats.org/officeDocument/2006/relationships/hyperlink" Target="http://whitehat-seo.co.uk" TargetMode="External"/><Relationship Id="rId10" Type="http://schemas.openxmlformats.org/officeDocument/2006/relationships/hyperlink" Target="https://whitehat-seo.co.uk/blog/ai-consulting-process-methodology" TargetMode="External"/><Relationship Id="rId13" Type="http://schemas.openxmlformats.org/officeDocument/2006/relationships/hyperlink" Target="http://aether-agency.co.uk" TargetMode="External"/><Relationship Id="rId12" Type="http://schemas.openxmlformats.org/officeDocument/2006/relationships/hyperlink" Target="https://aether-agency.co.uk/insights/incrementality-testing-marketing-guide-2026" TargetMode="External"/><Relationship Id="rId15" Type="http://schemas.openxmlformats.org/officeDocument/2006/relationships/hyperlink" Target="http://get-ryze.ai" TargetMode="External"/><Relationship Id="rId14" Type="http://schemas.openxmlformats.org/officeDocument/2006/relationships/hyperlink" Target="https://www.get-ryze.ai/blog/how-agencies-scale-ad-creative-production" TargetMode="External"/><Relationship Id="rId17" Type="http://schemas.openxmlformats.org/officeDocument/2006/relationships/hyperlink" Target="http://whitehat-seo.co.uk" TargetMode="External"/><Relationship Id="rId16" Type="http://schemas.openxmlformats.org/officeDocument/2006/relationships/hyperlink" Target="https://whitehat-seo.co.uk/blog/marketing-attribution-that-works" TargetMode="External"/><Relationship Id="rId19" Type="http://schemas.openxmlformats.org/officeDocument/2006/relationships/hyperlink" Target="http://agenticmarketingpro.com" TargetMode="External"/><Relationship Id="rId18" Type="http://schemas.openxmlformats.org/officeDocument/2006/relationships/hyperlink" Target="https://agenticmarketingpro.com/incrementality-testing/" TargetMode="External"/><Relationship Id="rId84" Type="http://schemas.openxmlformats.org/officeDocument/2006/relationships/hyperlink" Target="https://understoryagency.com/blog/paid-organic-earned-media-saas-guide" TargetMode="External"/><Relationship Id="rId83" Type="http://schemas.openxmlformats.org/officeDocument/2006/relationships/hyperlink" Target="http://tilio.co.uk" TargetMode="External"/><Relationship Id="rId86" Type="http://schemas.openxmlformats.org/officeDocument/2006/relationships/hyperlink" Target="https://usercentrics.com/guides/future-of-data-in-marketing/first-party-data-marketing/" TargetMode="External"/><Relationship Id="rId85" Type="http://schemas.openxmlformats.org/officeDocument/2006/relationships/hyperlink" Target="http://understoryagency.com" TargetMode="External"/><Relationship Id="rId88" Type="http://schemas.openxmlformats.org/officeDocument/2006/relationships/hyperlink" Target="https://www.youtube.com/watch?v=dtlZTULGX4A" TargetMode="External"/><Relationship Id="rId87" Type="http://schemas.openxmlformats.org/officeDocument/2006/relationships/hyperlink" Target="http://usercentrics.com" TargetMode="External"/><Relationship Id="rId89" Type="http://schemas.openxmlformats.org/officeDocument/2006/relationships/hyperlink" Target="http://youtube.com" TargetMode="External"/><Relationship Id="rId80" Type="http://schemas.openxmlformats.org/officeDocument/2006/relationships/hyperlink" Target="http://google.com" TargetMode="External"/><Relationship Id="rId82" Type="http://schemas.openxmlformats.org/officeDocument/2006/relationships/hyperlink" Target="https://www.tilio.co.uk/learn/how-to-choose-an-aeo-agency-in-the-uk" TargetMode="External"/><Relationship Id="rId81" Type="http://schemas.openxmlformats.org/officeDocument/2006/relationships/hyperlink" Target="https://tabular.email/blog/agency-pricing-models" TargetMode="External"/><Relationship Id="rId73" Type="http://schemas.openxmlformats.org/officeDocument/2006/relationships/hyperlink" Target="https://www.rightsideup.com/blog/guide-to-marketing-incrementality-testing" TargetMode="External"/><Relationship Id="rId72" Type="http://schemas.openxmlformats.org/officeDocument/2006/relationships/hyperlink" Target="http://reply.io" TargetMode="External"/><Relationship Id="rId75" Type="http://schemas.openxmlformats.org/officeDocument/2006/relationships/hyperlink" Target="https://sellforte.com/support/sellforte-experiments-geo-lift" TargetMode="External"/><Relationship Id="rId74" Type="http://schemas.openxmlformats.org/officeDocument/2006/relationships/hyperlink" Target="http://rightsideup.com" TargetMode="External"/><Relationship Id="rId77" Type="http://schemas.openxmlformats.org/officeDocument/2006/relationships/hyperlink" Target="https://www.stackadapt.com/resources/blog/first-party-data-strategy" TargetMode="External"/><Relationship Id="rId76" Type="http://schemas.openxmlformats.org/officeDocument/2006/relationships/hyperlink" Target="http://sellforte.com" TargetMode="External"/><Relationship Id="rId79" Type="http://schemas.openxmlformats.org/officeDocument/2006/relationships/hyperlink" Target="https://support.google.com/google-ads/answer/9702452?hl=en-GB" TargetMode="External"/><Relationship Id="rId78" Type="http://schemas.openxmlformats.org/officeDocument/2006/relationships/hyperlink" Target="http://stackadapt.com" TargetMode="External"/><Relationship Id="rId71" Type="http://schemas.openxmlformats.org/officeDocument/2006/relationships/hyperlink" Target="https://reply.io/blog/how-to-build-an-ai-agency/" TargetMode="External"/><Relationship Id="rId70" Type="http://schemas.openxmlformats.org/officeDocument/2006/relationships/hyperlink" Target="http://promoguy.nl" TargetMode="External"/><Relationship Id="rId62" Type="http://schemas.openxmlformats.org/officeDocument/2006/relationships/hyperlink" Target="http://icpnet.com" TargetMode="External"/><Relationship Id="rId61" Type="http://schemas.openxmlformats.org/officeDocument/2006/relationships/hyperlink" Target="https://www.icpnet.com/resources/blog/scaling-creative-production-without-changing-your-stack-agency-lens" TargetMode="External"/><Relationship Id="rId64" Type="http://schemas.openxmlformats.org/officeDocument/2006/relationships/hyperlink" Target="http://matomo.org" TargetMode="External"/><Relationship Id="rId63" Type="http://schemas.openxmlformats.org/officeDocument/2006/relationships/hyperlink" Target="https://matomo.org/blog/2024/03/incrementality-testing/" TargetMode="External"/><Relationship Id="rId66" Type="http://schemas.openxmlformats.org/officeDocument/2006/relationships/hyperlink" Target="http://n-ix.com" TargetMode="External"/><Relationship Id="rId65" Type="http://schemas.openxmlformats.org/officeDocument/2006/relationships/hyperlink" Target="https://www.n-ix.com/ai-outsourcing-how-to-get-it-right/" TargetMode="External"/><Relationship Id="rId68" Type="http://schemas.openxmlformats.org/officeDocument/2006/relationships/hyperlink" Target="http://osmos.ai" TargetMode="External"/><Relationship Id="rId67" Type="http://schemas.openxmlformats.org/officeDocument/2006/relationships/hyperlink" Target="https://www.osmos.ai/blog/first-party-data-in-retail-media-the-complete-targeting-guide" TargetMode="External"/><Relationship Id="rId60" Type="http://schemas.openxmlformats.org/officeDocument/2006/relationships/hyperlink" Target="http://hockeystack.com" TargetMode="External"/><Relationship Id="rId69" Type="http://schemas.openxmlformats.org/officeDocument/2006/relationships/hyperlink" Target="https://promoguy.nl/blog/2026/02/12/incrementality-testing-for-marketing-promotion/" TargetMode="External"/><Relationship Id="rId51" Type="http://schemas.openxmlformats.org/officeDocument/2006/relationships/hyperlink" Target="https://www.digitalapplied.com/blog/first-party-data-activation-2026-server-side-tracking-playbook" TargetMode="External"/><Relationship Id="rId50" Type="http://schemas.openxmlformats.org/officeDocument/2006/relationships/hyperlink" Target="http://clicksgeek.com" TargetMode="External"/><Relationship Id="rId53" Type="http://schemas.openxmlformats.org/officeDocument/2006/relationships/hyperlink" Target="https://www.fifty-five.com/tea-house/incrementality-testing-marketing" TargetMode="External"/><Relationship Id="rId52" Type="http://schemas.openxmlformats.org/officeDocument/2006/relationships/hyperlink" Target="http://digitalapplied.com" TargetMode="External"/><Relationship Id="rId55" Type="http://schemas.openxmlformats.org/officeDocument/2006/relationships/hyperlink" Target="https://www.gohighlevel.com/post/the-ai-ready-agency-what-the-top-5-are-doing-differently" TargetMode="External"/><Relationship Id="rId54" Type="http://schemas.openxmlformats.org/officeDocument/2006/relationships/hyperlink" Target="http://fifty-five.com" TargetMode="External"/><Relationship Id="rId57" Type="http://schemas.openxmlformats.org/officeDocument/2006/relationships/hyperlink" Target="https://www.growth-rocket.com/blog/what-high-performing-agencies-do-differently-with-first-party-data-strategy/" TargetMode="External"/><Relationship Id="rId56" Type="http://schemas.openxmlformats.org/officeDocument/2006/relationships/hyperlink" Target="http://gohighlevel.com" TargetMode="External"/><Relationship Id="rId59" Type="http://schemas.openxmlformats.org/officeDocument/2006/relationships/hyperlink" Target="https://www.hockeystack.com/blog-posts/how-to-measure-marketing-attribution" TargetMode="External"/><Relationship Id="rId58" Type="http://schemas.openxmlformats.org/officeDocument/2006/relationships/hyperlink" Target="http://growth-rocket.com" TargetMode="External"/><Relationship Id="rId90"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392" Type="http://schemas.openxmlformats.org/officeDocument/2006/relationships/hyperlink" Target="https://ninjapromo.io/top-digital-marketing-agencies-in-the-uk" TargetMode="External"/><Relationship Id="rId391" Type="http://schemas.openxmlformats.org/officeDocument/2006/relationships/hyperlink" Target="http://magnetic-london.co.uk" TargetMode="External"/><Relationship Id="rId390" Type="http://schemas.openxmlformats.org/officeDocument/2006/relationships/hyperlink" Target="https://www.magnetic-london.co.uk/post/best-digital-marketing-agencies-in-the-uk-for-2026-what-they-do-why-it-matters-and-top-picks" TargetMode="External"/><Relationship Id="rId1" Type="http://schemas.openxmlformats.org/officeDocument/2006/relationships/hyperlink" Target="http://we-discover.com" TargetMode="External"/><Relationship Id="rId2" Type="http://schemas.openxmlformats.org/officeDocument/2006/relationships/hyperlink" Target="https://www.vxtx.co.uk/blog/best-performance-marketing-agencies-uk-2026-top-10-ranked" TargetMode="External"/><Relationship Id="rId3" Type="http://schemas.openxmlformats.org/officeDocument/2006/relationships/hyperlink" Target="http://vxtx.co.uk" TargetMode="External"/><Relationship Id="rId4" Type="http://schemas.openxmlformats.org/officeDocument/2006/relationships/hyperlink" Target="https://www.pushgroup.co.uk/blog/top-9-ai-marketing-agencies-in-the-uk" TargetMode="External"/><Relationship Id="rId9" Type="http://schemas.openxmlformats.org/officeDocument/2006/relationships/hyperlink" Target="https://wearehumaine.com/best-ai-first-marketing-agencies-uk-2026/" TargetMode="External"/><Relationship Id="rId385" Type="http://schemas.openxmlformats.org/officeDocument/2006/relationships/hyperlink" Target="http://ecomone.com" TargetMode="External"/><Relationship Id="rId384" Type="http://schemas.openxmlformats.org/officeDocument/2006/relationships/hyperlink" Target="https://www.ecomone.com/insights/best-ppc-agencies/" TargetMode="External"/><Relationship Id="rId383" Type="http://schemas.openxmlformats.org/officeDocument/2006/relationships/hyperlink" Target="http://directiveconsulting.com" TargetMode="External"/><Relationship Id="rId382" Type="http://schemas.openxmlformats.org/officeDocument/2006/relationships/hyperlink" Target="https://directiveconsulting.com/uk/blog/25-best-paid-media-agencies-that-turn-ad-spend-into-revenue/" TargetMode="External"/><Relationship Id="rId5" Type="http://schemas.openxmlformats.org/officeDocument/2006/relationships/hyperlink" Target="http://pushgroup.co.uk" TargetMode="External"/><Relationship Id="rId389" Type="http://schemas.openxmlformats.org/officeDocument/2006/relationships/hyperlink" Target="http://inbeat.co" TargetMode="External"/><Relationship Id="rId6" Type="http://schemas.openxmlformats.org/officeDocument/2006/relationships/hyperlink" Target="https://bind.media/insights/top-25-ppc-agencies-in-the-uk-2025" TargetMode="External"/><Relationship Id="rId388" Type="http://schemas.openxmlformats.org/officeDocument/2006/relationships/hyperlink" Target="https://www.inbeat.co/articles/marketing-agencies-in-uk/" TargetMode="External"/><Relationship Id="rId7" Type="http://schemas.openxmlformats.org/officeDocument/2006/relationships/hyperlink" Target="https://oski.site/blog/sales-and-marketing-analytics-companies-uk/" TargetMode="External"/><Relationship Id="rId387" Type="http://schemas.openxmlformats.org/officeDocument/2006/relationships/hyperlink" Target="http://found.co.uk" TargetMode="External"/><Relationship Id="rId8" Type="http://schemas.openxmlformats.org/officeDocument/2006/relationships/hyperlink" Target="https://open.partners/open-partners-insights/top-ai-marketing-agency-uk/" TargetMode="External"/><Relationship Id="rId386" Type="http://schemas.openxmlformats.org/officeDocument/2006/relationships/hyperlink" Target="https://www.found.co.uk/blog/best-generative-engine-optimisation-agencies/" TargetMode="External"/><Relationship Id="rId381" Type="http://schemas.openxmlformats.org/officeDocument/2006/relationships/hyperlink" Target="http://digitalmarketingsupermarket.com" TargetMode="External"/><Relationship Id="rId380" Type="http://schemas.openxmlformats.org/officeDocument/2006/relationships/hyperlink" Target="https://digitalmarketingsupermarket.com/blog/best-ai-marketing-agencies-2026/" TargetMode="External"/><Relationship Id="rId379" Type="http://schemas.openxmlformats.org/officeDocument/2006/relationships/hyperlink" Target="http://cometly.com" TargetMode="External"/><Relationship Id="rId374" Type="http://schemas.openxmlformats.org/officeDocument/2006/relationships/hyperlink" Target="https://zipdo.co/service/attribution/" TargetMode="External"/><Relationship Id="rId373" Type="http://schemas.openxmlformats.org/officeDocument/2006/relationships/hyperlink" Target="http://warc.com" TargetMode="External"/><Relationship Id="rId372" Type="http://schemas.openxmlformats.org/officeDocument/2006/relationships/hyperlink" Target="https://www.warc.com/en/rankings/creative-100" TargetMode="External"/><Relationship Id="rId371" Type="http://schemas.openxmlformats.org/officeDocument/2006/relationships/hyperlink" Target="http://warc.com" TargetMode="External"/><Relationship Id="rId378" Type="http://schemas.openxmlformats.org/officeDocument/2006/relationships/hyperlink" Target="https://www.cometly.com/post/incrementality-measurement-tool" TargetMode="External"/><Relationship Id="rId377" Type="http://schemas.openxmlformats.org/officeDocument/2006/relationships/hyperlink" Target="http://birdeye.com" TargetMode="External"/><Relationship Id="rId376" Type="http://schemas.openxmlformats.org/officeDocument/2006/relationships/hyperlink" Target="https://birdeye.com/blog/ai-companies-uk/" TargetMode="External"/><Relationship Id="rId375" Type="http://schemas.openxmlformats.org/officeDocument/2006/relationships/hyperlink" Target="http://zipdo.co" TargetMode="External"/><Relationship Id="rId396" Type="http://schemas.openxmlformats.org/officeDocument/2006/relationships/hyperlink" Target="https://www.phable.io/top-branding-agencies/top-branding-agencies-in-the-uk-2025-leaders-in-creative-identity" TargetMode="External"/><Relationship Id="rId395" Type="http://schemas.openxmlformats.org/officeDocument/2006/relationships/hyperlink" Target="http://nutshell.com" TargetMode="External"/><Relationship Id="rId394" Type="http://schemas.openxmlformats.org/officeDocument/2006/relationships/hyperlink" Target="https://www.nutshell.com/blog/top-geo-agencies" TargetMode="External"/><Relationship Id="rId393" Type="http://schemas.openxmlformats.org/officeDocument/2006/relationships/hyperlink" Target="http://ninjapromo.io" TargetMode="External"/><Relationship Id="rId399" Type="http://schemas.openxmlformats.org/officeDocument/2006/relationships/hyperlink" Target="http://phable.io" TargetMode="External"/><Relationship Id="rId398" Type="http://schemas.openxmlformats.org/officeDocument/2006/relationships/hyperlink" Target="https://www.phable.io/top-branding-agencies/top-branding-agencies-in-the-uk-experts-in-building-iconic-identities" TargetMode="External"/><Relationship Id="rId397" Type="http://schemas.openxmlformats.org/officeDocument/2006/relationships/hyperlink" Target="http://phable.io" TargetMode="External"/><Relationship Id="rId808" Type="http://schemas.openxmlformats.org/officeDocument/2006/relationships/hyperlink" Target="https://fueler.io/blog/performance-marketing-agencies-that-prove-roi-with-real-client-results" TargetMode="External"/><Relationship Id="rId807" Type="http://schemas.openxmlformats.org/officeDocument/2006/relationships/hyperlink" Target="http://found.co.uk" TargetMode="External"/><Relationship Id="rId806" Type="http://schemas.openxmlformats.org/officeDocument/2006/relationships/hyperlink" Target="https://www.found.co.uk/blog/top-10-ppc-agencies/" TargetMode="External"/><Relationship Id="rId805" Type="http://schemas.openxmlformats.org/officeDocument/2006/relationships/hyperlink" Target="http://forlinux.co.uk" TargetMode="External"/><Relationship Id="rId809" Type="http://schemas.openxmlformats.org/officeDocument/2006/relationships/hyperlink" Target="http://fueler.io" TargetMode="External"/><Relationship Id="rId800" Type="http://schemas.openxmlformats.org/officeDocument/2006/relationships/hyperlink" Target="https://flypix.ai/geospatial-companies-in-the-uk/" TargetMode="External"/><Relationship Id="rId804" Type="http://schemas.openxmlformats.org/officeDocument/2006/relationships/hyperlink" Target="https://forlinux.co.uk/best-ppc-agencies-in-the-uk-for-scalable-advertising-success" TargetMode="External"/><Relationship Id="rId803" Type="http://schemas.openxmlformats.org/officeDocument/2006/relationships/hyperlink" Target="http://fntmanagement.com" TargetMode="External"/><Relationship Id="rId802" Type="http://schemas.openxmlformats.org/officeDocument/2006/relationships/hyperlink" Target="https://fntmanagement.com/top-marketing-agencies/" TargetMode="External"/><Relationship Id="rId801" Type="http://schemas.openxmlformats.org/officeDocument/2006/relationships/hyperlink" Target="http://flypix.ai" TargetMode="External"/><Relationship Id="rId40" Type="http://schemas.openxmlformats.org/officeDocument/2006/relationships/hyperlink" Target="http://grizzle.io" TargetMode="External"/><Relationship Id="rId42" Type="http://schemas.openxmlformats.org/officeDocument/2006/relationships/hyperlink" Target="http://thesocialshepherd.com" TargetMode="External"/><Relationship Id="rId41" Type="http://schemas.openxmlformats.org/officeDocument/2006/relationships/hyperlink" Target="https://thesocialshepherd.com/blog/top-paid-social-agencies-uk" TargetMode="External"/><Relationship Id="rId44" Type="http://schemas.openxmlformats.org/officeDocument/2006/relationships/hyperlink" Target="http://influencer-hero.com" TargetMode="External"/><Relationship Id="rId43" Type="http://schemas.openxmlformats.org/officeDocument/2006/relationships/hyperlink" Target="https://www.influencer-hero.com/blogs/top-paid-advertising-agencies-in-the-united-kingdom" TargetMode="External"/><Relationship Id="rId46" Type="http://schemas.openxmlformats.org/officeDocument/2006/relationships/hyperlink" Target="http://koozai.com" TargetMode="External"/><Relationship Id="rId45" Type="http://schemas.openxmlformats.org/officeDocument/2006/relationships/hyperlink" Target="https://www.koozai.com/blog/search-marketing/the-best-ai-marketing-agencies-in-the-uk/" TargetMode="External"/><Relationship Id="rId745" Type="http://schemas.openxmlformats.org/officeDocument/2006/relationships/hyperlink" Target="https://www.designity.com/blog/ai-marketing-agency" TargetMode="External"/><Relationship Id="rId744" Type="http://schemas.openxmlformats.org/officeDocument/2006/relationships/hyperlink" Target="http://delve.ai" TargetMode="External"/><Relationship Id="rId743" Type="http://schemas.openxmlformats.org/officeDocument/2006/relationships/hyperlink" Target="https://www.delve.ai/blog/audience-insights-tools" TargetMode="External"/><Relationship Id="rId742" Type="http://schemas.openxmlformats.org/officeDocument/2006/relationships/hyperlink" Target="https://delivix.digital/marketing/marketing-agencies-in-the-uk/" TargetMode="External"/><Relationship Id="rId749" Type="http://schemas.openxmlformats.org/officeDocument/2006/relationships/hyperlink" Target="https://www.devopsschool.com/blog/top-10-brand-tracking-tools-features-pros-cons-comparison/" TargetMode="External"/><Relationship Id="rId748" Type="http://schemas.openxmlformats.org/officeDocument/2006/relationships/hyperlink" Target="http://designrush.com" TargetMode="External"/><Relationship Id="rId747" Type="http://schemas.openxmlformats.org/officeDocument/2006/relationships/hyperlink" Target="https://www.designrush.com/agency/digital-marketing/integrated-marketing" TargetMode="External"/><Relationship Id="rId746" Type="http://schemas.openxmlformats.org/officeDocument/2006/relationships/hyperlink" Target="http://designity.com" TargetMode="External"/><Relationship Id="rId48" Type="http://schemas.openxmlformats.org/officeDocument/2006/relationships/hyperlink" Target="http://nautilusmarketing.co.uk" TargetMode="External"/><Relationship Id="rId47" Type="http://schemas.openxmlformats.org/officeDocument/2006/relationships/hyperlink" Target="https://nautilusmarketing.co.uk/top-15-paid-media-agencies-in-the-uk-2026/" TargetMode="External"/><Relationship Id="rId49" Type="http://schemas.openxmlformats.org/officeDocument/2006/relationships/hyperlink" Target="https://inbeat.agency/blog/top-performance-marketing-agencies-london" TargetMode="External"/><Relationship Id="rId741" Type="http://schemas.openxmlformats.org/officeDocument/2006/relationships/hyperlink" Target="http://dejongphillips.co.uk" TargetMode="External"/><Relationship Id="rId740" Type="http://schemas.openxmlformats.org/officeDocument/2006/relationships/hyperlink" Target="https://www.dejongphillips.co.uk/2023/05/23/five-key-metrics-every-digital-marketing-agency-must-track/" TargetMode="External"/><Relationship Id="rId31" Type="http://schemas.openxmlformats.org/officeDocument/2006/relationships/hyperlink" Target="http://domisearch.com" TargetMode="External"/><Relationship Id="rId30" Type="http://schemas.openxmlformats.org/officeDocument/2006/relationships/hyperlink" Target="https://www.domisearch.com/blog/best-aeo-agencies-uk" TargetMode="External"/><Relationship Id="rId33" Type="http://schemas.openxmlformats.org/officeDocument/2006/relationships/hyperlink" Target="https://www.inbeat.co/articles/top-paid-media-agencies-in-the-uk/" TargetMode="External"/><Relationship Id="rId32" Type="http://schemas.openxmlformats.org/officeDocument/2006/relationships/hyperlink" Target="https://pinpoint-media.global/insights/top-8-paid-media-agencies-in-the-uk" TargetMode="External"/><Relationship Id="rId35" Type="http://schemas.openxmlformats.org/officeDocument/2006/relationships/hyperlink" Target="https://www.tilio.co.uk/blog/the-top-10-ai-search-agencies-in-the-uk-in-2026" TargetMode="External"/><Relationship Id="rId34" Type="http://schemas.openxmlformats.org/officeDocument/2006/relationships/hyperlink" Target="http://inbeat.co" TargetMode="External"/><Relationship Id="rId739" Type="http://schemas.openxmlformats.org/officeDocument/2006/relationships/hyperlink" Target="http://decentriq.com" TargetMode="External"/><Relationship Id="rId734" Type="http://schemas.openxmlformats.org/officeDocument/2006/relationships/hyperlink" Target="https://www.darkroomagency.com/observatory/best-performance-marketing-agencies-in-2026" TargetMode="External"/><Relationship Id="rId733" Type="http://schemas.openxmlformats.org/officeDocument/2006/relationships/hyperlink" Target="http://creativemarketingltd.co.uk" TargetMode="External"/><Relationship Id="rId732" Type="http://schemas.openxmlformats.org/officeDocument/2006/relationships/hyperlink" Target="https://www.creativemarketingltd.co.uk/blog/top-fashion-marketing-agencies" TargetMode="External"/><Relationship Id="rId731" Type="http://schemas.openxmlformats.org/officeDocument/2006/relationships/hyperlink" Target="https://www.creativecorner.studio/blog/best-marketing-agencies-in-europe" TargetMode="External"/><Relationship Id="rId738" Type="http://schemas.openxmlformats.org/officeDocument/2006/relationships/hyperlink" Target="https://www.decentriq.com/article/best-data-management-platforms" TargetMode="External"/><Relationship Id="rId737" Type="http://schemas.openxmlformats.org/officeDocument/2006/relationships/hyperlink" Target="http://dataally.ai" TargetMode="External"/><Relationship Id="rId736" Type="http://schemas.openxmlformats.org/officeDocument/2006/relationships/hyperlink" Target="https://www.dataally.ai/blog/top-paid-media-agencies" TargetMode="External"/><Relationship Id="rId735" Type="http://schemas.openxmlformats.org/officeDocument/2006/relationships/hyperlink" Target="http://darkroomagency.com" TargetMode="External"/><Relationship Id="rId37" Type="http://schemas.openxmlformats.org/officeDocument/2006/relationships/hyperlink" Target="https://firstmotion.com/insights/best-geo-agencies-uk" TargetMode="External"/><Relationship Id="rId36" Type="http://schemas.openxmlformats.org/officeDocument/2006/relationships/hyperlink" Target="http://tilio.co.uk" TargetMode="External"/><Relationship Id="rId39" Type="http://schemas.openxmlformats.org/officeDocument/2006/relationships/hyperlink" Target="https://grizzle.io/blog/best-content-marketing-agencies-uk" TargetMode="External"/><Relationship Id="rId38" Type="http://schemas.openxmlformats.org/officeDocument/2006/relationships/hyperlink" Target="http://firstmotion.com" TargetMode="External"/><Relationship Id="rId730" Type="http://schemas.openxmlformats.org/officeDocument/2006/relationships/hyperlink" Target="http://cornishwebservices.co.uk" TargetMode="External"/><Relationship Id="rId20" Type="http://schemas.openxmlformats.org/officeDocument/2006/relationships/hyperlink" Target="http://influencer-hero.com" TargetMode="External"/><Relationship Id="rId22" Type="http://schemas.openxmlformats.org/officeDocument/2006/relationships/hyperlink" Target="http://clickslice.co.uk" TargetMode="External"/><Relationship Id="rId21" Type="http://schemas.openxmlformats.org/officeDocument/2006/relationships/hyperlink" Target="https://www.clickslice.co.uk/top-aeo-agencies-uk/" TargetMode="External"/><Relationship Id="rId24" Type="http://schemas.openxmlformats.org/officeDocument/2006/relationships/hyperlink" Target="https://www.digitallitmus.com/blog/best-marketing-agencies-uk" TargetMode="External"/><Relationship Id="rId23" Type="http://schemas.openxmlformats.org/officeDocument/2006/relationships/hyperlink" Target="https://bind.media/insights/top-11-google-analytics-agencies-in-the-uk-2025" TargetMode="External"/><Relationship Id="rId767" Type="http://schemas.openxmlformats.org/officeDocument/2006/relationships/hyperlink" Target="https://eakwire.com/top-8-ai-marketing-agencies-tools-strategies/" TargetMode="External"/><Relationship Id="rId766" Type="http://schemas.openxmlformats.org/officeDocument/2006/relationships/hyperlink" Target="http://disruptiveadvertising.com" TargetMode="External"/><Relationship Id="rId765" Type="http://schemas.openxmlformats.org/officeDocument/2006/relationships/hyperlink" Target="https://disruptiveadvertising.com/blog/business/top-us-digital-marketing-agencies/" TargetMode="External"/><Relationship Id="rId764" Type="http://schemas.openxmlformats.org/officeDocument/2006/relationships/hyperlink" Target="http://directiveconsulting.com" TargetMode="External"/><Relationship Id="rId769" Type="http://schemas.openxmlformats.org/officeDocument/2006/relationships/hyperlink" Target="https://easyinsights.ai/blog/first-party-data-activation-platforms/" TargetMode="External"/><Relationship Id="rId768" Type="http://schemas.openxmlformats.org/officeDocument/2006/relationships/hyperlink" Target="http://eakwire.com" TargetMode="External"/><Relationship Id="rId26" Type="http://schemas.openxmlformats.org/officeDocument/2006/relationships/hyperlink" Target="https://digital-landscope.com/best-geo-agencies-in-the-uk/" TargetMode="External"/><Relationship Id="rId25" Type="http://schemas.openxmlformats.org/officeDocument/2006/relationships/hyperlink" Target="http://digitallitmus.com" TargetMode="External"/><Relationship Id="rId28" Type="http://schemas.openxmlformats.org/officeDocument/2006/relationships/hyperlink" Target="https://www.measured.com/faq/best-incrementality-testing-companies-software-for-marketing-2026/" TargetMode="External"/><Relationship Id="rId27" Type="http://schemas.openxmlformats.org/officeDocument/2006/relationships/hyperlink" Target="http://digital-landscope.com" TargetMode="External"/><Relationship Id="rId763" Type="http://schemas.openxmlformats.org/officeDocument/2006/relationships/hyperlink" Target="https://directiveconsulting.com/uk/blog/top-25-b2b-enterprise-marketing-agencies/" TargetMode="External"/><Relationship Id="rId29" Type="http://schemas.openxmlformats.org/officeDocument/2006/relationships/hyperlink" Target="http://measured.com" TargetMode="External"/><Relationship Id="rId762" Type="http://schemas.openxmlformats.org/officeDocument/2006/relationships/hyperlink" Target="http://directiveconsulting.com" TargetMode="External"/><Relationship Id="rId761" Type="http://schemas.openxmlformats.org/officeDocument/2006/relationships/hyperlink" Target="https://directiveconsulting.com/blog/25-best-paid-media-agencies-that-turn-ad-spend-into-revenue/" TargetMode="External"/><Relationship Id="rId760" Type="http://schemas.openxmlformats.org/officeDocument/2006/relationships/hyperlink" Target="http://directiveconsulting.com" TargetMode="External"/><Relationship Id="rId11" Type="http://schemas.openxmlformats.org/officeDocument/2006/relationships/hyperlink" Target="https://www.clickslice.co.uk/top-performance-marketing-agencies/" TargetMode="External"/><Relationship Id="rId10" Type="http://schemas.openxmlformats.org/officeDocument/2006/relationships/hyperlink" Target="http://wearehumaine.com" TargetMode="External"/><Relationship Id="rId13" Type="http://schemas.openxmlformats.org/officeDocument/2006/relationships/hyperlink" Target="https://www.dontpaniclondon.com/blog/best-uk-creative-agencies/" TargetMode="External"/><Relationship Id="rId12" Type="http://schemas.openxmlformats.org/officeDocument/2006/relationships/hyperlink" Target="http://clickslice.co.uk" TargetMode="External"/><Relationship Id="rId756" Type="http://schemas.openxmlformats.org/officeDocument/2006/relationships/hyperlink" Target="http://digitalreference.co" TargetMode="External"/><Relationship Id="rId755" Type="http://schemas.openxmlformats.org/officeDocument/2006/relationships/hyperlink" Target="https://www.digitalreference.co/insights/engineering-professionals/best-ai-machine-learning-consulting-services-in-the-uk" TargetMode="External"/><Relationship Id="rId754" Type="http://schemas.openxmlformats.org/officeDocument/2006/relationships/hyperlink" Target="http://digitallitmus.com" TargetMode="External"/><Relationship Id="rId753" Type="http://schemas.openxmlformats.org/officeDocument/2006/relationships/hyperlink" Target="https://www.digitallitmus.com/blog/best-linkedin-marketing-agencies-for-2024" TargetMode="External"/><Relationship Id="rId759" Type="http://schemas.openxmlformats.org/officeDocument/2006/relationships/hyperlink" Target="https://directiveconsulting.com/blog/25-best-advertising-agencies-built-for-media-momentum/" TargetMode="External"/><Relationship Id="rId758" Type="http://schemas.openxmlformats.org/officeDocument/2006/relationships/hyperlink" Target="http://directiveconsulting.com" TargetMode="External"/><Relationship Id="rId757" Type="http://schemas.openxmlformats.org/officeDocument/2006/relationships/hyperlink" Target="https://directiveconsulting.com/blog/17-leading-llm-agencies-powering-ai-innovation-for-modern-b2b-teams/" TargetMode="External"/><Relationship Id="rId15" Type="http://schemas.openxmlformats.org/officeDocument/2006/relationships/hyperlink" Target="https://www.pushgroup.co.uk/blog/top-9-paid-social-agencies-uk" TargetMode="External"/><Relationship Id="rId14" Type="http://schemas.openxmlformats.org/officeDocument/2006/relationships/hyperlink" Target="http://dontpaniclondon.com" TargetMode="External"/><Relationship Id="rId17" Type="http://schemas.openxmlformats.org/officeDocument/2006/relationships/hyperlink" Target="https://nogood.io/blog/marketing-analytics-agency-uk/" TargetMode="External"/><Relationship Id="rId16" Type="http://schemas.openxmlformats.org/officeDocument/2006/relationships/hyperlink" Target="http://pushgroup.co.uk" TargetMode="External"/><Relationship Id="rId19" Type="http://schemas.openxmlformats.org/officeDocument/2006/relationships/hyperlink" Target="https://www.influencer-hero.com/blogs/top-paid-media-agencies-in-the-united-kingdom" TargetMode="External"/><Relationship Id="rId752" Type="http://schemas.openxmlformats.org/officeDocument/2006/relationships/hyperlink" Target="http://devsdata.com" TargetMode="External"/><Relationship Id="rId18" Type="http://schemas.openxmlformats.org/officeDocument/2006/relationships/hyperlink" Target="http://nogood.io" TargetMode="External"/><Relationship Id="rId751" Type="http://schemas.openxmlformats.org/officeDocument/2006/relationships/hyperlink" Target="https://devsdata.com/digital-analytics-agency-top-firms/" TargetMode="External"/><Relationship Id="rId750" Type="http://schemas.openxmlformats.org/officeDocument/2006/relationships/hyperlink" Target="http://devopsschool.com" TargetMode="External"/><Relationship Id="rId84" Type="http://schemas.openxmlformats.org/officeDocument/2006/relationships/hyperlink" Target="https://www.askattest.com/blog/articles/market-research-companies-uk" TargetMode="External"/><Relationship Id="rId83" Type="http://schemas.openxmlformats.org/officeDocument/2006/relationships/hyperlink" Target="http://rank4ai.co.uk" TargetMode="External"/><Relationship Id="rId86" Type="http://schemas.openxmlformats.org/officeDocument/2006/relationships/hyperlink" Target="https://pinpoint-media.global/insights/top-5-uk-paid-social-agencies-2026" TargetMode="External"/><Relationship Id="rId85" Type="http://schemas.openxmlformats.org/officeDocument/2006/relationships/hyperlink" Target="http://askattest.com" TargetMode="External"/><Relationship Id="rId88" Type="http://schemas.openxmlformats.org/officeDocument/2006/relationships/hyperlink" Target="http://thatware.co" TargetMode="External"/><Relationship Id="rId87" Type="http://schemas.openxmlformats.org/officeDocument/2006/relationships/hyperlink" Target="https://thatware.co/best-aeo-companies-in-uk/" TargetMode="External"/><Relationship Id="rId89" Type="http://schemas.openxmlformats.org/officeDocument/2006/relationships/hyperlink" Target="https://www.vxtx.co.uk/blog/what-is-the-best-performance-marketing-agency-in-the-u-k" TargetMode="External"/><Relationship Id="rId709" Type="http://schemas.openxmlformats.org/officeDocument/2006/relationships/hyperlink" Target="http://cometly.com" TargetMode="External"/><Relationship Id="rId708" Type="http://schemas.openxmlformats.org/officeDocument/2006/relationships/hyperlink" Target="https://www.cometly.com/post/ai-powered-ad-optimization-platform" TargetMode="External"/><Relationship Id="rId707" Type="http://schemas.openxmlformats.org/officeDocument/2006/relationships/hyperlink" Target="http://cometly.com" TargetMode="External"/><Relationship Id="rId706" Type="http://schemas.openxmlformats.org/officeDocument/2006/relationships/hyperlink" Target="https://www.cometly.com/post/agency-marketing-attribution-tools" TargetMode="External"/><Relationship Id="rId80" Type="http://schemas.openxmlformats.org/officeDocument/2006/relationships/hyperlink" Target="http://charleagency.com" TargetMode="External"/><Relationship Id="rId82" Type="http://schemas.openxmlformats.org/officeDocument/2006/relationships/hyperlink" Target="https://www.rank4ai.co.uk/research/rankings/top-geo-agencies-uk-2026/" TargetMode="External"/><Relationship Id="rId81" Type="http://schemas.openxmlformats.org/officeDocument/2006/relationships/hyperlink" Target="https://passion.digital/blog/the-best-generative-engine-optimisation-agencies-in-the-uk-2026/" TargetMode="External"/><Relationship Id="rId701" Type="http://schemas.openxmlformats.org/officeDocument/2006/relationships/hyperlink" Target="http://clickstrike.com" TargetMode="External"/><Relationship Id="rId700" Type="http://schemas.openxmlformats.org/officeDocument/2006/relationships/hyperlink" Target="https://clickstrike.com/blog/ai-marketing-agencies/" TargetMode="External"/><Relationship Id="rId705" Type="http://schemas.openxmlformats.org/officeDocument/2006/relationships/hyperlink" Target="http://colossalinfluence.com" TargetMode="External"/><Relationship Id="rId704" Type="http://schemas.openxmlformats.org/officeDocument/2006/relationships/hyperlink" Target="https://www.colossalinfluence.com/biggest-marketing-agencies-uk/" TargetMode="External"/><Relationship Id="rId703" Type="http://schemas.openxmlformats.org/officeDocument/2006/relationships/hyperlink" Target="http://clutch.co" TargetMode="External"/><Relationship Id="rId702" Type="http://schemas.openxmlformats.org/officeDocument/2006/relationships/hyperlink" Target="https://clutch.co/agencies/performance-marketing%3Fpage%3D0" TargetMode="External"/><Relationship Id="rId73" Type="http://schemas.openxmlformats.org/officeDocument/2006/relationships/hyperlink" Target="https://eseospace.com/blog/best-aeo-agencies-london-2026/" TargetMode="External"/><Relationship Id="rId72" Type="http://schemas.openxmlformats.org/officeDocument/2006/relationships/hyperlink" Target="http://charle.co.uk" TargetMode="External"/><Relationship Id="rId75" Type="http://schemas.openxmlformats.org/officeDocument/2006/relationships/hyperlink" Target="https://www.rebootonline.com/paid-media/best-paid-media-agencies/" TargetMode="External"/><Relationship Id="rId74" Type="http://schemas.openxmlformats.org/officeDocument/2006/relationships/hyperlink" Target="http://eseospace.com" TargetMode="External"/><Relationship Id="rId77" Type="http://schemas.openxmlformats.org/officeDocument/2006/relationships/hyperlink" Target="https://www.wildishandco.co.uk/blog/best-creative-agencies" TargetMode="External"/><Relationship Id="rId76" Type="http://schemas.openxmlformats.org/officeDocument/2006/relationships/hyperlink" Target="http://rebootonline.com" TargetMode="External"/><Relationship Id="rId79" Type="http://schemas.openxmlformats.org/officeDocument/2006/relationships/hyperlink" Target="https://www.charleagency.com/articles/best-geo-agencies-uk/" TargetMode="External"/><Relationship Id="rId78" Type="http://schemas.openxmlformats.org/officeDocument/2006/relationships/hyperlink" Target="http://wildishandco.co.uk" TargetMode="External"/><Relationship Id="rId71" Type="http://schemas.openxmlformats.org/officeDocument/2006/relationships/hyperlink" Target="https://www.charle.co.uk/articles/top-ai-seo-agencies/" TargetMode="External"/><Relationship Id="rId70" Type="http://schemas.openxmlformats.org/officeDocument/2006/relationships/hyperlink" Target="http://pushgroup.co.uk" TargetMode="External"/><Relationship Id="rId62" Type="http://schemas.openxmlformats.org/officeDocument/2006/relationships/hyperlink" Target="https://www.tilio.co.uk/blog/the-ultimate-guide-to-aeo-agencies-in-the-uk-2026" TargetMode="External"/><Relationship Id="rId61" Type="http://schemas.openxmlformats.org/officeDocument/2006/relationships/hyperlink" Target="http://aeoagency.co.uk" TargetMode="External"/><Relationship Id="rId64" Type="http://schemas.openxmlformats.org/officeDocument/2006/relationships/hyperlink" Target="https://www.tilio.co.uk/blog/top-geo-agencies-uk" TargetMode="External"/><Relationship Id="rId63" Type="http://schemas.openxmlformats.org/officeDocument/2006/relationships/hyperlink" Target="http://tilio.co.uk" TargetMode="External"/><Relationship Id="rId66" Type="http://schemas.openxmlformats.org/officeDocument/2006/relationships/hyperlink" Target="https://www.cometly.com/post/marketing-incrementality-testing-tools" TargetMode="External"/><Relationship Id="rId65" Type="http://schemas.openxmlformats.org/officeDocument/2006/relationships/hyperlink" Target="http://tilio.co.uk" TargetMode="External"/><Relationship Id="rId68" Type="http://schemas.openxmlformats.org/officeDocument/2006/relationships/hyperlink" Target="https://www.munro.agency/ai-marketing-agency/" TargetMode="External"/><Relationship Id="rId67" Type="http://schemas.openxmlformats.org/officeDocument/2006/relationships/hyperlink" Target="http://cometly.com" TargetMode="External"/><Relationship Id="rId729" Type="http://schemas.openxmlformats.org/officeDocument/2006/relationships/hyperlink" Target="https://www.cornishwebservices.co.uk/articles/marketing/Top-Digital-Marketing-Agencies-in-the-UK.html" TargetMode="External"/><Relationship Id="rId728" Type="http://schemas.openxmlformats.org/officeDocument/2006/relationships/hyperlink" Target="http://cornishwebservices.co.uk" TargetMode="External"/><Relationship Id="rId60" Type="http://schemas.openxmlformats.org/officeDocument/2006/relationships/hyperlink" Target="https://aeoagency.co.uk/top-aeo-agencies-uk-list/" TargetMode="External"/><Relationship Id="rId723" Type="http://schemas.openxmlformats.org/officeDocument/2006/relationships/hyperlink" Target="http://cometly.com" TargetMode="External"/><Relationship Id="rId722" Type="http://schemas.openxmlformats.org/officeDocument/2006/relationships/hyperlink" Target="https://www.cometly.com/post/tools-for-marketing-analytics" TargetMode="External"/><Relationship Id="rId721" Type="http://schemas.openxmlformats.org/officeDocument/2006/relationships/hyperlink" Target="http://cometly.com" TargetMode="External"/><Relationship Id="rId720" Type="http://schemas.openxmlformats.org/officeDocument/2006/relationships/hyperlink" Target="https://www.cometly.com/post/media-buying-optimization-tool" TargetMode="External"/><Relationship Id="rId727" Type="http://schemas.openxmlformats.org/officeDocument/2006/relationships/hyperlink" Target="https://www.cornishwebservices.co.uk/articles/marketing/Top-10-Social-Media-Agencies-in-the-UK-in-2026.html" TargetMode="External"/><Relationship Id="rId726" Type="http://schemas.openxmlformats.org/officeDocument/2006/relationships/hyperlink" Target="http://coolnerdsmarketing.com" TargetMode="External"/><Relationship Id="rId725" Type="http://schemas.openxmlformats.org/officeDocument/2006/relationships/hyperlink" Target="https://coolnerdsmarketing.com/top-creative-agencies-us/" TargetMode="External"/><Relationship Id="rId724" Type="http://schemas.openxmlformats.org/officeDocument/2006/relationships/hyperlink" Target="https://companies.london/performance-marketing-companies/" TargetMode="External"/><Relationship Id="rId69" Type="http://schemas.openxmlformats.org/officeDocument/2006/relationships/hyperlink" Target="https://www.pushgroup.co.uk/blog/top-9-answer-engine-optimisation-agencies-uk" TargetMode="External"/><Relationship Id="rId51" Type="http://schemas.openxmlformats.org/officeDocument/2006/relationships/hyperlink" Target="https://www.sortlist.co.uk/s/marketing-analytics/london-england-gb" TargetMode="External"/><Relationship Id="rId50" Type="http://schemas.openxmlformats.org/officeDocument/2006/relationships/hyperlink" Target="https://open.partners/open-partners-insights/10-leading-uk-performance-marketing-agencies-that-deliver-proven-roi/" TargetMode="External"/><Relationship Id="rId53" Type="http://schemas.openxmlformats.org/officeDocument/2006/relationships/hyperlink" Target="https://bind.media/insights/top-9-paid-social-agencies-in-the-uk-2025" TargetMode="External"/><Relationship Id="rId52" Type="http://schemas.openxmlformats.org/officeDocument/2006/relationships/hyperlink" Target="http://sortlist.co.uk" TargetMode="External"/><Relationship Id="rId55" Type="http://schemas.openxmlformats.org/officeDocument/2006/relationships/hyperlink" Target="http://disruptmarketing.co" TargetMode="External"/><Relationship Id="rId54" Type="http://schemas.openxmlformats.org/officeDocument/2006/relationships/hyperlink" Target="https://disruptmarketing.co/blog/best-social-media-marketing-agencies/" TargetMode="External"/><Relationship Id="rId57" Type="http://schemas.openxmlformats.org/officeDocument/2006/relationships/hyperlink" Target="http://thesocialshepherd.com" TargetMode="External"/><Relationship Id="rId56" Type="http://schemas.openxmlformats.org/officeDocument/2006/relationships/hyperlink" Target="https://thesocialshepherd.com/blog/paid-media-agencies-uk" TargetMode="External"/><Relationship Id="rId719" Type="http://schemas.openxmlformats.org/officeDocument/2006/relationships/hyperlink" Target="http://cometly.com" TargetMode="External"/><Relationship Id="rId718" Type="http://schemas.openxmlformats.org/officeDocument/2006/relationships/hyperlink" Target="https://www.cometly.com/post/marketing-attribution-platforms-for-agencies" TargetMode="External"/><Relationship Id="rId717" Type="http://schemas.openxmlformats.org/officeDocument/2006/relationships/hyperlink" Target="http://cometly.com" TargetMode="External"/><Relationship Id="rId712" Type="http://schemas.openxmlformats.org/officeDocument/2006/relationships/hyperlink" Target="https://www.cometly.com/post/attribution-tools-for-digital-marketing-agencies" TargetMode="External"/><Relationship Id="rId711" Type="http://schemas.openxmlformats.org/officeDocument/2006/relationships/hyperlink" Target="http://cometly.com" TargetMode="External"/><Relationship Id="rId710" Type="http://schemas.openxmlformats.org/officeDocument/2006/relationships/hyperlink" Target="https://www.cometly.com/post/attribution-platforms-for-agencies" TargetMode="External"/><Relationship Id="rId716" Type="http://schemas.openxmlformats.org/officeDocument/2006/relationships/hyperlink" Target="https://www.cometly.com/post/incrementality-testing-software" TargetMode="External"/><Relationship Id="rId715" Type="http://schemas.openxmlformats.org/officeDocument/2006/relationships/hyperlink" Target="http://cometly.com" TargetMode="External"/><Relationship Id="rId714" Type="http://schemas.openxmlformats.org/officeDocument/2006/relationships/hyperlink" Target="https://www.cometly.com/post/first-party-data-tracking-solutions" TargetMode="External"/><Relationship Id="rId713" Type="http://schemas.openxmlformats.org/officeDocument/2006/relationships/hyperlink" Target="http://cometly.com" TargetMode="External"/><Relationship Id="rId59" Type="http://schemas.openxmlformats.org/officeDocument/2006/relationships/hyperlink" Target="http://pushgroup.co.uk" TargetMode="External"/><Relationship Id="rId58" Type="http://schemas.openxmlformats.org/officeDocument/2006/relationships/hyperlink" Target="https://www.pushgroup.co.uk/blog/top-9-geo-agencies-in-the-uk" TargetMode="External"/><Relationship Id="rId349" Type="http://schemas.openxmlformats.org/officeDocument/2006/relationships/hyperlink" Target="http://copilot-experts.com" TargetMode="External"/><Relationship Id="rId348" Type="http://schemas.openxmlformats.org/officeDocument/2006/relationships/hyperlink" Target="https://copilot-experts.com/top-ai-consulting-firm/" TargetMode="External"/><Relationship Id="rId347" Type="http://schemas.openxmlformats.org/officeDocument/2006/relationships/hyperlink" Target="http://bluearray.co.uk" TargetMode="External"/><Relationship Id="rId346" Type="http://schemas.openxmlformats.org/officeDocument/2006/relationships/hyperlink" Target="https://www.bluearray.co.uk/agency-directory/best-google-analytics-agencies-in-the-uk/" TargetMode="External"/><Relationship Id="rId341" Type="http://schemas.openxmlformats.org/officeDocument/2006/relationships/hyperlink" Target="http://rank4ai.co.uk" TargetMode="External"/><Relationship Id="rId340" Type="http://schemas.openxmlformats.org/officeDocument/2006/relationships/hyperlink" Target="https://www.rank4ai.co.uk/research/rankings/top-ai-seo-agencies-uk-2026/" TargetMode="External"/><Relationship Id="rId345" Type="http://schemas.openxmlformats.org/officeDocument/2006/relationships/hyperlink" Target="http://weframetech.com" TargetMode="External"/><Relationship Id="rId344" Type="http://schemas.openxmlformats.org/officeDocument/2006/relationships/hyperlink" Target="https://weframetech.com/blog/top-ai-marketing-agencies-in-london-2026-for-growth" TargetMode="External"/><Relationship Id="rId343" Type="http://schemas.openxmlformats.org/officeDocument/2006/relationships/hyperlink" Target="http://seo.com" TargetMode="External"/><Relationship Id="rId342" Type="http://schemas.openxmlformats.org/officeDocument/2006/relationships/hyperlink" Target="https://www.seo.com/agency/best-digital-marketing-companies-uk/" TargetMode="External"/><Relationship Id="rId338" Type="http://schemas.openxmlformats.org/officeDocument/2006/relationships/hyperlink" Target="https://www.rank4ai.co.uk/research/rankings/ai-search-agencies-for-small-business-uk/" TargetMode="External"/><Relationship Id="rId337" Type="http://schemas.openxmlformats.org/officeDocument/2006/relationships/hyperlink" Target="http://nautilusmarketing.co.uk" TargetMode="External"/><Relationship Id="rId336" Type="http://schemas.openxmlformats.org/officeDocument/2006/relationships/hyperlink" Target="https://nautilusmarketing.co.uk/top-15-paid-media-agencies-in-the-uk-2025/" TargetMode="External"/><Relationship Id="rId335" Type="http://schemas.openxmlformats.org/officeDocument/2006/relationships/hyperlink" Target="http://loudface.co" TargetMode="External"/><Relationship Id="rId339" Type="http://schemas.openxmlformats.org/officeDocument/2006/relationships/hyperlink" Target="http://rank4ai.co.uk" TargetMode="External"/><Relationship Id="rId330" Type="http://schemas.openxmlformats.org/officeDocument/2006/relationships/hyperlink" Target="https://directiveconsulting.com/uk/blog/top-performance-marketing-agencies/" TargetMode="External"/><Relationship Id="rId334" Type="http://schemas.openxmlformats.org/officeDocument/2006/relationships/hyperlink" Target="https://www.loudface.co/blog/best-aeo-agencies-2026" TargetMode="External"/><Relationship Id="rId333" Type="http://schemas.openxmlformats.org/officeDocument/2006/relationships/hyperlink" Target="http://hikemytraffic.com" TargetMode="External"/><Relationship Id="rId332" Type="http://schemas.openxmlformats.org/officeDocument/2006/relationships/hyperlink" Target="https://hikemytraffic.com/ai-social-media-marketing-agencies-in-uk/" TargetMode="External"/><Relationship Id="rId331" Type="http://schemas.openxmlformats.org/officeDocument/2006/relationships/hyperlink" Target="http://directiveconsulting.com" TargetMode="External"/><Relationship Id="rId370" Type="http://schemas.openxmlformats.org/officeDocument/2006/relationships/hyperlink" Target="https://www.warc.com/en/data-benchmarks/rankings-creative-100-overview" TargetMode="External"/><Relationship Id="rId369" Type="http://schemas.openxmlformats.org/officeDocument/2006/relationships/hyperlink" Target="http://startups.co.uk" TargetMode="External"/><Relationship Id="rId368" Type="http://schemas.openxmlformats.org/officeDocument/2006/relationships/hyperlink" Target="https://startups.co.uk/marketing/best-social-media-marketing-agencies-uk/" TargetMode="External"/><Relationship Id="rId363" Type="http://schemas.openxmlformats.org/officeDocument/2006/relationships/hyperlink" Target="http://rank4ai.co.uk" TargetMode="External"/><Relationship Id="rId362" Type="http://schemas.openxmlformats.org/officeDocument/2006/relationships/hyperlink" Target="https://www.rank4ai.co.uk/research/rankings/best-ai-search-visibility-agencies/" TargetMode="External"/><Relationship Id="rId361" Type="http://schemas.openxmlformats.org/officeDocument/2006/relationships/hyperlink" Target="https://pinpoint-media.global/insights/top-5-performance-growth-agencies-in-the-uk-2026" TargetMode="External"/><Relationship Id="rId360" Type="http://schemas.openxmlformats.org/officeDocument/2006/relationships/hyperlink" Target="http://levelupleads.co.uk" TargetMode="External"/><Relationship Id="rId367" Type="http://schemas.openxmlformats.org/officeDocument/2006/relationships/hyperlink" Target="http://sortlist.com" TargetMode="External"/><Relationship Id="rId366" Type="http://schemas.openxmlformats.org/officeDocument/2006/relationships/hyperlink" Target="https://www.sortlist.com/display-advertising" TargetMode="External"/><Relationship Id="rId365" Type="http://schemas.openxmlformats.org/officeDocument/2006/relationships/hyperlink" Target="http://snowballcreations.com" TargetMode="External"/><Relationship Id="rId364" Type="http://schemas.openxmlformats.org/officeDocument/2006/relationships/hyperlink" Target="https://snowballcreations.com/the-11-top-google-ads-agencies-in-the-uk-2026/" TargetMode="External"/><Relationship Id="rId95" Type="http://schemas.openxmlformats.org/officeDocument/2006/relationships/hyperlink" Target="https://blazonagency.com/post/marketing-agency-uk" TargetMode="External"/><Relationship Id="rId94" Type="http://schemas.openxmlformats.org/officeDocument/2006/relationships/hyperlink" Target="http://whitehat-seo.co.uk" TargetMode="External"/><Relationship Id="rId97" Type="http://schemas.openxmlformats.org/officeDocument/2006/relationships/hyperlink" Target="https://www.koozai.com/blog/marketing-strategy/top-28-digital-marketing-agencies-in-the-uk/" TargetMode="External"/><Relationship Id="rId96" Type="http://schemas.openxmlformats.org/officeDocument/2006/relationships/hyperlink" Target="http://blazonagency.com" TargetMode="External"/><Relationship Id="rId99" Type="http://schemas.openxmlformats.org/officeDocument/2006/relationships/hyperlink" Target="https://sbc-performance.com/blog/best-paid-social-media-agencies-uk/" TargetMode="External"/><Relationship Id="rId98" Type="http://schemas.openxmlformats.org/officeDocument/2006/relationships/hyperlink" Target="http://koozai.com" TargetMode="External"/><Relationship Id="rId91" Type="http://schemas.openxmlformats.org/officeDocument/2006/relationships/hyperlink" Target="https://www.wearetenet.com/blog/ai-seo-agencies-in-london" TargetMode="External"/><Relationship Id="rId90" Type="http://schemas.openxmlformats.org/officeDocument/2006/relationships/hyperlink" Target="http://vxtx.co.uk" TargetMode="External"/><Relationship Id="rId93" Type="http://schemas.openxmlformats.org/officeDocument/2006/relationships/hyperlink" Target="https://whitehat-seo.co.uk/blog/best-ppc-agencies-uk" TargetMode="External"/><Relationship Id="rId92" Type="http://schemas.openxmlformats.org/officeDocument/2006/relationships/hyperlink" Target="http://wearetenet.com" TargetMode="External"/><Relationship Id="rId359" Type="http://schemas.openxmlformats.org/officeDocument/2006/relationships/hyperlink" Target="https://levelupleads.co.uk/best-ai-seo-agency-uk/" TargetMode="External"/><Relationship Id="rId358" Type="http://schemas.openxmlformats.org/officeDocument/2006/relationships/hyperlink" Target="http://lengreo.com" TargetMode="External"/><Relationship Id="rId357" Type="http://schemas.openxmlformats.org/officeDocument/2006/relationships/hyperlink" Target="https://lengreo.com/performance-marketing-agencies-in-the-uk/" TargetMode="External"/><Relationship Id="rId352" Type="http://schemas.openxmlformats.org/officeDocument/2006/relationships/hyperlink" Target="https://www.ft.com/content/dfaff23c-9e47-43f7-8c0f-393939c1c16f" TargetMode="External"/><Relationship Id="rId351" Type="http://schemas.openxmlformats.org/officeDocument/2006/relationships/hyperlink" Target="http://elevateai.co.uk" TargetMode="External"/><Relationship Id="rId350" Type="http://schemas.openxmlformats.org/officeDocument/2006/relationships/hyperlink" Target="https://www.elevateai.co.uk/blog/ai-automation-agencies-uk-2026" TargetMode="External"/><Relationship Id="rId356" Type="http://schemas.openxmlformats.org/officeDocument/2006/relationships/hyperlink" Target="https://inbeat.agency/blog/top-go-to-market-agencies-uk" TargetMode="External"/><Relationship Id="rId355" Type="http://schemas.openxmlformats.org/officeDocument/2006/relationships/hyperlink" Target="http://gulftagline.ae" TargetMode="External"/><Relationship Id="rId354" Type="http://schemas.openxmlformats.org/officeDocument/2006/relationships/hyperlink" Target="https://gulftagline.ae/2025/03/06/the-5-best-advertising-and-marketing-agencies-in-the-uk/" TargetMode="External"/><Relationship Id="rId353" Type="http://schemas.openxmlformats.org/officeDocument/2006/relationships/hyperlink" Target="http://ft.com" TargetMode="External"/><Relationship Id="rId305" Type="http://schemas.openxmlformats.org/officeDocument/2006/relationships/hyperlink" Target="https://www.cornishwebservices.co.uk/articles/marketing/Top-10-PPC-Agencies-in-the-UK-in-2026.html" TargetMode="External"/><Relationship Id="rId789" Type="http://schemas.openxmlformats.org/officeDocument/2006/relationships/hyperlink" Target="https://www.fieldtrip.agency/post/best-creative-agencies-for-global-brands" TargetMode="External"/><Relationship Id="rId304" Type="http://schemas.openxmlformats.org/officeDocument/2006/relationships/hyperlink" Target="http://ampliflow.ai" TargetMode="External"/><Relationship Id="rId788" Type="http://schemas.openxmlformats.org/officeDocument/2006/relationships/hyperlink" Target="http://fibr.ai" TargetMode="External"/><Relationship Id="rId303" Type="http://schemas.openxmlformats.org/officeDocument/2006/relationships/hyperlink" Target="https://ampliflow.ai/blog/best-ai-agencies-uk-2026" TargetMode="External"/><Relationship Id="rId787" Type="http://schemas.openxmlformats.org/officeDocument/2006/relationships/hyperlink" Target="https://fibr.ai/geo/best-generative-engine-optimization-brands-for-ai" TargetMode="External"/><Relationship Id="rId302" Type="http://schemas.openxmlformats.org/officeDocument/2006/relationships/hyperlink" Target="http://wishu.io" TargetMode="External"/><Relationship Id="rId786" Type="http://schemas.openxmlformats.org/officeDocument/2006/relationships/hyperlink" Target="http://fibbler.co" TargetMode="External"/><Relationship Id="rId309" Type="http://schemas.openxmlformats.org/officeDocument/2006/relationships/hyperlink" Target="https://ecomposer.io/blogs/comparison/data-driven-marketing-agencies-uk" TargetMode="External"/><Relationship Id="rId308" Type="http://schemas.openxmlformats.org/officeDocument/2006/relationships/hyperlink" Target="http://dramatik.com" TargetMode="External"/><Relationship Id="rId307" Type="http://schemas.openxmlformats.org/officeDocument/2006/relationships/hyperlink" Target="https://dramatik.com/blog/google-ads-agencies-uk/" TargetMode="External"/><Relationship Id="rId306" Type="http://schemas.openxmlformats.org/officeDocument/2006/relationships/hyperlink" Target="http://cornishwebservices.co.uk" TargetMode="External"/><Relationship Id="rId781" Type="http://schemas.openxmlformats.org/officeDocument/2006/relationships/hyperlink" Target="https://extraordinaryengagement.co.uk/what-are-the-big-four-creative-agencies/" TargetMode="External"/><Relationship Id="rId780" Type="http://schemas.openxmlformats.org/officeDocument/2006/relationships/hyperlink" Target="http://exposureninja.com" TargetMode="External"/><Relationship Id="rId301" Type="http://schemas.openxmlformats.org/officeDocument/2006/relationships/hyperlink" Target="https://wishu.io/the-100-uk-creative-agencies/" TargetMode="External"/><Relationship Id="rId785" Type="http://schemas.openxmlformats.org/officeDocument/2006/relationships/hyperlink" Target="https://www.fibbler.co/blog/b2b-marketing-attribution-software" TargetMode="External"/><Relationship Id="rId300" Type="http://schemas.openxmlformats.org/officeDocument/2006/relationships/hyperlink" Target="http://themanifest.com" TargetMode="External"/><Relationship Id="rId784" Type="http://schemas.openxmlformats.org/officeDocument/2006/relationships/hyperlink" Target="http://factoryjet.com" TargetMode="External"/><Relationship Id="rId783" Type="http://schemas.openxmlformats.org/officeDocument/2006/relationships/hyperlink" Target="https://factoryjet.com/blog/best-seo-agencies-uk" TargetMode="External"/><Relationship Id="rId782" Type="http://schemas.openxmlformats.org/officeDocument/2006/relationships/hyperlink" Target="http://extraordinaryengagement.co.uk" TargetMode="External"/><Relationship Id="rId778" Type="http://schemas.openxmlformats.org/officeDocument/2006/relationships/hyperlink" Target="http://enzuzo.com" TargetMode="External"/><Relationship Id="rId777" Type="http://schemas.openxmlformats.org/officeDocument/2006/relationships/hyperlink" Target="https://www.enzuzo.com/blog/best-performance-marketing-agencies" TargetMode="External"/><Relationship Id="rId776" Type="http://schemas.openxmlformats.org/officeDocument/2006/relationships/hyperlink" Target="http://ecomone.com" TargetMode="External"/><Relationship Id="rId775" Type="http://schemas.openxmlformats.org/officeDocument/2006/relationships/hyperlink" Target="https://www.ecomone.com/insights/top-best-ppc-agencies-in-the-uk-2/" TargetMode="External"/><Relationship Id="rId779" Type="http://schemas.openxmlformats.org/officeDocument/2006/relationships/hyperlink" Target="https://exposureninja.com/blog/best-ai-search-optimisation-agencies/" TargetMode="External"/><Relationship Id="rId770" Type="http://schemas.openxmlformats.org/officeDocument/2006/relationships/hyperlink" Target="http://easyinsights.ai" TargetMode="External"/><Relationship Id="rId774" Type="http://schemas.openxmlformats.org/officeDocument/2006/relationships/hyperlink" Target="http://ecomone.com" TargetMode="External"/><Relationship Id="rId773" Type="http://schemas.openxmlformats.org/officeDocument/2006/relationships/hyperlink" Target="https://www.ecomone.com/insights/best-facebook-advertising-agencies-uk/" TargetMode="External"/><Relationship Id="rId772" Type="http://schemas.openxmlformats.org/officeDocument/2006/relationships/hyperlink" Target="http://ecomone.com" TargetMode="External"/><Relationship Id="rId771" Type="http://schemas.openxmlformats.org/officeDocument/2006/relationships/hyperlink" Target="https://www.ecomone.com/insights/ai-seo-agencies-uk/" TargetMode="External"/><Relationship Id="rId327" Type="http://schemas.openxmlformats.org/officeDocument/2006/relationships/hyperlink" Target="http://zipdo.co" TargetMode="External"/><Relationship Id="rId326" Type="http://schemas.openxmlformats.org/officeDocument/2006/relationships/hyperlink" Target="https://zipdo.co/service/marketing-attribution/" TargetMode="External"/><Relationship Id="rId325" Type="http://schemas.openxmlformats.org/officeDocument/2006/relationships/hyperlink" Target="http://wildishandco.co.uk" TargetMode="External"/><Relationship Id="rId324" Type="http://schemas.openxmlformats.org/officeDocument/2006/relationships/hyperlink" Target="https://www.wildishandco.co.uk/blog/best-creative-agencies-lifestyle-brands-uk" TargetMode="External"/><Relationship Id="rId329" Type="http://schemas.openxmlformats.org/officeDocument/2006/relationships/hyperlink" Target="http://design-intellect.co.uk" TargetMode="External"/><Relationship Id="rId328" Type="http://schemas.openxmlformats.org/officeDocument/2006/relationships/hyperlink" Target="https://www.design-intellect.co.uk/top_50_advertising_marketing_agencies_list.html" TargetMode="External"/><Relationship Id="rId323" Type="http://schemas.openxmlformats.org/officeDocument/2006/relationships/hyperlink" Target="http://superside.com" TargetMode="External"/><Relationship Id="rId322" Type="http://schemas.openxmlformats.org/officeDocument/2006/relationships/hyperlink" Target="https://www.superside.com/blog/creative-agencies-london" TargetMode="External"/><Relationship Id="rId321" Type="http://schemas.openxmlformats.org/officeDocument/2006/relationships/hyperlink" Target="http://softomatesolutions.com" TargetMode="External"/><Relationship Id="rId320" Type="http://schemas.openxmlformats.org/officeDocument/2006/relationships/hyperlink" Target="https://www.softomatesolutions.com/blog/best-ai-strategy-consultants-london/" TargetMode="External"/><Relationship Id="rId316" Type="http://schemas.openxmlformats.org/officeDocument/2006/relationships/hyperlink" Target="https://semnexus.com/top-aeo-agencies-london" TargetMode="External"/><Relationship Id="rId315" Type="http://schemas.openxmlformats.org/officeDocument/2006/relationships/hyperlink" Target="https://pinpoint-media.global/insights/top-10-paid-media-agencies-in-london" TargetMode="External"/><Relationship Id="rId799" Type="http://schemas.openxmlformats.org/officeDocument/2006/relationships/hyperlink" Target="http://flypix.ai" TargetMode="External"/><Relationship Id="rId314" Type="http://schemas.openxmlformats.org/officeDocument/2006/relationships/hyperlink" Target="http://pearllemon.com" TargetMode="External"/><Relationship Id="rId798" Type="http://schemas.openxmlformats.org/officeDocument/2006/relationships/hyperlink" Target="https://flypix.ai/geospatial-companies-in-london/" TargetMode="External"/><Relationship Id="rId313" Type="http://schemas.openxmlformats.org/officeDocument/2006/relationships/hyperlink" Target="https://pearllemon.com/top-paid-media-agencies-uk/" TargetMode="External"/><Relationship Id="rId797" Type="http://schemas.openxmlformats.org/officeDocument/2006/relationships/hyperlink" Target="http://flyingvgroup.com" TargetMode="External"/><Relationship Id="rId319" Type="http://schemas.openxmlformats.org/officeDocument/2006/relationships/hyperlink" Target="http://seoworks.com" TargetMode="External"/><Relationship Id="rId318" Type="http://schemas.openxmlformats.org/officeDocument/2006/relationships/hyperlink" Target="https://www.seoworks.com/lists/20-best-digital-marketing-companies-in-the-uk/" TargetMode="External"/><Relationship Id="rId317" Type="http://schemas.openxmlformats.org/officeDocument/2006/relationships/hyperlink" Target="http://semnexus.com" TargetMode="External"/><Relationship Id="rId792" Type="http://schemas.openxmlformats.org/officeDocument/2006/relationships/hyperlink" Target="https://www.flyingvgroup.com/ai-marketing-agency/" TargetMode="External"/><Relationship Id="rId791" Type="http://schemas.openxmlformats.org/officeDocument/2006/relationships/hyperlink" Target="http://firstmotion.com" TargetMode="External"/><Relationship Id="rId790" Type="http://schemas.openxmlformats.org/officeDocument/2006/relationships/hyperlink" Target="https://firstmotion.com/insights/best-geo-agencies-in-london-10-top-partners-for-ai-search-in-2026" TargetMode="External"/><Relationship Id="rId312" Type="http://schemas.openxmlformats.org/officeDocument/2006/relationships/hyperlink" Target="http://influencer-hero.com" TargetMode="External"/><Relationship Id="rId796" Type="http://schemas.openxmlformats.org/officeDocument/2006/relationships/hyperlink" Target="https://www.flyingvgroup.com/programmatic-agency/" TargetMode="External"/><Relationship Id="rId311" Type="http://schemas.openxmlformats.org/officeDocument/2006/relationships/hyperlink" Target="https://www.influencer-hero.com/de/blogs/top-paid-media-agencies-in-the-united-kingdom" TargetMode="External"/><Relationship Id="rId795" Type="http://schemas.openxmlformats.org/officeDocument/2006/relationships/hyperlink" Target="http://flyingvgroup.com" TargetMode="External"/><Relationship Id="rId310" Type="http://schemas.openxmlformats.org/officeDocument/2006/relationships/hyperlink" Target="http://ecomposer.io" TargetMode="External"/><Relationship Id="rId794" Type="http://schemas.openxmlformats.org/officeDocument/2006/relationships/hyperlink" Target="https://www.flyingvgroup.com/franchise-marketing-agency/" TargetMode="External"/><Relationship Id="rId793" Type="http://schemas.openxmlformats.org/officeDocument/2006/relationships/hyperlink" Target="http://flyingvgroup.com" TargetMode="External"/><Relationship Id="rId297" Type="http://schemas.openxmlformats.org/officeDocument/2006/relationships/hyperlink" Target="https://thedigitalmaze.com/blog/top-10-ppc-agencies-in-the-uk-2026/" TargetMode="External"/><Relationship Id="rId296" Type="http://schemas.openxmlformats.org/officeDocument/2006/relationships/hyperlink" Target="http://swifterm.com" TargetMode="External"/><Relationship Id="rId295" Type="http://schemas.openxmlformats.org/officeDocument/2006/relationships/hyperlink" Target="https://swifterm.com/top-google-ad-agencies-in-the-united-kingdom/" TargetMode="External"/><Relationship Id="rId294" Type="http://schemas.openxmlformats.org/officeDocument/2006/relationships/hyperlink" Target="http://sourceforge.net" TargetMode="External"/><Relationship Id="rId299" Type="http://schemas.openxmlformats.org/officeDocument/2006/relationships/hyperlink" Target="https://themanifest.com/creative/agencies/uk" TargetMode="External"/><Relationship Id="rId298" Type="http://schemas.openxmlformats.org/officeDocument/2006/relationships/hyperlink" Target="http://thedigitalmaze.com" TargetMode="External"/><Relationship Id="rId271" Type="http://schemas.openxmlformats.org/officeDocument/2006/relationships/hyperlink" Target="https://www.topseobrands.com/uk/best-display-advertising-firms-in-uk" TargetMode="External"/><Relationship Id="rId270" Type="http://schemas.openxmlformats.org/officeDocument/2006/relationships/hyperlink" Target="http://tilio.co.uk" TargetMode="External"/><Relationship Id="rId269" Type="http://schemas.openxmlformats.org/officeDocument/2006/relationships/hyperlink" Target="https://tilio.co.uk/blog/best-aeo-agencies-2026-uk" TargetMode="External"/><Relationship Id="rId264" Type="http://schemas.openxmlformats.org/officeDocument/2006/relationships/hyperlink" Target="http://rankshift.ai" TargetMode="External"/><Relationship Id="rId263" Type="http://schemas.openxmlformats.org/officeDocument/2006/relationships/hyperlink" Target="https://www.rankshift.ai/blog/best-geo-agencies/" TargetMode="External"/><Relationship Id="rId262" Type="http://schemas.openxmlformats.org/officeDocument/2006/relationships/hyperlink" Target="http://rank4ai.co.uk" TargetMode="External"/><Relationship Id="rId261" Type="http://schemas.openxmlformats.org/officeDocument/2006/relationships/hyperlink" Target="https://www.rank4ai.co.uk/research/rankings/best-ai-seo-agencies-uk/" TargetMode="External"/><Relationship Id="rId268" Type="http://schemas.openxmlformats.org/officeDocument/2006/relationships/hyperlink" Target="http://superhub.biz" TargetMode="External"/><Relationship Id="rId267" Type="http://schemas.openxmlformats.org/officeDocument/2006/relationships/hyperlink" Target="https://www.superhub.biz/top-5-aeo-and-geo-agencies-uk-2026" TargetMode="External"/><Relationship Id="rId266" Type="http://schemas.openxmlformats.org/officeDocument/2006/relationships/hyperlink" Target="http://segmentstream.com" TargetMode="External"/><Relationship Id="rId265" Type="http://schemas.openxmlformats.org/officeDocument/2006/relationships/hyperlink" Target="https://segmentstream.com/blog/articles/top-10-incrementality-testing-tools" TargetMode="External"/><Relationship Id="rId260" Type="http://schemas.openxmlformats.org/officeDocument/2006/relationships/hyperlink" Target="http://margen.net" TargetMode="External"/><Relationship Id="rId259" Type="http://schemas.openxmlformats.org/officeDocument/2006/relationships/hyperlink" Target="https://www.margen.net/best-geo-agencies-uk-2026-the-complete-comparison-guide/" TargetMode="External"/><Relationship Id="rId258" Type="http://schemas.openxmlformats.org/officeDocument/2006/relationships/hyperlink" Target="http://limeup.io" TargetMode="External"/><Relationship Id="rId253" Type="http://schemas.openxmlformats.org/officeDocument/2006/relationships/hyperlink" Target="https://www.gwi.com/blog/market-research-companies-uk" TargetMode="External"/><Relationship Id="rId252" Type="http://schemas.openxmlformats.org/officeDocument/2006/relationships/hyperlink" Target="http://gambitagency.co.uk" TargetMode="External"/><Relationship Id="rId251" Type="http://schemas.openxmlformats.org/officeDocument/2006/relationships/hyperlink" Target="https://www.gambitagency.co.uk/blog/10-best-paid-social-agencies" TargetMode="External"/><Relationship Id="rId250" Type="http://schemas.openxmlformats.org/officeDocument/2006/relationships/hyperlink" Target="http://expertsure.com" TargetMode="External"/><Relationship Id="rId257" Type="http://schemas.openxmlformats.org/officeDocument/2006/relationships/hyperlink" Target="https://limeup.io/blog/digital-marketing-agency/" TargetMode="External"/><Relationship Id="rId256" Type="http://schemas.openxmlformats.org/officeDocument/2006/relationships/hyperlink" Target="http://icreativez.com" TargetMode="External"/><Relationship Id="rId255" Type="http://schemas.openxmlformats.org/officeDocument/2006/relationships/hyperlink" Target="https://www.icreativez.com/marketing-companies-by-country/industry-leading-digital-marketing-partners-uk-2026.html" TargetMode="External"/><Relationship Id="rId254" Type="http://schemas.openxmlformats.org/officeDocument/2006/relationships/hyperlink" Target="http://gwi.com" TargetMode="External"/><Relationship Id="rId293" Type="http://schemas.openxmlformats.org/officeDocument/2006/relationships/hyperlink" Target="https://sourceforge.net/software/incrementality-testing/uk/" TargetMode="External"/><Relationship Id="rId292" Type="http://schemas.openxmlformats.org/officeDocument/2006/relationships/hyperlink" Target="http://seoworks.com" TargetMode="External"/><Relationship Id="rId291" Type="http://schemas.openxmlformats.org/officeDocument/2006/relationships/hyperlink" Target="https://www.seoworks.com/lists/best-aeo-answer-engine-optimisation-agencies/" TargetMode="External"/><Relationship Id="rId290" Type="http://schemas.openxmlformats.org/officeDocument/2006/relationships/hyperlink" Target="http://joinupscale.com" TargetMode="External"/><Relationship Id="rId286" Type="http://schemas.openxmlformats.org/officeDocument/2006/relationships/hyperlink" Target="http://gripped.io" TargetMode="External"/><Relationship Id="rId285" Type="http://schemas.openxmlformats.org/officeDocument/2006/relationships/hyperlink" Target="https://gripped.io/b2b-marketing/top-marketing-agencies-uk/" TargetMode="External"/><Relationship Id="rId284" Type="http://schemas.openxmlformats.org/officeDocument/2006/relationships/hyperlink" Target="http://factoryjet.com" TargetMode="External"/><Relationship Id="rId283" Type="http://schemas.openxmlformats.org/officeDocument/2006/relationships/hyperlink" Target="https://factoryjet.com/blog/best-ai-seo-agencies-uk" TargetMode="External"/><Relationship Id="rId289" Type="http://schemas.openxmlformats.org/officeDocument/2006/relationships/hyperlink" Target="https://joinupscale.com/blog/top-google-shopping-ads-agencies-uk/" TargetMode="External"/><Relationship Id="rId288" Type="http://schemas.openxmlformats.org/officeDocument/2006/relationships/hyperlink" Target="http://hockeystack.com" TargetMode="External"/><Relationship Id="rId287" Type="http://schemas.openxmlformats.org/officeDocument/2006/relationships/hyperlink" Target="https://www.hockeystack.com/blog-posts/best-marketing-attribution-software" TargetMode="External"/><Relationship Id="rId282" Type="http://schemas.openxmlformats.org/officeDocument/2006/relationships/hyperlink" Target="http://ecomone.com" TargetMode="External"/><Relationship Id="rId281" Type="http://schemas.openxmlformats.org/officeDocument/2006/relationships/hyperlink" Target="https://www.ecomone.com/insights/top-geo-agencies-uk/" TargetMode="External"/><Relationship Id="rId280" Type="http://schemas.openxmlformats.org/officeDocument/2006/relationships/hyperlink" Target="http://digitalreference.co" TargetMode="External"/><Relationship Id="rId275" Type="http://schemas.openxmlformats.org/officeDocument/2006/relationships/hyperlink" Target="https://www.bluearray.co.uk/agency-directory/best-paid-social-agencies-in-the-uk/" TargetMode="External"/><Relationship Id="rId274" Type="http://schemas.openxmlformats.org/officeDocument/2006/relationships/hyperlink" Target="http://beomniscient.com" TargetMode="External"/><Relationship Id="rId273" Type="http://schemas.openxmlformats.org/officeDocument/2006/relationships/hyperlink" Target="https://beomniscient.com/blog/best-ai-marketing-agencies/" TargetMode="External"/><Relationship Id="rId272" Type="http://schemas.openxmlformats.org/officeDocument/2006/relationships/hyperlink" Target="http://topseobrands.com" TargetMode="External"/><Relationship Id="rId279" Type="http://schemas.openxmlformats.org/officeDocument/2006/relationships/hyperlink" Target="https://www.digitalreference.co/insights/marketing-professionals/best-digital-marketing-agencies-companies-in-uk" TargetMode="External"/><Relationship Id="rId278" Type="http://schemas.openxmlformats.org/officeDocument/2006/relationships/hyperlink" Target="http://clickslice.co.uk" TargetMode="External"/><Relationship Id="rId277" Type="http://schemas.openxmlformats.org/officeDocument/2006/relationships/hyperlink" Target="https://www.clickslice.co.uk/top-answer-engine-optimisation-agencies-uk/" TargetMode="External"/><Relationship Id="rId276" Type="http://schemas.openxmlformats.org/officeDocument/2006/relationships/hyperlink" Target="http://bluearray.co.uk" TargetMode="External"/><Relationship Id="rId629" Type="http://schemas.openxmlformats.org/officeDocument/2006/relationships/hyperlink" Target="http://aigeo360.com" TargetMode="External"/><Relationship Id="rId624" Type="http://schemas.openxmlformats.org/officeDocument/2006/relationships/hyperlink" Target="https://aeo-rex.com/blog/best-aeo-agencies-uk-2026" TargetMode="External"/><Relationship Id="rId623" Type="http://schemas.openxmlformats.org/officeDocument/2006/relationships/hyperlink" Target="http://adzooma.com" TargetMode="External"/><Relationship Id="rId622" Type="http://schemas.openxmlformats.org/officeDocument/2006/relationships/hyperlink" Target="https://adzooma.com/blog/top-10-advertising-agencies-in-the-uk/" TargetMode="External"/><Relationship Id="rId621" Type="http://schemas.openxmlformats.org/officeDocument/2006/relationships/hyperlink" Target="http://adstellar.ai" TargetMode="External"/><Relationship Id="rId628" Type="http://schemas.openxmlformats.org/officeDocument/2006/relationships/hyperlink" Target="https://aigeo360.com/gis-companies-in-uk/" TargetMode="External"/><Relationship Id="rId627" Type="http://schemas.openxmlformats.org/officeDocument/2006/relationships/hyperlink" Target="http://aiblmedia.com" TargetMode="External"/><Relationship Id="rId626" Type="http://schemas.openxmlformats.org/officeDocument/2006/relationships/hyperlink" Target="https://aiblmedia.com/posts/ai-readiness-assessment/" TargetMode="External"/><Relationship Id="rId625" Type="http://schemas.openxmlformats.org/officeDocument/2006/relationships/hyperlink" Target="http://aeo-rex.com" TargetMode="External"/><Relationship Id="rId620" Type="http://schemas.openxmlformats.org/officeDocument/2006/relationships/hyperlink" Target="https://www.adstellar.ai/blog/media-buying-automation-tools" TargetMode="External"/><Relationship Id="rId619" Type="http://schemas.openxmlformats.org/officeDocument/2006/relationships/hyperlink" Target="https://www.303.london/blog/top-creative-agencies-uk" TargetMode="External"/><Relationship Id="rId618" Type="http://schemas.openxmlformats.org/officeDocument/2006/relationships/hyperlink" Target="http://20northmarketing.com" TargetMode="External"/><Relationship Id="rId613" Type="http://schemas.openxmlformats.org/officeDocument/2006/relationships/hyperlink" Target="https://www.webtonic.io/blog/top-conversion-rate-optimisation-agencies-london" TargetMode="External"/><Relationship Id="rId612" Type="http://schemas.openxmlformats.org/officeDocument/2006/relationships/hyperlink" Target="http://topseobrands.com" TargetMode="External"/><Relationship Id="rId611" Type="http://schemas.openxmlformats.org/officeDocument/2006/relationships/hyperlink" Target="https://www.topseobrands.com/uk/best-display-advertising-firms-in-uk/page/8" TargetMode="External"/><Relationship Id="rId610" Type="http://schemas.openxmlformats.org/officeDocument/2006/relationships/hyperlink" Target="http://thetechfounders.co.uk" TargetMode="External"/><Relationship Id="rId617" Type="http://schemas.openxmlformats.org/officeDocument/2006/relationships/hyperlink" Target="https://www.20northmarketing.com/blog/top-ai-optimization-agencies" TargetMode="External"/><Relationship Id="rId616" Type="http://schemas.openxmlformats.org/officeDocument/2006/relationships/hyperlink" Target="http://webtonic.io" TargetMode="External"/><Relationship Id="rId615" Type="http://schemas.openxmlformats.org/officeDocument/2006/relationships/hyperlink" Target="https://www.webtonic.io/blog/top-social-media-agencies-uk" TargetMode="External"/><Relationship Id="rId614" Type="http://schemas.openxmlformats.org/officeDocument/2006/relationships/hyperlink" Target="http://webtonic.io" TargetMode="External"/><Relationship Id="rId646" Type="http://schemas.openxmlformats.org/officeDocument/2006/relationships/hyperlink" Target="https://www.b2bmarketing.net/top-10-uk-marketing-agencies-blog/" TargetMode="External"/><Relationship Id="rId645" Type="http://schemas.openxmlformats.org/officeDocument/2006/relationships/hyperlink" Target="http://awarenessai.co.uk" TargetMode="External"/><Relationship Id="rId644" Type="http://schemas.openxmlformats.org/officeDocument/2006/relationships/hyperlink" Target="https://www.awarenessai.co.uk/blogs/top-geo-and-ai-visibility-agencies-in-the-uk-2026" TargetMode="External"/><Relationship Id="rId643" Type="http://schemas.openxmlformats.org/officeDocument/2006/relationships/hyperlink" Target="http://auditynow.com" TargetMode="External"/><Relationship Id="rId649" Type="http://schemas.openxmlformats.org/officeDocument/2006/relationships/hyperlink" Target="http://belkins.io" TargetMode="External"/><Relationship Id="rId648" Type="http://schemas.openxmlformats.org/officeDocument/2006/relationships/hyperlink" Target="https://belkins.io/blog/best-appointment-setting-companies-uk" TargetMode="External"/><Relationship Id="rId647" Type="http://schemas.openxmlformats.org/officeDocument/2006/relationships/hyperlink" Target="http://b2bmarketing.net" TargetMode="External"/><Relationship Id="rId642" Type="http://schemas.openxmlformats.org/officeDocument/2006/relationships/hyperlink" Target="https://auditynow.com/blog/best-ai-readiness-assessment-tools" TargetMode="External"/><Relationship Id="rId641" Type="http://schemas.openxmlformats.org/officeDocument/2006/relationships/hyperlink" Target="http://appearonline.co.uk" TargetMode="External"/><Relationship Id="rId640" Type="http://schemas.openxmlformats.org/officeDocument/2006/relationships/hyperlink" Target="https://www.appearonline.co.uk/blog/best-uk-digital-marketing-agencies" TargetMode="External"/><Relationship Id="rId635" Type="http://schemas.openxmlformats.org/officeDocument/2006/relationships/hyperlink" Target="http://altorise.com" TargetMode="External"/><Relationship Id="rId634" Type="http://schemas.openxmlformats.org/officeDocument/2006/relationships/hyperlink" Target="https://altorise.com/hub/content-marketing-agency-in-london/" TargetMode="External"/><Relationship Id="rId633" Type="http://schemas.openxmlformats.org/officeDocument/2006/relationships/hyperlink" Target="http://alexbirkett.com" TargetMode="External"/><Relationship Id="rId632" Type="http://schemas.openxmlformats.org/officeDocument/2006/relationships/hyperlink" Target="https://alexbirkett.com/digital-pr-agencies/" TargetMode="External"/><Relationship Id="rId639" Type="http://schemas.openxmlformats.org/officeDocument/2006/relationships/hyperlink" Target="http://amraandelma.com" TargetMode="External"/><Relationship Id="rId638" Type="http://schemas.openxmlformats.org/officeDocument/2006/relationships/hyperlink" Target="https://www.amraandelma.com/sports-social-media-management-agencies/" TargetMode="External"/><Relationship Id="rId637" Type="http://schemas.openxmlformats.org/officeDocument/2006/relationships/hyperlink" Target="http://amraandelma.com" TargetMode="External"/><Relationship Id="rId636" Type="http://schemas.openxmlformats.org/officeDocument/2006/relationships/hyperlink" Target="https://www.amraandelma.com/influencer-growth-agencies-in-the-us/" TargetMode="External"/><Relationship Id="rId631" Type="http://schemas.openxmlformats.org/officeDocument/2006/relationships/hyperlink" Target="http://aimerce.ai" TargetMode="External"/><Relationship Id="rId630" Type="http://schemas.openxmlformats.org/officeDocument/2006/relationships/hyperlink" Target="https://www.aimerce.ai/blogs/seo/top-5-incrementality-testing-tools-for-dtc-brands-in-2026" TargetMode="External"/><Relationship Id="rId609" Type="http://schemas.openxmlformats.org/officeDocument/2006/relationships/hyperlink" Target="https://thetechfounders.co.uk/guides/10-best-ai-readiness-assessment-platforms-available-in-2026/" TargetMode="External"/><Relationship Id="rId608" Type="http://schemas.openxmlformats.org/officeDocument/2006/relationships/hyperlink" Target="http://thegrowthsyndicate.com" TargetMode="External"/><Relationship Id="rId607" Type="http://schemas.openxmlformats.org/officeDocument/2006/relationships/hyperlink" Target="https://www.thegrowthsyndicate.com/agencies/best-b2b-digital-marketing-agencies-uk" TargetMode="External"/><Relationship Id="rId602" Type="http://schemas.openxmlformats.org/officeDocument/2006/relationships/hyperlink" Target="http://superbcompanies.com" TargetMode="External"/><Relationship Id="rId601" Type="http://schemas.openxmlformats.org/officeDocument/2006/relationships/hyperlink" Target="https://superbcompanies.com/categories/digital-marketing-companies-in-the-uk/" TargetMode="External"/><Relationship Id="rId600" Type="http://schemas.openxmlformats.org/officeDocument/2006/relationships/hyperlink" Target="http://sourceloop.ai" TargetMode="External"/><Relationship Id="rId606" Type="http://schemas.openxmlformats.org/officeDocument/2006/relationships/hyperlink" Target="http://thedrum.com" TargetMode="External"/><Relationship Id="rId605" Type="http://schemas.openxmlformats.org/officeDocument/2006/relationships/hyperlink" Target="https://www.thedrum.com/lists/world-creative-rankings/companies/the-most-awarded-agencies-uk-ireland/2026" TargetMode="External"/><Relationship Id="rId604" Type="http://schemas.openxmlformats.org/officeDocument/2006/relationships/hyperlink" Target="http://thatware.co" TargetMode="External"/><Relationship Id="rId603" Type="http://schemas.openxmlformats.org/officeDocument/2006/relationships/hyperlink" Target="https://thatware.co/top-10-seo-companies-in-uk/" TargetMode="External"/><Relationship Id="rId1059" Type="http://schemas.openxmlformats.org/officeDocument/2006/relationships/hyperlink" Target="http://weareqry.com" TargetMode="External"/><Relationship Id="rId228" Type="http://schemas.openxmlformats.org/officeDocument/2006/relationships/hyperlink" Target="https://thesocialshepherd.com/blog/top-social-media-agencies-uk" TargetMode="External"/><Relationship Id="rId227" Type="http://schemas.openxmlformats.org/officeDocument/2006/relationships/hyperlink" Target="http://superhub.biz" TargetMode="External"/><Relationship Id="rId226" Type="http://schemas.openxmlformats.org/officeDocument/2006/relationships/hyperlink" Target="https://www.superhub.biz/top-7-performance-marketing-companies-uk-2026" TargetMode="External"/><Relationship Id="rId225" Type="http://schemas.openxmlformats.org/officeDocument/2006/relationships/hyperlink" Target="http://sorttheclicks.com" TargetMode="External"/><Relationship Id="rId229" Type="http://schemas.openxmlformats.org/officeDocument/2006/relationships/hyperlink" Target="http://thesocialshepherd.com" TargetMode="External"/><Relationship Id="rId1050" Type="http://schemas.openxmlformats.org/officeDocument/2006/relationships/hyperlink" Target="https://visionone.co.uk/news/top-market-research-companies-in-the-uk-2026/" TargetMode="External"/><Relationship Id="rId220" Type="http://schemas.openxmlformats.org/officeDocument/2006/relationships/hyperlink" Target="https://marketingsignals.com/best-digital-marketing-agency-2026-the-top-uk-full-service-agencies-ranked/" TargetMode="External"/><Relationship Id="rId1051" Type="http://schemas.openxmlformats.org/officeDocument/2006/relationships/hyperlink" Target="http://visionone.co.uk" TargetMode="External"/><Relationship Id="rId1052" Type="http://schemas.openxmlformats.org/officeDocument/2006/relationships/hyperlink" Target="https://www.visuosofts.com/blog/top-digital-marketing-agencies-in-the-uk-2026-the-complete-comparison-guide" TargetMode="External"/><Relationship Id="rId1053" Type="http://schemas.openxmlformats.org/officeDocument/2006/relationships/hyperlink" Target="http://visuosofts.com" TargetMode="External"/><Relationship Id="rId1054" Type="http://schemas.openxmlformats.org/officeDocument/2006/relationships/hyperlink" Target="https://wamdigital.com/blog/top-5-creative-and-web-development-agencies-for-scalable-production-in-2026" TargetMode="External"/><Relationship Id="rId224" Type="http://schemas.openxmlformats.org/officeDocument/2006/relationships/hyperlink" Target="https://sorttheclicks.com/insights/best-uk-geo-agencies-2026/" TargetMode="External"/><Relationship Id="rId1055" Type="http://schemas.openxmlformats.org/officeDocument/2006/relationships/hyperlink" Target="http://wamdigital.com" TargetMode="External"/><Relationship Id="rId223" Type="http://schemas.openxmlformats.org/officeDocument/2006/relationships/hyperlink" Target="http://seocompare.co.uk" TargetMode="External"/><Relationship Id="rId1056" Type="http://schemas.openxmlformats.org/officeDocument/2006/relationships/hyperlink" Target="https://www.weareamnet.com/blog/choosing-the-right-creative-production-agency/" TargetMode="External"/><Relationship Id="rId222" Type="http://schemas.openxmlformats.org/officeDocument/2006/relationships/hyperlink" Target="https://seocompare.co.uk/ai-seo-agency-uk/" TargetMode="External"/><Relationship Id="rId1057" Type="http://schemas.openxmlformats.org/officeDocument/2006/relationships/hyperlink" Target="http://weareamnet.com" TargetMode="External"/><Relationship Id="rId221" Type="http://schemas.openxmlformats.org/officeDocument/2006/relationships/hyperlink" Target="http://marketingsignals.com" TargetMode="External"/><Relationship Id="rId1058" Type="http://schemas.openxmlformats.org/officeDocument/2006/relationships/hyperlink" Target="https://www.weareqry.com/blog/best-paid-media-agencies" TargetMode="External"/><Relationship Id="rId1048" Type="http://schemas.openxmlformats.org/officeDocument/2006/relationships/hyperlink" Target="https://virayo.com/blog/b2b-seo-agencies" TargetMode="External"/><Relationship Id="rId1049" Type="http://schemas.openxmlformats.org/officeDocument/2006/relationships/hyperlink" Target="http://virayo.com" TargetMode="External"/><Relationship Id="rId217" Type="http://schemas.openxmlformats.org/officeDocument/2006/relationships/hyperlink" Target="http://creativebrief.com" TargetMode="External"/><Relationship Id="rId216" Type="http://schemas.openxmlformats.org/officeDocument/2006/relationships/hyperlink" Target="https://www.creativebrief.com/top-30/agencies" TargetMode="External"/><Relationship Id="rId215" Type="http://schemas.openxmlformats.org/officeDocument/2006/relationships/hyperlink" Target="http://coolnerdsmarketing.com" TargetMode="External"/><Relationship Id="rId699" Type="http://schemas.openxmlformats.org/officeDocument/2006/relationships/hyperlink" Target="http://clickslice.co.uk" TargetMode="External"/><Relationship Id="rId214" Type="http://schemas.openxmlformats.org/officeDocument/2006/relationships/hyperlink" Target="https://coolnerdsmarketing.com/top-creative-agencies-uk/" TargetMode="External"/><Relationship Id="rId698" Type="http://schemas.openxmlformats.org/officeDocument/2006/relationships/hyperlink" Target="https://www.clickslice.co.uk/roi-focused-ecommerce-seo-agencies/" TargetMode="External"/><Relationship Id="rId219" Type="http://schemas.openxmlformats.org/officeDocument/2006/relationships/hyperlink" Target="http://linkedin.com" TargetMode="External"/><Relationship Id="rId218" Type="http://schemas.openxmlformats.org/officeDocument/2006/relationships/hyperlink" Target="https://www.linkedin.com/pulse/top-performance-marketing-agencies-uk-steve-walker-mrjxe" TargetMode="External"/><Relationship Id="rId693" Type="http://schemas.openxmlformats.org/officeDocument/2006/relationships/hyperlink" Target="http://clicksgeek.com" TargetMode="External"/><Relationship Id="rId1040" Type="http://schemas.openxmlformats.org/officeDocument/2006/relationships/hyperlink" Target="https://www.trendygrandad.com/blog/top-5-performance-creative-agencies-sept-2024" TargetMode="External"/><Relationship Id="rId692" Type="http://schemas.openxmlformats.org/officeDocument/2006/relationships/hyperlink" Target="https://clicksgeek.com/best-roi-marketing-agencies/" TargetMode="External"/><Relationship Id="rId1041" Type="http://schemas.openxmlformats.org/officeDocument/2006/relationships/hyperlink" Target="http://trendygrandad.com" TargetMode="External"/><Relationship Id="rId691" Type="http://schemas.openxmlformats.org/officeDocument/2006/relationships/hyperlink" Target="http://clicksgeek.com" TargetMode="External"/><Relationship Id="rId1042" Type="http://schemas.openxmlformats.org/officeDocument/2006/relationships/hyperlink" Target="https://www.tripledart.com/ai-seo/ai-seo-agencies" TargetMode="External"/><Relationship Id="rId690" Type="http://schemas.openxmlformats.org/officeDocument/2006/relationships/hyperlink" Target="https://clicksgeek.com/best-roi-focused-marketing-agency/" TargetMode="External"/><Relationship Id="rId1043" Type="http://schemas.openxmlformats.org/officeDocument/2006/relationships/hyperlink" Target="http://tripledart.com" TargetMode="External"/><Relationship Id="rId213" Type="http://schemas.openxmlformats.org/officeDocument/2006/relationships/hyperlink" Target="http://consultancy.uk" TargetMode="External"/><Relationship Id="rId697" Type="http://schemas.openxmlformats.org/officeDocument/2006/relationships/hyperlink" Target="http://clickslice.co.uk" TargetMode="External"/><Relationship Id="rId1044" Type="http://schemas.openxmlformats.org/officeDocument/2006/relationships/hyperlink" Target="https://www.updigital.co.uk/the-top-5-bristol-ppc-agencies-in-2026/" TargetMode="External"/><Relationship Id="rId212" Type="http://schemas.openxmlformats.org/officeDocument/2006/relationships/hyperlink" Target="https://www.consultancy.uk/rankings/top-consulting-firms-in-the-uk-by-area-of-expertise/ai-genai" TargetMode="External"/><Relationship Id="rId696" Type="http://schemas.openxmlformats.org/officeDocument/2006/relationships/hyperlink" Target="https://www.clickslice.co.uk/recommended-aeo-agencies-for-ai-visibility/" TargetMode="External"/><Relationship Id="rId1045" Type="http://schemas.openxmlformats.org/officeDocument/2006/relationships/hyperlink" Target="http://updigital.co.uk" TargetMode="External"/><Relationship Id="rId211" Type="http://schemas.openxmlformats.org/officeDocument/2006/relationships/hyperlink" Target="http://cometly.com" TargetMode="External"/><Relationship Id="rId695" Type="http://schemas.openxmlformats.org/officeDocument/2006/relationships/hyperlink" Target="http://clickslice.co.uk" TargetMode="External"/><Relationship Id="rId1046" Type="http://schemas.openxmlformats.org/officeDocument/2006/relationships/hyperlink" Target="https://vibebranding.com/blog/best-performance-marketing-agencies/" TargetMode="External"/><Relationship Id="rId210" Type="http://schemas.openxmlformats.org/officeDocument/2006/relationships/hyperlink" Target="https://www.cometly.com/post/marketing-attribution-consultant-services" TargetMode="External"/><Relationship Id="rId694" Type="http://schemas.openxmlformats.org/officeDocument/2006/relationships/hyperlink" Target="https://www.clickslice.co.uk/best-ecommerce-seo-agencies-uk/" TargetMode="External"/><Relationship Id="rId1047" Type="http://schemas.openxmlformats.org/officeDocument/2006/relationships/hyperlink" Target="http://vibebranding.com" TargetMode="External"/><Relationship Id="rId249" Type="http://schemas.openxmlformats.org/officeDocument/2006/relationships/hyperlink" Target="https://www.expertsure.com/uk/ai-tools/best-ai-consultants/" TargetMode="External"/><Relationship Id="rId248" Type="http://schemas.openxmlformats.org/officeDocument/2006/relationships/hyperlink" Target="http://clickslice.co.uk" TargetMode="External"/><Relationship Id="rId247" Type="http://schemas.openxmlformats.org/officeDocument/2006/relationships/hyperlink" Target="https://www.clickslice.co.uk/best-ai-aeo-agencies-uk/" TargetMode="External"/><Relationship Id="rId1070" Type="http://schemas.openxmlformats.org/officeDocument/2006/relationships/hyperlink" Target="https://worldmetrics.org/service/ai-adoption/" TargetMode="External"/><Relationship Id="rId1071" Type="http://schemas.openxmlformats.org/officeDocument/2006/relationships/hyperlink" Target="http://worldmetrics.org" TargetMode="External"/><Relationship Id="rId1072" Type="http://schemas.openxmlformats.org/officeDocument/2006/relationships/hyperlink" Target="https://worldmetrics.org/service/data-marketing/" TargetMode="External"/><Relationship Id="rId242" Type="http://schemas.openxmlformats.org/officeDocument/2006/relationships/hyperlink" Target="https://open.partners/open-partners-insights/best-full-service-agencies-uk/" TargetMode="External"/><Relationship Id="rId1073" Type="http://schemas.openxmlformats.org/officeDocument/2006/relationships/hyperlink" Target="http://worldmetrics.org" TargetMode="External"/><Relationship Id="rId241" Type="http://schemas.openxmlformats.org/officeDocument/2006/relationships/hyperlink" Target="http://neuraladx.com" TargetMode="External"/><Relationship Id="rId1074" Type="http://schemas.openxmlformats.org/officeDocument/2006/relationships/hyperlink" Target="https://xchange.avixa.org/posts/top-hire-ecommerce-developers-in-uk-2026" TargetMode="External"/><Relationship Id="rId240" Type="http://schemas.openxmlformats.org/officeDocument/2006/relationships/hyperlink" Target="https://neuraladx.com/the-10-best-generative-engine-optimisation-companies-in-the-uk/" TargetMode="External"/><Relationship Id="rId1075" Type="http://schemas.openxmlformats.org/officeDocument/2006/relationships/hyperlink" Target="http://avixa.org" TargetMode="External"/><Relationship Id="rId1076" Type="http://schemas.openxmlformats.org/officeDocument/2006/relationships/hyperlink" Target="https://www.yesoptimist.com/best-geo-agencies/" TargetMode="External"/><Relationship Id="rId246" Type="http://schemas.openxmlformats.org/officeDocument/2006/relationships/hyperlink" Target="http://wearetenet.com" TargetMode="External"/><Relationship Id="rId1077" Type="http://schemas.openxmlformats.org/officeDocument/2006/relationships/hyperlink" Target="http://yesoptimist.com" TargetMode="External"/><Relationship Id="rId245" Type="http://schemas.openxmlformats.org/officeDocument/2006/relationships/hyperlink" Target="https://www.wearetenet.com/blog/best-geo-agencies-london" TargetMode="External"/><Relationship Id="rId1078" Type="http://schemas.openxmlformats.org/officeDocument/2006/relationships/hyperlink" Target="https://www.youtube.com/watch?v=OR58Odpst7Q" TargetMode="External"/><Relationship Id="rId244" Type="http://schemas.openxmlformats.org/officeDocument/2006/relationships/hyperlink" Target="http://thedigitalmaze.com" TargetMode="External"/><Relationship Id="rId1079" Type="http://schemas.openxmlformats.org/officeDocument/2006/relationships/hyperlink" Target="http://youtube.com" TargetMode="External"/><Relationship Id="rId243" Type="http://schemas.openxmlformats.org/officeDocument/2006/relationships/hyperlink" Target="https://thedigitalmaze.com/blog/top-10-digital-marketing-agencies-in-the-uk-2026/" TargetMode="External"/><Relationship Id="rId239" Type="http://schemas.openxmlformats.org/officeDocument/2006/relationships/hyperlink" Target="https://www.munro.agency/best-data-analysis-agencies/" TargetMode="External"/><Relationship Id="rId238" Type="http://schemas.openxmlformats.org/officeDocument/2006/relationships/hyperlink" Target="http://margen.net" TargetMode="External"/><Relationship Id="rId237" Type="http://schemas.openxmlformats.org/officeDocument/2006/relationships/hyperlink" Target="https://www.margen.net/best-aeo-agencies-uk-2026-answer-engine-optimisation-experts-compared/" TargetMode="External"/><Relationship Id="rId236" Type="http://schemas.openxmlformats.org/officeDocument/2006/relationships/hyperlink" Target="http://lengreo.com" TargetMode="External"/><Relationship Id="rId1060" Type="http://schemas.openxmlformats.org/officeDocument/2006/relationships/hyperlink" Target="https://webdesignreviews.co.uk/news/best-web-design-agencies-london/" TargetMode="External"/><Relationship Id="rId1061" Type="http://schemas.openxmlformats.org/officeDocument/2006/relationships/hyperlink" Target="http://webdesignreviews.co.uk" TargetMode="External"/><Relationship Id="rId231" Type="http://schemas.openxmlformats.org/officeDocument/2006/relationships/hyperlink" Target="http://51d.co" TargetMode="External"/><Relationship Id="rId1062" Type="http://schemas.openxmlformats.org/officeDocument/2006/relationships/hyperlink" Target="https://www.webfx.com/blog/ai/best-geo-agencies/" TargetMode="External"/><Relationship Id="rId230" Type="http://schemas.openxmlformats.org/officeDocument/2006/relationships/hyperlink" Target="https://www.51d.co/ai-consulting-agencies-lead-qualification-uk/" TargetMode="External"/><Relationship Id="rId1063" Type="http://schemas.openxmlformats.org/officeDocument/2006/relationships/hyperlink" Target="http://webfx.com" TargetMode="External"/><Relationship Id="rId1064" Type="http://schemas.openxmlformats.org/officeDocument/2006/relationships/hyperlink" Target="https://www.webtonic.io/blog/top-creative-performance-agencies" TargetMode="External"/><Relationship Id="rId1065" Type="http://schemas.openxmlformats.org/officeDocument/2006/relationships/hyperlink" Target="http://webtonic.io" TargetMode="External"/><Relationship Id="rId235" Type="http://schemas.openxmlformats.org/officeDocument/2006/relationships/hyperlink" Target="https://lengreo.com/top-answer-engine-optimization-aeo-agencies-for-uk-businesses-in-2025/" TargetMode="External"/><Relationship Id="rId1066" Type="http://schemas.openxmlformats.org/officeDocument/2006/relationships/hyperlink" Target="https://whito.co.uk/build/best-uk-resources-ai-search-visibility-aeo/" TargetMode="External"/><Relationship Id="rId234" Type="http://schemas.openxmlformats.org/officeDocument/2006/relationships/hyperlink" Target="https://inbeat.agency/blog/top-social-media-agencies-in-the-uk" TargetMode="External"/><Relationship Id="rId1067" Type="http://schemas.openxmlformats.org/officeDocument/2006/relationships/hyperlink" Target="http://whito.co.uk" TargetMode="External"/><Relationship Id="rId233" Type="http://schemas.openxmlformats.org/officeDocument/2006/relationships/hyperlink" Target="http://cometly.com" TargetMode="External"/><Relationship Id="rId1068" Type="http://schemas.openxmlformats.org/officeDocument/2006/relationships/hyperlink" Target="https://wifitalents.com/service/ai-adoption/" TargetMode="External"/><Relationship Id="rId232" Type="http://schemas.openxmlformats.org/officeDocument/2006/relationships/hyperlink" Target="https://www.cometly.com/post/marketing-attribution-platform-for-agencies" TargetMode="External"/><Relationship Id="rId1069" Type="http://schemas.openxmlformats.org/officeDocument/2006/relationships/hyperlink" Target="http://wifitalents.com" TargetMode="External"/><Relationship Id="rId1015" Type="http://schemas.openxmlformats.org/officeDocument/2006/relationships/hyperlink" Target="http://thedrum.com" TargetMode="External"/><Relationship Id="rId1016" Type="http://schemas.openxmlformats.org/officeDocument/2006/relationships/hyperlink" Target="https://www.thedrum.com/news/world-creative-rankings-the-top-holding-companies-and-best-agency-networks-the" TargetMode="External"/><Relationship Id="rId1017" Type="http://schemas.openxmlformats.org/officeDocument/2006/relationships/hyperlink" Target="http://thedrum.com" TargetMode="External"/><Relationship Id="rId1018" Type="http://schemas.openxmlformats.org/officeDocument/2006/relationships/hyperlink" Target="https://www.thedrum.com/opinion/10-recommended-agencies-you-can-trust-data-services" TargetMode="External"/><Relationship Id="rId1019" Type="http://schemas.openxmlformats.org/officeDocument/2006/relationships/hyperlink" Target="http://thedrum.com" TargetMode="External"/><Relationship Id="rId668" Type="http://schemas.openxmlformats.org/officeDocument/2006/relationships/hyperlink" Target="https://brandspeak.co.uk/blog/top-10-market-research-agencies/" TargetMode="External"/><Relationship Id="rId667" Type="http://schemas.openxmlformats.org/officeDocument/2006/relationships/hyperlink" Target="http://brandsandagencies.co.uk" TargetMode="External"/><Relationship Id="rId666" Type="http://schemas.openxmlformats.org/officeDocument/2006/relationships/hyperlink" Target="https://www.brandsandagencies.co.uk/news-insights/uk-best-integrated-marketing-agencies/" TargetMode="External"/><Relationship Id="rId665" Type="http://schemas.openxmlformats.org/officeDocument/2006/relationships/hyperlink" Target="http://brandedagency.com" TargetMode="External"/><Relationship Id="rId669" Type="http://schemas.openxmlformats.org/officeDocument/2006/relationships/hyperlink" Target="http://brandspeak.co.uk" TargetMode="External"/><Relationship Id="rId660" Type="http://schemas.openxmlformats.org/officeDocument/2006/relationships/hyperlink" Target="https://www.bluearray.co.uk/agency-directory/best-influencer-agencies-in-the-uk/" TargetMode="External"/><Relationship Id="rId1010" Type="http://schemas.openxmlformats.org/officeDocument/2006/relationships/hyperlink" Target="https://thedigitalelevator.com/blog/best-generative-engine-optimization-geo-agencies/" TargetMode="External"/><Relationship Id="rId664" Type="http://schemas.openxmlformats.org/officeDocument/2006/relationships/hyperlink" Target="https://www.brandedagency.com/blog/top-digital-marketing-agencies" TargetMode="External"/><Relationship Id="rId1011" Type="http://schemas.openxmlformats.org/officeDocument/2006/relationships/hyperlink" Target="http://thedigitalelevator.com" TargetMode="External"/><Relationship Id="rId663" Type="http://schemas.openxmlformats.org/officeDocument/2006/relationships/hyperlink" Target="http://blueprintdemand.com" TargetMode="External"/><Relationship Id="rId1012" Type="http://schemas.openxmlformats.org/officeDocument/2006/relationships/hyperlink" Target="https://www.thedrum.com/lists/world-creative-rankings/companies/the-most-awarded-agencies-uk-ireland" TargetMode="External"/><Relationship Id="rId662" Type="http://schemas.openxmlformats.org/officeDocument/2006/relationships/hyperlink" Target="https://blueprintdemand.com/top-10-display-advertising-agency-partners-for-2026/" TargetMode="External"/><Relationship Id="rId1013" Type="http://schemas.openxmlformats.org/officeDocument/2006/relationships/hyperlink" Target="http://thedrum.com" TargetMode="External"/><Relationship Id="rId661" Type="http://schemas.openxmlformats.org/officeDocument/2006/relationships/hyperlink" Target="http://bluearray.co.uk" TargetMode="External"/><Relationship Id="rId1014" Type="http://schemas.openxmlformats.org/officeDocument/2006/relationships/hyperlink" Target="https://www.thedrum.com/news/serviceplan-reclaims-emea-agency-top-spot-in-2026-world-creative-rankings" TargetMode="External"/><Relationship Id="rId1004" Type="http://schemas.openxmlformats.org/officeDocument/2006/relationships/hyperlink" Target="https://teamai.com/blog/generative-ai-and-business/top-geo-agencies-for-ai-visibility/" TargetMode="External"/><Relationship Id="rId1005" Type="http://schemas.openxmlformats.org/officeDocument/2006/relationships/hyperlink" Target="http://teamai.com" TargetMode="External"/><Relationship Id="rId1006" Type="http://schemas.openxmlformats.org/officeDocument/2006/relationships/hyperlink" Target="https://thebusinessjournal.co.uk/b2b-supplier/best-ai-seo-agencies/" TargetMode="External"/><Relationship Id="rId1007" Type="http://schemas.openxmlformats.org/officeDocument/2006/relationships/hyperlink" Target="http://thebusinessjournal.co.uk" TargetMode="External"/><Relationship Id="rId1008" Type="http://schemas.openxmlformats.org/officeDocument/2006/relationships/hyperlink" Target="https://thecmo.com/tools/best-marketing-attribution-software/" TargetMode="External"/><Relationship Id="rId1009" Type="http://schemas.openxmlformats.org/officeDocument/2006/relationships/hyperlink" Target="http://thecmo.com" TargetMode="External"/><Relationship Id="rId657" Type="http://schemas.openxmlformats.org/officeDocument/2006/relationships/hyperlink" Target="http://bizzabo.com" TargetMode="External"/><Relationship Id="rId656" Type="http://schemas.openxmlformats.org/officeDocument/2006/relationships/hyperlink" Target="https://www.bizzabo.com/blog/top-uk-event-agencies" TargetMode="External"/><Relationship Id="rId655" Type="http://schemas.openxmlformats.org/officeDocument/2006/relationships/hyperlink" Target="http://beomniscient.com" TargetMode="External"/><Relationship Id="rId654" Type="http://schemas.openxmlformats.org/officeDocument/2006/relationships/hyperlink" Target="https://beomniscient.com/blog/marketing-agencies/" TargetMode="External"/><Relationship Id="rId659" Type="http://schemas.openxmlformats.org/officeDocument/2006/relationships/hyperlink" Target="http://blendb2b.com" TargetMode="External"/><Relationship Id="rId658" Type="http://schemas.openxmlformats.org/officeDocument/2006/relationships/hyperlink" Target="https://www.blendb2b.com/resources/best-aeo-agencies-for-b2b-companies" TargetMode="External"/><Relationship Id="rId653" Type="http://schemas.openxmlformats.org/officeDocument/2006/relationships/hyperlink" Target="http://beomniscient.com" TargetMode="External"/><Relationship Id="rId1000" Type="http://schemas.openxmlformats.org/officeDocument/2006/relationships/hyperlink" Target="https://www.synscribe.com/blog/marketing-agencies-singapore" TargetMode="External"/><Relationship Id="rId652" Type="http://schemas.openxmlformats.org/officeDocument/2006/relationships/hyperlink" Target="https://beomniscient.com/blog/growth-marketing-agency/" TargetMode="External"/><Relationship Id="rId1001" Type="http://schemas.openxmlformats.org/officeDocument/2006/relationships/hyperlink" Target="http://synscribe.com" TargetMode="External"/><Relationship Id="rId651" Type="http://schemas.openxmlformats.org/officeDocument/2006/relationships/hyperlink" Target="http://benly.ai" TargetMode="External"/><Relationship Id="rId1002" Type="http://schemas.openxmlformats.org/officeDocument/2006/relationships/hyperlink" Target="https://syntermedia.ai/blog/best-attribution-software-marketing-teams" TargetMode="External"/><Relationship Id="rId650" Type="http://schemas.openxmlformats.org/officeDocument/2006/relationships/hyperlink" Target="https://benly.ai/learn/ai-marketing/best-attribution-tools-2026" TargetMode="External"/><Relationship Id="rId1003" Type="http://schemas.openxmlformats.org/officeDocument/2006/relationships/hyperlink" Target="http://syntermedia.ai" TargetMode="External"/><Relationship Id="rId1037" Type="http://schemas.openxmlformats.org/officeDocument/2006/relationships/hyperlink" Target="http://toptenaiagents.co.uk" TargetMode="External"/><Relationship Id="rId1038" Type="http://schemas.openxmlformats.org/officeDocument/2006/relationships/hyperlink" Target="https://www.trendygrandad.com/blog/best-youtube-video-production-companies-in-london" TargetMode="External"/><Relationship Id="rId1039" Type="http://schemas.openxmlformats.org/officeDocument/2006/relationships/hyperlink" Target="http://trendygrandad.com" TargetMode="External"/><Relationship Id="rId206" Type="http://schemas.openxmlformats.org/officeDocument/2006/relationships/hyperlink" Target="https://clicksgeek.com/marketing-attribution-tracking-services/" TargetMode="External"/><Relationship Id="rId205" Type="http://schemas.openxmlformats.org/officeDocument/2006/relationships/hyperlink" Target="http://builtinlondon.uk" TargetMode="External"/><Relationship Id="rId689" Type="http://schemas.openxmlformats.org/officeDocument/2006/relationships/hyperlink" Target="http://clicksgeek.com" TargetMode="External"/><Relationship Id="rId204" Type="http://schemas.openxmlformats.org/officeDocument/2006/relationships/hyperlink" Target="https://builtinlondon.uk/articles/digital-marketing-companies-in-london" TargetMode="External"/><Relationship Id="rId688" Type="http://schemas.openxmlformats.org/officeDocument/2006/relationships/hyperlink" Target="https://clicksgeek.com/best-roi-focused-marketing-agencies/" TargetMode="External"/><Relationship Id="rId203" Type="http://schemas.openxmlformats.org/officeDocument/2006/relationships/hyperlink" Target="https://www.brainz.digital/blog/best-b2b-analytics-agencies/" TargetMode="External"/><Relationship Id="rId687" Type="http://schemas.openxmlformats.org/officeDocument/2006/relationships/hyperlink" Target="http://clicksgeek.com" TargetMode="External"/><Relationship Id="rId209" Type="http://schemas.openxmlformats.org/officeDocument/2006/relationships/hyperlink" Target="http://clickslice.co.uk" TargetMode="External"/><Relationship Id="rId208" Type="http://schemas.openxmlformats.org/officeDocument/2006/relationships/hyperlink" Target="https://www.clickslice.co.uk/best-generative-engine-optimisation-agencies-uk/" TargetMode="External"/><Relationship Id="rId207" Type="http://schemas.openxmlformats.org/officeDocument/2006/relationships/hyperlink" Target="http://clicksgeek.com" TargetMode="External"/><Relationship Id="rId682" Type="http://schemas.openxmlformats.org/officeDocument/2006/relationships/hyperlink" Target="https://www.clickintelligence.co.uk/guides/agency-lists/seo/best-geo-seo-agencies/" TargetMode="External"/><Relationship Id="rId681" Type="http://schemas.openxmlformats.org/officeDocument/2006/relationships/hyperlink" Target="http://cdp.com" TargetMode="External"/><Relationship Id="rId1030" Type="http://schemas.openxmlformats.org/officeDocument/2006/relationships/hyperlink" Target="https://thinkwithalec.com/2025/03/02/best-marketing-platforms-for-tracking-first-party-data/" TargetMode="External"/><Relationship Id="rId680" Type="http://schemas.openxmlformats.org/officeDocument/2006/relationships/hyperlink" Target="https://cdp.com/glossary/data-management-platform-dmp-vendors/" TargetMode="External"/><Relationship Id="rId1031" Type="http://schemas.openxmlformats.org/officeDocument/2006/relationships/hyperlink" Target="http://thinkwithalec.com" TargetMode="External"/><Relationship Id="rId1032" Type="http://schemas.openxmlformats.org/officeDocument/2006/relationships/hyperlink" Target="https://www.tofuhq.com/post/best-ai-agents-for-marketing" TargetMode="External"/><Relationship Id="rId202" Type="http://schemas.openxmlformats.org/officeDocument/2006/relationships/hyperlink" Target="http://webdesignchoice.co.uk" TargetMode="External"/><Relationship Id="rId686" Type="http://schemas.openxmlformats.org/officeDocument/2006/relationships/hyperlink" Target="https://clicksgeek.com/best-roi-digital-marketing-agencies/" TargetMode="External"/><Relationship Id="rId1033" Type="http://schemas.openxmlformats.org/officeDocument/2006/relationships/hyperlink" Target="http://tofuhq.com" TargetMode="External"/><Relationship Id="rId201" Type="http://schemas.openxmlformats.org/officeDocument/2006/relationships/hyperlink" Target="https://www.webdesignchoice.co.uk/top-aeo-agencies-uk-2026.html" TargetMode="External"/><Relationship Id="rId685" Type="http://schemas.openxmlformats.org/officeDocument/2006/relationships/hyperlink" Target="http://clicksgeek.com" TargetMode="External"/><Relationship Id="rId1034" Type="http://schemas.openxmlformats.org/officeDocument/2006/relationships/hyperlink" Target="https://www.topseobrands.com/uk/best-display-advertising-firms-in-uk/page/7" TargetMode="External"/><Relationship Id="rId200" Type="http://schemas.openxmlformats.org/officeDocument/2006/relationships/hyperlink" Target="http://weareroast.com" TargetMode="External"/><Relationship Id="rId684" Type="http://schemas.openxmlformats.org/officeDocument/2006/relationships/hyperlink" Target="https://clicksgeek.com/best-paid-advertising-platforms-for-small-business/" TargetMode="External"/><Relationship Id="rId1035" Type="http://schemas.openxmlformats.org/officeDocument/2006/relationships/hyperlink" Target="http://topseobrands.com" TargetMode="External"/><Relationship Id="rId683" Type="http://schemas.openxmlformats.org/officeDocument/2006/relationships/hyperlink" Target="http://clickintelligence.co.uk" TargetMode="External"/><Relationship Id="rId1036" Type="http://schemas.openxmlformats.org/officeDocument/2006/relationships/hyperlink" Target="https://toptenaiagents.co.uk/lists/top-10-uk-ai-agencies-sme.html" TargetMode="External"/><Relationship Id="rId1026" Type="http://schemas.openxmlformats.org/officeDocument/2006/relationships/hyperlink" Target="https://thesocialshepherd.com/blog/top-creative-agencies-us" TargetMode="External"/><Relationship Id="rId1027" Type="http://schemas.openxmlformats.org/officeDocument/2006/relationships/hyperlink" Target="http://thesocialshepherd.com" TargetMode="External"/><Relationship Id="rId1028" Type="http://schemas.openxmlformats.org/officeDocument/2006/relationships/hyperlink" Target="https://www.thewowcompany.com/most-admired-agencies-list-2025" TargetMode="External"/><Relationship Id="rId1029" Type="http://schemas.openxmlformats.org/officeDocument/2006/relationships/hyperlink" Target="http://thewowcompany.com" TargetMode="External"/><Relationship Id="rId679" Type="http://schemas.openxmlformats.org/officeDocument/2006/relationships/hyperlink" Target="http://causalityengine.ai" TargetMode="External"/><Relationship Id="rId678" Type="http://schemas.openxmlformats.org/officeDocument/2006/relationships/hyperlink" Target="https://www.causalityengine.ai/resources/best-incrementality-testing-platforms" TargetMode="External"/><Relationship Id="rId677" Type="http://schemas.openxmlformats.org/officeDocument/2006/relationships/hyperlink" Target="http://careerfoundry.com" TargetMode="External"/><Relationship Id="rId676" Type="http://schemas.openxmlformats.org/officeDocument/2006/relationships/hyperlink" Target="https://careerfoundry.com/en/blog/digital-marketing/top-digital-marketing-agencies/" TargetMode="External"/><Relationship Id="rId671" Type="http://schemas.openxmlformats.org/officeDocument/2006/relationships/hyperlink" Target="http://brentonway.com" TargetMode="External"/><Relationship Id="rId670" Type="http://schemas.openxmlformats.org/officeDocument/2006/relationships/hyperlink" Target="https://brentonway.com/blog/top-performance-marketing-agencies" TargetMode="External"/><Relationship Id="rId1020" Type="http://schemas.openxmlformats.org/officeDocument/2006/relationships/hyperlink" Target="https://www.thegrowthsyndicate.com/agencies/chatgpt-ads-agencies-uk" TargetMode="External"/><Relationship Id="rId1021" Type="http://schemas.openxmlformats.org/officeDocument/2006/relationships/hyperlink" Target="http://thegrowthsyndicate.com" TargetMode="External"/><Relationship Id="rId675" Type="http://schemas.openxmlformats.org/officeDocument/2006/relationships/hyperlink" Target="http://builtin.com" TargetMode="External"/><Relationship Id="rId1022" Type="http://schemas.openxmlformats.org/officeDocument/2006/relationships/hyperlink" Target="https://www.thekeenfolks.com/blog-article/best-performance-marketing-agencies" TargetMode="External"/><Relationship Id="rId674" Type="http://schemas.openxmlformats.org/officeDocument/2006/relationships/hyperlink" Target="https://builtin.com/articles/marketing-companies-uk" TargetMode="External"/><Relationship Id="rId1023" Type="http://schemas.openxmlformats.org/officeDocument/2006/relationships/hyperlink" Target="http://thekeenfolks.com" TargetMode="External"/><Relationship Id="rId673" Type="http://schemas.openxmlformats.org/officeDocument/2006/relationships/hyperlink" Target="http://brysa.co.uk" TargetMode="External"/><Relationship Id="rId1024" Type="http://schemas.openxmlformats.org/officeDocument/2006/relationships/hyperlink" Target="https://www.thelogocreative.co.uk/7-top-branding-agencies-in-the-uk/" TargetMode="External"/><Relationship Id="rId672" Type="http://schemas.openxmlformats.org/officeDocument/2006/relationships/hyperlink" Target="https://brysa.co.uk/insights/top-ai-consulting-companies-uk" TargetMode="External"/><Relationship Id="rId1025" Type="http://schemas.openxmlformats.org/officeDocument/2006/relationships/hyperlink" Target="http://thelogocreative.co.uk" TargetMode="External"/><Relationship Id="rId190" Type="http://schemas.openxmlformats.org/officeDocument/2006/relationships/hyperlink" Target="http://climb-seo.co.uk" TargetMode="External"/><Relationship Id="rId194" Type="http://schemas.openxmlformats.org/officeDocument/2006/relationships/hyperlink" Target="http://measured.com" TargetMode="External"/><Relationship Id="rId193" Type="http://schemas.openxmlformats.org/officeDocument/2006/relationships/hyperlink" Target="https://www.measured.com/faq/best-incrementality-testing-companies-software-for-marketing-2025/" TargetMode="External"/><Relationship Id="rId192" Type="http://schemas.openxmlformats.org/officeDocument/2006/relationships/hyperlink" Target="http://directiveconsulting.com" TargetMode="External"/><Relationship Id="rId191" Type="http://schemas.openxmlformats.org/officeDocument/2006/relationships/hyperlink" Target="https://directiveconsulting.com/uk/blog/10-ai-marketing-agencies-outperforming-the-market/" TargetMode="External"/><Relationship Id="rId187" Type="http://schemas.openxmlformats.org/officeDocument/2006/relationships/hyperlink" Target="https://www.charle.co.uk/articles/top-geo-agency-for-ecommerce/" TargetMode="External"/><Relationship Id="rId186" Type="http://schemas.openxmlformats.org/officeDocument/2006/relationships/hyperlink" Target="http://webtonic.io" TargetMode="External"/><Relationship Id="rId185" Type="http://schemas.openxmlformats.org/officeDocument/2006/relationships/hyperlink" Target="https://www.webtonic.io/blog/top-digital-marketing-agencies-uk" TargetMode="External"/><Relationship Id="rId184" Type="http://schemas.openxmlformats.org/officeDocument/2006/relationships/hyperlink" Target="http://wearetenet.com" TargetMode="External"/><Relationship Id="rId189" Type="http://schemas.openxmlformats.org/officeDocument/2006/relationships/hyperlink" Target="https://climb-seo.co.uk/best-aeo-geo-agencies-uk-2026/" TargetMode="External"/><Relationship Id="rId188" Type="http://schemas.openxmlformats.org/officeDocument/2006/relationships/hyperlink" Target="http://charle.co.uk" TargetMode="External"/><Relationship Id="rId183" Type="http://schemas.openxmlformats.org/officeDocument/2006/relationships/hyperlink" Target="https://www.wearetenet.com/blog/google-ads-agencies-in-the-uk" TargetMode="External"/><Relationship Id="rId182" Type="http://schemas.openxmlformats.org/officeDocument/2006/relationships/hyperlink" Target="http://rank4ai.co.uk" TargetMode="External"/><Relationship Id="rId181" Type="http://schemas.openxmlformats.org/officeDocument/2006/relationships/hyperlink" Target="https://www.rank4ai.co.uk/research/rankings/top-ai-search-agencies-london/" TargetMode="External"/><Relationship Id="rId180" Type="http://schemas.openxmlformats.org/officeDocument/2006/relationships/hyperlink" Target="http://rank4ai.co.uk" TargetMode="External"/><Relationship Id="rId176" Type="http://schemas.openxmlformats.org/officeDocument/2006/relationships/hyperlink" Target="http://evangelistsoftware.com" TargetMode="External"/><Relationship Id="rId175" Type="http://schemas.openxmlformats.org/officeDocument/2006/relationships/hyperlink" Target="https://evangelistsoftware.com/blog/top-ai-consulting-firms-in-uk/" TargetMode="External"/><Relationship Id="rId174" Type="http://schemas.openxmlformats.org/officeDocument/2006/relationships/hyperlink" Target="http://directiveconsulting.com" TargetMode="External"/><Relationship Id="rId173" Type="http://schemas.openxmlformats.org/officeDocument/2006/relationships/hyperlink" Target="https://directiveconsulting.com/uk/blog/best-marketing-data-agency/" TargetMode="External"/><Relationship Id="rId179" Type="http://schemas.openxmlformats.org/officeDocument/2006/relationships/hyperlink" Target="https://www.rank4ai.co.uk/research/rankings/best-geo-agencies-uk/" TargetMode="External"/><Relationship Id="rId178" Type="http://schemas.openxmlformats.org/officeDocument/2006/relationships/hyperlink" Target="http://lengreo.com" TargetMode="External"/><Relationship Id="rId177" Type="http://schemas.openxmlformats.org/officeDocument/2006/relationships/hyperlink" Target="https://lengreo.com/best-answer-engine-optimization-aeo-agencies-for-uk-companies-in-2025/" TargetMode="External"/><Relationship Id="rId198" Type="http://schemas.openxmlformats.org/officeDocument/2006/relationships/hyperlink" Target="http://thedrum.com" TargetMode="External"/><Relationship Id="rId197" Type="http://schemas.openxmlformats.org/officeDocument/2006/relationships/hyperlink" Target="https://www.thedrum.com/lists/digital-agency-census/award-poll" TargetMode="External"/><Relationship Id="rId196" Type="http://schemas.openxmlformats.org/officeDocument/2006/relationships/hyperlink" Target="http://thatware.co" TargetMode="External"/><Relationship Id="rId195" Type="http://schemas.openxmlformats.org/officeDocument/2006/relationships/hyperlink" Target="https://thatware.co/top-10-ai-seo-companies-in-uk/" TargetMode="External"/><Relationship Id="rId199" Type="http://schemas.openxmlformats.org/officeDocument/2006/relationships/hyperlink" Target="https://weareroast.com/news/best-ppc-agencies-in-the-uk-2026-guide/" TargetMode="External"/><Relationship Id="rId150" Type="http://schemas.openxmlformats.org/officeDocument/2006/relationships/hyperlink" Target="http://pushgroup.co.uk" TargetMode="External"/><Relationship Id="rId149" Type="http://schemas.openxmlformats.org/officeDocument/2006/relationships/hyperlink" Target="https://www.pushgroup.co.uk/blog/top-9-google-ads-agencies-in-the-uk" TargetMode="External"/><Relationship Id="rId148" Type="http://schemas.openxmlformats.org/officeDocument/2006/relationships/hyperlink" Target="https://www.munro.agency/top-paid-media-agencies/" TargetMode="External"/><Relationship Id="rId143" Type="http://schemas.openxmlformats.org/officeDocument/2006/relationships/hyperlink" Target="http://cometly.com" TargetMode="External"/><Relationship Id="rId142" Type="http://schemas.openxmlformats.org/officeDocument/2006/relationships/hyperlink" Target="https://www.cometly.com/post/marketing-attribution-tools-for-agencies" TargetMode="External"/><Relationship Id="rId141" Type="http://schemas.openxmlformats.org/officeDocument/2006/relationships/hyperlink" Target="http://clickslice.co.uk" TargetMode="External"/><Relationship Id="rId140" Type="http://schemas.openxmlformats.org/officeDocument/2006/relationships/hyperlink" Target="https://www.clickslice.co.uk/top-digital-marketing-agencies-uk/" TargetMode="External"/><Relationship Id="rId147" Type="http://schemas.openxmlformats.org/officeDocument/2006/relationships/hyperlink" Target="http://koozai.com" TargetMode="External"/><Relationship Id="rId146" Type="http://schemas.openxmlformats.org/officeDocument/2006/relationships/hyperlink" Target="https://www.koozai.com/blog/pay-per-click-ppc/10-best-paid-media-agencies-in-uk/" TargetMode="External"/><Relationship Id="rId145" Type="http://schemas.openxmlformats.org/officeDocument/2006/relationships/hyperlink" Target="http://dontpaniclondon.com" TargetMode="External"/><Relationship Id="rId144" Type="http://schemas.openxmlformats.org/officeDocument/2006/relationships/hyperlink" Target="https://www.dontpaniclondon.com/blog/best-uk-advertising-agencies/" TargetMode="External"/><Relationship Id="rId139" Type="http://schemas.openxmlformats.org/officeDocument/2006/relationships/hyperlink" Target="http://buzzgen.uk" TargetMode="External"/><Relationship Id="rId138" Type="http://schemas.openxmlformats.org/officeDocument/2006/relationships/hyperlink" Target="https://buzzgen.uk/2026/03/04/top-10-geo-and-ai-ranking-agencies-in-the-uk-march-2026/" TargetMode="External"/><Relationship Id="rId137" Type="http://schemas.openxmlformats.org/officeDocument/2006/relationships/hyperlink" Target="http://buriedagency.com" TargetMode="External"/><Relationship Id="rId1080" Type="http://schemas.openxmlformats.org/officeDocument/2006/relationships/hyperlink" Target="https://www.youtube.com/watch?v=wfXrhCjh9mA" TargetMode="External"/><Relationship Id="rId1081" Type="http://schemas.openxmlformats.org/officeDocument/2006/relationships/hyperlink" Target="http://youtube.com" TargetMode="External"/><Relationship Id="rId1082" Type="http://schemas.openxmlformats.org/officeDocument/2006/relationships/hyperlink" Target="https://zipdo.co/service/creative-advertising/" TargetMode="External"/><Relationship Id="rId1083" Type="http://schemas.openxmlformats.org/officeDocument/2006/relationships/hyperlink" Target="http://zipdo.co" TargetMode="External"/><Relationship Id="rId132" Type="http://schemas.openxmlformats.org/officeDocument/2006/relationships/hyperlink" Target="https://www.webtonic.io/blog/best-creative-agencies-london" TargetMode="External"/><Relationship Id="rId1084" Type="http://schemas.openxmlformats.org/officeDocument/2006/relationships/hyperlink" Target="https://zipdo.co/service/customer-data-platform/" TargetMode="External"/><Relationship Id="rId131" Type="http://schemas.openxmlformats.org/officeDocument/2006/relationships/hyperlink" Target="http://toasttv.co.uk" TargetMode="External"/><Relationship Id="rId1085" Type="http://schemas.openxmlformats.org/officeDocument/2006/relationships/hyperlink" Target="http://zipdo.co" TargetMode="External"/><Relationship Id="rId130" Type="http://schemas.openxmlformats.org/officeDocument/2006/relationships/hyperlink" Target="https://www.toasttv.co.uk/blog/working-with-the-best-in-house-creative-agencies" TargetMode="External"/><Relationship Id="rId1086" Type="http://schemas.openxmlformats.org/officeDocument/2006/relationships/hyperlink" Target="https://zipdo.co/service/first-party-data/" TargetMode="External"/><Relationship Id="rId1087" Type="http://schemas.openxmlformats.org/officeDocument/2006/relationships/hyperlink" Target="http://zipdo.co" TargetMode="External"/><Relationship Id="rId136" Type="http://schemas.openxmlformats.org/officeDocument/2006/relationships/hyperlink" Target="https://www.buriedagency.com/post/top-geo-agencies-uk" TargetMode="External"/><Relationship Id="rId1088" Type="http://schemas.openxmlformats.org/officeDocument/2006/relationships/drawing" Target="../drawings/drawing27.xml"/><Relationship Id="rId135" Type="http://schemas.openxmlformats.org/officeDocument/2006/relationships/hyperlink" Target="http://brandspeak.co.uk" TargetMode="External"/><Relationship Id="rId134" Type="http://schemas.openxmlformats.org/officeDocument/2006/relationships/hyperlink" Target="https://brandspeak.co.uk/blog/top-market-research-agencies-uk/" TargetMode="External"/><Relationship Id="rId133" Type="http://schemas.openxmlformats.org/officeDocument/2006/relationships/hyperlink" Target="http://webtonic.io" TargetMode="External"/><Relationship Id="rId172" Type="http://schemas.openxmlformats.org/officeDocument/2006/relationships/hyperlink" Target="http://digitalreference.co" TargetMode="External"/><Relationship Id="rId171" Type="http://schemas.openxmlformats.org/officeDocument/2006/relationships/hyperlink" Target="https://www.digitalreference.co/design-professionals/best-creative-agencies-in-the-uk" TargetMode="External"/><Relationship Id="rId170" Type="http://schemas.openxmlformats.org/officeDocument/2006/relationships/hyperlink" Target="http://creativemarketingltd.co.uk" TargetMode="External"/><Relationship Id="rId165" Type="http://schemas.openxmlformats.org/officeDocument/2006/relationships/hyperlink" Target="https://brandspeak.co.uk/blog/top-market-research-companies-uk/" TargetMode="External"/><Relationship Id="rId164" Type="http://schemas.openxmlformats.org/officeDocument/2006/relationships/hyperlink" Target="http://alphaapexgroup.com" TargetMode="External"/><Relationship Id="rId163" Type="http://schemas.openxmlformats.org/officeDocument/2006/relationships/hyperlink" Target="https://www.alphaapexgroup.com/blog/top-ai-consulting-firms" TargetMode="External"/><Relationship Id="rId162" Type="http://schemas.openxmlformats.org/officeDocument/2006/relationships/hyperlink" Target="http://adbeacon.com" TargetMode="External"/><Relationship Id="rId169" Type="http://schemas.openxmlformats.org/officeDocument/2006/relationships/hyperlink" Target="https://www.creativemarketingltd.co.uk/blog/top-digital-marketing-agencies" TargetMode="External"/><Relationship Id="rId168" Type="http://schemas.openxmlformats.org/officeDocument/2006/relationships/hyperlink" Target="http://charle.co.uk" TargetMode="External"/><Relationship Id="rId167" Type="http://schemas.openxmlformats.org/officeDocument/2006/relationships/hyperlink" Target="https://www.charle.co.uk/articles/best-geo-agencies-uk/" TargetMode="External"/><Relationship Id="rId166" Type="http://schemas.openxmlformats.org/officeDocument/2006/relationships/hyperlink" Target="http://brandspeak.co.uk" TargetMode="External"/><Relationship Id="rId161" Type="http://schemas.openxmlformats.org/officeDocument/2006/relationships/hyperlink" Target="https://www.adbeacon.com/7-best-marketing-attribution-tools-compared-2026/" TargetMode="External"/><Relationship Id="rId160" Type="http://schemas.openxmlformats.org/officeDocument/2006/relationships/hyperlink" Target="http://adbeacon.com" TargetMode="External"/><Relationship Id="rId159" Type="http://schemas.openxmlformats.org/officeDocument/2006/relationships/hyperlink" Target="https://www.adbeacon.com/19-best-marketing-attribution-software-solutions-in-2026/" TargetMode="External"/><Relationship Id="rId154" Type="http://schemas.openxmlformats.org/officeDocument/2006/relationships/hyperlink" Target="http://segmentstream.com" TargetMode="External"/><Relationship Id="rId153" Type="http://schemas.openxmlformats.org/officeDocument/2006/relationships/hyperlink" Target="https://segmentstream.com/blog/articles/best-attribution-tools" TargetMode="External"/><Relationship Id="rId152" Type="http://schemas.openxmlformats.org/officeDocument/2006/relationships/hyperlink" Target="http://rank4ai.co.uk" TargetMode="External"/><Relationship Id="rId151" Type="http://schemas.openxmlformats.org/officeDocument/2006/relationships/hyperlink" Target="https://www.rank4ai.co.uk/research/rankings/ai-search-optimisation-agencies-uk/" TargetMode="External"/><Relationship Id="rId158" Type="http://schemas.openxmlformats.org/officeDocument/2006/relationships/hyperlink" Target="http://a-listware.com" TargetMode="External"/><Relationship Id="rId157" Type="http://schemas.openxmlformats.org/officeDocument/2006/relationships/hyperlink" Target="https://a-listware.com/blog/sales-and-marketing-analytics-companies-uk" TargetMode="External"/><Relationship Id="rId156" Type="http://schemas.openxmlformats.org/officeDocument/2006/relationships/hyperlink" Target="http://seoworks.com" TargetMode="External"/><Relationship Id="rId155" Type="http://schemas.openxmlformats.org/officeDocument/2006/relationships/hyperlink" Target="https://www.seoworks.com/lists/20-best-geo-agencies-in-the-uk/" TargetMode="External"/><Relationship Id="rId509" Type="http://schemas.openxmlformats.org/officeDocument/2006/relationships/hyperlink" Target="http://clickslice.co.uk" TargetMode="External"/><Relationship Id="rId508" Type="http://schemas.openxmlformats.org/officeDocument/2006/relationships/hyperlink" Target="https://www.clickslice.co.uk/best-generative-engine-optimisation-specialist-uk/" TargetMode="External"/><Relationship Id="rId503" Type="http://schemas.openxmlformats.org/officeDocument/2006/relationships/hyperlink" Target="http://campaignlive.co.uk" TargetMode="External"/><Relationship Id="rId987" Type="http://schemas.openxmlformats.org/officeDocument/2006/relationships/hyperlink" Target="http://sortlist.co.uk" TargetMode="External"/><Relationship Id="rId502" Type="http://schemas.openxmlformats.org/officeDocument/2006/relationships/hyperlink" Target="https://www.campaignlive.co.uk/article/lists-2024-top-five-advertisers/1900249" TargetMode="External"/><Relationship Id="rId986" Type="http://schemas.openxmlformats.org/officeDocument/2006/relationships/hyperlink" Target="https://www.sortlist.co.uk/s/google-ads/united-kingdom-gb" TargetMode="External"/><Relationship Id="rId501" Type="http://schemas.openxmlformats.org/officeDocument/2006/relationships/hyperlink" Target="http://businessinsider.com" TargetMode="External"/><Relationship Id="rId985" Type="http://schemas.openxmlformats.org/officeDocument/2006/relationships/hyperlink" Target="http://sogolytics.com" TargetMode="External"/><Relationship Id="rId500" Type="http://schemas.openxmlformats.org/officeDocument/2006/relationships/hyperlink" Target="https://www.businessinsider.com/how-coach-american-eagle-cmos-stand-out-ai-platforms-2026-7" TargetMode="External"/><Relationship Id="rId984" Type="http://schemas.openxmlformats.org/officeDocument/2006/relationships/hyperlink" Target="https://www.sogolytics.com/blog/top-full-service-market-research-firms/" TargetMode="External"/><Relationship Id="rId507" Type="http://schemas.openxmlformats.org/officeDocument/2006/relationships/hyperlink" Target="http://clickintelligence.co.uk" TargetMode="External"/><Relationship Id="rId506" Type="http://schemas.openxmlformats.org/officeDocument/2006/relationships/hyperlink" Target="https://www.clickintelligence.co.uk/guides/agency-lists/seo/best-aeo-seo-agencies/" TargetMode="External"/><Relationship Id="rId505" Type="http://schemas.openxmlformats.org/officeDocument/2006/relationships/hyperlink" Target="http://cellsior.com" TargetMode="External"/><Relationship Id="rId989" Type="http://schemas.openxmlformats.org/officeDocument/2006/relationships/hyperlink" Target="http://starfishco.com" TargetMode="External"/><Relationship Id="rId504" Type="http://schemas.openxmlformats.org/officeDocument/2006/relationships/hyperlink" Target="https://cellsior.com/best-analytics-agencies-uk/" TargetMode="External"/><Relationship Id="rId988" Type="http://schemas.openxmlformats.org/officeDocument/2006/relationships/hyperlink" Target="https://www.starfishco.com/branding/10-must%E2%80%91know-branding-agencies-in-2026-for-creative-campaigns/" TargetMode="External"/><Relationship Id="rId983" Type="http://schemas.openxmlformats.org/officeDocument/2006/relationships/hyperlink" Target="http://sociallypowerful.com" TargetMode="External"/><Relationship Id="rId982" Type="http://schemas.openxmlformats.org/officeDocument/2006/relationships/hyperlink" Target="https://sociallypowerful.com/post/top-social-media-marketing-agencies-uk" TargetMode="External"/><Relationship Id="rId981" Type="http://schemas.openxmlformats.org/officeDocument/2006/relationships/hyperlink" Target="http://sociallypowerful.com" TargetMode="External"/><Relationship Id="rId980" Type="http://schemas.openxmlformats.org/officeDocument/2006/relationships/hyperlink" Target="https://sociallypowerful.com/post/top-20-advertising-agencies-uk" TargetMode="External"/><Relationship Id="rId976" Type="http://schemas.openxmlformats.org/officeDocument/2006/relationships/hyperlink" Target="https://www.siegemedia.com/strategy/content-strategy-agency" TargetMode="External"/><Relationship Id="rId975" Type="http://schemas.openxmlformats.org/officeDocument/2006/relationships/hyperlink" Target="http://sevenatoms.com" TargetMode="External"/><Relationship Id="rId974" Type="http://schemas.openxmlformats.org/officeDocument/2006/relationships/hyperlink" Target="https://www.sevenatoms.com/blog/facebook-advertising-companies" TargetMode="External"/><Relationship Id="rId973" Type="http://schemas.openxmlformats.org/officeDocument/2006/relationships/hyperlink" Target="http://seo-ranks.co.uk" TargetMode="External"/><Relationship Id="rId979" Type="http://schemas.openxmlformats.org/officeDocument/2006/relationships/hyperlink" Target="http://socialchameleon.com" TargetMode="External"/><Relationship Id="rId978" Type="http://schemas.openxmlformats.org/officeDocument/2006/relationships/hyperlink" Target="https://socialchameleon.com/top-30-marketing-agencies-in-london/" TargetMode="External"/><Relationship Id="rId977" Type="http://schemas.openxmlformats.org/officeDocument/2006/relationships/hyperlink" Target="http://siegemedia.com" TargetMode="External"/><Relationship Id="rId972" Type="http://schemas.openxmlformats.org/officeDocument/2006/relationships/hyperlink" Target="https://seo-ranks.co.uk/best-seo-agencies-uk-aeo-geo-2026/" TargetMode="External"/><Relationship Id="rId971" Type="http://schemas.openxmlformats.org/officeDocument/2006/relationships/hyperlink" Target="http://segmentstream.com" TargetMode="External"/><Relationship Id="rId970" Type="http://schemas.openxmlformats.org/officeDocument/2006/relationships/hyperlink" Target="https://segmentstream.com/blog/articles/top-enterprise-marketing-analytics-and-attribution-platforms" TargetMode="External"/><Relationship Id="rId525" Type="http://schemas.openxmlformats.org/officeDocument/2006/relationships/hyperlink" Target="http://directiveconsulting.com" TargetMode="External"/><Relationship Id="rId524" Type="http://schemas.openxmlformats.org/officeDocument/2006/relationships/hyperlink" Target="https://directiveconsulting.com/blog/top-performance-marketing-agencies/" TargetMode="External"/><Relationship Id="rId523" Type="http://schemas.openxmlformats.org/officeDocument/2006/relationships/hyperlink" Target="http://digitalmarketingcompanyinlondon.com" TargetMode="External"/><Relationship Id="rId522" Type="http://schemas.openxmlformats.org/officeDocument/2006/relationships/hyperlink" Target="https://digitalmarketingcompanyinlondon.com/best-10-paid-media-agencies-in-london-2025/" TargetMode="External"/><Relationship Id="rId529" Type="http://schemas.openxmlformats.org/officeDocument/2006/relationships/hyperlink" Target="http://eintelligenceweb.com" TargetMode="External"/><Relationship Id="rId528" Type="http://schemas.openxmlformats.org/officeDocument/2006/relationships/hyperlink" Target="https://eintelligenceweb.com/blog/top-generative-engine-optimisation-geo-agencies/" TargetMode="External"/><Relationship Id="rId527" Type="http://schemas.openxmlformats.org/officeDocument/2006/relationships/hyperlink" Target="http://directiveconsulting.com" TargetMode="External"/><Relationship Id="rId526" Type="http://schemas.openxmlformats.org/officeDocument/2006/relationships/hyperlink" Target="https://directiveconsulting.com/uk/blog/25-best-advertising-agencies-built-for-media-momentum/" TargetMode="External"/><Relationship Id="rId521" Type="http://schemas.openxmlformats.org/officeDocument/2006/relationships/hyperlink" Target="http://digitalagencynetwork.com" TargetMode="External"/><Relationship Id="rId520" Type="http://schemas.openxmlformats.org/officeDocument/2006/relationships/hyperlink" Target="https://digitalagencynetwork.com/agencies/uk/online-advertising/" TargetMode="External"/><Relationship Id="rId519" Type="http://schemas.openxmlformats.org/officeDocument/2006/relationships/hyperlink" Target="http://digitalagencyleaders.net" TargetMode="External"/><Relationship Id="rId514" Type="http://schemas.openxmlformats.org/officeDocument/2006/relationships/hyperlink" Target="https://www.designrush.com/agency/paid-media-pay-per-click/display-advertising-agency" TargetMode="External"/><Relationship Id="rId998" Type="http://schemas.openxmlformats.org/officeDocument/2006/relationships/hyperlink" Target="https://susodigital.com/thoughts/12-best-generative-seo-service-agencies/" TargetMode="External"/><Relationship Id="rId513" Type="http://schemas.openxmlformats.org/officeDocument/2006/relationships/hyperlink" Target="http://designrush.com" TargetMode="External"/><Relationship Id="rId997" Type="http://schemas.openxmlformats.org/officeDocument/2006/relationships/hyperlink" Target="http://superside.com" TargetMode="External"/><Relationship Id="rId512" Type="http://schemas.openxmlformats.org/officeDocument/2006/relationships/hyperlink" Target="https://www.designrush.com/agency/digital-marketing/performance-marketing-agencies" TargetMode="External"/><Relationship Id="rId996" Type="http://schemas.openxmlformats.org/officeDocument/2006/relationships/hyperlink" Target="https://www.superside.com/blog/creative-content-agencies" TargetMode="External"/><Relationship Id="rId511" Type="http://schemas.openxmlformats.org/officeDocument/2006/relationships/hyperlink" Target="http://designrush.com" TargetMode="External"/><Relationship Id="rId995" Type="http://schemas.openxmlformats.org/officeDocument/2006/relationships/hyperlink" Target="http://superside.com" TargetMode="External"/><Relationship Id="rId518" Type="http://schemas.openxmlformats.org/officeDocument/2006/relationships/hyperlink" Target="https://www.digitalagencyleaders.net/blog/best-ai-seo-agencies-uk" TargetMode="External"/><Relationship Id="rId517" Type="http://schemas.openxmlformats.org/officeDocument/2006/relationships/hyperlink" Target="http://digiscorp.com" TargetMode="External"/><Relationship Id="rId516" Type="http://schemas.openxmlformats.org/officeDocument/2006/relationships/hyperlink" Target="https://digiscorp.com/best-ai-consulting-firms-in-london-top-ai-experts-for-your-business/" TargetMode="External"/><Relationship Id="rId515" Type="http://schemas.openxmlformats.org/officeDocument/2006/relationships/hyperlink" Target="http://designrush.com" TargetMode="External"/><Relationship Id="rId999" Type="http://schemas.openxmlformats.org/officeDocument/2006/relationships/hyperlink" Target="http://susodigital.com" TargetMode="External"/><Relationship Id="rId990" Type="http://schemas.openxmlformats.org/officeDocument/2006/relationships/hyperlink" Target="https://www.superhub.biz/top-digital-marketing-companies-for-small-business-uk" TargetMode="External"/><Relationship Id="rId510" Type="http://schemas.openxmlformats.org/officeDocument/2006/relationships/hyperlink" Target="https://www.designrush.com/agency/digital-marketing/artificial-intelligence" TargetMode="External"/><Relationship Id="rId994" Type="http://schemas.openxmlformats.org/officeDocument/2006/relationships/hyperlink" Target="https://www.superside.com/blog/creative-agencies" TargetMode="External"/><Relationship Id="rId993" Type="http://schemas.openxmlformats.org/officeDocument/2006/relationships/hyperlink" Target="http://superside.com" TargetMode="External"/><Relationship Id="rId992" Type="http://schemas.openxmlformats.org/officeDocument/2006/relationships/hyperlink" Target="https://www.superside.com/blog/ad-creative-agencies" TargetMode="External"/><Relationship Id="rId991" Type="http://schemas.openxmlformats.org/officeDocument/2006/relationships/hyperlink" Target="http://superhub.biz" TargetMode="External"/><Relationship Id="rId949" Type="http://schemas.openxmlformats.org/officeDocument/2006/relationships/hyperlink" Target="http://pushgroup.co.uk" TargetMode="External"/><Relationship Id="rId948" Type="http://schemas.openxmlformats.org/officeDocument/2006/relationships/hyperlink" Target="https://www.pushgroup.co.uk/blog/top-9-e-commerce-agencies-in-the-uk" TargetMode="External"/><Relationship Id="rId943" Type="http://schemas.openxmlformats.org/officeDocument/2006/relationships/hyperlink" Target="http://promodo.com" TargetMode="External"/><Relationship Id="rId942" Type="http://schemas.openxmlformats.org/officeDocument/2006/relationships/hyperlink" Target="https://www.promodo.com/blog/best-geo-agencies" TargetMode="External"/><Relationship Id="rId941" Type="http://schemas.openxmlformats.org/officeDocument/2006/relationships/hyperlink" Target="http://prescientai.com" TargetMode="External"/><Relationship Id="rId940" Type="http://schemas.openxmlformats.org/officeDocument/2006/relationships/hyperlink" Target="https://prescientai.com/blog/best-mmm-tools-for-e-commerce-brands" TargetMode="External"/><Relationship Id="rId947" Type="http://schemas.openxmlformats.org/officeDocument/2006/relationships/hyperlink" Target="http://pushgroup.co.uk" TargetMode="External"/><Relationship Id="rId946" Type="http://schemas.openxmlformats.org/officeDocument/2006/relationships/hyperlink" Target="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 TargetMode="External"/><Relationship Id="rId945" Type="http://schemas.openxmlformats.org/officeDocument/2006/relationships/hyperlink" Target="http://provokemedia.com" TargetMode="External"/><Relationship Id="rId944" Type="http://schemas.openxmlformats.org/officeDocument/2006/relationships/hyperlink" Target="https://www.provokemedia.com/events-awards/agencies-of-the-year/the-best-agencies-in-emea-2026/the-70-best-agencies-in-the-uk" TargetMode="External"/><Relationship Id="rId939" Type="http://schemas.openxmlformats.org/officeDocument/2006/relationships/hyperlink" Target="https://www.position.digital/blog/top-geo-agencies/" TargetMode="External"/><Relationship Id="rId938" Type="http://schemas.openxmlformats.org/officeDocument/2006/relationships/hyperlink" Target="http://polarisagency.com" TargetMode="External"/><Relationship Id="rId937" Type="http://schemas.openxmlformats.org/officeDocument/2006/relationships/hyperlink" Target="https://www.polarisagency.com/us/marketing-insights/top-branding-agencies-in-london-2024/" TargetMode="External"/><Relationship Id="rId932" Type="http://schemas.openxmlformats.org/officeDocument/2006/relationships/hyperlink" Target="https://pinpoint-media.global/insights/top-5-paid-media-performance-agencies-for-health-wellness-brands" TargetMode="External"/><Relationship Id="rId931" Type="http://schemas.openxmlformats.org/officeDocument/2006/relationships/hyperlink" Target="https://pinpoint-media.global/insights/top-10-tailored-paid-media-agencies-in-london" TargetMode="External"/><Relationship Id="rId930" Type="http://schemas.openxmlformats.org/officeDocument/2006/relationships/hyperlink" Target="https://pinpoint-media.global/insights/top-10-full-service-marketing-agencies-in-london" TargetMode="External"/><Relationship Id="rId936" Type="http://schemas.openxmlformats.org/officeDocument/2006/relationships/hyperlink" Target="http://pitchkitchen.com" TargetMode="External"/><Relationship Id="rId935" Type="http://schemas.openxmlformats.org/officeDocument/2006/relationships/hyperlink" Target="https://www.pitchkitchen.com/best-ai-sales-marketing-agencies" TargetMode="External"/><Relationship Id="rId934" Type="http://schemas.openxmlformats.org/officeDocument/2006/relationships/hyperlink" Target="http://zoominfo.com" TargetMode="External"/><Relationship Id="rId933" Type="http://schemas.openxmlformats.org/officeDocument/2006/relationships/hyperlink" Target="https://pipeline.zoominfo.com/sales/intent-data-platform" TargetMode="External"/><Relationship Id="rId965" Type="http://schemas.openxmlformats.org/officeDocument/2006/relationships/hyperlink" Target="http://scalixai.com" TargetMode="External"/><Relationship Id="rId964" Type="http://schemas.openxmlformats.org/officeDocument/2006/relationships/hyperlink" Target="https://scalixai.com/blog/best-performance-marketing-agencies" TargetMode="External"/><Relationship Id="rId963" Type="http://schemas.openxmlformats.org/officeDocument/2006/relationships/hyperlink" Target="http://ruleranalytics.com" TargetMode="External"/><Relationship Id="rId962" Type="http://schemas.openxmlformats.org/officeDocument/2006/relationships/hyperlink" Target="https://www.ruleranalytics.com/blog/analytics/marketing-attribution-software/" TargetMode="External"/><Relationship Id="rId969" Type="http://schemas.openxmlformats.org/officeDocument/2006/relationships/hyperlink" Target="http://securitysenses.com" TargetMode="External"/><Relationship Id="rId968" Type="http://schemas.openxmlformats.org/officeDocument/2006/relationships/hyperlink" Target="https://www.securitysenses.com/posts/best-saas-ai-seo-companies-united-kingdom-technical-seo-scale" TargetMode="External"/><Relationship Id="rId967" Type="http://schemas.openxmlformats.org/officeDocument/2006/relationships/hyperlink" Target="http://searchbloom.com" TargetMode="External"/><Relationship Id="rId966" Type="http://schemas.openxmlformats.org/officeDocument/2006/relationships/hyperlink" Target="https://www.searchbloom.com/strategy/best-ai-seo-agency-companies-services-usa/" TargetMode="External"/><Relationship Id="rId961" Type="http://schemas.openxmlformats.org/officeDocument/2006/relationships/hyperlink" Target="http://reverbico.com" TargetMode="External"/><Relationship Id="rId960" Type="http://schemas.openxmlformats.org/officeDocument/2006/relationships/hyperlink" Target="https://reverbico.com/blog/top-digital-agencies-for-early-stage-brand-launches/" TargetMode="External"/><Relationship Id="rId959" Type="http://schemas.openxmlformats.org/officeDocument/2006/relationships/hyperlink" Target="http://respona.com" TargetMode="External"/><Relationship Id="rId954" Type="http://schemas.openxmlformats.org/officeDocument/2006/relationships/hyperlink" Target="https://www.rank4ai.co.uk/research/rankings/top-ai-search-agencies-uk/" TargetMode="External"/><Relationship Id="rId953" Type="http://schemas.openxmlformats.org/officeDocument/2006/relationships/hyperlink" Target="http://radyant.io" TargetMode="External"/><Relationship Id="rId952" Type="http://schemas.openxmlformats.org/officeDocument/2006/relationships/hyperlink" Target="https://www.radyant.io/comparison/6-best-organic-growth-agencies-in-europe" TargetMode="External"/><Relationship Id="rId951" Type="http://schemas.openxmlformats.org/officeDocument/2006/relationships/hyperlink" Target="http://raddinteractive.com" TargetMode="External"/><Relationship Id="rId958" Type="http://schemas.openxmlformats.org/officeDocument/2006/relationships/hyperlink" Target="https://respona.com/blog/ai-seo-agency/" TargetMode="External"/><Relationship Id="rId957" Type="http://schemas.openxmlformats.org/officeDocument/2006/relationships/hyperlink" Target="http://rebootonline.com" TargetMode="External"/><Relationship Id="rId956" Type="http://schemas.openxmlformats.org/officeDocument/2006/relationships/hyperlink" Target="https://www.rebootonline.com/data-marketing/best-data-marketing-agencies/" TargetMode="External"/><Relationship Id="rId955" Type="http://schemas.openxmlformats.org/officeDocument/2006/relationships/hyperlink" Target="http://rank4ai.co.uk" TargetMode="External"/><Relationship Id="rId950" Type="http://schemas.openxmlformats.org/officeDocument/2006/relationships/hyperlink" Target="https://raddinteractive.com/the-best-social-media-sites-for-marketing-and-most-popular/" TargetMode="External"/><Relationship Id="rId590" Type="http://schemas.openxmlformats.org/officeDocument/2006/relationships/hyperlink" Target="http://ppcgeeks.co.uk" TargetMode="External"/><Relationship Id="rId107" Type="http://schemas.openxmlformats.org/officeDocument/2006/relationships/hyperlink" Target="https://inbeat.agency/blog/top-digital-marketing-agencies-in-the-uk" TargetMode="External"/><Relationship Id="rId106" Type="http://schemas.openxmlformats.org/officeDocument/2006/relationships/hyperlink" Target="http://bluearray.co.uk" TargetMode="External"/><Relationship Id="rId105" Type="http://schemas.openxmlformats.org/officeDocument/2006/relationships/hyperlink" Target="https://www.bluearray.co.uk/agency-directory/best-generative-engine-optimisation-geo-agencies-in-the-uk/" TargetMode="External"/><Relationship Id="rId589" Type="http://schemas.openxmlformats.org/officeDocument/2006/relationships/hyperlink" Target="https://ppcgeeks.co.uk/ppc/top-7-google-ads-agencies-in-the-uk-for-exceptional-ppc-results/" TargetMode="External"/><Relationship Id="rId104" Type="http://schemas.openxmlformats.org/officeDocument/2006/relationships/hyperlink" Target="http://51d.co" TargetMode="External"/><Relationship Id="rId588" Type="http://schemas.openxmlformats.org/officeDocument/2006/relationships/hyperlink" Target="https://pinpoint-media.global/insights/best-10-digital-marketing-companies-in-the-uk-2026" TargetMode="External"/><Relationship Id="rId109" Type="http://schemas.openxmlformats.org/officeDocument/2006/relationships/hyperlink" Target="http://seocompare.co.uk" TargetMode="External"/><Relationship Id="rId108" Type="http://schemas.openxmlformats.org/officeDocument/2006/relationships/hyperlink" Target="https://seocompare.co.uk/best-geo-agencies-uk/" TargetMode="External"/><Relationship Id="rId583" Type="http://schemas.openxmlformats.org/officeDocument/2006/relationships/hyperlink" Target="http://outrightcrm.com" TargetMode="External"/><Relationship Id="rId582" Type="http://schemas.openxmlformats.org/officeDocument/2006/relationships/hyperlink" Target="https://www.outrightcrm.com/blog/roi-focused-digital-marketing-agencies/" TargetMode="External"/><Relationship Id="rId581" Type="http://schemas.openxmlformats.org/officeDocument/2006/relationships/hyperlink" Target="http://orm-tech.com" TargetMode="External"/><Relationship Id="rId580" Type="http://schemas.openxmlformats.org/officeDocument/2006/relationships/hyperlink" Target="https://orm-tech.com/blog/best-marketing-attribution-software/" TargetMode="External"/><Relationship Id="rId103" Type="http://schemas.openxmlformats.org/officeDocument/2006/relationships/hyperlink" Target="https://www.51d.co/top-10-ai-strategy-consultants-in-london-for-2026-a-comprehensive-guide/" TargetMode="External"/><Relationship Id="rId587" Type="http://schemas.openxmlformats.org/officeDocument/2006/relationships/hyperlink" Target="http://phosailabs.com" TargetMode="External"/><Relationship Id="rId102" Type="http://schemas.openxmlformats.org/officeDocument/2006/relationships/hyperlink" Target="http://superhub.biz" TargetMode="External"/><Relationship Id="rId586" Type="http://schemas.openxmlformats.org/officeDocument/2006/relationships/hyperlink" Target="https://phosailabs.com/blog/best-ai-consulting-firms-marketing-agencies" TargetMode="External"/><Relationship Id="rId101" Type="http://schemas.openxmlformats.org/officeDocument/2006/relationships/hyperlink" Target="https://www.superhub.biz/top-19-social-media-marketing-agencies-uk-2026" TargetMode="External"/><Relationship Id="rId585" Type="http://schemas.openxmlformats.org/officeDocument/2006/relationships/hyperlink" Target="http://oxdpr.com" TargetMode="External"/><Relationship Id="rId100" Type="http://schemas.openxmlformats.org/officeDocument/2006/relationships/hyperlink" Target="http://sbc-performance.com" TargetMode="External"/><Relationship Id="rId584" Type="http://schemas.openxmlformats.org/officeDocument/2006/relationships/hyperlink" Target="https://oxdpr.com/advertising-firms-london/" TargetMode="External"/><Relationship Id="rId579" Type="http://schemas.openxmlformats.org/officeDocument/2006/relationships/hyperlink" Target="https://open.partners/open-partners-insights/top-uk-independent-marketing-agencies-5m-budgets/" TargetMode="External"/><Relationship Id="rId578" Type="http://schemas.openxmlformats.org/officeDocument/2006/relationships/hyperlink" Target="http://omnius.so" TargetMode="External"/><Relationship Id="rId577" Type="http://schemas.openxmlformats.org/officeDocument/2006/relationships/hyperlink" Target="https://www.omnius.so/blog/best-answer-engine-optimization-agencies" TargetMode="External"/><Relationship Id="rId572" Type="http://schemas.openxmlformats.org/officeDocument/2006/relationships/hyperlink" Target="http://nogood.io" TargetMode="External"/><Relationship Id="rId571" Type="http://schemas.openxmlformats.org/officeDocument/2006/relationships/hyperlink" Target="https://nogood.io/blog/ai-marketing-agency/" TargetMode="External"/><Relationship Id="rId570" Type="http://schemas.openxmlformats.org/officeDocument/2006/relationships/hyperlink" Target="http://neuraladx.com" TargetMode="External"/><Relationship Id="rId576" Type="http://schemas.openxmlformats.org/officeDocument/2006/relationships/hyperlink" Target="http://noisemediagroup.co.uk" TargetMode="External"/><Relationship Id="rId575" Type="http://schemas.openxmlformats.org/officeDocument/2006/relationships/hyperlink" Target="https://www.noisemediagroup.co.uk/insights/the-best-tiktok-marketing-agencies-in-the-uk-2026" TargetMode="External"/><Relationship Id="rId574" Type="http://schemas.openxmlformats.org/officeDocument/2006/relationships/hyperlink" Target="http://noisemediagroup.co.uk" TargetMode="External"/><Relationship Id="rId573" Type="http://schemas.openxmlformats.org/officeDocument/2006/relationships/hyperlink" Target="https://www.noisemediagroup.co.uk/insights/the-best-social-media-marketing-agencies-in-london-2026" TargetMode="External"/><Relationship Id="rId129" Type="http://schemas.openxmlformats.org/officeDocument/2006/relationships/hyperlink" Target="http://ryesing.com" TargetMode="External"/><Relationship Id="rId128" Type="http://schemas.openxmlformats.org/officeDocument/2006/relationships/hyperlink" Target="https://www.ryesing.com/post/performance-marketing-agencies-uk" TargetMode="External"/><Relationship Id="rId127" Type="http://schemas.openxmlformats.org/officeDocument/2006/relationships/hyperlink" Target="http://lifesight.io" TargetMode="External"/><Relationship Id="rId126" Type="http://schemas.openxmlformats.org/officeDocument/2006/relationships/hyperlink" Target="https://lifesight.io/blog/best-incrementality-testing-tools/" TargetMode="External"/><Relationship Id="rId121" Type="http://schemas.openxmlformats.org/officeDocument/2006/relationships/hyperlink" Target="https://www.munro.agency/top-performance-marketing-agencies/" TargetMode="External"/><Relationship Id="rId120" Type="http://schemas.openxmlformats.org/officeDocument/2006/relationships/hyperlink" Target="http://influencer-hero.com" TargetMode="External"/><Relationship Id="rId125" Type="http://schemas.openxmlformats.org/officeDocument/2006/relationships/hyperlink" Target="https://inbeat.agency/blog/top-marketing-measurement-and-analytics-companies" TargetMode="External"/><Relationship Id="rId124" Type="http://schemas.openxmlformats.org/officeDocument/2006/relationships/hyperlink" Target="https://www.compare.agency/7-of-the-top-ppc-agencies-in-the-uk-for-2026" TargetMode="External"/><Relationship Id="rId123" Type="http://schemas.openxmlformats.org/officeDocument/2006/relationships/hyperlink" Target="http://ppcgeeks.co.uk" TargetMode="External"/><Relationship Id="rId122" Type="http://schemas.openxmlformats.org/officeDocument/2006/relationships/hyperlink" Target="https://ppcgeeks.co.uk/ppc/marketing-attribution-tools/" TargetMode="External"/><Relationship Id="rId118" Type="http://schemas.openxmlformats.org/officeDocument/2006/relationships/hyperlink" Target="http://overdrivedigital.co.uk" TargetMode="External"/><Relationship Id="rId117" Type="http://schemas.openxmlformats.org/officeDocument/2006/relationships/hyperlink" Target="https://overdrivedigital.co.uk/five-leading-b2b-performance-marketing-agencies-you-need-to-know-in-the-uk/" TargetMode="External"/><Relationship Id="rId116" Type="http://schemas.openxmlformats.org/officeDocument/2006/relationships/hyperlink" Target="http://okapiandco.co.uk" TargetMode="External"/><Relationship Id="rId115" Type="http://schemas.openxmlformats.org/officeDocument/2006/relationships/hyperlink" Target="https://www.okapiandco.co.uk/blog/best-geo-agencies-uk-2026" TargetMode="External"/><Relationship Id="rId599" Type="http://schemas.openxmlformats.org/officeDocument/2006/relationships/hyperlink" Target="https://sourceloop.ai/blog/best-marketing-measurement-tools/" TargetMode="External"/><Relationship Id="rId119" Type="http://schemas.openxmlformats.org/officeDocument/2006/relationships/hyperlink" Target="https://www.influencer-hero.com/fr/blogs/top-paid-advertising-agencies-in-the-united-kingdom" TargetMode="External"/><Relationship Id="rId110" Type="http://schemas.openxmlformats.org/officeDocument/2006/relationships/hyperlink" Target="https://delivix.digital/marketing/ai-marketing-agencies-in-the-uk/" TargetMode="External"/><Relationship Id="rId594" Type="http://schemas.openxmlformats.org/officeDocument/2006/relationships/hyperlink" Target="http://scopicstudios.com" TargetMode="External"/><Relationship Id="rId593" Type="http://schemas.openxmlformats.org/officeDocument/2006/relationships/hyperlink" Target="https://scopicstudios.com/blog/top-performance-marketing-agencies/" TargetMode="External"/><Relationship Id="rId592" Type="http://schemas.openxmlformats.org/officeDocument/2006/relationships/hyperlink" Target="http://rank4ai.co.uk" TargetMode="External"/><Relationship Id="rId591" Type="http://schemas.openxmlformats.org/officeDocument/2006/relationships/hyperlink" Target="https://www.rank4ai.co.uk/research/rankings/top-ai-search-visibility-agencies-2026/" TargetMode="External"/><Relationship Id="rId114" Type="http://schemas.openxmlformats.org/officeDocument/2006/relationships/hyperlink" Target="http://leverdigital.co.uk" TargetMode="External"/><Relationship Id="rId598" Type="http://schemas.openxmlformats.org/officeDocument/2006/relationships/hyperlink" Target="http://socialander.com" TargetMode="External"/><Relationship Id="rId113" Type="http://schemas.openxmlformats.org/officeDocument/2006/relationships/hyperlink" Target="https://www.leverdigital.co.uk/guides/top-10-google-ad-management-agencies-uk" TargetMode="External"/><Relationship Id="rId597" Type="http://schemas.openxmlformats.org/officeDocument/2006/relationships/hyperlink" Target="https://socialander.com/top-digital-marketing-company-in-the-united-kingdom/" TargetMode="External"/><Relationship Id="rId112" Type="http://schemas.openxmlformats.org/officeDocument/2006/relationships/hyperlink" Target="http://thatware.co" TargetMode="External"/><Relationship Id="rId596" Type="http://schemas.openxmlformats.org/officeDocument/2006/relationships/hyperlink" Target="http://silverspoonagency.com" TargetMode="External"/><Relationship Id="rId111" Type="http://schemas.openxmlformats.org/officeDocument/2006/relationships/hyperlink" Target="https://thatware.co/top-10-geo-companies-in-uk/" TargetMode="External"/><Relationship Id="rId595" Type="http://schemas.openxmlformats.org/officeDocument/2006/relationships/hyperlink" Target="https://silverspoonagency.com/best-performance-marketing-agencies/" TargetMode="External"/><Relationship Id="rId547" Type="http://schemas.openxmlformats.org/officeDocument/2006/relationships/hyperlink" Target="https://inbeat.agency/blog/top-marketing-analytics-agencies" TargetMode="External"/><Relationship Id="rId546" Type="http://schemas.openxmlformats.org/officeDocument/2006/relationships/hyperlink" Target="https://inbeat.agency/blog/top-creative-agencies" TargetMode="External"/><Relationship Id="rId545" Type="http://schemas.openxmlformats.org/officeDocument/2006/relationships/hyperlink" Target="https://ikon.london/articles/best-creative-agencies" TargetMode="External"/><Relationship Id="rId544" Type="http://schemas.openxmlformats.org/officeDocument/2006/relationships/hyperlink" Target="http://hikemytraffic.com" TargetMode="External"/><Relationship Id="rId549" Type="http://schemas.openxmlformats.org/officeDocument/2006/relationships/hyperlink" Target="https://www.inbeat.co/articles/advertising-agencies-in-the-uk/" TargetMode="External"/><Relationship Id="rId548" Type="http://schemas.openxmlformats.org/officeDocument/2006/relationships/hyperlink" Target="https://inbeat.agency/blog/top-media-buying-agencies" TargetMode="External"/><Relationship Id="rId543" Type="http://schemas.openxmlformats.org/officeDocument/2006/relationships/hyperlink" Target="https://hikemytraffic.com/ai-digital-marketing-services-in-uk/" TargetMode="External"/><Relationship Id="rId542" Type="http://schemas.openxmlformats.org/officeDocument/2006/relationships/hyperlink" Target="http://hikemytraffic.com" TargetMode="External"/><Relationship Id="rId541" Type="http://schemas.openxmlformats.org/officeDocument/2006/relationships/hyperlink" Target="https://hikemytraffic.com/ai-digital-marketing-agencies-in-uk/" TargetMode="External"/><Relationship Id="rId540" Type="http://schemas.openxmlformats.org/officeDocument/2006/relationships/hyperlink" Target="http://helium42.com" TargetMode="External"/><Relationship Id="rId536" Type="http://schemas.openxmlformats.org/officeDocument/2006/relationships/hyperlink" Target="http://groupcaliber.com" TargetMode="External"/><Relationship Id="rId535" Type="http://schemas.openxmlformats.org/officeDocument/2006/relationships/hyperlink" Target="https://www.groupcaliber.com/top-reputation-monitoring-tools-and-why-stakeholder-intelligence-is-next/" TargetMode="External"/><Relationship Id="rId534" Type="http://schemas.openxmlformats.org/officeDocument/2006/relationships/hyperlink" Target="http://forrester.com" TargetMode="External"/><Relationship Id="rId533" Type="http://schemas.openxmlformats.org/officeDocument/2006/relationships/hyperlink" Target="https://www.forrester.com/blogs/the-latest-and-greatest-mmo-service-providers/" TargetMode="External"/><Relationship Id="rId539" Type="http://schemas.openxmlformats.org/officeDocument/2006/relationships/hyperlink" Target="https://helium42.com/blog/ai-consultant-london" TargetMode="External"/><Relationship Id="rId538" Type="http://schemas.openxmlformats.org/officeDocument/2006/relationships/hyperlink" Target="http://hawkemedia.com" TargetMode="External"/><Relationship Id="rId537" Type="http://schemas.openxmlformats.org/officeDocument/2006/relationships/hyperlink" Target="https://hawkemedia.com/insights/top-performance-marketing-agencies/" TargetMode="External"/><Relationship Id="rId532" Type="http://schemas.openxmlformats.org/officeDocument/2006/relationships/hyperlink" Target="http://forrester.com" TargetMode="External"/><Relationship Id="rId531" Type="http://schemas.openxmlformats.org/officeDocument/2006/relationships/hyperlink" Target="https://www.forrester.com/blogs/picking-an-agency-to-maximize-the-value-of-your-first-party-data/" TargetMode="External"/><Relationship Id="rId530" Type="http://schemas.openxmlformats.org/officeDocument/2006/relationships/hyperlink" Target="https://www.fieldtrip.agency/post/top-geo-agencies" TargetMode="External"/><Relationship Id="rId569" Type="http://schemas.openxmlformats.org/officeDocument/2006/relationships/hyperlink" Target="https://neuraladx.com/top-10-geo-agencies-uk/" TargetMode="External"/><Relationship Id="rId568" Type="http://schemas.openxmlformats.org/officeDocument/2006/relationships/hyperlink" Target="http://netmonkeys.co.uk" TargetMode="External"/><Relationship Id="rId567" Type="http://schemas.openxmlformats.org/officeDocument/2006/relationships/hyperlink" Target="https://netmonkeys.co.uk/top-10-ai-gen-ai-consultancy-firms-in-the-uk-netmonkeys" TargetMode="External"/><Relationship Id="rId566" Type="http://schemas.openxmlformats.org/officeDocument/2006/relationships/hyperlink" Target="https://www.munro.agency/insights/top-marketing-companies-in-the-world/" TargetMode="External"/><Relationship Id="rId561" Type="http://schemas.openxmlformats.org/officeDocument/2006/relationships/hyperlink" Target="https://www.mintcopywritingstudios.com/blog/ai-search-optimization-geo-agencies" TargetMode="External"/><Relationship Id="rId560" Type="http://schemas.openxmlformats.org/officeDocument/2006/relationships/hyperlink" Target="http://marketingsignals.com" TargetMode="External"/><Relationship Id="rId565" Type="http://schemas.openxmlformats.org/officeDocument/2006/relationships/hyperlink" Target="https://www.munro.agency/best-digital-marketing-agencies-in-london/" TargetMode="External"/><Relationship Id="rId564" Type="http://schemas.openxmlformats.org/officeDocument/2006/relationships/hyperlink" Target="http://modernmarketingpartners.com" TargetMode="External"/><Relationship Id="rId563" Type="http://schemas.openxmlformats.org/officeDocument/2006/relationships/hyperlink" Target="https://www.modernmarketingpartners.com/2026/03/19/14-best-answer-engine-optimization-agencies-aeo-insights-company-rankings-for-2026/" TargetMode="External"/><Relationship Id="rId562" Type="http://schemas.openxmlformats.org/officeDocument/2006/relationships/hyperlink" Target="http://mintcopywritingstudios.com" TargetMode="External"/><Relationship Id="rId558" Type="http://schemas.openxmlformats.org/officeDocument/2006/relationships/hyperlink" Target="http://madebyshape.co.uk" TargetMode="External"/><Relationship Id="rId557" Type="http://schemas.openxmlformats.org/officeDocument/2006/relationships/hyperlink" Target="https://madebyshape.co.uk/web-design-blog/the-best-social-media-agencies-in-the-uk/" TargetMode="External"/><Relationship Id="rId556" Type="http://schemas.openxmlformats.org/officeDocument/2006/relationships/hyperlink" Target="http://m1-project.com" TargetMode="External"/><Relationship Id="rId555" Type="http://schemas.openxmlformats.org/officeDocument/2006/relationships/hyperlink" Target="https://www.m1-project.com/blog/10-best-ai-marketing-agencies-in-depth-comparison" TargetMode="External"/><Relationship Id="rId559" Type="http://schemas.openxmlformats.org/officeDocument/2006/relationships/hyperlink" Target="https://marketingsignals.com/best-geo-agency-2026-the-top-generative-engine-optimisation-agencies-ranked/" TargetMode="External"/><Relationship Id="rId550" Type="http://schemas.openxmlformats.org/officeDocument/2006/relationships/hyperlink" Target="http://inbeat.co" TargetMode="External"/><Relationship Id="rId554" Type="http://schemas.openxmlformats.org/officeDocument/2006/relationships/hyperlink" Target="http://lucatagliaferro.com" TargetMode="External"/><Relationship Id="rId553" Type="http://schemas.openxmlformats.org/officeDocument/2006/relationships/hyperlink" Target="https://www.lucatagliaferro.com/recommended-aeo-freelance-consultants-for-ai-visibility/" TargetMode="External"/><Relationship Id="rId552" Type="http://schemas.openxmlformats.org/officeDocument/2006/relationships/hyperlink" Target="http://influencermarketinghub.com" TargetMode="External"/><Relationship Id="rId551" Type="http://schemas.openxmlformats.org/officeDocument/2006/relationships/hyperlink" Target="https://influencermarketinghub.com/ai-marketing-agencies/" TargetMode="External"/><Relationship Id="rId495" Type="http://schemas.openxmlformats.org/officeDocument/2006/relationships/hyperlink" Target="http://youtube.com" TargetMode="External"/><Relationship Id="rId494" Type="http://schemas.openxmlformats.org/officeDocument/2006/relationships/hyperlink" Target="https://www.youtube.com/watch?v=fdPFLXFJlwo&amp;t=55" TargetMode="External"/><Relationship Id="rId493" Type="http://schemas.openxmlformats.org/officeDocument/2006/relationships/hyperlink" Target="http://youtube.com" TargetMode="External"/><Relationship Id="rId492" Type="http://schemas.openxmlformats.org/officeDocument/2006/relationships/hyperlink" Target="https://www.youtube.com/watch?v=5K95qPc0HJs" TargetMode="External"/><Relationship Id="rId499" Type="http://schemas.openxmlformats.org/officeDocument/2006/relationships/hyperlink" Target="http://brillmedia.co" TargetMode="External"/><Relationship Id="rId498" Type="http://schemas.openxmlformats.org/officeDocument/2006/relationships/hyperlink" Target="https://brillmedia.co/resources/best-display-advertising-agencies/" TargetMode="External"/><Relationship Id="rId497" Type="http://schemas.openxmlformats.org/officeDocument/2006/relationships/hyperlink" Target="http://abbacustechnologies.com" TargetMode="External"/><Relationship Id="rId496" Type="http://schemas.openxmlformats.org/officeDocument/2006/relationships/hyperlink" Target="https://www.abbacustechnologies.com/top-ecommerce-development-companies-in-the-uk/" TargetMode="External"/><Relationship Id="rId907" Type="http://schemas.openxmlformats.org/officeDocument/2006/relationships/hyperlink" Target="https://noirandblanco.com/best-digital-marketing-agencies-in-the-uk/" TargetMode="External"/><Relationship Id="rId906" Type="http://schemas.openxmlformats.org/officeDocument/2006/relationships/hyperlink" Target="http://niracore.com" TargetMode="External"/><Relationship Id="rId905" Type="http://schemas.openxmlformats.org/officeDocument/2006/relationships/hyperlink" Target="https://www.niracore.com/top-ai-consulting-companies-in-the-uk/" TargetMode="External"/><Relationship Id="rId904" Type="http://schemas.openxmlformats.org/officeDocument/2006/relationships/hyperlink" Target="http://ninjapromo.io" TargetMode="External"/><Relationship Id="rId909" Type="http://schemas.openxmlformats.org/officeDocument/2006/relationships/hyperlink" Target="https://oakpool.xyz/drift/top-10-geo-aeo-ai-search-agencies/" TargetMode="External"/><Relationship Id="rId908" Type="http://schemas.openxmlformats.org/officeDocument/2006/relationships/hyperlink" Target="http://noirandblanco.com" TargetMode="External"/><Relationship Id="rId903" Type="http://schemas.openxmlformats.org/officeDocument/2006/relationships/hyperlink" Target="https://ninjapromo.io/best-ai-marketing-agencies" TargetMode="External"/><Relationship Id="rId902" Type="http://schemas.openxmlformats.org/officeDocument/2006/relationships/hyperlink" Target="http://nikaconsulting.co.nz" TargetMode="External"/><Relationship Id="rId901" Type="http://schemas.openxmlformats.org/officeDocument/2006/relationships/hyperlink" Target="https://www.nikaconsulting.co.nz/advertising-agencies-auckland/" TargetMode="External"/><Relationship Id="rId900" Type="http://schemas.openxmlformats.org/officeDocument/2006/relationships/hyperlink" Target="http://nealschaffer.com" TargetMode="External"/><Relationship Id="rId929" Type="http://schemas.openxmlformats.org/officeDocument/2006/relationships/hyperlink" Target="http://phable.io" TargetMode="External"/><Relationship Id="rId928" Type="http://schemas.openxmlformats.org/officeDocument/2006/relationships/hyperlink" Target="https://www.phable.io/top-creative-agencies/in-east-london-masters-of-branding-content-creation-and-digital-innovation" TargetMode="External"/><Relationship Id="rId927" Type="http://schemas.openxmlformats.org/officeDocument/2006/relationships/hyperlink" Target="http://performancemarketingadvisors.com" TargetMode="External"/><Relationship Id="rId926" Type="http://schemas.openxmlformats.org/officeDocument/2006/relationships/hyperlink" Target="https://www.performancemarketingadvisors.com/insights/10-powerful-ai-applications-for-business-marketing-leaders" TargetMode="External"/><Relationship Id="rId921" Type="http://schemas.openxmlformats.org/officeDocument/2006/relationships/hyperlink" Target="http://outreachz.com" TargetMode="External"/><Relationship Id="rId920" Type="http://schemas.openxmlformats.org/officeDocument/2006/relationships/hyperlink" Target="https://outreachz.com/blog/best-ai-marketing-agencies-2026/" TargetMode="External"/><Relationship Id="rId925" Type="http://schemas.openxmlformats.org/officeDocument/2006/relationships/hyperlink" Target="http://penji.co" TargetMode="External"/><Relationship Id="rId924" Type="http://schemas.openxmlformats.org/officeDocument/2006/relationships/hyperlink" Target="https://penji.co/biggest-creative-agencies/" TargetMode="External"/><Relationship Id="rId923" Type="http://schemas.openxmlformats.org/officeDocument/2006/relationships/hyperlink" Target="http://pearllemon.com" TargetMode="External"/><Relationship Id="rId922" Type="http://schemas.openxmlformats.org/officeDocument/2006/relationships/hyperlink" Target="https://pearllemon.com/top-performance-marketing-agencies-uk-2/" TargetMode="External"/><Relationship Id="rId918" Type="http://schemas.openxmlformats.org/officeDocument/2006/relationships/hyperlink" Target="http://onlineoptimism.com" TargetMode="External"/><Relationship Id="rId917" Type="http://schemas.openxmlformats.org/officeDocument/2006/relationships/hyperlink" Target="https://onlineoptimism.com/learn/top-b2b-social-media-agencies-in-the-world/" TargetMode="External"/><Relationship Id="rId916" Type="http://schemas.openxmlformats.org/officeDocument/2006/relationships/hyperlink" Target="http://onely.com" TargetMode="External"/><Relationship Id="rId915" Type="http://schemas.openxmlformats.org/officeDocument/2006/relationships/hyperlink" Target="https://www.onely.com/blog/best-digital-marketing-agencies/" TargetMode="External"/><Relationship Id="rId919" Type="http://schemas.openxmlformats.org/officeDocument/2006/relationships/hyperlink" Target="https://oski.site/blog/sales-and-marketing-analytics-companies-europe/" TargetMode="External"/><Relationship Id="rId910" Type="http://schemas.openxmlformats.org/officeDocument/2006/relationships/hyperlink" Target="http://oakpool.xyz" TargetMode="External"/><Relationship Id="rId914" Type="http://schemas.openxmlformats.org/officeDocument/2006/relationships/hyperlink" Target="http://omnibound.ai" TargetMode="External"/><Relationship Id="rId913" Type="http://schemas.openxmlformats.org/officeDocument/2006/relationships/hyperlink" Target="https://www.omnibound.ai/blog/first-party-data-statistics" TargetMode="External"/><Relationship Id="rId912" Type="http://schemas.openxmlformats.org/officeDocument/2006/relationships/hyperlink" Target="http://ofspace.co" TargetMode="External"/><Relationship Id="rId911" Type="http://schemas.openxmlformats.org/officeDocument/2006/relationships/hyperlink" Target="https://www.ofspace.co/blog/digital-product-design-agency-london" TargetMode="External"/><Relationship Id="rId866" Type="http://schemas.openxmlformats.org/officeDocument/2006/relationships/hyperlink" Target="https://www.leverdigital.co.uk/post/best-ppc-agencies-uk" TargetMode="External"/><Relationship Id="rId865" Type="http://schemas.openxmlformats.org/officeDocument/2006/relationships/hyperlink" Target="http://lengreo.com" TargetMode="External"/><Relationship Id="rId864" Type="http://schemas.openxmlformats.org/officeDocument/2006/relationships/hyperlink" Target="https://lengreo.com/erotic-lead-generation-agencies/" TargetMode="External"/><Relationship Id="rId863" Type="http://schemas.openxmlformats.org/officeDocument/2006/relationships/hyperlink" Target="http://knownandcited.com" TargetMode="External"/><Relationship Id="rId869" Type="http://schemas.openxmlformats.org/officeDocument/2006/relationships/hyperlink" Target="http://linkedin.com" TargetMode="External"/><Relationship Id="rId868" Type="http://schemas.openxmlformats.org/officeDocument/2006/relationships/hyperlink" Target="https://www.linkedin.com/pulse/top-21-data-science-consulting-companies-2026-saurabh-sharma-kzwge" TargetMode="External"/><Relationship Id="rId867" Type="http://schemas.openxmlformats.org/officeDocument/2006/relationships/hyperlink" Target="http://leverdigital.co.uk" TargetMode="External"/><Relationship Id="rId862" Type="http://schemas.openxmlformats.org/officeDocument/2006/relationships/hyperlink" Target="https://knownandcited.com/blog/leading-uk-ai-visibility-agencies-2026" TargetMode="External"/><Relationship Id="rId861" Type="http://schemas.openxmlformats.org/officeDocument/2006/relationships/hyperlink" Target="http://kaweb.co.uk" TargetMode="External"/><Relationship Id="rId860" Type="http://schemas.openxmlformats.org/officeDocument/2006/relationships/hyperlink" Target="https://www.kaweb.co.uk/blog/best-ppc-agencies-uk" TargetMode="External"/><Relationship Id="rId855" Type="http://schemas.openxmlformats.org/officeDocument/2006/relationships/hyperlink" Target="http://itprofiles.com" TargetMode="External"/><Relationship Id="rId854" Type="http://schemas.openxmlformats.org/officeDocument/2006/relationships/hyperlink" Target="https://itprofiles.com/services/ai-consulting/uk" TargetMode="External"/><Relationship Id="rId853" Type="http://schemas.openxmlformats.org/officeDocument/2006/relationships/hyperlink" Target="http://intellectyx.com" TargetMode="External"/><Relationship Id="rId852" Type="http://schemas.openxmlformats.org/officeDocument/2006/relationships/hyperlink" Target="https://www.intellectyx.com/ai-agent-development-companies-in-usa/" TargetMode="External"/><Relationship Id="rId859" Type="http://schemas.openxmlformats.org/officeDocument/2006/relationships/hyperlink" Target="http://k2l.co.uk" TargetMode="External"/><Relationship Id="rId858" Type="http://schemas.openxmlformats.org/officeDocument/2006/relationships/hyperlink" Target="https://www.k2l.co.uk/top-25-digital-marketing-agencies-in-the-uk-2024/" TargetMode="External"/><Relationship Id="rId857" Type="http://schemas.openxmlformats.org/officeDocument/2006/relationships/hyperlink" Target="http://jake-jorgovan.com" TargetMode="External"/><Relationship Id="rId856" Type="http://schemas.openxmlformats.org/officeDocument/2006/relationships/hyperlink" Target="https://jake-jorgovan.com/blog/tiktok-marketing-agencies" TargetMode="External"/><Relationship Id="rId851" Type="http://schemas.openxmlformats.org/officeDocument/2006/relationships/hyperlink" Target="http://insanelogic.co.uk" TargetMode="External"/><Relationship Id="rId850" Type="http://schemas.openxmlformats.org/officeDocument/2006/relationships/hyperlink" Target="https://insanelogic.co.uk/top-uk-geo-agencies-for-scaling-visibility-in-generative-engines" TargetMode="External"/><Relationship Id="rId409" Type="http://schemas.openxmlformats.org/officeDocument/2006/relationships/hyperlink" Target="http://therubiconagency.com" TargetMode="External"/><Relationship Id="rId404" Type="http://schemas.openxmlformats.org/officeDocument/2006/relationships/hyperlink" Target="https://www.superside.com/blog/ai-powered-agencies" TargetMode="External"/><Relationship Id="rId888" Type="http://schemas.openxmlformats.org/officeDocument/2006/relationships/hyperlink" Target="https://www.mediaworxfilms.com/post/best-10-creative-agencies-in-london-2025" TargetMode="External"/><Relationship Id="rId403" Type="http://schemas.openxmlformats.org/officeDocument/2006/relationships/hyperlink" Target="http://socialchameleon.com" TargetMode="External"/><Relationship Id="rId887" Type="http://schemas.openxmlformats.org/officeDocument/2006/relationships/hyperlink" Target="http://mediascape.ltd.uk" TargetMode="External"/><Relationship Id="rId402" Type="http://schemas.openxmlformats.org/officeDocument/2006/relationships/hyperlink" Target="https://socialchameleon.com/30-marketing-agencies-uk/" TargetMode="External"/><Relationship Id="rId886" Type="http://schemas.openxmlformats.org/officeDocument/2006/relationships/hyperlink" Target="https://mediascape.ltd.uk/av-insights/top-digital-screen-companies-in-the-uk/" TargetMode="External"/><Relationship Id="rId401" Type="http://schemas.openxmlformats.org/officeDocument/2006/relationships/hyperlink" Target="http://ppcgeeks.co.uk" TargetMode="External"/><Relationship Id="rId885" Type="http://schemas.openxmlformats.org/officeDocument/2006/relationships/hyperlink" Target="http://medianug.com" TargetMode="External"/><Relationship Id="rId408" Type="http://schemas.openxmlformats.org/officeDocument/2006/relationships/hyperlink" Target="https://therubiconagency.com/technology-marketing-blog/top-10-b2b-ppc-agencies-uk/" TargetMode="External"/><Relationship Id="rId407" Type="http://schemas.openxmlformats.org/officeDocument/2006/relationships/hyperlink" Target="http://thedrum.com" TargetMode="External"/><Relationship Id="rId406" Type="http://schemas.openxmlformats.org/officeDocument/2006/relationships/hyperlink" Target="https://www.thedrum.com/news/world-creative-rankings-2026-several-dublin-agencies-break-into-uk-ireland-top-spots" TargetMode="External"/><Relationship Id="rId405" Type="http://schemas.openxmlformats.org/officeDocument/2006/relationships/hyperlink" Target="http://superside.com" TargetMode="External"/><Relationship Id="rId889" Type="http://schemas.openxmlformats.org/officeDocument/2006/relationships/hyperlink" Target="http://mediaworxfilms.com" TargetMode="External"/><Relationship Id="rId880" Type="http://schemas.openxmlformats.org/officeDocument/2006/relationships/hyperlink" Target="https://marketingsignals.com/best-ppc-agency-2026-the-top-uk-pay-per-click-agencies-ranked/" TargetMode="External"/><Relationship Id="rId400" Type="http://schemas.openxmlformats.org/officeDocument/2006/relationships/hyperlink" Target="https://ppcgeeks.co.uk/ppc/programmatic-advertising-companies/" TargetMode="External"/><Relationship Id="rId884" Type="http://schemas.openxmlformats.org/officeDocument/2006/relationships/hyperlink" Target="https://www.medianug.com/blog/10-paid-media-agencies-to-elevate-your-marketing-strategy-in-2026" TargetMode="External"/><Relationship Id="rId883" Type="http://schemas.openxmlformats.org/officeDocument/2006/relationships/hyperlink" Target="http://martal.ca" TargetMode="External"/><Relationship Id="rId882" Type="http://schemas.openxmlformats.org/officeDocument/2006/relationships/hyperlink" Target="https://martal.ca/integrated-marketing-agencies-lb/" TargetMode="External"/><Relationship Id="rId881" Type="http://schemas.openxmlformats.org/officeDocument/2006/relationships/hyperlink" Target="http://marketingsignals.com" TargetMode="External"/><Relationship Id="rId877" Type="http://schemas.openxmlformats.org/officeDocument/2006/relationships/hyperlink" Target="http://marketerhire.com" TargetMode="External"/><Relationship Id="rId876" Type="http://schemas.openxmlformats.org/officeDocument/2006/relationships/hyperlink" Target="https://marketerhire.com/blog/display-advertising-agency" TargetMode="External"/><Relationship Id="rId875" Type="http://schemas.openxmlformats.org/officeDocument/2006/relationships/hyperlink" Target="http://madebyshape.co.uk" TargetMode="External"/><Relationship Id="rId874" Type="http://schemas.openxmlformats.org/officeDocument/2006/relationships/hyperlink" Target="https://madebyshape.co.uk/web-design-blog/the-best-branding-agencies-to-work-for-in-the-uk/" TargetMode="External"/><Relationship Id="rId879" Type="http://schemas.openxmlformats.org/officeDocument/2006/relationships/hyperlink" Target="http://martechoutlook.com" TargetMode="External"/><Relationship Id="rId878" Type="http://schemas.openxmlformats.org/officeDocument/2006/relationships/hyperlink" Target="https://marketing-attribution-and-consulting.martechoutlook.com/vendors/top-marketing-attribution-and-consulting-services.html" TargetMode="External"/><Relationship Id="rId873" Type="http://schemas.openxmlformats.org/officeDocument/2006/relationships/hyperlink" Target="http://lunarailab.com" TargetMode="External"/><Relationship Id="rId872" Type="http://schemas.openxmlformats.org/officeDocument/2006/relationships/hyperlink" Target="https://lunarailab.com/blog/2026/03/04/top-5-ai-agent-adoption-agencies-in-2026/" TargetMode="External"/><Relationship Id="rId871" Type="http://schemas.openxmlformats.org/officeDocument/2006/relationships/hyperlink" Target="http://loudface.co" TargetMode="External"/><Relationship Id="rId870" Type="http://schemas.openxmlformats.org/officeDocument/2006/relationships/hyperlink" Target="https://www.loudface.co/blog/best-aeo-agencies-b2b-saas-2026" TargetMode="External"/><Relationship Id="rId829" Type="http://schemas.openxmlformats.org/officeDocument/2006/relationships/hyperlink" Target="http://growthspreeofficial.com" TargetMode="External"/><Relationship Id="rId828" Type="http://schemas.openxmlformats.org/officeDocument/2006/relationships/hyperlink" Target="https://www.growthspreeofficial.com/blogs/top-6-ai-powered-b2b-saas-marketing-agencies-in-the-united-states-2026" TargetMode="External"/><Relationship Id="rId827" Type="http://schemas.openxmlformats.org/officeDocument/2006/relationships/hyperlink" Target="http://growthmanager.ai" TargetMode="External"/><Relationship Id="rId822" Type="http://schemas.openxmlformats.org/officeDocument/2006/relationships/hyperlink" Target="https://growth-labs.co.uk/top-50-uk-web-development-companies-2026-rankings/" TargetMode="External"/><Relationship Id="rId821" Type="http://schemas.openxmlformats.org/officeDocument/2006/relationships/hyperlink" Target="http://grizzle.io" TargetMode="External"/><Relationship Id="rId820" Type="http://schemas.openxmlformats.org/officeDocument/2006/relationships/hyperlink" Target="https://grizzle.io/blog/best-generative-engine-optimization-agencies-for-b2b" TargetMode="External"/><Relationship Id="rId826" Type="http://schemas.openxmlformats.org/officeDocument/2006/relationships/hyperlink" Target="https://growthmanager.ai/best-geo-agency" TargetMode="External"/><Relationship Id="rId825" Type="http://schemas.openxmlformats.org/officeDocument/2006/relationships/hyperlink" Target="http://growth.cx" TargetMode="External"/><Relationship Id="rId824" Type="http://schemas.openxmlformats.org/officeDocument/2006/relationships/hyperlink" Target="https://growth.cx/blog/best-performance-marketing-agencies/" TargetMode="External"/><Relationship Id="rId823" Type="http://schemas.openxmlformats.org/officeDocument/2006/relationships/hyperlink" Target="http://growth-labs.co.uk" TargetMode="External"/><Relationship Id="rId819" Type="http://schemas.openxmlformats.org/officeDocument/2006/relationships/hyperlink" Target="http://ginitalent.com" TargetMode="External"/><Relationship Id="rId818" Type="http://schemas.openxmlformats.org/officeDocument/2006/relationships/hyperlink" Target="https://ginitalent.com/top-10-creative-agencies-in-the-uk-2025-guide/" TargetMode="External"/><Relationship Id="rId817" Type="http://schemas.openxmlformats.org/officeDocument/2006/relationships/hyperlink" Target="http://gigawattgroup.com" TargetMode="External"/><Relationship Id="rId816" Type="http://schemas.openxmlformats.org/officeDocument/2006/relationships/hyperlink" Target="https://gigawattgroup.com/insights/best-geo-agencies-in-2026-who-actually-drives-ai-visibility-and-citations/" TargetMode="External"/><Relationship Id="rId811" Type="http://schemas.openxmlformats.org/officeDocument/2006/relationships/hyperlink" Target="http://funnel.io" TargetMode="External"/><Relationship Id="rId810" Type="http://schemas.openxmlformats.org/officeDocument/2006/relationships/hyperlink" Target="https://funnel.io/blog/top-mta-tools" TargetMode="External"/><Relationship Id="rId815" Type="http://schemas.openxmlformats.org/officeDocument/2006/relationships/hyperlink" Target="http://gen-optima.com" TargetMode="External"/><Relationship Id="rId814" Type="http://schemas.openxmlformats.org/officeDocument/2006/relationships/hyperlink" Target="https://www.gen-optima.com/geo/top-generative-ai-search-engine-optimization-agencies-2026/" TargetMode="External"/><Relationship Id="rId813" Type="http://schemas.openxmlformats.org/officeDocument/2006/relationships/hyperlink" Target="http://gambitagency.co.uk" TargetMode="External"/><Relationship Id="rId812" Type="http://schemas.openxmlformats.org/officeDocument/2006/relationships/hyperlink" Target="https://www.gambitagency.co.uk/blog/the-best-ppc-agencies" TargetMode="External"/><Relationship Id="rId849" Type="http://schemas.openxmlformats.org/officeDocument/2006/relationships/hyperlink" Target="http://influencermarketinghub.com" TargetMode="External"/><Relationship Id="rId844" Type="http://schemas.openxmlformats.org/officeDocument/2006/relationships/hyperlink" Target="https://www.inbeat.co/articles/top-performance-marketing-agencies/" TargetMode="External"/><Relationship Id="rId843" Type="http://schemas.openxmlformats.org/officeDocument/2006/relationships/hyperlink" Target="https://inbeat.agency/blog/top-ppc-agencies-uk" TargetMode="External"/><Relationship Id="rId842" Type="http://schemas.openxmlformats.org/officeDocument/2006/relationships/hyperlink" Target="https://inbeat.agency/blog/top-performance-creative-agencies" TargetMode="External"/><Relationship Id="rId841" Type="http://schemas.openxmlformats.org/officeDocument/2006/relationships/hyperlink" Target="https://inbeat.agency/blog/top-dynamic-creative-optimization-companies" TargetMode="External"/><Relationship Id="rId848" Type="http://schemas.openxmlformats.org/officeDocument/2006/relationships/hyperlink" Target="https://influencermarketinghub.com/performance-marketing-agencies/" TargetMode="External"/><Relationship Id="rId847" Type="http://schemas.openxmlformats.org/officeDocument/2006/relationships/hyperlink" Target="http://influencermarketinghub.com" TargetMode="External"/><Relationship Id="rId846" Type="http://schemas.openxmlformats.org/officeDocument/2006/relationships/hyperlink" Target="https://influencermarketinghub.com/geo-agencies/" TargetMode="External"/><Relationship Id="rId845" Type="http://schemas.openxmlformats.org/officeDocument/2006/relationships/hyperlink" Target="http://inbeat.co" TargetMode="External"/><Relationship Id="rId840" Type="http://schemas.openxmlformats.org/officeDocument/2006/relationships/hyperlink" Target="https://humanise.world/blog/first-party-data-activation" TargetMode="External"/><Relationship Id="rId839" Type="http://schemas.openxmlformats.org/officeDocument/2006/relationships/hyperlink" Target="http://hikemytraffic.com" TargetMode="External"/><Relationship Id="rId838" Type="http://schemas.openxmlformats.org/officeDocument/2006/relationships/hyperlink" Target="https://hikemytraffic.com/ai-digital-marketing-companies-in-uk/" TargetMode="External"/><Relationship Id="rId833" Type="http://schemas.openxmlformats.org/officeDocument/2006/relationships/hyperlink" Target="http://hawksem.com" TargetMode="External"/><Relationship Id="rId832" Type="http://schemas.openxmlformats.org/officeDocument/2006/relationships/hyperlink" Target="https://hawksem.com/blog/performance-marketing-agency-list/" TargetMode="External"/><Relationship Id="rId831" Type="http://schemas.openxmlformats.org/officeDocument/2006/relationships/hyperlink" Target="http://hashmeta.com" TargetMode="External"/><Relationship Id="rId830" Type="http://schemas.openxmlformats.org/officeDocument/2006/relationships/hyperlink" Target="https://hashmeta.com/blog/10-best-aeo-geo-agencies-for-ai-search-optimization/" TargetMode="External"/><Relationship Id="rId837" Type="http://schemas.openxmlformats.org/officeDocument/2006/relationships/hyperlink" Target="http://heydigital.co" TargetMode="External"/><Relationship Id="rId836" Type="http://schemas.openxmlformats.org/officeDocument/2006/relationships/hyperlink" Target="https://www.heydigital.co/blog/saas-marketing-agencies" TargetMode="External"/><Relationship Id="rId835" Type="http://schemas.openxmlformats.org/officeDocument/2006/relationships/hyperlink" Target="http://helium42.com" TargetMode="External"/><Relationship Id="rId834" Type="http://schemas.openxmlformats.org/officeDocument/2006/relationships/hyperlink" Target="https://helium42.com/blog/how-to-choose-ai-consultant" TargetMode="External"/><Relationship Id="rId469" Type="http://schemas.openxmlformats.org/officeDocument/2006/relationships/hyperlink" Target="http://rank4ai.co.uk" TargetMode="External"/><Relationship Id="rId468" Type="http://schemas.openxmlformats.org/officeDocument/2006/relationships/hyperlink" Target="https://www.rank4ai.co.uk/research/rankings/best-ai-search-agencies-uk/" TargetMode="External"/><Relationship Id="rId467" Type="http://schemas.openxmlformats.org/officeDocument/2006/relationships/hyperlink" Target="http://pearllemon.com" TargetMode="External"/><Relationship Id="rId462" Type="http://schemas.openxmlformats.org/officeDocument/2006/relationships/hyperlink" Target="https://onelittleweb.com/top-agencies/top-performance-marketing-agencies/" TargetMode="External"/><Relationship Id="rId461" Type="http://schemas.openxmlformats.org/officeDocument/2006/relationships/hyperlink" Target="https://www.munro.agency/best-ai-seo-agencies-in-the-uk/" TargetMode="External"/><Relationship Id="rId460" Type="http://schemas.openxmlformats.org/officeDocument/2006/relationships/hyperlink" Target="http://modernmarketingpartners.com" TargetMode="External"/><Relationship Id="rId466" Type="http://schemas.openxmlformats.org/officeDocument/2006/relationships/hyperlink" Target="https://pearllemon.com/top-performance-marketing-agencies-uk/" TargetMode="External"/><Relationship Id="rId465" Type="http://schemas.openxmlformats.org/officeDocument/2006/relationships/hyperlink" Target="http://oxdpr.com" TargetMode="External"/><Relationship Id="rId464" Type="http://schemas.openxmlformats.org/officeDocument/2006/relationships/hyperlink" Target="https://oxdpr.com/creative-strategy-agencies/" TargetMode="External"/><Relationship Id="rId463" Type="http://schemas.openxmlformats.org/officeDocument/2006/relationships/hyperlink" Target="http://onelittleweb.com" TargetMode="External"/><Relationship Id="rId459" Type="http://schemas.openxmlformats.org/officeDocument/2006/relationships/hyperlink" Target="https://www.modernmarketingpartners.com/2026/05/06/7-recommended-aeo-geo-agencies-for-ecommerce-brands/" TargetMode="External"/><Relationship Id="rId458" Type="http://schemas.openxmlformats.org/officeDocument/2006/relationships/hyperlink" Target="http://jdrgroup.co.uk" TargetMode="External"/><Relationship Id="rId457" Type="http://schemas.openxmlformats.org/officeDocument/2006/relationships/hyperlink" Target="https://www.jdrgroup.co.uk/blog/best-ppc-agency-uk" TargetMode="External"/><Relationship Id="rId456" Type="http://schemas.openxmlformats.org/officeDocument/2006/relationships/hyperlink" Target="http://indexly.ai" TargetMode="External"/><Relationship Id="rId451" Type="http://schemas.openxmlformats.org/officeDocument/2006/relationships/hyperlink" Target="https://www.cognitute.org/blogs/top-ai-strategy-consulting-firms-globally" TargetMode="External"/><Relationship Id="rId450" Type="http://schemas.openxmlformats.org/officeDocument/2006/relationships/hyperlink" Target="http://clickslice.co.uk" TargetMode="External"/><Relationship Id="rId455" Type="http://schemas.openxmlformats.org/officeDocument/2006/relationships/hyperlink" Target="https://indexly.ai/blog/top-10-seo-agencies-in-london/" TargetMode="External"/><Relationship Id="rId454" Type="http://schemas.openxmlformats.org/officeDocument/2006/relationships/hyperlink" Target="http://growth-labs.co.uk" TargetMode="External"/><Relationship Id="rId453" Type="http://schemas.openxmlformats.org/officeDocument/2006/relationships/hyperlink" Target="https://growth-labs.co.uk/best-uk-digital-marketing-agencies-2026/" TargetMode="External"/><Relationship Id="rId452" Type="http://schemas.openxmlformats.org/officeDocument/2006/relationships/hyperlink" Target="http://cognitute.org" TargetMode="External"/><Relationship Id="rId491" Type="http://schemas.openxmlformats.org/officeDocument/2006/relationships/hyperlink" Target="http://wowinfotech.co.uk" TargetMode="External"/><Relationship Id="rId490" Type="http://schemas.openxmlformats.org/officeDocument/2006/relationships/hyperlink" Target="https://www.wowinfotech.co.uk/blog/google-ads-agency-uk" TargetMode="External"/><Relationship Id="rId489" Type="http://schemas.openxmlformats.org/officeDocument/2006/relationships/hyperlink" Target="http://webtonic.io" TargetMode="External"/><Relationship Id="rId484" Type="http://schemas.openxmlformats.org/officeDocument/2006/relationships/hyperlink" Target="https://thesocialshepherd.com/blog/top-advertising-agencies-uk" TargetMode="External"/><Relationship Id="rId483" Type="http://schemas.openxmlformats.org/officeDocument/2006/relationships/hyperlink" Target="http://themanifest.com" TargetMode="External"/><Relationship Id="rId482" Type="http://schemas.openxmlformats.org/officeDocument/2006/relationships/hyperlink" Target="https://themanifest.com/advertising/agencies/uk" TargetMode="External"/><Relationship Id="rId481" Type="http://schemas.openxmlformats.org/officeDocument/2006/relationships/hyperlink" Target="http://thegrowthsyndicate.com" TargetMode="External"/><Relationship Id="rId488" Type="http://schemas.openxmlformats.org/officeDocument/2006/relationships/hyperlink" Target="https://www.webtonic.io/blog/best-ppc-agencies-uk" TargetMode="External"/><Relationship Id="rId487" Type="http://schemas.openxmlformats.org/officeDocument/2006/relationships/hyperlink" Target="http://ultrascout.ai" TargetMode="External"/><Relationship Id="rId486" Type="http://schemas.openxmlformats.org/officeDocument/2006/relationships/hyperlink" Target="https://ultrascout.ai/guides/agency-directory/" TargetMode="External"/><Relationship Id="rId485" Type="http://schemas.openxmlformats.org/officeDocument/2006/relationships/hyperlink" Target="http://thesocialshepherd.com" TargetMode="External"/><Relationship Id="rId480" Type="http://schemas.openxmlformats.org/officeDocument/2006/relationships/hyperlink" Target="https://www.thegrowthsyndicate.com/agencies/best-b2b-performance-marketing-agencies-europe" TargetMode="External"/><Relationship Id="rId479" Type="http://schemas.openxmlformats.org/officeDocument/2006/relationships/hyperlink" Target="http://thegraygency.com" TargetMode="External"/><Relationship Id="rId478" Type="http://schemas.openxmlformats.org/officeDocument/2006/relationships/hyperlink" Target="https://thegraygency.com/the-11-top-paid-social-agencies-for-social-media-growth/" TargetMode="External"/><Relationship Id="rId473" Type="http://schemas.openxmlformats.org/officeDocument/2006/relationships/hyperlink" Target="http://seoworks.com" TargetMode="External"/><Relationship Id="rId472" Type="http://schemas.openxmlformats.org/officeDocument/2006/relationships/hyperlink" Target="https://www.seoworks.com/lists/the-20-best-geo-agencies/" TargetMode="External"/><Relationship Id="rId471" Type="http://schemas.openxmlformats.org/officeDocument/2006/relationships/hyperlink" Target="http://rocketium.ai" TargetMode="External"/><Relationship Id="rId470" Type="http://schemas.openxmlformats.org/officeDocument/2006/relationships/hyperlink" Target="https://rocketium.ai/academy/all/ai-tools-scaling-creative-production" TargetMode="External"/><Relationship Id="rId477" Type="http://schemas.openxmlformats.org/officeDocument/2006/relationships/hyperlink" Target="http://softblues.io" TargetMode="External"/><Relationship Id="rId476" Type="http://schemas.openxmlformats.org/officeDocument/2006/relationships/hyperlink" Target="https://softblues.io/blog/best-ai-consulting-companies-uk" TargetMode="External"/><Relationship Id="rId475" Type="http://schemas.openxmlformats.org/officeDocument/2006/relationships/hyperlink" Target="http://smacient.com" TargetMode="External"/><Relationship Id="rId474" Type="http://schemas.openxmlformats.org/officeDocument/2006/relationships/hyperlink" Target="https://smacient.com/top-ai-marketing-agencies-in-the-uk/" TargetMode="External"/><Relationship Id="rId426" Type="http://schemas.openxmlformats.org/officeDocument/2006/relationships/hyperlink" Target="https://piperocket.digital/list/best-paid-social-agencies/" TargetMode="External"/><Relationship Id="rId425" Type="http://schemas.openxmlformats.org/officeDocument/2006/relationships/hyperlink" Target="http://oyik.ai" TargetMode="External"/><Relationship Id="rId424" Type="http://schemas.openxmlformats.org/officeDocument/2006/relationships/hyperlink" Target="https://oyik.ai/automation/the-top-consulting-firms-in-the-uk-for-ai-gen-ai-services/" TargetMode="External"/><Relationship Id="rId423" Type="http://schemas.openxmlformats.org/officeDocument/2006/relationships/hyperlink" Target="http://nogood.io" TargetMode="External"/><Relationship Id="rId429" Type="http://schemas.openxmlformats.org/officeDocument/2006/relationships/hyperlink" Target="https://septemai.com/blog/top-ai-consulting-firms-companies-uk-2026" TargetMode="External"/><Relationship Id="rId428" Type="http://schemas.openxmlformats.org/officeDocument/2006/relationships/hyperlink" Target="http://rzlt.io" TargetMode="External"/><Relationship Id="rId427" Type="http://schemas.openxmlformats.org/officeDocument/2006/relationships/hyperlink" Target="https://www.rzlt.io/blog/best-ai-marketing-agencies-in-2026-the-definitive-guide-by-specialty" TargetMode="External"/><Relationship Id="rId422" Type="http://schemas.openxmlformats.org/officeDocument/2006/relationships/hyperlink" Target="https://nogood.io/blog/social-media-marketing-agency-london/" TargetMode="External"/><Relationship Id="rId421" Type="http://schemas.openxmlformats.org/officeDocument/2006/relationships/hyperlink" Target="http://nogood.io" TargetMode="External"/><Relationship Id="rId420" Type="http://schemas.openxmlformats.org/officeDocument/2006/relationships/hyperlink" Target="https://nogood.io/blog/performance-marketing-agencies/" TargetMode="External"/><Relationship Id="rId415" Type="http://schemas.openxmlformats.org/officeDocument/2006/relationships/hyperlink" Target="http://arramton.com" TargetMode="External"/><Relationship Id="rId899" Type="http://schemas.openxmlformats.org/officeDocument/2006/relationships/hyperlink" Target="https://nealschaffer.com/ai-marketing-agency/" TargetMode="External"/><Relationship Id="rId414" Type="http://schemas.openxmlformats.org/officeDocument/2006/relationships/hyperlink" Target="https://arramton.com/blogs/performance-marketing-agencies" TargetMode="External"/><Relationship Id="rId898" Type="http://schemas.openxmlformats.org/officeDocument/2006/relationships/hyperlink" Target="http://nalaber.com" TargetMode="External"/><Relationship Id="rId413" Type="http://schemas.openxmlformats.org/officeDocument/2006/relationships/hyperlink" Target="http://ukpaidmediaawards.co.uk" TargetMode="External"/><Relationship Id="rId897" Type="http://schemas.openxmlformats.org/officeDocument/2006/relationships/hyperlink" Target="https://nalaber.com/insights/best-ai-seo-agencies-uk" TargetMode="External"/><Relationship Id="rId412" Type="http://schemas.openxmlformats.org/officeDocument/2006/relationships/hyperlink" Target="https://ukpaidmediaawards.co.uk/2026-winners/" TargetMode="External"/><Relationship Id="rId896" Type="http://schemas.openxmlformats.org/officeDocument/2006/relationships/hyperlink" Target="https://www.munro.agency/top-geo-agencies/" TargetMode="External"/><Relationship Id="rId419" Type="http://schemas.openxmlformats.org/officeDocument/2006/relationships/hyperlink" Target="http://macreativeag.com" TargetMode="External"/><Relationship Id="rId418" Type="http://schemas.openxmlformats.org/officeDocument/2006/relationships/hyperlink" Target="https://macreativeag.com/digital-marketing/uk-top-digital-marketing-agencies/" TargetMode="External"/><Relationship Id="rId417" Type="http://schemas.openxmlformats.org/officeDocument/2006/relationships/hyperlink" Target="http://linea-analytics.com" TargetMode="External"/><Relationship Id="rId416" Type="http://schemas.openxmlformats.org/officeDocument/2006/relationships/hyperlink" Target="https://linea-analytics.com/articles/best-marketing-mix-modeling-tools-uk/article.html" TargetMode="External"/><Relationship Id="rId891" Type="http://schemas.openxmlformats.org/officeDocument/2006/relationships/hyperlink" Target="http://mitochonpixel.co.uk" TargetMode="External"/><Relationship Id="rId890" Type="http://schemas.openxmlformats.org/officeDocument/2006/relationships/hyperlink" Target="https://www.mitochonpixel.co.uk/blogs/top-10-analytics-and-reporting-companies-in-uk" TargetMode="External"/><Relationship Id="rId411" Type="http://schemas.openxmlformats.org/officeDocument/2006/relationships/hyperlink" Target="http://thesocialshepherd.com" TargetMode="External"/><Relationship Id="rId895" Type="http://schemas.openxmlformats.org/officeDocument/2006/relationships/hyperlink" Target="https://www.munro.agency/top-10-paid-media-agencies/" TargetMode="External"/><Relationship Id="rId410" Type="http://schemas.openxmlformats.org/officeDocument/2006/relationships/hyperlink" Target="https://thesocialshepherd.com/blog/creative-agencies-uk" TargetMode="External"/><Relationship Id="rId894" Type="http://schemas.openxmlformats.org/officeDocument/2006/relationships/hyperlink" Target="https://www.munro.agency/google-ads-agencies/" TargetMode="External"/><Relationship Id="rId893" Type="http://schemas.openxmlformats.org/officeDocument/2006/relationships/hyperlink" Target="https://www.munro.agency/creative-advertising-agencies/" TargetMode="External"/><Relationship Id="rId892" Type="http://schemas.openxmlformats.org/officeDocument/2006/relationships/hyperlink" Target="https://www.munro.agency/best-growth-marketing-agencies/" TargetMode="External"/><Relationship Id="rId448" Type="http://schemas.openxmlformats.org/officeDocument/2006/relationships/hyperlink" Target="http://clickslice.co.uk" TargetMode="External"/><Relationship Id="rId447" Type="http://schemas.openxmlformats.org/officeDocument/2006/relationships/hyperlink" Target="https://www.clickslice.co.uk/best-social-media-agencies-uk/" TargetMode="External"/><Relationship Id="rId446" Type="http://schemas.openxmlformats.org/officeDocument/2006/relationships/hyperlink" Target="http://carmatec.co.uk" TargetMode="External"/><Relationship Id="rId445" Type="http://schemas.openxmlformats.org/officeDocument/2006/relationships/hyperlink" Target="https://carmatec.co.uk/blog/top-10-ai-consultancies-in-the-uk/" TargetMode="External"/><Relationship Id="rId449" Type="http://schemas.openxmlformats.org/officeDocument/2006/relationships/hyperlink" Target="https://www.clickslice.co.uk/top-geo-agencies-uk/" TargetMode="External"/><Relationship Id="rId440" Type="http://schemas.openxmlformats.org/officeDocument/2006/relationships/hyperlink" Target="http://tenaciousmarketing.co.uk" TargetMode="External"/><Relationship Id="rId444" Type="http://schemas.openxmlformats.org/officeDocument/2006/relationships/hyperlink" Target="http://carlosalbamedia.co.uk" TargetMode="External"/><Relationship Id="rId443" Type="http://schemas.openxmlformats.org/officeDocument/2006/relationships/hyperlink" Target="https://carlosalbamedia.co.uk/best-marketing-agency-uk/" TargetMode="External"/><Relationship Id="rId442" Type="http://schemas.openxmlformats.org/officeDocument/2006/relationships/hyperlink" Target="http://builtinlondon.uk" TargetMode="External"/><Relationship Id="rId441" Type="http://schemas.openxmlformats.org/officeDocument/2006/relationships/hyperlink" Target="https://builtinlondon.uk/articles/advertising-companies-london" TargetMode="External"/><Relationship Id="rId437" Type="http://schemas.openxmlformats.org/officeDocument/2006/relationships/hyperlink" Target="https://www.bbntimes.com/companies/top-10-uk-based-ai-consulting-firms-2025" TargetMode="External"/><Relationship Id="rId436" Type="http://schemas.openxmlformats.org/officeDocument/2006/relationships/hyperlink" Target="http://b2bmarketing.net" TargetMode="External"/><Relationship Id="rId435" Type="http://schemas.openxmlformats.org/officeDocument/2006/relationships/hyperlink" Target="https://www.b2bmarketing.net/reports/top-b2b-marketing-agencies-uk-2026/" TargetMode="External"/><Relationship Id="rId434" Type="http://schemas.openxmlformats.org/officeDocument/2006/relationships/hyperlink" Target="http://aisuperior.com" TargetMode="External"/><Relationship Id="rId439" Type="http://schemas.openxmlformats.org/officeDocument/2006/relationships/hyperlink" Target="https://blog.tenaciousmarketing.co.uk/top-15-best-geo-agencies-in-the-uk-2026" TargetMode="External"/><Relationship Id="rId438" Type="http://schemas.openxmlformats.org/officeDocument/2006/relationships/hyperlink" Target="http://bbntimes.com" TargetMode="External"/><Relationship Id="rId433" Type="http://schemas.openxmlformats.org/officeDocument/2006/relationships/hyperlink" Target="https://aisuperior.com/ai-consulting-companies-in-the-uk/" TargetMode="External"/><Relationship Id="rId432" Type="http://schemas.openxmlformats.org/officeDocument/2006/relationships/hyperlink" Target="http://thesmallbizexpert.co.uk" TargetMode="External"/><Relationship Id="rId431" Type="http://schemas.openxmlformats.org/officeDocument/2006/relationships/hyperlink" Target="https://www.thesmallbizexpert.co.uk/blog/best-ai-seo-agencies-uk" TargetMode="External"/><Relationship Id="rId430" Type="http://schemas.openxmlformats.org/officeDocument/2006/relationships/hyperlink" Target="http://septemai.com"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polarisagency.com" TargetMode="External"/><Relationship Id="rId2" Type="http://schemas.openxmlformats.org/officeDocument/2006/relationships/hyperlink" Target="https://www.geniecrawl.com/top-50-geo-and-ai-marketing-agencies-in-the-uk-2026-rankings/" TargetMode="External"/><Relationship Id="rId3" Type="http://schemas.openxmlformats.org/officeDocument/2006/relationships/hyperlink" Target="http://geniecrawl.com" TargetMode="External"/><Relationship Id="rId4" Type="http://schemas.openxmlformats.org/officeDocument/2006/relationships/hyperlink" Target="https://open.partners/open-partners-insights/uk-marketing-agencies-that-work-with-google/" TargetMode="External"/><Relationship Id="rId9" Type="http://schemas.openxmlformats.org/officeDocument/2006/relationships/hyperlink" Target="https://www.found.co.uk/blog/best-aio-ai-optimisation-agencies/" TargetMode="External"/><Relationship Id="rId5" Type="http://schemas.openxmlformats.org/officeDocument/2006/relationships/hyperlink" Target="https://www.consultico.co.uk/articles/best-ppc-agencies-uk" TargetMode="External"/><Relationship Id="rId6" Type="http://schemas.openxmlformats.org/officeDocument/2006/relationships/hyperlink" Target="http://consultico.co.uk" TargetMode="External"/><Relationship Id="rId7" Type="http://schemas.openxmlformats.org/officeDocument/2006/relationships/hyperlink" Target="https://www.havasmarket.co.uk/google-marketing-platform/" TargetMode="External"/><Relationship Id="rId8" Type="http://schemas.openxmlformats.org/officeDocument/2006/relationships/hyperlink" Target="http://havasmarket.co.uk" TargetMode="External"/><Relationship Id="rId40" Type="http://schemas.openxmlformats.org/officeDocument/2006/relationships/hyperlink" Target="https://www.found.co.uk/services/seo/ai-seo/geo-seo/" TargetMode="External"/><Relationship Id="rId42" Type="http://schemas.openxmlformats.org/officeDocument/2006/relationships/hyperlink" Target="https://marketingplatform.google.com/about/partners/find-a-partner?category=206" TargetMode="External"/><Relationship Id="rId41" Type="http://schemas.openxmlformats.org/officeDocument/2006/relationships/hyperlink" Target="http://found.co.uk" TargetMode="External"/><Relationship Id="rId44" Type="http://schemas.openxmlformats.org/officeDocument/2006/relationships/hyperlink" Target="https://www.rank4ai.co.uk/research/rankings/" TargetMode="External"/><Relationship Id="rId43" Type="http://schemas.openxmlformats.org/officeDocument/2006/relationships/hyperlink" Target="http://google.com" TargetMode="External"/><Relationship Id="rId46" Type="http://schemas.openxmlformats.org/officeDocument/2006/relationships/hyperlink" Target="https://support.google.com/tagmanager/answer/7237700?hl=en-GB" TargetMode="External"/><Relationship Id="rId45" Type="http://schemas.openxmlformats.org/officeDocument/2006/relationships/hyperlink" Target="http://rank4ai.co.uk" TargetMode="External"/><Relationship Id="rId48" Type="http://schemas.openxmlformats.org/officeDocument/2006/relationships/hyperlink" Target="https://www.google.co.uk/intl/en/ads/publisher/partners/work-with-a-partner/" TargetMode="External"/><Relationship Id="rId47" Type="http://schemas.openxmlformats.org/officeDocument/2006/relationships/hyperlink" Target="http://google.com" TargetMode="External"/><Relationship Id="rId49" Type="http://schemas.openxmlformats.org/officeDocument/2006/relationships/hyperlink" Target="http://google.co.uk" TargetMode="External"/><Relationship Id="rId31" Type="http://schemas.openxmlformats.org/officeDocument/2006/relationships/hyperlink" Target="https://whitehat-seo.co.uk/blog/digital-marketing-agency-london" TargetMode="External"/><Relationship Id="rId30" Type="http://schemas.openxmlformats.org/officeDocument/2006/relationships/hyperlink" Target="http://google.co.uk" TargetMode="External"/><Relationship Id="rId33" Type="http://schemas.openxmlformats.org/officeDocument/2006/relationships/hyperlink" Target="https://hallam.agency/about-us/google-premier-partner-agency/" TargetMode="External"/><Relationship Id="rId32" Type="http://schemas.openxmlformats.org/officeDocument/2006/relationships/hyperlink" Target="http://whitehat-seo.co.uk" TargetMode="External"/><Relationship Id="rId35" Type="http://schemas.openxmlformats.org/officeDocument/2006/relationships/hyperlink" Target="http://thegoodmarketer.co.uk" TargetMode="External"/><Relationship Id="rId34" Type="http://schemas.openxmlformats.org/officeDocument/2006/relationships/hyperlink" Target="https://thegoodmarketer.co.uk/what-we-do/display-advertising/" TargetMode="External"/><Relationship Id="rId37" Type="http://schemas.openxmlformats.org/officeDocument/2006/relationships/hyperlink" Target="http://aether-agency.co.uk" TargetMode="External"/><Relationship Id="rId36" Type="http://schemas.openxmlformats.org/officeDocument/2006/relationships/hyperlink" Target="https://aether-agency.co.uk/insights/incrementality-testing-marketing-guide-uk-2026" TargetMode="External"/><Relationship Id="rId39" Type="http://schemas.openxmlformats.org/officeDocument/2006/relationships/hyperlink" Target="http://semrush.com" TargetMode="External"/><Relationship Id="rId38" Type="http://schemas.openxmlformats.org/officeDocument/2006/relationships/hyperlink" Target="https://agencies.semrush.com/list/display-advertising/united-kingdom/mid-business/" TargetMode="External"/><Relationship Id="rId20" Type="http://schemas.openxmlformats.org/officeDocument/2006/relationships/hyperlink" Target="http://google.com" TargetMode="External"/><Relationship Id="rId22" Type="http://schemas.openxmlformats.org/officeDocument/2006/relationships/hyperlink" Target="http://polarisagency.com" TargetMode="External"/><Relationship Id="rId21" Type="http://schemas.openxmlformats.org/officeDocument/2006/relationships/hyperlink" Target="https://www.polarisagency.com/us/marketing-insights/best-geo-services-uk/" TargetMode="External"/><Relationship Id="rId24" Type="http://schemas.openxmlformats.org/officeDocument/2006/relationships/hyperlink" Target="http://withgoogle.com" TargetMode="External"/><Relationship Id="rId23" Type="http://schemas.openxmlformats.org/officeDocument/2006/relationships/hyperlink" Target="https://partnersdirectory.withgoogle.com/intl/en-GB/" TargetMode="External"/><Relationship Id="rId26" Type="http://schemas.openxmlformats.org/officeDocument/2006/relationships/hyperlink" Target="http://semrush.com" TargetMode="External"/><Relationship Id="rId25" Type="http://schemas.openxmlformats.org/officeDocument/2006/relationships/hyperlink" Target="https://agencies.semrush.com/list/display-advertising/united-kingdom/small-business/" TargetMode="External"/><Relationship Id="rId28" Type="http://schemas.openxmlformats.org/officeDocument/2006/relationships/hyperlink" Target="http://aargroup.co.uk" TargetMode="External"/><Relationship Id="rId27" Type="http://schemas.openxmlformats.org/officeDocument/2006/relationships/hyperlink" Target="https://aargroup.co.uk/services-for-marketers/platform-readiness/" TargetMode="External"/><Relationship Id="rId29" Type="http://schemas.openxmlformats.org/officeDocument/2006/relationships/hyperlink" Target="https://www.google.co.uk/intl/en-GB/ads/publisher/partners/find-a-partner/" TargetMode="External"/><Relationship Id="rId11" Type="http://schemas.openxmlformats.org/officeDocument/2006/relationships/hyperlink" Target="https://agencies.semrush.com/list/display-advertising/united-kingdom/enterprise-business/" TargetMode="External"/><Relationship Id="rId10" Type="http://schemas.openxmlformats.org/officeDocument/2006/relationships/hyperlink" Target="http://found.co.uk" TargetMode="External"/><Relationship Id="rId13" Type="http://schemas.openxmlformats.org/officeDocument/2006/relationships/hyperlink" Target="https://clutch.co/agencies/ppc/display/uk" TargetMode="External"/><Relationship Id="rId12" Type="http://schemas.openxmlformats.org/officeDocument/2006/relationships/hyperlink" Target="http://semrush.com" TargetMode="External"/><Relationship Id="rId15" Type="http://schemas.openxmlformats.org/officeDocument/2006/relationships/hyperlink" Target="https://support.google.com/analytics/answer/7237700?hl=en" TargetMode="External"/><Relationship Id="rId14" Type="http://schemas.openxmlformats.org/officeDocument/2006/relationships/hyperlink" Target="http://clutch.co" TargetMode="External"/><Relationship Id="rId17" Type="http://schemas.openxmlformats.org/officeDocument/2006/relationships/hyperlink" Target="https://thesocialshepherd.com/blog/top-digital-marketing-agencies-uk" TargetMode="External"/><Relationship Id="rId16" Type="http://schemas.openxmlformats.org/officeDocument/2006/relationships/hyperlink" Target="http://google.com" TargetMode="External"/><Relationship Id="rId19" Type="http://schemas.openxmlformats.org/officeDocument/2006/relationships/hyperlink" Target="https://marketingplatform.google.com/about/partners/?hl=uk" TargetMode="External"/><Relationship Id="rId18" Type="http://schemas.openxmlformats.org/officeDocument/2006/relationships/hyperlink" Target="http://thesocialshepherd.com" TargetMode="External"/><Relationship Id="rId84" Type="http://schemas.openxmlformats.org/officeDocument/2006/relationships/hyperlink" Target="https://top-branding-agency.co.uk/creative/" TargetMode="External"/><Relationship Id="rId83" Type="http://schemas.openxmlformats.org/officeDocument/2006/relationships/hyperlink" Target="http://google.com" TargetMode="External"/><Relationship Id="rId86" Type="http://schemas.openxmlformats.org/officeDocument/2006/relationships/hyperlink" Target="https://www.10seos.com/gb/display-advertising-companies-in-uk" TargetMode="External"/><Relationship Id="rId85" Type="http://schemas.openxmlformats.org/officeDocument/2006/relationships/hyperlink" Target="http://top-branding-agency.co.uk" TargetMode="External"/><Relationship Id="rId88" Type="http://schemas.openxmlformats.org/officeDocument/2006/relationships/hyperlink" Target="https://croud.com/en-gb/services/audience-suite/measurement/" TargetMode="External"/><Relationship Id="rId87" Type="http://schemas.openxmlformats.org/officeDocument/2006/relationships/hyperlink" Target="http://10seos.com" TargetMode="External"/><Relationship Id="rId89" Type="http://schemas.openxmlformats.org/officeDocument/2006/relationships/hyperlink" Target="http://croud.com" TargetMode="External"/><Relationship Id="rId80" Type="http://schemas.openxmlformats.org/officeDocument/2006/relationships/hyperlink" Target="https://seocompare.co.uk/ai-search-agencies-uk/" TargetMode="External"/><Relationship Id="rId82" Type="http://schemas.openxmlformats.org/officeDocument/2006/relationships/hyperlink" Target="https://support.google.com/tagmanager/answer/7237700?hl=en" TargetMode="External"/><Relationship Id="rId81" Type="http://schemas.openxmlformats.org/officeDocument/2006/relationships/hyperlink" Target="http://seocompare.co.uk" TargetMode="External"/><Relationship Id="rId73" Type="http://schemas.openxmlformats.org/officeDocument/2006/relationships/hyperlink" Target="http://goodfirms.co" TargetMode="External"/><Relationship Id="rId72" Type="http://schemas.openxmlformats.org/officeDocument/2006/relationships/hyperlink" Target="https://www.goodfirms.co/directory/country/top-digital-marketing-companies/gb?sort_by=rating" TargetMode="External"/><Relationship Id="rId75" Type="http://schemas.openxmlformats.org/officeDocument/2006/relationships/hyperlink" Target="http://margen.net" TargetMode="External"/><Relationship Id="rId74" Type="http://schemas.openxmlformats.org/officeDocument/2006/relationships/hyperlink" Target="https://www.margen.net/margen-ranked-uk-number-one-ai-seo-agency-2026/" TargetMode="External"/><Relationship Id="rId77" Type="http://schemas.openxmlformats.org/officeDocument/2006/relationships/hyperlink" Target="http://google.com" TargetMode="External"/><Relationship Id="rId76" Type="http://schemas.openxmlformats.org/officeDocument/2006/relationships/hyperlink" Target="https://marketingplatform.google.com/intl/en_uk/about/contact-us/" TargetMode="External"/><Relationship Id="rId79" Type="http://schemas.openxmlformats.org/officeDocument/2006/relationships/hyperlink" Target="http://neuraladx.com" TargetMode="External"/><Relationship Id="rId78" Type="http://schemas.openxmlformats.org/officeDocument/2006/relationships/hyperlink" Target="https://neuraladx.com/best-ai-search-optimisation-agency-saas-companies-uk/" TargetMode="External"/><Relationship Id="rId71" Type="http://schemas.openxmlformats.org/officeDocument/2006/relationships/hyperlink" Target="http://global.com" TargetMode="External"/><Relationship Id="rId70" Type="http://schemas.openxmlformats.org/officeDocument/2006/relationships/hyperlink" Target="https://global.com/outdoor/" TargetMode="External"/><Relationship Id="rId62" Type="http://schemas.openxmlformats.org/officeDocument/2006/relationships/hyperlink" Target="https://www.google.co.uk/intl/en-GB/ads/publisher/partners/" TargetMode="External"/><Relationship Id="rId61" Type="http://schemas.openxmlformats.org/officeDocument/2006/relationships/hyperlink" Target="http://google.com" TargetMode="External"/><Relationship Id="rId64" Type="http://schemas.openxmlformats.org/officeDocument/2006/relationships/hyperlink" Target="https://marketingplatform.google.com/intl/en_uk/about/support/" TargetMode="External"/><Relationship Id="rId63" Type="http://schemas.openxmlformats.org/officeDocument/2006/relationships/hyperlink" Target="http://google.co.uk" TargetMode="External"/><Relationship Id="rId66" Type="http://schemas.openxmlformats.org/officeDocument/2006/relationships/hyperlink" Target="https://www.deptagency.com/en-uki/partner/google/" TargetMode="External"/><Relationship Id="rId65" Type="http://schemas.openxmlformats.org/officeDocument/2006/relationships/hyperlink" Target="http://google.com" TargetMode="External"/><Relationship Id="rId68" Type="http://schemas.openxmlformats.org/officeDocument/2006/relationships/hyperlink" Target="https://www.found.co.uk/services/paid-media/display/" TargetMode="External"/><Relationship Id="rId67" Type="http://schemas.openxmlformats.org/officeDocument/2006/relationships/hyperlink" Target="http://deptagency.com" TargetMode="External"/><Relationship Id="rId60" Type="http://schemas.openxmlformats.org/officeDocument/2006/relationships/hyperlink" Target="https://business.google.com/en-all/support/work-with-a-partner/?hl=uk" TargetMode="External"/><Relationship Id="rId69" Type="http://schemas.openxmlformats.org/officeDocument/2006/relationships/hyperlink" Target="http://found.co.uk" TargetMode="External"/><Relationship Id="rId51" Type="http://schemas.openxmlformats.org/officeDocument/2006/relationships/hyperlink" Target="http://wmtips.com" TargetMode="External"/><Relationship Id="rId50" Type="http://schemas.openxmlformats.org/officeDocument/2006/relationships/hyperlink" Target="https://www.wmtips.com/technologies/marketing-attribution/country/gb/" TargetMode="External"/><Relationship Id="rId53" Type="http://schemas.openxmlformats.org/officeDocument/2006/relationships/hyperlink" Target="http://google.com" TargetMode="External"/><Relationship Id="rId52" Type="http://schemas.openxmlformats.org/officeDocument/2006/relationships/hyperlink" Target="https://www.google.com/partners" TargetMode="External"/><Relationship Id="rId55" Type="http://schemas.openxmlformats.org/officeDocument/2006/relationships/hyperlink" Target="http://journeyfurther.com" TargetMode="External"/><Relationship Id="rId54" Type="http://schemas.openxmlformats.org/officeDocument/2006/relationships/hyperlink" Target="https://www.journeyfurther.com/en-gb/solutions/marketing-science" TargetMode="External"/><Relationship Id="rId57" Type="http://schemas.openxmlformats.org/officeDocument/2006/relationships/hyperlink" Target="http://azurefd.net" TargetMode="External"/><Relationship Id="rId56" Type="http://schemas.openxmlformats.org/officeDocument/2006/relationships/hyperlink" Target="https://prod-dentsu-website-afd-ep-dcdpenekezfnd0hn.a02.azurefd.net/uk/en/marketing-effectiveness" TargetMode="External"/><Relationship Id="rId59" Type="http://schemas.openxmlformats.org/officeDocument/2006/relationships/hyperlink" Target="http://topseobrands.com" TargetMode="External"/><Relationship Id="rId58" Type="http://schemas.openxmlformats.org/officeDocument/2006/relationships/hyperlink" Target="https://www.topseobrands.com/uk/london/best-display-advertising-firms" TargetMode="External"/><Relationship Id="rId335" Type="http://schemas.openxmlformats.org/officeDocument/2006/relationships/drawing" Target="../drawings/drawing28.xml"/><Relationship Id="rId330" Type="http://schemas.openxmlformats.org/officeDocument/2006/relationships/hyperlink" Target="http://web-in-a-click.com" TargetMode="External"/><Relationship Id="rId334" Type="http://schemas.openxmlformats.org/officeDocument/2006/relationships/hyperlink" Target="http://youtube.com" TargetMode="External"/><Relationship Id="rId333" Type="http://schemas.openxmlformats.org/officeDocument/2006/relationships/hyperlink" Target="https://www.youtube.com/watch?v=qnrNaTO7nCs" TargetMode="External"/><Relationship Id="rId332" Type="http://schemas.openxmlformats.org/officeDocument/2006/relationships/hyperlink" Target="http://youtube.com" TargetMode="External"/><Relationship Id="rId331" Type="http://schemas.openxmlformats.org/officeDocument/2006/relationships/hyperlink" Target="https://www.youtube.com/watch?v=XGLA7lE-TLo" TargetMode="External"/><Relationship Id="rId95" Type="http://schemas.openxmlformats.org/officeDocument/2006/relationships/hyperlink" Target="http://google.com" TargetMode="External"/><Relationship Id="rId94" Type="http://schemas.openxmlformats.org/officeDocument/2006/relationships/hyperlink" Target="https://marketingplatform.google.com/about/partners/find-a-partner" TargetMode="External"/><Relationship Id="rId97" Type="http://schemas.openxmlformats.org/officeDocument/2006/relationships/hyperlink" Target="http://google.com" TargetMode="External"/><Relationship Id="rId96" Type="http://schemas.openxmlformats.org/officeDocument/2006/relationships/hyperlink" Target="https://marketingplatform.google.com/intl/en_uk/about/optimize/" TargetMode="External"/><Relationship Id="rId99" Type="http://schemas.openxmlformats.org/officeDocument/2006/relationships/hyperlink" Target="http://moreaboutadvertising.com" TargetMode="External"/><Relationship Id="rId98" Type="http://schemas.openxmlformats.org/officeDocument/2006/relationships/hyperlink" Target="https://www.moreaboutadvertising.com/2025/03/saatchi-saatchi-tops-uk-billings-table-publicis-is-top-group/" TargetMode="External"/><Relationship Id="rId91" Type="http://schemas.openxmlformats.org/officeDocument/2006/relationships/hyperlink" Target="http://ebiquity.com" TargetMode="External"/><Relationship Id="rId90" Type="http://schemas.openxmlformats.org/officeDocument/2006/relationships/hyperlink" Target="https://ebiquity.com/" TargetMode="External"/><Relationship Id="rId93" Type="http://schemas.openxmlformats.org/officeDocument/2006/relationships/hyperlink" Target="http://itprofiles.com" TargetMode="External"/><Relationship Id="rId92" Type="http://schemas.openxmlformats.org/officeDocument/2006/relationships/hyperlink" Target="https://itprofiles.com/services/ppc/uk" TargetMode="External"/><Relationship Id="rId305" Type="http://schemas.openxmlformats.org/officeDocument/2006/relationships/hyperlink" Target="https://support.google.com/analytics/answer/7237700?hl=en-uk" TargetMode="External"/><Relationship Id="rId304" Type="http://schemas.openxmlformats.org/officeDocument/2006/relationships/hyperlink" Target="http://google.com" TargetMode="External"/><Relationship Id="rId303" Type="http://schemas.openxmlformats.org/officeDocument/2006/relationships/hyperlink" Target="https://support.google.com/analytics/answer/7237700?hl=en-AU" TargetMode="External"/><Relationship Id="rId302" Type="http://schemas.openxmlformats.org/officeDocument/2006/relationships/hyperlink" Target="http://lynchpin.com" TargetMode="External"/><Relationship Id="rId309" Type="http://schemas.openxmlformats.org/officeDocument/2006/relationships/hyperlink" Target="https://www.thedrum.com/news/end-era-creatives-reflect-adameveddb-s-best-john-lewis-ads" TargetMode="External"/><Relationship Id="rId308" Type="http://schemas.openxmlformats.org/officeDocument/2006/relationships/hyperlink" Target="http://google.com" TargetMode="External"/><Relationship Id="rId307" Type="http://schemas.openxmlformats.org/officeDocument/2006/relationships/hyperlink" Target="https://support.google.com/tagmanager/answer/7237700?hl=en-au" TargetMode="External"/><Relationship Id="rId306" Type="http://schemas.openxmlformats.org/officeDocument/2006/relationships/hyperlink" Target="http://google.com" TargetMode="External"/><Relationship Id="rId301" Type="http://schemas.openxmlformats.org/officeDocument/2006/relationships/hyperlink" Target="https://staging.lynchpin.com/services/digital-analytics/" TargetMode="External"/><Relationship Id="rId300" Type="http://schemas.openxmlformats.org/officeDocument/2006/relationships/hyperlink" Target="http://sortlist.co.uk" TargetMode="External"/><Relationship Id="rId327" Type="http://schemas.openxmlformats.org/officeDocument/2006/relationships/hyperlink" Target="https://we-discover.com/services/analysis-and-modelling/" TargetMode="External"/><Relationship Id="rId326" Type="http://schemas.openxmlformats.org/officeDocument/2006/relationships/hyperlink" Target="http://vedaai.co.uk" TargetMode="External"/><Relationship Id="rId325" Type="http://schemas.openxmlformats.org/officeDocument/2006/relationships/hyperlink" Target="https://www.vedaai.co.uk/services/ai-adoption" TargetMode="External"/><Relationship Id="rId324" Type="http://schemas.openxmlformats.org/officeDocument/2006/relationships/hyperlink" Target="http://vayro.co.uk" TargetMode="External"/><Relationship Id="rId329" Type="http://schemas.openxmlformats.org/officeDocument/2006/relationships/hyperlink" Target="http://www.web-in-a-click.com/index-296.html" TargetMode="External"/><Relationship Id="rId328" Type="http://schemas.openxmlformats.org/officeDocument/2006/relationships/hyperlink" Target="http://we-discover.com" TargetMode="External"/><Relationship Id="rId323" Type="http://schemas.openxmlformats.org/officeDocument/2006/relationships/hyperlink" Target="https://www.vayro.co.uk/ai-consulting/tunbridge-wells" TargetMode="External"/><Relationship Id="rId322" Type="http://schemas.openxmlformats.org/officeDocument/2006/relationships/hyperlink" Target="http://upscale-digital.com" TargetMode="External"/><Relationship Id="rId321" Type="http://schemas.openxmlformats.org/officeDocument/2006/relationships/hyperlink" Target="https://upscale-digital.com/blog/how-much-should-companies-invest-in-marketing/" TargetMode="External"/><Relationship Id="rId320" Type="http://schemas.openxmlformats.org/officeDocument/2006/relationships/hyperlink" Target="http://trustpilot.com" TargetMode="External"/><Relationship Id="rId316" Type="http://schemas.openxmlformats.org/officeDocument/2006/relationships/hyperlink" Target="http://toptenaiagents.co.uk" TargetMode="External"/><Relationship Id="rId315" Type="http://schemas.openxmlformats.org/officeDocument/2006/relationships/hyperlink" Target="https://toptenaiagents.co.uk/lists/top-10-uk-ai-agencies-midsize.html" TargetMode="External"/><Relationship Id="rId314" Type="http://schemas.openxmlformats.org/officeDocument/2006/relationships/hyperlink" Target="http://themanifest.com" TargetMode="External"/><Relationship Id="rId313" Type="http://schemas.openxmlformats.org/officeDocument/2006/relationships/hyperlink" Target="https://themanifest.com/programmatic/agencies/uk?page=1" TargetMode="External"/><Relationship Id="rId319" Type="http://schemas.openxmlformats.org/officeDocument/2006/relationships/hyperlink" Target="https://uk.trustpilot.com/categories/topography_company" TargetMode="External"/><Relationship Id="rId318" Type="http://schemas.openxmlformats.org/officeDocument/2006/relationships/hyperlink" Target="http://linkedin.com" TargetMode="External"/><Relationship Id="rId317" Type="http://schemas.openxmlformats.org/officeDocument/2006/relationships/hyperlink" Target="https://uk.linkedin.com/in/digantika-mitra" TargetMode="External"/><Relationship Id="rId312" Type="http://schemas.openxmlformats.org/officeDocument/2006/relationships/hyperlink" Target="http://thedrum.com" TargetMode="External"/><Relationship Id="rId311" Type="http://schemas.openxmlformats.org/officeDocument/2006/relationships/hyperlink" Target="https://www.thedrum.com/profile/jaywing/article/jaywing-bolsters-senior-team-with-two-new-hires" TargetMode="External"/><Relationship Id="rId310" Type="http://schemas.openxmlformats.org/officeDocument/2006/relationships/hyperlink" Target="http://thedrum.com" TargetMode="External"/><Relationship Id="rId297" Type="http://schemas.openxmlformats.org/officeDocument/2006/relationships/hyperlink" Target="https://www.semfirms.com/uk/london/display-advertising-firms" TargetMode="External"/><Relationship Id="rId296" Type="http://schemas.openxmlformats.org/officeDocument/2006/relationships/hyperlink" Target="http://scopicstudios.com" TargetMode="External"/><Relationship Id="rId295" Type="http://schemas.openxmlformats.org/officeDocument/2006/relationships/hyperlink" Target="https://scopicstudios.com/blog/first-party-data-adoption-statistics-every-marketer-must-know/" TargetMode="External"/><Relationship Id="rId294" Type="http://schemas.openxmlformats.org/officeDocument/2006/relationships/hyperlink" Target="http://scanmarqed.com" TargetMode="External"/><Relationship Id="rId299" Type="http://schemas.openxmlformats.org/officeDocument/2006/relationships/hyperlink" Target="https://www.sortlist.co.uk/s/paid-media/united-kingdom-gb?page=4" TargetMode="External"/><Relationship Id="rId298" Type="http://schemas.openxmlformats.org/officeDocument/2006/relationships/hyperlink" Target="http://semfirms.com" TargetMode="External"/><Relationship Id="rId271" Type="http://schemas.openxmlformats.org/officeDocument/2006/relationships/hyperlink" Target="https://netpeak.co.uk/about/" TargetMode="External"/><Relationship Id="rId270" Type="http://schemas.openxmlformats.org/officeDocument/2006/relationships/hyperlink" Target="http://mooreks.co.uk" TargetMode="External"/><Relationship Id="rId269" Type="http://schemas.openxmlformats.org/officeDocument/2006/relationships/hyperlink" Target="https://mooreks.co.uk/annual-survey/" TargetMode="External"/><Relationship Id="rId264" Type="http://schemas.openxmlformats.org/officeDocument/2006/relationships/hyperlink" Target="http://google.com" TargetMode="External"/><Relationship Id="rId263" Type="http://schemas.openxmlformats.org/officeDocument/2006/relationships/hyperlink" Target="https://marketingplatform.google.com/about/partners/find-a-partner?category=206&amp;geo=united+kingdom&amp;q=&amp;region=EU" TargetMode="External"/><Relationship Id="rId262" Type="http://schemas.openxmlformats.org/officeDocument/2006/relationships/hyperlink" Target="http://marketingiq.co.uk" TargetMode="External"/><Relationship Id="rId261" Type="http://schemas.openxmlformats.org/officeDocument/2006/relationships/hyperlink" Target="https://www.marketingiq.co.uk/about-simon-foster-mmm-consultant/" TargetMode="External"/><Relationship Id="rId268" Type="http://schemas.openxmlformats.org/officeDocument/2006/relationships/hyperlink" Target="http://measured.com" TargetMode="External"/><Relationship Id="rId267" Type="http://schemas.openxmlformats.org/officeDocument/2006/relationships/hyperlink" Target="https://www.measured.com/faq/top-11-best-media-mix-modeling-companies-software-for-2026/" TargetMode="External"/><Relationship Id="rId266" Type="http://schemas.openxmlformats.org/officeDocument/2006/relationships/hyperlink" Target="http://mass-analytics.com" TargetMode="External"/><Relationship Id="rId265" Type="http://schemas.openxmlformats.org/officeDocument/2006/relationships/hyperlink" Target="https://mass-analytics.com/mmm-solutions/mmm-consultancy/" TargetMode="External"/><Relationship Id="rId260" Type="http://schemas.openxmlformats.org/officeDocument/2006/relationships/hyperlink" Target="http://lynchpin.com" TargetMode="External"/><Relationship Id="rId259" Type="http://schemas.openxmlformats.org/officeDocument/2006/relationships/hyperlink" Target="https://www.lynchpin.com/about-us/" TargetMode="External"/><Relationship Id="rId258" Type="http://schemas.openxmlformats.org/officeDocument/2006/relationships/hyperlink" Target="http://learn-ai.io" TargetMode="External"/><Relationship Id="rId253" Type="http://schemas.openxmlformats.org/officeDocument/2006/relationships/hyperlink" Target="https://www.jellyfish.com/en-gb/expertise/data/advanced-analytics-modeling/" TargetMode="External"/><Relationship Id="rId252" Type="http://schemas.openxmlformats.org/officeDocument/2006/relationships/hyperlink" Target="http://ink-digital.co.uk" TargetMode="External"/><Relationship Id="rId251" Type="http://schemas.openxmlformats.org/officeDocument/2006/relationships/hyperlink" Target="https://ink-digital.co.uk/services/paid-media/display-advertising/" TargetMode="External"/><Relationship Id="rId250" Type="http://schemas.openxmlformats.org/officeDocument/2006/relationships/hyperlink" Target="http://helium42.com" TargetMode="External"/><Relationship Id="rId257" Type="http://schemas.openxmlformats.org/officeDocument/2006/relationships/hyperlink" Target="https://learn-ai.io/articles/ai-readiness-for-uk-smes" TargetMode="External"/><Relationship Id="rId256" Type="http://schemas.openxmlformats.org/officeDocument/2006/relationships/hyperlink" Target="http://journeyfurther.com" TargetMode="External"/><Relationship Id="rId255" Type="http://schemas.openxmlformats.org/officeDocument/2006/relationships/hyperlink" Target="https://www.journeyfurther.com/en-gb/solutions" TargetMode="External"/><Relationship Id="rId254" Type="http://schemas.openxmlformats.org/officeDocument/2006/relationships/hyperlink" Target="http://jellyfish.com" TargetMode="External"/><Relationship Id="rId293" Type="http://schemas.openxmlformats.org/officeDocument/2006/relationships/hyperlink" Target="https://www.scanmarqed.com/marketing-mix-modeling" TargetMode="External"/><Relationship Id="rId292" Type="http://schemas.openxmlformats.org/officeDocument/2006/relationships/hyperlink" Target="http://redcowmedia.co.uk" TargetMode="External"/><Relationship Id="rId291" Type="http://schemas.openxmlformats.org/officeDocument/2006/relationships/hyperlink" Target="https://www.redcowmedia.co.uk/about-us/google-partners/" TargetMode="External"/><Relationship Id="rId290" Type="http://schemas.openxmlformats.org/officeDocument/2006/relationships/hyperlink" Target="http://pushgroup.co.uk" TargetMode="External"/><Relationship Id="rId286" Type="http://schemas.openxmlformats.org/officeDocument/2006/relationships/hyperlink" Target="http://prolificnorth.co.uk" TargetMode="External"/><Relationship Id="rId285" Type="http://schemas.openxmlformats.org/officeDocument/2006/relationships/hyperlink" Target="https://www.prolificnorth.co.uk/news/hsl-completes-competitive-pitch-process-for-7-figure-media-account/" TargetMode="External"/><Relationship Id="rId284" Type="http://schemas.openxmlformats.org/officeDocument/2006/relationships/hyperlink" Target="http://pressat.co.uk" TargetMode="External"/><Relationship Id="rId283" Type="http://schemas.openxmlformats.org/officeDocument/2006/relationships/hyperlink" Target="https://pressat.co.uk/releases/london-agency-launches-ai-marketing-tool-for-smes-built-by-a-marketer-priced-from-19-a-month-ae1361779b0a2aeaed5797f786c22cad/" TargetMode="External"/><Relationship Id="rId289" Type="http://schemas.openxmlformats.org/officeDocument/2006/relationships/hyperlink" Target="https://www.pushgroup.co.uk/ai-marketing-adoption-old" TargetMode="External"/><Relationship Id="rId288" Type="http://schemas.openxmlformats.org/officeDocument/2006/relationships/hyperlink" Target="http://dacgroup.com" TargetMode="External"/><Relationship Id="rId287" Type="http://schemas.openxmlformats.org/officeDocument/2006/relationships/hyperlink" Target="https://proove.dacgroup.com/en-gb/services/measurement-optimization/incrementality/" TargetMode="External"/><Relationship Id="rId282" Type="http://schemas.openxmlformats.org/officeDocument/2006/relationships/hyperlink" Target="http://pitchsite.io" TargetMode="External"/><Relationship Id="rId281" Type="http://schemas.openxmlformats.org/officeDocument/2006/relationships/hyperlink" Target="https://pitchsite.io/tools/uk-agency-benchmarks" TargetMode="External"/><Relationship Id="rId280" Type="http://schemas.openxmlformats.org/officeDocument/2006/relationships/hyperlink" Target="http://withgoogle.com" TargetMode="External"/><Relationship Id="rId275" Type="http://schemas.openxmlformats.org/officeDocument/2006/relationships/hyperlink" Target="https://partnersdirectory.withgoogle.com/?_gl=1*1tz1h94*_ga*MTQ1NTE5OTU1NC4xNzQ3MTI3Mjk4*_ga_BXYLHC2HPB*czE3NDgzNDMwODckbzEkZzEkdDE3NDgzNDQ1MDgkajU0JGwwJGgwJGRDSkJuSnJEdU9naGhxWFM4MnVXYzJiQ3NUVnNSQ2tpMWZR&amp;authuser=0&amp;premier=true&amp;subid=uk-en-awhp-g-aw-m-par-w-hero-bgc%21o2" TargetMode="External"/><Relationship Id="rId274" Type="http://schemas.openxmlformats.org/officeDocument/2006/relationships/hyperlink" Target="http://oneclub.org" TargetMode="External"/><Relationship Id="rId273" Type="http://schemas.openxmlformats.org/officeDocument/2006/relationships/hyperlink" Target="https://www.oneclub.org/awards/theoneshow/-agency/Droga5%20%5Bs%5D%20London/2025" TargetMode="External"/><Relationship Id="rId272" Type="http://schemas.openxmlformats.org/officeDocument/2006/relationships/hyperlink" Target="http://netpeak.co.uk" TargetMode="External"/><Relationship Id="rId279" Type="http://schemas.openxmlformats.org/officeDocument/2006/relationships/hyperlink" Target="https://partnersdirectory.withgoogle.com/?authuser=0&amp;gad_source=1&amp;mcsubid=gb-en-max-mc-pr-c-max%21o3&amp;premier=true&amp;subid=uk-en-awhp-g-aw-m-par-w-hero-bgc%21o2" TargetMode="External"/><Relationship Id="rId278" Type="http://schemas.openxmlformats.org/officeDocument/2006/relationships/hyperlink" Target="http://withgoogle.com" TargetMode="External"/><Relationship Id="rId277" Type="http://schemas.openxmlformats.org/officeDocument/2006/relationships/hyperlink" Target="https://partnersdirectory.withgoogle.com/?authuser=0&amp;gad_source=1&amp;gclsrc=aw.ds&amp;premier=true&amp;subid=gb-en-ha-aw-sk-c-bau%21o3%7ECj0KCQjw99e4BhDiARIsAISE7P_AKK8sUW0wxb3wRcAycqgV_kOr1CAvwurP2Zh74h49W64Fdq6R2BkaAhBkEALw_wcB%7E169785216468%7Ekwd-6084504794%7E19691765913%7E698238993598" TargetMode="External"/><Relationship Id="rId276" Type="http://schemas.openxmlformats.org/officeDocument/2006/relationships/hyperlink" Target="http://withgoogle.com" TargetMode="External"/><Relationship Id="rId228" Type="http://schemas.openxmlformats.org/officeDocument/2006/relationships/hyperlink" Target="https://www.google.com/searchviewer/10?svid=CAwSHRIbCgNwdnESFENnMHZaeTh4TVhGaWRqVnRNSEZzGAo" TargetMode="External"/><Relationship Id="rId227" Type="http://schemas.openxmlformats.org/officeDocument/2006/relationships/hyperlink" Target="http://google.com" TargetMode="External"/><Relationship Id="rId226" Type="http://schemas.openxmlformats.org/officeDocument/2006/relationships/hyperlink" Target="https://www.google.com/searchviewer/10?svid=CAwSHRIbCgNwdnESFENnMHZaeTh4TVdzd05qZG9lRGx1GAo" TargetMode="External"/><Relationship Id="rId225" Type="http://schemas.openxmlformats.org/officeDocument/2006/relationships/hyperlink" Target="http://google.com" TargetMode="External"/><Relationship Id="rId229" Type="http://schemas.openxmlformats.org/officeDocument/2006/relationships/hyperlink" Target="http://google.com" TargetMode="External"/><Relationship Id="rId220" Type="http://schemas.openxmlformats.org/officeDocument/2006/relationships/hyperlink" Target="https://www.google.com/searchviewer/10?svid=CAwSHRIbCgNwdnESFENnMHZaeTh4TVdoMGVuTTBObmt3GAo" TargetMode="External"/><Relationship Id="rId224" Type="http://schemas.openxmlformats.org/officeDocument/2006/relationships/hyperlink" Target="https://www.google.com/searchviewer/10?svid=CAwSHRIbCgNwdnESFENnMHZaeTh4TVdveWMyMXVPVEprGAo" TargetMode="External"/><Relationship Id="rId223" Type="http://schemas.openxmlformats.org/officeDocument/2006/relationships/hyperlink" Target="http://google.com" TargetMode="External"/><Relationship Id="rId222" Type="http://schemas.openxmlformats.org/officeDocument/2006/relationships/hyperlink" Target="https://www.google.com/searchviewer/10?svid=CAwSHRIbCgNwdnESFENnMHZaeTh4TVdoa05uZDZkRFJuGAo" TargetMode="External"/><Relationship Id="rId221" Type="http://schemas.openxmlformats.org/officeDocument/2006/relationships/hyperlink" Target="http://google.com" TargetMode="External"/><Relationship Id="rId217" Type="http://schemas.openxmlformats.org/officeDocument/2006/relationships/hyperlink" Target="http://google.com" TargetMode="External"/><Relationship Id="rId216" Type="http://schemas.openxmlformats.org/officeDocument/2006/relationships/hyperlink" Target="https://www.google.com/searchviewer/10?svid=CAwSHRIbCgNwdnESFENnMHZaeTh4TVdneE9HZHRjak53GAo" TargetMode="External"/><Relationship Id="rId215" Type="http://schemas.openxmlformats.org/officeDocument/2006/relationships/hyperlink" Target="http://google.com" TargetMode="External"/><Relationship Id="rId214" Type="http://schemas.openxmlformats.org/officeDocument/2006/relationships/hyperlink" Target="https://www.google.com/searchviewer/10?svid=CAwSHRIbCgNwdnESFENnMHZaeTh4TVdkMFp6bHhhbmRuGAo" TargetMode="External"/><Relationship Id="rId219" Type="http://schemas.openxmlformats.org/officeDocument/2006/relationships/hyperlink" Target="http://google.com" TargetMode="External"/><Relationship Id="rId218" Type="http://schemas.openxmlformats.org/officeDocument/2006/relationships/hyperlink" Target="https://www.google.com/searchviewer/10?svid=CAwSHRIbCgNwdnESFENnMHZaeTh4TVdnelluUjJkekJ0GAo" TargetMode="External"/><Relationship Id="rId213" Type="http://schemas.openxmlformats.org/officeDocument/2006/relationships/hyperlink" Target="http://google.com" TargetMode="External"/><Relationship Id="rId212" Type="http://schemas.openxmlformats.org/officeDocument/2006/relationships/hyperlink" Target="https://www.google.com/searchviewer/10?svid=CAwSHRIbCgNwdnESFENnMHZaeTh4TVdZd05ESnpjMTlrGAo" TargetMode="External"/><Relationship Id="rId211" Type="http://schemas.openxmlformats.org/officeDocument/2006/relationships/hyperlink" Target="http://google.com" TargetMode="External"/><Relationship Id="rId210" Type="http://schemas.openxmlformats.org/officeDocument/2006/relationships/hyperlink" Target="https://www.google.com/searchviewer/10?svid=CAwSHRIbCgNwdnESFENnMHZaeTh4TVdZNGFITjZhM1J0GAo" TargetMode="External"/><Relationship Id="rId249" Type="http://schemas.openxmlformats.org/officeDocument/2006/relationships/hyperlink" Target="https://helium42.com/blog/ai-consultancy-uk" TargetMode="External"/><Relationship Id="rId248" Type="http://schemas.openxmlformats.org/officeDocument/2006/relationships/hyperlink" Target="http://havasmarket.co.uk" TargetMode="External"/><Relationship Id="rId247" Type="http://schemas.openxmlformats.org/officeDocument/2006/relationships/hyperlink" Target="https://www.havasmarket.co.uk/ad-technology-resale-partner/google-marketing-platform-sales-partner/" TargetMode="External"/><Relationship Id="rId242" Type="http://schemas.openxmlformats.org/officeDocument/2006/relationships/hyperlink" Target="https://www.google.com/searchviewer/10?svid=CAwSHRIbCgNwdnESFENnMHZaeTh4TVhkcU5XUndiVEUxGAo" TargetMode="External"/><Relationship Id="rId241" Type="http://schemas.openxmlformats.org/officeDocument/2006/relationships/hyperlink" Target="http://google.com" TargetMode="External"/><Relationship Id="rId240" Type="http://schemas.openxmlformats.org/officeDocument/2006/relationships/hyperlink" Target="https://www.google.com/searchviewer/10?svid=CAwSHRIbCgNwdnESFENnMHZaeTh4TVhkM2VqSnpjMmh3GAo" TargetMode="External"/><Relationship Id="rId246" Type="http://schemas.openxmlformats.org/officeDocument/2006/relationships/hyperlink" Target="http://happyhourproductions.co.uk" TargetMode="External"/><Relationship Id="rId245" Type="http://schemas.openxmlformats.org/officeDocument/2006/relationships/hyperlink" Target="https://www.happyhourproductions.co.uk/insights/top-tv-advertising-agencies-uk" TargetMode="External"/><Relationship Id="rId244" Type="http://schemas.openxmlformats.org/officeDocument/2006/relationships/hyperlink" Target="https://hallam.agency/contact/" TargetMode="External"/><Relationship Id="rId243" Type="http://schemas.openxmlformats.org/officeDocument/2006/relationships/hyperlink" Target="http://google.com" TargetMode="External"/><Relationship Id="rId239" Type="http://schemas.openxmlformats.org/officeDocument/2006/relationships/hyperlink" Target="http://google.com" TargetMode="External"/><Relationship Id="rId238" Type="http://schemas.openxmlformats.org/officeDocument/2006/relationships/hyperlink" Target="https://www.google.com/searchviewer/10?svid=CAwSHRIbCgNwdnESFENnMHZaeTh4TVhaa05teDNjVGQzGAo" TargetMode="External"/><Relationship Id="rId237" Type="http://schemas.openxmlformats.org/officeDocument/2006/relationships/hyperlink" Target="http://google.com" TargetMode="External"/><Relationship Id="rId236" Type="http://schemas.openxmlformats.org/officeDocument/2006/relationships/hyperlink" Target="https://www.google.com/searchviewer/10?svid=CAwSHRIbCgNwdnESFENnMHZaeTh4TVhScVp6aHRjM0o2GAo" TargetMode="External"/><Relationship Id="rId231" Type="http://schemas.openxmlformats.org/officeDocument/2006/relationships/hyperlink" Target="http://google.com" TargetMode="External"/><Relationship Id="rId230" Type="http://schemas.openxmlformats.org/officeDocument/2006/relationships/hyperlink" Target="https://www.google.com/searchviewer/10?svid=CAwSHRIbCgNwdnESFENnMHZaeTh4TVhGbk1EQnJNV0pqGAo" TargetMode="External"/><Relationship Id="rId235" Type="http://schemas.openxmlformats.org/officeDocument/2006/relationships/hyperlink" Target="http://google.com" TargetMode="External"/><Relationship Id="rId234" Type="http://schemas.openxmlformats.org/officeDocument/2006/relationships/hyperlink" Target="https://www.google.com/searchviewer/10?svid=CAwSHRIbCgNwdnESFENnMHZaeTh4TVhONVl6RnFlR2RzGAo" TargetMode="External"/><Relationship Id="rId233" Type="http://schemas.openxmlformats.org/officeDocument/2006/relationships/hyperlink" Target="http://google.com" TargetMode="External"/><Relationship Id="rId232" Type="http://schemas.openxmlformats.org/officeDocument/2006/relationships/hyperlink" Target="https://www.google.com/searchviewer/10?svid=CAwSHRIbCgNwdnESFENnMHZaeTh4TVhNM1puYzNjRE56GAo" TargetMode="External"/><Relationship Id="rId206" Type="http://schemas.openxmlformats.org/officeDocument/2006/relationships/hyperlink" Target="https://www.google.com/searchviewer/10?svid=CAwSHRIbCgNwdnESFENnMHZaeTh4TVdNMU5IWm1aMlF5GAo" TargetMode="External"/><Relationship Id="rId205" Type="http://schemas.openxmlformats.org/officeDocument/2006/relationships/hyperlink" Target="http://google.com" TargetMode="External"/><Relationship Id="rId204" Type="http://schemas.openxmlformats.org/officeDocument/2006/relationships/hyperlink" Target="https://www.google.com/searchviewer/10?svid=CAwSHRIbCgNwdnESFENnMHZaeTh4TVdNMFltZDBNekZ1GAo" TargetMode="External"/><Relationship Id="rId203" Type="http://schemas.openxmlformats.org/officeDocument/2006/relationships/hyperlink" Target="http://google.com" TargetMode="External"/><Relationship Id="rId209" Type="http://schemas.openxmlformats.org/officeDocument/2006/relationships/hyperlink" Target="http://google.com" TargetMode="External"/><Relationship Id="rId208" Type="http://schemas.openxmlformats.org/officeDocument/2006/relationships/hyperlink" Target="https://www.google.com/searchviewer/10?svid=CAwSHRIbCgNwdnESFENnMHZaeTh4TVdOek0zcHNjblp5GAo" TargetMode="External"/><Relationship Id="rId207" Type="http://schemas.openxmlformats.org/officeDocument/2006/relationships/hyperlink" Target="http://google.com" TargetMode="External"/><Relationship Id="rId202" Type="http://schemas.openxmlformats.org/officeDocument/2006/relationships/hyperlink" Target="https://www.google.com/searchviewer/10?svid=CAwSHRIbCgNwdnESFENnMHZaeTh4TVdKaWRESnFkRFp6GAo" TargetMode="External"/><Relationship Id="rId201" Type="http://schemas.openxmlformats.org/officeDocument/2006/relationships/hyperlink" Target="http://google.com" TargetMode="External"/><Relationship Id="rId200" Type="http://schemas.openxmlformats.org/officeDocument/2006/relationships/hyperlink" Target="https://www.google.com/searchviewer/10?svid=CAwSHRIbCgNwdnESFENnMHZaeTh4TVdKMGJUbHdYM1JzGAo" TargetMode="External"/><Relationship Id="rId190" Type="http://schemas.openxmlformats.org/officeDocument/2006/relationships/hyperlink" Target="https://www.google.com/searchviewer/10?svid=CAwSHBIaCgNwdnESE0Nnd3ZaeTh4Y1RacVkyMDFlVFUYCg" TargetMode="External"/><Relationship Id="rId194" Type="http://schemas.openxmlformats.org/officeDocument/2006/relationships/hyperlink" Target="https://www.google.com/searchviewer/10?svid=CAwSHRIbCgNwdnESFENnMHZaeTh4TVc1aWFtUjVORGR1GAo" TargetMode="External"/><Relationship Id="rId193" Type="http://schemas.openxmlformats.org/officeDocument/2006/relationships/hyperlink" Target="http://google.com" TargetMode="External"/><Relationship Id="rId192" Type="http://schemas.openxmlformats.org/officeDocument/2006/relationships/hyperlink" Target="https://www.google.com/searchviewer/10?svid=CAwSHBIaCgNwdnESE0Nnd3ZaeTh4YW1kdE1XWjVjMjQYCg" TargetMode="External"/><Relationship Id="rId191" Type="http://schemas.openxmlformats.org/officeDocument/2006/relationships/hyperlink" Target="http://google.com" TargetMode="External"/><Relationship Id="rId187" Type="http://schemas.openxmlformats.org/officeDocument/2006/relationships/hyperlink" Target="http://google.com" TargetMode="External"/><Relationship Id="rId186" Type="http://schemas.openxmlformats.org/officeDocument/2006/relationships/hyperlink" Target="https://www.google.com/searchviewer/10?svid=CAwSHBIaCgNwdnESE0Nnd3ZaeTh4TW1Od01qTnNNV2cYCg" TargetMode="External"/><Relationship Id="rId185" Type="http://schemas.openxmlformats.org/officeDocument/2006/relationships/hyperlink" Target="http://google.com" TargetMode="External"/><Relationship Id="rId184" Type="http://schemas.openxmlformats.org/officeDocument/2006/relationships/hyperlink" Target="https://www.google.com/searchviewer/10?svid=CAwSHBIaCgNwdnESE0Nnd3ZaeTh4TW0xc01ubDNkMkkYCg" TargetMode="External"/><Relationship Id="rId189" Type="http://schemas.openxmlformats.org/officeDocument/2006/relationships/hyperlink" Target="http://google.com" TargetMode="External"/><Relationship Id="rId188" Type="http://schemas.openxmlformats.org/officeDocument/2006/relationships/hyperlink" Target="https://www.google.com/searchviewer/10?svid=CAwSHBIaCgNwdnESE0Nnd3ZaeTh4Y0hSMmRtb3dZMkkYCg" TargetMode="External"/><Relationship Id="rId183" Type="http://schemas.openxmlformats.org/officeDocument/2006/relationships/hyperlink" Target="http://google.com" TargetMode="External"/><Relationship Id="rId182" Type="http://schemas.openxmlformats.org/officeDocument/2006/relationships/hyperlink" Target="https://www.google.com/searchviewer/10?svid=CAwSHBIaCgNwdnESE0Nnd3ZaeTh4TW0wNU9ERnJOM2sYCg" TargetMode="External"/><Relationship Id="rId181" Type="http://schemas.openxmlformats.org/officeDocument/2006/relationships/hyperlink" Target="http://google.com" TargetMode="External"/><Relationship Id="rId180" Type="http://schemas.openxmlformats.org/officeDocument/2006/relationships/hyperlink" Target="https://www.google.com/searchviewer/10?svid=CAwSHBIaCgNwdnESE0Nnd3ZaeTh4TVRObWN6TTROWFEYCg" TargetMode="External"/><Relationship Id="rId176" Type="http://schemas.openxmlformats.org/officeDocument/2006/relationships/hyperlink" Target="https://www.google.com/searchviewer/10?svid=CAwSGxIZCgNwdnESEkNnc3ZaeTh4ZEdvemEydHFhQRgK" TargetMode="External"/><Relationship Id="rId175" Type="http://schemas.openxmlformats.org/officeDocument/2006/relationships/hyperlink" Target="http://google.com" TargetMode="External"/><Relationship Id="rId174" Type="http://schemas.openxmlformats.org/officeDocument/2006/relationships/hyperlink" Target="https://www.google.com/searchviewer/10?svid=CAwSGxIZCgNwdnESEkNnc3ZaeTh4ZEdka2MyMXhiQRgK" TargetMode="External"/><Relationship Id="rId173" Type="http://schemas.openxmlformats.org/officeDocument/2006/relationships/hyperlink" Target="http://google.com" TargetMode="External"/><Relationship Id="rId179" Type="http://schemas.openxmlformats.org/officeDocument/2006/relationships/hyperlink" Target="http://google.com" TargetMode="External"/><Relationship Id="rId178" Type="http://schemas.openxmlformats.org/officeDocument/2006/relationships/hyperlink" Target="https://www.google.com/searchviewer/10?svid=CAwSGxIZCgNwdnESEkNnc3ZaeTh4ZGpnek1HeHFadxgK" TargetMode="External"/><Relationship Id="rId177" Type="http://schemas.openxmlformats.org/officeDocument/2006/relationships/hyperlink" Target="http://google.com" TargetMode="External"/><Relationship Id="rId198" Type="http://schemas.openxmlformats.org/officeDocument/2006/relationships/hyperlink" Target="https://www.google.com/searchviewer/10?svid=CAwSHRIbCgNwdnESFENnMHZaeTh4TVdKM1p6bGZjbUkwGAo" TargetMode="External"/><Relationship Id="rId197" Type="http://schemas.openxmlformats.org/officeDocument/2006/relationships/hyperlink" Target="http://google.com" TargetMode="External"/><Relationship Id="rId196" Type="http://schemas.openxmlformats.org/officeDocument/2006/relationships/hyperlink" Target="https://www.google.com/searchviewer/10?svid=CAwSHRIbCgNwdnESFENnMHZaeTh4TVdJMlkzQjRNbUl6GAo" TargetMode="External"/><Relationship Id="rId195" Type="http://schemas.openxmlformats.org/officeDocument/2006/relationships/hyperlink" Target="http://google.com" TargetMode="External"/><Relationship Id="rId199" Type="http://schemas.openxmlformats.org/officeDocument/2006/relationships/hyperlink" Target="http://google.com" TargetMode="External"/><Relationship Id="rId150" Type="http://schemas.openxmlformats.org/officeDocument/2006/relationships/hyperlink" Target="https://www.geniecrawl.com/top-50-seo-agencies-in-the-uk-2026-rankings/" TargetMode="External"/><Relationship Id="rId149" Type="http://schemas.openxmlformats.org/officeDocument/2006/relationships/hyperlink" Target="http://forrester.com" TargetMode="External"/><Relationship Id="rId148" Type="http://schemas.openxmlformats.org/officeDocument/2006/relationships/hyperlink" Target="https://www.forrester.com/report/the-forrester-wave-tm-customer-data-strategy-and-activation-services-q2-2022/RES177490" TargetMode="External"/><Relationship Id="rId143" Type="http://schemas.openxmlformats.org/officeDocument/2006/relationships/hyperlink" Target="http://digitalmarketingcompanyinlondon.com" TargetMode="External"/><Relationship Id="rId142" Type="http://schemas.openxmlformats.org/officeDocument/2006/relationships/hyperlink" Target="https://digitalmarketingcompanyinlondon.com/top-8-display-advertising-agencies-in-london/" TargetMode="External"/><Relationship Id="rId141" Type="http://schemas.openxmlformats.org/officeDocument/2006/relationships/hyperlink" Target="http://deptagency.com" TargetMode="External"/><Relationship Id="rId140" Type="http://schemas.openxmlformats.org/officeDocument/2006/relationships/hyperlink" Target="https://www.deptagency.com/en-uki/partner/google-marketing-platform/" TargetMode="External"/><Relationship Id="rId147" Type="http://schemas.openxmlformats.org/officeDocument/2006/relationships/hyperlink" Target="http://f6s.com" TargetMode="External"/><Relationship Id="rId146" Type="http://schemas.openxmlformats.org/officeDocument/2006/relationships/hyperlink" Target="https://www.f6s.com/software/category/first-party-data-activation" TargetMode="External"/><Relationship Id="rId145" Type="http://schemas.openxmlformats.org/officeDocument/2006/relationships/hyperlink" Target="http://ensun.io" TargetMode="External"/><Relationship Id="rId144" Type="http://schemas.openxmlformats.org/officeDocument/2006/relationships/hyperlink" Target="https://ensun.io/search/geospatial-data/united-kingdom" TargetMode="External"/><Relationship Id="rId139" Type="http://schemas.openxmlformats.org/officeDocument/2006/relationships/hyperlink" Target="http://deducive.com" TargetMode="External"/><Relationship Id="rId138" Type="http://schemas.openxmlformats.org/officeDocument/2006/relationships/hyperlink" Target="https://www.deducive.com/marketing-attribution" TargetMode="External"/><Relationship Id="rId137" Type="http://schemas.openxmlformats.org/officeDocument/2006/relationships/hyperlink" Target="http://dedote.co.uk" TargetMode="External"/><Relationship Id="rId132" Type="http://schemas.openxmlformats.org/officeDocument/2006/relationships/hyperlink" Target="https://createscale.com/production" TargetMode="External"/><Relationship Id="rId131" Type="http://schemas.openxmlformats.org/officeDocument/2006/relationships/hyperlink" Target="http://corbieredigital.co.uk" TargetMode="External"/><Relationship Id="rId130" Type="http://schemas.openxmlformats.org/officeDocument/2006/relationships/hyperlink" Target="https://corbieredigital.co.uk/ppc-services/" TargetMode="External"/><Relationship Id="rId136" Type="http://schemas.openxmlformats.org/officeDocument/2006/relationships/hyperlink" Target="https://dedote.co.uk/social-media-agency-london/paid-social" TargetMode="External"/><Relationship Id="rId135" Type="http://schemas.openxmlformats.org/officeDocument/2006/relationships/hyperlink" Target="http://semrush.com" TargetMode="External"/><Relationship Id="rId134" Type="http://schemas.openxmlformats.org/officeDocument/2006/relationships/hyperlink" Target="https://cw.semrush.com/agencies/list/analytics-data-science/united-kingdom" TargetMode="External"/><Relationship Id="rId133" Type="http://schemas.openxmlformats.org/officeDocument/2006/relationships/hyperlink" Target="http://createscale.com" TargetMode="External"/><Relationship Id="rId172" Type="http://schemas.openxmlformats.org/officeDocument/2006/relationships/hyperlink" Target="https://www.google.com/searchviewer/10?svid=CAwSGxIZCgNwdnESEkNnc3ZaeTh4ZEdjMWVqTXpaQRgK" TargetMode="External"/><Relationship Id="rId171" Type="http://schemas.openxmlformats.org/officeDocument/2006/relationships/hyperlink" Target="http://google.com" TargetMode="External"/><Relationship Id="rId170" Type="http://schemas.openxmlformats.org/officeDocument/2006/relationships/hyperlink" Target="https://www.google.com/searchviewer/10?svid=CAwSGxIZCgNwdnESEkNnc3ZaeTh4ZEdSNVgyWjNOZxgK" TargetMode="External"/><Relationship Id="rId165" Type="http://schemas.openxmlformats.org/officeDocument/2006/relationships/hyperlink" Target="http://google.com" TargetMode="External"/><Relationship Id="rId164" Type="http://schemas.openxmlformats.org/officeDocument/2006/relationships/hyperlink" Target="https://www.google.com/searchviewer/10?svid=CAwSGxIZCgNwdnESEkNnc3ZaeTh4ZEd4ZmJEWXhlURgK" TargetMode="External"/><Relationship Id="rId163" Type="http://schemas.openxmlformats.org/officeDocument/2006/relationships/hyperlink" Target="http://google.co.uk" TargetMode="External"/><Relationship Id="rId162" Type="http://schemas.openxmlformats.org/officeDocument/2006/relationships/hyperlink" Target="https://www.google.co.uk/partners/agency?id=6371674378" TargetMode="External"/><Relationship Id="rId169" Type="http://schemas.openxmlformats.org/officeDocument/2006/relationships/hyperlink" Target="http://google.com" TargetMode="External"/><Relationship Id="rId168" Type="http://schemas.openxmlformats.org/officeDocument/2006/relationships/hyperlink" Target="https://www.google.com/searchviewer/10?svid=CAwSGxIZCgNwdnESEkNnc3ZaeTh4ZEdRMFpEQnpPQRgK" TargetMode="External"/><Relationship Id="rId167" Type="http://schemas.openxmlformats.org/officeDocument/2006/relationships/hyperlink" Target="http://google.com" TargetMode="External"/><Relationship Id="rId166" Type="http://schemas.openxmlformats.org/officeDocument/2006/relationships/hyperlink" Target="https://www.google.com/searchviewer/10?svid=CAwSGxIZCgNwdnESEkNnc3ZaeTh4ZEdONGVqbG9OZxgK" TargetMode="External"/><Relationship Id="rId161" Type="http://schemas.openxmlformats.org/officeDocument/2006/relationships/hyperlink" Target="http://assemblyglobal.com" TargetMode="External"/><Relationship Id="rId160" Type="http://schemas.openxmlformats.org/officeDocument/2006/relationships/hyperlink" Target="https://google.assemblyglobal.com/licensing" TargetMode="External"/><Relationship Id="rId159" Type="http://schemas.openxmlformats.org/officeDocument/2006/relationships/hyperlink" Target="http://goodfirms.co" TargetMode="External"/><Relationship Id="rId154" Type="http://schemas.openxmlformats.org/officeDocument/2006/relationships/hyperlink" Target="https://www.goodfirms.co/directory/country/top-digital-marketing-companies/advertising-ppc/uk?sort_by=matrix" TargetMode="External"/><Relationship Id="rId153" Type="http://schemas.openxmlformats.org/officeDocument/2006/relationships/hyperlink" Target="http://goodfirms.co" TargetMode="External"/><Relationship Id="rId152" Type="http://schemas.openxmlformats.org/officeDocument/2006/relationships/hyperlink" Target="https://www.goodfirms.co/directory/city/top-digital-marketing-companies/advertising-ppc/london?sort_by=reviews" TargetMode="External"/><Relationship Id="rId151" Type="http://schemas.openxmlformats.org/officeDocument/2006/relationships/hyperlink" Target="http://geniecrawl.com" TargetMode="External"/><Relationship Id="rId158" Type="http://schemas.openxmlformats.org/officeDocument/2006/relationships/hyperlink" Target="https://www.goodfirms.co/directory/country/top-digital-marketing-companies/media-planning-buying/uk" TargetMode="External"/><Relationship Id="rId157" Type="http://schemas.openxmlformats.org/officeDocument/2006/relationships/hyperlink" Target="http://goodfirms.co" TargetMode="External"/><Relationship Id="rId156" Type="http://schemas.openxmlformats.org/officeDocument/2006/relationships/hyperlink" Target="https://www.goodfirms.co/directory/country/top-digital-marketing-companies/gb?hss_channel=fbp-687194624745812utm_content%3D126613956&amp;page=2" TargetMode="External"/><Relationship Id="rId155" Type="http://schemas.openxmlformats.org/officeDocument/2006/relationships/hyperlink" Target="http://goodfirms.co" TargetMode="External"/><Relationship Id="rId107" Type="http://schemas.openxmlformats.org/officeDocument/2006/relationships/hyperlink" Target="http://zendikt.com" TargetMode="External"/><Relationship Id="rId106" Type="http://schemas.openxmlformats.org/officeDocument/2006/relationships/hyperlink" Target="https://www.zendikt.com/top-10-marketing-attribution-software/united-kingdom" TargetMode="External"/><Relationship Id="rId105" Type="http://schemas.openxmlformats.org/officeDocument/2006/relationships/hyperlink" Target="http://techbehemoths.com" TargetMode="External"/><Relationship Id="rId104" Type="http://schemas.openxmlformats.org/officeDocument/2006/relationships/hyperlink" Target="https://techbehemoths.com/companies/google-marketing-platform/united-kingdom" TargetMode="External"/><Relationship Id="rId109" Type="http://schemas.openxmlformats.org/officeDocument/2006/relationships/hyperlink" Target="https://94n.digital/best-paid-media-agency-for-shopify-brands-uk/" TargetMode="External"/><Relationship Id="rId108" Type="http://schemas.openxmlformats.org/officeDocument/2006/relationships/hyperlink" Target="https://www.21digital.agency/blog/were-a-google-premier-partner-for-2026/" TargetMode="External"/><Relationship Id="rId103" Type="http://schemas.openxmlformats.org/officeDocument/2006/relationships/hyperlink" Target="http://rezaid.co.uk" TargetMode="External"/><Relationship Id="rId102" Type="http://schemas.openxmlformats.org/officeDocument/2006/relationships/hyperlink" Target="https://www.rezaid.co.uk/top-7-display-advertising-agencies-2025/" TargetMode="External"/><Relationship Id="rId101" Type="http://schemas.openxmlformats.org/officeDocument/2006/relationships/hyperlink" Target="http://neuraladx.com" TargetMode="External"/><Relationship Id="rId100" Type="http://schemas.openxmlformats.org/officeDocument/2006/relationships/hyperlink" Target="https://neuraladx.com/best-ai-search-optimisation-agency-property-companies-uk/" TargetMode="External"/><Relationship Id="rId129" Type="http://schemas.openxmlformats.org/officeDocument/2006/relationships/hyperlink" Target="http://consultancy.uk" TargetMode="External"/><Relationship Id="rId128" Type="http://schemas.openxmlformats.org/officeDocument/2006/relationships/hyperlink" Target="https://www.consultancy.uk/rankings/top-consulting-firms-in-the-uk-by-area-of-expertise/marketing" TargetMode="External"/><Relationship Id="rId127" Type="http://schemas.openxmlformats.org/officeDocument/2006/relationships/hyperlink" Target="http://withgoogle.com" TargetMode="External"/><Relationship Id="rId126" Type="http://schemas.openxmlformats.org/officeDocument/2006/relationships/hyperlink" Target="https://www.comparisonshoppingpartners.withgoogle.com/find_a_partner/" TargetMode="External"/><Relationship Id="rId121" Type="http://schemas.openxmlformats.org/officeDocument/2006/relationships/hyperlink" Target="http://brainlabsdigital.com" TargetMode="External"/><Relationship Id="rId120" Type="http://schemas.openxmlformats.org/officeDocument/2006/relationships/hyperlink" Target="https://www.brainlabsdigital.com/navigating-ga4-attribution-shifts-and-elevating-paid-search-performance/" TargetMode="External"/><Relationship Id="rId125" Type="http://schemas.openxmlformats.org/officeDocument/2006/relationships/hyperlink" Target="http://clutch.co" TargetMode="External"/><Relationship Id="rId124" Type="http://schemas.openxmlformats.org/officeDocument/2006/relationships/hyperlink" Target="https://clutch.co/agencies/programmatic/uk/england/manchester" TargetMode="External"/><Relationship Id="rId123" Type="http://schemas.openxmlformats.org/officeDocument/2006/relationships/hyperlink" Target="http://cgi.com" TargetMode="External"/><Relationship Id="rId122" Type="http://schemas.openxmlformats.org/officeDocument/2006/relationships/hyperlink" Target="https://www.cgi.com/uk/en-gb/geospatial-services" TargetMode="External"/><Relationship Id="rId118" Type="http://schemas.openxmlformats.org/officeDocument/2006/relationships/hyperlink" Target="https://www.bestadsontv.com/rankings.php?category=All&amp;country=United_Kingdom&amp;period=2025&amp;role=agency" TargetMode="External"/><Relationship Id="rId117" Type="http://schemas.openxmlformats.org/officeDocument/2006/relationships/hyperlink" Target="http://benchmarketing.org" TargetMode="External"/><Relationship Id="rId116" Type="http://schemas.openxmlformats.org/officeDocument/2006/relationships/hyperlink" Target="https://www.benchmarketing.org/performance-marketing-agency/london" TargetMode="External"/><Relationship Id="rId115" Type="http://schemas.openxmlformats.org/officeDocument/2006/relationships/hyperlink" Target="http://digicatapult.org.uk" TargetMode="External"/><Relationship Id="rId119" Type="http://schemas.openxmlformats.org/officeDocument/2006/relationships/hyperlink" Target="http://bestadsontv.com" TargetMode="External"/><Relationship Id="rId110" Type="http://schemas.openxmlformats.org/officeDocument/2006/relationships/hyperlink" Target="https://www.aatechlab.co.uk/blog" TargetMode="External"/><Relationship Id="rId114" Type="http://schemas.openxmlformats.org/officeDocument/2006/relationships/hyperlink" Target="https://apps.digicatapult.org.uk/ai-adoption-toolkit/" TargetMode="External"/><Relationship Id="rId113" Type="http://schemas.openxmlformats.org/officeDocument/2006/relationships/hyperlink" Target="http://google.com" TargetMode="External"/><Relationship Id="rId112" Type="http://schemas.openxmlformats.org/officeDocument/2006/relationships/hyperlink" Target="https://ads.google.com/home/resources/advanced/agency-directory/" TargetMode="External"/><Relationship Id="rId111" Type="http://schemas.openxmlformats.org/officeDocument/2006/relationships/hyperlink" Target="http://aatechlab.co.uk"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polarisagency.com" TargetMode="External"/><Relationship Id="rId2" Type="http://schemas.openxmlformats.org/officeDocument/2006/relationships/hyperlink" Target="https://localiq.co.uk/digital-marketing-services/display-advertising" TargetMode="External"/><Relationship Id="rId3" Type="http://schemas.openxmlformats.org/officeDocument/2006/relationships/hyperlink" Target="http://localiq.co.uk" TargetMode="External"/><Relationship Id="rId4" Type="http://schemas.openxmlformats.org/officeDocument/2006/relationships/hyperlink" Target="https://www.dentsu.com/uk/en/marketing-effectiveness" TargetMode="External"/><Relationship Id="rId9" Type="http://schemas.openxmlformats.org/officeDocument/2006/relationships/hyperlink" Target="http://found.co.uk" TargetMode="External"/><Relationship Id="rId5" Type="http://schemas.openxmlformats.org/officeDocument/2006/relationships/hyperlink" Target="http://dentsu.com" TargetMode="External"/><Relationship Id="rId6" Type="http://schemas.openxmlformats.org/officeDocument/2006/relationships/hyperlink" Target="https://disruptmarketing.co/paid-social/" TargetMode="External"/><Relationship Id="rId7" Type="http://schemas.openxmlformats.org/officeDocument/2006/relationships/hyperlink" Target="http://disruptmarketing.co" TargetMode="External"/><Relationship Id="rId8" Type="http://schemas.openxmlformats.org/officeDocument/2006/relationships/hyperlink" Target="https://www.found.co.uk/services/seo/ai-seo/aeo/" TargetMode="External"/><Relationship Id="rId40" Type="http://schemas.openxmlformats.org/officeDocument/2006/relationships/hyperlink" Target="https://s360digital.com/capabilities/data/incrementality-testing/" TargetMode="External"/><Relationship Id="rId42" Type="http://schemas.openxmlformats.org/officeDocument/2006/relationships/hyperlink" Target="https://salocin-group.com/our-services/ai-consulting-services/" TargetMode="External"/><Relationship Id="rId41" Type="http://schemas.openxmlformats.org/officeDocument/2006/relationships/hyperlink" Target="http://s360digital.com" TargetMode="External"/><Relationship Id="rId44" Type="http://schemas.openxmlformats.org/officeDocument/2006/relationships/hyperlink" Target="https://www.dentsu.com/uk/en/marketing-effectiveness/our-capabilities" TargetMode="External"/><Relationship Id="rId43" Type="http://schemas.openxmlformats.org/officeDocument/2006/relationships/hyperlink" Target="http://salocin-group.com" TargetMode="External"/><Relationship Id="rId46" Type="http://schemas.openxmlformats.org/officeDocument/2006/relationships/hyperlink" Target="https://www.idhlagency.com/digital-marketing/measurement-attribution" TargetMode="External"/><Relationship Id="rId45" Type="http://schemas.openxmlformats.org/officeDocument/2006/relationships/hyperlink" Target="http://dentsu.com" TargetMode="External"/><Relationship Id="rId48" Type="http://schemas.openxmlformats.org/officeDocument/2006/relationships/hyperlink" Target="https://www.ey.com/en_uk/services/consulting/ai-adoption" TargetMode="External"/><Relationship Id="rId47" Type="http://schemas.openxmlformats.org/officeDocument/2006/relationships/hyperlink" Target="http://idhlagency.com" TargetMode="External"/><Relationship Id="rId49" Type="http://schemas.openxmlformats.org/officeDocument/2006/relationships/hyperlink" Target="http://ey.com" TargetMode="External"/><Relationship Id="rId31" Type="http://schemas.openxmlformats.org/officeDocument/2006/relationships/hyperlink" Target="http://onelinkmedia.co.uk" TargetMode="External"/><Relationship Id="rId30" Type="http://schemas.openxmlformats.org/officeDocument/2006/relationships/hyperlink" Target="https://www.onelinkmedia.co.uk/strategy/attribution/" TargetMode="External"/><Relationship Id="rId33" Type="http://schemas.openxmlformats.org/officeDocument/2006/relationships/hyperlink" Target="http://getrecast.com" TargetMode="External"/><Relationship Id="rId32" Type="http://schemas.openxmlformats.org/officeDocument/2006/relationships/hyperlink" Target="https://getrecast.com/experimentation/" TargetMode="External"/><Relationship Id="rId35" Type="http://schemas.openxmlformats.org/officeDocument/2006/relationships/hyperlink" Target="http://havasmarket.co.uk" TargetMode="External"/><Relationship Id="rId34" Type="http://schemas.openxmlformats.org/officeDocument/2006/relationships/hyperlink" Target="https://www.havasmarket.co.uk/data-science-analytics/" TargetMode="External"/><Relationship Id="rId37" Type="http://schemas.openxmlformats.org/officeDocument/2006/relationships/hyperlink" Target="http://hotwireglobal.co.uk" TargetMode="External"/><Relationship Id="rId36" Type="http://schemas.openxmlformats.org/officeDocument/2006/relationships/hyperlink" Target="https://www.hotwireglobal.co.uk/our-services/ai-consulting-tech/" TargetMode="External"/><Relationship Id="rId39" Type="http://schemas.openxmlformats.org/officeDocument/2006/relationships/hyperlink" Target="http://openkit.co.uk" TargetMode="External"/><Relationship Id="rId38" Type="http://schemas.openxmlformats.org/officeDocument/2006/relationships/hyperlink" Target="https://openkit.co.uk/ai-services/ai-consulting" TargetMode="External"/><Relationship Id="rId20" Type="http://schemas.openxmlformats.org/officeDocument/2006/relationships/hyperlink" Target="https://www.lynchpin.com/services/marketing-attribution/" TargetMode="External"/><Relationship Id="rId22" Type="http://schemas.openxmlformats.org/officeDocument/2006/relationships/hyperlink" Target="https://netpeak.co.uk/services/marketing-analytics/" TargetMode="External"/><Relationship Id="rId21" Type="http://schemas.openxmlformats.org/officeDocument/2006/relationships/hyperlink" Target="http://lynchpin.com" TargetMode="External"/><Relationship Id="rId24" Type="http://schemas.openxmlformats.org/officeDocument/2006/relationships/hyperlink" Target="https://aargroup.co.uk/services-for-marketers/platform-readiness/genai-readiness-assessment/" TargetMode="External"/><Relationship Id="rId23" Type="http://schemas.openxmlformats.org/officeDocument/2006/relationships/hyperlink" Target="http://netpeak.co.uk" TargetMode="External"/><Relationship Id="rId26" Type="http://schemas.openxmlformats.org/officeDocument/2006/relationships/hyperlink" Target="https://arytech.com/uk/services/ai-consulting-services/" TargetMode="External"/><Relationship Id="rId25" Type="http://schemas.openxmlformats.org/officeDocument/2006/relationships/hyperlink" Target="http://aargroup.co.uk" TargetMode="External"/><Relationship Id="rId28" Type="http://schemas.openxmlformats.org/officeDocument/2006/relationships/hyperlink" Target="https://www.haus.io/use-cases/incrementality" TargetMode="External"/><Relationship Id="rId27" Type="http://schemas.openxmlformats.org/officeDocument/2006/relationships/hyperlink" Target="http://arytech.com" TargetMode="External"/><Relationship Id="rId29" Type="http://schemas.openxmlformats.org/officeDocument/2006/relationships/hyperlink" Target="http://haus.io" TargetMode="External"/><Relationship Id="rId11" Type="http://schemas.openxmlformats.org/officeDocument/2006/relationships/hyperlink" Target="http://whitehat-seo.co.uk" TargetMode="External"/><Relationship Id="rId10" Type="http://schemas.openxmlformats.org/officeDocument/2006/relationships/hyperlink" Target="https://whitehat-seo.co.uk/ai-consultancy-and-implementation" TargetMode="External"/><Relationship Id="rId13" Type="http://schemas.openxmlformats.org/officeDocument/2006/relationships/hyperlink" Target="http://found.co.uk" TargetMode="External"/><Relationship Id="rId12" Type="http://schemas.openxmlformats.org/officeDocument/2006/relationships/hyperlink" Target="https://www.found.co.uk/services/seo/ai-seo/" TargetMode="External"/><Relationship Id="rId15" Type="http://schemas.openxmlformats.org/officeDocument/2006/relationships/hyperlink" Target="http://panovistamarketing.com" TargetMode="External"/><Relationship Id="rId14" Type="http://schemas.openxmlformats.org/officeDocument/2006/relationships/hyperlink" Target="https://www.panovistamarketing.com/blog/best-ai-seo-agencies-uk" TargetMode="External"/><Relationship Id="rId17" Type="http://schemas.openxmlformats.org/officeDocument/2006/relationships/hyperlink" Target="http://found.co.uk" TargetMode="External"/><Relationship Id="rId16" Type="http://schemas.openxmlformats.org/officeDocument/2006/relationships/hyperlink" Target="https://www.found.co.uk/services/data/analytics/" TargetMode="External"/><Relationship Id="rId19" Type="http://schemas.openxmlformats.org/officeDocument/2006/relationships/hyperlink" Target="http://kinase.co.uk" TargetMode="External"/><Relationship Id="rId18" Type="http://schemas.openxmlformats.org/officeDocument/2006/relationships/hyperlink" Target="https://www.kinase.co.uk/measurement-1" TargetMode="External"/><Relationship Id="rId84" Type="http://schemas.openxmlformats.org/officeDocument/2006/relationships/hyperlink" Target="http://searchlaboratory.com" TargetMode="External"/><Relationship Id="rId83" Type="http://schemas.openxmlformats.org/officeDocument/2006/relationships/hyperlink" Target="https://www.searchlaboratory.com/google-marketing-platform/" TargetMode="External"/><Relationship Id="rId86" Type="http://schemas.openxmlformats.org/officeDocument/2006/relationships/hyperlink" Target="http://wonderagency.co.uk" TargetMode="External"/><Relationship Id="rId85" Type="http://schemas.openxmlformats.org/officeDocument/2006/relationships/hyperlink" Target="https://wonderagency.co.uk/services/marketing-analytics/marketing-attribution-analytics/" TargetMode="External"/><Relationship Id="rId88" Type="http://schemas.openxmlformats.org/officeDocument/2006/relationships/hyperlink" Target="http://braidr.ai" TargetMode="External"/><Relationship Id="rId87" Type="http://schemas.openxmlformats.org/officeDocument/2006/relationships/hyperlink" Target="https://braidr.ai/intelligence/ai-strategy-readiness-consulting/" TargetMode="External"/><Relationship Id="rId89" Type="http://schemas.openxmlformats.org/officeDocument/2006/relationships/hyperlink" Target="https://business.google.com/en-all/support/become-a-partner/" TargetMode="External"/><Relationship Id="rId80" Type="http://schemas.openxmlformats.org/officeDocument/2006/relationships/hyperlink" Target="http://paramark.com" TargetMode="External"/><Relationship Id="rId82" Type="http://schemas.openxmlformats.org/officeDocument/2006/relationships/hyperlink" Target="https://riseup.agency/data-analytics/" TargetMode="External"/><Relationship Id="rId81" Type="http://schemas.openxmlformats.org/officeDocument/2006/relationships/hyperlink" Target="https://passion.digital/services/ai-search/" TargetMode="External"/><Relationship Id="rId73" Type="http://schemas.openxmlformats.org/officeDocument/2006/relationships/hyperlink" Target="https://www.experian.com/business/solutions/marketing-solutions/marketing-measurement-tools" TargetMode="External"/><Relationship Id="rId72" Type="http://schemas.openxmlformats.org/officeDocument/2006/relationships/hyperlink" Target="https://submerge.digital/measurement/marketing-attribution-agency/" TargetMode="External"/><Relationship Id="rId75" Type="http://schemas.openxmlformats.org/officeDocument/2006/relationships/hyperlink" Target="https://www.impressiondigital.com/about/google-partner-agency/" TargetMode="External"/><Relationship Id="rId74" Type="http://schemas.openxmlformats.org/officeDocument/2006/relationships/hyperlink" Target="http://experian.com" TargetMode="External"/><Relationship Id="rId77" Type="http://schemas.openxmlformats.org/officeDocument/2006/relationships/hyperlink" Target="https://www.measured.com/incremental-lift-tests/" TargetMode="External"/><Relationship Id="rId76" Type="http://schemas.openxmlformats.org/officeDocument/2006/relationships/hyperlink" Target="http://impressiondigital.com" TargetMode="External"/><Relationship Id="rId79" Type="http://schemas.openxmlformats.org/officeDocument/2006/relationships/hyperlink" Target="https://paramark.com/incrementality-testing" TargetMode="External"/><Relationship Id="rId78" Type="http://schemas.openxmlformats.org/officeDocument/2006/relationships/hyperlink" Target="http://measured.com" TargetMode="External"/><Relationship Id="rId71" Type="http://schemas.openxmlformats.org/officeDocument/2006/relationships/hyperlink" Target="http://richclicks.co.uk" TargetMode="External"/><Relationship Id="rId70" Type="http://schemas.openxmlformats.org/officeDocument/2006/relationships/hyperlink" Target="https://www.richclicks.co.uk/services/ai-adoption" TargetMode="External"/><Relationship Id="rId62" Type="http://schemas.openxmlformats.org/officeDocument/2006/relationships/hyperlink" Target="https://visarc.uk/services/digital-marketing-agency/display-advertising-agency/" TargetMode="External"/><Relationship Id="rId61" Type="http://schemas.openxmlformats.org/officeDocument/2006/relationships/hyperlink" Target="http://protiviti.com" TargetMode="External"/><Relationship Id="rId64" Type="http://schemas.openxmlformats.org/officeDocument/2006/relationships/hyperlink" Target="https://bestwebdevelopers.co.uk/display-advertising/" TargetMode="External"/><Relationship Id="rId63" Type="http://schemas.openxmlformats.org/officeDocument/2006/relationships/hyperlink" Target="http://visarc.uk" TargetMode="External"/><Relationship Id="rId66" Type="http://schemas.openxmlformats.org/officeDocument/2006/relationships/hyperlink" Target="https://fusepointinsights.com/service/incrementality-experiments/" TargetMode="External"/><Relationship Id="rId65" Type="http://schemas.openxmlformats.org/officeDocument/2006/relationships/hyperlink" Target="http://bestwebdevelopers.co.uk" TargetMode="External"/><Relationship Id="rId68" Type="http://schemas.openxmlformats.org/officeDocument/2006/relationships/hyperlink" Target="https://marketingplatform.google.com/intl/en_uk/about/" TargetMode="External"/><Relationship Id="rId67" Type="http://schemas.openxmlformats.org/officeDocument/2006/relationships/hyperlink" Target="http://fusepointinsights.com" TargetMode="External"/><Relationship Id="rId60" Type="http://schemas.openxmlformats.org/officeDocument/2006/relationships/hyperlink" Target="https://www.protiviti.com/uk-en/artificial-intelligence-services" TargetMode="External"/><Relationship Id="rId69" Type="http://schemas.openxmlformats.org/officeDocument/2006/relationships/hyperlink" Target="http://google.com" TargetMode="External"/><Relationship Id="rId51" Type="http://schemas.openxmlformats.org/officeDocument/2006/relationships/hyperlink" Target="http://impressiondigital.com" TargetMode="External"/><Relationship Id="rId50" Type="http://schemas.openxmlformats.org/officeDocument/2006/relationships/hyperlink" Target="https://www.impressiondigital.com/media-solutions/measurement/" TargetMode="External"/><Relationship Id="rId53" Type="http://schemas.openxmlformats.org/officeDocument/2006/relationships/hyperlink" Target="http://kinesso.co.uk" TargetMode="External"/><Relationship Id="rId52" Type="http://schemas.openxmlformats.org/officeDocument/2006/relationships/hyperlink" Target="https://kinesso.co.uk/services/data-tech/gmp-sales-partner/" TargetMode="External"/><Relationship Id="rId55" Type="http://schemas.openxmlformats.org/officeDocument/2006/relationships/hyperlink" Target="http://kingsbury.io" TargetMode="External"/><Relationship Id="rId54" Type="http://schemas.openxmlformats.org/officeDocument/2006/relationships/hyperlink" Target="https://www.kingsbury.io/advisory" TargetMode="External"/><Relationship Id="rId57" Type="http://schemas.openxmlformats.org/officeDocument/2006/relationships/hyperlink" Target="http://liftlab.com" TargetMode="External"/><Relationship Id="rId56" Type="http://schemas.openxmlformats.org/officeDocument/2006/relationships/hyperlink" Target="https://liftlab.com/platform/incrementality-testing-engine/" TargetMode="External"/><Relationship Id="rId59" Type="http://schemas.openxmlformats.org/officeDocument/2006/relationships/hyperlink" Target="http://liftlab.com" TargetMode="External"/><Relationship Id="rId58" Type="http://schemas.openxmlformats.org/officeDocument/2006/relationships/hyperlink" Target="https://liftlab.com/solutions/incrementality-testing/" TargetMode="External"/><Relationship Id="rId349" Type="http://schemas.openxmlformats.org/officeDocument/2006/relationships/hyperlink" Target="http://wested.org" TargetMode="External"/><Relationship Id="rId348" Type="http://schemas.openxmlformats.org/officeDocument/2006/relationships/hyperlink" Target="https://www.wested.org/support/ai-readiness-and-integration/" TargetMode="External"/><Relationship Id="rId347" Type="http://schemas.openxmlformats.org/officeDocument/2006/relationships/hyperlink" Target="http://welcometothejungle.com" TargetMode="External"/><Relationship Id="rId346" Type="http://schemas.openxmlformats.org/officeDocument/2006/relationships/hyperlink" Target="https://www.welcometothejungle.com/en/companies/ekimetrics/jobs/marketing-commercial-intern-6-months_london" TargetMode="External"/><Relationship Id="rId341" Type="http://schemas.openxmlformats.org/officeDocument/2006/relationships/hyperlink" Target="http://wagada.co.uk" TargetMode="External"/><Relationship Id="rId340" Type="http://schemas.openxmlformats.org/officeDocument/2006/relationships/hyperlink" Target="https://www.wagada.co.uk/ai-marketing-agency/" TargetMode="External"/><Relationship Id="rId345" Type="http://schemas.openxmlformats.org/officeDocument/2006/relationships/hyperlink" Target="http://wearetenet.com" TargetMode="External"/><Relationship Id="rId344" Type="http://schemas.openxmlformats.org/officeDocument/2006/relationships/hyperlink" Target="https://www.wearetenet.com/uk/growth/ai-seo-services" TargetMode="External"/><Relationship Id="rId343" Type="http://schemas.openxmlformats.org/officeDocument/2006/relationships/hyperlink" Target="http://walkeragency.co.uk" TargetMode="External"/><Relationship Id="rId342" Type="http://schemas.openxmlformats.org/officeDocument/2006/relationships/hyperlink" Target="https://www.walkeragency.co.uk/creative-agency" TargetMode="External"/><Relationship Id="rId338" Type="http://schemas.openxmlformats.org/officeDocument/2006/relationships/hyperlink" Target="https://verdtek.com/ai-adoption/" TargetMode="External"/><Relationship Id="rId337" Type="http://schemas.openxmlformats.org/officeDocument/2006/relationships/hyperlink" Target="http://urbanmedia.co.uk" TargetMode="External"/><Relationship Id="rId336" Type="http://schemas.openxmlformats.org/officeDocument/2006/relationships/hyperlink" Target="https://urbanmedia.co.uk/display-advertising-agency/" TargetMode="External"/><Relationship Id="rId335" Type="http://schemas.openxmlformats.org/officeDocument/2006/relationships/hyperlink" Target="http://unusualgroup.com" TargetMode="External"/><Relationship Id="rId339" Type="http://schemas.openxmlformats.org/officeDocument/2006/relationships/hyperlink" Target="http://verdtek.com" TargetMode="External"/><Relationship Id="rId330" Type="http://schemas.openxmlformats.org/officeDocument/2006/relationships/hyperlink" Target="https://thriveagency.com/london-digital-marketing-agency/" TargetMode="External"/><Relationship Id="rId334" Type="http://schemas.openxmlformats.org/officeDocument/2006/relationships/hyperlink" Target="https://www.unusualgroup.com/consulting/ai-transformation" TargetMode="External"/><Relationship Id="rId333" Type="http://schemas.openxmlformats.org/officeDocument/2006/relationships/hyperlink" Target="http://tillison.co.uk" TargetMode="External"/><Relationship Id="rId332" Type="http://schemas.openxmlformats.org/officeDocument/2006/relationships/hyperlink" Target="https://tillison.co.uk/about/google-premier-partner/" TargetMode="External"/><Relationship Id="rId331" Type="http://schemas.openxmlformats.org/officeDocument/2006/relationships/hyperlink" Target="http://thriveagency.com" TargetMode="External"/><Relationship Id="rId95" Type="http://schemas.openxmlformats.org/officeDocument/2006/relationships/hyperlink" Target="https://www.ey.com/en_uk/services/consulting/artificial-intelligence-consulting-services" TargetMode="External"/><Relationship Id="rId94" Type="http://schemas.openxmlformats.org/officeDocument/2006/relationships/hyperlink" Target="http://deptagency.com" TargetMode="External"/><Relationship Id="rId97" Type="http://schemas.openxmlformats.org/officeDocument/2006/relationships/hyperlink" Target="https://www.found.co.uk/services/paid-media/" TargetMode="External"/><Relationship Id="rId96" Type="http://schemas.openxmlformats.org/officeDocument/2006/relationships/hyperlink" Target="http://ey.com" TargetMode="External"/><Relationship Id="rId99" Type="http://schemas.openxmlformats.org/officeDocument/2006/relationships/hyperlink" Target="https://www.found.co.uk/services/paid-media/programmatic/" TargetMode="External"/><Relationship Id="rId98" Type="http://schemas.openxmlformats.org/officeDocument/2006/relationships/hyperlink" Target="http://found.co.uk" TargetMode="External"/><Relationship Id="rId91" Type="http://schemas.openxmlformats.org/officeDocument/2006/relationships/hyperlink" Target="https://www.click.co.uk/services/paid-media/display-advertising/" TargetMode="External"/><Relationship Id="rId90" Type="http://schemas.openxmlformats.org/officeDocument/2006/relationships/hyperlink" Target="http://google.com" TargetMode="External"/><Relationship Id="rId93" Type="http://schemas.openxmlformats.org/officeDocument/2006/relationships/hyperlink" Target="https://www.deptagency.com/en-dk/partner/google-marketing-platform/" TargetMode="External"/><Relationship Id="rId92" Type="http://schemas.openxmlformats.org/officeDocument/2006/relationships/hyperlink" Target="http://click.co.uk" TargetMode="External"/><Relationship Id="rId352" Type="http://schemas.openxmlformats.org/officeDocument/2006/relationships/drawing" Target="../drawings/drawing29.xml"/><Relationship Id="rId351" Type="http://schemas.openxmlformats.org/officeDocument/2006/relationships/hyperlink" Target="http://xanthosdigital.com" TargetMode="External"/><Relationship Id="rId350" Type="http://schemas.openxmlformats.org/officeDocument/2006/relationships/hyperlink" Target="https://www.xanthosdigital.com/services/digital-marketing/paid-social" TargetMode="External"/><Relationship Id="rId305" Type="http://schemas.openxmlformats.org/officeDocument/2006/relationships/hyperlink" Target="https://www.q5partners.com/where-we-work/media/" TargetMode="External"/><Relationship Id="rId304" Type="http://schemas.openxmlformats.org/officeDocument/2006/relationships/hyperlink" Target="http://pushgroup.co.uk" TargetMode="External"/><Relationship Id="rId303" Type="http://schemas.openxmlformats.org/officeDocument/2006/relationships/hyperlink" Target="https://www.pushgroup.co.uk/google-ads-adwords-google-ppc-management-agency-london" TargetMode="External"/><Relationship Id="rId302" Type="http://schemas.openxmlformats.org/officeDocument/2006/relationships/hyperlink" Target="http://propeller.co.uk" TargetMode="External"/><Relationship Id="rId309" Type="http://schemas.openxmlformats.org/officeDocument/2006/relationships/hyperlink" Target="https://www.reflectdigital.co.uk/paid-social" TargetMode="External"/><Relationship Id="rId308" Type="http://schemas.openxmlformats.org/officeDocument/2006/relationships/hyperlink" Target="http://queryclick.com" TargetMode="External"/><Relationship Id="rId307" Type="http://schemas.openxmlformats.org/officeDocument/2006/relationships/hyperlink" Target="https://queryclick.com/analytics-insights-attribution/" TargetMode="External"/><Relationship Id="rId306" Type="http://schemas.openxmlformats.org/officeDocument/2006/relationships/hyperlink" Target="http://q5partners.com" TargetMode="External"/><Relationship Id="rId301" Type="http://schemas.openxmlformats.org/officeDocument/2006/relationships/hyperlink" Target="https://www.propeller.co.uk/luxury-marketing-agency" TargetMode="External"/><Relationship Id="rId300" Type="http://schemas.openxmlformats.org/officeDocument/2006/relationships/hyperlink" Target="http://prioritypixels.co.uk" TargetMode="External"/><Relationship Id="rId327" Type="http://schemas.openxmlformats.org/officeDocument/2006/relationships/hyperlink" Target="http://technologyarch.com" TargetMode="External"/><Relationship Id="rId326" Type="http://schemas.openxmlformats.org/officeDocument/2006/relationships/hyperlink" Target="https://technologyarch.com/it-consulting/ai-adoption/" TargetMode="External"/><Relationship Id="rId325" Type="http://schemas.openxmlformats.org/officeDocument/2006/relationships/hyperlink" Target="http://taylorherring.com" TargetMode="External"/><Relationship Id="rId324" Type="http://schemas.openxmlformats.org/officeDocument/2006/relationships/hyperlink" Target="https://www.taylorherring.com/about-us/" TargetMode="External"/><Relationship Id="rId329" Type="http://schemas.openxmlformats.org/officeDocument/2006/relationships/hyperlink" Target="http://thelaneagency.com" TargetMode="External"/><Relationship Id="rId328" Type="http://schemas.openxmlformats.org/officeDocument/2006/relationships/hyperlink" Target="https://www.thelaneagency.com/media/paid-social/" TargetMode="External"/><Relationship Id="rId323" Type="http://schemas.openxmlformats.org/officeDocument/2006/relationships/hyperlink" Target="https://www.synapgrowth.agency/paid-social-marketing-agency-uk/" TargetMode="External"/><Relationship Id="rId322" Type="http://schemas.openxmlformats.org/officeDocument/2006/relationships/hyperlink" Target="http://sqdigital.co.uk" TargetMode="External"/><Relationship Id="rId321" Type="http://schemas.openxmlformats.org/officeDocument/2006/relationships/hyperlink" Target="https://www.sqdigital.co.uk/geo-agency/" TargetMode="External"/><Relationship Id="rId320" Type="http://schemas.openxmlformats.org/officeDocument/2006/relationships/hyperlink" Target="http://spaceandtime.co.uk" TargetMode="External"/><Relationship Id="rId316" Type="http://schemas.openxmlformats.org/officeDocument/2006/relationships/hyperlink" Target="http://scaleforte.co.uk" TargetMode="External"/><Relationship Id="rId315" Type="http://schemas.openxmlformats.org/officeDocument/2006/relationships/hyperlink" Target="https://scaleforte.co.uk/paid-social-services/" TargetMode="External"/><Relationship Id="rId314" Type="http://schemas.openxmlformats.org/officeDocument/2006/relationships/hyperlink" Target="http://rockerbox.com" TargetMode="External"/><Relationship Id="rId313" Type="http://schemas.openxmlformats.org/officeDocument/2006/relationships/hyperlink" Target="https://www.rockerbox.com/testing" TargetMode="External"/><Relationship Id="rId319" Type="http://schemas.openxmlformats.org/officeDocument/2006/relationships/hyperlink" Target="https://spaceandtime.co.uk/media/programmatic-agency" TargetMode="External"/><Relationship Id="rId318" Type="http://schemas.openxmlformats.org/officeDocument/2006/relationships/hyperlink" Target="http://solvid.co.uk" TargetMode="External"/><Relationship Id="rId317" Type="http://schemas.openxmlformats.org/officeDocument/2006/relationships/hyperlink" Target="https://solvid.co.uk/services/geo-ai-seo/" TargetMode="External"/><Relationship Id="rId312" Type="http://schemas.openxmlformats.org/officeDocument/2006/relationships/hyperlink" Target="http://repindia.com" TargetMode="External"/><Relationship Id="rId311" Type="http://schemas.openxmlformats.org/officeDocument/2006/relationships/hyperlink" Target="https://www.repindia.com/performace/performance-marketing-agency-in-uk" TargetMode="External"/><Relationship Id="rId310" Type="http://schemas.openxmlformats.org/officeDocument/2006/relationships/hyperlink" Target="http://reflectdigital.co.uk" TargetMode="External"/><Relationship Id="rId297" Type="http://schemas.openxmlformats.org/officeDocument/2006/relationships/hyperlink" Target="https://ppcgeeks.co.uk/ecommerce-ppc/" TargetMode="External"/><Relationship Id="rId296" Type="http://schemas.openxmlformats.org/officeDocument/2006/relationships/hyperlink" Target="http://polarisagency.com" TargetMode="External"/><Relationship Id="rId295" Type="http://schemas.openxmlformats.org/officeDocument/2006/relationships/hyperlink" Target="https://www.polarisagency.com/marketing-insights/best-demand-gen-agencies-b2b-uk/" TargetMode="External"/><Relationship Id="rId294" Type="http://schemas.openxmlformats.org/officeDocument/2006/relationships/hyperlink" Target="http://pearllemonleads.com" TargetMode="External"/><Relationship Id="rId299" Type="http://schemas.openxmlformats.org/officeDocument/2006/relationships/hyperlink" Target="https://prioritypixels.co.uk/about/google-partner/" TargetMode="External"/><Relationship Id="rId298" Type="http://schemas.openxmlformats.org/officeDocument/2006/relationships/hyperlink" Target="http://ppcgeeks.co.uk" TargetMode="External"/><Relationship Id="rId271" Type="http://schemas.openxmlformats.org/officeDocument/2006/relationships/hyperlink" Target="https://www.mint.ai/agentic-ai" TargetMode="External"/><Relationship Id="rId270" Type="http://schemas.openxmlformats.org/officeDocument/2006/relationships/hyperlink" Target="http://mediaperformance.co.uk" TargetMode="External"/><Relationship Id="rId269" Type="http://schemas.openxmlformats.org/officeDocument/2006/relationships/hyperlink" Target="https://www.mediaperformance.co.uk/what-we-do/measurement-attribution-strategy/" TargetMode="External"/><Relationship Id="rId264" Type="http://schemas.openxmlformats.org/officeDocument/2006/relationships/hyperlink" Target="http://marketri.com" TargetMode="External"/><Relationship Id="rId263" Type="http://schemas.openxmlformats.org/officeDocument/2006/relationships/hyperlink" Target="https://marketri.com/ai-marketing-consulting/" TargetMode="External"/><Relationship Id="rId262" Type="http://schemas.openxmlformats.org/officeDocument/2006/relationships/hyperlink" Target="http://margen.net" TargetMode="External"/><Relationship Id="rId261" Type="http://schemas.openxmlformats.org/officeDocument/2006/relationships/hyperlink" Target="https://www.margen.net/ai-seo-agency-uk/" TargetMode="External"/><Relationship Id="rId268" Type="http://schemas.openxmlformats.org/officeDocument/2006/relationships/hyperlink" Target="http://mediaperformance.co.uk" TargetMode="External"/><Relationship Id="rId267" Type="http://schemas.openxmlformats.org/officeDocument/2006/relationships/hyperlink" Target="https://www.mediaperformance.co.uk/what-we-do/cro/" TargetMode="External"/><Relationship Id="rId266" Type="http://schemas.openxmlformats.org/officeDocument/2006/relationships/hyperlink" Target="http://mcsaatchiperformance.com" TargetMode="External"/><Relationship Id="rId265" Type="http://schemas.openxmlformats.org/officeDocument/2006/relationships/hyperlink" Target="https://www.mcsaatchiperformance.com/what-we-do/display/" TargetMode="External"/><Relationship Id="rId260" Type="http://schemas.openxmlformats.org/officeDocument/2006/relationships/hyperlink" Target="http://lynchpin.com" TargetMode="External"/><Relationship Id="rId259" Type="http://schemas.openxmlformats.org/officeDocument/2006/relationships/hyperlink" Target="https://www.lynchpin.com/services/digital-analytics/adobe-analytics-and-target-support/" TargetMode="External"/><Relationship Id="rId258" Type="http://schemas.openxmlformats.org/officeDocument/2006/relationships/hyperlink" Target="http://loomdigital.co.uk" TargetMode="External"/><Relationship Id="rId253" Type="http://schemas.openxmlformats.org/officeDocument/2006/relationships/hyperlink" Target="https://www.kiwop.com/en/marketing-attribution" TargetMode="External"/><Relationship Id="rId252" Type="http://schemas.openxmlformats.org/officeDocument/2006/relationships/hyperlink" Target="http://iprospect.com" TargetMode="External"/><Relationship Id="rId251" Type="http://schemas.openxmlformats.org/officeDocument/2006/relationships/hyperlink" Target="https://www.iprospect.com/en-gb/services/paid-social-services" TargetMode="External"/><Relationship Id="rId250" Type="http://schemas.openxmlformats.org/officeDocument/2006/relationships/hyperlink" Target="http://ink-digital.co.uk" TargetMode="External"/><Relationship Id="rId257" Type="http://schemas.openxmlformats.org/officeDocument/2006/relationships/hyperlink" Target="https://www.loomdigital.co.uk/paid-search-ppc/google-ads/" TargetMode="External"/><Relationship Id="rId256" Type="http://schemas.openxmlformats.org/officeDocument/2006/relationships/hyperlink" Target="http://localiq.co.uk" TargetMode="External"/><Relationship Id="rId255" Type="http://schemas.openxmlformats.org/officeDocument/2006/relationships/hyperlink" Target="https://localiq.co.uk/digital-marketing-services/seo/ai-search" TargetMode="External"/><Relationship Id="rId254" Type="http://schemas.openxmlformats.org/officeDocument/2006/relationships/hyperlink" Target="http://kiwop.com" TargetMode="External"/><Relationship Id="rId293" Type="http://schemas.openxmlformats.org/officeDocument/2006/relationships/hyperlink" Target="https://pearllemonleads.com/lead-generation-for-apartment-locators/" TargetMode="External"/><Relationship Id="rId292" Type="http://schemas.openxmlformats.org/officeDocument/2006/relationships/hyperlink" Target="http://panovistamarketing.com" TargetMode="External"/><Relationship Id="rId291" Type="http://schemas.openxmlformats.org/officeDocument/2006/relationships/hyperlink" Target="https://www.panovistamarketing.com/blog/best-seo-company-uk" TargetMode="External"/><Relationship Id="rId290" Type="http://schemas.openxmlformats.org/officeDocument/2006/relationships/hyperlink" Target="http://panovistamarketing.com" TargetMode="External"/><Relationship Id="rId286" Type="http://schemas.openxmlformats.org/officeDocument/2006/relationships/hyperlink" Target="http://ourdigitalteam.com" TargetMode="External"/><Relationship Id="rId285" Type="http://schemas.openxmlformats.org/officeDocument/2006/relationships/hyperlink" Target="https://www.ourdigitalteam.com/google-partner-agency/" TargetMode="External"/><Relationship Id="rId284" Type="http://schemas.openxmlformats.org/officeDocument/2006/relationships/hyperlink" Target="http://opinosis-analytics.com" TargetMode="External"/><Relationship Id="rId283" Type="http://schemas.openxmlformats.org/officeDocument/2006/relationships/hyperlink" Target="https://www.opinosis-analytics.com/ai-consulting-in-united-kingdom/" TargetMode="External"/><Relationship Id="rId289" Type="http://schemas.openxmlformats.org/officeDocument/2006/relationships/hyperlink" Target="https://www.panovistamarketing.com/blog/ai-local-seo-agency" TargetMode="External"/><Relationship Id="rId288" Type="http://schemas.openxmlformats.org/officeDocument/2006/relationships/hyperlink" Target="http://panorama-consulting.com" TargetMode="External"/><Relationship Id="rId287" Type="http://schemas.openxmlformats.org/officeDocument/2006/relationships/hyperlink" Target="https://www.panorama-consulting.com/services/ai-readiness-and-enablement-service-offering/" TargetMode="External"/><Relationship Id="rId282" Type="http://schemas.openxmlformats.org/officeDocument/2006/relationships/hyperlink" Target="https://opace.agency/services/artificial-intelligence/ai-strategy-consulting/" TargetMode="External"/><Relationship Id="rId281" Type="http://schemas.openxmlformats.org/officeDocument/2006/relationships/hyperlink" Target="http://nexacognition.com" TargetMode="External"/><Relationship Id="rId280" Type="http://schemas.openxmlformats.org/officeDocument/2006/relationships/hyperlink" Target="https://nexacognition.com/ai-strategy-consulting" TargetMode="External"/><Relationship Id="rId275" Type="http://schemas.openxmlformats.org/officeDocument/2006/relationships/hyperlink" Target="https://www.monks.com/partners/google-marketing-platform" TargetMode="External"/><Relationship Id="rId274" Type="http://schemas.openxmlformats.org/officeDocument/2006/relationships/hyperlink" Target="http://mma.com" TargetMode="External"/><Relationship Id="rId273" Type="http://schemas.openxmlformats.org/officeDocument/2006/relationships/hyperlink" Target="https://mma.com/solutions/unified-marketing-measurement/" TargetMode="External"/><Relationship Id="rId272" Type="http://schemas.openxmlformats.org/officeDocument/2006/relationships/hyperlink" Target="http://mint.ai" TargetMode="External"/><Relationship Id="rId279" Type="http://schemas.openxmlformats.org/officeDocument/2006/relationships/hyperlink" Target="http://neuraladx.com" TargetMode="External"/><Relationship Id="rId278" Type="http://schemas.openxmlformats.org/officeDocument/2006/relationships/hyperlink" Target="https://neuraladx.com/best-perplexity-optimisation-agency-uk/" TargetMode="External"/><Relationship Id="rId277" Type="http://schemas.openxmlformats.org/officeDocument/2006/relationships/hyperlink" Target="https://mrs.digital/ppc/healthcare-ppc-agency/" TargetMode="External"/><Relationship Id="rId276" Type="http://schemas.openxmlformats.org/officeDocument/2006/relationships/hyperlink" Target="http://monks.com" TargetMode="External"/><Relationship Id="rId228" Type="http://schemas.openxmlformats.org/officeDocument/2006/relationships/hyperlink" Target="http://finnpartners.com" TargetMode="External"/><Relationship Id="rId227" Type="http://schemas.openxmlformats.org/officeDocument/2006/relationships/hyperlink" Target="https://www.finnpartners.com/uk/service/digital-marketing/" TargetMode="External"/><Relationship Id="rId226" Type="http://schemas.openxmlformats.org/officeDocument/2006/relationships/hyperlink" Target="http://ecimediamanagement.com" TargetMode="External"/><Relationship Id="rId225" Type="http://schemas.openxmlformats.org/officeDocument/2006/relationships/hyperlink" Target="https://ecimediamanagement.com/tv-ctv-audits" TargetMode="External"/><Relationship Id="rId229" Type="http://schemas.openxmlformats.org/officeDocument/2006/relationships/hyperlink" Target="https://firstmotion.com/generative-engine-optimisation-agency" TargetMode="External"/><Relationship Id="rId220" Type="http://schemas.openxmlformats.org/officeDocument/2006/relationships/hyperlink" Target="http://croud.com" TargetMode="External"/><Relationship Id="rId224" Type="http://schemas.openxmlformats.org/officeDocument/2006/relationships/hyperlink" Target="http://ecimediamanagement.com" TargetMode="External"/><Relationship Id="rId223" Type="http://schemas.openxmlformats.org/officeDocument/2006/relationships/hyperlink" Target="https://ecimediamanagement.com/media-performance-consulting" TargetMode="External"/><Relationship Id="rId222" Type="http://schemas.openxmlformats.org/officeDocument/2006/relationships/hyperlink" Target="http://decisionfoundry.com" TargetMode="External"/><Relationship Id="rId221" Type="http://schemas.openxmlformats.org/officeDocument/2006/relationships/hyperlink" Target="https://www.decisionfoundry.com/marketing-measurement-analytics-services/" TargetMode="External"/><Relationship Id="rId217" Type="http://schemas.openxmlformats.org/officeDocument/2006/relationships/hyperlink" Target="https://corsactech.com/cloud-migration-service-providers" TargetMode="External"/><Relationship Id="rId216" Type="http://schemas.openxmlformats.org/officeDocument/2006/relationships/hyperlink" Target="http://connective3.com" TargetMode="External"/><Relationship Id="rId215" Type="http://schemas.openxmlformats.org/officeDocument/2006/relationships/hyperlink" Target="https://connective3.com/services/paid-media/google-premier-partners/" TargetMode="External"/><Relationship Id="rId214" Type="http://schemas.openxmlformats.org/officeDocument/2006/relationships/hyperlink" Target="http://clickslice.co.uk" TargetMode="External"/><Relationship Id="rId219" Type="http://schemas.openxmlformats.org/officeDocument/2006/relationships/hyperlink" Target="https://croud.com/en-gb/services/audience-suite/analytics/attributiongeni/" TargetMode="External"/><Relationship Id="rId218" Type="http://schemas.openxmlformats.org/officeDocument/2006/relationships/hyperlink" Target="http://corsactech.com" TargetMode="External"/><Relationship Id="rId213" Type="http://schemas.openxmlformats.org/officeDocument/2006/relationships/hyperlink" Target="https://www.clickslice.co.uk/local-seo-services-london/" TargetMode="External"/><Relationship Id="rId212" Type="http://schemas.openxmlformats.org/officeDocument/2006/relationships/hyperlink" Target="http://clickslice.co.uk" TargetMode="External"/><Relationship Id="rId211" Type="http://schemas.openxmlformats.org/officeDocument/2006/relationships/hyperlink" Target="https://www.clickslice.co.uk/generative-engine-optimisation-geo-services/" TargetMode="External"/><Relationship Id="rId210" Type="http://schemas.openxmlformats.org/officeDocument/2006/relationships/hyperlink" Target="http://clickmarketing.co.uk" TargetMode="External"/><Relationship Id="rId249" Type="http://schemas.openxmlformats.org/officeDocument/2006/relationships/hyperlink" Target="https://ink-digital.co.uk/services/paid-media/paid-social/" TargetMode="External"/><Relationship Id="rId248" Type="http://schemas.openxmlformats.org/officeDocument/2006/relationships/hyperlink" Target="http://havasmarket.co.uk" TargetMode="External"/><Relationship Id="rId247" Type="http://schemas.openxmlformats.org/officeDocument/2006/relationships/hyperlink" Target="https://www.havasmarket.co.uk/paid-search/" TargetMode="External"/><Relationship Id="rId242" Type="http://schemas.openxmlformats.org/officeDocument/2006/relationships/hyperlink" Target="http://get-found.co.uk" TargetMode="External"/><Relationship Id="rId241" Type="http://schemas.openxmlformats.org/officeDocument/2006/relationships/hyperlink" Target="https://get-found.co.uk/services/aeo-agency" TargetMode="External"/><Relationship Id="rId240" Type="http://schemas.openxmlformats.org/officeDocument/2006/relationships/hyperlink" Target="http://gambitagency.co.uk" TargetMode="External"/><Relationship Id="rId246" Type="http://schemas.openxmlformats.org/officeDocument/2006/relationships/hyperlink" Target="https://hallam.agency/media-planning/" TargetMode="External"/><Relationship Id="rId245" Type="http://schemas.openxmlformats.org/officeDocument/2006/relationships/hyperlink" Target="https://hallam.agency/analytics/" TargetMode="External"/><Relationship Id="rId244" Type="http://schemas.openxmlformats.org/officeDocument/2006/relationships/hyperlink" Target="http://growthcurve.co" TargetMode="External"/><Relationship Id="rId243" Type="http://schemas.openxmlformats.org/officeDocument/2006/relationships/hyperlink" Target="https://growthcurve.co/agency/digital-marketing-agency/best-growth-marketing-agencies" TargetMode="External"/><Relationship Id="rId239" Type="http://schemas.openxmlformats.org/officeDocument/2006/relationships/hyperlink" Target="https://www.gambitagency.co.uk/services/paid-search-agency" TargetMode="External"/><Relationship Id="rId238" Type="http://schemas.openxmlformats.org/officeDocument/2006/relationships/hyperlink" Target="http://foundersworkshop.com" TargetMode="External"/><Relationship Id="rId237" Type="http://schemas.openxmlformats.org/officeDocument/2006/relationships/hyperlink" Target="https://foundersworkshop.com/feeds/service/ai-adoption-readiness-consulting-enterprises" TargetMode="External"/><Relationship Id="rId236" Type="http://schemas.openxmlformats.org/officeDocument/2006/relationships/hyperlink" Target="http://found.co.uk" TargetMode="External"/><Relationship Id="rId231" Type="http://schemas.openxmlformats.org/officeDocument/2006/relationships/hyperlink" Target="https://www.found.co.uk/services/content-marketing/" TargetMode="External"/><Relationship Id="rId230" Type="http://schemas.openxmlformats.org/officeDocument/2006/relationships/hyperlink" Target="http://firstmotion.com" TargetMode="External"/><Relationship Id="rId235" Type="http://schemas.openxmlformats.org/officeDocument/2006/relationships/hyperlink" Target="https://www.found.co.uk/services/paid-media/ppc/ppc-consultancy/" TargetMode="External"/><Relationship Id="rId234" Type="http://schemas.openxmlformats.org/officeDocument/2006/relationships/hyperlink" Target="http://found.co.uk" TargetMode="External"/><Relationship Id="rId233" Type="http://schemas.openxmlformats.org/officeDocument/2006/relationships/hyperlink" Target="https://www.found.co.uk/services/paid-media/ppc/" TargetMode="External"/><Relationship Id="rId232" Type="http://schemas.openxmlformats.org/officeDocument/2006/relationships/hyperlink" Target="http://found.co.uk" TargetMode="External"/><Relationship Id="rId206" Type="http://schemas.openxmlformats.org/officeDocument/2006/relationships/hyperlink" Target="http://yell.com" TargetMode="External"/><Relationship Id="rId205" Type="http://schemas.openxmlformats.org/officeDocument/2006/relationships/hyperlink" Target="https://business.yell.com/features/paid-media/display/" TargetMode="External"/><Relationship Id="rId204" Type="http://schemas.openxmlformats.org/officeDocument/2006/relationships/hyperlink" Target="http://buriedagency.com" TargetMode="External"/><Relationship Id="rId203" Type="http://schemas.openxmlformats.org/officeDocument/2006/relationships/hyperlink" Target="https://www.buriedagency.com/services/geo" TargetMode="External"/><Relationship Id="rId209" Type="http://schemas.openxmlformats.org/officeDocument/2006/relationships/hyperlink" Target="https://clickmarketing.co.uk/answer-engine-optimisation/" TargetMode="External"/><Relationship Id="rId208" Type="http://schemas.openxmlformats.org/officeDocument/2006/relationships/hyperlink" Target="http://cigen.io" TargetMode="External"/><Relationship Id="rId207" Type="http://schemas.openxmlformats.org/officeDocument/2006/relationships/hyperlink" Target="https://www.cigen.io/services/ai-adoption-strategy-consulting" TargetMode="External"/><Relationship Id="rId202" Type="http://schemas.openxmlformats.org/officeDocument/2006/relationships/hyperlink" Target="http://brightnetwork.co.uk" TargetMode="External"/><Relationship Id="rId201" Type="http://schemas.openxmlformats.org/officeDocument/2006/relationships/hyperlink" Target="https://www.brightnetwork.co.uk/graduate-jobs/ekimetrics/data-science-marketing-effectiveness-summer-internship-london-2026" TargetMode="External"/><Relationship Id="rId200" Type="http://schemas.openxmlformats.org/officeDocument/2006/relationships/hyperlink" Target="http://brandnation.co.uk" TargetMode="External"/><Relationship Id="rId190" Type="http://schemas.openxmlformats.org/officeDocument/2006/relationships/hyperlink" Target="https://bcn.co.uk/resources/ai-consultants/" TargetMode="External"/><Relationship Id="rId194" Type="http://schemas.openxmlformats.org/officeDocument/2006/relationships/hyperlink" Target="https://bind.media/services/paid-media" TargetMode="External"/><Relationship Id="rId193" Type="http://schemas.openxmlformats.org/officeDocument/2006/relationships/hyperlink" Target="http://bhavpro.com" TargetMode="External"/><Relationship Id="rId192" Type="http://schemas.openxmlformats.org/officeDocument/2006/relationships/hyperlink" Target="https://bhavpro.com/ai-seo-agency/" TargetMode="External"/><Relationship Id="rId191" Type="http://schemas.openxmlformats.org/officeDocument/2006/relationships/hyperlink" Target="http://bcn.co.uk" TargetMode="External"/><Relationship Id="rId187" Type="http://schemas.openxmlformats.org/officeDocument/2006/relationships/hyperlink" Target="http://audigent.com" TargetMode="External"/><Relationship Id="rId186" Type="http://schemas.openxmlformats.org/officeDocument/2006/relationships/hyperlink" Target="https://audigent.com/caseStudies/" TargetMode="External"/><Relationship Id="rId185" Type="http://schemas.openxmlformats.org/officeDocument/2006/relationships/hyperlink" Target="http://atigro.com" TargetMode="External"/><Relationship Id="rId184" Type="http://schemas.openxmlformats.org/officeDocument/2006/relationships/hyperlink" Target="https://www.atigro.com/consulting/ai-integration-strategy/" TargetMode="External"/><Relationship Id="rId189" Type="http://schemas.openxmlformats.org/officeDocument/2006/relationships/hyperlink" Target="https://bark.london/services/paid-media/paid-social/" TargetMode="External"/><Relationship Id="rId188" Type="http://schemas.openxmlformats.org/officeDocument/2006/relationships/hyperlink" Target="https://bark.london/services/data-science/attribution-modelling/" TargetMode="External"/><Relationship Id="rId183" Type="http://schemas.openxmlformats.org/officeDocument/2006/relationships/hyperlink" Target="http://assertive-media.co.uk" TargetMode="External"/><Relationship Id="rId182" Type="http://schemas.openxmlformats.org/officeDocument/2006/relationships/hyperlink" Target="https://www.assertive-media.co.uk/digital-marketing/ppc/" TargetMode="External"/><Relationship Id="rId181" Type="http://schemas.openxmlformats.org/officeDocument/2006/relationships/hyperlink" Target="http://artefact.com" TargetMode="External"/><Relationship Id="rId180" Type="http://schemas.openxmlformats.org/officeDocument/2006/relationships/hyperlink" Target="https://www.artefact.com/blog/unleash-the-power-of-first-party-data-with-a-customer-data-platform/" TargetMode="External"/><Relationship Id="rId176" Type="http://schemas.openxmlformats.org/officeDocument/2006/relationships/hyperlink" Target="https://www.applytosupply.digitalmarketplace.service.gov.uk/g-cloud/services/602733690017788" TargetMode="External"/><Relationship Id="rId175" Type="http://schemas.openxmlformats.org/officeDocument/2006/relationships/hyperlink" Target="http://agilitytech.ai" TargetMode="External"/><Relationship Id="rId174" Type="http://schemas.openxmlformats.org/officeDocument/2006/relationships/hyperlink" Target="https://www.agilitytech.ai/ai-consulting-uk" TargetMode="External"/><Relationship Id="rId173" Type="http://schemas.openxmlformats.org/officeDocument/2006/relationships/hyperlink" Target="http://advanttechnology.com" TargetMode="External"/><Relationship Id="rId179" Type="http://schemas.openxmlformats.org/officeDocument/2006/relationships/hyperlink" Target="http://service.gov.uk" TargetMode="External"/><Relationship Id="rId178" Type="http://schemas.openxmlformats.org/officeDocument/2006/relationships/hyperlink" Target="https://www.applytosupply.digitalmarketplace.service.gov.uk/g-cloud/services/608005596200288" TargetMode="External"/><Relationship Id="rId177" Type="http://schemas.openxmlformats.org/officeDocument/2006/relationships/hyperlink" Target="http://service.gov.uk" TargetMode="External"/><Relationship Id="rId198" Type="http://schemas.openxmlformats.org/officeDocument/2006/relationships/hyperlink" Target="http://bluefrontier.co.uk" TargetMode="External"/><Relationship Id="rId197" Type="http://schemas.openxmlformats.org/officeDocument/2006/relationships/hyperlink" Target="https://www.bluefrontier.co.uk/digital-marketing/seo" TargetMode="External"/><Relationship Id="rId196" Type="http://schemas.openxmlformats.org/officeDocument/2006/relationships/hyperlink" Target="http://bird.co.uk" TargetMode="External"/><Relationship Id="rId195" Type="http://schemas.openxmlformats.org/officeDocument/2006/relationships/hyperlink" Target="https://bird.co.uk/enterprise/" TargetMode="External"/><Relationship Id="rId199" Type="http://schemas.openxmlformats.org/officeDocument/2006/relationships/hyperlink" Target="https://brandnation.co.uk/paid-media-agency/" TargetMode="External"/><Relationship Id="rId150" Type="http://schemas.openxmlformats.org/officeDocument/2006/relationships/hyperlink" Target="https://optimisemedia.com/agency-services/" TargetMode="External"/><Relationship Id="rId149" Type="http://schemas.openxmlformats.org/officeDocument/2006/relationships/hyperlink" Target="https://oneday.agency/out-of-home-advertising" TargetMode="External"/><Relationship Id="rId148" Type="http://schemas.openxmlformats.org/officeDocument/2006/relationships/hyperlink" Target="http://nuundigital.com" TargetMode="External"/><Relationship Id="rId143" Type="http://schemas.openxmlformats.org/officeDocument/2006/relationships/hyperlink" Target="https://www.measured.com/incrementality-testing/" TargetMode="External"/><Relationship Id="rId142" Type="http://schemas.openxmlformats.org/officeDocument/2006/relationships/hyperlink" Target="http://margen.net" TargetMode="External"/><Relationship Id="rId141" Type="http://schemas.openxmlformats.org/officeDocument/2006/relationships/hyperlink" Target="https://www.margen.net/geo-agency-uk/" TargetMode="External"/><Relationship Id="rId140" Type="http://schemas.openxmlformats.org/officeDocument/2006/relationships/hyperlink" Target="http://lynchpin.com" TargetMode="External"/><Relationship Id="rId147" Type="http://schemas.openxmlformats.org/officeDocument/2006/relationships/hyperlink" Target="https://www.nuundigital.com/services/data-analytics/marketing-analytics-attribution" TargetMode="External"/><Relationship Id="rId146" Type="http://schemas.openxmlformats.org/officeDocument/2006/relationships/hyperlink" Target="http://miramarketing.co.uk" TargetMode="External"/><Relationship Id="rId145" Type="http://schemas.openxmlformats.org/officeDocument/2006/relationships/hyperlink" Target="https://miramarketing.co.uk/services/paid-social" TargetMode="External"/><Relationship Id="rId144" Type="http://schemas.openxmlformats.org/officeDocument/2006/relationships/hyperlink" Target="http://measured.com" TargetMode="External"/><Relationship Id="rId139" Type="http://schemas.openxmlformats.org/officeDocument/2006/relationships/hyperlink" Target="https://www.lynchpin.com/attribution/" TargetMode="External"/><Relationship Id="rId138" Type="http://schemas.openxmlformats.org/officeDocument/2006/relationships/hyperlink" Target="http://kpmg.com" TargetMode="External"/><Relationship Id="rId137" Type="http://schemas.openxmlformats.org/officeDocument/2006/relationships/hyperlink" Target="https://kpmg.com/uk/en/services/ai/trusted-ai-services.html" TargetMode="External"/><Relationship Id="rId132" Type="http://schemas.openxmlformats.org/officeDocument/2006/relationships/hyperlink" Target="http://hatchly.co.uk" TargetMode="External"/><Relationship Id="rId131" Type="http://schemas.openxmlformats.org/officeDocument/2006/relationships/hyperlink" Target="https://www.hatchly.co.uk/design-services/creative-production" TargetMode="External"/><Relationship Id="rId130" Type="http://schemas.openxmlformats.org/officeDocument/2006/relationships/hyperlink" Target="http://forvio.com" TargetMode="External"/><Relationship Id="rId136" Type="http://schemas.openxmlformats.org/officeDocument/2006/relationships/hyperlink" Target="http://impressiondigital.com" TargetMode="External"/><Relationship Id="rId135" Type="http://schemas.openxmlformats.org/officeDocument/2006/relationships/hyperlink" Target="https://www.impressiondigital.com/generative-engine-optimisation-agency/" TargetMode="External"/><Relationship Id="rId134" Type="http://schemas.openxmlformats.org/officeDocument/2006/relationships/hyperlink" Target="http://ikigai.je" TargetMode="External"/><Relationship Id="rId133" Type="http://schemas.openxmlformats.org/officeDocument/2006/relationships/hyperlink" Target="https://www.ikigai.je/services/performance-marketing" TargetMode="External"/><Relationship Id="rId172" Type="http://schemas.openxmlformats.org/officeDocument/2006/relationships/hyperlink" Target="https://advanttechnology.com/programmatic-agency-london-meet-the-experts/" TargetMode="External"/><Relationship Id="rId171" Type="http://schemas.openxmlformats.org/officeDocument/2006/relationships/hyperlink" Target="http://ada-digital.co.uk" TargetMode="External"/><Relationship Id="rId170" Type="http://schemas.openxmlformats.org/officeDocument/2006/relationships/hyperlink" Target="https://www.ada-digital.co.uk/google-partner" TargetMode="External"/><Relationship Id="rId165" Type="http://schemas.openxmlformats.org/officeDocument/2006/relationships/hyperlink" Target="http://weareagentsofchange.com" TargetMode="External"/><Relationship Id="rId164" Type="http://schemas.openxmlformats.org/officeDocument/2006/relationships/hyperlink" Target="https://weareagentsofchange.com/services/ai-consultancy/" TargetMode="External"/><Relationship Id="rId163" Type="http://schemas.openxmlformats.org/officeDocument/2006/relationships/hyperlink" Target="http://visarc.uk" TargetMode="External"/><Relationship Id="rId162" Type="http://schemas.openxmlformats.org/officeDocument/2006/relationships/hyperlink" Target="https://visarc.uk/services/digital-marketing-agency/web-analytics-agency/" TargetMode="External"/><Relationship Id="rId169" Type="http://schemas.openxmlformats.org/officeDocument/2006/relationships/hyperlink" Target="http://360strategy.co.uk" TargetMode="External"/><Relationship Id="rId168" Type="http://schemas.openxmlformats.org/officeDocument/2006/relationships/hyperlink" Target="https://www.360strategy.co.uk/ai-consulting-and-governance-scotland-uk" TargetMode="External"/><Relationship Id="rId167" Type="http://schemas.openxmlformats.org/officeDocument/2006/relationships/hyperlink" Target="http://xamun.ai" TargetMode="External"/><Relationship Id="rId166" Type="http://schemas.openxmlformats.org/officeDocument/2006/relationships/hyperlink" Target="https://www.xamun.ai/ai-consulting-uk" TargetMode="External"/><Relationship Id="rId161" Type="http://schemas.openxmlformats.org/officeDocument/2006/relationships/hyperlink" Target="http://vayro.co.uk" TargetMode="External"/><Relationship Id="rId160" Type="http://schemas.openxmlformats.org/officeDocument/2006/relationships/hyperlink" Target="https://www.vayro.co.uk/ai-consulting" TargetMode="External"/><Relationship Id="rId159" Type="http://schemas.openxmlformats.org/officeDocument/2006/relationships/hyperlink" Target="http://trinitybps.com" TargetMode="External"/><Relationship Id="rId154" Type="http://schemas.openxmlformats.org/officeDocument/2006/relationships/hyperlink" Target="https://psychemeta.com/paid-socials.html" TargetMode="External"/><Relationship Id="rId153" Type="http://schemas.openxmlformats.org/officeDocument/2006/relationships/hyperlink" Target="http://prioritypixels.co.uk" TargetMode="External"/><Relationship Id="rId152" Type="http://schemas.openxmlformats.org/officeDocument/2006/relationships/hyperlink" Target="https://prioritypixels.co.uk/about/accreditations/google-partner/" TargetMode="External"/><Relationship Id="rId151" Type="http://schemas.openxmlformats.org/officeDocument/2006/relationships/hyperlink" Target="http://optimisemedia.com" TargetMode="External"/><Relationship Id="rId158" Type="http://schemas.openxmlformats.org/officeDocument/2006/relationships/hyperlink" Target="https://www.trinitybps.com/ai-consulting" TargetMode="External"/><Relationship Id="rId157" Type="http://schemas.openxmlformats.org/officeDocument/2006/relationships/hyperlink" Target="http://tilio.co.uk" TargetMode="External"/><Relationship Id="rId156" Type="http://schemas.openxmlformats.org/officeDocument/2006/relationships/hyperlink" Target="https://www.tilio.co.uk/ai-search-agency" TargetMode="External"/><Relationship Id="rId155" Type="http://schemas.openxmlformats.org/officeDocument/2006/relationships/hyperlink" Target="http://psychemeta.com" TargetMode="External"/><Relationship Id="rId107" Type="http://schemas.openxmlformats.org/officeDocument/2006/relationships/hyperlink" Target="https://bird.co.uk/social-media/" TargetMode="External"/><Relationship Id="rId106" Type="http://schemas.openxmlformats.org/officeDocument/2006/relationships/hyperlink" Target="http://bird.co.uk" TargetMode="External"/><Relationship Id="rId105" Type="http://schemas.openxmlformats.org/officeDocument/2006/relationships/hyperlink" Target="https://bird.co.uk/seo/generative-engine-optimisation/" TargetMode="External"/><Relationship Id="rId104" Type="http://schemas.openxmlformats.org/officeDocument/2006/relationships/hyperlink" Target="http://acxiom.co.uk" TargetMode="External"/><Relationship Id="rId109" Type="http://schemas.openxmlformats.org/officeDocument/2006/relationships/hyperlink" Target="https://business.google.com/en-all/support/work-with-a-partner/" TargetMode="External"/><Relationship Id="rId108" Type="http://schemas.openxmlformats.org/officeDocument/2006/relationships/hyperlink" Target="http://bird.co.uk" TargetMode="External"/><Relationship Id="rId103" Type="http://schemas.openxmlformats.org/officeDocument/2006/relationships/hyperlink" Target="https://www.acxiom.co.uk/data-analytics-strategy/campaign-measurement/" TargetMode="External"/><Relationship Id="rId102" Type="http://schemas.openxmlformats.org/officeDocument/2006/relationships/hyperlink" Target="http://polarisagency.com" TargetMode="External"/><Relationship Id="rId101" Type="http://schemas.openxmlformats.org/officeDocument/2006/relationships/hyperlink" Target="https://staging.polarisagency.com/marketing-insights/best-geo-services-uk/" TargetMode="External"/><Relationship Id="rId100" Type="http://schemas.openxmlformats.org/officeDocument/2006/relationships/hyperlink" Target="http://found.co.uk" TargetMode="External"/><Relationship Id="rId129" Type="http://schemas.openxmlformats.org/officeDocument/2006/relationships/hyperlink" Target="https://www.forvio.com/product/geo-lift-tests" TargetMode="External"/><Relationship Id="rId128" Type="http://schemas.openxmlformats.org/officeDocument/2006/relationships/hyperlink" Target="http://experian.co.uk" TargetMode="External"/><Relationship Id="rId127" Type="http://schemas.openxmlformats.org/officeDocument/2006/relationships/hyperlink" Target="https://www.experian.co.uk/business-products/marketing-campaign-measurement/" TargetMode="External"/><Relationship Id="rId126" Type="http://schemas.openxmlformats.org/officeDocument/2006/relationships/hyperlink" Target="http://ebiquity.com" TargetMode="External"/><Relationship Id="rId121" Type="http://schemas.openxmlformats.org/officeDocument/2006/relationships/hyperlink" Target="https://www.deptagency.com/partner/google-marketing-platform/" TargetMode="External"/><Relationship Id="rId120" Type="http://schemas.openxmlformats.org/officeDocument/2006/relationships/hyperlink" Target="http://cleandigital.co.uk" TargetMode="External"/><Relationship Id="rId125" Type="http://schemas.openxmlformats.org/officeDocument/2006/relationships/hyperlink" Target="https://ebiquity.com/solutions/grow/testmatch/" TargetMode="External"/><Relationship Id="rId124" Type="http://schemas.openxmlformats.org/officeDocument/2006/relationships/hyperlink" Target="http://dpom.co.uk" TargetMode="External"/><Relationship Id="rId123" Type="http://schemas.openxmlformats.org/officeDocument/2006/relationships/hyperlink" Target="https://www.dpom.co.uk/social-media-advertising/" TargetMode="External"/><Relationship Id="rId122" Type="http://schemas.openxmlformats.org/officeDocument/2006/relationships/hyperlink" Target="http://deptagency.com" TargetMode="External"/><Relationship Id="rId118" Type="http://schemas.openxmlformats.org/officeDocument/2006/relationships/hyperlink" Target="http://circana.com" TargetMode="External"/><Relationship Id="rId117" Type="http://schemas.openxmlformats.org/officeDocument/2006/relationships/hyperlink" Target="https://www.circana.com/liquid-testing" TargetMode="External"/><Relationship Id="rId116" Type="http://schemas.openxmlformats.org/officeDocument/2006/relationships/hyperlink" Target="http://carrieannsudlow.co.uk" TargetMode="External"/><Relationship Id="rId115" Type="http://schemas.openxmlformats.org/officeDocument/2006/relationships/hyperlink" Target="https://www.carrieannsudlow.co.uk/ai-seo-agency/" TargetMode="External"/><Relationship Id="rId119" Type="http://schemas.openxmlformats.org/officeDocument/2006/relationships/hyperlink" Target="https://cleandigital.co.uk/paid-social" TargetMode="External"/><Relationship Id="rId110" Type="http://schemas.openxmlformats.org/officeDocument/2006/relationships/hyperlink" Target="http://google.com" TargetMode="External"/><Relationship Id="rId114" Type="http://schemas.openxmlformats.org/officeDocument/2006/relationships/hyperlink" Target="http://byter.com" TargetMode="External"/><Relationship Id="rId113" Type="http://schemas.openxmlformats.org/officeDocument/2006/relationships/hyperlink" Target="https://byter.com/social-media-advertising/" TargetMode="External"/><Relationship Id="rId112" Type="http://schemas.openxmlformats.org/officeDocument/2006/relationships/hyperlink" Target="http://google.com" TargetMode="External"/><Relationship Id="rId111" Type="http://schemas.openxmlformats.org/officeDocument/2006/relationships/hyperlink" Target="https://business.google.com/uk/support/become-a-partner/"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unnypatel.co.uk" TargetMode="External"/><Relationship Id="rId2" Type="http://schemas.openxmlformats.org/officeDocument/2006/relationships/hyperlink" Target="https://digitalagencynetwork.com/agencies/uk/geo/" TargetMode="External"/><Relationship Id="rId3" Type="http://schemas.openxmlformats.org/officeDocument/2006/relationships/hyperlink" Target="http://digitalagencynetwork.com" TargetMode="External"/><Relationship Id="rId4" Type="http://schemas.openxmlformats.org/officeDocument/2006/relationships/hyperlink" Target="https://edisonmoment.com/agency/best/performance-marketing-agency-united-kingdom" TargetMode="External"/><Relationship Id="rId9" Type="http://schemas.openxmlformats.org/officeDocument/2006/relationships/hyperlink" Target="http://digitalagencynetwork.com" TargetMode="External"/><Relationship Id="rId5" Type="http://schemas.openxmlformats.org/officeDocument/2006/relationships/hyperlink" Target="http://edisonmoment.com" TargetMode="External"/><Relationship Id="rId6" Type="http://schemas.openxmlformats.org/officeDocument/2006/relationships/hyperlink" Target="https://techbehemoths.com/companies/marketing-analytics/united-kingdom" TargetMode="External"/><Relationship Id="rId7" Type="http://schemas.openxmlformats.org/officeDocument/2006/relationships/hyperlink" Target="http://techbehemoths.com" TargetMode="External"/><Relationship Id="rId8" Type="http://schemas.openxmlformats.org/officeDocument/2006/relationships/hyperlink" Target="https://digitalagencynetwork.com/agencies/london/geo/" TargetMode="External"/><Relationship Id="rId40" Type="http://schemas.openxmlformats.org/officeDocument/2006/relationships/hyperlink" Target="https://aiblmedia.com/ai-enablement-directory/" TargetMode="External"/><Relationship Id="rId42" Type="http://schemas.openxmlformats.org/officeDocument/2006/relationships/hyperlink" Target="https://clutch.co/agencies/market-research/shopper-marketing/uk" TargetMode="External"/><Relationship Id="rId41" Type="http://schemas.openxmlformats.org/officeDocument/2006/relationships/hyperlink" Target="http://aiblmedia.com" TargetMode="External"/><Relationship Id="rId44" Type="http://schemas.openxmlformats.org/officeDocument/2006/relationships/hyperlink" Target="https://clutch.co/agencies/social-media-marketing/influencer/uk" TargetMode="External"/><Relationship Id="rId43" Type="http://schemas.openxmlformats.org/officeDocument/2006/relationships/hyperlink" Target="http://clutch.co" TargetMode="External"/><Relationship Id="rId46" Type="http://schemas.openxmlformats.org/officeDocument/2006/relationships/hyperlink" Target="https://digitalagencynetwork.com/agencies/usa/ai-marketing/" TargetMode="External"/><Relationship Id="rId45" Type="http://schemas.openxmlformats.org/officeDocument/2006/relationships/hyperlink" Target="http://clutch.co" TargetMode="External"/><Relationship Id="rId48" Type="http://schemas.openxmlformats.org/officeDocument/2006/relationships/hyperlink" Target="https://www.elevenmiles.com/sandbox-home" TargetMode="External"/><Relationship Id="rId47" Type="http://schemas.openxmlformats.org/officeDocument/2006/relationships/hyperlink" Target="http://digitalagencynetwork.com" TargetMode="External"/><Relationship Id="rId49" Type="http://schemas.openxmlformats.org/officeDocument/2006/relationships/hyperlink" Target="http://elevenmiles.com" TargetMode="External"/><Relationship Id="rId31" Type="http://schemas.openxmlformats.org/officeDocument/2006/relationships/hyperlink" Target="http://getapp.co.uk" TargetMode="External"/><Relationship Id="rId30" Type="http://schemas.openxmlformats.org/officeDocument/2006/relationships/hyperlink" Target="https://www.getapp.co.uk/software/103447/agency-analytics" TargetMode="External"/><Relationship Id="rId33" Type="http://schemas.openxmlformats.org/officeDocument/2006/relationships/hyperlink" Target="http://adtrak.co.uk" TargetMode="External"/><Relationship Id="rId32" Type="http://schemas.openxmlformats.org/officeDocument/2006/relationships/hyperlink" Target="https://www.adtrak.co.uk/services/ai-digital-marketing-agency" TargetMode="External"/><Relationship Id="rId35" Type="http://schemas.openxmlformats.org/officeDocument/2006/relationships/hyperlink" Target="http://edisonmoment.com" TargetMode="External"/><Relationship Id="rId34" Type="http://schemas.openxmlformats.org/officeDocument/2006/relationships/hyperlink" Target="https://edisonmoment.com/agency/best/digital-marketing-agency-united-kingdom" TargetMode="External"/><Relationship Id="rId37" Type="http://schemas.openxmlformats.org/officeDocument/2006/relationships/hyperlink" Target="http://marketingagencyindex.com" TargetMode="External"/><Relationship Id="rId36" Type="http://schemas.openxmlformats.org/officeDocument/2006/relationships/hyperlink" Target="https://www.marketingagencyindex.com/uk/services/programmatic" TargetMode="External"/><Relationship Id="rId39" Type="http://schemas.openxmlformats.org/officeDocument/2006/relationships/hyperlink" Target="http://segmentstream.com" TargetMode="External"/><Relationship Id="rId38" Type="http://schemas.openxmlformats.org/officeDocument/2006/relationships/hyperlink" Target="https://segmentstream.com/glossary/incrementality-testing" TargetMode="External"/><Relationship Id="rId20" Type="http://schemas.openxmlformats.org/officeDocument/2006/relationships/hyperlink" Target="https://www.innovationvisual.com/about/partnerships/google/" TargetMode="External"/><Relationship Id="rId22" Type="http://schemas.openxmlformats.org/officeDocument/2006/relationships/hyperlink" Target="https://selectedfirms.co/companies/aeo-companies" TargetMode="External"/><Relationship Id="rId21" Type="http://schemas.openxmlformats.org/officeDocument/2006/relationships/hyperlink" Target="http://innovationvisual.com" TargetMode="External"/><Relationship Id="rId24" Type="http://schemas.openxmlformats.org/officeDocument/2006/relationships/hyperlink" Target="https://www.creativecircle.co.uk/rankings" TargetMode="External"/><Relationship Id="rId23" Type="http://schemas.openxmlformats.org/officeDocument/2006/relationships/hyperlink" Target="http://selectedfirms.co" TargetMode="External"/><Relationship Id="rId26" Type="http://schemas.openxmlformats.org/officeDocument/2006/relationships/hyperlink" Target="https://sunnypatel.co.uk/blog/top-geo-agencies/" TargetMode="External"/><Relationship Id="rId25" Type="http://schemas.openxmlformats.org/officeDocument/2006/relationships/hyperlink" Target="http://creativecircle.co.uk" TargetMode="External"/><Relationship Id="rId28" Type="http://schemas.openxmlformats.org/officeDocument/2006/relationships/hyperlink" Target="https://www.found.co.uk/about-us/awards/" TargetMode="External"/><Relationship Id="rId27" Type="http://schemas.openxmlformats.org/officeDocument/2006/relationships/hyperlink" Target="http://sunnypatel.co.uk" TargetMode="External"/><Relationship Id="rId29" Type="http://schemas.openxmlformats.org/officeDocument/2006/relationships/hyperlink" Target="http://found.co.uk" TargetMode="External"/><Relationship Id="rId11" Type="http://schemas.openxmlformats.org/officeDocument/2006/relationships/hyperlink" Target="http://semrush.com" TargetMode="External"/><Relationship Id="rId10" Type="http://schemas.openxmlformats.org/officeDocument/2006/relationships/hyperlink" Target="https://agencies.semrush.com/list/display-advertising/london-city/mid-business/" TargetMode="External"/><Relationship Id="rId13" Type="http://schemas.openxmlformats.org/officeDocument/2006/relationships/hyperlink" Target="http://semrush.com" TargetMode="External"/><Relationship Id="rId12" Type="http://schemas.openxmlformats.org/officeDocument/2006/relationships/hyperlink" Target="https://agencies.semrush.com/list/advertising/united-kingdom/" TargetMode="External"/><Relationship Id="rId15" Type="http://schemas.openxmlformats.org/officeDocument/2006/relationships/hyperlink" Target="http://sortlist.com" TargetMode="External"/><Relationship Id="rId14" Type="http://schemas.openxmlformats.org/officeDocument/2006/relationships/hyperlink" Target="https://www.sortlist.com/attribution-marketing" TargetMode="External"/><Relationship Id="rId17" Type="http://schemas.openxmlformats.org/officeDocument/2006/relationships/hyperlink" Target="http://techbehemoths.com" TargetMode="External"/><Relationship Id="rId16" Type="http://schemas.openxmlformats.org/officeDocument/2006/relationships/hyperlink" Target="https://techbehemoths.com/companies/google-ads/united-kingdom" TargetMode="External"/><Relationship Id="rId19" Type="http://schemas.openxmlformats.org/officeDocument/2006/relationships/hyperlink" Target="http://google.com" TargetMode="External"/><Relationship Id="rId18" Type="http://schemas.openxmlformats.org/officeDocument/2006/relationships/hyperlink" Target="https://www.google.com/intl/en_GB/ads/publisher/partners/find-a-partner/" TargetMode="External"/><Relationship Id="rId84" Type="http://schemas.openxmlformats.org/officeDocument/2006/relationships/hyperlink" Target="http://digitalagencynetwork.com" TargetMode="External"/><Relationship Id="rId83" Type="http://schemas.openxmlformats.org/officeDocument/2006/relationships/hyperlink" Target="https://digitalagencynetwork.com/agency/ga-agency/" TargetMode="External"/><Relationship Id="rId86" Type="http://schemas.openxmlformats.org/officeDocument/2006/relationships/hyperlink" Target="http://digitalagencynetwork.com" TargetMode="External"/><Relationship Id="rId85" Type="http://schemas.openxmlformats.org/officeDocument/2006/relationships/hyperlink" Target="https://digitalagencynetwork.com/agency/jaywing/" TargetMode="External"/><Relationship Id="rId88" Type="http://schemas.openxmlformats.org/officeDocument/2006/relationships/hyperlink" Target="http://gartner.com" TargetMode="External"/><Relationship Id="rId87" Type="http://schemas.openxmlformats.org/officeDocument/2006/relationships/hyperlink" Target="https://www.gartner.com/reviews/market/global-digital-marketing-agencies" TargetMode="External"/><Relationship Id="rId89" Type="http://schemas.openxmlformats.org/officeDocument/2006/relationships/hyperlink" Target="https://www.gartner.com/reviews/market/global-digital-marketing-agencies/vendor/r-ga/product/r-ga-global-digital-marketing-services?marketSeoName=global-digital-marketing-agencies&amp;productSeoName=r-ga-global-digital-marketing-services&amp;vendorSeoName=r-ga" TargetMode="External"/><Relationship Id="rId80" Type="http://schemas.openxmlformats.org/officeDocument/2006/relationships/hyperlink" Target="https://www.decipher.agency/about" TargetMode="External"/><Relationship Id="rId82" Type="http://schemas.openxmlformats.org/officeDocument/2006/relationships/hyperlink" Target="http://designrush.com" TargetMode="External"/><Relationship Id="rId81" Type="http://schemas.openxmlformats.org/officeDocument/2006/relationships/hyperlink" Target="https://www.designrush.com/agency/profile/the-good-marketer" TargetMode="External"/><Relationship Id="rId73" Type="http://schemas.openxmlformats.org/officeDocument/2006/relationships/hyperlink" Target="http://cbinsights.com" TargetMode="External"/><Relationship Id="rId72" Type="http://schemas.openxmlformats.org/officeDocument/2006/relationships/hyperlink" Target="https://www.cbinsights.com/esp/enterprise-tech/marketing-&amp;-ad-tech/marketing-attribution" TargetMode="External"/><Relationship Id="rId75" Type="http://schemas.openxmlformats.org/officeDocument/2006/relationships/hyperlink" Target="http://chaosdesign.com" TargetMode="External"/><Relationship Id="rId74" Type="http://schemas.openxmlformats.org/officeDocument/2006/relationships/hyperlink" Target="https://www.chaosdesign.com/who-we-are/" TargetMode="External"/><Relationship Id="rId77" Type="http://schemas.openxmlformats.org/officeDocument/2006/relationships/hyperlink" Target="http://clutch.co" TargetMode="External"/><Relationship Id="rId76" Type="http://schemas.openxmlformats.org/officeDocument/2006/relationships/hyperlink" Target="https://clutch.co/agencies/ppc/display%3Fpage%3D0" TargetMode="External"/><Relationship Id="rId79" Type="http://schemas.openxmlformats.org/officeDocument/2006/relationships/hyperlink" Target="http://creativebrief.com" TargetMode="External"/><Relationship Id="rId78" Type="http://schemas.openxmlformats.org/officeDocument/2006/relationships/hyperlink" Target="https://www.creativebrief.com/agency/zeal-1/info" TargetMode="External"/><Relationship Id="rId71" Type="http://schemas.openxmlformats.org/officeDocument/2006/relationships/hyperlink" Target="http://agencysort.com" TargetMode="External"/><Relationship Id="rId70" Type="http://schemas.openxmlformats.org/officeDocument/2006/relationships/hyperlink" Target="https://agencysort.com/agencies" TargetMode="External"/><Relationship Id="rId62" Type="http://schemas.openxmlformats.org/officeDocument/2006/relationships/hyperlink" Target="https://adassoc.org.uk/creative-leaders/" TargetMode="External"/><Relationship Id="rId61" Type="http://schemas.openxmlformats.org/officeDocument/2006/relationships/hyperlink" Target="http://linkedin.com" TargetMode="External"/><Relationship Id="rId64" Type="http://schemas.openxmlformats.org/officeDocument/2006/relationships/hyperlink" Target="https://www.advance-adtech.com/people" TargetMode="External"/><Relationship Id="rId63" Type="http://schemas.openxmlformats.org/officeDocument/2006/relationships/hyperlink" Target="http://adassoc.org.uk" TargetMode="External"/><Relationship Id="rId66" Type="http://schemas.openxmlformats.org/officeDocument/2006/relationships/hyperlink" Target="https://agencies.semrush.com/list/machine-learning-and-ai/london-city/" TargetMode="External"/><Relationship Id="rId65" Type="http://schemas.openxmlformats.org/officeDocument/2006/relationships/hyperlink" Target="http://advance-adtech.com" TargetMode="External"/><Relationship Id="rId68" Type="http://schemas.openxmlformats.org/officeDocument/2006/relationships/hyperlink" Target="https://agencybyagency.com/atlas/" TargetMode="External"/><Relationship Id="rId67" Type="http://schemas.openxmlformats.org/officeDocument/2006/relationships/hyperlink" Target="http://semrush.com" TargetMode="External"/><Relationship Id="rId60" Type="http://schemas.openxmlformats.org/officeDocument/2006/relationships/hyperlink" Target="https://uk.linkedin.com/company/queryclick" TargetMode="External"/><Relationship Id="rId69" Type="http://schemas.openxmlformats.org/officeDocument/2006/relationships/hyperlink" Target="http://agencybyagency.com" TargetMode="External"/><Relationship Id="rId51" Type="http://schemas.openxmlformats.org/officeDocument/2006/relationships/hyperlink" Target="http://figarodigital.co.uk" TargetMode="External"/><Relationship Id="rId50" Type="http://schemas.openxmlformats.org/officeDocument/2006/relationships/hyperlink" Target="https://figarodigital.co.uk/companies/queryclick/" TargetMode="External"/><Relationship Id="rId53" Type="http://schemas.openxmlformats.org/officeDocument/2006/relationships/hyperlink" Target="http://goodfirms.co" TargetMode="External"/><Relationship Id="rId52" Type="http://schemas.openxmlformats.org/officeDocument/2006/relationships/hyperlink" Target="https://www.goodfirms.co/directory/country/top-digital-marketing-companies/advertising-ppc/uk?sort_by=reviews" TargetMode="External"/><Relationship Id="rId55" Type="http://schemas.openxmlformats.org/officeDocument/2006/relationships/hyperlink" Target="http://marketingagencyindex.com" TargetMode="External"/><Relationship Id="rId54" Type="http://schemas.openxmlformats.org/officeDocument/2006/relationships/hyperlink" Target="https://www.marketingagencyindex.com/uk/ownership-model/network/wpp" TargetMode="External"/><Relationship Id="rId57" Type="http://schemas.openxmlformats.org/officeDocument/2006/relationships/hyperlink" Target="http://sortlist.co.uk" TargetMode="External"/><Relationship Id="rId56" Type="http://schemas.openxmlformats.org/officeDocument/2006/relationships/hyperlink" Target="https://www.sortlist.co.uk/s/programmatic-advertising/united-kingdom-gb" TargetMode="External"/><Relationship Id="rId59" Type="http://schemas.openxmlformats.org/officeDocument/2006/relationships/hyperlink" Target="http://linkedin.com" TargetMode="External"/><Relationship Id="rId58" Type="http://schemas.openxmlformats.org/officeDocument/2006/relationships/hyperlink" Target="https://uk.linkedin.com/company/lynchpin-analytics-ltd" TargetMode="External"/><Relationship Id="rId95" Type="http://schemas.openxmlformats.org/officeDocument/2006/relationships/hyperlink" Target="https://grapefruitseo.london/as-featured-on/" TargetMode="External"/><Relationship Id="rId94" Type="http://schemas.openxmlformats.org/officeDocument/2006/relationships/hyperlink" Target="http://goodfirms.co" TargetMode="External"/><Relationship Id="rId97" Type="http://schemas.openxmlformats.org/officeDocument/2006/relationships/hyperlink" Target="http://lbbonline.com" TargetMode="External"/><Relationship Id="rId96" Type="http://schemas.openxmlformats.org/officeDocument/2006/relationships/hyperlink" Target="https://lbbonline.com/companies/amv-bbdo/about" TargetMode="External"/><Relationship Id="rId99" Type="http://schemas.openxmlformats.org/officeDocument/2006/relationships/hyperlink" Target="http://marketingagencyindex.com" TargetMode="External"/><Relationship Id="rId98" Type="http://schemas.openxmlformats.org/officeDocument/2006/relationships/hyperlink" Target="https://www.marketingagencyindex.com/uk/ownership-model/network" TargetMode="External"/><Relationship Id="rId91" Type="http://schemas.openxmlformats.org/officeDocument/2006/relationships/hyperlink" Target="https://www.goodfirms.co/advertising-companies/creative" TargetMode="External"/><Relationship Id="rId90" Type="http://schemas.openxmlformats.org/officeDocument/2006/relationships/hyperlink" Target="http://gartner.com" TargetMode="External"/><Relationship Id="rId93" Type="http://schemas.openxmlformats.org/officeDocument/2006/relationships/hyperlink" Target="https://www.goodfirms.co/advertising-companies/creative/uk?sort_by=reviews" TargetMode="External"/><Relationship Id="rId92" Type="http://schemas.openxmlformats.org/officeDocument/2006/relationships/hyperlink" Target="http://goodfirms.co" TargetMode="External"/><Relationship Id="rId143" Type="http://schemas.openxmlformats.org/officeDocument/2006/relationships/hyperlink" Target="https://www.wpp.com/en/news/2026/03/wpp-claims-top-spot-on-warc-creative-100-for-fourth-consecutive-year" TargetMode="External"/><Relationship Id="rId142" Type="http://schemas.openxmlformats.org/officeDocument/2006/relationships/hyperlink" Target="http://wpp.com" TargetMode="External"/><Relationship Id="rId141" Type="http://schemas.openxmlformats.org/officeDocument/2006/relationships/hyperlink" Target="https://www.wpp.com/en/about/our-company" TargetMode="External"/><Relationship Id="rId140" Type="http://schemas.openxmlformats.org/officeDocument/2006/relationships/hyperlink" Target="http://wishu.io" TargetMode="External"/><Relationship Id="rId145" Type="http://schemas.openxmlformats.org/officeDocument/2006/relationships/drawing" Target="../drawings/drawing30.xml"/><Relationship Id="rId144" Type="http://schemas.openxmlformats.org/officeDocument/2006/relationships/hyperlink" Target="http://wpp.com" TargetMode="External"/><Relationship Id="rId139" Type="http://schemas.openxmlformats.org/officeDocument/2006/relationships/hyperlink" Target="https://wishu.io/top-10-creative-agencies-in-the-uk/" TargetMode="External"/><Relationship Id="rId138" Type="http://schemas.openxmlformats.org/officeDocument/2006/relationships/hyperlink" Target="http://linkedin.com" TargetMode="External"/><Relationship Id="rId137" Type="http://schemas.openxmlformats.org/officeDocument/2006/relationships/hyperlink" Target="https://uk.linkedin.com/company/the-social-shepherd" TargetMode="External"/><Relationship Id="rId132" Type="http://schemas.openxmlformats.org/officeDocument/2006/relationships/hyperlink" Target="http://theatdb.com" TargetMode="External"/><Relationship Id="rId131" Type="http://schemas.openxmlformats.org/officeDocument/2006/relationships/hyperlink" Target="https://www.theatdb.com/companies/amv-bbdo" TargetMode="External"/><Relationship Id="rId130" Type="http://schemas.openxmlformats.org/officeDocument/2006/relationships/hyperlink" Target="http://techbehemoths.com" TargetMode="External"/><Relationship Id="rId136" Type="http://schemas.openxmlformats.org/officeDocument/2006/relationships/hyperlink" Target="http://linkedin.com" TargetMode="External"/><Relationship Id="rId135" Type="http://schemas.openxmlformats.org/officeDocument/2006/relationships/hyperlink" Target="https://uk.linkedin.com/company/ruleranalytics" TargetMode="External"/><Relationship Id="rId134" Type="http://schemas.openxmlformats.org/officeDocument/2006/relationships/hyperlink" Target="http://themartechsummit.com" TargetMode="External"/><Relationship Id="rId133" Type="http://schemas.openxmlformats.org/officeDocument/2006/relationships/hyperlink" Target="https://themartechsummit.com/sponsors/ekimetrics/" TargetMode="External"/><Relationship Id="rId107" Type="http://schemas.openxmlformats.org/officeDocument/2006/relationships/hyperlink" Target="http://neuraladx.com" TargetMode="External"/><Relationship Id="rId106" Type="http://schemas.openxmlformats.org/officeDocument/2006/relationships/hyperlink" Target="https://neuraladx.com/about-neuraladx-ltd-what-we-do/" TargetMode="External"/><Relationship Id="rId105" Type="http://schemas.openxmlformats.org/officeDocument/2006/relationships/hyperlink" Target="http://monks.com" TargetMode="External"/><Relationship Id="rId104" Type="http://schemas.openxmlformats.org/officeDocument/2006/relationships/hyperlink" Target="https://www.monks.com/google-partnership" TargetMode="External"/><Relationship Id="rId109" Type="http://schemas.openxmlformats.org/officeDocument/2006/relationships/hyperlink" Target="http://ogilvy.com" TargetMode="External"/><Relationship Id="rId108" Type="http://schemas.openxmlformats.org/officeDocument/2006/relationships/hyperlink" Target="https://www.ogilvy.com/about" TargetMode="External"/><Relationship Id="rId103" Type="http://schemas.openxmlformats.org/officeDocument/2006/relationships/hyperlink" Target="http://mobileappdaily.com" TargetMode="External"/><Relationship Id="rId102" Type="http://schemas.openxmlformats.org/officeDocument/2006/relationships/hyperlink" Target="https://www.mobileappdaily.com/directory/digital-marketing-companies/uk" TargetMode="External"/><Relationship Id="rId101" Type="http://schemas.openxmlformats.org/officeDocument/2006/relationships/hyperlink" Target="http://mcsaatchiperformance.com" TargetMode="External"/><Relationship Id="rId100" Type="http://schemas.openxmlformats.org/officeDocument/2006/relationships/hyperlink" Target="https://www.mcsaatchiperformance.com/london/" TargetMode="External"/><Relationship Id="rId129" Type="http://schemas.openxmlformats.org/officeDocument/2006/relationships/hyperlink" Target="https://techbehemoths.com/companies/advertising/united-kingdom" TargetMode="External"/><Relationship Id="rId128" Type="http://schemas.openxmlformats.org/officeDocument/2006/relationships/hyperlink" Target="http://sugarnova.com" TargetMode="External"/><Relationship Id="rId127" Type="http://schemas.openxmlformats.org/officeDocument/2006/relationships/hyperlink" Target="https://www.sugarnova.com/digital-marketing-agency" TargetMode="External"/><Relationship Id="rId126" Type="http://schemas.openxmlformats.org/officeDocument/2006/relationships/hyperlink" Target="http://sortlist.co.uk" TargetMode="External"/><Relationship Id="rId121" Type="http://schemas.openxmlformats.org/officeDocument/2006/relationships/hyperlink" Target="https://saleshive.com/vendors/ruler-analytics" TargetMode="External"/><Relationship Id="rId120" Type="http://schemas.openxmlformats.org/officeDocument/2006/relationships/hyperlink" Target="http://s360digital.com" TargetMode="External"/><Relationship Id="rId125" Type="http://schemas.openxmlformats.org/officeDocument/2006/relationships/hyperlink" Target="https://www.sortlist.co.uk/advertising/england-england-gb" TargetMode="External"/><Relationship Id="rId124" Type="http://schemas.openxmlformats.org/officeDocument/2006/relationships/hyperlink" Target="http://signaldepth.com" TargetMode="External"/><Relationship Id="rId123" Type="http://schemas.openxmlformats.org/officeDocument/2006/relationships/hyperlink" Target="https://www.signaldepth.com/about/" TargetMode="External"/><Relationship Id="rId122" Type="http://schemas.openxmlformats.org/officeDocument/2006/relationships/hyperlink" Target="http://saleshive.com" TargetMode="External"/><Relationship Id="rId118" Type="http://schemas.openxmlformats.org/officeDocument/2006/relationships/hyperlink" Target="http://queryclick.com" TargetMode="External"/><Relationship Id="rId117" Type="http://schemas.openxmlformats.org/officeDocument/2006/relationships/hyperlink" Target="https://queryclick.com/about-queryclick/" TargetMode="External"/><Relationship Id="rId116" Type="http://schemas.openxmlformats.org/officeDocument/2006/relationships/hyperlink" Target="http://publicisgroupeuk.com" TargetMode="External"/><Relationship Id="rId115" Type="http://schemas.openxmlformats.org/officeDocument/2006/relationships/hyperlink" Target="https://www.publicisgroupeuk.com/what-we-do/production/" TargetMode="External"/><Relationship Id="rId119" Type="http://schemas.openxmlformats.org/officeDocument/2006/relationships/hyperlink" Target="https://s360digital.com/about/careers/" TargetMode="External"/><Relationship Id="rId110" Type="http://schemas.openxmlformats.org/officeDocument/2006/relationships/hyperlink" Target="https://pinpoint-media.global/about" TargetMode="External"/><Relationship Id="rId114" Type="http://schemas.openxmlformats.org/officeDocument/2006/relationships/hyperlink" Target="http://provokemedia.com" TargetMode="External"/><Relationship Id="rId113" Type="http://schemas.openxmlformats.org/officeDocument/2006/relationships/hyperlink" Target="https://www.provokemedia.com/events-awards/agencies-of-the-year/the-best-agencies-in-emea-2026/the-70-best-agencies-in-the-uk/pangolin" TargetMode="External"/><Relationship Id="rId112" Type="http://schemas.openxmlformats.org/officeDocument/2006/relationships/hyperlink" Target="http://provokemedia.com" TargetMode="External"/><Relationship Id="rId111" Type="http://schemas.openxmlformats.org/officeDocument/2006/relationships/hyperlink" Target="https://www.provokemedia.com/events-awards/agencies-of-the-year/the-best-agencies-in-emea-2026/the-70-best-agencies-in-the-uk/hope-glor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30.5"/>
    <col customWidth="1" min="2" max="6" width="12.63"/>
  </cols>
  <sheetData>
    <row r="1" ht="15.7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15.75" customHeight="1">
      <c r="A2" s="4" t="s">
        <v>10</v>
      </c>
      <c r="B2" s="5" t="s">
        <v>16</v>
      </c>
      <c r="C2" s="6" t="s">
        <v>17</v>
      </c>
      <c r="D2" s="5">
        <v>260.0</v>
      </c>
      <c r="E2" s="5">
        <v>248.0</v>
      </c>
      <c r="F2" s="5">
        <v>0.25</v>
      </c>
      <c r="G2" s="5">
        <v>0.42</v>
      </c>
      <c r="H2" s="5">
        <v>0.44</v>
      </c>
      <c r="I2" s="5">
        <v>0.27</v>
      </c>
    </row>
    <row r="3" ht="15.75" customHeight="1">
      <c r="A3" s="4" t="s">
        <v>18</v>
      </c>
      <c r="B3" s="5" t="s">
        <v>19</v>
      </c>
      <c r="C3" s="6" t="s">
        <v>20</v>
      </c>
      <c r="D3" s="5">
        <v>210.0</v>
      </c>
      <c r="E3" s="5">
        <v>190.0</v>
      </c>
      <c r="F3" s="5">
        <v>0.21</v>
      </c>
      <c r="G3" s="5">
        <v>0.38</v>
      </c>
      <c r="H3" s="5">
        <v>0.97</v>
      </c>
      <c r="I3" s="5">
        <v>-0.03</v>
      </c>
    </row>
    <row r="4" ht="15.75" customHeight="1">
      <c r="A4" s="4" t="s">
        <v>21</v>
      </c>
      <c r="B4" s="5" t="s">
        <v>23</v>
      </c>
      <c r="C4" s="6" t="s">
        <v>24</v>
      </c>
      <c r="D4" s="5">
        <v>201.0</v>
      </c>
      <c r="E4" s="5">
        <v>183.0</v>
      </c>
      <c r="F4" s="5">
        <v>0.2</v>
      </c>
      <c r="G4" s="5">
        <v>0.2</v>
      </c>
      <c r="H4" s="5">
        <v>1.32</v>
      </c>
      <c r="I4" s="5">
        <v>-0.12</v>
      </c>
    </row>
    <row r="5" ht="15.75" customHeight="1">
      <c r="A5" s="4" t="s">
        <v>25</v>
      </c>
      <c r="B5" s="5" t="s">
        <v>23</v>
      </c>
      <c r="C5" s="6" t="s">
        <v>27</v>
      </c>
      <c r="D5" s="5">
        <v>168.0</v>
      </c>
      <c r="E5" s="5">
        <v>143.0</v>
      </c>
      <c r="F5" s="5">
        <v>0.16</v>
      </c>
      <c r="G5" s="5">
        <v>0.17</v>
      </c>
      <c r="H5" s="5">
        <v>1.57</v>
      </c>
      <c r="I5" s="5">
        <v>0.69</v>
      </c>
    </row>
    <row r="6" ht="15.75" customHeight="1">
      <c r="A6" s="4" t="s">
        <v>28</v>
      </c>
      <c r="B6" s="5" t="s">
        <v>16</v>
      </c>
      <c r="C6" s="6" t="s">
        <v>33</v>
      </c>
      <c r="D6" s="5">
        <v>165.0</v>
      </c>
      <c r="E6" s="5">
        <v>153.0</v>
      </c>
      <c r="F6" s="5">
        <v>0.16</v>
      </c>
      <c r="G6" s="5">
        <v>0.22</v>
      </c>
      <c r="H6" s="5">
        <v>0.42</v>
      </c>
      <c r="I6" s="5">
        <v>0.09</v>
      </c>
    </row>
    <row r="7" ht="15.75" customHeight="1">
      <c r="A7" s="4" t="s">
        <v>35</v>
      </c>
      <c r="B7" s="5" t="s">
        <v>19</v>
      </c>
      <c r="C7" s="6" t="s">
        <v>38</v>
      </c>
      <c r="D7" s="5">
        <v>160.0</v>
      </c>
      <c r="E7" s="5">
        <v>155.0</v>
      </c>
      <c r="F7" s="5">
        <v>0.16</v>
      </c>
      <c r="G7" s="5">
        <v>0.31</v>
      </c>
      <c r="H7" s="5">
        <v>0.41</v>
      </c>
      <c r="I7" s="5">
        <v>0.41</v>
      </c>
    </row>
    <row r="8" ht="15.75" customHeight="1">
      <c r="A8" s="5" t="s">
        <v>39</v>
      </c>
      <c r="B8" s="5" t="s">
        <v>23</v>
      </c>
      <c r="C8" s="6" t="s">
        <v>40</v>
      </c>
      <c r="D8" s="5">
        <v>139.0</v>
      </c>
      <c r="E8" s="5">
        <v>137.0</v>
      </c>
      <c r="F8" s="5">
        <v>0.14</v>
      </c>
      <c r="G8" s="5">
        <v>0.14</v>
      </c>
      <c r="H8" s="5">
        <v>1.14</v>
      </c>
      <c r="I8" s="5">
        <v>-0.36</v>
      </c>
    </row>
    <row r="9" ht="15.75" customHeight="1">
      <c r="A9" s="5" t="s">
        <v>41</v>
      </c>
      <c r="B9" s="5" t="s">
        <v>23</v>
      </c>
      <c r="C9" s="6" t="s">
        <v>42</v>
      </c>
      <c r="D9" s="5">
        <v>137.0</v>
      </c>
      <c r="E9" s="5">
        <v>116.0</v>
      </c>
      <c r="F9" s="5">
        <v>0.13</v>
      </c>
      <c r="G9" s="5">
        <v>0.13</v>
      </c>
      <c r="H9" s="5">
        <v>1.37</v>
      </c>
      <c r="I9" s="5">
        <v>0.23</v>
      </c>
    </row>
    <row r="10" ht="15.75" customHeight="1">
      <c r="A10" s="4" t="s">
        <v>44</v>
      </c>
      <c r="B10" s="5" t="s">
        <v>23</v>
      </c>
      <c r="C10" s="6" t="s">
        <v>45</v>
      </c>
      <c r="D10" s="5">
        <v>130.0</v>
      </c>
      <c r="E10" s="5">
        <v>114.0</v>
      </c>
      <c r="F10" s="5">
        <v>0.13</v>
      </c>
      <c r="G10" s="5">
        <v>0.14</v>
      </c>
      <c r="H10" s="5">
        <v>1.37</v>
      </c>
      <c r="I10" s="5">
        <v>0.06</v>
      </c>
    </row>
    <row r="11" ht="15.75" customHeight="1">
      <c r="A11" s="4" t="s">
        <v>47</v>
      </c>
      <c r="B11" s="5" t="s">
        <v>23</v>
      </c>
      <c r="C11" s="6" t="s">
        <v>48</v>
      </c>
      <c r="D11" s="5">
        <v>127.0</v>
      </c>
      <c r="E11" s="5">
        <v>112.0</v>
      </c>
      <c r="F11" s="5">
        <v>0.12</v>
      </c>
      <c r="G11" s="5">
        <v>0.14</v>
      </c>
      <c r="H11" s="5">
        <v>0.91</v>
      </c>
      <c r="I11" s="5">
        <v>0.38</v>
      </c>
    </row>
    <row r="12" ht="15.75" customHeight="1">
      <c r="A12" s="4" t="s">
        <v>50</v>
      </c>
      <c r="B12" s="5" t="s">
        <v>19</v>
      </c>
      <c r="C12" s="6" t="s">
        <v>51</v>
      </c>
      <c r="D12" s="5">
        <v>120.0</v>
      </c>
      <c r="E12" s="5">
        <v>110.0</v>
      </c>
      <c r="F12" s="5">
        <v>0.12</v>
      </c>
      <c r="G12" s="5">
        <v>0.13</v>
      </c>
      <c r="H12" s="5">
        <v>1.18</v>
      </c>
      <c r="I12" s="5">
        <v>-0.02</v>
      </c>
    </row>
    <row r="13" ht="15.75" customHeight="1">
      <c r="A13" s="4" t="s">
        <v>56</v>
      </c>
      <c r="B13" s="5" t="s">
        <v>23</v>
      </c>
      <c r="C13" s="6" t="s">
        <v>58</v>
      </c>
      <c r="D13" s="5">
        <v>111.0</v>
      </c>
      <c r="E13" s="5">
        <v>105.0</v>
      </c>
      <c r="F13" s="5">
        <v>0.11</v>
      </c>
      <c r="G13" s="5">
        <v>0.14</v>
      </c>
      <c r="H13" s="5">
        <v>1.77</v>
      </c>
      <c r="I13" s="5">
        <v>1.43</v>
      </c>
    </row>
    <row r="14" ht="15.75" customHeight="1">
      <c r="A14" s="4" t="s">
        <v>60</v>
      </c>
      <c r="B14" s="5" t="s">
        <v>23</v>
      </c>
      <c r="C14" s="6" t="s">
        <v>61</v>
      </c>
      <c r="D14" s="5">
        <v>103.0</v>
      </c>
      <c r="E14" s="5">
        <v>100.0</v>
      </c>
      <c r="F14" s="5">
        <v>0.1</v>
      </c>
      <c r="G14" s="5">
        <v>0.1</v>
      </c>
      <c r="H14" s="5">
        <v>1.56</v>
      </c>
      <c r="I14" s="5">
        <v>0.56</v>
      </c>
    </row>
    <row r="15" ht="15.75" customHeight="1">
      <c r="A15" s="5" t="s">
        <v>63</v>
      </c>
      <c r="B15" s="5" t="s">
        <v>23</v>
      </c>
      <c r="C15" s="6" t="s">
        <v>64</v>
      </c>
      <c r="D15" s="5">
        <v>100.0</v>
      </c>
      <c r="E15" s="5">
        <v>58.0</v>
      </c>
      <c r="F15" s="5">
        <v>0.1</v>
      </c>
      <c r="G15" s="5">
        <v>0.1</v>
      </c>
      <c r="H15" s="5">
        <v>0.48</v>
      </c>
      <c r="I15" s="5">
        <v>-0.31</v>
      </c>
    </row>
    <row r="16" ht="15.75" customHeight="1">
      <c r="A16" s="4" t="s">
        <v>37</v>
      </c>
      <c r="B16" s="5" t="s">
        <v>23</v>
      </c>
      <c r="C16" s="6" t="s">
        <v>67</v>
      </c>
      <c r="D16" s="5">
        <v>97.0</v>
      </c>
      <c r="E16" s="5">
        <v>71.0</v>
      </c>
      <c r="F16" s="5">
        <v>0.1</v>
      </c>
      <c r="G16" s="5">
        <v>0.11</v>
      </c>
      <c r="H16" s="5">
        <v>1.81</v>
      </c>
      <c r="I16" s="5">
        <v>1.12</v>
      </c>
    </row>
    <row r="17" ht="15.75" customHeight="1">
      <c r="A17" s="4" t="s">
        <v>70</v>
      </c>
      <c r="B17" s="5" t="s">
        <v>23</v>
      </c>
      <c r="C17" s="6" t="s">
        <v>72</v>
      </c>
      <c r="D17" s="5">
        <v>87.0</v>
      </c>
      <c r="E17" s="5">
        <v>85.0</v>
      </c>
      <c r="F17" s="5">
        <v>0.09</v>
      </c>
      <c r="G17" s="5">
        <v>0.11</v>
      </c>
      <c r="H17" s="5">
        <v>1.55</v>
      </c>
      <c r="I17" s="5">
        <v>0.05</v>
      </c>
    </row>
    <row r="18" ht="15.75" customHeight="1">
      <c r="A18" s="5" t="s">
        <v>73</v>
      </c>
      <c r="B18" s="5" t="s">
        <v>19</v>
      </c>
      <c r="C18" s="6" t="s">
        <v>74</v>
      </c>
      <c r="D18" s="5">
        <v>81.0</v>
      </c>
      <c r="E18" s="5">
        <v>68.0</v>
      </c>
      <c r="F18" s="5">
        <v>0.08</v>
      </c>
      <c r="G18" s="5">
        <v>0.08</v>
      </c>
      <c r="H18" s="5">
        <v>0.72</v>
      </c>
      <c r="I18" s="5">
        <v>-0.21</v>
      </c>
    </row>
    <row r="19" ht="15.75" customHeight="1">
      <c r="A19" s="5" t="s">
        <v>77</v>
      </c>
      <c r="B19" s="5" t="s">
        <v>23</v>
      </c>
      <c r="C19" s="6" t="s">
        <v>78</v>
      </c>
      <c r="D19" s="5">
        <v>78.0</v>
      </c>
      <c r="E19" s="5">
        <v>73.0</v>
      </c>
      <c r="F19" s="5">
        <v>0.08</v>
      </c>
      <c r="G19" s="5">
        <v>0.08</v>
      </c>
      <c r="H19" s="5">
        <v>1.28</v>
      </c>
      <c r="I19" s="5">
        <v>-0.52</v>
      </c>
    </row>
    <row r="20" ht="15.75" customHeight="1">
      <c r="A20" s="4" t="s">
        <v>79</v>
      </c>
      <c r="B20" s="5" t="s">
        <v>81</v>
      </c>
      <c r="C20" s="6" t="s">
        <v>82</v>
      </c>
      <c r="D20" s="5">
        <v>73.0</v>
      </c>
      <c r="E20" s="5">
        <v>51.0</v>
      </c>
      <c r="F20" s="5">
        <v>0.07</v>
      </c>
      <c r="G20" s="5">
        <v>0.07</v>
      </c>
      <c r="H20" s="5">
        <v>1.7</v>
      </c>
      <c r="I20" s="5">
        <v>-0.03</v>
      </c>
    </row>
    <row r="21" ht="15.75" customHeight="1">
      <c r="A21" s="4" t="s">
        <v>83</v>
      </c>
      <c r="B21" s="5" t="s">
        <v>19</v>
      </c>
      <c r="C21" s="6" t="s">
        <v>88</v>
      </c>
      <c r="D21" s="5">
        <v>71.0</v>
      </c>
      <c r="E21" s="5">
        <v>69.0</v>
      </c>
      <c r="F21" s="5">
        <v>0.07</v>
      </c>
      <c r="G21" s="5">
        <v>0.1</v>
      </c>
      <c r="H21" s="5">
        <v>1.2</v>
      </c>
      <c r="I21" s="5">
        <v>0.2</v>
      </c>
    </row>
    <row r="22" ht="15.75" customHeight="1">
      <c r="A22" s="4" t="s">
        <v>89</v>
      </c>
      <c r="B22" s="5" t="s">
        <v>23</v>
      </c>
      <c r="C22" s="6" t="s">
        <v>91</v>
      </c>
      <c r="D22" s="5">
        <v>70.0</v>
      </c>
      <c r="E22" s="5">
        <v>69.0</v>
      </c>
      <c r="F22" s="5">
        <v>0.07</v>
      </c>
      <c r="G22" s="5">
        <v>0.07</v>
      </c>
      <c r="H22" s="5">
        <v>0.67</v>
      </c>
      <c r="I22" s="5">
        <v>-1.33</v>
      </c>
    </row>
    <row r="23" ht="15.75" customHeight="1">
      <c r="A23" s="4" t="s">
        <v>92</v>
      </c>
      <c r="B23" s="5" t="s">
        <v>85</v>
      </c>
      <c r="C23" s="6" t="s">
        <v>94</v>
      </c>
      <c r="D23" s="5">
        <v>66.0</v>
      </c>
      <c r="E23" s="5">
        <v>56.0</v>
      </c>
      <c r="F23" s="5">
        <v>0.06</v>
      </c>
      <c r="G23" s="5">
        <v>0.17</v>
      </c>
      <c r="H23" s="5">
        <v>1.76</v>
      </c>
      <c r="I23" s="5">
        <v>1.46</v>
      </c>
    </row>
    <row r="24" ht="15.75" customHeight="1">
      <c r="A24" s="4" t="s">
        <v>97</v>
      </c>
      <c r="B24" s="5" t="s">
        <v>19</v>
      </c>
      <c r="C24" s="6" t="s">
        <v>98</v>
      </c>
      <c r="D24" s="5">
        <v>64.0</v>
      </c>
      <c r="E24" s="5">
        <v>49.0</v>
      </c>
      <c r="F24" s="5">
        <v>0.06</v>
      </c>
      <c r="G24" s="5">
        <v>0.07</v>
      </c>
      <c r="H24" s="5">
        <v>0.06</v>
      </c>
      <c r="I24" s="5">
        <v>-0.07</v>
      </c>
    </row>
    <row r="25" ht="15.75" customHeight="1">
      <c r="A25" s="5" t="s">
        <v>100</v>
      </c>
      <c r="B25" s="5" t="s">
        <v>85</v>
      </c>
      <c r="C25" s="6" t="s">
        <v>102</v>
      </c>
      <c r="D25" s="5">
        <v>62.0</v>
      </c>
      <c r="F25" s="5">
        <v>0.06</v>
      </c>
      <c r="G25" s="5">
        <v>0.06</v>
      </c>
      <c r="H25" s="5">
        <v>1.4</v>
      </c>
    </row>
    <row r="26" ht="15.75" customHeight="1">
      <c r="A26" s="4" t="s">
        <v>104</v>
      </c>
      <c r="B26" s="5" t="s">
        <v>23</v>
      </c>
      <c r="C26" s="6" t="s">
        <v>106</v>
      </c>
      <c r="D26" s="5">
        <v>59.0</v>
      </c>
      <c r="E26" s="5">
        <v>28.0</v>
      </c>
      <c r="F26" s="5">
        <v>0.06</v>
      </c>
      <c r="G26" s="5">
        <v>0.07</v>
      </c>
      <c r="H26" s="5">
        <v>2.19</v>
      </c>
      <c r="I26" s="5">
        <v>0.67</v>
      </c>
    </row>
    <row r="27" ht="15.75" customHeight="1">
      <c r="A27" s="4" t="s">
        <v>108</v>
      </c>
      <c r="B27" s="5" t="s">
        <v>19</v>
      </c>
      <c r="C27" s="6" t="s">
        <v>110</v>
      </c>
      <c r="D27" s="5">
        <v>57.0</v>
      </c>
      <c r="F27" s="5">
        <v>0.06</v>
      </c>
      <c r="G27" s="5">
        <v>0.06</v>
      </c>
      <c r="H27" s="5">
        <v>1.47</v>
      </c>
    </row>
    <row r="28" ht="15.75" customHeight="1">
      <c r="A28" s="4" t="s">
        <v>112</v>
      </c>
      <c r="B28" s="5" t="s">
        <v>19</v>
      </c>
      <c r="C28" s="6" t="s">
        <v>114</v>
      </c>
      <c r="D28" s="5">
        <v>57.0</v>
      </c>
      <c r="F28" s="5">
        <v>0.06</v>
      </c>
      <c r="G28" s="5">
        <v>0.06</v>
      </c>
      <c r="H28" s="5">
        <v>0.09</v>
      </c>
    </row>
    <row r="29" ht="15.75" customHeight="1">
      <c r="A29" s="4" t="s">
        <v>116</v>
      </c>
      <c r="B29" s="5" t="s">
        <v>23</v>
      </c>
      <c r="C29" s="6" t="s">
        <v>119</v>
      </c>
      <c r="D29" s="5">
        <v>55.0</v>
      </c>
      <c r="E29" s="5">
        <v>47.0</v>
      </c>
      <c r="F29" s="5">
        <v>0.05</v>
      </c>
      <c r="G29" s="5">
        <v>0.06</v>
      </c>
      <c r="H29" s="5">
        <v>1.13</v>
      </c>
      <c r="I29" s="5">
        <v>0.25</v>
      </c>
    </row>
    <row r="30" ht="15.75" customHeight="1">
      <c r="A30" s="4" t="s">
        <v>118</v>
      </c>
      <c r="B30" s="5" t="s">
        <v>19</v>
      </c>
      <c r="C30" s="6" t="s">
        <v>121</v>
      </c>
      <c r="D30" s="5">
        <v>54.0</v>
      </c>
      <c r="E30" s="5">
        <v>50.0</v>
      </c>
      <c r="F30" s="5">
        <v>0.05</v>
      </c>
      <c r="G30" s="5">
        <v>0.05</v>
      </c>
      <c r="H30" s="5">
        <v>0.7</v>
      </c>
      <c r="I30" s="5">
        <v>0.7</v>
      </c>
    </row>
    <row r="31" ht="15.75" customHeight="1">
      <c r="A31" s="4" t="s">
        <v>123</v>
      </c>
      <c r="B31" s="5" t="s">
        <v>23</v>
      </c>
      <c r="C31" s="6" t="s">
        <v>125</v>
      </c>
      <c r="D31" s="5">
        <v>53.0</v>
      </c>
      <c r="E31" s="5">
        <v>47.0</v>
      </c>
      <c r="F31" s="5">
        <v>0.05</v>
      </c>
      <c r="G31" s="5">
        <v>0.05</v>
      </c>
      <c r="H31" s="5">
        <v>0.94</v>
      </c>
      <c r="I31" s="5">
        <v>0.94</v>
      </c>
    </row>
    <row r="32" ht="15.75" customHeight="1">
      <c r="A32" s="4" t="s">
        <v>129</v>
      </c>
      <c r="B32" s="5" t="s">
        <v>23</v>
      </c>
      <c r="C32" s="6" t="s">
        <v>131</v>
      </c>
      <c r="D32" s="5">
        <v>53.0</v>
      </c>
      <c r="E32" s="5">
        <v>30.0</v>
      </c>
      <c r="F32" s="5">
        <v>0.05</v>
      </c>
      <c r="G32" s="5">
        <v>0.05</v>
      </c>
      <c r="H32" s="5">
        <v>1.4</v>
      </c>
      <c r="I32" s="5">
        <v>0.4</v>
      </c>
    </row>
    <row r="33" ht="15.75" customHeight="1">
      <c r="A33" s="4" t="s">
        <v>133</v>
      </c>
      <c r="B33" s="5" t="s">
        <v>19</v>
      </c>
      <c r="C33" s="6" t="s">
        <v>134</v>
      </c>
      <c r="D33" s="5">
        <v>49.0</v>
      </c>
      <c r="F33" s="5">
        <v>0.05</v>
      </c>
      <c r="G33" s="5">
        <v>0.05</v>
      </c>
      <c r="H33" s="5">
        <v>0.35</v>
      </c>
    </row>
    <row r="34" ht="15.75" customHeight="1">
      <c r="A34" s="4" t="s">
        <v>136</v>
      </c>
      <c r="B34" s="5" t="s">
        <v>23</v>
      </c>
      <c r="C34" s="6" t="s">
        <v>138</v>
      </c>
      <c r="D34" s="5">
        <v>48.0</v>
      </c>
      <c r="E34" s="5">
        <v>45.0</v>
      </c>
      <c r="F34" s="5">
        <v>0.05</v>
      </c>
      <c r="G34" s="5">
        <v>0.05</v>
      </c>
      <c r="H34" s="5">
        <v>1.04</v>
      </c>
      <c r="I34" s="5">
        <v>0.04</v>
      </c>
    </row>
    <row r="35" ht="15.75" customHeight="1">
      <c r="A35" s="4" t="s">
        <v>140</v>
      </c>
      <c r="B35" s="5" t="s">
        <v>23</v>
      </c>
      <c r="C35" s="6" t="s">
        <v>141</v>
      </c>
      <c r="D35" s="5">
        <v>46.0</v>
      </c>
      <c r="E35" s="5">
        <v>-1.0</v>
      </c>
      <c r="F35" s="5">
        <v>0.05</v>
      </c>
      <c r="G35" s="5">
        <v>0.08</v>
      </c>
      <c r="H35" s="5">
        <v>1.0</v>
      </c>
      <c r="I35" s="5">
        <v>-0.51</v>
      </c>
    </row>
    <row r="36" ht="15.75" customHeight="1">
      <c r="A36" s="4" t="s">
        <v>143</v>
      </c>
      <c r="B36" s="5" t="s">
        <v>19</v>
      </c>
      <c r="C36" s="6" t="s">
        <v>145</v>
      </c>
      <c r="D36" s="5">
        <v>44.0</v>
      </c>
      <c r="F36" s="5">
        <v>0.04</v>
      </c>
      <c r="G36" s="5">
        <v>0.04</v>
      </c>
      <c r="H36" s="5">
        <v>0.61</v>
      </c>
    </row>
    <row r="37" ht="15.75" customHeight="1">
      <c r="A37" s="4" t="s">
        <v>146</v>
      </c>
      <c r="B37" s="5" t="s">
        <v>19</v>
      </c>
      <c r="C37" s="6" t="s">
        <v>148</v>
      </c>
      <c r="D37" s="5">
        <v>44.0</v>
      </c>
      <c r="E37" s="5">
        <v>36.0</v>
      </c>
      <c r="F37" s="5">
        <v>0.04</v>
      </c>
      <c r="G37" s="5">
        <v>0.04</v>
      </c>
      <c r="H37" s="5">
        <v>0.48</v>
      </c>
      <c r="I37" s="5">
        <v>0.35</v>
      </c>
    </row>
    <row r="38" ht="15.75" customHeight="1">
      <c r="A38" s="4" t="s">
        <v>151</v>
      </c>
      <c r="B38" s="5" t="s">
        <v>23</v>
      </c>
      <c r="C38" s="6" t="s">
        <v>153</v>
      </c>
      <c r="D38" s="5">
        <v>43.0</v>
      </c>
      <c r="E38" s="5">
        <v>-13.0</v>
      </c>
      <c r="F38" s="5">
        <v>0.04</v>
      </c>
      <c r="G38" s="5">
        <v>0.05</v>
      </c>
      <c r="H38" s="5">
        <v>0.72</v>
      </c>
      <c r="I38" s="5">
        <v>-0.64</v>
      </c>
    </row>
    <row r="39" ht="15.75" customHeight="1">
      <c r="A39" s="4" t="s">
        <v>154</v>
      </c>
      <c r="B39" s="5" t="s">
        <v>85</v>
      </c>
      <c r="C39" s="6" t="s">
        <v>157</v>
      </c>
      <c r="D39" s="5">
        <v>42.0</v>
      </c>
      <c r="E39" s="5">
        <v>37.0</v>
      </c>
      <c r="F39" s="5">
        <v>0.04</v>
      </c>
      <c r="G39" s="5">
        <v>0.04</v>
      </c>
      <c r="H39" s="5">
        <v>0.76</v>
      </c>
      <c r="I39" s="5">
        <v>-0.44</v>
      </c>
    </row>
    <row r="40" ht="15.75" customHeight="1">
      <c r="A40" s="4" t="s">
        <v>158</v>
      </c>
      <c r="B40" s="5" t="s">
        <v>23</v>
      </c>
      <c r="C40" s="6" t="s">
        <v>159</v>
      </c>
      <c r="D40" s="5">
        <v>41.0</v>
      </c>
      <c r="F40" s="5">
        <v>0.04</v>
      </c>
      <c r="G40" s="5">
        <v>0.04</v>
      </c>
      <c r="H40" s="5">
        <v>1.34</v>
      </c>
    </row>
    <row r="41" ht="15.75" customHeight="1">
      <c r="A41" s="4" t="s">
        <v>161</v>
      </c>
      <c r="B41" s="5" t="s">
        <v>19</v>
      </c>
      <c r="C41" s="6" t="s">
        <v>162</v>
      </c>
      <c r="D41" s="5">
        <v>41.0</v>
      </c>
      <c r="F41" s="5">
        <v>0.04</v>
      </c>
      <c r="G41" s="5">
        <v>0.04</v>
      </c>
      <c r="H41" s="5">
        <v>0.8</v>
      </c>
    </row>
    <row r="42" ht="15.75" customHeight="1">
      <c r="A42" s="4" t="s">
        <v>164</v>
      </c>
      <c r="B42" s="5" t="s">
        <v>165</v>
      </c>
      <c r="C42" s="6" t="s">
        <v>167</v>
      </c>
      <c r="D42" s="5">
        <v>40.0</v>
      </c>
      <c r="E42" s="5">
        <v>36.0</v>
      </c>
      <c r="F42" s="5">
        <v>0.04</v>
      </c>
      <c r="G42" s="5">
        <v>0.07</v>
      </c>
      <c r="H42" s="5">
        <v>2.78</v>
      </c>
      <c r="I42" s="5">
        <v>0.78</v>
      </c>
    </row>
    <row r="43" ht="15.75" customHeight="1">
      <c r="A43" s="4" t="s">
        <v>168</v>
      </c>
      <c r="B43" s="5" t="s">
        <v>19</v>
      </c>
      <c r="C43" s="6" t="s">
        <v>171</v>
      </c>
      <c r="D43" s="5">
        <v>40.0</v>
      </c>
      <c r="F43" s="5">
        <v>0.04</v>
      </c>
      <c r="G43" s="5">
        <v>0.04</v>
      </c>
      <c r="H43" s="5">
        <v>0.88</v>
      </c>
    </row>
    <row r="44" ht="15.75" customHeight="1">
      <c r="A44" s="4" t="s">
        <v>172</v>
      </c>
      <c r="B44" s="5" t="s">
        <v>19</v>
      </c>
      <c r="C44" s="6" t="s">
        <v>174</v>
      </c>
      <c r="D44" s="5">
        <v>39.0</v>
      </c>
      <c r="F44" s="5">
        <v>0.04</v>
      </c>
      <c r="G44" s="5">
        <v>0.04</v>
      </c>
      <c r="H44" s="5">
        <v>0.54</v>
      </c>
    </row>
    <row r="45" ht="15.75" customHeight="1">
      <c r="A45" s="4" t="s">
        <v>175</v>
      </c>
      <c r="B45" s="5" t="s">
        <v>23</v>
      </c>
      <c r="C45" s="6" t="s">
        <v>178</v>
      </c>
      <c r="D45" s="5">
        <v>39.0</v>
      </c>
      <c r="E45" s="5">
        <v>32.0</v>
      </c>
      <c r="F45" s="5">
        <v>0.04</v>
      </c>
      <c r="G45" s="5">
        <v>0.04</v>
      </c>
      <c r="H45" s="5">
        <v>1.77</v>
      </c>
      <c r="I45" s="5">
        <v>1.2</v>
      </c>
    </row>
    <row r="46" ht="15.75" customHeight="1">
      <c r="A46" s="4" t="s">
        <v>179</v>
      </c>
      <c r="B46" s="5" t="s">
        <v>19</v>
      </c>
      <c r="C46" s="6" t="s">
        <v>181</v>
      </c>
      <c r="D46" s="5">
        <v>38.0</v>
      </c>
      <c r="E46" s="5">
        <v>12.0</v>
      </c>
      <c r="F46" s="5">
        <v>0.04</v>
      </c>
      <c r="G46" s="5">
        <v>0.04</v>
      </c>
      <c r="H46" s="5">
        <v>2.92</v>
      </c>
      <c r="I46" s="5">
        <v>2.11</v>
      </c>
    </row>
    <row r="47" ht="15.75" customHeight="1">
      <c r="A47" s="4" t="s">
        <v>183</v>
      </c>
      <c r="B47" s="5" t="s">
        <v>19</v>
      </c>
      <c r="C47" s="6" t="s">
        <v>185</v>
      </c>
      <c r="D47" s="5">
        <v>38.0</v>
      </c>
      <c r="F47" s="5">
        <v>0.04</v>
      </c>
      <c r="G47" s="5">
        <v>0.04</v>
      </c>
      <c r="H47" s="5">
        <v>1.61</v>
      </c>
    </row>
    <row r="48" ht="15.75" customHeight="1">
      <c r="A48" s="4" t="s">
        <v>187</v>
      </c>
      <c r="B48" s="5" t="s">
        <v>81</v>
      </c>
      <c r="C48" s="6" t="s">
        <v>189</v>
      </c>
      <c r="D48" s="5">
        <v>37.0</v>
      </c>
      <c r="E48" s="5">
        <v>36.0</v>
      </c>
      <c r="F48" s="5">
        <v>0.04</v>
      </c>
      <c r="G48" s="5">
        <v>0.05</v>
      </c>
      <c r="H48" s="5">
        <v>0.05</v>
      </c>
      <c r="I48" s="5">
        <v>0.05</v>
      </c>
    </row>
    <row r="49" ht="15.75" customHeight="1">
      <c r="A49" s="4" t="s">
        <v>191</v>
      </c>
      <c r="B49" s="5" t="s">
        <v>19</v>
      </c>
      <c r="C49" s="6" t="s">
        <v>193</v>
      </c>
      <c r="D49" s="5">
        <v>37.0</v>
      </c>
      <c r="F49" s="5">
        <v>0.04</v>
      </c>
      <c r="G49" s="5">
        <v>0.04</v>
      </c>
      <c r="H49" s="5">
        <v>0.81</v>
      </c>
    </row>
    <row r="50" ht="15.75" customHeight="1">
      <c r="A50" s="4" t="s">
        <v>195</v>
      </c>
      <c r="B50" s="5" t="s">
        <v>23</v>
      </c>
      <c r="C50" s="6" t="s">
        <v>197</v>
      </c>
      <c r="D50" s="5">
        <v>36.0</v>
      </c>
      <c r="E50" s="5">
        <v>25.0</v>
      </c>
      <c r="F50" s="5">
        <v>0.04</v>
      </c>
      <c r="G50" s="5">
        <v>0.04</v>
      </c>
      <c r="H50" s="5">
        <v>0.58</v>
      </c>
      <c r="I50" s="5">
        <v>-0.42</v>
      </c>
    </row>
    <row r="51" ht="15.75" customHeight="1">
      <c r="A51" s="4" t="s">
        <v>199</v>
      </c>
      <c r="B51" s="5" t="s">
        <v>23</v>
      </c>
      <c r="C51" s="6" t="s">
        <v>201</v>
      </c>
      <c r="D51" s="5">
        <v>35.0</v>
      </c>
      <c r="E51" s="5">
        <v>32.0</v>
      </c>
      <c r="F51" s="5">
        <v>0.03</v>
      </c>
      <c r="G51" s="5">
        <v>0.04</v>
      </c>
      <c r="H51" s="5">
        <v>1.83</v>
      </c>
      <c r="I51" s="5">
        <v>-2.84</v>
      </c>
    </row>
    <row r="52" ht="15.75" customHeight="1">
      <c r="A52" s="4" t="s">
        <v>203</v>
      </c>
      <c r="B52" s="5" t="s">
        <v>85</v>
      </c>
      <c r="C52" s="6" t="s">
        <v>204</v>
      </c>
      <c r="D52" s="5">
        <v>35.0</v>
      </c>
      <c r="E52" s="5">
        <v>33.0</v>
      </c>
      <c r="F52" s="5">
        <v>0.03</v>
      </c>
      <c r="G52" s="5">
        <v>0.03</v>
      </c>
      <c r="H52" s="5">
        <v>0.83</v>
      </c>
      <c r="I52" s="5">
        <v>0.33</v>
      </c>
    </row>
    <row r="53" ht="15.75" customHeight="1">
      <c r="A53" s="4" t="s">
        <v>206</v>
      </c>
      <c r="B53" s="5" t="s">
        <v>19</v>
      </c>
      <c r="C53" s="6" t="s">
        <v>207</v>
      </c>
      <c r="D53" s="5">
        <v>34.0</v>
      </c>
      <c r="E53" s="5">
        <v>31.0</v>
      </c>
      <c r="F53" s="5">
        <v>0.03</v>
      </c>
      <c r="G53" s="5">
        <v>0.03</v>
      </c>
      <c r="H53" s="5">
        <v>1.03</v>
      </c>
      <c r="I53" s="5">
        <v>1.03</v>
      </c>
    </row>
    <row r="54" ht="15.75" customHeight="1">
      <c r="A54" s="4" t="s">
        <v>210</v>
      </c>
      <c r="B54" s="5" t="s">
        <v>23</v>
      </c>
      <c r="C54" s="6" t="s">
        <v>211</v>
      </c>
      <c r="D54" s="5">
        <v>33.0</v>
      </c>
      <c r="E54" s="5">
        <v>32.0</v>
      </c>
      <c r="F54" s="5">
        <v>0.03</v>
      </c>
      <c r="G54" s="5">
        <v>0.05</v>
      </c>
      <c r="H54" s="5">
        <v>1.82</v>
      </c>
      <c r="I54" s="5">
        <v>-1.18</v>
      </c>
    </row>
    <row r="55" ht="15.75" customHeight="1">
      <c r="A55" s="4" t="s">
        <v>213</v>
      </c>
      <c r="B55" s="5" t="s">
        <v>23</v>
      </c>
      <c r="C55" s="6" t="s">
        <v>215</v>
      </c>
      <c r="D55" s="5">
        <v>33.0</v>
      </c>
      <c r="E55" s="5">
        <v>6.0</v>
      </c>
      <c r="F55" s="5">
        <v>0.03</v>
      </c>
      <c r="G55" s="5">
        <v>0.04</v>
      </c>
      <c r="H55" s="5">
        <v>1.06</v>
      </c>
      <c r="I55" s="5">
        <v>-0.53</v>
      </c>
    </row>
    <row r="56" ht="15.75" customHeight="1">
      <c r="A56" s="4" t="s">
        <v>217</v>
      </c>
      <c r="B56" s="5" t="s">
        <v>81</v>
      </c>
      <c r="C56" s="6" t="s">
        <v>219</v>
      </c>
      <c r="D56" s="5">
        <v>33.0</v>
      </c>
      <c r="E56" s="5">
        <v>30.0</v>
      </c>
      <c r="F56" s="5">
        <v>0.03</v>
      </c>
      <c r="G56" s="5">
        <v>0.04</v>
      </c>
      <c r="H56" s="5">
        <v>0.33</v>
      </c>
      <c r="I56" s="5">
        <v>-0.33</v>
      </c>
    </row>
    <row r="57" ht="15.75" customHeight="1">
      <c r="A57" s="4" t="s">
        <v>220</v>
      </c>
      <c r="B57" s="5" t="s">
        <v>19</v>
      </c>
      <c r="C57" s="6" t="s">
        <v>223</v>
      </c>
      <c r="D57" s="5">
        <v>32.0</v>
      </c>
      <c r="E57" s="5">
        <v>28.0</v>
      </c>
      <c r="F57" s="5">
        <v>0.03</v>
      </c>
      <c r="G57" s="5">
        <v>0.03</v>
      </c>
      <c r="H57" s="5">
        <v>1.75</v>
      </c>
      <c r="I57" s="5">
        <v>-0.5</v>
      </c>
    </row>
    <row r="58" ht="15.75" customHeight="1">
      <c r="A58" s="4" t="s">
        <v>224</v>
      </c>
      <c r="B58" s="5" t="s">
        <v>85</v>
      </c>
      <c r="C58" s="6" t="s">
        <v>226</v>
      </c>
      <c r="D58" s="5">
        <v>31.0</v>
      </c>
      <c r="F58" s="5">
        <v>0.03</v>
      </c>
      <c r="G58" s="5">
        <v>0.03</v>
      </c>
      <c r="H58" s="5">
        <v>0.77</v>
      </c>
    </row>
    <row r="59" ht="15.75" customHeight="1">
      <c r="A59" s="4" t="s">
        <v>228</v>
      </c>
      <c r="B59" s="5" t="s">
        <v>23</v>
      </c>
      <c r="C59" s="6" t="s">
        <v>230</v>
      </c>
      <c r="D59" s="5">
        <v>30.0</v>
      </c>
      <c r="E59" s="5">
        <v>9.0</v>
      </c>
      <c r="F59" s="5">
        <v>0.03</v>
      </c>
      <c r="G59" s="5">
        <v>0.03</v>
      </c>
      <c r="H59" s="5">
        <v>0.53</v>
      </c>
      <c r="I59" s="5">
        <v>0.06</v>
      </c>
    </row>
    <row r="60" ht="15.75" customHeight="1">
      <c r="A60" s="5" t="s">
        <v>232</v>
      </c>
      <c r="B60" s="5" t="s">
        <v>23</v>
      </c>
      <c r="C60" s="6" t="s">
        <v>234</v>
      </c>
      <c r="D60" s="5">
        <v>29.0</v>
      </c>
      <c r="E60" s="5">
        <v>19.0</v>
      </c>
      <c r="F60" s="5">
        <v>0.03</v>
      </c>
      <c r="G60" s="5">
        <v>0.03</v>
      </c>
      <c r="H60" s="5">
        <v>1.9</v>
      </c>
      <c r="I60" s="5">
        <v>0.5</v>
      </c>
    </row>
    <row r="61" ht="15.75" customHeight="1">
      <c r="A61" s="4" t="s">
        <v>236</v>
      </c>
      <c r="B61" s="5" t="s">
        <v>19</v>
      </c>
      <c r="C61" s="6" t="s">
        <v>238</v>
      </c>
      <c r="D61" s="5">
        <v>29.0</v>
      </c>
      <c r="F61" s="5">
        <v>0.03</v>
      </c>
      <c r="G61" s="5">
        <v>0.03</v>
      </c>
      <c r="H61" s="5">
        <v>1.07</v>
      </c>
    </row>
    <row r="62" ht="15.75" customHeight="1">
      <c r="A62" s="4" t="s">
        <v>239</v>
      </c>
      <c r="B62" s="5" t="s">
        <v>16</v>
      </c>
      <c r="C62" s="6" t="s">
        <v>242</v>
      </c>
      <c r="D62" s="5">
        <v>29.0</v>
      </c>
      <c r="F62" s="5">
        <v>0.03</v>
      </c>
      <c r="G62" s="5">
        <v>0.03</v>
      </c>
      <c r="H62" s="5">
        <v>0.14</v>
      </c>
    </row>
    <row r="63" ht="15.75" customHeight="1">
      <c r="A63" s="4" t="s">
        <v>243</v>
      </c>
      <c r="B63" s="5" t="s">
        <v>23</v>
      </c>
      <c r="C63" s="6" t="s">
        <v>247</v>
      </c>
      <c r="D63" s="5">
        <v>28.0</v>
      </c>
      <c r="E63" s="5">
        <v>25.0</v>
      </c>
      <c r="F63" s="5">
        <v>0.03</v>
      </c>
      <c r="G63" s="5">
        <v>0.03</v>
      </c>
      <c r="H63" s="5">
        <v>1.36</v>
      </c>
      <c r="I63" s="5">
        <v>0.69</v>
      </c>
    </row>
    <row r="64" ht="15.75" customHeight="1">
      <c r="A64" s="4" t="s">
        <v>248</v>
      </c>
      <c r="B64" s="5" t="s">
        <v>19</v>
      </c>
      <c r="C64" s="6" t="s">
        <v>252</v>
      </c>
      <c r="D64" s="5">
        <v>28.0</v>
      </c>
      <c r="F64" s="5">
        <v>0.03</v>
      </c>
      <c r="G64" s="5">
        <v>0.03</v>
      </c>
      <c r="H64" s="5">
        <v>0.75</v>
      </c>
    </row>
    <row r="65" ht="15.75" customHeight="1">
      <c r="A65" s="4" t="s">
        <v>254</v>
      </c>
      <c r="B65" s="5" t="s">
        <v>23</v>
      </c>
      <c r="C65" s="6" t="s">
        <v>256</v>
      </c>
      <c r="D65" s="5">
        <v>27.0</v>
      </c>
      <c r="E65" s="5">
        <v>10.0</v>
      </c>
      <c r="F65" s="5">
        <v>0.03</v>
      </c>
      <c r="G65" s="5">
        <v>0.03</v>
      </c>
      <c r="H65" s="5">
        <v>1.67</v>
      </c>
      <c r="I65" s="5">
        <v>0.08</v>
      </c>
    </row>
    <row r="66" ht="15.75" customHeight="1">
      <c r="A66" s="4" t="s">
        <v>258</v>
      </c>
      <c r="B66" s="5" t="s">
        <v>19</v>
      </c>
      <c r="C66" s="6" t="s">
        <v>260</v>
      </c>
      <c r="D66" s="5">
        <v>27.0</v>
      </c>
      <c r="F66" s="5">
        <v>0.03</v>
      </c>
      <c r="G66" s="5">
        <v>0.03</v>
      </c>
      <c r="H66" s="5">
        <v>0.63</v>
      </c>
    </row>
    <row r="67" ht="15.75" customHeight="1">
      <c r="A67" s="4" t="s">
        <v>262</v>
      </c>
      <c r="B67" s="5" t="s">
        <v>85</v>
      </c>
      <c r="C67" s="6" t="s">
        <v>266</v>
      </c>
      <c r="D67" s="5">
        <v>27.0</v>
      </c>
      <c r="E67" s="5">
        <v>17.0</v>
      </c>
      <c r="F67" s="5">
        <v>0.03</v>
      </c>
      <c r="G67" s="5">
        <v>0.03</v>
      </c>
      <c r="H67" s="5">
        <v>0.3</v>
      </c>
      <c r="I67" s="5">
        <v>-1.1</v>
      </c>
    </row>
    <row r="68" ht="15.75" customHeight="1">
      <c r="A68" s="4" t="s">
        <v>267</v>
      </c>
      <c r="B68" s="5" t="s">
        <v>23</v>
      </c>
      <c r="C68" s="6" t="s">
        <v>269</v>
      </c>
      <c r="D68" s="5">
        <v>27.0</v>
      </c>
      <c r="E68" s="5">
        <v>15.0</v>
      </c>
      <c r="F68" s="5">
        <v>0.03</v>
      </c>
      <c r="G68" s="5">
        <v>0.03</v>
      </c>
      <c r="H68" s="5">
        <v>2.19</v>
      </c>
      <c r="I68" s="5">
        <v>0.19</v>
      </c>
    </row>
    <row r="69" ht="15.75" customHeight="1">
      <c r="A69" s="4" t="s">
        <v>272</v>
      </c>
      <c r="B69" s="5" t="s">
        <v>19</v>
      </c>
      <c r="C69" s="6" t="s">
        <v>274</v>
      </c>
      <c r="D69" s="5">
        <v>26.0</v>
      </c>
      <c r="E69" s="5">
        <v>24.0</v>
      </c>
      <c r="F69" s="5">
        <v>0.03</v>
      </c>
      <c r="G69" s="5">
        <v>0.03</v>
      </c>
      <c r="H69" s="5">
        <v>0.62</v>
      </c>
      <c r="I69" s="5">
        <v>-0.38</v>
      </c>
    </row>
    <row r="70" ht="15.75" customHeight="1">
      <c r="A70" s="4" t="s">
        <v>275</v>
      </c>
      <c r="B70" s="5" t="s">
        <v>19</v>
      </c>
      <c r="C70" s="6" t="s">
        <v>278</v>
      </c>
      <c r="D70" s="5">
        <v>25.0</v>
      </c>
      <c r="F70" s="5">
        <v>0.02</v>
      </c>
      <c r="G70" s="5">
        <v>0.03</v>
      </c>
      <c r="H70" s="5">
        <v>1.36</v>
      </c>
    </row>
    <row r="71" ht="15.75" customHeight="1">
      <c r="A71" s="4" t="s">
        <v>279</v>
      </c>
      <c r="B71" s="5" t="s">
        <v>19</v>
      </c>
      <c r="C71" s="6" t="s">
        <v>281</v>
      </c>
      <c r="D71" s="5">
        <v>25.0</v>
      </c>
      <c r="E71" s="5">
        <v>21.0</v>
      </c>
      <c r="F71" s="5">
        <v>0.02</v>
      </c>
      <c r="G71" s="5">
        <v>0.03</v>
      </c>
      <c r="H71" s="5">
        <v>1.12</v>
      </c>
      <c r="I71" s="5">
        <v>-0.13</v>
      </c>
    </row>
    <row r="72" ht="15.75" customHeight="1">
      <c r="A72" s="4" t="s">
        <v>282</v>
      </c>
      <c r="B72" s="5" t="s">
        <v>19</v>
      </c>
      <c r="C72" s="6" t="s">
        <v>283</v>
      </c>
      <c r="D72" s="5">
        <v>25.0</v>
      </c>
      <c r="F72" s="5">
        <v>0.02</v>
      </c>
      <c r="G72" s="5">
        <v>0.03</v>
      </c>
      <c r="H72" s="5">
        <v>0.72</v>
      </c>
    </row>
    <row r="73" ht="15.75" customHeight="1">
      <c r="A73" s="4" t="s">
        <v>285</v>
      </c>
      <c r="B73" s="5" t="s">
        <v>19</v>
      </c>
      <c r="C73" s="6" t="s">
        <v>287</v>
      </c>
      <c r="D73" s="5">
        <v>25.0</v>
      </c>
      <c r="E73" s="5">
        <v>19.0</v>
      </c>
      <c r="F73" s="5">
        <v>0.02</v>
      </c>
      <c r="G73" s="5">
        <v>0.02</v>
      </c>
      <c r="H73" s="5">
        <v>0.24</v>
      </c>
      <c r="I73" s="5">
        <v>0.24</v>
      </c>
    </row>
    <row r="74" ht="15.75" customHeight="1">
      <c r="A74" s="16" t="s">
        <v>289</v>
      </c>
      <c r="B74" s="5" t="s">
        <v>19</v>
      </c>
      <c r="C74" s="6" t="s">
        <v>291</v>
      </c>
      <c r="D74" s="5">
        <v>24.0</v>
      </c>
      <c r="F74" s="5">
        <v>0.02</v>
      </c>
      <c r="G74" s="5">
        <v>0.02</v>
      </c>
      <c r="H74" s="5">
        <v>0.92</v>
      </c>
    </row>
    <row r="75" ht="15.75" customHeight="1">
      <c r="A75" s="4" t="s">
        <v>293</v>
      </c>
      <c r="B75" s="5" t="s">
        <v>19</v>
      </c>
      <c r="C75" s="6" t="s">
        <v>294</v>
      </c>
      <c r="D75" s="5">
        <v>24.0</v>
      </c>
      <c r="F75" s="5">
        <v>0.02</v>
      </c>
      <c r="G75" s="5">
        <v>0.03</v>
      </c>
      <c r="H75" s="5">
        <v>0.5</v>
      </c>
    </row>
    <row r="76" ht="15.75" customHeight="1">
      <c r="A76" s="4" t="s">
        <v>296</v>
      </c>
      <c r="B76" s="5" t="s">
        <v>23</v>
      </c>
      <c r="C76" s="6" t="s">
        <v>300</v>
      </c>
      <c r="D76" s="5">
        <v>24.0</v>
      </c>
      <c r="E76" s="5">
        <v>22.0</v>
      </c>
      <c r="F76" s="5">
        <v>0.02</v>
      </c>
      <c r="G76" s="5">
        <v>0.02</v>
      </c>
      <c r="H76" s="5">
        <v>0.83</v>
      </c>
      <c r="I76" s="5">
        <v>-0.17</v>
      </c>
    </row>
    <row r="77" ht="15.75" customHeight="1">
      <c r="A77" s="4" t="s">
        <v>302</v>
      </c>
      <c r="B77" s="5" t="s">
        <v>19</v>
      </c>
      <c r="C77" s="6" t="s">
        <v>304</v>
      </c>
      <c r="D77" s="5">
        <v>24.0</v>
      </c>
      <c r="F77" s="5">
        <v>0.02</v>
      </c>
      <c r="G77" s="5">
        <v>0.02</v>
      </c>
      <c r="H77" s="5">
        <v>0.67</v>
      </c>
    </row>
    <row r="78" ht="15.75" customHeight="1">
      <c r="A78" s="4" t="s">
        <v>305</v>
      </c>
      <c r="B78" s="5" t="s">
        <v>81</v>
      </c>
      <c r="C78" s="6" t="s">
        <v>308</v>
      </c>
      <c r="D78" s="5">
        <v>24.0</v>
      </c>
      <c r="F78" s="5">
        <v>0.02</v>
      </c>
      <c r="G78" s="5">
        <v>0.02</v>
      </c>
      <c r="H78" s="5">
        <v>0.25</v>
      </c>
    </row>
    <row r="79" ht="15.75" customHeight="1">
      <c r="A79" s="4" t="s">
        <v>309</v>
      </c>
      <c r="B79" s="5" t="s">
        <v>19</v>
      </c>
      <c r="C79" s="6" t="s">
        <v>311</v>
      </c>
      <c r="D79" s="5">
        <v>23.0</v>
      </c>
      <c r="E79" s="5">
        <v>20.0</v>
      </c>
      <c r="F79" s="5">
        <v>0.02</v>
      </c>
      <c r="G79" s="5">
        <v>0.02</v>
      </c>
      <c r="H79" s="5">
        <v>0.43</v>
      </c>
      <c r="I79" s="5">
        <v>-0.57</v>
      </c>
    </row>
    <row r="80" ht="15.75" customHeight="1">
      <c r="A80" s="4" t="s">
        <v>312</v>
      </c>
      <c r="B80" s="5" t="s">
        <v>19</v>
      </c>
      <c r="C80" s="6" t="s">
        <v>314</v>
      </c>
      <c r="D80" s="5">
        <v>23.0</v>
      </c>
      <c r="F80" s="5">
        <v>0.02</v>
      </c>
      <c r="G80" s="5">
        <v>0.02</v>
      </c>
      <c r="H80" s="5">
        <v>1.87</v>
      </c>
    </row>
    <row r="81" ht="15.75" customHeight="1">
      <c r="A81" s="4" t="s">
        <v>315</v>
      </c>
      <c r="B81" s="5" t="s">
        <v>165</v>
      </c>
      <c r="C81" s="6" t="s">
        <v>317</v>
      </c>
      <c r="D81" s="5">
        <v>22.0</v>
      </c>
      <c r="E81" s="5">
        <v>16.0</v>
      </c>
      <c r="F81" s="5">
        <v>0.02</v>
      </c>
      <c r="G81" s="5">
        <v>0.03</v>
      </c>
      <c r="H81" s="5">
        <v>2.27</v>
      </c>
      <c r="I81" s="5">
        <v>-0.89</v>
      </c>
    </row>
    <row r="82" ht="15.75" customHeight="1">
      <c r="A82" s="4" t="s">
        <v>320</v>
      </c>
      <c r="B82" s="5" t="s">
        <v>19</v>
      </c>
      <c r="C82" s="6" t="s">
        <v>321</v>
      </c>
      <c r="D82" s="5">
        <v>22.0</v>
      </c>
      <c r="F82" s="5">
        <v>0.02</v>
      </c>
      <c r="G82" s="5">
        <v>0.02</v>
      </c>
      <c r="H82" s="5">
        <v>1.55</v>
      </c>
    </row>
    <row r="83" ht="15.75" customHeight="1">
      <c r="A83" s="4" t="s">
        <v>323</v>
      </c>
      <c r="B83" s="5" t="s">
        <v>19</v>
      </c>
      <c r="C83" s="6" t="s">
        <v>325</v>
      </c>
      <c r="D83" s="5">
        <v>22.0</v>
      </c>
      <c r="E83" s="5">
        <v>13.0</v>
      </c>
      <c r="F83" s="5">
        <v>0.02</v>
      </c>
      <c r="G83" s="5">
        <v>0.02</v>
      </c>
      <c r="H83" s="5">
        <v>0.09</v>
      </c>
      <c r="I83" s="5">
        <v>-0.02</v>
      </c>
    </row>
    <row r="84" ht="15.75" customHeight="1">
      <c r="A84" s="4" t="s">
        <v>327</v>
      </c>
      <c r="B84" s="5" t="s">
        <v>19</v>
      </c>
      <c r="C84" s="6" t="s">
        <v>329</v>
      </c>
      <c r="D84" s="5">
        <v>21.0</v>
      </c>
      <c r="E84" s="5">
        <v>20.0</v>
      </c>
      <c r="F84" s="5">
        <v>0.02</v>
      </c>
      <c r="G84" s="5">
        <v>0.02</v>
      </c>
      <c r="H84" s="5">
        <v>2.24</v>
      </c>
      <c r="I84" s="5">
        <v>0.24</v>
      </c>
    </row>
    <row r="85" ht="15.75" customHeight="1">
      <c r="A85" s="4" t="s">
        <v>330</v>
      </c>
      <c r="B85" s="5" t="s">
        <v>165</v>
      </c>
      <c r="C85" s="6" t="s">
        <v>332</v>
      </c>
      <c r="D85" s="5">
        <v>21.0</v>
      </c>
      <c r="E85" s="5">
        <v>20.0</v>
      </c>
      <c r="F85" s="5">
        <v>0.02</v>
      </c>
      <c r="G85" s="5">
        <v>0.02</v>
      </c>
      <c r="H85" s="5">
        <v>1.19</v>
      </c>
      <c r="I85" s="5">
        <v>1.19</v>
      </c>
    </row>
    <row r="86" ht="15.75" customHeight="1">
      <c r="A86" s="4" t="s">
        <v>334</v>
      </c>
      <c r="B86" s="5" t="s">
        <v>23</v>
      </c>
      <c r="C86" s="6" t="s">
        <v>335</v>
      </c>
      <c r="D86" s="5">
        <v>21.0</v>
      </c>
      <c r="F86" s="5">
        <v>0.02</v>
      </c>
      <c r="G86" s="5">
        <v>0.02</v>
      </c>
      <c r="H86" s="5">
        <v>1.05</v>
      </c>
    </row>
    <row r="87" ht="15.75" customHeight="1">
      <c r="A87" s="4" t="s">
        <v>336</v>
      </c>
      <c r="B87" s="5" t="s">
        <v>19</v>
      </c>
      <c r="C87" s="6" t="s">
        <v>338</v>
      </c>
      <c r="D87" s="5">
        <v>20.0</v>
      </c>
      <c r="F87" s="5">
        <v>0.02</v>
      </c>
      <c r="G87" s="5">
        <v>0.03</v>
      </c>
      <c r="H87" s="5">
        <v>0.35</v>
      </c>
    </row>
    <row r="88" ht="15.75" customHeight="1">
      <c r="A88" s="4" t="s">
        <v>339</v>
      </c>
      <c r="B88" s="5" t="s">
        <v>19</v>
      </c>
      <c r="C88" s="6" t="s">
        <v>342</v>
      </c>
      <c r="D88" s="5">
        <v>20.0</v>
      </c>
      <c r="F88" s="5">
        <v>0.02</v>
      </c>
      <c r="G88" s="5">
        <v>0.02</v>
      </c>
      <c r="H88" s="5">
        <v>0.75</v>
      </c>
    </row>
    <row r="89" ht="15.75" customHeight="1">
      <c r="A89" s="4" t="s">
        <v>343</v>
      </c>
      <c r="B89" s="5" t="s">
        <v>81</v>
      </c>
      <c r="C89" s="6" t="s">
        <v>345</v>
      </c>
      <c r="D89" s="5">
        <v>20.0</v>
      </c>
      <c r="E89" s="5">
        <v>14.0</v>
      </c>
      <c r="F89" s="5">
        <v>0.02</v>
      </c>
      <c r="G89" s="5">
        <v>0.02</v>
      </c>
      <c r="H89" s="5">
        <v>0.35</v>
      </c>
      <c r="I89" s="5">
        <v>-0.82</v>
      </c>
    </row>
    <row r="90" ht="15.75" customHeight="1">
      <c r="A90" s="5" t="s">
        <v>346</v>
      </c>
      <c r="B90" s="5" t="s">
        <v>19</v>
      </c>
      <c r="C90" s="6" t="s">
        <v>348</v>
      </c>
      <c r="D90" s="5">
        <v>20.0</v>
      </c>
      <c r="E90" s="5">
        <v>19.0</v>
      </c>
      <c r="F90" s="5">
        <v>0.02</v>
      </c>
      <c r="G90" s="5">
        <v>0.02</v>
      </c>
      <c r="H90" s="5">
        <v>0.45</v>
      </c>
      <c r="I90" s="5">
        <v>0.45</v>
      </c>
    </row>
    <row r="91" ht="15.75" customHeight="1">
      <c r="A91" s="4" t="s">
        <v>350</v>
      </c>
      <c r="B91" s="5" t="s">
        <v>85</v>
      </c>
      <c r="C91" s="6" t="s">
        <v>352</v>
      </c>
      <c r="D91" s="5">
        <v>20.0</v>
      </c>
      <c r="F91" s="5">
        <v>0.02</v>
      </c>
      <c r="G91" s="5">
        <v>0.02</v>
      </c>
      <c r="H91" s="5">
        <v>0.55</v>
      </c>
    </row>
    <row r="92" ht="15.75" customHeight="1">
      <c r="A92" s="4" t="s">
        <v>354</v>
      </c>
      <c r="B92" s="5" t="s">
        <v>81</v>
      </c>
      <c r="C92" s="6" t="s">
        <v>356</v>
      </c>
      <c r="D92" s="5">
        <v>19.0</v>
      </c>
      <c r="F92" s="5">
        <v>0.02</v>
      </c>
      <c r="G92" s="5">
        <v>0.03</v>
      </c>
      <c r="H92" s="5">
        <v>1.58</v>
      </c>
    </row>
    <row r="93" ht="15.75" customHeight="1">
      <c r="A93" s="4" t="s">
        <v>357</v>
      </c>
      <c r="B93" s="5" t="s">
        <v>165</v>
      </c>
      <c r="C93" s="6" t="s">
        <v>360</v>
      </c>
      <c r="D93" s="5">
        <v>19.0</v>
      </c>
      <c r="E93" s="5">
        <v>17.0</v>
      </c>
      <c r="F93" s="5">
        <v>0.02</v>
      </c>
      <c r="G93" s="5">
        <v>0.03</v>
      </c>
      <c r="H93" s="5">
        <v>0.26</v>
      </c>
      <c r="I93" s="5">
        <v>0.26</v>
      </c>
    </row>
    <row r="94" ht="15.75" customHeight="1">
      <c r="A94" s="4" t="s">
        <v>362</v>
      </c>
      <c r="B94" s="5" t="s">
        <v>19</v>
      </c>
      <c r="C94" s="6" t="s">
        <v>364</v>
      </c>
      <c r="D94" s="5">
        <v>19.0</v>
      </c>
      <c r="E94" s="5">
        <v>18.0</v>
      </c>
      <c r="F94" s="5">
        <v>0.02</v>
      </c>
      <c r="G94" s="5">
        <v>0.02</v>
      </c>
      <c r="H94" s="5">
        <v>1.53</v>
      </c>
      <c r="I94" s="5">
        <v>0.53</v>
      </c>
    </row>
    <row r="95" ht="15.75" customHeight="1">
      <c r="A95" s="4" t="s">
        <v>366</v>
      </c>
      <c r="B95" s="5" t="s">
        <v>19</v>
      </c>
      <c r="C95" s="6" t="s">
        <v>368</v>
      </c>
      <c r="D95" s="5">
        <v>18.0</v>
      </c>
      <c r="E95" s="5">
        <v>4.0</v>
      </c>
      <c r="F95" s="5">
        <v>0.02</v>
      </c>
      <c r="G95" s="5">
        <v>0.02</v>
      </c>
      <c r="H95" s="5">
        <v>1.0</v>
      </c>
      <c r="I95" s="5">
        <v>0.36</v>
      </c>
    </row>
    <row r="96" ht="15.75" customHeight="1">
      <c r="A96" s="4" t="s">
        <v>369</v>
      </c>
      <c r="B96" s="5" t="s">
        <v>19</v>
      </c>
      <c r="C96" s="6" t="s">
        <v>371</v>
      </c>
      <c r="D96" s="5">
        <v>18.0</v>
      </c>
      <c r="E96" s="5">
        <v>13.0</v>
      </c>
      <c r="F96" s="5">
        <v>0.02</v>
      </c>
      <c r="G96" s="5">
        <v>0.02</v>
      </c>
      <c r="H96" s="5">
        <v>0.39</v>
      </c>
      <c r="I96" s="5">
        <v>-0.01</v>
      </c>
    </row>
    <row r="97" ht="15.75" customHeight="1">
      <c r="A97" s="4" t="s">
        <v>373</v>
      </c>
      <c r="B97" s="5" t="s">
        <v>16</v>
      </c>
      <c r="C97" s="6" t="s">
        <v>375</v>
      </c>
      <c r="D97" s="5">
        <v>18.0</v>
      </c>
      <c r="F97" s="5">
        <v>0.02</v>
      </c>
      <c r="G97" s="5">
        <v>0.02</v>
      </c>
      <c r="H97" s="5">
        <v>0.0</v>
      </c>
    </row>
    <row r="98" ht="15.75" customHeight="1">
      <c r="A98" s="4" t="s">
        <v>377</v>
      </c>
      <c r="B98" s="5" t="s">
        <v>19</v>
      </c>
      <c r="C98" s="6" t="s">
        <v>378</v>
      </c>
      <c r="D98" s="5">
        <v>17.0</v>
      </c>
      <c r="F98" s="5">
        <v>0.02</v>
      </c>
      <c r="G98" s="5">
        <v>0.02</v>
      </c>
      <c r="H98" s="5">
        <v>1.18</v>
      </c>
    </row>
    <row r="99" ht="15.75" customHeight="1">
      <c r="A99" s="4" t="s">
        <v>380</v>
      </c>
      <c r="B99" s="5" t="s">
        <v>19</v>
      </c>
      <c r="C99" s="6"/>
      <c r="D99" s="5">
        <v>16.0</v>
      </c>
      <c r="E99" s="5">
        <v>14.0</v>
      </c>
      <c r="F99" s="5">
        <v>0.02</v>
      </c>
      <c r="G99" s="5">
        <v>0.02</v>
      </c>
      <c r="H99" s="5">
        <v>1.31</v>
      </c>
      <c r="I99" s="5">
        <v>1.31</v>
      </c>
    </row>
    <row r="100" ht="15.75" customHeight="1">
      <c r="A100" s="4" t="s">
        <v>384</v>
      </c>
      <c r="B100" s="5" t="s">
        <v>19</v>
      </c>
      <c r="C100" s="6" t="s">
        <v>386</v>
      </c>
      <c r="D100" s="5">
        <v>16.0</v>
      </c>
      <c r="E100" s="5">
        <v>11.0</v>
      </c>
      <c r="F100" s="5">
        <v>0.02</v>
      </c>
      <c r="G100" s="5">
        <v>0.02</v>
      </c>
      <c r="H100" s="5">
        <v>0.69</v>
      </c>
      <c r="I100" s="5">
        <v>-0.31</v>
      </c>
    </row>
    <row r="101" ht="15.75" customHeight="1">
      <c r="A101" s="5" t="s">
        <v>388</v>
      </c>
      <c r="B101" s="5" t="s">
        <v>19</v>
      </c>
      <c r="C101" s="6" t="s">
        <v>389</v>
      </c>
      <c r="D101" s="5">
        <v>16.0</v>
      </c>
      <c r="F101" s="5">
        <v>0.02</v>
      </c>
      <c r="G101" s="5">
        <v>0.02</v>
      </c>
      <c r="H101" s="5">
        <v>0.13</v>
      </c>
    </row>
    <row r="102" ht="15.75" customHeight="1">
      <c r="A102" s="4" t="s">
        <v>390</v>
      </c>
      <c r="B102" s="5" t="s">
        <v>19</v>
      </c>
      <c r="C102" s="6" t="s">
        <v>393</v>
      </c>
      <c r="D102" s="5">
        <v>16.0</v>
      </c>
      <c r="E102" s="5">
        <v>10.0</v>
      </c>
      <c r="F102" s="5">
        <v>0.02</v>
      </c>
      <c r="G102" s="5">
        <v>0.02</v>
      </c>
      <c r="H102" s="5">
        <v>0.25</v>
      </c>
      <c r="I102" s="5">
        <v>-0.42</v>
      </c>
    </row>
    <row r="103" ht="15.75" customHeight="1">
      <c r="A103" s="4" t="s">
        <v>394</v>
      </c>
      <c r="B103" s="5" t="s">
        <v>19</v>
      </c>
      <c r="C103" s="6" t="s">
        <v>396</v>
      </c>
      <c r="D103" s="5">
        <v>16.0</v>
      </c>
      <c r="E103" s="5">
        <v>15.0</v>
      </c>
      <c r="F103" s="5">
        <v>0.02</v>
      </c>
      <c r="G103" s="5">
        <v>0.02</v>
      </c>
      <c r="H103" s="5">
        <v>0.06</v>
      </c>
      <c r="I103" s="5">
        <v>-0.94</v>
      </c>
    </row>
    <row r="104" ht="15.75" customHeight="1">
      <c r="A104" s="4" t="s">
        <v>397</v>
      </c>
      <c r="B104" s="5" t="s">
        <v>19</v>
      </c>
      <c r="C104" s="6" t="s">
        <v>399</v>
      </c>
      <c r="D104" s="5">
        <v>16.0</v>
      </c>
      <c r="F104" s="5">
        <v>0.02</v>
      </c>
      <c r="G104" s="5">
        <v>0.02</v>
      </c>
      <c r="H104" s="5">
        <v>0.19</v>
      </c>
    </row>
    <row r="105" ht="15.75" customHeight="1">
      <c r="A105" s="4" t="s">
        <v>400</v>
      </c>
      <c r="B105" s="5" t="s">
        <v>81</v>
      </c>
      <c r="C105" s="6" t="s">
        <v>403</v>
      </c>
      <c r="D105" s="5">
        <v>15.0</v>
      </c>
      <c r="F105" s="5">
        <v>0.01</v>
      </c>
      <c r="G105" s="5">
        <v>0.01</v>
      </c>
      <c r="H105" s="5">
        <v>1.33</v>
      </c>
    </row>
    <row r="106" ht="15.75" customHeight="1">
      <c r="A106" s="4" t="s">
        <v>405</v>
      </c>
      <c r="B106" s="5" t="s">
        <v>23</v>
      </c>
      <c r="C106" s="6" t="s">
        <v>407</v>
      </c>
      <c r="D106" s="5">
        <v>15.0</v>
      </c>
      <c r="E106" s="5">
        <v>0.0</v>
      </c>
      <c r="F106" s="5">
        <v>0.01</v>
      </c>
      <c r="G106" s="5">
        <v>0.02</v>
      </c>
      <c r="H106" s="5">
        <v>1.73</v>
      </c>
      <c r="I106" s="5">
        <v>-0.27</v>
      </c>
    </row>
    <row r="107" ht="15.75" customHeight="1">
      <c r="A107" s="4" t="s">
        <v>408</v>
      </c>
      <c r="B107" s="5" t="s">
        <v>23</v>
      </c>
      <c r="C107" s="6" t="s">
        <v>410</v>
      </c>
      <c r="D107" s="5">
        <v>15.0</v>
      </c>
      <c r="F107" s="5">
        <v>0.01</v>
      </c>
      <c r="G107" s="5">
        <v>0.01</v>
      </c>
      <c r="H107" s="5">
        <v>1.2</v>
      </c>
    </row>
    <row r="108" ht="15.75" customHeight="1">
      <c r="A108" s="4" t="s">
        <v>412</v>
      </c>
      <c r="B108" s="5" t="s">
        <v>23</v>
      </c>
      <c r="C108" s="6" t="s">
        <v>414</v>
      </c>
      <c r="D108" s="5">
        <v>15.0</v>
      </c>
      <c r="E108" s="5">
        <v>9.0</v>
      </c>
      <c r="F108" s="5">
        <v>0.01</v>
      </c>
      <c r="G108" s="5">
        <v>0.02</v>
      </c>
      <c r="H108" s="5">
        <v>0.67</v>
      </c>
      <c r="I108" s="5">
        <v>0.17</v>
      </c>
    </row>
    <row r="109" ht="15.75" customHeight="1">
      <c r="A109" s="4" t="s">
        <v>416</v>
      </c>
      <c r="B109" s="5" t="s">
        <v>19</v>
      </c>
      <c r="C109" s="6" t="s">
        <v>418</v>
      </c>
      <c r="D109" s="5">
        <v>15.0</v>
      </c>
      <c r="F109" s="5">
        <v>0.01</v>
      </c>
      <c r="G109" s="5">
        <v>0.01</v>
      </c>
      <c r="H109" s="5">
        <v>0.0</v>
      </c>
    </row>
    <row r="110" ht="15.75" customHeight="1">
      <c r="A110" s="4" t="s">
        <v>420</v>
      </c>
      <c r="B110" s="5" t="s">
        <v>19</v>
      </c>
      <c r="C110" s="6" t="s">
        <v>423</v>
      </c>
      <c r="D110" s="5">
        <v>15.0</v>
      </c>
      <c r="E110" s="5">
        <v>12.0</v>
      </c>
      <c r="F110" s="5">
        <v>0.01</v>
      </c>
      <c r="G110" s="5">
        <v>0.01</v>
      </c>
      <c r="H110" s="5">
        <v>0.8</v>
      </c>
      <c r="I110" s="5">
        <v>-0.87</v>
      </c>
    </row>
    <row r="111" ht="15.75" customHeight="1">
      <c r="A111" s="4" t="s">
        <v>424</v>
      </c>
      <c r="B111" s="5" t="s">
        <v>16</v>
      </c>
      <c r="C111" s="6" t="s">
        <v>428</v>
      </c>
      <c r="D111" s="5">
        <v>15.0</v>
      </c>
      <c r="F111" s="5">
        <v>0.01</v>
      </c>
      <c r="G111" s="5">
        <v>0.01</v>
      </c>
      <c r="H111" s="5">
        <v>0.0</v>
      </c>
    </row>
    <row r="112" ht="15.75" customHeight="1">
      <c r="A112" s="4" t="s">
        <v>429</v>
      </c>
      <c r="B112" s="5" t="s">
        <v>19</v>
      </c>
      <c r="C112" s="6" t="s">
        <v>431</v>
      </c>
      <c r="D112" s="5">
        <v>14.0</v>
      </c>
      <c r="E112" s="5">
        <v>7.0</v>
      </c>
      <c r="F112" s="5">
        <v>0.01</v>
      </c>
      <c r="G112" s="5">
        <v>0.03</v>
      </c>
      <c r="H112" s="5">
        <v>0.64</v>
      </c>
      <c r="I112" s="5">
        <v>-0.64</v>
      </c>
    </row>
    <row r="113" ht="15.75" customHeight="1">
      <c r="A113" s="4" t="s">
        <v>432</v>
      </c>
      <c r="B113" s="5" t="s">
        <v>16</v>
      </c>
      <c r="C113" s="6" t="s">
        <v>436</v>
      </c>
      <c r="D113" s="5">
        <v>14.0</v>
      </c>
      <c r="E113" s="5">
        <v>11.0</v>
      </c>
      <c r="F113" s="5">
        <v>0.01</v>
      </c>
      <c r="G113" s="5">
        <v>0.02</v>
      </c>
      <c r="H113" s="5">
        <v>0.14</v>
      </c>
      <c r="I113" s="5">
        <v>0.14</v>
      </c>
    </row>
    <row r="114" ht="15.75" customHeight="1">
      <c r="A114" s="4" t="s">
        <v>438</v>
      </c>
      <c r="B114" s="5" t="s">
        <v>19</v>
      </c>
      <c r="C114" s="6" t="s">
        <v>440</v>
      </c>
      <c r="D114" s="5">
        <v>14.0</v>
      </c>
      <c r="E114" s="5">
        <v>1.0</v>
      </c>
      <c r="F114" s="5">
        <v>0.01</v>
      </c>
      <c r="G114" s="5">
        <v>0.02</v>
      </c>
      <c r="H114" s="5">
        <v>1.5</v>
      </c>
      <c r="I114" s="5">
        <v>1.12</v>
      </c>
    </row>
    <row r="115" ht="15.75" customHeight="1">
      <c r="A115" s="4" t="s">
        <v>441</v>
      </c>
      <c r="B115" s="5" t="s">
        <v>16</v>
      </c>
      <c r="C115" s="6" t="s">
        <v>444</v>
      </c>
      <c r="D115" s="5">
        <v>14.0</v>
      </c>
      <c r="F115" s="5">
        <v>0.01</v>
      </c>
      <c r="G115" s="5">
        <v>0.01</v>
      </c>
      <c r="H115" s="5">
        <v>0.86</v>
      </c>
    </row>
    <row r="116" ht="15.75" customHeight="1">
      <c r="A116" s="4" t="s">
        <v>445</v>
      </c>
      <c r="B116" s="5" t="s">
        <v>19</v>
      </c>
      <c r="C116" s="6" t="s">
        <v>447</v>
      </c>
      <c r="D116" s="5">
        <v>14.0</v>
      </c>
      <c r="F116" s="5">
        <v>0.01</v>
      </c>
      <c r="G116" s="5">
        <v>0.01</v>
      </c>
      <c r="H116" s="5">
        <v>0.71</v>
      </c>
    </row>
    <row r="117" ht="15.75" customHeight="1">
      <c r="A117" s="4" t="s">
        <v>449</v>
      </c>
      <c r="B117" s="5" t="s">
        <v>16</v>
      </c>
      <c r="C117" s="6" t="s">
        <v>451</v>
      </c>
      <c r="D117" s="5">
        <v>14.0</v>
      </c>
      <c r="E117" s="5">
        <v>13.0</v>
      </c>
      <c r="F117" s="5">
        <v>0.01</v>
      </c>
      <c r="G117" s="5">
        <v>0.01</v>
      </c>
      <c r="H117" s="5">
        <v>0.07</v>
      </c>
      <c r="I117" s="5">
        <v>-1.93</v>
      </c>
    </row>
    <row r="118" ht="15.75" customHeight="1">
      <c r="A118" s="4" t="s">
        <v>453</v>
      </c>
      <c r="B118" s="5" t="s">
        <v>19</v>
      </c>
      <c r="C118" s="6" t="s">
        <v>455</v>
      </c>
      <c r="D118" s="5">
        <v>14.0</v>
      </c>
      <c r="F118" s="5">
        <v>0.01</v>
      </c>
      <c r="G118" s="5">
        <v>0.01</v>
      </c>
      <c r="H118" s="5">
        <v>0.29</v>
      </c>
    </row>
    <row r="119" ht="15.75" customHeight="1">
      <c r="A119" s="4" t="s">
        <v>457</v>
      </c>
      <c r="B119" s="5" t="s">
        <v>19</v>
      </c>
      <c r="C119" s="6" t="s">
        <v>458</v>
      </c>
      <c r="D119" s="5">
        <v>14.0</v>
      </c>
      <c r="F119" s="5">
        <v>0.01</v>
      </c>
      <c r="G119" s="5">
        <v>0.01</v>
      </c>
      <c r="H119" s="5">
        <v>0.64</v>
      </c>
    </row>
    <row r="120" ht="15.75" customHeight="1">
      <c r="A120" s="4" t="s">
        <v>460</v>
      </c>
      <c r="B120" s="5" t="s">
        <v>19</v>
      </c>
      <c r="C120" s="6" t="s">
        <v>463</v>
      </c>
      <c r="D120" s="5">
        <v>14.0</v>
      </c>
      <c r="E120" s="5">
        <v>10.0</v>
      </c>
      <c r="F120" s="5">
        <v>0.01</v>
      </c>
      <c r="G120" s="5">
        <v>0.01</v>
      </c>
      <c r="H120" s="5">
        <v>1.14</v>
      </c>
      <c r="I120" s="5">
        <v>0.14</v>
      </c>
    </row>
    <row r="121" ht="15.75" customHeight="1">
      <c r="A121" s="4" t="s">
        <v>464</v>
      </c>
      <c r="B121" s="5" t="s">
        <v>16</v>
      </c>
      <c r="C121" s="6" t="s">
        <v>466</v>
      </c>
      <c r="D121" s="5">
        <v>14.0</v>
      </c>
      <c r="E121" s="5">
        <v>13.0</v>
      </c>
      <c r="F121" s="5">
        <v>0.01</v>
      </c>
      <c r="G121" s="5">
        <v>0.01</v>
      </c>
      <c r="H121" s="5">
        <v>0.14</v>
      </c>
      <c r="I121" s="5">
        <v>0.14</v>
      </c>
    </row>
    <row r="122" ht="15.75" customHeight="1">
      <c r="A122" s="4" t="s">
        <v>468</v>
      </c>
      <c r="B122" s="5" t="s">
        <v>19</v>
      </c>
      <c r="C122" s="6" t="s">
        <v>396</v>
      </c>
      <c r="D122" s="5">
        <v>14.0</v>
      </c>
      <c r="F122" s="5">
        <v>0.01</v>
      </c>
      <c r="G122" s="5">
        <v>0.01</v>
      </c>
      <c r="H122" s="5">
        <v>2.36</v>
      </c>
    </row>
    <row r="123" ht="15.75" customHeight="1">
      <c r="A123" s="4" t="s">
        <v>472</v>
      </c>
      <c r="B123" s="5" t="s">
        <v>19</v>
      </c>
      <c r="C123" s="6" t="s">
        <v>475</v>
      </c>
      <c r="D123" s="5">
        <v>14.0</v>
      </c>
      <c r="E123" s="5">
        <v>12.0</v>
      </c>
      <c r="F123" s="5">
        <v>0.01</v>
      </c>
      <c r="G123" s="5">
        <v>0.01</v>
      </c>
      <c r="H123" s="5">
        <v>1.14</v>
      </c>
      <c r="I123" s="5">
        <v>0.14</v>
      </c>
    </row>
    <row r="124" ht="15.75" customHeight="1">
      <c r="A124" s="4" t="s">
        <v>476</v>
      </c>
      <c r="B124" s="5" t="s">
        <v>81</v>
      </c>
      <c r="C124" s="6" t="s">
        <v>479</v>
      </c>
      <c r="D124" s="5">
        <v>14.0</v>
      </c>
      <c r="E124" s="5">
        <v>-18.0</v>
      </c>
      <c r="F124" s="5">
        <v>0.01</v>
      </c>
      <c r="G124" s="5">
        <v>0.01</v>
      </c>
      <c r="H124" s="5">
        <v>0.93</v>
      </c>
      <c r="I124" s="5">
        <v>-0.6</v>
      </c>
    </row>
    <row r="125" ht="15.75" customHeight="1">
      <c r="A125" s="4" t="s">
        <v>481</v>
      </c>
      <c r="B125" s="5" t="s">
        <v>19</v>
      </c>
      <c r="C125" s="6" t="s">
        <v>396</v>
      </c>
      <c r="D125" s="5">
        <v>13.0</v>
      </c>
      <c r="F125" s="5">
        <v>0.01</v>
      </c>
      <c r="G125" s="5">
        <v>0.03</v>
      </c>
      <c r="H125" s="5">
        <v>1.08</v>
      </c>
    </row>
    <row r="126" ht="15.75" customHeight="1">
      <c r="A126" s="4" t="s">
        <v>483</v>
      </c>
      <c r="B126" s="5" t="s">
        <v>19</v>
      </c>
      <c r="C126" s="6" t="s">
        <v>485</v>
      </c>
      <c r="D126" s="5">
        <v>13.0</v>
      </c>
      <c r="E126" s="5">
        <v>2.0</v>
      </c>
      <c r="F126" s="5">
        <v>0.01</v>
      </c>
      <c r="G126" s="5">
        <v>0.01</v>
      </c>
      <c r="H126" s="5">
        <v>1.38</v>
      </c>
      <c r="I126" s="5">
        <v>-0.07</v>
      </c>
    </row>
    <row r="127" ht="15.75" customHeight="1">
      <c r="A127" s="4" t="s">
        <v>487</v>
      </c>
      <c r="B127" s="5" t="s">
        <v>19</v>
      </c>
      <c r="C127" s="6" t="s">
        <v>489</v>
      </c>
      <c r="D127" s="5">
        <v>13.0</v>
      </c>
      <c r="F127" s="5">
        <v>0.01</v>
      </c>
      <c r="G127" s="5">
        <v>0.01</v>
      </c>
      <c r="H127" s="5">
        <v>1.15</v>
      </c>
    </row>
    <row r="128" ht="15.75" customHeight="1">
      <c r="A128" s="4" t="s">
        <v>492</v>
      </c>
      <c r="B128" s="5" t="s">
        <v>19</v>
      </c>
      <c r="C128" s="6" t="s">
        <v>493</v>
      </c>
      <c r="D128" s="5">
        <v>13.0</v>
      </c>
      <c r="F128" s="5">
        <v>0.01</v>
      </c>
      <c r="G128" s="5">
        <v>0.01</v>
      </c>
      <c r="H128" s="5">
        <v>0.15</v>
      </c>
    </row>
    <row r="129" ht="15.75" customHeight="1">
      <c r="A129" s="4" t="s">
        <v>495</v>
      </c>
      <c r="B129" s="5" t="s">
        <v>19</v>
      </c>
      <c r="C129" s="6" t="s">
        <v>498</v>
      </c>
      <c r="D129" s="5">
        <v>13.0</v>
      </c>
      <c r="E129" s="5">
        <v>4.0</v>
      </c>
      <c r="F129" s="5">
        <v>0.01</v>
      </c>
      <c r="G129" s="5">
        <v>0.01</v>
      </c>
      <c r="H129" s="5">
        <v>0.69</v>
      </c>
      <c r="I129" s="5">
        <v>-0.42</v>
      </c>
    </row>
    <row r="130" ht="15.75" customHeight="1">
      <c r="A130" s="4" t="s">
        <v>500</v>
      </c>
      <c r="B130" s="5" t="s">
        <v>19</v>
      </c>
      <c r="C130" s="6"/>
      <c r="D130" s="5">
        <v>13.0</v>
      </c>
      <c r="E130" s="5">
        <v>10.0</v>
      </c>
      <c r="F130" s="5">
        <v>0.01</v>
      </c>
      <c r="G130" s="5">
        <v>0.01</v>
      </c>
      <c r="H130" s="5">
        <v>1.08</v>
      </c>
      <c r="I130" s="5">
        <v>0.41</v>
      </c>
    </row>
    <row r="131" ht="15.75" customHeight="1">
      <c r="A131" s="4" t="s">
        <v>501</v>
      </c>
      <c r="B131" s="5" t="s">
        <v>23</v>
      </c>
      <c r="C131" s="6" t="s">
        <v>504</v>
      </c>
      <c r="D131" s="5">
        <v>13.0</v>
      </c>
      <c r="F131" s="5">
        <v>0.01</v>
      </c>
      <c r="G131" s="5">
        <v>0.01</v>
      </c>
      <c r="H131" s="5">
        <v>0.15</v>
      </c>
    </row>
    <row r="132" ht="15.75" customHeight="1">
      <c r="A132" s="4" t="s">
        <v>505</v>
      </c>
      <c r="B132" s="5" t="s">
        <v>19</v>
      </c>
      <c r="C132" s="6" t="s">
        <v>507</v>
      </c>
      <c r="D132" s="5">
        <v>13.0</v>
      </c>
      <c r="F132" s="5">
        <v>0.01</v>
      </c>
      <c r="G132" s="5">
        <v>0.01</v>
      </c>
      <c r="H132" s="5">
        <v>3.85</v>
      </c>
    </row>
    <row r="133" ht="15.75" customHeight="1">
      <c r="A133" s="4" t="s">
        <v>508</v>
      </c>
      <c r="B133" s="5" t="s">
        <v>19</v>
      </c>
      <c r="C133" s="6" t="s">
        <v>342</v>
      </c>
      <c r="D133" s="5">
        <v>12.0</v>
      </c>
      <c r="E133" s="5">
        <v>10.0</v>
      </c>
      <c r="F133" s="5">
        <v>0.01</v>
      </c>
      <c r="G133" s="5">
        <v>0.02</v>
      </c>
      <c r="H133" s="5">
        <v>1.42</v>
      </c>
      <c r="I133" s="5">
        <v>0.42</v>
      </c>
    </row>
    <row r="134" ht="15.75" customHeight="1">
      <c r="A134" s="5" t="s">
        <v>511</v>
      </c>
      <c r="B134" s="5" t="s">
        <v>23</v>
      </c>
      <c r="C134" s="6" t="s">
        <v>512</v>
      </c>
      <c r="D134" s="5">
        <v>12.0</v>
      </c>
      <c r="E134" s="5">
        <v>9.0</v>
      </c>
      <c r="F134" s="5">
        <v>0.01</v>
      </c>
      <c r="G134" s="5">
        <v>0.01</v>
      </c>
      <c r="H134" s="5">
        <v>1.42</v>
      </c>
      <c r="I134" s="5">
        <v>0.75</v>
      </c>
    </row>
    <row r="135" ht="15.75" customHeight="1">
      <c r="A135" s="4" t="s">
        <v>514</v>
      </c>
      <c r="B135" s="5" t="s">
        <v>19</v>
      </c>
      <c r="C135" s="6" t="s">
        <v>516</v>
      </c>
      <c r="D135" s="5">
        <v>12.0</v>
      </c>
      <c r="F135" s="5">
        <v>0.01</v>
      </c>
      <c r="G135" s="5">
        <v>0.01</v>
      </c>
      <c r="H135" s="5">
        <v>1.0</v>
      </c>
    </row>
    <row r="136" ht="15.75" customHeight="1">
      <c r="A136" s="5" t="s">
        <v>518</v>
      </c>
      <c r="B136" s="5" t="s">
        <v>19</v>
      </c>
      <c r="C136" s="6" t="s">
        <v>519</v>
      </c>
      <c r="D136" s="5">
        <v>12.0</v>
      </c>
      <c r="F136" s="5">
        <v>0.01</v>
      </c>
      <c r="G136" s="5">
        <v>0.01</v>
      </c>
      <c r="H136" s="5">
        <v>0.0</v>
      </c>
    </row>
    <row r="137" ht="15.75" customHeight="1">
      <c r="A137" s="4" t="s">
        <v>520</v>
      </c>
      <c r="B137" s="5" t="s">
        <v>19</v>
      </c>
      <c r="C137" s="6" t="s">
        <v>522</v>
      </c>
      <c r="D137" s="5">
        <v>12.0</v>
      </c>
      <c r="F137" s="5">
        <v>0.01</v>
      </c>
      <c r="G137" s="5">
        <v>0.01</v>
      </c>
      <c r="H137" s="5">
        <v>0.25</v>
      </c>
    </row>
    <row r="138" ht="15.75" customHeight="1">
      <c r="A138" s="4" t="s">
        <v>523</v>
      </c>
      <c r="B138" s="5" t="s">
        <v>16</v>
      </c>
      <c r="C138" s="6" t="s">
        <v>525</v>
      </c>
      <c r="D138" s="5">
        <v>12.0</v>
      </c>
      <c r="F138" s="5">
        <v>0.01</v>
      </c>
      <c r="G138" s="5">
        <v>0.01</v>
      </c>
      <c r="H138" s="5">
        <v>0.0</v>
      </c>
    </row>
    <row r="139" ht="15.75" customHeight="1">
      <c r="A139" s="4" t="s">
        <v>526</v>
      </c>
      <c r="B139" s="5" t="s">
        <v>19</v>
      </c>
      <c r="C139" s="6"/>
      <c r="D139" s="5">
        <v>12.0</v>
      </c>
      <c r="F139" s="5">
        <v>0.01</v>
      </c>
      <c r="G139" s="5">
        <v>0.01</v>
      </c>
      <c r="H139" s="5">
        <v>0.92</v>
      </c>
    </row>
    <row r="140" ht="15.75" customHeight="1">
      <c r="A140" s="4" t="s">
        <v>529</v>
      </c>
      <c r="B140" s="5" t="s">
        <v>19</v>
      </c>
      <c r="C140" s="6" t="s">
        <v>531</v>
      </c>
      <c r="D140" s="5">
        <v>12.0</v>
      </c>
      <c r="F140" s="5">
        <v>0.01</v>
      </c>
      <c r="G140" s="5">
        <v>0.01</v>
      </c>
      <c r="H140" s="5">
        <v>1.17</v>
      </c>
    </row>
    <row r="141" ht="15.75" customHeight="1">
      <c r="A141" s="4" t="s">
        <v>533</v>
      </c>
      <c r="B141" s="5" t="s">
        <v>23</v>
      </c>
      <c r="C141" s="6" t="s">
        <v>536</v>
      </c>
      <c r="D141" s="5">
        <v>11.0</v>
      </c>
      <c r="E141" s="5">
        <v>-25.0</v>
      </c>
      <c r="F141" s="5">
        <v>0.01</v>
      </c>
      <c r="G141" s="5">
        <v>0.01</v>
      </c>
      <c r="H141" s="5">
        <v>1.73</v>
      </c>
      <c r="I141" s="5">
        <v>0.23</v>
      </c>
    </row>
    <row r="142" ht="15.75" customHeight="1">
      <c r="A142" s="4" t="s">
        <v>537</v>
      </c>
      <c r="B142" s="5" t="s">
        <v>19</v>
      </c>
      <c r="C142" s="6" t="s">
        <v>540</v>
      </c>
      <c r="D142" s="5">
        <v>11.0</v>
      </c>
      <c r="F142" s="5">
        <v>0.01</v>
      </c>
      <c r="G142" s="5">
        <v>0.01</v>
      </c>
      <c r="H142" s="5">
        <v>0.36</v>
      </c>
    </row>
    <row r="143" ht="15.75" customHeight="1">
      <c r="A143" s="4" t="s">
        <v>542</v>
      </c>
      <c r="B143" s="5" t="s">
        <v>19</v>
      </c>
      <c r="C143" s="6"/>
      <c r="D143" s="5">
        <v>11.0</v>
      </c>
      <c r="F143" s="5">
        <v>0.01</v>
      </c>
      <c r="G143" s="5">
        <v>0.01</v>
      </c>
      <c r="H143" s="5">
        <v>0.91</v>
      </c>
    </row>
    <row r="144" ht="15.75" customHeight="1">
      <c r="A144" s="4" t="s">
        <v>544</v>
      </c>
      <c r="B144" s="5" t="s">
        <v>19</v>
      </c>
      <c r="C144" s="6" t="s">
        <v>396</v>
      </c>
      <c r="D144" s="5">
        <v>11.0</v>
      </c>
      <c r="F144" s="5">
        <v>0.01</v>
      </c>
      <c r="G144" s="5">
        <v>0.01</v>
      </c>
      <c r="H144" s="5">
        <v>1.0</v>
      </c>
    </row>
    <row r="145" ht="15.75" customHeight="1">
      <c r="A145" s="4" t="s">
        <v>547</v>
      </c>
      <c r="B145" s="5" t="s">
        <v>19</v>
      </c>
      <c r="C145" s="6" t="s">
        <v>548</v>
      </c>
      <c r="D145" s="5">
        <v>11.0</v>
      </c>
      <c r="F145" s="5">
        <v>0.01</v>
      </c>
      <c r="G145" s="5">
        <v>0.01</v>
      </c>
      <c r="H145" s="5">
        <v>0.73</v>
      </c>
    </row>
    <row r="146" ht="15.75" customHeight="1">
      <c r="A146" s="4" t="s">
        <v>550</v>
      </c>
      <c r="B146" s="5" t="s">
        <v>16</v>
      </c>
      <c r="C146" s="6" t="s">
        <v>553</v>
      </c>
      <c r="D146" s="5">
        <v>10.0</v>
      </c>
      <c r="E146" s="5">
        <v>0.0</v>
      </c>
      <c r="F146" s="5">
        <v>0.01</v>
      </c>
      <c r="G146" s="5">
        <v>0.02</v>
      </c>
      <c r="H146" s="5">
        <v>0.4</v>
      </c>
      <c r="I146" s="5">
        <v>-1.1</v>
      </c>
    </row>
    <row r="147" ht="15.75" customHeight="1">
      <c r="A147" s="4" t="s">
        <v>554</v>
      </c>
      <c r="B147" s="5" t="s">
        <v>19</v>
      </c>
      <c r="C147" s="6" t="s">
        <v>557</v>
      </c>
      <c r="D147" s="5">
        <v>10.0</v>
      </c>
      <c r="F147" s="5">
        <v>0.01</v>
      </c>
      <c r="G147" s="5">
        <v>0.01</v>
      </c>
      <c r="H147" s="5">
        <v>1.3</v>
      </c>
    </row>
    <row r="148" ht="15.75" customHeight="1">
      <c r="A148" s="4" t="s">
        <v>559</v>
      </c>
      <c r="B148" s="5" t="s">
        <v>23</v>
      </c>
      <c r="C148" s="6" t="s">
        <v>560</v>
      </c>
      <c r="D148" s="5">
        <v>10.0</v>
      </c>
      <c r="F148" s="5">
        <v>0.01</v>
      </c>
      <c r="G148" s="5">
        <v>0.01</v>
      </c>
      <c r="H148" s="5">
        <v>1.8</v>
      </c>
    </row>
    <row r="149" ht="15.75" customHeight="1">
      <c r="A149" s="4" t="s">
        <v>562</v>
      </c>
      <c r="B149" s="5" t="s">
        <v>19</v>
      </c>
      <c r="C149" s="6"/>
      <c r="D149" s="5">
        <v>10.0</v>
      </c>
      <c r="F149" s="5">
        <v>0.01</v>
      </c>
      <c r="G149" s="5">
        <v>0.01</v>
      </c>
      <c r="H149" s="5">
        <v>0.3</v>
      </c>
    </row>
    <row r="150" ht="15.75" customHeight="1">
      <c r="A150" s="4" t="s">
        <v>565</v>
      </c>
      <c r="B150" s="5" t="s">
        <v>19</v>
      </c>
      <c r="C150" s="6"/>
      <c r="D150" s="5">
        <v>10.0</v>
      </c>
      <c r="F150" s="5">
        <v>0.01</v>
      </c>
      <c r="G150" s="5">
        <v>0.01</v>
      </c>
      <c r="H150" s="5">
        <v>0.1</v>
      </c>
    </row>
    <row r="151" ht="15.75" customHeight="1">
      <c r="A151" s="4" t="s">
        <v>567</v>
      </c>
      <c r="B151" s="5" t="s">
        <v>19</v>
      </c>
      <c r="C151" s="6" t="s">
        <v>568</v>
      </c>
      <c r="D151" s="5">
        <v>10.0</v>
      </c>
      <c r="F151" s="5">
        <v>0.01</v>
      </c>
      <c r="G151" s="5">
        <v>0.01</v>
      </c>
      <c r="H151" s="5">
        <v>0.2</v>
      </c>
    </row>
    <row r="152" ht="15.75" customHeight="1">
      <c r="A152" s="4" t="s">
        <v>571</v>
      </c>
      <c r="B152" s="5" t="s">
        <v>16</v>
      </c>
      <c r="C152" s="6" t="s">
        <v>572</v>
      </c>
      <c r="D152" s="5">
        <v>10.0</v>
      </c>
      <c r="F152" s="5">
        <v>0.01</v>
      </c>
      <c r="G152" s="5">
        <v>0.01</v>
      </c>
      <c r="H152" s="5">
        <v>0.0</v>
      </c>
    </row>
    <row r="153" ht="15.75" customHeight="1">
      <c r="A153" s="4" t="s">
        <v>574</v>
      </c>
      <c r="B153" s="5" t="s">
        <v>19</v>
      </c>
      <c r="C153" s="6" t="s">
        <v>575</v>
      </c>
      <c r="D153" s="5">
        <v>10.0</v>
      </c>
      <c r="F153" s="5">
        <v>0.01</v>
      </c>
      <c r="G153" s="5">
        <v>0.01</v>
      </c>
      <c r="H153" s="5">
        <v>0.9</v>
      </c>
    </row>
    <row r="154" ht="15.75" customHeight="1">
      <c r="A154" s="4" t="s">
        <v>577</v>
      </c>
      <c r="B154" s="5" t="s">
        <v>19</v>
      </c>
      <c r="C154" s="6" t="s">
        <v>579</v>
      </c>
      <c r="D154" s="5">
        <v>10.0</v>
      </c>
      <c r="E154" s="5">
        <v>1.0</v>
      </c>
      <c r="F154" s="5">
        <v>0.01</v>
      </c>
      <c r="G154" s="5">
        <v>0.01</v>
      </c>
      <c r="H154" s="5">
        <v>0.1</v>
      </c>
      <c r="I154" s="5">
        <v>-1.68</v>
      </c>
    </row>
    <row r="155" ht="15.75" customHeight="1">
      <c r="A155" s="4" t="s">
        <v>580</v>
      </c>
      <c r="B155" s="5" t="s">
        <v>19</v>
      </c>
      <c r="C155" s="6" t="s">
        <v>583</v>
      </c>
      <c r="D155" s="5">
        <v>10.0</v>
      </c>
      <c r="E155" s="5">
        <v>3.0</v>
      </c>
      <c r="F155" s="5">
        <v>0.01</v>
      </c>
      <c r="G155" s="5">
        <v>0.01</v>
      </c>
      <c r="H155" s="5">
        <v>0.0</v>
      </c>
      <c r="I155" s="5">
        <v>-0.43</v>
      </c>
    </row>
    <row r="156" ht="15.75" customHeight="1">
      <c r="A156" s="4" t="s">
        <v>584</v>
      </c>
      <c r="B156" s="5" t="s">
        <v>85</v>
      </c>
      <c r="C156" s="6"/>
      <c r="D156" s="5">
        <v>10.0</v>
      </c>
      <c r="E156" s="5">
        <v>9.0</v>
      </c>
      <c r="F156" s="5">
        <v>0.01</v>
      </c>
      <c r="G156" s="5">
        <v>0.01</v>
      </c>
      <c r="H156" s="5">
        <v>0.0</v>
      </c>
      <c r="I156" s="5">
        <v>0.0</v>
      </c>
    </row>
    <row r="157" ht="15.75" customHeight="1">
      <c r="A157" s="4" t="s">
        <v>587</v>
      </c>
      <c r="B157" s="5" t="s">
        <v>19</v>
      </c>
      <c r="C157" s="6" t="s">
        <v>588</v>
      </c>
      <c r="D157" s="5">
        <v>10.0</v>
      </c>
      <c r="F157" s="5">
        <v>0.01</v>
      </c>
      <c r="G157" s="5">
        <v>0.01</v>
      </c>
      <c r="H157" s="5">
        <v>0.0</v>
      </c>
    </row>
    <row r="158" ht="15.75" customHeight="1">
      <c r="A158" s="4" t="s">
        <v>590</v>
      </c>
      <c r="B158" s="5" t="s">
        <v>19</v>
      </c>
      <c r="C158" s="6"/>
      <c r="D158" s="5">
        <v>10.0</v>
      </c>
      <c r="E158" s="5">
        <v>8.0</v>
      </c>
      <c r="F158" s="5">
        <v>0.01</v>
      </c>
      <c r="G158" s="5">
        <v>0.01</v>
      </c>
      <c r="H158" s="5">
        <v>1.5</v>
      </c>
      <c r="I158" s="5">
        <v>1.5</v>
      </c>
    </row>
    <row r="159" ht="15.75" customHeight="1">
      <c r="A159" s="4" t="s">
        <v>593</v>
      </c>
      <c r="B159" s="5" t="s">
        <v>19</v>
      </c>
      <c r="C159" s="6" t="s">
        <v>594</v>
      </c>
      <c r="D159" s="5">
        <v>10.0</v>
      </c>
      <c r="F159" s="5">
        <v>0.01</v>
      </c>
      <c r="G159" s="5">
        <v>0.01</v>
      </c>
      <c r="H159" s="5">
        <v>0.2</v>
      </c>
    </row>
    <row r="160" ht="15.75" customHeight="1">
      <c r="A160" s="4" t="s">
        <v>597</v>
      </c>
      <c r="B160" s="5" t="s">
        <v>19</v>
      </c>
      <c r="C160" s="6" t="s">
        <v>599</v>
      </c>
      <c r="D160" s="5">
        <v>10.0</v>
      </c>
      <c r="E160" s="5">
        <v>9.0</v>
      </c>
      <c r="F160" s="5">
        <v>0.01</v>
      </c>
      <c r="G160" s="5">
        <v>0.01</v>
      </c>
      <c r="H160" s="5">
        <v>0.1</v>
      </c>
      <c r="I160" s="5">
        <v>0.1</v>
      </c>
    </row>
    <row r="161" ht="15.75" customHeight="1">
      <c r="A161" s="4" t="s">
        <v>602</v>
      </c>
      <c r="B161" s="5" t="s">
        <v>165</v>
      </c>
      <c r="C161" s="6"/>
      <c r="D161" s="5">
        <v>10.0</v>
      </c>
      <c r="F161" s="5">
        <v>0.01</v>
      </c>
      <c r="G161" s="5">
        <v>0.01</v>
      </c>
      <c r="H161" s="5">
        <v>0.2</v>
      </c>
    </row>
    <row r="162" ht="15.75" customHeight="1">
      <c r="A162" s="4" t="s">
        <v>604</v>
      </c>
      <c r="B162" s="5" t="s">
        <v>19</v>
      </c>
      <c r="C162" s="6" t="s">
        <v>605</v>
      </c>
      <c r="D162" s="5">
        <v>9.0</v>
      </c>
      <c r="F162" s="5">
        <v>0.01</v>
      </c>
      <c r="G162" s="5">
        <v>0.01</v>
      </c>
      <c r="H162" s="5">
        <v>1.0</v>
      </c>
    </row>
    <row r="163" ht="15.75" customHeight="1">
      <c r="A163" s="4" t="s">
        <v>607</v>
      </c>
      <c r="B163" s="5" t="s">
        <v>23</v>
      </c>
      <c r="C163" s="6" t="s">
        <v>609</v>
      </c>
      <c r="D163" s="5">
        <v>9.0</v>
      </c>
      <c r="E163" s="5">
        <v>3.0</v>
      </c>
      <c r="F163" s="5">
        <v>0.01</v>
      </c>
      <c r="G163" s="5">
        <v>0.01</v>
      </c>
      <c r="H163" s="5">
        <v>1.22</v>
      </c>
      <c r="I163" s="5">
        <v>0.39</v>
      </c>
    </row>
    <row r="164" ht="15.75" customHeight="1">
      <c r="A164" s="4" t="s">
        <v>611</v>
      </c>
      <c r="B164" s="5" t="s">
        <v>19</v>
      </c>
      <c r="C164" s="6"/>
      <c r="D164" s="5">
        <v>9.0</v>
      </c>
      <c r="F164" s="5">
        <v>0.01</v>
      </c>
      <c r="G164" s="5">
        <v>0.01</v>
      </c>
      <c r="H164" s="5">
        <v>0.0</v>
      </c>
    </row>
    <row r="165" ht="15.75" customHeight="1">
      <c r="A165" s="4" t="s">
        <v>613</v>
      </c>
      <c r="B165" s="5" t="s">
        <v>23</v>
      </c>
      <c r="C165" s="6" t="s">
        <v>615</v>
      </c>
      <c r="D165" s="5">
        <v>9.0</v>
      </c>
      <c r="E165" s="5">
        <v>3.0</v>
      </c>
      <c r="F165" s="5">
        <v>0.01</v>
      </c>
      <c r="G165" s="5">
        <v>0.01</v>
      </c>
      <c r="H165" s="5">
        <v>1.11</v>
      </c>
      <c r="I165" s="5">
        <v>-1.22</v>
      </c>
    </row>
    <row r="166" ht="15.75" customHeight="1">
      <c r="A166" s="4" t="s">
        <v>617</v>
      </c>
      <c r="B166" s="5" t="s">
        <v>165</v>
      </c>
      <c r="C166" s="6" t="s">
        <v>619</v>
      </c>
      <c r="D166" s="5">
        <v>9.0</v>
      </c>
      <c r="E166" s="5">
        <v>7.0</v>
      </c>
      <c r="F166" s="5">
        <v>0.01</v>
      </c>
      <c r="G166" s="5">
        <v>0.01</v>
      </c>
      <c r="H166" s="5">
        <v>2.0</v>
      </c>
      <c r="I166" s="5">
        <v>0.0</v>
      </c>
    </row>
    <row r="167" ht="15.75" customHeight="1">
      <c r="A167" s="4" t="s">
        <v>621</v>
      </c>
      <c r="B167" s="5" t="s">
        <v>19</v>
      </c>
      <c r="C167" s="6" t="s">
        <v>623</v>
      </c>
      <c r="D167" s="5">
        <v>9.0</v>
      </c>
      <c r="F167" s="5">
        <v>0.01</v>
      </c>
      <c r="G167" s="5">
        <v>0.01</v>
      </c>
      <c r="H167" s="5">
        <v>0.0</v>
      </c>
    </row>
    <row r="168" ht="15.75" customHeight="1">
      <c r="A168" s="4" t="s">
        <v>624</v>
      </c>
      <c r="B168" s="5" t="s">
        <v>85</v>
      </c>
      <c r="C168" s="6" t="s">
        <v>627</v>
      </c>
      <c r="D168" s="5">
        <v>9.0</v>
      </c>
      <c r="E168" s="5">
        <v>8.0</v>
      </c>
      <c r="F168" s="5">
        <v>0.01</v>
      </c>
      <c r="G168" s="5">
        <v>0.01</v>
      </c>
      <c r="H168" s="5">
        <v>0.11</v>
      </c>
      <c r="I168" s="5">
        <v>0.11</v>
      </c>
    </row>
    <row r="169" ht="15.75" customHeight="1">
      <c r="A169" s="4" t="s">
        <v>628</v>
      </c>
      <c r="B169" s="5" t="s">
        <v>19</v>
      </c>
      <c r="C169" s="6" t="s">
        <v>631</v>
      </c>
      <c r="D169" s="5">
        <v>9.0</v>
      </c>
      <c r="E169" s="5">
        <v>8.0</v>
      </c>
      <c r="F169" s="5">
        <v>0.01</v>
      </c>
      <c r="G169" s="5">
        <v>0.01</v>
      </c>
      <c r="H169" s="5">
        <v>0.0</v>
      </c>
      <c r="I169" s="5">
        <v>0.0</v>
      </c>
    </row>
    <row r="170" ht="15.75" customHeight="1">
      <c r="A170" s="4" t="s">
        <v>633</v>
      </c>
      <c r="B170" s="5" t="s">
        <v>85</v>
      </c>
      <c r="C170" s="6" t="s">
        <v>634</v>
      </c>
      <c r="D170" s="5">
        <v>9.0</v>
      </c>
      <c r="F170" s="5">
        <v>0.01</v>
      </c>
      <c r="G170" s="5">
        <v>0.01</v>
      </c>
      <c r="H170" s="5">
        <v>0.0</v>
      </c>
    </row>
    <row r="171" ht="15.75" customHeight="1">
      <c r="A171" s="4" t="s">
        <v>636</v>
      </c>
      <c r="B171" s="5" t="s">
        <v>19</v>
      </c>
      <c r="C171" s="6" t="s">
        <v>639</v>
      </c>
      <c r="D171" s="5">
        <v>8.0</v>
      </c>
      <c r="F171" s="5">
        <v>0.01</v>
      </c>
      <c r="G171" s="5">
        <v>0.01</v>
      </c>
      <c r="H171" s="5">
        <v>1.13</v>
      </c>
    </row>
    <row r="172" ht="15.75" customHeight="1">
      <c r="A172" s="4" t="s">
        <v>640</v>
      </c>
      <c r="B172" s="5" t="s">
        <v>19</v>
      </c>
      <c r="C172" s="6" t="s">
        <v>643</v>
      </c>
      <c r="D172" s="5">
        <v>8.0</v>
      </c>
      <c r="F172" s="5">
        <v>0.01</v>
      </c>
      <c r="G172" s="5">
        <v>0.01</v>
      </c>
      <c r="H172" s="5">
        <v>0.88</v>
      </c>
    </row>
    <row r="173" ht="15.75" customHeight="1">
      <c r="A173" s="4" t="s">
        <v>645</v>
      </c>
      <c r="B173" s="5" t="s">
        <v>19</v>
      </c>
      <c r="C173" s="6" t="s">
        <v>646</v>
      </c>
      <c r="D173" s="5">
        <v>8.0</v>
      </c>
      <c r="E173" s="5">
        <v>5.0</v>
      </c>
      <c r="F173" s="5">
        <v>0.01</v>
      </c>
      <c r="G173" s="5">
        <v>0.01</v>
      </c>
      <c r="H173" s="5">
        <v>1.25</v>
      </c>
      <c r="I173" s="5">
        <v>0.25</v>
      </c>
    </row>
    <row r="174" ht="15.75" customHeight="1">
      <c r="A174" s="4" t="s">
        <v>648</v>
      </c>
      <c r="B174" s="5" t="s">
        <v>19</v>
      </c>
      <c r="C174" s="6" t="s">
        <v>649</v>
      </c>
      <c r="D174" s="5">
        <v>8.0</v>
      </c>
      <c r="F174" s="5">
        <v>0.01</v>
      </c>
      <c r="G174" s="5">
        <v>0.01</v>
      </c>
      <c r="H174" s="5">
        <v>1.63</v>
      </c>
    </row>
    <row r="175" ht="15.75" customHeight="1">
      <c r="A175" s="4" t="s">
        <v>651</v>
      </c>
      <c r="B175" s="5" t="s">
        <v>19</v>
      </c>
      <c r="C175" s="6" t="s">
        <v>653</v>
      </c>
      <c r="D175" s="5">
        <v>8.0</v>
      </c>
      <c r="F175" s="5">
        <v>0.01</v>
      </c>
      <c r="G175" s="5">
        <v>0.01</v>
      </c>
      <c r="H175" s="5">
        <v>0.5</v>
      </c>
    </row>
    <row r="176" ht="15.75" customHeight="1">
      <c r="A176" s="4" t="s">
        <v>655</v>
      </c>
      <c r="B176" s="5" t="s">
        <v>19</v>
      </c>
      <c r="C176" s="6" t="s">
        <v>657</v>
      </c>
      <c r="D176" s="5">
        <v>8.0</v>
      </c>
      <c r="E176" s="5">
        <v>7.0</v>
      </c>
      <c r="F176" s="5">
        <v>0.01</v>
      </c>
      <c r="G176" s="5">
        <v>0.01</v>
      </c>
      <c r="H176" s="5">
        <v>0.0</v>
      </c>
      <c r="I176" s="5">
        <v>0.0</v>
      </c>
    </row>
    <row r="177" ht="15.75" customHeight="1">
      <c r="A177" s="4" t="s">
        <v>659</v>
      </c>
      <c r="B177" s="5" t="s">
        <v>19</v>
      </c>
      <c r="C177" s="6"/>
      <c r="D177" s="5">
        <v>8.0</v>
      </c>
      <c r="E177" s="5">
        <v>7.0</v>
      </c>
      <c r="F177" s="5">
        <v>0.01</v>
      </c>
      <c r="G177" s="5">
        <v>0.01</v>
      </c>
      <c r="H177" s="5">
        <v>0.0</v>
      </c>
      <c r="I177" s="5">
        <v>0.0</v>
      </c>
    </row>
    <row r="178" ht="15.75" customHeight="1">
      <c r="A178" s="4" t="s">
        <v>778</v>
      </c>
      <c r="B178" s="5" t="s">
        <v>19</v>
      </c>
      <c r="C178" s="6"/>
      <c r="D178" s="5">
        <v>8.0</v>
      </c>
      <c r="F178" s="5">
        <v>0.01</v>
      </c>
      <c r="G178" s="5">
        <v>0.01</v>
      </c>
      <c r="H178" s="5">
        <v>0.5</v>
      </c>
    </row>
    <row r="179" ht="15.75" customHeight="1">
      <c r="A179" s="4" t="s">
        <v>782</v>
      </c>
      <c r="B179" s="5" t="s">
        <v>19</v>
      </c>
      <c r="C179" s="6" t="s">
        <v>784</v>
      </c>
      <c r="D179" s="5">
        <v>8.0</v>
      </c>
      <c r="F179" s="5">
        <v>0.01</v>
      </c>
      <c r="G179" s="5">
        <v>0.01</v>
      </c>
      <c r="H179" s="5">
        <v>0.38</v>
      </c>
    </row>
    <row r="180" ht="15.75" customHeight="1">
      <c r="A180" s="4" t="s">
        <v>785</v>
      </c>
      <c r="B180" s="5" t="s">
        <v>19</v>
      </c>
      <c r="C180" s="6" t="s">
        <v>786</v>
      </c>
      <c r="D180" s="5">
        <v>8.0</v>
      </c>
      <c r="F180" s="5">
        <v>0.01</v>
      </c>
      <c r="G180" s="5">
        <v>0.01</v>
      </c>
      <c r="H180" s="5">
        <v>1.0</v>
      </c>
    </row>
    <row r="181" ht="15.75" customHeight="1">
      <c r="A181" s="4" t="s">
        <v>788</v>
      </c>
      <c r="B181" s="5" t="s">
        <v>19</v>
      </c>
      <c r="C181" s="6"/>
      <c r="D181" s="5">
        <v>8.0</v>
      </c>
      <c r="F181" s="5">
        <v>0.01</v>
      </c>
      <c r="G181" s="5">
        <v>0.01</v>
      </c>
      <c r="H181" s="5">
        <v>1.0</v>
      </c>
    </row>
    <row r="182" ht="15.75" customHeight="1">
      <c r="A182" s="4" t="s">
        <v>790</v>
      </c>
      <c r="B182" s="5" t="s">
        <v>19</v>
      </c>
      <c r="C182" s="6" t="s">
        <v>791</v>
      </c>
      <c r="D182" s="5">
        <v>8.0</v>
      </c>
      <c r="F182" s="5">
        <v>0.01</v>
      </c>
      <c r="G182" s="5">
        <v>0.01</v>
      </c>
      <c r="H182" s="5">
        <v>0.13</v>
      </c>
    </row>
    <row r="183" ht="15.75" customHeight="1">
      <c r="A183" s="4" t="s">
        <v>793</v>
      </c>
      <c r="B183" s="5" t="s">
        <v>19</v>
      </c>
      <c r="C183" s="6"/>
      <c r="D183" s="5">
        <v>8.0</v>
      </c>
      <c r="F183" s="5">
        <v>0.01</v>
      </c>
      <c r="G183" s="5">
        <v>0.01</v>
      </c>
      <c r="H183" s="5">
        <v>1.13</v>
      </c>
    </row>
    <row r="184" ht="15.75" customHeight="1">
      <c r="A184" s="4" t="s">
        <v>795</v>
      </c>
      <c r="B184" s="5" t="s">
        <v>165</v>
      </c>
      <c r="C184" s="6" t="s">
        <v>797</v>
      </c>
      <c r="D184" s="5">
        <v>8.0</v>
      </c>
      <c r="E184" s="5">
        <v>7.0</v>
      </c>
      <c r="F184" s="5">
        <v>0.01</v>
      </c>
      <c r="G184" s="5">
        <v>0.01</v>
      </c>
      <c r="H184" s="5">
        <v>2.0</v>
      </c>
      <c r="I184" s="5">
        <v>0.0</v>
      </c>
    </row>
    <row r="185" ht="15.75" customHeight="1">
      <c r="A185" s="4" t="s">
        <v>798</v>
      </c>
      <c r="B185" s="5" t="s">
        <v>85</v>
      </c>
      <c r="C185" s="6"/>
      <c r="D185" s="5">
        <v>8.0</v>
      </c>
      <c r="E185" s="5">
        <v>7.0</v>
      </c>
      <c r="F185" s="5">
        <v>0.01</v>
      </c>
      <c r="G185" s="5">
        <v>0.01</v>
      </c>
      <c r="H185" s="5">
        <v>0.25</v>
      </c>
      <c r="I185" s="5">
        <v>0.25</v>
      </c>
    </row>
    <row r="186" ht="15.75" customHeight="1">
      <c r="A186" s="4" t="s">
        <v>800</v>
      </c>
      <c r="B186" s="5" t="s">
        <v>19</v>
      </c>
      <c r="C186" s="6" t="s">
        <v>802</v>
      </c>
      <c r="D186" s="5">
        <v>8.0</v>
      </c>
      <c r="F186" s="5">
        <v>0.01</v>
      </c>
      <c r="G186" s="5">
        <v>0.01</v>
      </c>
      <c r="H186" s="5">
        <v>1.75</v>
      </c>
    </row>
    <row r="187" ht="15.75" customHeight="1">
      <c r="A187" s="4" t="s">
        <v>803</v>
      </c>
      <c r="B187" s="5" t="s">
        <v>19</v>
      </c>
      <c r="C187" s="6"/>
      <c r="D187" s="5">
        <v>7.0</v>
      </c>
      <c r="E187" s="5">
        <v>1.0</v>
      </c>
      <c r="F187" s="5">
        <v>0.01</v>
      </c>
      <c r="G187" s="5">
        <v>0.01</v>
      </c>
      <c r="H187" s="5">
        <v>2.14</v>
      </c>
      <c r="I187" s="5">
        <v>1.48</v>
      </c>
    </row>
    <row r="188" ht="15.75" customHeight="1">
      <c r="A188" s="4" t="s">
        <v>806</v>
      </c>
      <c r="B188" s="5" t="s">
        <v>19</v>
      </c>
      <c r="C188" s="6"/>
      <c r="D188" s="5">
        <v>7.0</v>
      </c>
      <c r="F188" s="5">
        <v>0.01</v>
      </c>
      <c r="G188" s="5">
        <v>0.01</v>
      </c>
      <c r="H188" s="5">
        <v>1.14</v>
      </c>
    </row>
    <row r="189" ht="15.75" customHeight="1">
      <c r="A189" s="4" t="s">
        <v>808</v>
      </c>
      <c r="B189" s="5" t="s">
        <v>19</v>
      </c>
      <c r="C189" s="6" t="s">
        <v>399</v>
      </c>
      <c r="D189" s="5">
        <v>7.0</v>
      </c>
      <c r="F189" s="5">
        <v>0.01</v>
      </c>
      <c r="G189" s="5">
        <v>0.01</v>
      </c>
      <c r="H189" s="5">
        <v>0.29</v>
      </c>
    </row>
    <row r="190" ht="15.75" customHeight="1">
      <c r="A190" s="5" t="s">
        <v>810</v>
      </c>
      <c r="B190" s="5" t="s">
        <v>23</v>
      </c>
      <c r="C190" s="6" t="s">
        <v>811</v>
      </c>
      <c r="D190" s="5">
        <v>7.0</v>
      </c>
      <c r="F190" s="5">
        <v>0.01</v>
      </c>
      <c r="G190" s="5">
        <v>0.01</v>
      </c>
      <c r="H190" s="5">
        <v>1.0</v>
      </c>
    </row>
    <row r="191" ht="15.75" customHeight="1">
      <c r="A191" s="4" t="s">
        <v>812</v>
      </c>
      <c r="B191" s="5" t="s">
        <v>19</v>
      </c>
      <c r="C191" s="6" t="s">
        <v>815</v>
      </c>
      <c r="D191" s="5">
        <v>7.0</v>
      </c>
      <c r="F191" s="5">
        <v>0.01</v>
      </c>
      <c r="G191" s="5">
        <v>0.01</v>
      </c>
      <c r="H191" s="5">
        <v>0.57</v>
      </c>
    </row>
    <row r="192" ht="15.75" customHeight="1">
      <c r="A192" s="4" t="s">
        <v>816</v>
      </c>
      <c r="B192" s="5" t="s">
        <v>19</v>
      </c>
      <c r="C192" s="6" t="s">
        <v>819</v>
      </c>
      <c r="D192" s="5">
        <v>7.0</v>
      </c>
      <c r="F192" s="5">
        <v>0.01</v>
      </c>
      <c r="G192" s="5">
        <v>0.01</v>
      </c>
      <c r="H192" s="5">
        <v>1.29</v>
      </c>
    </row>
    <row r="193" ht="15.75" customHeight="1">
      <c r="A193" s="4" t="s">
        <v>820</v>
      </c>
      <c r="B193" s="5" t="s">
        <v>19</v>
      </c>
      <c r="C193" s="6"/>
      <c r="D193" s="5">
        <v>7.0</v>
      </c>
      <c r="F193" s="5">
        <v>0.01</v>
      </c>
      <c r="G193" s="5">
        <v>0.01</v>
      </c>
      <c r="H193" s="5">
        <v>0.29</v>
      </c>
    </row>
    <row r="194" ht="15.75" customHeight="1">
      <c r="A194" s="4" t="s">
        <v>822</v>
      </c>
      <c r="B194" s="5" t="s">
        <v>19</v>
      </c>
      <c r="C194" s="6" t="s">
        <v>342</v>
      </c>
      <c r="D194" s="5">
        <v>7.0</v>
      </c>
      <c r="E194" s="5">
        <v>5.0</v>
      </c>
      <c r="F194" s="5">
        <v>0.01</v>
      </c>
      <c r="G194" s="5">
        <v>0.01</v>
      </c>
      <c r="H194" s="5">
        <v>0.57</v>
      </c>
      <c r="I194" s="5">
        <v>-0.43</v>
      </c>
    </row>
    <row r="195" ht="15.75" customHeight="1">
      <c r="A195" s="4" t="s">
        <v>825</v>
      </c>
      <c r="B195" s="5" t="s">
        <v>19</v>
      </c>
      <c r="C195" s="6" t="s">
        <v>827</v>
      </c>
      <c r="D195" s="5">
        <v>7.0</v>
      </c>
      <c r="F195" s="5">
        <v>0.01</v>
      </c>
      <c r="G195" s="5">
        <v>0.01</v>
      </c>
      <c r="H195" s="5">
        <v>1.14</v>
      </c>
    </row>
    <row r="196" ht="15.75" customHeight="1">
      <c r="A196" s="4" t="s">
        <v>828</v>
      </c>
      <c r="B196" s="5" t="s">
        <v>19</v>
      </c>
      <c r="C196" s="6"/>
      <c r="D196" s="5">
        <v>7.0</v>
      </c>
      <c r="F196" s="5">
        <v>0.01</v>
      </c>
      <c r="G196" s="5">
        <v>0.01</v>
      </c>
      <c r="H196" s="5">
        <v>0.43</v>
      </c>
    </row>
    <row r="197" ht="15.75" customHeight="1">
      <c r="A197" s="4" t="s">
        <v>831</v>
      </c>
      <c r="B197" s="5" t="s">
        <v>19</v>
      </c>
      <c r="C197" s="6" t="s">
        <v>833</v>
      </c>
      <c r="D197" s="5">
        <v>7.0</v>
      </c>
      <c r="F197" s="5">
        <v>0.01</v>
      </c>
      <c r="G197" s="5">
        <v>0.01</v>
      </c>
      <c r="H197" s="5">
        <v>0.0</v>
      </c>
    </row>
    <row r="198" ht="15.75" customHeight="1">
      <c r="A198" s="4" t="s">
        <v>834</v>
      </c>
      <c r="B198" s="5" t="s">
        <v>19</v>
      </c>
      <c r="C198" s="6" t="s">
        <v>838</v>
      </c>
      <c r="D198" s="5">
        <v>7.0</v>
      </c>
      <c r="F198" s="5">
        <v>0.01</v>
      </c>
      <c r="G198" s="5">
        <v>0.01</v>
      </c>
      <c r="H198" s="5">
        <v>0.0</v>
      </c>
    </row>
    <row r="199" ht="15.75" customHeight="1">
      <c r="A199" s="4" t="s">
        <v>840</v>
      </c>
      <c r="B199" s="5" t="s">
        <v>19</v>
      </c>
      <c r="C199" s="6" t="s">
        <v>843</v>
      </c>
      <c r="D199" s="5">
        <v>7.0</v>
      </c>
      <c r="F199" s="5">
        <v>0.01</v>
      </c>
      <c r="G199" s="5">
        <v>0.01</v>
      </c>
      <c r="H199" s="5">
        <v>0.57</v>
      </c>
    </row>
    <row r="200" ht="15.75" customHeight="1">
      <c r="A200" s="4" t="s">
        <v>844</v>
      </c>
      <c r="B200" s="5" t="s">
        <v>16</v>
      </c>
      <c r="C200" s="6"/>
      <c r="D200" s="5">
        <v>7.0</v>
      </c>
      <c r="F200" s="5">
        <v>0.01</v>
      </c>
      <c r="G200" s="5">
        <v>0.01</v>
      </c>
      <c r="H200" s="5">
        <v>0.0</v>
      </c>
    </row>
    <row r="201" ht="15.75" customHeight="1">
      <c r="A201" s="4" t="s">
        <v>846</v>
      </c>
      <c r="B201" s="5" t="s">
        <v>16</v>
      </c>
      <c r="C201" s="6" t="s">
        <v>847</v>
      </c>
      <c r="D201" s="5">
        <v>6.0</v>
      </c>
      <c r="F201" s="5">
        <v>0.01</v>
      </c>
      <c r="G201" s="5">
        <v>0.01</v>
      </c>
      <c r="H201" s="5">
        <v>2.33</v>
      </c>
    </row>
    <row r="202" ht="15.75" customHeight="1">
      <c r="A202" s="4" t="s">
        <v>848</v>
      </c>
      <c r="B202" s="5" t="s">
        <v>19</v>
      </c>
      <c r="C202" s="6" t="s">
        <v>851</v>
      </c>
      <c r="D202" s="5">
        <v>6.0</v>
      </c>
      <c r="F202" s="5">
        <v>0.01</v>
      </c>
      <c r="G202" s="5">
        <v>0.01</v>
      </c>
      <c r="H202" s="5">
        <v>1.5</v>
      </c>
    </row>
    <row r="203" ht="15.75" customHeight="1">
      <c r="A203" s="4" t="s">
        <v>853</v>
      </c>
      <c r="B203" s="5" t="s">
        <v>19</v>
      </c>
      <c r="C203" s="6" t="s">
        <v>855</v>
      </c>
      <c r="D203" s="5">
        <v>6.0</v>
      </c>
      <c r="F203" s="5">
        <v>0.01</v>
      </c>
      <c r="G203" s="5">
        <v>0.01</v>
      </c>
      <c r="H203" s="5">
        <v>1.83</v>
      </c>
    </row>
    <row r="204" ht="15.75" customHeight="1">
      <c r="A204" s="4" t="s">
        <v>856</v>
      </c>
      <c r="B204" s="5" t="s">
        <v>16</v>
      </c>
      <c r="C204" s="6"/>
      <c r="D204" s="5">
        <v>6.0</v>
      </c>
      <c r="F204" s="5">
        <v>0.01</v>
      </c>
      <c r="G204" s="5">
        <v>0.01</v>
      </c>
      <c r="H204" s="5">
        <v>0.0</v>
      </c>
    </row>
    <row r="205" ht="15.75" customHeight="1">
      <c r="A205" s="4" t="s">
        <v>860</v>
      </c>
      <c r="B205" s="5" t="s">
        <v>165</v>
      </c>
      <c r="C205" s="6" t="s">
        <v>862</v>
      </c>
      <c r="D205" s="5">
        <v>6.0</v>
      </c>
      <c r="E205" s="5">
        <v>-3.0</v>
      </c>
      <c r="F205" s="5">
        <v>0.01</v>
      </c>
      <c r="G205" s="5">
        <v>0.01</v>
      </c>
      <c r="H205" s="5">
        <v>2.0</v>
      </c>
      <c r="I205" s="5">
        <v>-0.33</v>
      </c>
    </row>
    <row r="206" ht="15.75" customHeight="1">
      <c r="A206" s="4" t="s">
        <v>863</v>
      </c>
      <c r="B206" s="5" t="s">
        <v>19</v>
      </c>
      <c r="C206" s="6" t="s">
        <v>866</v>
      </c>
      <c r="D206" s="5">
        <v>6.0</v>
      </c>
      <c r="E206" s="5">
        <v>5.0</v>
      </c>
      <c r="F206" s="5">
        <v>0.01</v>
      </c>
      <c r="G206" s="5">
        <v>0.01</v>
      </c>
      <c r="H206" s="5">
        <v>0.0</v>
      </c>
      <c r="I206" s="5">
        <v>-5.0</v>
      </c>
    </row>
    <row r="207" ht="15.75" customHeight="1">
      <c r="A207" s="5" t="s">
        <v>868</v>
      </c>
      <c r="B207" s="5" t="s">
        <v>19</v>
      </c>
      <c r="C207" s="6" t="s">
        <v>869</v>
      </c>
      <c r="D207" s="5">
        <v>6.0</v>
      </c>
      <c r="F207" s="5">
        <v>0.01</v>
      </c>
      <c r="G207" s="5">
        <v>0.01</v>
      </c>
      <c r="H207" s="5">
        <v>2.33</v>
      </c>
    </row>
    <row r="208" ht="15.75" customHeight="1">
      <c r="A208" s="4" t="s">
        <v>870</v>
      </c>
      <c r="B208" s="5" t="s">
        <v>19</v>
      </c>
      <c r="C208" s="6" t="s">
        <v>342</v>
      </c>
      <c r="D208" s="5">
        <v>6.0</v>
      </c>
      <c r="E208" s="5">
        <v>2.0</v>
      </c>
      <c r="F208" s="5">
        <v>0.01</v>
      </c>
      <c r="G208" s="5">
        <v>0.01</v>
      </c>
      <c r="H208" s="5">
        <v>1.33</v>
      </c>
      <c r="I208" s="5">
        <v>0.83</v>
      </c>
    </row>
    <row r="209" ht="15.75" customHeight="1">
      <c r="A209" s="4" t="s">
        <v>872</v>
      </c>
      <c r="B209" s="5" t="s">
        <v>165</v>
      </c>
      <c r="C209" s="6" t="s">
        <v>874</v>
      </c>
      <c r="D209" s="5">
        <v>6.0</v>
      </c>
      <c r="F209" s="5">
        <v>0.01</v>
      </c>
      <c r="G209" s="5">
        <v>0.01</v>
      </c>
      <c r="H209" s="5">
        <v>1.0</v>
      </c>
    </row>
    <row r="210" ht="15.75" customHeight="1">
      <c r="A210" s="4" t="s">
        <v>875</v>
      </c>
      <c r="B210" s="5" t="s">
        <v>85</v>
      </c>
      <c r="C210" s="6"/>
      <c r="D210" s="5">
        <v>6.0</v>
      </c>
      <c r="F210" s="5">
        <v>0.01</v>
      </c>
      <c r="G210" s="5">
        <v>0.01</v>
      </c>
      <c r="H210" s="5">
        <v>0.33</v>
      </c>
    </row>
    <row r="211" ht="15.75" customHeight="1">
      <c r="A211" s="4" t="s">
        <v>878</v>
      </c>
      <c r="B211" s="5" t="s">
        <v>19</v>
      </c>
      <c r="C211" s="6"/>
      <c r="D211" s="5">
        <v>6.0</v>
      </c>
      <c r="F211" s="5">
        <v>0.01</v>
      </c>
      <c r="G211" s="5">
        <v>0.01</v>
      </c>
      <c r="H211" s="5">
        <v>0.83</v>
      </c>
    </row>
    <row r="212" ht="15.75" customHeight="1">
      <c r="A212" s="4" t="s">
        <v>880</v>
      </c>
      <c r="B212" s="5" t="s">
        <v>19</v>
      </c>
      <c r="C212" s="6" t="s">
        <v>881</v>
      </c>
      <c r="D212" s="5">
        <v>6.0</v>
      </c>
      <c r="F212" s="5">
        <v>0.01</v>
      </c>
      <c r="G212" s="5">
        <v>0.01</v>
      </c>
      <c r="H212" s="5">
        <v>1.17</v>
      </c>
    </row>
    <row r="213" ht="15.75" customHeight="1">
      <c r="A213" s="4" t="s">
        <v>882</v>
      </c>
      <c r="B213" s="5" t="s">
        <v>19</v>
      </c>
      <c r="C213" s="6" t="s">
        <v>399</v>
      </c>
      <c r="D213" s="5">
        <v>6.0</v>
      </c>
      <c r="F213" s="5">
        <v>0.01</v>
      </c>
      <c r="G213" s="5">
        <v>0.01</v>
      </c>
      <c r="H213" s="5">
        <v>0.33</v>
      </c>
    </row>
    <row r="214" ht="15.75" customHeight="1">
      <c r="A214" s="4" t="s">
        <v>886</v>
      </c>
      <c r="B214" s="5" t="s">
        <v>23</v>
      </c>
      <c r="C214" s="6" t="s">
        <v>887</v>
      </c>
      <c r="D214" s="5">
        <v>6.0</v>
      </c>
      <c r="E214" s="5">
        <v>1.0</v>
      </c>
      <c r="F214" s="5">
        <v>0.01</v>
      </c>
      <c r="G214" s="5">
        <v>0.01</v>
      </c>
      <c r="H214" s="5">
        <v>0.0</v>
      </c>
      <c r="I214" s="5">
        <v>-1.4</v>
      </c>
    </row>
    <row r="215" ht="15.75" customHeight="1">
      <c r="A215" s="4" t="s">
        <v>888</v>
      </c>
      <c r="B215" s="5" t="s">
        <v>19</v>
      </c>
      <c r="C215" s="6" t="s">
        <v>396</v>
      </c>
      <c r="D215" s="5">
        <v>6.0</v>
      </c>
      <c r="F215" s="5">
        <v>0.01</v>
      </c>
      <c r="G215" s="5">
        <v>0.01</v>
      </c>
      <c r="H215" s="5">
        <v>0.33</v>
      </c>
    </row>
    <row r="216" ht="15.75" customHeight="1">
      <c r="A216" s="4" t="s">
        <v>892</v>
      </c>
      <c r="B216" s="5" t="s">
        <v>23</v>
      </c>
      <c r="C216" s="6" t="s">
        <v>893</v>
      </c>
      <c r="D216" s="5">
        <v>6.0</v>
      </c>
      <c r="E216" s="5">
        <v>4.0</v>
      </c>
      <c r="F216" s="5">
        <v>0.01</v>
      </c>
      <c r="G216" s="5">
        <v>0.01</v>
      </c>
      <c r="H216" s="5">
        <v>0.0</v>
      </c>
      <c r="I216" s="5">
        <v>-1.0</v>
      </c>
    </row>
    <row r="217" ht="15.75" customHeight="1">
      <c r="A217" s="4" t="s">
        <v>895</v>
      </c>
      <c r="B217" s="5" t="s">
        <v>19</v>
      </c>
      <c r="C217" s="6" t="s">
        <v>898</v>
      </c>
      <c r="D217" s="5">
        <v>6.0</v>
      </c>
      <c r="E217" s="5">
        <v>5.0</v>
      </c>
      <c r="F217" s="5">
        <v>0.01</v>
      </c>
      <c r="G217" s="5">
        <v>0.01</v>
      </c>
      <c r="H217" s="5">
        <v>1.33</v>
      </c>
      <c r="I217" s="5">
        <v>0.33</v>
      </c>
    </row>
    <row r="218" ht="15.75" customHeight="1">
      <c r="A218" s="4" t="s">
        <v>900</v>
      </c>
      <c r="B218" s="5" t="s">
        <v>16</v>
      </c>
      <c r="C218" s="6" t="s">
        <v>901</v>
      </c>
      <c r="D218" s="5">
        <v>6.0</v>
      </c>
      <c r="F218" s="5">
        <v>0.01</v>
      </c>
      <c r="G218" s="5">
        <v>0.01</v>
      </c>
      <c r="H218" s="5">
        <v>0.5</v>
      </c>
    </row>
    <row r="219" ht="15.75" customHeight="1">
      <c r="A219" s="4" t="s">
        <v>902</v>
      </c>
      <c r="B219" s="5" t="s">
        <v>19</v>
      </c>
      <c r="C219" s="5" t="s">
        <v>905</v>
      </c>
      <c r="D219" s="5">
        <v>6.0</v>
      </c>
      <c r="E219" s="5">
        <v>0.0</v>
      </c>
      <c r="F219" s="5">
        <v>0.01</v>
      </c>
      <c r="G219" s="5">
        <v>0.01</v>
      </c>
      <c r="H219" s="5">
        <v>1.33</v>
      </c>
      <c r="I219" s="5">
        <v>1.0</v>
      </c>
    </row>
    <row r="220" ht="15.75" customHeight="1">
      <c r="A220" s="4" t="s">
        <v>906</v>
      </c>
      <c r="B220" s="5" t="s">
        <v>23</v>
      </c>
      <c r="C220" s="5" t="s">
        <v>908</v>
      </c>
      <c r="D220" s="5">
        <v>5.0</v>
      </c>
      <c r="F220" s="5">
        <v>0.0</v>
      </c>
      <c r="G220" s="5">
        <v>0.01</v>
      </c>
      <c r="H220" s="5">
        <v>1.8</v>
      </c>
    </row>
    <row r="221" ht="15.75" customHeight="1">
      <c r="A221" s="4" t="s">
        <v>909</v>
      </c>
      <c r="B221" s="5" t="s">
        <v>19</v>
      </c>
      <c r="C221" s="5" t="s">
        <v>911</v>
      </c>
      <c r="D221" s="5">
        <v>5.0</v>
      </c>
      <c r="F221" s="5">
        <v>0.0</v>
      </c>
      <c r="G221" s="5">
        <v>0.0</v>
      </c>
      <c r="H221" s="5">
        <v>1.2</v>
      </c>
    </row>
    <row r="222" ht="15.75" customHeight="1">
      <c r="A222" s="4" t="s">
        <v>912</v>
      </c>
      <c r="B222" s="5" t="s">
        <v>19</v>
      </c>
      <c r="C222" s="5" t="s">
        <v>914</v>
      </c>
      <c r="D222" s="5">
        <v>5.0</v>
      </c>
      <c r="E222" s="5">
        <v>-4.0</v>
      </c>
      <c r="F222" s="5">
        <v>0.0</v>
      </c>
      <c r="G222" s="5">
        <v>0.0</v>
      </c>
      <c r="H222" s="5">
        <v>1.0</v>
      </c>
      <c r="I222" s="5">
        <v>-0.44</v>
      </c>
    </row>
    <row r="223" ht="15.75" customHeight="1">
      <c r="A223" s="4" t="s">
        <v>915</v>
      </c>
      <c r="B223" s="5" t="s">
        <v>16</v>
      </c>
      <c r="D223" s="5">
        <v>5.0</v>
      </c>
      <c r="F223" s="5">
        <v>0.0</v>
      </c>
      <c r="G223" s="5">
        <v>0.0</v>
      </c>
      <c r="H223" s="5">
        <v>0.0</v>
      </c>
    </row>
    <row r="224" ht="15.75" customHeight="1">
      <c r="A224" s="4" t="s">
        <v>917</v>
      </c>
      <c r="B224" s="5" t="s">
        <v>19</v>
      </c>
      <c r="C224" s="5" t="s">
        <v>342</v>
      </c>
      <c r="D224" s="5">
        <v>5.0</v>
      </c>
      <c r="F224" s="5">
        <v>0.0</v>
      </c>
      <c r="G224" s="5">
        <v>0.0</v>
      </c>
      <c r="H224" s="5">
        <v>1.2</v>
      </c>
    </row>
    <row r="225" ht="15.75" customHeight="1">
      <c r="A225" s="4" t="s">
        <v>919</v>
      </c>
      <c r="B225" s="5" t="s">
        <v>19</v>
      </c>
      <c r="C225" s="5" t="s">
        <v>391</v>
      </c>
      <c r="D225" s="5">
        <v>5.0</v>
      </c>
      <c r="F225" s="5">
        <v>0.0</v>
      </c>
      <c r="G225" s="5">
        <v>0.0</v>
      </c>
      <c r="H225" s="5">
        <v>0.0</v>
      </c>
    </row>
    <row r="226" ht="15.75" customHeight="1">
      <c r="A226" s="4" t="s">
        <v>921</v>
      </c>
      <c r="B226" s="5" t="s">
        <v>19</v>
      </c>
      <c r="C226" s="5" t="s">
        <v>399</v>
      </c>
      <c r="D226" s="5">
        <v>5.0</v>
      </c>
      <c r="F226" s="5">
        <v>0.0</v>
      </c>
      <c r="G226" s="5">
        <v>0.0</v>
      </c>
      <c r="H226" s="5">
        <v>0.2</v>
      </c>
    </row>
    <row r="227" ht="15.75" customHeight="1">
      <c r="A227" s="4" t="s">
        <v>924</v>
      </c>
      <c r="B227" s="5" t="s">
        <v>19</v>
      </c>
      <c r="C227" s="5" t="s">
        <v>925</v>
      </c>
      <c r="D227" s="5">
        <v>5.0</v>
      </c>
      <c r="E227" s="5">
        <v>4.0</v>
      </c>
      <c r="F227" s="5">
        <v>0.0</v>
      </c>
      <c r="G227" s="5">
        <v>0.0</v>
      </c>
      <c r="H227" s="5">
        <v>0.4</v>
      </c>
      <c r="I227" s="5">
        <v>-1.6</v>
      </c>
    </row>
    <row r="228" ht="15.75" customHeight="1">
      <c r="A228" s="4" t="s">
        <v>926</v>
      </c>
      <c r="B228" s="5" t="s">
        <v>19</v>
      </c>
      <c r="C228" s="5" t="s">
        <v>396</v>
      </c>
      <c r="D228" s="5">
        <v>5.0</v>
      </c>
      <c r="F228" s="5">
        <v>0.0</v>
      </c>
      <c r="G228" s="5">
        <v>0.0</v>
      </c>
      <c r="H228" s="5">
        <v>0.0</v>
      </c>
    </row>
    <row r="229" ht="15.75" customHeight="1">
      <c r="A229" s="4" t="s">
        <v>929</v>
      </c>
      <c r="B229" s="5" t="s">
        <v>19</v>
      </c>
      <c r="C229" s="5" t="s">
        <v>342</v>
      </c>
      <c r="D229" s="5">
        <v>5.0</v>
      </c>
      <c r="F229" s="5">
        <v>0.0</v>
      </c>
      <c r="G229" s="5">
        <v>0.0</v>
      </c>
      <c r="H229" s="5">
        <v>0.8</v>
      </c>
    </row>
    <row r="230" ht="15.75" customHeight="1">
      <c r="A230" s="4" t="s">
        <v>933</v>
      </c>
      <c r="B230" s="5" t="s">
        <v>935</v>
      </c>
      <c r="C230" s="5" t="s">
        <v>936</v>
      </c>
      <c r="D230" s="5">
        <v>5.0</v>
      </c>
      <c r="F230" s="5">
        <v>0.0</v>
      </c>
      <c r="G230" s="5">
        <v>0.0</v>
      </c>
      <c r="H230" s="5">
        <v>0.8</v>
      </c>
    </row>
    <row r="231" ht="15.75" customHeight="1">
      <c r="A231" s="4" t="s">
        <v>938</v>
      </c>
      <c r="B231" s="5" t="s">
        <v>16</v>
      </c>
      <c r="C231" s="5" t="s">
        <v>940</v>
      </c>
      <c r="D231" s="5">
        <v>5.0</v>
      </c>
      <c r="F231" s="5">
        <v>0.0</v>
      </c>
      <c r="G231" s="5">
        <v>0.0</v>
      </c>
      <c r="H231" s="5">
        <v>0.4</v>
      </c>
    </row>
    <row r="232" ht="15.75" customHeight="1">
      <c r="A232" s="4" t="s">
        <v>942</v>
      </c>
      <c r="B232" s="5" t="s">
        <v>19</v>
      </c>
      <c r="D232" s="5">
        <v>5.0</v>
      </c>
      <c r="E232" s="5">
        <v>-4.0</v>
      </c>
      <c r="F232" s="5">
        <v>0.0</v>
      </c>
      <c r="G232" s="5">
        <v>0.0</v>
      </c>
      <c r="H232" s="5">
        <v>0.4</v>
      </c>
      <c r="I232" s="5">
        <v>-0.6</v>
      </c>
    </row>
    <row r="233" ht="15.75" customHeight="1">
      <c r="A233" s="5" t="s">
        <v>943</v>
      </c>
      <c r="B233" s="5" t="s">
        <v>19</v>
      </c>
      <c r="C233" s="5" t="s">
        <v>944</v>
      </c>
      <c r="D233" s="5">
        <v>5.0</v>
      </c>
      <c r="E233" s="5">
        <v>-7.0</v>
      </c>
      <c r="F233" s="5">
        <v>0.0</v>
      </c>
      <c r="G233" s="5">
        <v>0.0</v>
      </c>
      <c r="H233" s="5">
        <v>0.6</v>
      </c>
      <c r="I233" s="5">
        <v>-0.73</v>
      </c>
    </row>
    <row r="234" ht="15.75" customHeight="1">
      <c r="A234" s="4" t="s">
        <v>945</v>
      </c>
      <c r="B234" s="5" t="s">
        <v>935</v>
      </c>
      <c r="C234" s="5" t="s">
        <v>947</v>
      </c>
      <c r="D234" s="5">
        <v>5.0</v>
      </c>
      <c r="E234" s="5">
        <v>2.0</v>
      </c>
      <c r="F234" s="5">
        <v>0.0</v>
      </c>
      <c r="G234" s="5">
        <v>0.0</v>
      </c>
      <c r="H234" s="5">
        <v>0.8</v>
      </c>
      <c r="I234" s="5">
        <v>-0.2</v>
      </c>
    </row>
    <row r="235" ht="15.75" customHeight="1">
      <c r="A235" s="4" t="s">
        <v>948</v>
      </c>
      <c r="B235" s="5" t="s">
        <v>19</v>
      </c>
      <c r="D235" s="5">
        <v>5.0</v>
      </c>
      <c r="F235" s="5">
        <v>0.0</v>
      </c>
      <c r="G235" s="5">
        <v>0.0</v>
      </c>
      <c r="H235" s="5">
        <v>0.0</v>
      </c>
    </row>
    <row r="236" ht="15.75" customHeight="1">
      <c r="A236" s="4" t="s">
        <v>950</v>
      </c>
      <c r="B236" s="5" t="s">
        <v>19</v>
      </c>
      <c r="C236" s="5" t="s">
        <v>951</v>
      </c>
      <c r="D236" s="5">
        <v>5.0</v>
      </c>
      <c r="E236" s="5">
        <v>3.0</v>
      </c>
      <c r="F236" s="5">
        <v>0.0</v>
      </c>
      <c r="G236" s="5">
        <v>0.0</v>
      </c>
      <c r="H236" s="5">
        <v>0.4</v>
      </c>
      <c r="I236" s="5">
        <v>0.4</v>
      </c>
    </row>
    <row r="237" ht="15.75" customHeight="1">
      <c r="A237" s="4" t="s">
        <v>953</v>
      </c>
      <c r="B237" s="5" t="s">
        <v>19</v>
      </c>
      <c r="C237" s="5" t="s">
        <v>954</v>
      </c>
      <c r="D237" s="5">
        <v>5.0</v>
      </c>
      <c r="F237" s="5">
        <v>0.0</v>
      </c>
      <c r="G237" s="5">
        <v>0.0</v>
      </c>
      <c r="H237" s="5">
        <v>1.6</v>
      </c>
    </row>
    <row r="238" ht="15.75" customHeight="1">
      <c r="A238" s="4" t="s">
        <v>955</v>
      </c>
      <c r="B238" s="5" t="s">
        <v>19</v>
      </c>
      <c r="C238" s="5" t="s">
        <v>958</v>
      </c>
      <c r="D238" s="5">
        <v>5.0</v>
      </c>
      <c r="F238" s="5">
        <v>0.0</v>
      </c>
      <c r="G238" s="5">
        <v>0.0</v>
      </c>
      <c r="H238" s="5">
        <v>0.0</v>
      </c>
    </row>
    <row r="239" ht="15.75" customHeight="1">
      <c r="A239" s="4" t="s">
        <v>959</v>
      </c>
      <c r="B239" s="5" t="s">
        <v>19</v>
      </c>
      <c r="C239" s="5" t="s">
        <v>961</v>
      </c>
      <c r="D239" s="5">
        <v>5.0</v>
      </c>
      <c r="E239" s="5">
        <v>-1.0</v>
      </c>
      <c r="F239" s="5">
        <v>0.0</v>
      </c>
      <c r="G239" s="5">
        <v>0.0</v>
      </c>
      <c r="H239" s="5">
        <v>0.6</v>
      </c>
      <c r="I239" s="5">
        <v>0.43</v>
      </c>
    </row>
    <row r="240" ht="15.75" customHeight="1">
      <c r="A240" s="4" t="s">
        <v>963</v>
      </c>
      <c r="B240" s="5" t="s">
        <v>19</v>
      </c>
      <c r="D240" s="5">
        <v>5.0</v>
      </c>
      <c r="E240" s="5">
        <v>1.0</v>
      </c>
      <c r="F240" s="5">
        <v>0.0</v>
      </c>
      <c r="G240" s="5">
        <v>0.0</v>
      </c>
      <c r="H240" s="5">
        <v>1.4</v>
      </c>
      <c r="I240" s="5">
        <v>-0.1</v>
      </c>
    </row>
    <row r="241" ht="15.75" customHeight="1">
      <c r="A241" s="4" t="s">
        <v>965</v>
      </c>
      <c r="B241" s="5" t="s">
        <v>19</v>
      </c>
      <c r="C241" s="5" t="s">
        <v>967</v>
      </c>
      <c r="D241" s="5">
        <v>5.0</v>
      </c>
      <c r="E241" s="5">
        <v>-9.0</v>
      </c>
      <c r="F241" s="5">
        <v>0.0</v>
      </c>
      <c r="G241" s="5">
        <v>0.0</v>
      </c>
      <c r="H241" s="5">
        <v>0.2</v>
      </c>
      <c r="I241" s="5">
        <v>0.2</v>
      </c>
    </row>
    <row r="242" ht="15.75" customHeight="1">
      <c r="A242" s="5" t="s">
        <v>968</v>
      </c>
      <c r="B242" s="5" t="s">
        <v>19</v>
      </c>
      <c r="C242" s="5" t="s">
        <v>342</v>
      </c>
      <c r="D242" s="5">
        <v>5.0</v>
      </c>
      <c r="F242" s="5">
        <v>0.0</v>
      </c>
      <c r="G242" s="5">
        <v>0.0</v>
      </c>
      <c r="H242" s="5">
        <v>0.0</v>
      </c>
    </row>
    <row r="243" ht="15.75" customHeight="1">
      <c r="A243" s="4" t="s">
        <v>970</v>
      </c>
      <c r="B243" s="5" t="s">
        <v>19</v>
      </c>
      <c r="D243" s="5">
        <v>5.0</v>
      </c>
      <c r="F243" s="5">
        <v>0.0</v>
      </c>
      <c r="G243" s="5">
        <v>0.0</v>
      </c>
      <c r="H243" s="5">
        <v>0.8</v>
      </c>
    </row>
    <row r="244" ht="15.75" customHeight="1">
      <c r="A244" s="4" t="s">
        <v>971</v>
      </c>
      <c r="B244" s="5" t="s">
        <v>19</v>
      </c>
      <c r="C244" s="5" t="s">
        <v>973</v>
      </c>
      <c r="D244" s="5">
        <v>5.0</v>
      </c>
      <c r="F244" s="5">
        <v>0.0</v>
      </c>
      <c r="G244" s="5">
        <v>0.0</v>
      </c>
      <c r="H244" s="5">
        <v>0.2</v>
      </c>
    </row>
    <row r="245" ht="15.75" customHeight="1">
      <c r="A245" s="4" t="s">
        <v>975</v>
      </c>
      <c r="B245" s="5" t="s">
        <v>85</v>
      </c>
      <c r="C245" s="5" t="s">
        <v>976</v>
      </c>
      <c r="D245" s="5">
        <v>5.0</v>
      </c>
      <c r="F245" s="5">
        <v>0.0</v>
      </c>
      <c r="G245" s="5">
        <v>0.0</v>
      </c>
      <c r="H245" s="5">
        <v>1.6</v>
      </c>
    </row>
    <row r="246" ht="15.75" customHeight="1">
      <c r="A246" s="4" t="s">
        <v>978</v>
      </c>
      <c r="B246" s="5" t="s">
        <v>19</v>
      </c>
      <c r="C246" s="5" t="s">
        <v>980</v>
      </c>
      <c r="D246" s="5">
        <v>4.0</v>
      </c>
      <c r="E246" s="5">
        <v>-8.0</v>
      </c>
      <c r="F246" s="5">
        <v>0.0</v>
      </c>
      <c r="G246" s="5">
        <v>0.0</v>
      </c>
      <c r="H246" s="5">
        <v>2.5</v>
      </c>
      <c r="I246" s="5">
        <v>0.75</v>
      </c>
    </row>
    <row r="247" ht="15.75" customHeight="1">
      <c r="A247" s="4" t="s">
        <v>981</v>
      </c>
      <c r="B247" s="5" t="s">
        <v>19</v>
      </c>
      <c r="C247" s="5" t="s">
        <v>983</v>
      </c>
      <c r="D247" s="5">
        <v>4.0</v>
      </c>
      <c r="E247" s="5">
        <v>-1.0</v>
      </c>
      <c r="F247" s="5">
        <v>0.0</v>
      </c>
      <c r="G247" s="5">
        <v>0.01</v>
      </c>
      <c r="H247" s="5">
        <v>1.0</v>
      </c>
      <c r="I247" s="5">
        <v>0.2</v>
      </c>
    </row>
    <row r="248" ht="15.75" customHeight="1">
      <c r="A248" s="4" t="s">
        <v>985</v>
      </c>
      <c r="B248" s="5" t="s">
        <v>19</v>
      </c>
      <c r="C248" s="5" t="s">
        <v>987</v>
      </c>
      <c r="D248" s="5">
        <v>4.0</v>
      </c>
      <c r="F248" s="5">
        <v>0.0</v>
      </c>
      <c r="G248" s="5">
        <v>0.0</v>
      </c>
      <c r="H248" s="5">
        <v>1.0</v>
      </c>
    </row>
    <row r="249" ht="15.75" customHeight="1">
      <c r="A249" s="4" t="s">
        <v>988</v>
      </c>
      <c r="B249" s="5" t="s">
        <v>19</v>
      </c>
      <c r="C249" s="5" t="s">
        <v>991</v>
      </c>
      <c r="D249" s="5">
        <v>4.0</v>
      </c>
      <c r="E249" s="5">
        <v>-4.0</v>
      </c>
      <c r="F249" s="5">
        <v>0.0</v>
      </c>
      <c r="G249" s="5">
        <v>0.0</v>
      </c>
      <c r="H249" s="5">
        <v>2.25</v>
      </c>
      <c r="I249" s="5">
        <v>0.75</v>
      </c>
    </row>
    <row r="250" ht="15.75" customHeight="1">
      <c r="A250" s="4" t="s">
        <v>993</v>
      </c>
      <c r="B250" s="5" t="s">
        <v>19</v>
      </c>
      <c r="C250" s="5" t="s">
        <v>952</v>
      </c>
      <c r="D250" s="5">
        <v>4.0</v>
      </c>
      <c r="F250" s="5">
        <v>0.0</v>
      </c>
      <c r="G250" s="5">
        <v>0.0</v>
      </c>
      <c r="H250" s="5">
        <v>0.0</v>
      </c>
    </row>
    <row r="251" ht="15.75" customHeight="1">
      <c r="A251" s="4" t="s">
        <v>995</v>
      </c>
      <c r="B251" s="5" t="s">
        <v>19</v>
      </c>
      <c r="C251" s="5" t="s">
        <v>999</v>
      </c>
      <c r="D251" s="5">
        <v>4.0</v>
      </c>
      <c r="F251" s="5">
        <v>0.0</v>
      </c>
      <c r="G251" s="5">
        <v>0.0</v>
      </c>
      <c r="H251" s="5">
        <v>1.0</v>
      </c>
    </row>
    <row r="252" ht="15.75" customHeight="1">
      <c r="A252" s="4" t="s">
        <v>1001</v>
      </c>
      <c r="B252" s="5" t="s">
        <v>935</v>
      </c>
      <c r="C252" s="5" t="s">
        <v>1002</v>
      </c>
      <c r="D252" s="5">
        <v>4.0</v>
      </c>
      <c r="F252" s="5">
        <v>0.0</v>
      </c>
      <c r="G252" s="5">
        <v>0.0</v>
      </c>
      <c r="H252" s="5">
        <v>0.0</v>
      </c>
    </row>
    <row r="253" ht="15.75" customHeight="1">
      <c r="A253" s="4" t="s">
        <v>1004</v>
      </c>
      <c r="B253" s="5" t="s">
        <v>23</v>
      </c>
      <c r="C253" s="5" t="s">
        <v>1007</v>
      </c>
      <c r="D253" s="5">
        <v>4.0</v>
      </c>
      <c r="F253" s="5">
        <v>0.0</v>
      </c>
      <c r="G253" s="5">
        <v>0.0</v>
      </c>
      <c r="H253" s="5">
        <v>1.5</v>
      </c>
    </row>
    <row r="254" ht="15.75" customHeight="1">
      <c r="A254" s="4" t="s">
        <v>1008</v>
      </c>
      <c r="B254" s="5" t="s">
        <v>23</v>
      </c>
      <c r="C254" s="5" t="s">
        <v>1009</v>
      </c>
      <c r="D254" s="5">
        <v>4.0</v>
      </c>
      <c r="E254" s="5">
        <v>-10.0</v>
      </c>
      <c r="F254" s="5">
        <v>0.0</v>
      </c>
      <c r="G254" s="5">
        <v>0.0</v>
      </c>
      <c r="H254" s="5">
        <v>1.25</v>
      </c>
      <c r="I254" s="5">
        <v>-1.04</v>
      </c>
    </row>
    <row r="255" ht="15.75" customHeight="1">
      <c r="A255" s="4" t="s">
        <v>1011</v>
      </c>
      <c r="B255" s="5" t="s">
        <v>23</v>
      </c>
      <c r="C255" s="5" t="s">
        <v>1014</v>
      </c>
      <c r="D255" s="5">
        <v>4.0</v>
      </c>
      <c r="F255" s="5">
        <v>0.0</v>
      </c>
      <c r="G255" s="5">
        <v>0.0</v>
      </c>
      <c r="H255" s="5">
        <v>1.0</v>
      </c>
    </row>
    <row r="256" ht="15.75" customHeight="1">
      <c r="A256" s="4" t="s">
        <v>1015</v>
      </c>
      <c r="B256" s="5" t="s">
        <v>16</v>
      </c>
      <c r="C256" s="5" t="s">
        <v>1017</v>
      </c>
      <c r="D256" s="5">
        <v>4.0</v>
      </c>
      <c r="F256" s="5">
        <v>0.0</v>
      </c>
      <c r="G256" s="5">
        <v>0.0</v>
      </c>
      <c r="H256" s="5">
        <v>0.0</v>
      </c>
    </row>
    <row r="257" ht="15.75" customHeight="1">
      <c r="A257" s="4" t="s">
        <v>1018</v>
      </c>
      <c r="B257" s="5" t="s">
        <v>19</v>
      </c>
      <c r="C257" s="5" t="s">
        <v>1021</v>
      </c>
      <c r="D257" s="5">
        <v>4.0</v>
      </c>
      <c r="F257" s="5">
        <v>0.0</v>
      </c>
      <c r="G257" s="5">
        <v>0.0</v>
      </c>
      <c r="H257" s="5">
        <v>1.0</v>
      </c>
    </row>
    <row r="258" ht="15.75" customHeight="1">
      <c r="A258" s="4" t="s">
        <v>1022</v>
      </c>
      <c r="B258" s="5" t="s">
        <v>19</v>
      </c>
      <c r="C258" s="5" t="s">
        <v>1024</v>
      </c>
      <c r="D258" s="5">
        <v>4.0</v>
      </c>
      <c r="F258" s="5">
        <v>0.0</v>
      </c>
      <c r="G258" s="5">
        <v>0.0</v>
      </c>
      <c r="H258" s="5">
        <v>0.25</v>
      </c>
    </row>
    <row r="259" ht="15.75" customHeight="1">
      <c r="A259" s="4" t="s">
        <v>1026</v>
      </c>
      <c r="B259" s="5" t="s">
        <v>16</v>
      </c>
      <c r="C259" s="5" t="s">
        <v>1028</v>
      </c>
      <c r="D259" s="5">
        <v>4.0</v>
      </c>
      <c r="E259" s="5">
        <v>-3.0</v>
      </c>
      <c r="F259" s="5">
        <v>0.0</v>
      </c>
      <c r="G259" s="5">
        <v>0.0</v>
      </c>
      <c r="H259" s="5">
        <v>0.75</v>
      </c>
      <c r="I259" s="5">
        <v>0.61</v>
      </c>
    </row>
    <row r="260" ht="15.75" customHeight="1">
      <c r="A260" s="4" t="s">
        <v>1029</v>
      </c>
      <c r="B260" s="5" t="s">
        <v>19</v>
      </c>
      <c r="C260" s="5" t="s">
        <v>1031</v>
      </c>
      <c r="D260" s="5">
        <v>4.0</v>
      </c>
      <c r="F260" s="5">
        <v>0.0</v>
      </c>
      <c r="G260" s="5">
        <v>0.0</v>
      </c>
      <c r="H260" s="5">
        <v>0.0</v>
      </c>
    </row>
    <row r="261" ht="15.75" customHeight="1">
      <c r="A261" s="4" t="s">
        <v>1032</v>
      </c>
      <c r="B261" s="5" t="s">
        <v>19</v>
      </c>
      <c r="C261" s="5" t="s">
        <v>1034</v>
      </c>
      <c r="D261" s="5">
        <v>4.0</v>
      </c>
      <c r="F261" s="5">
        <v>0.0</v>
      </c>
      <c r="G261" s="5">
        <v>0.0</v>
      </c>
      <c r="H261" s="5">
        <v>0.0</v>
      </c>
    </row>
    <row r="262" ht="15.75" customHeight="1">
      <c r="A262" s="4" t="s">
        <v>1036</v>
      </c>
      <c r="B262" s="5" t="s">
        <v>23</v>
      </c>
      <c r="C262" s="5" t="s">
        <v>1039</v>
      </c>
      <c r="D262" s="5">
        <v>4.0</v>
      </c>
      <c r="F262" s="5">
        <v>0.0</v>
      </c>
      <c r="G262" s="5">
        <v>0.0</v>
      </c>
      <c r="H262" s="5">
        <v>1.0</v>
      </c>
    </row>
    <row r="263" ht="15.75" customHeight="1">
      <c r="A263" s="4" t="s">
        <v>1040</v>
      </c>
      <c r="B263" s="5" t="s">
        <v>19</v>
      </c>
      <c r="C263" s="5" t="s">
        <v>1041</v>
      </c>
      <c r="D263" s="5">
        <v>4.0</v>
      </c>
      <c r="F263" s="5">
        <v>0.0</v>
      </c>
      <c r="G263" s="5">
        <v>0.0</v>
      </c>
      <c r="H263" s="5">
        <v>1.25</v>
      </c>
    </row>
    <row r="264" ht="15.75" customHeight="1">
      <c r="A264" s="4" t="s">
        <v>1043</v>
      </c>
      <c r="B264" s="5" t="s">
        <v>19</v>
      </c>
      <c r="C264" s="5" t="s">
        <v>1045</v>
      </c>
      <c r="D264" s="5">
        <v>4.0</v>
      </c>
      <c r="F264" s="5">
        <v>0.0</v>
      </c>
      <c r="G264" s="5">
        <v>0.0</v>
      </c>
      <c r="H264" s="5">
        <v>0.25</v>
      </c>
    </row>
    <row r="265" ht="15.75" customHeight="1">
      <c r="A265" s="4" t="s">
        <v>1046</v>
      </c>
      <c r="B265" s="5" t="s">
        <v>19</v>
      </c>
      <c r="C265" s="5" t="s">
        <v>1048</v>
      </c>
      <c r="D265" s="5">
        <v>4.0</v>
      </c>
      <c r="F265" s="5">
        <v>0.0</v>
      </c>
      <c r="G265" s="5">
        <v>0.0</v>
      </c>
      <c r="H265" s="5">
        <v>1.0</v>
      </c>
    </row>
    <row r="266" ht="15.75" customHeight="1">
      <c r="A266" s="5" t="s">
        <v>1050</v>
      </c>
      <c r="B266" s="5" t="s">
        <v>19</v>
      </c>
      <c r="C266" s="5" t="s">
        <v>1051</v>
      </c>
      <c r="D266" s="5">
        <v>4.0</v>
      </c>
      <c r="F266" s="5">
        <v>0.0</v>
      </c>
      <c r="G266" s="5">
        <v>0.0</v>
      </c>
      <c r="H266" s="5">
        <v>0.0</v>
      </c>
    </row>
    <row r="267" ht="15.75" customHeight="1">
      <c r="A267" s="5" t="s">
        <v>1052</v>
      </c>
      <c r="B267" s="5" t="s">
        <v>19</v>
      </c>
      <c r="D267" s="5">
        <v>4.0</v>
      </c>
      <c r="E267" s="5">
        <v>3.0</v>
      </c>
      <c r="F267" s="5">
        <v>0.0</v>
      </c>
      <c r="G267" s="5">
        <v>0.0</v>
      </c>
      <c r="H267" s="5">
        <v>0.5</v>
      </c>
      <c r="I267" s="5">
        <v>-1.5</v>
      </c>
    </row>
    <row r="268" ht="15.75" customHeight="1">
      <c r="A268" s="4" t="s">
        <v>1054</v>
      </c>
      <c r="B268" s="5" t="s">
        <v>19</v>
      </c>
      <c r="C268" s="5" t="s">
        <v>159</v>
      </c>
      <c r="D268" s="5">
        <v>4.0</v>
      </c>
      <c r="F268" s="5">
        <v>0.0</v>
      </c>
      <c r="G268" s="5">
        <v>0.0</v>
      </c>
      <c r="H268" s="5">
        <v>1.0</v>
      </c>
    </row>
    <row r="269" ht="15.75" customHeight="1">
      <c r="A269" s="4" t="s">
        <v>1056</v>
      </c>
      <c r="B269" s="5" t="s">
        <v>19</v>
      </c>
      <c r="C269" s="5" t="s">
        <v>1057</v>
      </c>
      <c r="D269" s="5">
        <v>4.0</v>
      </c>
      <c r="F269" s="5">
        <v>0.0</v>
      </c>
      <c r="G269" s="5">
        <v>0.0</v>
      </c>
      <c r="H269" s="5">
        <v>0.0</v>
      </c>
    </row>
    <row r="270" ht="15.75" customHeight="1">
      <c r="A270" s="4" t="s">
        <v>1058</v>
      </c>
      <c r="B270" s="5" t="s">
        <v>16</v>
      </c>
      <c r="C270" s="5" t="s">
        <v>1060</v>
      </c>
      <c r="D270" s="5">
        <v>4.0</v>
      </c>
      <c r="F270" s="5">
        <v>0.0</v>
      </c>
      <c r="G270" s="5">
        <v>0.0</v>
      </c>
      <c r="H270" s="5">
        <v>0.0</v>
      </c>
    </row>
    <row r="271" ht="15.75" customHeight="1">
      <c r="A271" s="4" t="s">
        <v>1061</v>
      </c>
      <c r="B271" s="5" t="s">
        <v>19</v>
      </c>
      <c r="D271" s="5">
        <v>4.0</v>
      </c>
      <c r="F271" s="5">
        <v>0.0</v>
      </c>
      <c r="G271" s="5">
        <v>0.0</v>
      </c>
      <c r="H271" s="5">
        <v>0.0</v>
      </c>
    </row>
    <row r="272" ht="15.75" customHeight="1">
      <c r="A272" s="4" t="s">
        <v>1063</v>
      </c>
      <c r="B272" s="5" t="s">
        <v>19</v>
      </c>
      <c r="C272" s="5" t="s">
        <v>1065</v>
      </c>
      <c r="D272" s="5">
        <v>4.0</v>
      </c>
      <c r="F272" s="5">
        <v>0.0</v>
      </c>
      <c r="G272" s="5">
        <v>0.0</v>
      </c>
      <c r="H272" s="5">
        <v>0.5</v>
      </c>
    </row>
    <row r="273" ht="15.75" customHeight="1">
      <c r="A273" s="4" t="s">
        <v>1066</v>
      </c>
      <c r="B273" s="5" t="s">
        <v>165</v>
      </c>
      <c r="C273" s="5" t="s">
        <v>1067</v>
      </c>
      <c r="D273" s="5">
        <v>4.0</v>
      </c>
      <c r="F273" s="5">
        <v>0.0</v>
      </c>
      <c r="G273" s="5">
        <v>0.0</v>
      </c>
      <c r="H273" s="5">
        <v>1.5</v>
      </c>
    </row>
    <row r="274" ht="15.75" customHeight="1">
      <c r="A274" s="4" t="s">
        <v>1069</v>
      </c>
      <c r="B274" s="5" t="s">
        <v>19</v>
      </c>
      <c r="C274" s="5" t="s">
        <v>396</v>
      </c>
      <c r="D274" s="5">
        <v>4.0</v>
      </c>
      <c r="E274" s="5">
        <v>2.0</v>
      </c>
      <c r="F274" s="5">
        <v>0.0</v>
      </c>
      <c r="G274" s="5">
        <v>0.0</v>
      </c>
      <c r="H274" s="5">
        <v>0.5</v>
      </c>
      <c r="I274" s="5">
        <v>-0.5</v>
      </c>
    </row>
    <row r="275" ht="15.75" customHeight="1">
      <c r="A275" s="4" t="s">
        <v>1070</v>
      </c>
      <c r="B275" s="5" t="s">
        <v>23</v>
      </c>
      <c r="C275" s="5" t="s">
        <v>1073</v>
      </c>
      <c r="D275" s="5">
        <v>3.0</v>
      </c>
      <c r="F275" s="5">
        <v>0.0</v>
      </c>
      <c r="G275" s="5">
        <v>0.0</v>
      </c>
      <c r="H275" s="5">
        <v>2.33</v>
      </c>
    </row>
    <row r="276" ht="15.75" customHeight="1">
      <c r="A276" s="4" t="s">
        <v>1074</v>
      </c>
      <c r="B276" s="5" t="s">
        <v>19</v>
      </c>
      <c r="D276" s="5">
        <v>3.0</v>
      </c>
      <c r="E276" s="5">
        <v>2.0</v>
      </c>
      <c r="F276" s="5">
        <v>0.0</v>
      </c>
      <c r="G276" s="5">
        <v>0.0</v>
      </c>
      <c r="H276" s="5">
        <v>2.67</v>
      </c>
      <c r="I276" s="5">
        <v>2.67</v>
      </c>
    </row>
    <row r="277" ht="15.75" customHeight="1">
      <c r="A277" s="4" t="s">
        <v>1076</v>
      </c>
      <c r="B277" s="5" t="s">
        <v>165</v>
      </c>
      <c r="C277" s="5" t="s">
        <v>1077</v>
      </c>
      <c r="D277" s="5">
        <v>3.0</v>
      </c>
      <c r="E277" s="5">
        <v>-1.0</v>
      </c>
      <c r="F277" s="5">
        <v>0.0</v>
      </c>
      <c r="G277" s="5">
        <v>0.0</v>
      </c>
      <c r="H277" s="5">
        <v>1.0</v>
      </c>
      <c r="I277" s="5">
        <v>-1.75</v>
      </c>
    </row>
    <row r="278" ht="15.75" customHeight="1">
      <c r="A278" s="4" t="s">
        <v>1078</v>
      </c>
      <c r="B278" s="5" t="s">
        <v>85</v>
      </c>
      <c r="D278" s="5">
        <v>3.0</v>
      </c>
      <c r="F278" s="5">
        <v>0.0</v>
      </c>
      <c r="G278" s="5">
        <v>0.0</v>
      </c>
      <c r="H278" s="5">
        <v>1.33</v>
      </c>
    </row>
    <row r="279" ht="15.75" customHeight="1">
      <c r="A279" s="4" t="s">
        <v>1080</v>
      </c>
      <c r="B279" s="5" t="s">
        <v>23</v>
      </c>
      <c r="C279" s="5" t="s">
        <v>1081</v>
      </c>
      <c r="D279" s="5">
        <v>3.0</v>
      </c>
      <c r="F279" s="5">
        <v>0.0</v>
      </c>
      <c r="G279" s="5">
        <v>0.0</v>
      </c>
      <c r="H279" s="5">
        <v>1.33</v>
      </c>
    </row>
    <row r="280" ht="15.75" customHeight="1">
      <c r="A280" s="4" t="s">
        <v>1083</v>
      </c>
      <c r="B280" s="5" t="s">
        <v>19</v>
      </c>
      <c r="D280" s="5">
        <v>3.0</v>
      </c>
      <c r="E280" s="5">
        <v>-1.0</v>
      </c>
      <c r="F280" s="5">
        <v>0.0</v>
      </c>
      <c r="G280" s="5">
        <v>0.0</v>
      </c>
      <c r="H280" s="5">
        <v>1.0</v>
      </c>
      <c r="I280" s="5">
        <v>1.0</v>
      </c>
    </row>
    <row r="281" ht="15.75" customHeight="1">
      <c r="A281" s="4" t="s">
        <v>1086</v>
      </c>
      <c r="B281" s="5" t="s">
        <v>19</v>
      </c>
      <c r="D281" s="5">
        <v>3.0</v>
      </c>
      <c r="F281" s="5">
        <v>0.0</v>
      </c>
      <c r="G281" s="5">
        <v>0.0</v>
      </c>
      <c r="H281" s="5">
        <v>1.0</v>
      </c>
    </row>
    <row r="282" ht="15.75" customHeight="1">
      <c r="A282" s="4" t="s">
        <v>1088</v>
      </c>
      <c r="B282" s="5" t="s">
        <v>19</v>
      </c>
      <c r="D282" s="5">
        <v>3.0</v>
      </c>
      <c r="F282" s="5">
        <v>0.0</v>
      </c>
      <c r="G282" s="5">
        <v>0.0</v>
      </c>
      <c r="H282" s="5">
        <v>2.33</v>
      </c>
    </row>
    <row r="283" ht="15.75" customHeight="1">
      <c r="A283" s="4" t="s">
        <v>1090</v>
      </c>
      <c r="B283" s="5" t="s">
        <v>85</v>
      </c>
      <c r="D283" s="5">
        <v>3.0</v>
      </c>
      <c r="F283" s="5">
        <v>0.0</v>
      </c>
      <c r="G283" s="5">
        <v>0.0</v>
      </c>
      <c r="H283" s="5">
        <v>0.0</v>
      </c>
    </row>
    <row r="284" ht="15.75" customHeight="1">
      <c r="A284" s="4" t="s">
        <v>1092</v>
      </c>
      <c r="B284" s="5" t="s">
        <v>165</v>
      </c>
      <c r="D284" s="5">
        <v>3.0</v>
      </c>
      <c r="E284" s="5">
        <v>2.0</v>
      </c>
      <c r="F284" s="5">
        <v>0.0</v>
      </c>
      <c r="G284" s="5">
        <v>0.0</v>
      </c>
      <c r="H284" s="5">
        <v>1.67</v>
      </c>
      <c r="I284" s="5">
        <v>-0.33</v>
      </c>
    </row>
    <row r="285" ht="15.75" customHeight="1">
      <c r="A285" s="4" t="s">
        <v>1095</v>
      </c>
      <c r="B285" s="5" t="s">
        <v>16</v>
      </c>
      <c r="D285" s="5">
        <v>3.0</v>
      </c>
      <c r="E285" s="5">
        <v>-3.0</v>
      </c>
      <c r="F285" s="5">
        <v>0.0</v>
      </c>
      <c r="G285" s="5">
        <v>0.0</v>
      </c>
      <c r="H285" s="5">
        <v>2.0</v>
      </c>
      <c r="I285" s="5">
        <v>0.0</v>
      </c>
    </row>
    <row r="286" ht="15.75" customHeight="1">
      <c r="A286" s="4" t="s">
        <v>1097</v>
      </c>
      <c r="B286" s="5" t="s">
        <v>165</v>
      </c>
      <c r="C286" s="5" t="s">
        <v>1099</v>
      </c>
      <c r="D286" s="5">
        <v>3.0</v>
      </c>
      <c r="F286" s="5">
        <v>0.0</v>
      </c>
      <c r="G286" s="5">
        <v>0.0</v>
      </c>
      <c r="H286" s="5">
        <v>0.0</v>
      </c>
    </row>
    <row r="287" ht="15.75" customHeight="1">
      <c r="A287" s="4" t="s">
        <v>1100</v>
      </c>
      <c r="B287" s="5" t="s">
        <v>19</v>
      </c>
      <c r="D287" s="5">
        <v>3.0</v>
      </c>
      <c r="E287" s="5">
        <v>1.0</v>
      </c>
      <c r="F287" s="5">
        <v>0.0</v>
      </c>
      <c r="G287" s="5">
        <v>0.0</v>
      </c>
      <c r="H287" s="5">
        <v>1.0</v>
      </c>
      <c r="I287" s="5">
        <v>0.0</v>
      </c>
    </row>
    <row r="288" ht="15.75" customHeight="1">
      <c r="A288" s="4" t="s">
        <v>1102</v>
      </c>
      <c r="B288" s="5" t="s">
        <v>19</v>
      </c>
      <c r="C288" s="5" t="s">
        <v>1104</v>
      </c>
      <c r="D288" s="5">
        <v>3.0</v>
      </c>
      <c r="F288" s="5">
        <v>0.0</v>
      </c>
      <c r="G288" s="5">
        <v>0.0</v>
      </c>
      <c r="H288" s="5">
        <v>1.0</v>
      </c>
    </row>
    <row r="289" ht="15.75" customHeight="1">
      <c r="A289" s="4" t="s">
        <v>1105</v>
      </c>
      <c r="B289" s="5" t="s">
        <v>19</v>
      </c>
      <c r="C289" s="5" t="s">
        <v>1107</v>
      </c>
      <c r="D289" s="5">
        <v>3.0</v>
      </c>
      <c r="F289" s="5">
        <v>0.0</v>
      </c>
      <c r="G289" s="5">
        <v>0.0</v>
      </c>
      <c r="H289" s="5">
        <v>1.0</v>
      </c>
    </row>
    <row r="290" ht="15.75" customHeight="1">
      <c r="A290" s="4" t="s">
        <v>1109</v>
      </c>
      <c r="B290" s="5" t="s">
        <v>19</v>
      </c>
      <c r="C290" s="5" t="s">
        <v>1111</v>
      </c>
      <c r="D290" s="5">
        <v>3.0</v>
      </c>
      <c r="F290" s="5">
        <v>0.0</v>
      </c>
      <c r="G290" s="5">
        <v>0.0</v>
      </c>
      <c r="H290" s="5">
        <v>0.67</v>
      </c>
    </row>
    <row r="291" ht="15.75" customHeight="1">
      <c r="A291" s="4" t="s">
        <v>1112</v>
      </c>
      <c r="B291" s="5" t="s">
        <v>19</v>
      </c>
      <c r="C291" s="5" t="s">
        <v>1017</v>
      </c>
      <c r="D291" s="5">
        <v>3.0</v>
      </c>
      <c r="F291" s="5">
        <v>0.0</v>
      </c>
      <c r="G291" s="5">
        <v>0.0</v>
      </c>
      <c r="H291" s="5">
        <v>0.67</v>
      </c>
    </row>
    <row r="292" ht="15.75" customHeight="1">
      <c r="A292" s="4" t="s">
        <v>1115</v>
      </c>
      <c r="B292" s="5" t="s">
        <v>935</v>
      </c>
      <c r="C292" s="5" t="s">
        <v>1117</v>
      </c>
      <c r="D292" s="5">
        <v>3.0</v>
      </c>
      <c r="F292" s="5">
        <v>0.0</v>
      </c>
      <c r="G292" s="5">
        <v>0.0</v>
      </c>
      <c r="H292" s="5">
        <v>0.0</v>
      </c>
    </row>
    <row r="293" ht="15.75" customHeight="1">
      <c r="A293" s="4" t="s">
        <v>1118</v>
      </c>
      <c r="B293" s="5" t="s">
        <v>19</v>
      </c>
      <c r="C293" s="5" t="s">
        <v>1121</v>
      </c>
      <c r="D293" s="5">
        <v>3.0</v>
      </c>
      <c r="F293" s="5">
        <v>0.0</v>
      </c>
      <c r="G293" s="5">
        <v>0.0</v>
      </c>
      <c r="H293" s="5">
        <v>2.0</v>
      </c>
    </row>
    <row r="294" ht="15.75" customHeight="1">
      <c r="A294" s="4" t="s">
        <v>1123</v>
      </c>
      <c r="B294" s="5" t="s">
        <v>19</v>
      </c>
      <c r="C294" s="5" t="s">
        <v>1124</v>
      </c>
      <c r="D294" s="5">
        <v>3.0</v>
      </c>
      <c r="E294" s="5">
        <v>2.0</v>
      </c>
      <c r="F294" s="5">
        <v>0.0</v>
      </c>
      <c r="G294" s="5">
        <v>0.0</v>
      </c>
      <c r="H294" s="5">
        <v>0.33</v>
      </c>
      <c r="I294" s="5">
        <v>0.33</v>
      </c>
    </row>
    <row r="295" ht="15.75" customHeight="1">
      <c r="A295" s="4" t="s">
        <v>1125</v>
      </c>
      <c r="B295" s="5" t="s">
        <v>19</v>
      </c>
      <c r="C295" s="5" t="s">
        <v>396</v>
      </c>
      <c r="D295" s="5">
        <v>3.0</v>
      </c>
      <c r="E295" s="5">
        <v>0.0</v>
      </c>
      <c r="F295" s="5">
        <v>0.0</v>
      </c>
      <c r="G295" s="5">
        <v>0.0</v>
      </c>
      <c r="H295" s="5">
        <v>0.0</v>
      </c>
      <c r="I295" s="5">
        <v>-1.33</v>
      </c>
    </row>
    <row r="296" ht="15.75" customHeight="1">
      <c r="A296" s="4" t="s">
        <v>1127</v>
      </c>
      <c r="B296" s="5" t="s">
        <v>19</v>
      </c>
      <c r="C296" s="5" t="s">
        <v>1128</v>
      </c>
      <c r="D296" s="5">
        <v>3.0</v>
      </c>
      <c r="E296" s="5">
        <v>0.0</v>
      </c>
      <c r="F296" s="5">
        <v>0.0</v>
      </c>
      <c r="G296" s="5">
        <v>0.0</v>
      </c>
      <c r="H296" s="5">
        <v>0.33</v>
      </c>
      <c r="I296" s="5">
        <v>0.0</v>
      </c>
    </row>
    <row r="297" ht="15.75" customHeight="1">
      <c r="A297" s="4" t="s">
        <v>1130</v>
      </c>
      <c r="B297" s="5" t="s">
        <v>19</v>
      </c>
      <c r="C297" s="5" t="s">
        <v>1132</v>
      </c>
      <c r="D297" s="5">
        <v>3.0</v>
      </c>
      <c r="F297" s="5">
        <v>0.0</v>
      </c>
      <c r="G297" s="5">
        <v>0.0</v>
      </c>
      <c r="H297" s="5">
        <v>0.67</v>
      </c>
    </row>
    <row r="298" ht="15.75" customHeight="1">
      <c r="A298" s="4" t="s">
        <v>1133</v>
      </c>
      <c r="B298" s="5" t="s">
        <v>19</v>
      </c>
      <c r="D298" s="5">
        <v>3.0</v>
      </c>
      <c r="F298" s="5">
        <v>0.0</v>
      </c>
      <c r="G298" s="5">
        <v>0.0</v>
      </c>
      <c r="H298" s="5">
        <v>0.67</v>
      </c>
    </row>
    <row r="299" ht="15.75" customHeight="1">
      <c r="A299" s="4" t="s">
        <v>1135</v>
      </c>
      <c r="B299" s="5" t="s">
        <v>16</v>
      </c>
      <c r="C299" s="5" t="s">
        <v>1138</v>
      </c>
      <c r="D299" s="5">
        <v>3.0</v>
      </c>
      <c r="F299" s="5">
        <v>0.0</v>
      </c>
      <c r="G299" s="5">
        <v>0.0</v>
      </c>
      <c r="H299" s="5">
        <v>0.0</v>
      </c>
    </row>
    <row r="300" ht="15.75" customHeight="1">
      <c r="A300" s="4" t="s">
        <v>1139</v>
      </c>
      <c r="B300" s="5" t="s">
        <v>19</v>
      </c>
      <c r="C300" s="5" t="s">
        <v>1140</v>
      </c>
      <c r="D300" s="5">
        <v>3.0</v>
      </c>
      <c r="F300" s="5">
        <v>0.0</v>
      </c>
      <c r="G300" s="5">
        <v>0.0</v>
      </c>
      <c r="H300" s="5">
        <v>1.0</v>
      </c>
    </row>
    <row r="301" ht="15.75" customHeight="1">
      <c r="A301" s="4" t="s">
        <v>1142</v>
      </c>
      <c r="B301" s="5" t="s">
        <v>19</v>
      </c>
      <c r="D301" s="5">
        <v>3.0</v>
      </c>
      <c r="F301" s="5">
        <v>0.0</v>
      </c>
      <c r="G301" s="5">
        <v>0.0</v>
      </c>
      <c r="H301" s="5">
        <v>0.67</v>
      </c>
    </row>
    <row r="302" ht="15.75" customHeight="1">
      <c r="A302" s="4" t="s">
        <v>1143</v>
      </c>
      <c r="B302" s="5" t="s">
        <v>19</v>
      </c>
      <c r="D302" s="5">
        <v>3.0</v>
      </c>
      <c r="F302" s="5">
        <v>0.0</v>
      </c>
      <c r="G302" s="5">
        <v>0.0</v>
      </c>
      <c r="H302" s="5">
        <v>0.0</v>
      </c>
    </row>
    <row r="303" ht="15.75" customHeight="1">
      <c r="A303" s="4" t="s">
        <v>1146</v>
      </c>
      <c r="B303" s="5" t="s">
        <v>19</v>
      </c>
      <c r="C303" s="5" t="s">
        <v>1149</v>
      </c>
      <c r="D303" s="5">
        <v>3.0</v>
      </c>
      <c r="F303" s="5">
        <v>0.0</v>
      </c>
      <c r="G303" s="5">
        <v>0.0</v>
      </c>
      <c r="H303" s="5">
        <v>0.67</v>
      </c>
    </row>
    <row r="304" ht="15.75" customHeight="1">
      <c r="A304" s="4" t="s">
        <v>1150</v>
      </c>
      <c r="B304" s="5" t="s">
        <v>19</v>
      </c>
      <c r="C304" s="5" t="s">
        <v>1152</v>
      </c>
      <c r="D304" s="5">
        <v>3.0</v>
      </c>
      <c r="F304" s="5">
        <v>0.0</v>
      </c>
      <c r="G304" s="5">
        <v>0.0</v>
      </c>
      <c r="H304" s="5">
        <v>3.0</v>
      </c>
    </row>
    <row r="305" ht="15.75" customHeight="1">
      <c r="A305" s="4" t="s">
        <v>1153</v>
      </c>
      <c r="B305" s="5" t="s">
        <v>19</v>
      </c>
      <c r="C305" s="5" t="s">
        <v>1156</v>
      </c>
      <c r="D305" s="5">
        <v>3.0</v>
      </c>
      <c r="E305" s="5">
        <v>-17.0</v>
      </c>
      <c r="F305" s="5">
        <v>0.0</v>
      </c>
      <c r="G305" s="5">
        <v>0.0</v>
      </c>
      <c r="H305" s="5">
        <v>0.67</v>
      </c>
      <c r="I305" s="5">
        <v>-0.23</v>
      </c>
    </row>
    <row r="306" ht="15.75" customHeight="1">
      <c r="A306" s="4" t="s">
        <v>1157</v>
      </c>
      <c r="B306" s="5" t="s">
        <v>19</v>
      </c>
      <c r="C306" s="5" t="s">
        <v>1159</v>
      </c>
      <c r="D306" s="5">
        <v>3.0</v>
      </c>
      <c r="F306" s="5">
        <v>0.0</v>
      </c>
      <c r="G306" s="5">
        <v>0.0</v>
      </c>
      <c r="H306" s="5">
        <v>1.67</v>
      </c>
    </row>
    <row r="307" ht="15.75" customHeight="1">
      <c r="A307" s="4" t="s">
        <v>1160</v>
      </c>
      <c r="B307" s="5" t="s">
        <v>19</v>
      </c>
      <c r="C307" s="5" t="s">
        <v>1163</v>
      </c>
      <c r="D307" s="5">
        <v>3.0</v>
      </c>
      <c r="F307" s="5">
        <v>0.0</v>
      </c>
      <c r="G307" s="5">
        <v>0.0</v>
      </c>
      <c r="H307" s="5">
        <v>1.0</v>
      </c>
    </row>
    <row r="308" ht="15.75" customHeight="1">
      <c r="A308" s="4" t="s">
        <v>1164</v>
      </c>
      <c r="B308" s="5" t="s">
        <v>19</v>
      </c>
      <c r="C308" s="5" t="s">
        <v>396</v>
      </c>
      <c r="D308" s="5">
        <v>3.0</v>
      </c>
      <c r="F308" s="5">
        <v>0.0</v>
      </c>
      <c r="G308" s="5">
        <v>0.0</v>
      </c>
      <c r="H308" s="5">
        <v>0.0</v>
      </c>
    </row>
    <row r="309" ht="15.75" customHeight="1">
      <c r="A309" s="4" t="s">
        <v>1166</v>
      </c>
      <c r="B309" s="5" t="s">
        <v>19</v>
      </c>
      <c r="D309" s="5">
        <v>3.0</v>
      </c>
      <c r="F309" s="5">
        <v>0.0</v>
      </c>
      <c r="G309" s="5">
        <v>0.0</v>
      </c>
      <c r="H309" s="5">
        <v>0.0</v>
      </c>
    </row>
    <row r="310" ht="15.75" customHeight="1">
      <c r="A310" s="4" t="s">
        <v>1167</v>
      </c>
      <c r="B310" s="5" t="s">
        <v>19</v>
      </c>
      <c r="C310" s="5" t="s">
        <v>1170</v>
      </c>
      <c r="D310" s="5">
        <v>3.0</v>
      </c>
      <c r="E310" s="5">
        <v>-5.0</v>
      </c>
      <c r="F310" s="5">
        <v>0.0</v>
      </c>
      <c r="G310" s="5">
        <v>0.0</v>
      </c>
      <c r="H310" s="5">
        <v>0.67</v>
      </c>
      <c r="I310" s="5">
        <v>-0.33</v>
      </c>
    </row>
    <row r="311" ht="15.75" customHeight="1">
      <c r="A311" s="4" t="s">
        <v>1171</v>
      </c>
      <c r="B311" s="5" t="s">
        <v>23</v>
      </c>
      <c r="C311" s="5" t="s">
        <v>1173</v>
      </c>
      <c r="D311" s="5">
        <v>3.0</v>
      </c>
      <c r="F311" s="5">
        <v>0.0</v>
      </c>
      <c r="G311" s="5">
        <v>0.0</v>
      </c>
      <c r="H311" s="5">
        <v>0.67</v>
      </c>
    </row>
    <row r="312" ht="15.75" customHeight="1">
      <c r="A312" s="4" t="s">
        <v>1174</v>
      </c>
      <c r="B312" s="5" t="s">
        <v>19</v>
      </c>
      <c r="C312" s="5" t="s">
        <v>1177</v>
      </c>
      <c r="D312" s="5">
        <v>3.0</v>
      </c>
      <c r="E312" s="5">
        <v>2.0</v>
      </c>
      <c r="F312" s="5">
        <v>0.0</v>
      </c>
      <c r="G312" s="5">
        <v>0.0</v>
      </c>
      <c r="H312" s="5">
        <v>0.67</v>
      </c>
      <c r="I312" s="5">
        <v>-0.33</v>
      </c>
    </row>
    <row r="313" ht="15.75" customHeight="1">
      <c r="A313" s="4" t="s">
        <v>1178</v>
      </c>
      <c r="B313" s="5" t="s">
        <v>19</v>
      </c>
      <c r="C313" s="5" t="s">
        <v>1180</v>
      </c>
      <c r="D313" s="5">
        <v>3.0</v>
      </c>
      <c r="F313" s="5">
        <v>0.0</v>
      </c>
      <c r="G313" s="5">
        <v>0.0</v>
      </c>
      <c r="H313" s="5">
        <v>0.67</v>
      </c>
    </row>
    <row r="314" ht="15.75" customHeight="1">
      <c r="A314" s="4" t="s">
        <v>1181</v>
      </c>
      <c r="B314" s="5" t="s">
        <v>85</v>
      </c>
      <c r="C314" s="5" t="s">
        <v>1183</v>
      </c>
      <c r="D314" s="5">
        <v>3.0</v>
      </c>
      <c r="F314" s="5">
        <v>0.0</v>
      </c>
      <c r="G314" s="5">
        <v>0.0</v>
      </c>
      <c r="H314" s="5">
        <v>1.0</v>
      </c>
    </row>
    <row r="315" ht="15.75" customHeight="1">
      <c r="A315" s="4" t="s">
        <v>1184</v>
      </c>
      <c r="B315" s="5" t="s">
        <v>19</v>
      </c>
      <c r="C315" s="5" t="s">
        <v>1186</v>
      </c>
      <c r="D315" s="5">
        <v>3.0</v>
      </c>
      <c r="E315" s="5">
        <v>1.0</v>
      </c>
      <c r="F315" s="5">
        <v>0.0</v>
      </c>
      <c r="G315" s="5">
        <v>0.0</v>
      </c>
      <c r="H315" s="5">
        <v>0.67</v>
      </c>
      <c r="I315" s="5">
        <v>-0.33</v>
      </c>
    </row>
    <row r="316" ht="15.75" customHeight="1">
      <c r="A316" s="4" t="s">
        <v>1187</v>
      </c>
      <c r="B316" s="5" t="s">
        <v>19</v>
      </c>
      <c r="C316" s="5" t="s">
        <v>1188</v>
      </c>
      <c r="D316" s="5">
        <v>3.0</v>
      </c>
      <c r="F316" s="5">
        <v>0.0</v>
      </c>
      <c r="G316" s="5">
        <v>0.0</v>
      </c>
      <c r="H316" s="5">
        <v>0.0</v>
      </c>
    </row>
    <row r="317" ht="15.75" customHeight="1">
      <c r="A317" s="4" t="s">
        <v>1190</v>
      </c>
      <c r="B317" s="5" t="s">
        <v>165</v>
      </c>
      <c r="C317" s="5" t="s">
        <v>1191</v>
      </c>
      <c r="D317" s="5">
        <v>3.0</v>
      </c>
      <c r="E317" s="5">
        <v>1.0</v>
      </c>
      <c r="F317" s="5">
        <v>0.0</v>
      </c>
      <c r="G317" s="5">
        <v>0.0</v>
      </c>
      <c r="H317" s="5">
        <v>2.0</v>
      </c>
      <c r="I317" s="5">
        <v>0.0</v>
      </c>
    </row>
    <row r="318" ht="15.75" customHeight="1">
      <c r="A318" s="4" t="s">
        <v>1193</v>
      </c>
      <c r="B318" s="5" t="s">
        <v>19</v>
      </c>
      <c r="D318" s="5">
        <v>3.0</v>
      </c>
      <c r="F318" s="5">
        <v>0.0</v>
      </c>
      <c r="G318" s="5">
        <v>0.0</v>
      </c>
      <c r="H318" s="5">
        <v>0.0</v>
      </c>
    </row>
    <row r="319" ht="15.75" customHeight="1">
      <c r="A319" s="4" t="s">
        <v>1195</v>
      </c>
      <c r="B319" s="5" t="s">
        <v>19</v>
      </c>
      <c r="C319" s="5" t="s">
        <v>1197</v>
      </c>
      <c r="D319" s="5">
        <v>3.0</v>
      </c>
      <c r="F319" s="5">
        <v>0.0</v>
      </c>
      <c r="G319" s="5">
        <v>0.0</v>
      </c>
      <c r="H319" s="5">
        <v>0.0</v>
      </c>
    </row>
    <row r="320" ht="15.75" customHeight="1">
      <c r="A320" s="4" t="s">
        <v>1198</v>
      </c>
      <c r="B320" s="5" t="s">
        <v>19</v>
      </c>
      <c r="D320" s="5">
        <v>3.0</v>
      </c>
      <c r="F320" s="5">
        <v>0.0</v>
      </c>
      <c r="G320" s="5">
        <v>0.0</v>
      </c>
      <c r="H320" s="5">
        <v>0.0</v>
      </c>
    </row>
    <row r="321" ht="15.75" customHeight="1">
      <c r="A321" s="4" t="s">
        <v>1200</v>
      </c>
      <c r="B321" s="5" t="s">
        <v>19</v>
      </c>
      <c r="C321" s="5" t="s">
        <v>1201</v>
      </c>
      <c r="D321" s="5">
        <v>3.0</v>
      </c>
      <c r="F321" s="5">
        <v>0.0</v>
      </c>
      <c r="G321" s="5">
        <v>0.0</v>
      </c>
      <c r="H321" s="5">
        <v>0.67</v>
      </c>
    </row>
    <row r="322" ht="15.75" customHeight="1">
      <c r="A322" s="4" t="s">
        <v>1203</v>
      </c>
      <c r="B322" s="5" t="s">
        <v>165</v>
      </c>
      <c r="D322" s="5">
        <v>3.0</v>
      </c>
      <c r="E322" s="5">
        <v>1.0</v>
      </c>
      <c r="F322" s="5">
        <v>0.0</v>
      </c>
      <c r="G322" s="5">
        <v>0.0</v>
      </c>
      <c r="H322" s="5">
        <v>1.67</v>
      </c>
      <c r="I322" s="5">
        <v>-0.33</v>
      </c>
    </row>
    <row r="323" ht="15.75" customHeight="1">
      <c r="A323" s="4" t="s">
        <v>1205</v>
      </c>
      <c r="B323" s="5" t="s">
        <v>23</v>
      </c>
      <c r="C323" s="5" t="s">
        <v>1207</v>
      </c>
      <c r="D323" s="5">
        <v>2.0</v>
      </c>
      <c r="F323" s="5">
        <v>0.0</v>
      </c>
      <c r="G323" s="5">
        <v>0.0</v>
      </c>
      <c r="H323" s="5">
        <v>2.0</v>
      </c>
    </row>
    <row r="324" ht="15.75" customHeight="1">
      <c r="A324" s="4" t="s">
        <v>1208</v>
      </c>
      <c r="B324" s="5" t="s">
        <v>85</v>
      </c>
      <c r="C324" s="5" t="s">
        <v>317</v>
      </c>
      <c r="D324" s="5">
        <v>2.0</v>
      </c>
      <c r="F324" s="5">
        <v>0.0</v>
      </c>
      <c r="G324" s="5">
        <v>0.0</v>
      </c>
      <c r="H324" s="5">
        <v>2.0</v>
      </c>
    </row>
    <row r="325" ht="15.75" customHeight="1">
      <c r="A325" s="4" t="s">
        <v>1211</v>
      </c>
      <c r="B325" s="5" t="s">
        <v>19</v>
      </c>
      <c r="D325" s="5">
        <v>2.0</v>
      </c>
      <c r="F325" s="5">
        <v>0.0</v>
      </c>
      <c r="G325" s="5">
        <v>0.0</v>
      </c>
      <c r="H325" s="5">
        <v>1.5</v>
      </c>
    </row>
    <row r="326" ht="15.75" customHeight="1">
      <c r="A326" s="4" t="s">
        <v>1214</v>
      </c>
      <c r="B326" s="5" t="s">
        <v>19</v>
      </c>
      <c r="C326" s="5" t="s">
        <v>1216</v>
      </c>
      <c r="D326" s="5">
        <v>2.0</v>
      </c>
      <c r="E326" s="5">
        <v>1.0</v>
      </c>
      <c r="F326" s="5">
        <v>0.0</v>
      </c>
      <c r="G326" s="5">
        <v>0.0</v>
      </c>
      <c r="H326" s="5">
        <v>1.0</v>
      </c>
      <c r="I326" s="5">
        <v>0.0</v>
      </c>
    </row>
    <row r="327" ht="15.75" customHeight="1">
      <c r="A327" s="4" t="s">
        <v>1218</v>
      </c>
      <c r="B327" s="5" t="s">
        <v>81</v>
      </c>
      <c r="C327" s="5" t="s">
        <v>1220</v>
      </c>
      <c r="D327" s="5">
        <v>2.0</v>
      </c>
      <c r="E327" s="5">
        <v>-2.0</v>
      </c>
      <c r="F327" s="5">
        <v>0.0</v>
      </c>
      <c r="G327" s="5">
        <v>0.0</v>
      </c>
      <c r="H327" s="5">
        <v>1.0</v>
      </c>
      <c r="I327" s="5">
        <v>-0.5</v>
      </c>
    </row>
    <row r="328" ht="15.75" customHeight="1">
      <c r="A328" s="4" t="s">
        <v>1222</v>
      </c>
      <c r="B328" s="5" t="s">
        <v>165</v>
      </c>
      <c r="C328" s="5" t="s">
        <v>342</v>
      </c>
      <c r="D328" s="5">
        <v>2.0</v>
      </c>
      <c r="E328" s="5">
        <v>-1.0</v>
      </c>
      <c r="F328" s="5">
        <v>0.0</v>
      </c>
      <c r="G328" s="5">
        <v>0.0</v>
      </c>
      <c r="H328" s="5">
        <v>1.5</v>
      </c>
      <c r="I328" s="5">
        <v>0.17</v>
      </c>
    </row>
    <row r="329" ht="15.75" customHeight="1">
      <c r="A329" s="4" t="s">
        <v>1225</v>
      </c>
      <c r="B329" s="5" t="s">
        <v>16</v>
      </c>
      <c r="C329" s="5" t="s">
        <v>1226</v>
      </c>
      <c r="D329" s="5">
        <v>2.0</v>
      </c>
      <c r="F329" s="5">
        <v>0.0</v>
      </c>
      <c r="G329" s="5">
        <v>0.0</v>
      </c>
      <c r="H329" s="5">
        <v>0.0</v>
      </c>
    </row>
    <row r="330" ht="15.75" customHeight="1">
      <c r="A330" s="4" t="s">
        <v>1228</v>
      </c>
      <c r="B330" s="5" t="s">
        <v>19</v>
      </c>
      <c r="D330" s="5">
        <v>2.0</v>
      </c>
      <c r="F330" s="5">
        <v>0.0</v>
      </c>
      <c r="G330" s="5">
        <v>0.0</v>
      </c>
      <c r="H330" s="5">
        <v>1.0</v>
      </c>
    </row>
    <row r="331" ht="15.75" customHeight="1">
      <c r="A331" s="4" t="s">
        <v>1231</v>
      </c>
      <c r="B331" s="5" t="s">
        <v>19</v>
      </c>
      <c r="C331" s="5" t="s">
        <v>342</v>
      </c>
      <c r="D331" s="5">
        <v>2.0</v>
      </c>
      <c r="F331" s="5">
        <v>0.0</v>
      </c>
      <c r="G331" s="5">
        <v>0.0</v>
      </c>
      <c r="H331" s="5">
        <v>2.0</v>
      </c>
    </row>
    <row r="332" ht="15.75" customHeight="1">
      <c r="A332" s="4" t="s">
        <v>1233</v>
      </c>
      <c r="B332" s="5" t="s">
        <v>935</v>
      </c>
      <c r="C332" s="5" t="s">
        <v>1236</v>
      </c>
      <c r="D332" s="5">
        <v>2.0</v>
      </c>
      <c r="F332" s="5">
        <v>0.0</v>
      </c>
      <c r="G332" s="5">
        <v>0.0</v>
      </c>
      <c r="H332" s="5">
        <v>0.5</v>
      </c>
    </row>
    <row r="333" ht="15.75" customHeight="1">
      <c r="A333" s="4" t="s">
        <v>1237</v>
      </c>
      <c r="B333" s="5" t="s">
        <v>19</v>
      </c>
      <c r="D333" s="5">
        <v>2.0</v>
      </c>
      <c r="F333" s="5">
        <v>0.0</v>
      </c>
      <c r="G333" s="5">
        <v>0.0</v>
      </c>
      <c r="H333" s="5">
        <v>1.5</v>
      </c>
    </row>
    <row r="334" ht="15.75" customHeight="1">
      <c r="A334" s="4" t="s">
        <v>1240</v>
      </c>
      <c r="B334" s="5" t="s">
        <v>165</v>
      </c>
      <c r="C334" s="5" t="s">
        <v>1242</v>
      </c>
      <c r="D334" s="5">
        <v>2.0</v>
      </c>
      <c r="F334" s="5">
        <v>0.0</v>
      </c>
      <c r="G334" s="5">
        <v>0.0</v>
      </c>
      <c r="H334" s="5">
        <v>1.0</v>
      </c>
    </row>
    <row r="335" ht="15.75" customHeight="1">
      <c r="A335" s="4" t="s">
        <v>1243</v>
      </c>
      <c r="B335" s="5" t="s">
        <v>19</v>
      </c>
      <c r="C335" s="5" t="s">
        <v>1037</v>
      </c>
      <c r="D335" s="5">
        <v>2.0</v>
      </c>
      <c r="F335" s="5">
        <v>0.0</v>
      </c>
      <c r="G335" s="5">
        <v>0.0</v>
      </c>
      <c r="H335" s="5">
        <v>0.5</v>
      </c>
    </row>
    <row r="336" ht="15.75" customHeight="1">
      <c r="A336" s="4" t="s">
        <v>1245</v>
      </c>
      <c r="B336" s="5" t="s">
        <v>19</v>
      </c>
      <c r="D336" s="5">
        <v>2.0</v>
      </c>
      <c r="F336" s="5">
        <v>0.0</v>
      </c>
      <c r="G336" s="5">
        <v>0.0</v>
      </c>
      <c r="H336" s="5">
        <v>0.5</v>
      </c>
    </row>
    <row r="337" ht="15.75" customHeight="1">
      <c r="A337" s="5" t="s">
        <v>1247</v>
      </c>
      <c r="B337" s="5" t="s">
        <v>19</v>
      </c>
      <c r="D337" s="5">
        <v>2.0</v>
      </c>
      <c r="F337" s="5">
        <v>0.0</v>
      </c>
      <c r="G337" s="5">
        <v>0.0</v>
      </c>
      <c r="H337" s="5">
        <v>0.0</v>
      </c>
    </row>
    <row r="338" ht="15.75" customHeight="1">
      <c r="A338" s="4" t="s">
        <v>1248</v>
      </c>
      <c r="B338" s="5" t="s">
        <v>85</v>
      </c>
      <c r="C338" s="5" t="s">
        <v>1251</v>
      </c>
      <c r="D338" s="5">
        <v>2.0</v>
      </c>
      <c r="F338" s="5">
        <v>0.0</v>
      </c>
      <c r="G338" s="5">
        <v>0.0</v>
      </c>
      <c r="H338" s="5">
        <v>0.5</v>
      </c>
    </row>
    <row r="339" ht="15.75" customHeight="1">
      <c r="A339" s="4" t="s">
        <v>1252</v>
      </c>
      <c r="B339" s="5" t="s">
        <v>23</v>
      </c>
      <c r="C339" s="5" t="s">
        <v>1254</v>
      </c>
      <c r="D339" s="5">
        <v>2.0</v>
      </c>
      <c r="F339" s="5">
        <v>0.0</v>
      </c>
      <c r="G339" s="5">
        <v>0.0</v>
      </c>
      <c r="H339" s="5">
        <v>0.5</v>
      </c>
    </row>
    <row r="340" ht="15.75" customHeight="1">
      <c r="A340" s="4" t="s">
        <v>1256</v>
      </c>
      <c r="B340" s="5" t="s">
        <v>19</v>
      </c>
      <c r="D340" s="5">
        <v>2.0</v>
      </c>
      <c r="E340" s="5">
        <v>-5.0</v>
      </c>
      <c r="F340" s="5">
        <v>0.0</v>
      </c>
      <c r="G340" s="5">
        <v>0.0</v>
      </c>
      <c r="H340" s="5">
        <v>0.5</v>
      </c>
      <c r="I340" s="5">
        <v>-0.21</v>
      </c>
    </row>
    <row r="341" ht="15.75" customHeight="1">
      <c r="A341" s="4" t="s">
        <v>1259</v>
      </c>
      <c r="B341" s="5" t="s">
        <v>19</v>
      </c>
      <c r="C341" s="5" t="s">
        <v>1060</v>
      </c>
      <c r="D341" s="5">
        <v>2.0</v>
      </c>
      <c r="E341" s="5">
        <v>-1.0</v>
      </c>
      <c r="F341" s="5">
        <v>0.0</v>
      </c>
      <c r="G341" s="5">
        <v>0.0</v>
      </c>
      <c r="H341" s="5">
        <v>0.0</v>
      </c>
      <c r="I341" s="5">
        <v>-1.0</v>
      </c>
    </row>
    <row r="342" ht="15.75" customHeight="1">
      <c r="A342" s="4" t="s">
        <v>1261</v>
      </c>
      <c r="B342" s="5" t="s">
        <v>19</v>
      </c>
      <c r="C342" s="5" t="s">
        <v>1264</v>
      </c>
      <c r="D342" s="5">
        <v>2.0</v>
      </c>
      <c r="F342" s="5">
        <v>0.0</v>
      </c>
      <c r="G342" s="5">
        <v>0.0</v>
      </c>
      <c r="H342" s="5">
        <v>1.5</v>
      </c>
    </row>
    <row r="343" ht="15.75" customHeight="1">
      <c r="A343" s="4" t="s">
        <v>1265</v>
      </c>
      <c r="B343" s="5" t="s">
        <v>19</v>
      </c>
      <c r="D343" s="5">
        <v>2.0</v>
      </c>
      <c r="F343" s="5">
        <v>0.0</v>
      </c>
      <c r="G343" s="5">
        <v>0.0</v>
      </c>
      <c r="H343" s="5">
        <v>0.0</v>
      </c>
    </row>
    <row r="344" ht="15.75" customHeight="1">
      <c r="A344" s="4" t="s">
        <v>1268</v>
      </c>
      <c r="B344" s="5" t="s">
        <v>165</v>
      </c>
      <c r="D344" s="5">
        <v>2.0</v>
      </c>
      <c r="F344" s="5">
        <v>0.0</v>
      </c>
      <c r="G344" s="5">
        <v>0.0</v>
      </c>
      <c r="H344" s="5">
        <v>0.5</v>
      </c>
    </row>
    <row r="345" ht="15.75" customHeight="1">
      <c r="A345" s="4" t="s">
        <v>1270</v>
      </c>
      <c r="B345" s="5" t="s">
        <v>19</v>
      </c>
      <c r="C345" s="5" t="s">
        <v>1273</v>
      </c>
      <c r="D345" s="5">
        <v>2.0</v>
      </c>
      <c r="F345" s="5">
        <v>0.0</v>
      </c>
      <c r="G345" s="5">
        <v>0.0</v>
      </c>
      <c r="H345" s="5">
        <v>0.0</v>
      </c>
    </row>
    <row r="346" ht="15.75" customHeight="1">
      <c r="A346" s="4" t="s">
        <v>1275</v>
      </c>
      <c r="B346" s="5" t="s">
        <v>19</v>
      </c>
      <c r="D346" s="5">
        <v>2.0</v>
      </c>
      <c r="F346" s="5">
        <v>0.0</v>
      </c>
      <c r="G346" s="5">
        <v>0.0</v>
      </c>
      <c r="H346" s="5">
        <v>0.0</v>
      </c>
    </row>
    <row r="347" ht="15.75" customHeight="1">
      <c r="A347" s="4" t="s">
        <v>1277</v>
      </c>
      <c r="B347" s="5" t="s">
        <v>19</v>
      </c>
      <c r="C347" s="5" t="s">
        <v>1278</v>
      </c>
      <c r="D347" s="5">
        <v>2.0</v>
      </c>
      <c r="F347" s="5">
        <v>0.0</v>
      </c>
      <c r="G347" s="5">
        <v>0.0</v>
      </c>
      <c r="H347" s="5">
        <v>1.0</v>
      </c>
    </row>
    <row r="348" ht="15.75" customHeight="1">
      <c r="A348" s="4" t="s">
        <v>1280</v>
      </c>
      <c r="B348" s="5" t="s">
        <v>19</v>
      </c>
      <c r="C348" s="5" t="s">
        <v>1282</v>
      </c>
      <c r="D348" s="5">
        <v>2.0</v>
      </c>
      <c r="F348" s="5">
        <v>0.0</v>
      </c>
      <c r="G348" s="5">
        <v>0.0</v>
      </c>
      <c r="H348" s="5">
        <v>0.5</v>
      </c>
    </row>
    <row r="349" ht="15.75" customHeight="1">
      <c r="A349" s="4" t="s">
        <v>1283</v>
      </c>
      <c r="B349" s="5" t="s">
        <v>19</v>
      </c>
      <c r="C349" s="5" t="s">
        <v>1285</v>
      </c>
      <c r="D349" s="5">
        <v>2.0</v>
      </c>
      <c r="F349" s="5">
        <v>0.0</v>
      </c>
      <c r="G349" s="5">
        <v>0.0</v>
      </c>
      <c r="H349" s="5">
        <v>0.5</v>
      </c>
    </row>
    <row r="350" ht="15.75" customHeight="1">
      <c r="A350" s="4" t="s">
        <v>1286</v>
      </c>
      <c r="B350" s="5" t="s">
        <v>19</v>
      </c>
      <c r="C350" s="5" t="s">
        <v>1288</v>
      </c>
      <c r="D350" s="5">
        <v>2.0</v>
      </c>
      <c r="F350" s="5">
        <v>0.0</v>
      </c>
      <c r="G350" s="5">
        <v>0.0</v>
      </c>
      <c r="H350" s="5">
        <v>2.5</v>
      </c>
    </row>
    <row r="351" ht="15.75" customHeight="1">
      <c r="A351" s="4" t="s">
        <v>1289</v>
      </c>
      <c r="B351" s="5" t="s">
        <v>19</v>
      </c>
      <c r="D351" s="5">
        <v>2.0</v>
      </c>
      <c r="E351" s="5">
        <v>1.0</v>
      </c>
      <c r="F351" s="5">
        <v>0.0</v>
      </c>
      <c r="G351" s="5">
        <v>0.0</v>
      </c>
      <c r="H351" s="5">
        <v>0.0</v>
      </c>
      <c r="I351" s="5">
        <v>0.0</v>
      </c>
    </row>
    <row r="352" ht="15.75" customHeight="1">
      <c r="A352" s="4" t="s">
        <v>1291</v>
      </c>
      <c r="B352" s="5" t="s">
        <v>19</v>
      </c>
      <c r="C352" s="5" t="s">
        <v>1292</v>
      </c>
      <c r="D352" s="5">
        <v>2.0</v>
      </c>
      <c r="F352" s="5">
        <v>0.0</v>
      </c>
      <c r="G352" s="5">
        <v>0.0</v>
      </c>
      <c r="H352" s="5">
        <v>1.5</v>
      </c>
    </row>
    <row r="353" ht="15.75" customHeight="1">
      <c r="A353" s="4" t="s">
        <v>1294</v>
      </c>
      <c r="B353" s="5" t="s">
        <v>19</v>
      </c>
      <c r="D353" s="5">
        <v>2.0</v>
      </c>
      <c r="F353" s="5">
        <v>0.0</v>
      </c>
      <c r="G353" s="5">
        <v>0.0</v>
      </c>
      <c r="H353" s="5">
        <v>0.0</v>
      </c>
    </row>
    <row r="354" ht="15.75" customHeight="1">
      <c r="A354" s="4" t="s">
        <v>1296</v>
      </c>
      <c r="B354" s="5" t="s">
        <v>19</v>
      </c>
      <c r="C354" s="5" t="s">
        <v>1298</v>
      </c>
      <c r="D354" s="5">
        <v>2.0</v>
      </c>
      <c r="E354" s="5">
        <v>1.0</v>
      </c>
      <c r="F354" s="5">
        <v>0.0</v>
      </c>
      <c r="G354" s="5">
        <v>0.0</v>
      </c>
      <c r="H354" s="5">
        <v>0.5</v>
      </c>
      <c r="I354" s="5">
        <v>0.5</v>
      </c>
    </row>
    <row r="355" ht="15.75" customHeight="1">
      <c r="A355" s="4" t="s">
        <v>1301</v>
      </c>
      <c r="B355" s="5" t="s">
        <v>19</v>
      </c>
      <c r="C355" s="5" t="s">
        <v>931</v>
      </c>
      <c r="D355" s="5">
        <v>2.0</v>
      </c>
      <c r="F355" s="5">
        <v>0.0</v>
      </c>
      <c r="G355" s="5">
        <v>0.0</v>
      </c>
      <c r="H355" s="5">
        <v>1.0</v>
      </c>
    </row>
    <row r="356" ht="15.75" customHeight="1">
      <c r="A356" s="4" t="s">
        <v>1303</v>
      </c>
      <c r="B356" s="5" t="s">
        <v>19</v>
      </c>
      <c r="D356" s="5">
        <v>2.0</v>
      </c>
      <c r="E356" s="5">
        <v>-7.0</v>
      </c>
      <c r="F356" s="5">
        <v>0.0</v>
      </c>
      <c r="G356" s="5">
        <v>0.0</v>
      </c>
      <c r="H356" s="5">
        <v>0.5</v>
      </c>
      <c r="I356" s="5">
        <v>-0.39</v>
      </c>
    </row>
    <row r="357" ht="15.75" customHeight="1">
      <c r="A357" s="4" t="s">
        <v>1306</v>
      </c>
      <c r="B357" s="5" t="s">
        <v>19</v>
      </c>
      <c r="C357" s="5" t="s">
        <v>1060</v>
      </c>
      <c r="D357" s="5">
        <v>2.0</v>
      </c>
      <c r="F357" s="5">
        <v>0.0</v>
      </c>
      <c r="G357" s="5">
        <v>0.0</v>
      </c>
      <c r="H357" s="5">
        <v>1.0</v>
      </c>
    </row>
    <row r="358" ht="15.75" customHeight="1">
      <c r="A358" s="4" t="s">
        <v>1308</v>
      </c>
      <c r="B358" s="5" t="s">
        <v>23</v>
      </c>
      <c r="C358" s="5" t="s">
        <v>1310</v>
      </c>
      <c r="D358" s="5">
        <v>2.0</v>
      </c>
      <c r="E358" s="5">
        <v>-12.0</v>
      </c>
      <c r="F358" s="5">
        <v>0.0</v>
      </c>
      <c r="G358" s="5">
        <v>0.0</v>
      </c>
      <c r="H358" s="5">
        <v>1.0</v>
      </c>
      <c r="I358" s="5">
        <v>-0.14</v>
      </c>
    </row>
    <row r="359" ht="15.75" customHeight="1">
      <c r="A359" s="4" t="s">
        <v>1311</v>
      </c>
      <c r="B359" s="5" t="s">
        <v>19</v>
      </c>
      <c r="C359" s="5" t="s">
        <v>952</v>
      </c>
      <c r="D359" s="5">
        <v>2.0</v>
      </c>
      <c r="F359" s="5">
        <v>0.0</v>
      </c>
      <c r="G359" s="5">
        <v>0.0</v>
      </c>
      <c r="H359" s="5">
        <v>1.0</v>
      </c>
    </row>
    <row r="360" ht="15.75" customHeight="1">
      <c r="A360" s="5" t="s">
        <v>1313</v>
      </c>
      <c r="B360" s="5" t="s">
        <v>19</v>
      </c>
      <c r="C360" s="5" t="s">
        <v>1314</v>
      </c>
      <c r="D360" s="5">
        <v>2.0</v>
      </c>
      <c r="F360" s="5">
        <v>0.0</v>
      </c>
      <c r="G360" s="5">
        <v>0.0</v>
      </c>
      <c r="H360" s="5">
        <v>0.0</v>
      </c>
    </row>
    <row r="361" ht="15.75" customHeight="1">
      <c r="A361" s="4" t="s">
        <v>1315</v>
      </c>
      <c r="B361" s="5" t="s">
        <v>19</v>
      </c>
      <c r="C361" s="5" t="s">
        <v>1318</v>
      </c>
      <c r="D361" s="5">
        <v>2.0</v>
      </c>
      <c r="E361" s="5">
        <v>-4.0</v>
      </c>
      <c r="F361" s="5">
        <v>0.0</v>
      </c>
      <c r="G361" s="5">
        <v>0.0</v>
      </c>
      <c r="H361" s="5">
        <v>1.0</v>
      </c>
      <c r="I361" s="5">
        <v>0.5</v>
      </c>
    </row>
    <row r="362" ht="15.75" customHeight="1">
      <c r="A362" s="4" t="s">
        <v>1319</v>
      </c>
      <c r="B362" s="5" t="s">
        <v>19</v>
      </c>
      <c r="D362" s="5">
        <v>2.0</v>
      </c>
      <c r="E362" s="5">
        <v>-1.0</v>
      </c>
      <c r="F362" s="5">
        <v>0.0</v>
      </c>
      <c r="G362" s="5">
        <v>0.0</v>
      </c>
      <c r="H362" s="5">
        <v>0.0</v>
      </c>
      <c r="I362" s="5">
        <v>0.0</v>
      </c>
    </row>
    <row r="363" ht="15.75" customHeight="1">
      <c r="A363" s="4" t="s">
        <v>1321</v>
      </c>
      <c r="B363" s="5" t="s">
        <v>19</v>
      </c>
      <c r="D363" s="5">
        <v>2.0</v>
      </c>
      <c r="F363" s="5">
        <v>0.0</v>
      </c>
      <c r="G363" s="5">
        <v>0.0</v>
      </c>
      <c r="H363" s="5">
        <v>0.5</v>
      </c>
    </row>
    <row r="364" ht="15.75" customHeight="1">
      <c r="A364" s="4" t="s">
        <v>1323</v>
      </c>
      <c r="B364" s="5" t="s">
        <v>19</v>
      </c>
      <c r="C364" s="5" t="s">
        <v>342</v>
      </c>
      <c r="D364" s="5">
        <v>2.0</v>
      </c>
      <c r="F364" s="5">
        <v>0.0</v>
      </c>
      <c r="G364" s="5">
        <v>0.0</v>
      </c>
      <c r="H364" s="5">
        <v>1.5</v>
      </c>
    </row>
    <row r="365" ht="15.75" customHeight="1">
      <c r="A365" s="4" t="s">
        <v>1326</v>
      </c>
      <c r="B365" s="5" t="s">
        <v>19</v>
      </c>
      <c r="C365" s="5" t="s">
        <v>1327</v>
      </c>
      <c r="D365" s="5">
        <v>2.0</v>
      </c>
      <c r="F365" s="5">
        <v>0.0</v>
      </c>
      <c r="G365" s="5">
        <v>0.0</v>
      </c>
      <c r="H365" s="5">
        <v>0.5</v>
      </c>
    </row>
    <row r="366" ht="15.75" customHeight="1">
      <c r="A366" s="4" t="s">
        <v>1328</v>
      </c>
      <c r="B366" s="5" t="s">
        <v>165</v>
      </c>
      <c r="C366" s="5" t="s">
        <v>1163</v>
      </c>
      <c r="D366" s="5">
        <v>2.0</v>
      </c>
      <c r="F366" s="5">
        <v>0.0</v>
      </c>
      <c r="G366" s="5">
        <v>0.0</v>
      </c>
      <c r="H366" s="5">
        <v>2.0</v>
      </c>
    </row>
    <row r="367" ht="15.75" customHeight="1">
      <c r="A367" s="4" t="s">
        <v>1329</v>
      </c>
      <c r="B367" s="5" t="s">
        <v>19</v>
      </c>
      <c r="D367" s="5">
        <v>2.0</v>
      </c>
      <c r="F367" s="5">
        <v>0.0</v>
      </c>
      <c r="G367" s="5">
        <v>0.0</v>
      </c>
      <c r="H367" s="5">
        <v>0.0</v>
      </c>
    </row>
    <row r="368" ht="15.75" customHeight="1">
      <c r="A368" s="4" t="s">
        <v>1331</v>
      </c>
      <c r="B368" s="5" t="s">
        <v>19</v>
      </c>
      <c r="C368" s="5" t="s">
        <v>1333</v>
      </c>
      <c r="D368" s="5">
        <v>2.0</v>
      </c>
      <c r="F368" s="5">
        <v>0.0</v>
      </c>
      <c r="G368" s="5">
        <v>0.0</v>
      </c>
      <c r="H368" s="5">
        <v>1.0</v>
      </c>
    </row>
    <row r="369" ht="15.75" customHeight="1">
      <c r="A369" s="4" t="s">
        <v>1334</v>
      </c>
      <c r="B369" s="5" t="s">
        <v>19</v>
      </c>
      <c r="C369" s="5" t="s">
        <v>1336</v>
      </c>
      <c r="D369" s="5">
        <v>2.0</v>
      </c>
      <c r="E369" s="5">
        <v>-2.0</v>
      </c>
      <c r="F369" s="5">
        <v>0.0</v>
      </c>
      <c r="G369" s="5">
        <v>0.0</v>
      </c>
      <c r="H369" s="5">
        <v>0.0</v>
      </c>
      <c r="I369" s="5">
        <v>-0.25</v>
      </c>
    </row>
    <row r="370" ht="15.75" customHeight="1">
      <c r="A370" s="4" t="s">
        <v>1337</v>
      </c>
      <c r="B370" s="5" t="s">
        <v>19</v>
      </c>
      <c r="C370" s="5" t="s">
        <v>1339</v>
      </c>
      <c r="D370" s="5">
        <v>2.0</v>
      </c>
      <c r="E370" s="5">
        <v>-2.0</v>
      </c>
      <c r="F370" s="5">
        <v>0.0</v>
      </c>
      <c r="G370" s="5">
        <v>0.0</v>
      </c>
      <c r="H370" s="5">
        <v>1.5</v>
      </c>
      <c r="I370" s="5">
        <v>0.5</v>
      </c>
    </row>
    <row r="371" ht="15.75" customHeight="1">
      <c r="A371" s="4" t="s">
        <v>1340</v>
      </c>
      <c r="B371" s="5" t="s">
        <v>19</v>
      </c>
      <c r="D371" s="5">
        <v>2.0</v>
      </c>
      <c r="F371" s="5">
        <v>0.0</v>
      </c>
      <c r="G371" s="5">
        <v>0.0</v>
      </c>
      <c r="H371" s="5">
        <v>0.5</v>
      </c>
    </row>
    <row r="372" ht="15.75" customHeight="1">
      <c r="A372" s="4" t="s">
        <v>1342</v>
      </c>
      <c r="B372" s="5" t="s">
        <v>19</v>
      </c>
      <c r="D372" s="5">
        <v>2.0</v>
      </c>
      <c r="F372" s="5">
        <v>0.0</v>
      </c>
      <c r="G372" s="5">
        <v>0.0</v>
      </c>
      <c r="H372" s="5">
        <v>2.0</v>
      </c>
    </row>
    <row r="373" ht="15.75" customHeight="1">
      <c r="A373" s="4" t="s">
        <v>1345</v>
      </c>
      <c r="B373" s="5" t="s">
        <v>85</v>
      </c>
      <c r="C373" s="5" t="s">
        <v>1347</v>
      </c>
      <c r="D373" s="5">
        <v>2.0</v>
      </c>
      <c r="E373" s="5">
        <v>-5.0</v>
      </c>
      <c r="F373" s="5">
        <v>0.0</v>
      </c>
      <c r="G373" s="5">
        <v>0.0</v>
      </c>
      <c r="H373" s="5">
        <v>0.5</v>
      </c>
      <c r="I373" s="5">
        <v>0.36</v>
      </c>
    </row>
    <row r="374" ht="15.75" customHeight="1">
      <c r="A374" s="4" t="s">
        <v>1349</v>
      </c>
      <c r="B374" s="5" t="s">
        <v>19</v>
      </c>
      <c r="C374" s="5" t="s">
        <v>342</v>
      </c>
      <c r="D374" s="5">
        <v>2.0</v>
      </c>
      <c r="E374" s="5">
        <v>1.0</v>
      </c>
      <c r="F374" s="5">
        <v>0.0</v>
      </c>
      <c r="G374" s="5">
        <v>0.0</v>
      </c>
      <c r="H374" s="5">
        <v>0.5</v>
      </c>
      <c r="I374" s="5">
        <v>0.5</v>
      </c>
    </row>
    <row r="375" ht="15.75" customHeight="1">
      <c r="A375" s="4" t="s">
        <v>1351</v>
      </c>
      <c r="B375" s="5" t="s">
        <v>19</v>
      </c>
      <c r="C375" s="5" t="s">
        <v>1352</v>
      </c>
      <c r="D375" s="5">
        <v>2.0</v>
      </c>
      <c r="E375" s="5">
        <v>-5.0</v>
      </c>
      <c r="F375" s="5">
        <v>0.0</v>
      </c>
      <c r="G375" s="5">
        <v>0.0</v>
      </c>
      <c r="H375" s="5">
        <v>0.0</v>
      </c>
      <c r="I375" s="5">
        <v>-1.71</v>
      </c>
    </row>
    <row r="376" ht="15.75" customHeight="1">
      <c r="A376" s="4" t="s">
        <v>1354</v>
      </c>
      <c r="B376" s="5" t="s">
        <v>19</v>
      </c>
      <c r="D376" s="5">
        <v>2.0</v>
      </c>
      <c r="F376" s="5">
        <v>0.0</v>
      </c>
      <c r="G376" s="5">
        <v>0.0</v>
      </c>
      <c r="H376" s="5">
        <v>1.0</v>
      </c>
    </row>
    <row r="377" ht="15.75" customHeight="1">
      <c r="A377" s="4" t="s">
        <v>1357</v>
      </c>
      <c r="B377" s="5" t="s">
        <v>19</v>
      </c>
      <c r="C377" s="5" t="s">
        <v>1359</v>
      </c>
      <c r="D377" s="5">
        <v>2.0</v>
      </c>
      <c r="F377" s="5">
        <v>0.0</v>
      </c>
      <c r="G377" s="5">
        <v>0.0</v>
      </c>
      <c r="H377" s="5">
        <v>0.5</v>
      </c>
    </row>
    <row r="378" ht="15.75" customHeight="1">
      <c r="A378" s="4" t="s">
        <v>1361</v>
      </c>
      <c r="B378" s="5" t="s">
        <v>85</v>
      </c>
      <c r="C378" s="5" t="s">
        <v>1363</v>
      </c>
      <c r="D378" s="5">
        <v>2.0</v>
      </c>
      <c r="F378" s="5">
        <v>0.0</v>
      </c>
      <c r="G378" s="5">
        <v>0.0</v>
      </c>
      <c r="H378" s="5">
        <v>0.0</v>
      </c>
    </row>
    <row r="379" ht="15.75" customHeight="1">
      <c r="A379" s="4" t="s">
        <v>1364</v>
      </c>
      <c r="B379" s="5" t="s">
        <v>19</v>
      </c>
      <c r="D379" s="5">
        <v>2.0</v>
      </c>
      <c r="E379" s="5">
        <v>1.0</v>
      </c>
      <c r="F379" s="5">
        <v>0.0</v>
      </c>
      <c r="G379" s="5">
        <v>0.0</v>
      </c>
      <c r="H379" s="5">
        <v>0.5</v>
      </c>
      <c r="I379" s="5">
        <v>-0.5</v>
      </c>
    </row>
    <row r="380" ht="15.75" customHeight="1">
      <c r="A380" s="4" t="s">
        <v>1366</v>
      </c>
      <c r="B380" s="5" t="s">
        <v>19</v>
      </c>
      <c r="C380" s="5" t="s">
        <v>1045</v>
      </c>
      <c r="D380" s="5">
        <v>2.0</v>
      </c>
      <c r="F380" s="5">
        <v>0.0</v>
      </c>
      <c r="G380" s="5">
        <v>0.0</v>
      </c>
      <c r="H380" s="5">
        <v>0.0</v>
      </c>
    </row>
    <row r="381" ht="15.75" customHeight="1">
      <c r="A381" s="4" t="s">
        <v>1369</v>
      </c>
      <c r="B381" s="5" t="s">
        <v>19</v>
      </c>
      <c r="D381" s="5">
        <v>2.0</v>
      </c>
      <c r="E381" s="5">
        <v>-3.0</v>
      </c>
      <c r="F381" s="5">
        <v>0.0</v>
      </c>
      <c r="G381" s="5">
        <v>0.0</v>
      </c>
      <c r="H381" s="5">
        <v>3.0</v>
      </c>
      <c r="I381" s="5">
        <v>3.0</v>
      </c>
    </row>
    <row r="382" ht="15.75" customHeight="1">
      <c r="A382" s="4" t="s">
        <v>1371</v>
      </c>
      <c r="B382" s="5" t="s">
        <v>85</v>
      </c>
      <c r="C382" s="5" t="s">
        <v>1373</v>
      </c>
      <c r="D382" s="5">
        <v>2.0</v>
      </c>
      <c r="F382" s="5">
        <v>0.0</v>
      </c>
      <c r="G382" s="5">
        <v>0.0</v>
      </c>
      <c r="H382" s="5">
        <v>0.0</v>
      </c>
    </row>
    <row r="383" ht="15.75" customHeight="1">
      <c r="A383" s="5" t="s">
        <v>1374</v>
      </c>
      <c r="B383" s="5" t="s">
        <v>19</v>
      </c>
      <c r="D383" s="5">
        <v>2.0</v>
      </c>
      <c r="F383" s="5">
        <v>0.0</v>
      </c>
      <c r="G383" s="5">
        <v>0.0</v>
      </c>
      <c r="H383" s="5">
        <v>1.0</v>
      </c>
    </row>
    <row r="384" ht="15.75" customHeight="1">
      <c r="A384" s="4" t="s">
        <v>1376</v>
      </c>
      <c r="B384" s="5" t="s">
        <v>19</v>
      </c>
      <c r="D384" s="5">
        <v>2.0</v>
      </c>
      <c r="E384" s="5">
        <v>-1.0</v>
      </c>
      <c r="F384" s="5">
        <v>0.0</v>
      </c>
      <c r="G384" s="5">
        <v>0.0</v>
      </c>
      <c r="H384" s="5">
        <v>0.0</v>
      </c>
      <c r="I384" s="5">
        <v>0.0</v>
      </c>
    </row>
    <row r="385" ht="15.75" customHeight="1">
      <c r="A385" s="4" t="s">
        <v>1378</v>
      </c>
      <c r="B385" s="5" t="s">
        <v>19</v>
      </c>
      <c r="D385" s="5">
        <v>2.0</v>
      </c>
      <c r="E385" s="5">
        <v>-3.0</v>
      </c>
      <c r="F385" s="5">
        <v>0.0</v>
      </c>
      <c r="G385" s="5">
        <v>0.0</v>
      </c>
      <c r="H385" s="5">
        <v>0.5</v>
      </c>
      <c r="I385" s="5">
        <v>-0.1</v>
      </c>
    </row>
    <row r="386" ht="15.75" customHeight="1">
      <c r="A386" s="4" t="s">
        <v>1380</v>
      </c>
      <c r="B386" s="5" t="s">
        <v>19</v>
      </c>
      <c r="C386" s="5" t="s">
        <v>1382</v>
      </c>
      <c r="D386" s="5">
        <v>2.0</v>
      </c>
      <c r="E386" s="5">
        <v>-11.0</v>
      </c>
      <c r="F386" s="5">
        <v>0.0</v>
      </c>
      <c r="G386" s="5">
        <v>0.0</v>
      </c>
      <c r="H386" s="5">
        <v>0.5</v>
      </c>
      <c r="I386" s="5">
        <v>-0.12</v>
      </c>
    </row>
    <row r="387" ht="15.75" customHeight="1">
      <c r="A387" s="4" t="s">
        <v>1383</v>
      </c>
      <c r="B387" s="5" t="s">
        <v>19</v>
      </c>
      <c r="D387" s="5">
        <v>2.0</v>
      </c>
      <c r="F387" s="5">
        <v>0.0</v>
      </c>
      <c r="G387" s="5">
        <v>0.0</v>
      </c>
      <c r="H387" s="5">
        <v>1.0</v>
      </c>
    </row>
    <row r="388" ht="15.75" customHeight="1">
      <c r="A388" s="4" t="s">
        <v>1386</v>
      </c>
      <c r="B388" s="5" t="s">
        <v>19</v>
      </c>
      <c r="D388" s="5">
        <v>2.0</v>
      </c>
      <c r="E388" s="5">
        <v>1.0</v>
      </c>
      <c r="F388" s="5">
        <v>0.0</v>
      </c>
      <c r="G388" s="5">
        <v>0.0</v>
      </c>
      <c r="H388" s="5">
        <v>1.0</v>
      </c>
      <c r="I388" s="5">
        <v>1.0</v>
      </c>
    </row>
    <row r="389" ht="15.75" customHeight="1">
      <c r="A389" s="4" t="s">
        <v>1388</v>
      </c>
      <c r="B389" s="5" t="s">
        <v>19</v>
      </c>
      <c r="D389" s="5">
        <v>2.0</v>
      </c>
      <c r="F389" s="5">
        <v>0.0</v>
      </c>
      <c r="G389" s="5">
        <v>0.0</v>
      </c>
      <c r="H389" s="5">
        <v>0.0</v>
      </c>
    </row>
    <row r="390" ht="15.75" customHeight="1">
      <c r="A390" s="4" t="s">
        <v>1391</v>
      </c>
      <c r="B390" s="5" t="s">
        <v>19</v>
      </c>
      <c r="D390" s="5">
        <v>2.0</v>
      </c>
      <c r="F390" s="5">
        <v>0.0</v>
      </c>
      <c r="G390" s="5">
        <v>0.0</v>
      </c>
      <c r="H390" s="5">
        <v>0.0</v>
      </c>
    </row>
    <row r="391" ht="15.75" customHeight="1">
      <c r="A391" s="4" t="s">
        <v>1394</v>
      </c>
      <c r="B391" s="5" t="s">
        <v>16</v>
      </c>
      <c r="C391" s="5" t="s">
        <v>1226</v>
      </c>
      <c r="D391" s="5">
        <v>2.0</v>
      </c>
      <c r="F391" s="5">
        <v>0.0</v>
      </c>
      <c r="G391" s="5">
        <v>0.0</v>
      </c>
      <c r="H391" s="5">
        <v>0.0</v>
      </c>
    </row>
    <row r="392" ht="15.75" customHeight="1">
      <c r="A392" s="4" t="s">
        <v>1396</v>
      </c>
      <c r="B392" s="5" t="s">
        <v>19</v>
      </c>
      <c r="C392" s="5" t="s">
        <v>396</v>
      </c>
      <c r="D392" s="5">
        <v>2.0</v>
      </c>
      <c r="E392" s="5">
        <v>-10.0</v>
      </c>
      <c r="F392" s="5">
        <v>0.0</v>
      </c>
      <c r="G392" s="5">
        <v>0.0</v>
      </c>
      <c r="H392" s="5">
        <v>0.0</v>
      </c>
      <c r="I392" s="5">
        <v>-0.42</v>
      </c>
    </row>
    <row r="393" ht="15.75" customHeight="1">
      <c r="A393" s="5" t="s">
        <v>1398</v>
      </c>
      <c r="B393" s="5" t="s">
        <v>19</v>
      </c>
      <c r="C393" s="5" t="s">
        <v>247</v>
      </c>
      <c r="D393" s="5">
        <v>2.0</v>
      </c>
      <c r="E393" s="5">
        <v>-1.0</v>
      </c>
      <c r="F393" s="5">
        <v>0.0</v>
      </c>
      <c r="G393" s="5">
        <v>0.0</v>
      </c>
      <c r="H393" s="5">
        <v>0.0</v>
      </c>
      <c r="I393" s="5">
        <v>-1.33</v>
      </c>
    </row>
    <row r="394" ht="15.75" customHeight="1">
      <c r="A394" s="4" t="s">
        <v>1400</v>
      </c>
      <c r="B394" s="5" t="s">
        <v>19</v>
      </c>
      <c r="C394" s="5" t="s">
        <v>1401</v>
      </c>
      <c r="D394" s="5">
        <v>2.0</v>
      </c>
      <c r="F394" s="5">
        <v>0.0</v>
      </c>
      <c r="G394" s="5">
        <v>0.0</v>
      </c>
      <c r="H394" s="5">
        <v>0.5</v>
      </c>
    </row>
    <row r="395" ht="15.75" customHeight="1">
      <c r="A395" s="4" t="s">
        <v>1402</v>
      </c>
      <c r="B395" s="5" t="s">
        <v>19</v>
      </c>
      <c r="C395" s="5" t="s">
        <v>1404</v>
      </c>
      <c r="D395" s="5">
        <v>2.0</v>
      </c>
      <c r="E395" s="5">
        <v>0.0</v>
      </c>
      <c r="F395" s="5">
        <v>0.0</v>
      </c>
      <c r="G395" s="5">
        <v>0.0</v>
      </c>
      <c r="H395" s="5">
        <v>0.0</v>
      </c>
      <c r="I395" s="5">
        <v>0.0</v>
      </c>
    </row>
    <row r="396" ht="15.75" customHeight="1">
      <c r="A396" s="4" t="s">
        <v>1405</v>
      </c>
      <c r="B396" s="5" t="s">
        <v>19</v>
      </c>
      <c r="C396" s="5" t="s">
        <v>1408</v>
      </c>
      <c r="D396" s="5">
        <v>2.0</v>
      </c>
      <c r="F396" s="5">
        <v>0.0</v>
      </c>
      <c r="G396" s="5">
        <v>0.0</v>
      </c>
      <c r="H396" s="5">
        <v>0.5</v>
      </c>
    </row>
    <row r="397" ht="15.75" customHeight="1">
      <c r="A397" s="4" t="s">
        <v>1409</v>
      </c>
      <c r="B397" s="5" t="s">
        <v>19</v>
      </c>
      <c r="D397" s="5">
        <v>2.0</v>
      </c>
      <c r="F397" s="5">
        <v>0.0</v>
      </c>
      <c r="G397" s="5">
        <v>0.0</v>
      </c>
      <c r="H397" s="5">
        <v>0.0</v>
      </c>
    </row>
    <row r="398" ht="15.75" customHeight="1">
      <c r="A398" s="4" t="s">
        <v>1410</v>
      </c>
      <c r="B398" s="5" t="s">
        <v>165</v>
      </c>
      <c r="C398" s="5" t="s">
        <v>1411</v>
      </c>
      <c r="D398" s="5">
        <v>2.0</v>
      </c>
      <c r="F398" s="5">
        <v>0.0</v>
      </c>
      <c r="G398" s="5">
        <v>0.0</v>
      </c>
      <c r="H398" s="5">
        <v>2.5</v>
      </c>
    </row>
    <row r="399" ht="15.75" customHeight="1">
      <c r="A399" s="4" t="s">
        <v>1413</v>
      </c>
      <c r="B399" s="5" t="s">
        <v>19</v>
      </c>
      <c r="C399" s="5" t="s">
        <v>1414</v>
      </c>
      <c r="D399" s="5">
        <v>2.0</v>
      </c>
      <c r="F399" s="5">
        <v>0.0</v>
      </c>
      <c r="G399" s="5">
        <v>0.0</v>
      </c>
      <c r="H399" s="5">
        <v>0.0</v>
      </c>
    </row>
    <row r="400" ht="15.75" customHeight="1">
      <c r="A400" s="4" t="s">
        <v>1416</v>
      </c>
      <c r="B400" s="5" t="s">
        <v>19</v>
      </c>
      <c r="C400" s="5" t="s">
        <v>1417</v>
      </c>
      <c r="D400" s="5">
        <v>2.0</v>
      </c>
      <c r="F400" s="5">
        <v>0.0</v>
      </c>
      <c r="G400" s="5">
        <v>0.0</v>
      </c>
      <c r="H400" s="5">
        <v>0.0</v>
      </c>
    </row>
    <row r="401" ht="15.75" customHeight="1">
      <c r="A401" s="4" t="s">
        <v>1418</v>
      </c>
      <c r="B401" s="5" t="s">
        <v>19</v>
      </c>
      <c r="C401" s="5" t="s">
        <v>396</v>
      </c>
      <c r="D401" s="5">
        <v>2.0</v>
      </c>
      <c r="E401" s="5">
        <v>-1.0</v>
      </c>
      <c r="F401" s="5">
        <v>0.0</v>
      </c>
      <c r="G401" s="5">
        <v>0.0</v>
      </c>
      <c r="H401" s="5">
        <v>0.5</v>
      </c>
      <c r="I401" s="5">
        <v>-0.83</v>
      </c>
    </row>
    <row r="402" ht="15.75" customHeight="1">
      <c r="A402" s="4" t="s">
        <v>1420</v>
      </c>
      <c r="B402" s="5" t="s">
        <v>19</v>
      </c>
      <c r="C402" s="5" t="s">
        <v>1422</v>
      </c>
      <c r="D402" s="5">
        <v>2.0</v>
      </c>
      <c r="F402" s="5">
        <v>0.0</v>
      </c>
      <c r="G402" s="5">
        <v>0.0</v>
      </c>
      <c r="H402" s="5">
        <v>2.5</v>
      </c>
    </row>
    <row r="403" ht="15.75" customHeight="1">
      <c r="A403" s="4" t="s">
        <v>1423</v>
      </c>
      <c r="B403" s="5" t="s">
        <v>19</v>
      </c>
      <c r="D403" s="5">
        <v>2.0</v>
      </c>
      <c r="E403" s="5">
        <v>-12.0</v>
      </c>
      <c r="F403" s="5">
        <v>0.0</v>
      </c>
      <c r="G403" s="5">
        <v>0.0</v>
      </c>
      <c r="H403" s="5">
        <v>1.5</v>
      </c>
      <c r="I403" s="5">
        <v>0.29</v>
      </c>
    </row>
    <row r="404" ht="15.75" customHeight="1">
      <c r="A404" s="4" t="s">
        <v>1426</v>
      </c>
      <c r="B404" s="5" t="s">
        <v>16</v>
      </c>
      <c r="C404" s="5" t="s">
        <v>1427</v>
      </c>
      <c r="D404" s="5">
        <v>2.0</v>
      </c>
      <c r="E404" s="5">
        <v>-3.0</v>
      </c>
      <c r="F404" s="5">
        <v>0.0</v>
      </c>
      <c r="G404" s="5">
        <v>0.0</v>
      </c>
      <c r="H404" s="5">
        <v>0.5</v>
      </c>
      <c r="I404" s="5">
        <v>-1.3</v>
      </c>
    </row>
    <row r="405" ht="15.75" customHeight="1">
      <c r="A405" s="4" t="s">
        <v>1429</v>
      </c>
      <c r="B405" s="5" t="s">
        <v>16</v>
      </c>
      <c r="C405" s="5" t="s">
        <v>1430</v>
      </c>
      <c r="D405" s="5">
        <v>2.0</v>
      </c>
      <c r="E405" s="5">
        <v>-5.0</v>
      </c>
      <c r="F405" s="5">
        <v>0.0</v>
      </c>
      <c r="G405" s="5">
        <v>0.0</v>
      </c>
      <c r="H405" s="5">
        <v>1.0</v>
      </c>
      <c r="I405" s="5">
        <v>0.43</v>
      </c>
    </row>
    <row r="406" ht="15.75" customHeight="1">
      <c r="A406" s="4" t="s">
        <v>1431</v>
      </c>
      <c r="B406" s="5" t="s">
        <v>19</v>
      </c>
      <c r="C406" s="5" t="s">
        <v>1433</v>
      </c>
      <c r="D406" s="5">
        <v>2.0</v>
      </c>
      <c r="F406" s="5">
        <v>0.0</v>
      </c>
      <c r="G406" s="5">
        <v>0.0</v>
      </c>
      <c r="H406" s="5">
        <v>0.0</v>
      </c>
    </row>
    <row r="407" ht="15.75" customHeight="1">
      <c r="A407" s="4" t="s">
        <v>1435</v>
      </c>
      <c r="B407" s="5" t="s">
        <v>19</v>
      </c>
      <c r="D407" s="5">
        <v>2.0</v>
      </c>
      <c r="F407" s="5">
        <v>0.0</v>
      </c>
      <c r="G407" s="5">
        <v>0.0</v>
      </c>
      <c r="H407" s="5">
        <v>0.0</v>
      </c>
    </row>
    <row r="408" ht="15.75" customHeight="1">
      <c r="A408" s="4" t="s">
        <v>1438</v>
      </c>
      <c r="B408" s="5" t="s">
        <v>165</v>
      </c>
      <c r="C408" s="5" t="s">
        <v>1440</v>
      </c>
      <c r="D408" s="5">
        <v>1.0</v>
      </c>
      <c r="F408" s="5">
        <v>0.0</v>
      </c>
      <c r="G408" s="5">
        <v>0.0</v>
      </c>
      <c r="H408" s="5">
        <v>4.0</v>
      </c>
    </row>
    <row r="409" ht="15.75" customHeight="1">
      <c r="A409" s="4" t="s">
        <v>1441</v>
      </c>
      <c r="B409" s="5" t="s">
        <v>23</v>
      </c>
      <c r="C409" s="5" t="s">
        <v>1444</v>
      </c>
      <c r="D409" s="5">
        <v>1.0</v>
      </c>
      <c r="F409" s="5">
        <v>0.0</v>
      </c>
      <c r="G409" s="5">
        <v>0.0</v>
      </c>
      <c r="H409" s="5">
        <v>2.0</v>
      </c>
    </row>
    <row r="410" ht="15.75" customHeight="1">
      <c r="A410" s="4" t="s">
        <v>1445</v>
      </c>
      <c r="B410" s="5" t="s">
        <v>19</v>
      </c>
      <c r="D410" s="5">
        <v>1.0</v>
      </c>
      <c r="F410" s="5">
        <v>0.0</v>
      </c>
      <c r="G410" s="5">
        <v>0.0</v>
      </c>
      <c r="H410" s="5">
        <v>3.0</v>
      </c>
    </row>
    <row r="411" ht="15.75" customHeight="1">
      <c r="A411" s="4" t="s">
        <v>1447</v>
      </c>
      <c r="B411" s="5" t="s">
        <v>19</v>
      </c>
      <c r="C411" s="5" t="s">
        <v>1450</v>
      </c>
      <c r="D411" s="5">
        <v>1.0</v>
      </c>
      <c r="F411" s="5">
        <v>0.0</v>
      </c>
      <c r="G411" s="5">
        <v>0.0</v>
      </c>
      <c r="H411" s="5">
        <v>2.0</v>
      </c>
    </row>
    <row r="412" ht="15.75" customHeight="1">
      <c r="A412" s="4" t="s">
        <v>1451</v>
      </c>
      <c r="B412" s="5" t="s">
        <v>19</v>
      </c>
      <c r="C412" s="5" t="s">
        <v>1453</v>
      </c>
      <c r="D412" s="5">
        <v>1.0</v>
      </c>
      <c r="E412" s="5">
        <v>-3.0</v>
      </c>
      <c r="F412" s="5">
        <v>0.0</v>
      </c>
      <c r="G412" s="5">
        <v>0.0</v>
      </c>
      <c r="H412" s="5">
        <v>3.0</v>
      </c>
      <c r="I412" s="5">
        <v>0.25</v>
      </c>
    </row>
    <row r="413" ht="15.75" customHeight="1">
      <c r="A413" s="4" t="s">
        <v>1454</v>
      </c>
      <c r="B413" s="5" t="s">
        <v>19</v>
      </c>
      <c r="C413" s="5" t="s">
        <v>399</v>
      </c>
      <c r="D413" s="5">
        <v>1.0</v>
      </c>
      <c r="F413" s="5">
        <v>0.0</v>
      </c>
      <c r="G413" s="5">
        <v>0.0</v>
      </c>
      <c r="H413" s="5">
        <v>0.0</v>
      </c>
    </row>
    <row r="414" ht="15.75" customHeight="1">
      <c r="A414" s="4" t="s">
        <v>1456</v>
      </c>
      <c r="B414" s="5" t="s">
        <v>19</v>
      </c>
      <c r="D414" s="5">
        <v>1.0</v>
      </c>
      <c r="E414" s="5">
        <v>0.0</v>
      </c>
      <c r="F414" s="5">
        <v>0.0</v>
      </c>
      <c r="G414" s="5">
        <v>0.0</v>
      </c>
      <c r="H414" s="5">
        <v>2.0</v>
      </c>
      <c r="I414" s="5">
        <v>2.0</v>
      </c>
    </row>
    <row r="415" ht="15.75" customHeight="1">
      <c r="A415" s="4" t="s">
        <v>1458</v>
      </c>
      <c r="B415" s="5" t="s">
        <v>23</v>
      </c>
      <c r="C415" s="5" t="s">
        <v>1460</v>
      </c>
      <c r="D415" s="5">
        <v>1.0</v>
      </c>
      <c r="F415" s="5">
        <v>0.0</v>
      </c>
      <c r="G415" s="5">
        <v>0.0</v>
      </c>
      <c r="H415" s="5">
        <v>2.0</v>
      </c>
    </row>
    <row r="416" ht="15.75" customHeight="1">
      <c r="A416" s="4" t="s">
        <v>1461</v>
      </c>
      <c r="B416" s="5" t="s">
        <v>85</v>
      </c>
      <c r="C416" s="5" t="s">
        <v>1463</v>
      </c>
      <c r="D416" s="5">
        <v>1.0</v>
      </c>
      <c r="F416" s="5">
        <v>0.0</v>
      </c>
      <c r="G416" s="5">
        <v>0.0</v>
      </c>
      <c r="H416" s="5">
        <v>2.0</v>
      </c>
    </row>
    <row r="417" ht="15.75" customHeight="1">
      <c r="A417" s="4" t="s">
        <v>1464</v>
      </c>
      <c r="B417" s="5" t="s">
        <v>935</v>
      </c>
      <c r="D417" s="5">
        <v>1.0</v>
      </c>
      <c r="E417" s="5">
        <v>-4.0</v>
      </c>
      <c r="F417" s="5">
        <v>0.0</v>
      </c>
      <c r="G417" s="5">
        <v>0.0</v>
      </c>
      <c r="H417" s="5">
        <v>0.0</v>
      </c>
      <c r="I417" s="5">
        <v>-0.4</v>
      </c>
    </row>
    <row r="418" ht="15.75" customHeight="1">
      <c r="A418" s="4" t="s">
        <v>1467</v>
      </c>
      <c r="B418" s="5" t="s">
        <v>19</v>
      </c>
      <c r="C418" s="5" t="s">
        <v>1469</v>
      </c>
      <c r="D418" s="5">
        <v>1.0</v>
      </c>
      <c r="F418" s="5">
        <v>0.0</v>
      </c>
      <c r="G418" s="5">
        <v>0.0</v>
      </c>
      <c r="H418" s="5">
        <v>2.0</v>
      </c>
    </row>
    <row r="419" ht="15.75" customHeight="1">
      <c r="A419" s="5" t="s">
        <v>1470</v>
      </c>
      <c r="B419" s="5" t="s">
        <v>19</v>
      </c>
      <c r="C419" s="5" t="s">
        <v>396</v>
      </c>
      <c r="D419" s="5">
        <v>1.0</v>
      </c>
      <c r="F419" s="5">
        <v>0.0</v>
      </c>
      <c r="G419" s="5">
        <v>0.0</v>
      </c>
      <c r="H419" s="5">
        <v>0.0</v>
      </c>
    </row>
    <row r="420" ht="15.75" customHeight="1">
      <c r="A420" s="4" t="s">
        <v>1471</v>
      </c>
      <c r="B420" s="5" t="s">
        <v>19</v>
      </c>
      <c r="C420" s="5" t="s">
        <v>1473</v>
      </c>
      <c r="D420" s="5">
        <v>1.0</v>
      </c>
      <c r="F420" s="5">
        <v>0.0</v>
      </c>
      <c r="G420" s="5">
        <v>0.0</v>
      </c>
      <c r="H420" s="5">
        <v>1.0</v>
      </c>
    </row>
    <row r="421" ht="15.75" customHeight="1">
      <c r="A421" s="5" t="s">
        <v>1474</v>
      </c>
      <c r="B421" s="5" t="s">
        <v>19</v>
      </c>
      <c r="C421" s="5" t="s">
        <v>399</v>
      </c>
      <c r="D421" s="5">
        <v>1.0</v>
      </c>
      <c r="F421" s="5">
        <v>0.0</v>
      </c>
      <c r="G421" s="5">
        <v>0.0</v>
      </c>
      <c r="H421" s="5">
        <v>0.0</v>
      </c>
    </row>
    <row r="422" ht="15.75" customHeight="1">
      <c r="A422" s="4" t="s">
        <v>1476</v>
      </c>
      <c r="B422" s="5" t="s">
        <v>19</v>
      </c>
      <c r="D422" s="5">
        <v>1.0</v>
      </c>
      <c r="E422" s="5">
        <v>0.0</v>
      </c>
      <c r="F422" s="5">
        <v>0.0</v>
      </c>
      <c r="G422" s="5">
        <v>0.0</v>
      </c>
      <c r="H422" s="5">
        <v>0.0</v>
      </c>
      <c r="I422" s="5">
        <v>0.0</v>
      </c>
    </row>
    <row r="423" ht="15.75" customHeight="1">
      <c r="A423" s="5" t="s">
        <v>1479</v>
      </c>
      <c r="B423" s="5" t="s">
        <v>19</v>
      </c>
      <c r="D423" s="5">
        <v>1.0</v>
      </c>
      <c r="F423" s="5">
        <v>0.0</v>
      </c>
      <c r="G423" s="5">
        <v>0.0</v>
      </c>
      <c r="H423" s="5">
        <v>0.0</v>
      </c>
    </row>
    <row r="424" ht="15.75" customHeight="1">
      <c r="A424" s="4" t="s">
        <v>1480</v>
      </c>
      <c r="B424" s="5" t="s">
        <v>19</v>
      </c>
      <c r="D424" s="5">
        <v>1.0</v>
      </c>
      <c r="F424" s="5">
        <v>0.0</v>
      </c>
      <c r="G424" s="5">
        <v>0.0</v>
      </c>
      <c r="H424" s="5">
        <v>1.0</v>
      </c>
    </row>
    <row r="425" ht="15.75" customHeight="1">
      <c r="A425" s="5" t="s">
        <v>1484</v>
      </c>
      <c r="B425" s="5" t="s">
        <v>19</v>
      </c>
      <c r="D425" s="5">
        <v>1.0</v>
      </c>
      <c r="E425" s="5">
        <v>0.0</v>
      </c>
      <c r="F425" s="5">
        <v>0.0</v>
      </c>
      <c r="G425" s="5">
        <v>0.0</v>
      </c>
      <c r="H425" s="5">
        <v>2.0</v>
      </c>
      <c r="I425" s="5">
        <v>1.0</v>
      </c>
    </row>
    <row r="426" ht="15.75" customHeight="1">
      <c r="A426" s="4" t="s">
        <v>1485</v>
      </c>
      <c r="B426" s="5" t="s">
        <v>19</v>
      </c>
      <c r="D426" s="5">
        <v>1.0</v>
      </c>
      <c r="F426" s="5">
        <v>0.0</v>
      </c>
      <c r="G426" s="5">
        <v>0.0</v>
      </c>
      <c r="H426" s="5">
        <v>1.0</v>
      </c>
    </row>
    <row r="427" ht="15.75" customHeight="1">
      <c r="A427" s="4" t="s">
        <v>1487</v>
      </c>
      <c r="B427" s="5" t="s">
        <v>19</v>
      </c>
      <c r="D427" s="5">
        <v>1.0</v>
      </c>
      <c r="F427" s="5">
        <v>0.0</v>
      </c>
      <c r="G427" s="5">
        <v>0.0</v>
      </c>
      <c r="H427" s="5">
        <v>0.0</v>
      </c>
    </row>
    <row r="428" ht="15.75" customHeight="1">
      <c r="A428" s="4" t="s">
        <v>1489</v>
      </c>
      <c r="B428" s="5" t="s">
        <v>19</v>
      </c>
      <c r="C428" s="5" t="s">
        <v>399</v>
      </c>
      <c r="D428" s="5">
        <v>1.0</v>
      </c>
      <c r="E428" s="5">
        <v>0.0</v>
      </c>
      <c r="F428" s="5">
        <v>0.0</v>
      </c>
      <c r="G428" s="5">
        <v>0.0</v>
      </c>
      <c r="H428" s="5">
        <v>0.0</v>
      </c>
      <c r="I428" s="5">
        <v>0.0</v>
      </c>
    </row>
    <row r="429" ht="15.75" customHeight="1">
      <c r="A429" s="4" t="s">
        <v>1491</v>
      </c>
      <c r="B429" s="5" t="s">
        <v>19</v>
      </c>
      <c r="C429" s="5" t="s">
        <v>1494</v>
      </c>
      <c r="D429" s="5">
        <v>1.0</v>
      </c>
      <c r="E429" s="5">
        <v>-3.0</v>
      </c>
      <c r="F429" s="5">
        <v>0.0</v>
      </c>
      <c r="G429" s="5">
        <v>0.0</v>
      </c>
      <c r="H429" s="5">
        <v>0.0</v>
      </c>
      <c r="I429" s="5">
        <v>0.0</v>
      </c>
    </row>
    <row r="430" ht="15.75" customHeight="1">
      <c r="A430" s="4" t="s">
        <v>1496</v>
      </c>
      <c r="B430" s="5" t="s">
        <v>19</v>
      </c>
      <c r="C430" s="5" t="s">
        <v>1463</v>
      </c>
      <c r="D430" s="5">
        <v>1.0</v>
      </c>
      <c r="E430" s="5">
        <v>0.0</v>
      </c>
      <c r="F430" s="5">
        <v>0.0</v>
      </c>
      <c r="G430" s="5">
        <v>0.0</v>
      </c>
      <c r="H430" s="5">
        <v>1.0</v>
      </c>
      <c r="I430" s="5">
        <v>1.0</v>
      </c>
    </row>
    <row r="431" ht="15.75" customHeight="1">
      <c r="A431" s="4" t="s">
        <v>1498</v>
      </c>
      <c r="B431" s="5" t="s">
        <v>165</v>
      </c>
      <c r="D431" s="5">
        <v>1.0</v>
      </c>
      <c r="F431" s="5">
        <v>0.0</v>
      </c>
      <c r="G431" s="5">
        <v>0.0</v>
      </c>
      <c r="H431" s="5">
        <v>0.0</v>
      </c>
    </row>
    <row r="432" ht="15.75" customHeight="1">
      <c r="A432" s="4" t="s">
        <v>1501</v>
      </c>
      <c r="B432" s="5" t="s">
        <v>19</v>
      </c>
      <c r="D432" s="5">
        <v>1.0</v>
      </c>
      <c r="E432" s="5">
        <v>0.0</v>
      </c>
      <c r="F432" s="5">
        <v>0.0</v>
      </c>
      <c r="G432" s="5">
        <v>0.0</v>
      </c>
      <c r="H432" s="5">
        <v>0.0</v>
      </c>
      <c r="I432" s="5">
        <v>-1.0</v>
      </c>
    </row>
    <row r="433" ht="15.75" customHeight="1">
      <c r="A433" s="4" t="s">
        <v>1502</v>
      </c>
      <c r="B433" s="5" t="s">
        <v>19</v>
      </c>
      <c r="C433" s="5" t="s">
        <v>1504</v>
      </c>
      <c r="D433" s="5">
        <v>1.0</v>
      </c>
      <c r="F433" s="5">
        <v>0.0</v>
      </c>
      <c r="G433" s="5">
        <v>0.0</v>
      </c>
      <c r="H433" s="5">
        <v>2.0</v>
      </c>
    </row>
    <row r="434" ht="15.75" customHeight="1">
      <c r="A434" s="4" t="s">
        <v>1506</v>
      </c>
      <c r="B434" s="5" t="s">
        <v>81</v>
      </c>
      <c r="C434" s="5" t="s">
        <v>1508</v>
      </c>
      <c r="D434" s="5">
        <v>1.0</v>
      </c>
      <c r="F434" s="5">
        <v>0.0</v>
      </c>
      <c r="G434" s="5">
        <v>0.0</v>
      </c>
      <c r="H434" s="5">
        <v>0.0</v>
      </c>
    </row>
    <row r="435" ht="15.75" customHeight="1">
      <c r="A435" s="4" t="s">
        <v>1509</v>
      </c>
      <c r="B435" s="5" t="s">
        <v>19</v>
      </c>
      <c r="C435" s="5" t="s">
        <v>1511</v>
      </c>
      <c r="D435" s="5">
        <v>1.0</v>
      </c>
      <c r="F435" s="5">
        <v>0.0</v>
      </c>
      <c r="G435" s="5">
        <v>0.0</v>
      </c>
      <c r="H435" s="5">
        <v>1.0</v>
      </c>
    </row>
    <row r="436" ht="15.75" customHeight="1">
      <c r="A436" s="4" t="s">
        <v>1512</v>
      </c>
      <c r="B436" s="5" t="s">
        <v>19</v>
      </c>
      <c r="C436" s="5" t="s">
        <v>1513</v>
      </c>
      <c r="D436" s="5">
        <v>1.0</v>
      </c>
      <c r="F436" s="5">
        <v>0.0</v>
      </c>
      <c r="G436" s="5">
        <v>0.0</v>
      </c>
      <c r="H436" s="5">
        <v>1.0</v>
      </c>
    </row>
    <row r="437" ht="15.75" customHeight="1">
      <c r="A437" s="4" t="s">
        <v>1515</v>
      </c>
      <c r="B437" s="5" t="s">
        <v>19</v>
      </c>
      <c r="C437" s="5" t="s">
        <v>1517</v>
      </c>
      <c r="D437" s="5">
        <v>1.0</v>
      </c>
      <c r="F437" s="5">
        <v>0.0</v>
      </c>
      <c r="G437" s="5">
        <v>0.0</v>
      </c>
      <c r="H437" s="5">
        <v>0.0</v>
      </c>
    </row>
    <row r="438" ht="15.75" customHeight="1">
      <c r="A438" s="4" t="s">
        <v>1519</v>
      </c>
      <c r="B438" s="5" t="s">
        <v>19</v>
      </c>
      <c r="D438" s="5">
        <v>1.0</v>
      </c>
      <c r="F438" s="5">
        <v>0.0</v>
      </c>
      <c r="G438" s="5">
        <v>0.0</v>
      </c>
      <c r="H438" s="5">
        <v>0.0</v>
      </c>
    </row>
    <row r="439" ht="15.75" customHeight="1">
      <c r="A439" s="4" t="s">
        <v>1521</v>
      </c>
      <c r="B439" s="5" t="s">
        <v>19</v>
      </c>
      <c r="C439" s="5" t="s">
        <v>1523</v>
      </c>
      <c r="D439" s="5">
        <v>1.0</v>
      </c>
      <c r="E439" s="5">
        <v>-3.0</v>
      </c>
      <c r="F439" s="5">
        <v>0.0</v>
      </c>
      <c r="G439" s="5">
        <v>0.0</v>
      </c>
      <c r="H439" s="5">
        <v>0.0</v>
      </c>
      <c r="I439" s="5">
        <v>0.0</v>
      </c>
    </row>
    <row r="440" ht="15.75" customHeight="1">
      <c r="A440" s="4" t="s">
        <v>1525</v>
      </c>
      <c r="B440" s="5" t="s">
        <v>19</v>
      </c>
      <c r="D440" s="5">
        <v>1.0</v>
      </c>
      <c r="F440" s="5">
        <v>0.0</v>
      </c>
      <c r="G440" s="5">
        <v>0.0</v>
      </c>
      <c r="H440" s="5">
        <v>5.0</v>
      </c>
    </row>
    <row r="441" ht="15.75" customHeight="1">
      <c r="A441" s="4" t="s">
        <v>1527</v>
      </c>
      <c r="B441" s="5" t="s">
        <v>19</v>
      </c>
      <c r="C441" s="5" t="s">
        <v>1529</v>
      </c>
      <c r="D441" s="5">
        <v>1.0</v>
      </c>
      <c r="E441" s="5">
        <v>0.0</v>
      </c>
      <c r="F441" s="5">
        <v>0.0</v>
      </c>
      <c r="G441" s="5">
        <v>0.0</v>
      </c>
      <c r="H441" s="5">
        <v>0.0</v>
      </c>
      <c r="I441" s="5">
        <v>0.0</v>
      </c>
    </row>
    <row r="442" ht="15.75" customHeight="1">
      <c r="A442" s="4" t="s">
        <v>1532</v>
      </c>
      <c r="B442" s="5" t="s">
        <v>19</v>
      </c>
      <c r="C442" s="5" t="s">
        <v>1533</v>
      </c>
      <c r="D442" s="5">
        <v>1.0</v>
      </c>
      <c r="F442" s="5">
        <v>0.0</v>
      </c>
      <c r="G442" s="5">
        <v>0.0</v>
      </c>
      <c r="H442" s="5">
        <v>0.0</v>
      </c>
    </row>
    <row r="443" ht="15.75" customHeight="1">
      <c r="A443" s="4" t="s">
        <v>1535</v>
      </c>
      <c r="B443" s="5" t="s">
        <v>19</v>
      </c>
      <c r="D443" s="5">
        <v>1.0</v>
      </c>
      <c r="F443" s="5">
        <v>0.0</v>
      </c>
      <c r="G443" s="5">
        <v>0.0</v>
      </c>
      <c r="H443" s="5">
        <v>0.0</v>
      </c>
    </row>
    <row r="444" ht="15.75" customHeight="1">
      <c r="A444" s="4" t="s">
        <v>1537</v>
      </c>
      <c r="B444" s="5" t="s">
        <v>19</v>
      </c>
      <c r="C444" s="5" t="s">
        <v>1542</v>
      </c>
      <c r="D444" s="5">
        <v>1.0</v>
      </c>
      <c r="F444" s="5">
        <v>0.0</v>
      </c>
      <c r="G444" s="5">
        <v>0.0</v>
      </c>
      <c r="H444" s="5">
        <v>1.0</v>
      </c>
    </row>
    <row r="445" ht="15.75" customHeight="1">
      <c r="A445" s="4" t="s">
        <v>1545</v>
      </c>
      <c r="B445" s="5" t="s">
        <v>19</v>
      </c>
      <c r="C445" s="5" t="s">
        <v>342</v>
      </c>
      <c r="D445" s="5">
        <v>1.0</v>
      </c>
      <c r="E445" s="5">
        <v>0.0</v>
      </c>
      <c r="F445" s="5">
        <v>0.0</v>
      </c>
      <c r="G445" s="5">
        <v>0.0</v>
      </c>
      <c r="H445" s="5">
        <v>0.0</v>
      </c>
      <c r="I445" s="5">
        <v>0.0</v>
      </c>
    </row>
    <row r="446" ht="15.75" customHeight="1">
      <c r="A446" s="4" t="s">
        <v>1547</v>
      </c>
      <c r="B446" s="5" t="s">
        <v>19</v>
      </c>
      <c r="C446" s="5" t="s">
        <v>639</v>
      </c>
      <c r="D446" s="5">
        <v>1.0</v>
      </c>
      <c r="F446" s="5">
        <v>0.0</v>
      </c>
      <c r="G446" s="5">
        <v>0.0</v>
      </c>
      <c r="H446" s="5">
        <v>0.0</v>
      </c>
    </row>
    <row r="447" ht="15.75" customHeight="1">
      <c r="A447" s="4" t="s">
        <v>1549</v>
      </c>
      <c r="B447" s="5" t="s">
        <v>19</v>
      </c>
      <c r="C447" s="5" t="s">
        <v>1551</v>
      </c>
      <c r="D447" s="5">
        <v>1.0</v>
      </c>
      <c r="F447" s="5">
        <v>0.0</v>
      </c>
      <c r="G447" s="5">
        <v>0.0</v>
      </c>
      <c r="H447" s="5">
        <v>2.0</v>
      </c>
    </row>
    <row r="448" ht="15.75" customHeight="1">
      <c r="A448" s="4" t="s">
        <v>1552</v>
      </c>
      <c r="B448" s="5" t="s">
        <v>19</v>
      </c>
      <c r="C448" s="5" t="s">
        <v>1555</v>
      </c>
      <c r="D448" s="5">
        <v>1.0</v>
      </c>
      <c r="F448" s="5">
        <v>0.0</v>
      </c>
      <c r="G448" s="5">
        <v>0.0</v>
      </c>
      <c r="H448" s="5">
        <v>0.0</v>
      </c>
    </row>
    <row r="449" ht="15.75" customHeight="1">
      <c r="A449" s="4" t="s">
        <v>1556</v>
      </c>
      <c r="B449" s="5" t="s">
        <v>23</v>
      </c>
      <c r="C449" s="5" t="s">
        <v>1558</v>
      </c>
      <c r="D449" s="5">
        <v>1.0</v>
      </c>
      <c r="E449" s="5">
        <v>-9.0</v>
      </c>
      <c r="F449" s="5">
        <v>0.0</v>
      </c>
      <c r="G449" s="5">
        <v>0.0</v>
      </c>
      <c r="H449" s="5">
        <v>1.0</v>
      </c>
      <c r="I449" s="5">
        <v>-0.4</v>
      </c>
    </row>
    <row r="450" ht="15.75" customHeight="1">
      <c r="A450" s="4" t="s">
        <v>1559</v>
      </c>
      <c r="B450" s="5" t="s">
        <v>19</v>
      </c>
      <c r="D450" s="5">
        <v>1.0</v>
      </c>
      <c r="F450" s="5">
        <v>0.0</v>
      </c>
      <c r="G450" s="5">
        <v>0.0</v>
      </c>
      <c r="H450" s="5">
        <v>1.0</v>
      </c>
    </row>
    <row r="451" ht="15.75" customHeight="1">
      <c r="A451" s="4" t="s">
        <v>1562</v>
      </c>
      <c r="B451" s="5" t="s">
        <v>19</v>
      </c>
      <c r="C451" s="5" t="s">
        <v>1564</v>
      </c>
      <c r="D451" s="5">
        <v>1.0</v>
      </c>
      <c r="F451" s="5">
        <v>0.0</v>
      </c>
      <c r="G451" s="5">
        <v>0.0</v>
      </c>
      <c r="H451" s="5">
        <v>0.0</v>
      </c>
    </row>
    <row r="452" ht="15.75" customHeight="1">
      <c r="A452" s="4" t="s">
        <v>1565</v>
      </c>
      <c r="B452" s="5" t="s">
        <v>19</v>
      </c>
      <c r="C452" s="5" t="s">
        <v>396</v>
      </c>
      <c r="D452" s="5">
        <v>1.0</v>
      </c>
      <c r="F452" s="5">
        <v>0.0</v>
      </c>
      <c r="G452" s="5">
        <v>0.0</v>
      </c>
      <c r="H452" s="5">
        <v>0.0</v>
      </c>
    </row>
    <row r="453" ht="15.75" customHeight="1">
      <c r="A453" s="4" t="s">
        <v>1567</v>
      </c>
      <c r="B453" s="5" t="s">
        <v>19</v>
      </c>
      <c r="D453" s="5">
        <v>1.0</v>
      </c>
      <c r="F453" s="5">
        <v>0.0</v>
      </c>
      <c r="G453" s="5">
        <v>0.0</v>
      </c>
      <c r="H453" s="5">
        <v>0.0</v>
      </c>
    </row>
    <row r="454" ht="15.75" customHeight="1">
      <c r="A454" s="4" t="s">
        <v>1569</v>
      </c>
      <c r="B454" s="5" t="s">
        <v>19</v>
      </c>
      <c r="C454" s="5" t="s">
        <v>639</v>
      </c>
      <c r="D454" s="5">
        <v>1.0</v>
      </c>
      <c r="E454" s="5">
        <v>0.0</v>
      </c>
      <c r="F454" s="5">
        <v>0.0</v>
      </c>
      <c r="G454" s="5">
        <v>0.0</v>
      </c>
      <c r="H454" s="5">
        <v>0.0</v>
      </c>
      <c r="I454" s="5">
        <v>0.0</v>
      </c>
    </row>
    <row r="455" ht="15.75" customHeight="1">
      <c r="A455" s="4" t="s">
        <v>1572</v>
      </c>
      <c r="B455" s="5" t="s">
        <v>19</v>
      </c>
      <c r="C455" s="5" t="s">
        <v>1575</v>
      </c>
      <c r="D455" s="5">
        <v>1.0</v>
      </c>
      <c r="F455" s="5">
        <v>0.0</v>
      </c>
      <c r="G455" s="5">
        <v>0.0</v>
      </c>
      <c r="H455" s="5">
        <v>0.0</v>
      </c>
    </row>
    <row r="456" ht="15.75" customHeight="1">
      <c r="A456" s="4" t="s">
        <v>1577</v>
      </c>
      <c r="B456" s="5" t="s">
        <v>19</v>
      </c>
      <c r="D456" s="5">
        <v>1.0</v>
      </c>
      <c r="E456" s="5">
        <v>-2.0</v>
      </c>
      <c r="F456" s="5">
        <v>0.0</v>
      </c>
      <c r="G456" s="5">
        <v>0.0</v>
      </c>
      <c r="H456" s="5">
        <v>0.0</v>
      </c>
      <c r="I456" s="5">
        <v>-0.67</v>
      </c>
    </row>
    <row r="457" ht="15.75" customHeight="1">
      <c r="A457" s="4" t="s">
        <v>1578</v>
      </c>
      <c r="B457" s="5" t="s">
        <v>935</v>
      </c>
      <c r="D457" s="5">
        <v>1.0</v>
      </c>
      <c r="F457" s="5">
        <v>0.0</v>
      </c>
      <c r="G457" s="5">
        <v>0.0</v>
      </c>
      <c r="H457" s="5">
        <v>1.0</v>
      </c>
    </row>
    <row r="458" ht="15.75" customHeight="1">
      <c r="A458" s="4" t="s">
        <v>1580</v>
      </c>
      <c r="B458" s="5" t="s">
        <v>19</v>
      </c>
      <c r="D458" s="5">
        <v>1.0</v>
      </c>
      <c r="E458" s="5">
        <v>-1.0</v>
      </c>
      <c r="F458" s="5">
        <v>0.0</v>
      </c>
      <c r="G458" s="5">
        <v>0.0</v>
      </c>
      <c r="H458" s="5">
        <v>0.0</v>
      </c>
      <c r="I458" s="5">
        <v>0.0</v>
      </c>
    </row>
    <row r="459" ht="15.75" customHeight="1">
      <c r="A459" s="4" t="s">
        <v>1583</v>
      </c>
      <c r="B459" s="5" t="s">
        <v>19</v>
      </c>
      <c r="D459" s="5">
        <v>1.0</v>
      </c>
      <c r="F459" s="5">
        <v>0.0</v>
      </c>
      <c r="G459" s="5">
        <v>0.0</v>
      </c>
      <c r="H459" s="5">
        <v>0.0</v>
      </c>
    </row>
    <row r="460" ht="15.75" customHeight="1">
      <c r="A460" s="4" t="s">
        <v>1585</v>
      </c>
      <c r="B460" s="5" t="s">
        <v>19</v>
      </c>
      <c r="D460" s="5">
        <v>1.0</v>
      </c>
      <c r="F460" s="5">
        <v>0.0</v>
      </c>
      <c r="G460" s="5">
        <v>0.0</v>
      </c>
      <c r="H460" s="5">
        <v>1.0</v>
      </c>
    </row>
    <row r="461" ht="15.75" customHeight="1">
      <c r="A461" s="4" t="s">
        <v>1588</v>
      </c>
      <c r="B461" s="5" t="s">
        <v>19</v>
      </c>
      <c r="D461" s="5">
        <v>1.0</v>
      </c>
      <c r="E461" s="5">
        <v>0.0</v>
      </c>
      <c r="F461" s="5">
        <v>0.0</v>
      </c>
      <c r="G461" s="5">
        <v>0.0</v>
      </c>
      <c r="H461" s="5">
        <v>2.0</v>
      </c>
      <c r="I461" s="5">
        <v>0.0</v>
      </c>
    </row>
    <row r="462" ht="15.75" customHeight="1">
      <c r="A462" s="4" t="s">
        <v>1591</v>
      </c>
      <c r="B462" s="5" t="s">
        <v>19</v>
      </c>
      <c r="C462" s="5" t="s">
        <v>952</v>
      </c>
      <c r="D462" s="5">
        <v>1.0</v>
      </c>
      <c r="F462" s="5">
        <v>0.0</v>
      </c>
      <c r="G462" s="5">
        <v>0.0</v>
      </c>
      <c r="H462" s="5">
        <v>0.0</v>
      </c>
    </row>
    <row r="463" ht="15.75" customHeight="1">
      <c r="A463" s="4" t="s">
        <v>1593</v>
      </c>
      <c r="B463" s="5" t="s">
        <v>19</v>
      </c>
      <c r="C463" s="5" t="s">
        <v>1595</v>
      </c>
      <c r="D463" s="5">
        <v>1.0</v>
      </c>
      <c r="F463" s="5">
        <v>0.0</v>
      </c>
      <c r="G463" s="5">
        <v>0.0</v>
      </c>
      <c r="H463" s="5">
        <v>0.0</v>
      </c>
    </row>
    <row r="464" ht="15.75" customHeight="1">
      <c r="A464" s="4" t="s">
        <v>1597</v>
      </c>
      <c r="B464" s="5" t="s">
        <v>19</v>
      </c>
      <c r="C464" s="5" t="s">
        <v>1599</v>
      </c>
      <c r="D464" s="5">
        <v>1.0</v>
      </c>
      <c r="F464" s="5">
        <v>0.0</v>
      </c>
      <c r="G464" s="5">
        <v>0.0</v>
      </c>
      <c r="H464" s="5">
        <v>0.0</v>
      </c>
    </row>
    <row r="465" ht="15.75" customHeight="1">
      <c r="A465" s="4" t="s">
        <v>1601</v>
      </c>
      <c r="B465" s="5" t="s">
        <v>19</v>
      </c>
      <c r="C465" s="5" t="s">
        <v>1603</v>
      </c>
      <c r="D465" s="5">
        <v>1.0</v>
      </c>
      <c r="E465" s="5">
        <v>-1.0</v>
      </c>
      <c r="F465" s="5">
        <v>0.0</v>
      </c>
      <c r="G465" s="5">
        <v>0.0</v>
      </c>
      <c r="H465" s="5">
        <v>0.0</v>
      </c>
      <c r="I465" s="5">
        <v>0.0</v>
      </c>
    </row>
    <row r="466" ht="15.75" customHeight="1">
      <c r="A466" s="4" t="s">
        <v>1605</v>
      </c>
      <c r="B466" s="5" t="s">
        <v>165</v>
      </c>
      <c r="C466" s="5" t="s">
        <v>1607</v>
      </c>
      <c r="D466" s="5">
        <v>1.0</v>
      </c>
      <c r="E466" s="5">
        <v>0.0</v>
      </c>
      <c r="F466" s="5">
        <v>0.0</v>
      </c>
      <c r="G466" s="5">
        <v>0.0</v>
      </c>
      <c r="H466" s="5">
        <v>0.0</v>
      </c>
      <c r="I466" s="5">
        <v>0.0</v>
      </c>
    </row>
    <row r="467" ht="15.75" customHeight="1">
      <c r="A467" s="4" t="s">
        <v>1608</v>
      </c>
      <c r="B467" s="5" t="s">
        <v>165</v>
      </c>
      <c r="D467" s="5">
        <v>1.0</v>
      </c>
      <c r="F467" s="5">
        <v>0.0</v>
      </c>
      <c r="G467" s="5">
        <v>0.0</v>
      </c>
      <c r="H467" s="5">
        <v>0.0</v>
      </c>
    </row>
    <row r="468" ht="15.75" customHeight="1">
      <c r="A468" s="4" t="s">
        <v>1611</v>
      </c>
      <c r="B468" s="5" t="s">
        <v>85</v>
      </c>
      <c r="C468" s="5" t="s">
        <v>1613</v>
      </c>
      <c r="D468" s="5">
        <v>1.0</v>
      </c>
      <c r="F468" s="5">
        <v>0.0</v>
      </c>
      <c r="G468" s="5">
        <v>0.0</v>
      </c>
      <c r="H468" s="5">
        <v>1.0</v>
      </c>
    </row>
    <row r="469" ht="15.75" customHeight="1">
      <c r="A469" s="4" t="s">
        <v>1614</v>
      </c>
      <c r="B469" s="5" t="s">
        <v>19</v>
      </c>
      <c r="C469" s="5" t="s">
        <v>1615</v>
      </c>
      <c r="D469" s="5">
        <v>1.0</v>
      </c>
      <c r="F469" s="5">
        <v>0.0</v>
      </c>
      <c r="G469" s="5">
        <v>0.0</v>
      </c>
      <c r="H469" s="5">
        <v>0.0</v>
      </c>
    </row>
    <row r="470" ht="15.75" customHeight="1">
      <c r="A470" s="4" t="s">
        <v>1616</v>
      </c>
      <c r="B470" s="5" t="s">
        <v>19</v>
      </c>
      <c r="C470" s="5" t="s">
        <v>1619</v>
      </c>
      <c r="D470" s="5">
        <v>1.0</v>
      </c>
      <c r="F470" s="5">
        <v>0.0</v>
      </c>
      <c r="G470" s="5">
        <v>0.0</v>
      </c>
      <c r="H470" s="5">
        <v>0.0</v>
      </c>
    </row>
    <row r="471" ht="15.75" customHeight="1">
      <c r="A471" s="4" t="s">
        <v>1620</v>
      </c>
      <c r="B471" s="5" t="s">
        <v>19</v>
      </c>
      <c r="D471" s="5">
        <v>1.0</v>
      </c>
      <c r="E471" s="5">
        <v>-5.0</v>
      </c>
      <c r="F471" s="5">
        <v>0.0</v>
      </c>
      <c r="G471" s="5">
        <v>0.0</v>
      </c>
      <c r="H471" s="5">
        <v>0.0</v>
      </c>
      <c r="I471" s="5">
        <v>-0.67</v>
      </c>
    </row>
    <row r="472" ht="15.75" customHeight="1">
      <c r="A472" s="4" t="s">
        <v>1622</v>
      </c>
      <c r="B472" s="5" t="s">
        <v>19</v>
      </c>
      <c r="D472" s="5">
        <v>1.0</v>
      </c>
      <c r="F472" s="5">
        <v>0.0</v>
      </c>
      <c r="G472" s="5">
        <v>0.0</v>
      </c>
      <c r="H472" s="5">
        <v>2.0</v>
      </c>
    </row>
    <row r="473" ht="15.75" customHeight="1">
      <c r="A473" s="4" t="s">
        <v>1626</v>
      </c>
      <c r="B473" s="5" t="s">
        <v>19</v>
      </c>
      <c r="C473" s="5" t="s">
        <v>1629</v>
      </c>
      <c r="D473" s="5">
        <v>1.0</v>
      </c>
      <c r="F473" s="5">
        <v>0.0</v>
      </c>
      <c r="G473" s="5">
        <v>0.0</v>
      </c>
      <c r="H473" s="5">
        <v>1.0</v>
      </c>
    </row>
    <row r="474" ht="15.75" customHeight="1">
      <c r="A474" s="4" t="s">
        <v>1630</v>
      </c>
      <c r="B474" s="5" t="s">
        <v>19</v>
      </c>
      <c r="C474" s="5" t="s">
        <v>1632</v>
      </c>
      <c r="D474" s="5">
        <v>1.0</v>
      </c>
      <c r="E474" s="5">
        <v>-2.0</v>
      </c>
      <c r="F474" s="5">
        <v>0.0</v>
      </c>
      <c r="G474" s="5">
        <v>0.0</v>
      </c>
      <c r="H474" s="5">
        <v>2.0</v>
      </c>
      <c r="I474" s="5">
        <v>0.33</v>
      </c>
    </row>
    <row r="475" ht="15.75" customHeight="1">
      <c r="A475" s="4" t="s">
        <v>1633</v>
      </c>
      <c r="B475" s="5" t="s">
        <v>19</v>
      </c>
      <c r="C475" s="5" t="s">
        <v>396</v>
      </c>
      <c r="D475" s="5">
        <v>1.0</v>
      </c>
      <c r="F475" s="5">
        <v>0.0</v>
      </c>
      <c r="G475" s="5">
        <v>0.0</v>
      </c>
      <c r="H475" s="5">
        <v>0.0</v>
      </c>
    </row>
    <row r="476" ht="15.75" customHeight="1">
      <c r="A476" s="4" t="s">
        <v>1636</v>
      </c>
      <c r="B476" s="5" t="s">
        <v>19</v>
      </c>
      <c r="D476" s="5">
        <v>1.0</v>
      </c>
      <c r="F476" s="5">
        <v>0.0</v>
      </c>
      <c r="G476" s="5">
        <v>0.0</v>
      </c>
      <c r="H476" s="5">
        <v>1.0</v>
      </c>
    </row>
    <row r="477" ht="15.75" customHeight="1">
      <c r="A477" s="4" t="s">
        <v>1638</v>
      </c>
      <c r="B477" s="5" t="s">
        <v>19</v>
      </c>
      <c r="D477" s="5">
        <v>1.0</v>
      </c>
      <c r="F477" s="5">
        <v>0.0</v>
      </c>
      <c r="G477" s="5">
        <v>0.0</v>
      </c>
      <c r="H477" s="5">
        <v>0.0</v>
      </c>
    </row>
    <row r="478" ht="15.75" customHeight="1">
      <c r="A478" s="4" t="s">
        <v>1641</v>
      </c>
      <c r="B478" s="5" t="s">
        <v>16</v>
      </c>
      <c r="C478" s="5" t="s">
        <v>1643</v>
      </c>
      <c r="D478" s="5">
        <v>1.0</v>
      </c>
      <c r="F478" s="5">
        <v>0.0</v>
      </c>
      <c r="G478" s="5">
        <v>0.0</v>
      </c>
      <c r="H478" s="5">
        <v>0.0</v>
      </c>
    </row>
    <row r="479" ht="15.75" customHeight="1">
      <c r="A479" s="4" t="s">
        <v>1644</v>
      </c>
      <c r="B479" s="5" t="s">
        <v>19</v>
      </c>
      <c r="C479" s="5" t="s">
        <v>1646</v>
      </c>
      <c r="D479" s="5">
        <v>1.0</v>
      </c>
      <c r="E479" s="5">
        <v>-9.0</v>
      </c>
      <c r="F479" s="5">
        <v>0.0</v>
      </c>
      <c r="G479" s="5">
        <v>0.0</v>
      </c>
      <c r="H479" s="5">
        <v>0.0</v>
      </c>
      <c r="I479" s="5">
        <v>0.0</v>
      </c>
    </row>
    <row r="480" ht="15.75" customHeight="1">
      <c r="A480" s="4" t="s">
        <v>1647</v>
      </c>
      <c r="B480" s="5" t="s">
        <v>935</v>
      </c>
      <c r="C480" s="5" t="s">
        <v>1648</v>
      </c>
      <c r="D480" s="5">
        <v>1.0</v>
      </c>
      <c r="F480" s="5">
        <v>0.0</v>
      </c>
      <c r="G480" s="5">
        <v>0.0</v>
      </c>
      <c r="H480" s="5">
        <v>0.0</v>
      </c>
    </row>
    <row r="481" ht="15.75" customHeight="1">
      <c r="A481" s="4" t="s">
        <v>1649</v>
      </c>
      <c r="B481" s="5" t="s">
        <v>19</v>
      </c>
      <c r="C481" s="5" t="s">
        <v>1045</v>
      </c>
      <c r="D481" s="5">
        <v>1.0</v>
      </c>
      <c r="E481" s="5">
        <v>-5.0</v>
      </c>
      <c r="F481" s="5">
        <v>0.0</v>
      </c>
      <c r="G481" s="5">
        <v>0.0</v>
      </c>
      <c r="H481" s="5">
        <v>0.0</v>
      </c>
      <c r="I481" s="5">
        <v>-2.17</v>
      </c>
    </row>
    <row r="482" ht="15.75" customHeight="1">
      <c r="A482" s="4" t="s">
        <v>1651</v>
      </c>
      <c r="B482" s="5" t="s">
        <v>81</v>
      </c>
      <c r="C482" s="5" t="s">
        <v>1652</v>
      </c>
      <c r="D482" s="5">
        <v>1.0</v>
      </c>
      <c r="F482" s="5">
        <v>0.0</v>
      </c>
      <c r="G482" s="5">
        <v>0.0</v>
      </c>
      <c r="H482" s="5">
        <v>0.0</v>
      </c>
    </row>
    <row r="483" ht="15.75" customHeight="1">
      <c r="A483" s="4" t="s">
        <v>1654</v>
      </c>
      <c r="B483" s="5" t="s">
        <v>165</v>
      </c>
      <c r="C483" s="5" t="s">
        <v>1657</v>
      </c>
      <c r="D483" s="5">
        <v>1.0</v>
      </c>
      <c r="E483" s="5">
        <v>-11.0</v>
      </c>
      <c r="F483" s="5">
        <v>0.0</v>
      </c>
      <c r="G483" s="5">
        <v>0.0</v>
      </c>
      <c r="H483" s="5">
        <v>0.0</v>
      </c>
      <c r="I483" s="5">
        <v>-0.08</v>
      </c>
    </row>
    <row r="484" ht="15.75" customHeight="1">
      <c r="A484" s="4" t="s">
        <v>1658</v>
      </c>
      <c r="B484" s="5" t="s">
        <v>935</v>
      </c>
      <c r="C484" s="5" t="s">
        <v>1661</v>
      </c>
      <c r="D484" s="5">
        <v>1.0</v>
      </c>
      <c r="F484" s="5">
        <v>0.0</v>
      </c>
      <c r="G484" s="5">
        <v>0.0</v>
      </c>
      <c r="H484" s="5">
        <v>1.0</v>
      </c>
    </row>
    <row r="485" ht="15.75" customHeight="1">
      <c r="A485" s="4" t="s">
        <v>1663</v>
      </c>
      <c r="B485" s="5" t="s">
        <v>19</v>
      </c>
      <c r="C485" s="5" t="s">
        <v>1664</v>
      </c>
      <c r="D485" s="5">
        <v>1.0</v>
      </c>
      <c r="F485" s="5">
        <v>0.0</v>
      </c>
      <c r="G485" s="5">
        <v>0.0</v>
      </c>
      <c r="H485" s="5">
        <v>0.0</v>
      </c>
    </row>
    <row r="486" ht="15.75" customHeight="1">
      <c r="A486" s="4" t="s">
        <v>1666</v>
      </c>
      <c r="B486" s="5" t="s">
        <v>19</v>
      </c>
      <c r="C486" s="5" t="s">
        <v>1667</v>
      </c>
      <c r="D486" s="5">
        <v>1.0</v>
      </c>
      <c r="F486" s="5">
        <v>0.0</v>
      </c>
      <c r="G486" s="5">
        <v>0.0</v>
      </c>
      <c r="H486" s="5">
        <v>0.0</v>
      </c>
    </row>
    <row r="487" ht="15.75" customHeight="1">
      <c r="A487" s="4" t="s">
        <v>1669</v>
      </c>
      <c r="B487" s="5" t="s">
        <v>16</v>
      </c>
      <c r="C487" s="5" t="s">
        <v>1671</v>
      </c>
      <c r="D487" s="5">
        <v>1.0</v>
      </c>
      <c r="E487" s="5">
        <v>0.0</v>
      </c>
      <c r="F487" s="5">
        <v>0.0</v>
      </c>
      <c r="G487" s="5">
        <v>0.0</v>
      </c>
      <c r="H487" s="5">
        <v>0.0</v>
      </c>
      <c r="I487" s="5">
        <v>-2.0</v>
      </c>
    </row>
    <row r="488" ht="15.75" customHeight="1">
      <c r="A488" s="4" t="s">
        <v>1673</v>
      </c>
      <c r="B488" s="5" t="s">
        <v>19</v>
      </c>
      <c r="C488" s="5" t="s">
        <v>1674</v>
      </c>
      <c r="D488" s="5">
        <v>1.0</v>
      </c>
      <c r="F488" s="5">
        <v>0.0</v>
      </c>
      <c r="G488" s="5">
        <v>0.0</v>
      </c>
      <c r="H488" s="5">
        <v>1.0</v>
      </c>
    </row>
    <row r="489" ht="15.75" customHeight="1">
      <c r="A489" s="4" t="s">
        <v>1675</v>
      </c>
      <c r="B489" s="5" t="s">
        <v>19</v>
      </c>
      <c r="D489" s="5">
        <v>1.0</v>
      </c>
      <c r="E489" s="5">
        <v>-2.0</v>
      </c>
      <c r="F489" s="5">
        <v>0.0</v>
      </c>
      <c r="G489" s="5">
        <v>0.0</v>
      </c>
      <c r="H489" s="5">
        <v>1.0</v>
      </c>
      <c r="I489" s="5">
        <v>0.67</v>
      </c>
    </row>
    <row r="490" ht="15.75" customHeight="1">
      <c r="A490" s="4" t="s">
        <v>1677</v>
      </c>
      <c r="B490" s="5" t="s">
        <v>19</v>
      </c>
      <c r="C490" s="5" t="s">
        <v>396</v>
      </c>
      <c r="D490" s="5">
        <v>1.0</v>
      </c>
      <c r="F490" s="5">
        <v>0.0</v>
      </c>
      <c r="G490" s="5">
        <v>0.0</v>
      </c>
      <c r="H490" s="5">
        <v>0.0</v>
      </c>
    </row>
    <row r="491" ht="15.75" customHeight="1">
      <c r="A491" s="4" t="s">
        <v>1679</v>
      </c>
      <c r="B491" s="5" t="s">
        <v>19</v>
      </c>
      <c r="C491" s="5" t="s">
        <v>1681</v>
      </c>
      <c r="D491" s="5">
        <v>1.0</v>
      </c>
      <c r="F491" s="5">
        <v>0.0</v>
      </c>
      <c r="G491" s="5">
        <v>0.0</v>
      </c>
      <c r="H491" s="5">
        <v>1.0</v>
      </c>
    </row>
    <row r="492" ht="15.75" customHeight="1">
      <c r="A492" s="4" t="s">
        <v>1682</v>
      </c>
      <c r="B492" s="5" t="s">
        <v>19</v>
      </c>
      <c r="D492" s="5">
        <v>1.0</v>
      </c>
      <c r="E492" s="5">
        <v>-1.0</v>
      </c>
      <c r="F492" s="5">
        <v>0.0</v>
      </c>
      <c r="G492" s="5">
        <v>0.0</v>
      </c>
      <c r="H492" s="5">
        <v>0.0</v>
      </c>
      <c r="I492" s="5">
        <v>0.0</v>
      </c>
    </row>
    <row r="493" ht="15.75" customHeight="1">
      <c r="A493" s="4" t="s">
        <v>1684</v>
      </c>
      <c r="B493" s="5" t="s">
        <v>19</v>
      </c>
      <c r="D493" s="5">
        <v>1.0</v>
      </c>
      <c r="F493" s="5">
        <v>0.0</v>
      </c>
      <c r="G493" s="5">
        <v>0.0</v>
      </c>
      <c r="H493" s="5">
        <v>0.0</v>
      </c>
    </row>
    <row r="494" ht="15.75" customHeight="1">
      <c r="A494" s="4" t="s">
        <v>1685</v>
      </c>
      <c r="B494" s="5" t="s">
        <v>19</v>
      </c>
      <c r="C494" s="5" t="s">
        <v>396</v>
      </c>
      <c r="D494" s="5">
        <v>1.0</v>
      </c>
      <c r="F494" s="5">
        <v>0.0</v>
      </c>
      <c r="G494" s="5">
        <v>0.0</v>
      </c>
      <c r="H494" s="5">
        <v>1.0</v>
      </c>
    </row>
    <row r="495" ht="15.75" customHeight="1">
      <c r="A495" s="4" t="s">
        <v>1687</v>
      </c>
      <c r="B495" s="5" t="s">
        <v>19</v>
      </c>
      <c r="C495" s="5" t="s">
        <v>1688</v>
      </c>
      <c r="D495" s="5">
        <v>1.0</v>
      </c>
      <c r="E495" s="5">
        <v>-2.0</v>
      </c>
      <c r="F495" s="5">
        <v>0.0</v>
      </c>
      <c r="G495" s="5">
        <v>0.0</v>
      </c>
      <c r="H495" s="5">
        <v>0.0</v>
      </c>
      <c r="I495" s="5">
        <v>-1.33</v>
      </c>
    </row>
    <row r="496" ht="15.75" customHeight="1">
      <c r="A496" s="4" t="s">
        <v>1689</v>
      </c>
      <c r="B496" s="5" t="s">
        <v>19</v>
      </c>
      <c r="C496" s="5" t="s">
        <v>1691</v>
      </c>
      <c r="D496" s="5">
        <v>1.0</v>
      </c>
      <c r="F496" s="5">
        <v>0.0</v>
      </c>
      <c r="G496" s="5">
        <v>0.0</v>
      </c>
      <c r="H496" s="5">
        <v>0.0</v>
      </c>
    </row>
    <row r="497" ht="15.75" customHeight="1">
      <c r="A497" s="4" t="s">
        <v>1693</v>
      </c>
      <c r="B497" s="5" t="s">
        <v>19</v>
      </c>
      <c r="C497" s="5" t="s">
        <v>1695</v>
      </c>
      <c r="D497" s="5">
        <v>1.0</v>
      </c>
      <c r="F497" s="5">
        <v>0.0</v>
      </c>
      <c r="G497" s="5">
        <v>0.0</v>
      </c>
      <c r="H497" s="5">
        <v>0.0</v>
      </c>
    </row>
    <row r="498" ht="15.75" customHeight="1">
      <c r="A498" s="5" t="s">
        <v>1696</v>
      </c>
      <c r="B498" s="5" t="s">
        <v>16</v>
      </c>
      <c r="C498" s="5" t="s">
        <v>1697</v>
      </c>
      <c r="D498" s="5">
        <v>1.0</v>
      </c>
      <c r="E498" s="5">
        <v>0.0</v>
      </c>
      <c r="F498" s="5">
        <v>0.0</v>
      </c>
      <c r="G498" s="5">
        <v>0.0</v>
      </c>
      <c r="H498" s="5">
        <v>3.0</v>
      </c>
      <c r="I498" s="5">
        <v>-2.0</v>
      </c>
    </row>
    <row r="499" ht="15.75" customHeight="1">
      <c r="A499" s="4" t="s">
        <v>1699</v>
      </c>
      <c r="B499" s="5" t="s">
        <v>19</v>
      </c>
      <c r="D499" s="5">
        <v>1.0</v>
      </c>
      <c r="E499" s="5">
        <v>0.0</v>
      </c>
      <c r="F499" s="5">
        <v>0.0</v>
      </c>
      <c r="G499" s="5">
        <v>0.0</v>
      </c>
      <c r="H499" s="5">
        <v>0.0</v>
      </c>
      <c r="I499" s="5">
        <v>-2.0</v>
      </c>
    </row>
    <row r="500" ht="15.75" customHeight="1">
      <c r="A500" s="5" t="s">
        <v>1702</v>
      </c>
      <c r="B500" s="5" t="s">
        <v>16</v>
      </c>
      <c r="C500" s="5" t="s">
        <v>1703</v>
      </c>
      <c r="D500" s="5">
        <v>1.0</v>
      </c>
      <c r="F500" s="5">
        <v>0.0</v>
      </c>
      <c r="G500" s="5">
        <v>0.0</v>
      </c>
      <c r="H500" s="5">
        <v>1.0</v>
      </c>
    </row>
    <row r="501" ht="15.75" customHeight="1">
      <c r="A501" s="4" t="s">
        <v>1704</v>
      </c>
      <c r="B501" s="5" t="s">
        <v>19</v>
      </c>
      <c r="D501" s="5">
        <v>1.0</v>
      </c>
      <c r="F501" s="5">
        <v>0.0</v>
      </c>
      <c r="G501" s="5">
        <v>0.0</v>
      </c>
      <c r="H501" s="5">
        <v>0.0</v>
      </c>
    </row>
    <row r="502" ht="15.75" customHeight="1">
      <c r="A502" s="4" t="s">
        <v>1707</v>
      </c>
      <c r="B502" s="5" t="s">
        <v>19</v>
      </c>
      <c r="D502" s="5">
        <v>1.0</v>
      </c>
      <c r="F502" s="5">
        <v>0.0</v>
      </c>
      <c r="G502" s="5">
        <v>0.0</v>
      </c>
      <c r="H502" s="5">
        <v>0.0</v>
      </c>
    </row>
    <row r="503" ht="15.75" customHeight="1">
      <c r="A503" s="4" t="s">
        <v>1710</v>
      </c>
      <c r="B503" s="5" t="s">
        <v>19</v>
      </c>
      <c r="D503" s="5">
        <v>1.0</v>
      </c>
      <c r="F503" s="5">
        <v>0.0</v>
      </c>
      <c r="G503" s="5">
        <v>0.0</v>
      </c>
      <c r="H503" s="5">
        <v>0.0</v>
      </c>
    </row>
    <row r="504" ht="15.75" customHeight="1">
      <c r="A504" s="5" t="s">
        <v>1712</v>
      </c>
      <c r="B504" s="5" t="s">
        <v>19</v>
      </c>
      <c r="C504" s="5" t="s">
        <v>1713</v>
      </c>
      <c r="D504" s="5">
        <v>1.0</v>
      </c>
      <c r="F504" s="5">
        <v>0.0</v>
      </c>
      <c r="G504" s="5">
        <v>0.0</v>
      </c>
      <c r="H504" s="5">
        <v>0.0</v>
      </c>
    </row>
    <row r="505" ht="15.75" customHeight="1">
      <c r="A505" s="4" t="s">
        <v>1715</v>
      </c>
      <c r="B505" s="5" t="s">
        <v>19</v>
      </c>
      <c r="C505" s="5" t="s">
        <v>1716</v>
      </c>
      <c r="D505" s="5">
        <v>1.0</v>
      </c>
      <c r="F505" s="5">
        <v>0.0</v>
      </c>
      <c r="G505" s="5">
        <v>0.0</v>
      </c>
      <c r="H505" s="5">
        <v>1.0</v>
      </c>
    </row>
    <row r="506" ht="15.75" customHeight="1">
      <c r="A506" s="4" t="s">
        <v>1718</v>
      </c>
      <c r="B506" s="5" t="s">
        <v>19</v>
      </c>
      <c r="D506" s="5">
        <v>1.0</v>
      </c>
      <c r="E506" s="5">
        <v>0.0</v>
      </c>
      <c r="F506" s="5">
        <v>0.0</v>
      </c>
      <c r="G506" s="5">
        <v>0.0</v>
      </c>
      <c r="H506" s="5">
        <v>0.0</v>
      </c>
      <c r="I506" s="5">
        <v>-2.0</v>
      </c>
    </row>
    <row r="507" ht="15.75" customHeight="1">
      <c r="A507" s="4" t="s">
        <v>1720</v>
      </c>
      <c r="B507" s="5" t="s">
        <v>19</v>
      </c>
      <c r="D507" s="5">
        <v>1.0</v>
      </c>
      <c r="F507" s="5">
        <v>0.0</v>
      </c>
      <c r="G507" s="5">
        <v>0.0</v>
      </c>
      <c r="H507" s="5">
        <v>1.0</v>
      </c>
    </row>
    <row r="508" ht="15.75" customHeight="1">
      <c r="A508" s="4" t="s">
        <v>1722</v>
      </c>
      <c r="B508" s="5" t="s">
        <v>23</v>
      </c>
      <c r="C508" s="5" t="s">
        <v>1724</v>
      </c>
      <c r="D508" s="5">
        <v>1.0</v>
      </c>
      <c r="E508" s="5">
        <v>-11.0</v>
      </c>
      <c r="F508" s="5">
        <v>0.0</v>
      </c>
      <c r="G508" s="5">
        <v>0.0</v>
      </c>
      <c r="H508" s="5">
        <v>1.0</v>
      </c>
      <c r="I508" s="5">
        <v>-0.08</v>
      </c>
    </row>
    <row r="509" ht="15.75" customHeight="1">
      <c r="A509" s="4" t="s">
        <v>1725</v>
      </c>
      <c r="B509" s="5" t="s">
        <v>19</v>
      </c>
      <c r="C509" s="5" t="s">
        <v>1727</v>
      </c>
      <c r="D509" s="5">
        <v>1.0</v>
      </c>
      <c r="E509" s="5">
        <v>-1.0</v>
      </c>
      <c r="F509" s="5">
        <v>0.0</v>
      </c>
      <c r="G509" s="5">
        <v>0.0</v>
      </c>
      <c r="H509" s="5">
        <v>0.0</v>
      </c>
      <c r="I509" s="5">
        <v>-1.0</v>
      </c>
    </row>
    <row r="510" ht="15.75" customHeight="1">
      <c r="A510" s="4" t="s">
        <v>1730</v>
      </c>
      <c r="B510" s="5" t="s">
        <v>19</v>
      </c>
      <c r="C510" s="5" t="s">
        <v>1731</v>
      </c>
      <c r="D510" s="5">
        <v>1.0</v>
      </c>
      <c r="E510" s="5">
        <v>-5.0</v>
      </c>
      <c r="F510" s="5">
        <v>0.0</v>
      </c>
      <c r="G510" s="5">
        <v>0.0</v>
      </c>
      <c r="H510" s="5">
        <v>0.0</v>
      </c>
      <c r="I510" s="5">
        <v>-0.67</v>
      </c>
    </row>
    <row r="511" ht="15.75" customHeight="1">
      <c r="A511" s="5" t="s">
        <v>1733</v>
      </c>
      <c r="B511" s="5" t="s">
        <v>19</v>
      </c>
      <c r="C511" s="5" t="s">
        <v>952</v>
      </c>
      <c r="D511" s="5">
        <v>1.0</v>
      </c>
      <c r="F511" s="5">
        <v>0.0</v>
      </c>
      <c r="G511" s="5">
        <v>0.0</v>
      </c>
      <c r="H511" s="5">
        <v>0.0</v>
      </c>
    </row>
    <row r="512" ht="15.75" customHeight="1">
      <c r="A512" s="4" t="s">
        <v>1734</v>
      </c>
      <c r="B512" s="5" t="s">
        <v>19</v>
      </c>
      <c r="C512" s="5" t="s">
        <v>247</v>
      </c>
      <c r="D512" s="5">
        <v>1.0</v>
      </c>
      <c r="F512" s="5">
        <v>0.0</v>
      </c>
      <c r="G512" s="5">
        <v>0.0</v>
      </c>
      <c r="H512" s="5">
        <v>3.0</v>
      </c>
    </row>
    <row r="513" ht="15.75" customHeight="1">
      <c r="A513" s="4" t="s">
        <v>1736</v>
      </c>
      <c r="B513" s="5" t="s">
        <v>19</v>
      </c>
      <c r="D513" s="5">
        <v>1.0</v>
      </c>
      <c r="F513" s="5">
        <v>0.0</v>
      </c>
      <c r="G513" s="5">
        <v>0.0</v>
      </c>
      <c r="H513" s="5">
        <v>0.0</v>
      </c>
    </row>
    <row r="514" ht="15.75" customHeight="1">
      <c r="A514" s="4" t="s">
        <v>1738</v>
      </c>
      <c r="B514" s="5" t="s">
        <v>19</v>
      </c>
      <c r="D514" s="5">
        <v>1.0</v>
      </c>
      <c r="E514" s="5">
        <v>0.0</v>
      </c>
      <c r="F514" s="5">
        <v>0.0</v>
      </c>
      <c r="G514" s="5">
        <v>0.0</v>
      </c>
      <c r="H514" s="5">
        <v>1.0</v>
      </c>
      <c r="I514" s="5">
        <v>0.0</v>
      </c>
    </row>
    <row r="515" ht="15.75" customHeight="1">
      <c r="A515" s="4" t="s">
        <v>1740</v>
      </c>
      <c r="B515" s="5" t="s">
        <v>19</v>
      </c>
      <c r="C515" s="5" t="s">
        <v>1741</v>
      </c>
      <c r="D515" s="5">
        <v>1.0</v>
      </c>
      <c r="F515" s="5">
        <v>0.0</v>
      </c>
      <c r="G515" s="5">
        <v>0.0</v>
      </c>
      <c r="H515" s="5">
        <v>1.0</v>
      </c>
    </row>
    <row r="516" ht="15.75" customHeight="1">
      <c r="A516" s="4" t="s">
        <v>1743</v>
      </c>
      <c r="B516" s="5" t="s">
        <v>19</v>
      </c>
      <c r="C516" s="5" t="s">
        <v>1744</v>
      </c>
      <c r="D516" s="5">
        <v>1.0</v>
      </c>
      <c r="F516" s="5">
        <v>0.0</v>
      </c>
      <c r="G516" s="5">
        <v>0.0</v>
      </c>
      <c r="H516" s="5">
        <v>0.0</v>
      </c>
    </row>
    <row r="517" ht="15.75" customHeight="1">
      <c r="A517" s="4" t="s">
        <v>1746</v>
      </c>
      <c r="B517" s="5" t="s">
        <v>935</v>
      </c>
      <c r="C517" s="5" t="s">
        <v>931</v>
      </c>
      <c r="D517" s="5">
        <v>1.0</v>
      </c>
      <c r="E517" s="5">
        <v>-1.0</v>
      </c>
      <c r="F517" s="5">
        <v>0.0</v>
      </c>
      <c r="G517" s="5">
        <v>0.0</v>
      </c>
      <c r="H517" s="5">
        <v>1.0</v>
      </c>
      <c r="I517" s="5">
        <v>0.0</v>
      </c>
    </row>
    <row r="518" ht="15.75" customHeight="1">
      <c r="A518" s="4" t="s">
        <v>1749</v>
      </c>
      <c r="B518" s="5" t="s">
        <v>19</v>
      </c>
      <c r="C518" s="5" t="s">
        <v>247</v>
      </c>
      <c r="D518" s="5">
        <v>1.0</v>
      </c>
      <c r="E518" s="5">
        <v>0.0</v>
      </c>
      <c r="F518" s="5">
        <v>0.0</v>
      </c>
      <c r="G518" s="5">
        <v>0.0</v>
      </c>
      <c r="H518" s="5">
        <v>1.0</v>
      </c>
      <c r="I518" s="5">
        <v>0.0</v>
      </c>
    </row>
    <row r="519" ht="15.75" customHeight="1">
      <c r="A519" s="4" t="s">
        <v>1751</v>
      </c>
      <c r="B519" s="5" t="s">
        <v>19</v>
      </c>
      <c r="C519" s="5" t="s">
        <v>639</v>
      </c>
      <c r="D519" s="5">
        <v>1.0</v>
      </c>
      <c r="F519" s="5">
        <v>0.0</v>
      </c>
      <c r="G519" s="5">
        <v>0.0</v>
      </c>
      <c r="H519" s="5">
        <v>1.0</v>
      </c>
    </row>
    <row r="520" ht="15.75" customHeight="1">
      <c r="A520" s="4" t="s">
        <v>1754</v>
      </c>
      <c r="B520" s="5" t="s">
        <v>935</v>
      </c>
      <c r="D520" s="5">
        <v>1.0</v>
      </c>
      <c r="E520" s="5">
        <v>-3.0</v>
      </c>
      <c r="F520" s="5">
        <v>0.0</v>
      </c>
      <c r="G520" s="5">
        <v>0.0</v>
      </c>
      <c r="H520" s="5">
        <v>1.0</v>
      </c>
      <c r="I520" s="5">
        <v>0.0</v>
      </c>
    </row>
    <row r="521" ht="15.75" customHeight="1">
      <c r="A521" s="4" t="s">
        <v>1758</v>
      </c>
      <c r="B521" s="5" t="s">
        <v>19</v>
      </c>
      <c r="C521" s="5" t="s">
        <v>1760</v>
      </c>
      <c r="D521" s="5">
        <v>1.0</v>
      </c>
      <c r="E521" s="5">
        <v>-4.0</v>
      </c>
      <c r="F521" s="5">
        <v>0.0</v>
      </c>
      <c r="G521" s="5">
        <v>0.0</v>
      </c>
      <c r="H521" s="5">
        <v>1.0</v>
      </c>
      <c r="I521" s="5">
        <v>0.2</v>
      </c>
    </row>
    <row r="522" ht="15.75" customHeight="1">
      <c r="A522" s="4" t="s">
        <v>1762</v>
      </c>
      <c r="B522" s="5" t="s">
        <v>19</v>
      </c>
      <c r="D522" s="5">
        <v>1.0</v>
      </c>
      <c r="E522" s="5">
        <v>-2.0</v>
      </c>
      <c r="F522" s="5">
        <v>0.0</v>
      </c>
      <c r="G522" s="5">
        <v>0.0</v>
      </c>
      <c r="H522" s="5">
        <v>0.0</v>
      </c>
      <c r="I522" s="5">
        <v>0.0</v>
      </c>
    </row>
    <row r="523" ht="15.75" customHeight="1">
      <c r="A523" s="4" t="s">
        <v>1765</v>
      </c>
      <c r="B523" s="5" t="s">
        <v>23</v>
      </c>
      <c r="C523" s="5" t="s">
        <v>1767</v>
      </c>
      <c r="D523" s="5">
        <v>1.0</v>
      </c>
      <c r="E523" s="5">
        <v>-6.0</v>
      </c>
      <c r="F523" s="5">
        <v>0.0</v>
      </c>
      <c r="G523" s="5">
        <v>0.0</v>
      </c>
      <c r="H523" s="5">
        <v>0.0</v>
      </c>
      <c r="I523" s="5">
        <v>0.0</v>
      </c>
    </row>
    <row r="524" ht="15.75" customHeight="1">
      <c r="A524" s="4" t="s">
        <v>1769</v>
      </c>
      <c r="B524" s="5" t="s">
        <v>19</v>
      </c>
      <c r="C524" s="5" t="s">
        <v>1772</v>
      </c>
      <c r="D524" s="5">
        <v>1.0</v>
      </c>
      <c r="F524" s="5">
        <v>0.0</v>
      </c>
      <c r="G524" s="5">
        <v>0.0</v>
      </c>
      <c r="H524" s="5">
        <v>0.0</v>
      </c>
    </row>
    <row r="525" ht="15.75" customHeight="1">
      <c r="A525" s="4" t="s">
        <v>1773</v>
      </c>
      <c r="B525" s="5" t="s">
        <v>19</v>
      </c>
      <c r="C525" s="5" t="s">
        <v>1775</v>
      </c>
      <c r="D525" s="5">
        <v>1.0</v>
      </c>
      <c r="F525" s="5">
        <v>0.0</v>
      </c>
      <c r="G525" s="5">
        <v>0.0</v>
      </c>
      <c r="H525" s="5">
        <v>0.0</v>
      </c>
    </row>
    <row r="526" ht="15.75" customHeight="1">
      <c r="A526" s="4" t="s">
        <v>1776</v>
      </c>
      <c r="B526" s="5" t="s">
        <v>19</v>
      </c>
      <c r="C526" s="5" t="s">
        <v>399</v>
      </c>
      <c r="D526" s="5">
        <v>1.0</v>
      </c>
      <c r="E526" s="5">
        <v>-1.0</v>
      </c>
      <c r="F526" s="5">
        <v>0.0</v>
      </c>
      <c r="G526" s="5">
        <v>0.0</v>
      </c>
      <c r="H526" s="5">
        <v>0.0</v>
      </c>
      <c r="I526" s="5">
        <v>-2.5</v>
      </c>
    </row>
    <row r="527" ht="15.75" customHeight="1">
      <c r="A527" s="4" t="s">
        <v>1778</v>
      </c>
      <c r="B527" s="5" t="s">
        <v>165</v>
      </c>
      <c r="C527" s="5" t="s">
        <v>1780</v>
      </c>
      <c r="D527" s="5">
        <v>1.0</v>
      </c>
      <c r="F527" s="5">
        <v>0.0</v>
      </c>
      <c r="G527" s="5">
        <v>0.0</v>
      </c>
      <c r="H527" s="5">
        <v>2.0</v>
      </c>
    </row>
    <row r="528" ht="15.75" customHeight="1">
      <c r="A528" s="4" t="s">
        <v>1781</v>
      </c>
      <c r="B528" s="5" t="s">
        <v>19</v>
      </c>
      <c r="D528" s="5">
        <v>1.0</v>
      </c>
      <c r="E528" s="5">
        <v>0.0</v>
      </c>
      <c r="F528" s="5">
        <v>0.0</v>
      </c>
      <c r="G528" s="5">
        <v>0.0</v>
      </c>
      <c r="H528" s="5">
        <v>0.0</v>
      </c>
      <c r="I528" s="5">
        <v>0.0</v>
      </c>
    </row>
    <row r="529" ht="15.75" customHeight="1">
      <c r="A529" s="4" t="s">
        <v>1783</v>
      </c>
      <c r="B529" s="5" t="s">
        <v>19</v>
      </c>
      <c r="D529" s="5">
        <v>1.0</v>
      </c>
      <c r="F529" s="5">
        <v>0.0</v>
      </c>
      <c r="G529" s="5">
        <v>0.0</v>
      </c>
      <c r="H529" s="5">
        <v>0.0</v>
      </c>
    </row>
    <row r="530" ht="15.75" customHeight="1">
      <c r="A530" s="4" t="s">
        <v>1785</v>
      </c>
      <c r="B530" s="5" t="s">
        <v>19</v>
      </c>
      <c r="D530" s="5">
        <v>1.0</v>
      </c>
      <c r="E530" s="5">
        <v>0.0</v>
      </c>
      <c r="F530" s="5">
        <v>0.0</v>
      </c>
      <c r="G530" s="5">
        <v>0.0</v>
      </c>
      <c r="H530" s="5">
        <v>2.0</v>
      </c>
      <c r="I530" s="5">
        <v>-2.0</v>
      </c>
    </row>
    <row r="531" ht="15.75" customHeight="1">
      <c r="A531" s="4" t="s">
        <v>1787</v>
      </c>
      <c r="B531" s="5" t="s">
        <v>165</v>
      </c>
      <c r="C531" s="5" t="s">
        <v>1789</v>
      </c>
      <c r="D531" s="5">
        <v>1.0</v>
      </c>
      <c r="E531" s="5">
        <v>-6.0</v>
      </c>
      <c r="F531" s="5">
        <v>0.0</v>
      </c>
      <c r="G531" s="5">
        <v>0.0</v>
      </c>
      <c r="H531" s="5">
        <v>0.0</v>
      </c>
      <c r="I531" s="5">
        <v>0.0</v>
      </c>
    </row>
    <row r="532" ht="15.75" customHeight="1">
      <c r="A532" s="4" t="s">
        <v>1791</v>
      </c>
      <c r="B532" s="5" t="s">
        <v>19</v>
      </c>
      <c r="D532" s="5">
        <v>1.0</v>
      </c>
      <c r="F532" s="5">
        <v>0.0</v>
      </c>
      <c r="G532" s="5">
        <v>0.0</v>
      </c>
      <c r="H532" s="5">
        <v>0.0</v>
      </c>
    </row>
    <row r="533" ht="15.75" customHeight="1">
      <c r="A533" s="4" t="s">
        <v>1793</v>
      </c>
      <c r="B533" s="5" t="s">
        <v>19</v>
      </c>
      <c r="D533" s="5">
        <v>1.0</v>
      </c>
      <c r="E533" s="5">
        <v>-2.0</v>
      </c>
      <c r="F533" s="5">
        <v>0.0</v>
      </c>
      <c r="G533" s="5">
        <v>0.0</v>
      </c>
      <c r="H533" s="5">
        <v>0.0</v>
      </c>
      <c r="I533" s="5">
        <v>0.0</v>
      </c>
    </row>
    <row r="534" ht="15.75" customHeight="1">
      <c r="A534" s="4" t="s">
        <v>1795</v>
      </c>
      <c r="B534" s="5" t="s">
        <v>165</v>
      </c>
      <c r="D534" s="5">
        <v>1.0</v>
      </c>
      <c r="E534" s="5">
        <v>0.0</v>
      </c>
      <c r="F534" s="5">
        <v>0.0</v>
      </c>
      <c r="G534" s="5">
        <v>0.0</v>
      </c>
      <c r="H534" s="5">
        <v>1.0</v>
      </c>
      <c r="I534" s="5">
        <v>0.0</v>
      </c>
    </row>
    <row r="535" ht="15.75" customHeight="1">
      <c r="A535" s="4" t="s">
        <v>1797</v>
      </c>
      <c r="B535" s="5" t="s">
        <v>23</v>
      </c>
      <c r="C535" s="5" t="s">
        <v>1799</v>
      </c>
      <c r="D535" s="5">
        <v>1.0</v>
      </c>
      <c r="F535" s="5">
        <v>0.0</v>
      </c>
      <c r="G535" s="5">
        <v>0.0</v>
      </c>
      <c r="H535" s="5">
        <v>1.0</v>
      </c>
    </row>
    <row r="536" ht="15.75" customHeight="1">
      <c r="A536" s="4" t="s">
        <v>1800</v>
      </c>
      <c r="B536" s="5" t="s">
        <v>19</v>
      </c>
      <c r="C536" s="5" t="s">
        <v>396</v>
      </c>
      <c r="D536" s="5">
        <v>1.0</v>
      </c>
      <c r="F536" s="5">
        <v>0.0</v>
      </c>
      <c r="G536" s="5">
        <v>0.0</v>
      </c>
      <c r="H536" s="5">
        <v>0.0</v>
      </c>
    </row>
    <row r="537" ht="15.75" customHeight="1">
      <c r="A537" s="4" t="s">
        <v>1803</v>
      </c>
      <c r="B537" s="5" t="s">
        <v>19</v>
      </c>
      <c r="C537" s="5" t="s">
        <v>1805</v>
      </c>
      <c r="D537" s="5">
        <v>1.0</v>
      </c>
      <c r="F537" s="5">
        <v>0.0</v>
      </c>
      <c r="G537" s="5">
        <v>0.0</v>
      </c>
      <c r="H537" s="5">
        <v>0.0</v>
      </c>
    </row>
    <row r="538" ht="15.75" customHeight="1">
      <c r="A538" s="4" t="s">
        <v>1806</v>
      </c>
      <c r="B538" s="5" t="s">
        <v>81</v>
      </c>
      <c r="C538" s="5" t="s">
        <v>399</v>
      </c>
      <c r="D538" s="5">
        <v>1.0</v>
      </c>
      <c r="E538" s="5">
        <v>0.0</v>
      </c>
      <c r="F538" s="5">
        <v>0.0</v>
      </c>
      <c r="G538" s="5">
        <v>0.0</v>
      </c>
      <c r="H538" s="5">
        <v>0.0</v>
      </c>
      <c r="I538" s="5">
        <v>-2.0</v>
      </c>
    </row>
    <row r="539" ht="15.75" customHeight="1">
      <c r="A539" s="4" t="s">
        <v>1809</v>
      </c>
      <c r="B539" s="5" t="s">
        <v>85</v>
      </c>
      <c r="C539" s="5" t="s">
        <v>1810</v>
      </c>
      <c r="D539" s="5">
        <v>1.0</v>
      </c>
      <c r="E539" s="5">
        <v>-4.0</v>
      </c>
      <c r="F539" s="5">
        <v>0.0</v>
      </c>
      <c r="G539" s="5">
        <v>0.0</v>
      </c>
      <c r="H539" s="5">
        <v>0.0</v>
      </c>
      <c r="I539" s="5">
        <v>-0.6</v>
      </c>
    </row>
    <row r="540" ht="15.75" customHeight="1">
      <c r="A540" s="4" t="s">
        <v>1812</v>
      </c>
      <c r="B540" s="5" t="s">
        <v>19</v>
      </c>
      <c r="D540" s="5">
        <v>1.0</v>
      </c>
      <c r="F540" s="5">
        <v>0.0</v>
      </c>
      <c r="G540" s="5">
        <v>0.0</v>
      </c>
      <c r="H540" s="5">
        <v>0.0</v>
      </c>
    </row>
    <row r="541" ht="15.75" customHeight="1">
      <c r="A541" s="4" t="s">
        <v>1814</v>
      </c>
      <c r="B541" s="5" t="s">
        <v>19</v>
      </c>
      <c r="C541" s="5" t="s">
        <v>396</v>
      </c>
      <c r="D541" s="5">
        <v>1.0</v>
      </c>
      <c r="E541" s="5">
        <v>-3.0</v>
      </c>
      <c r="F541" s="5">
        <v>0.0</v>
      </c>
      <c r="G541" s="5">
        <v>0.0</v>
      </c>
      <c r="H541" s="5">
        <v>2.0</v>
      </c>
      <c r="I541" s="5">
        <v>1.0</v>
      </c>
    </row>
    <row r="542" ht="15.75" customHeight="1">
      <c r="A542" s="4" t="s">
        <v>1816</v>
      </c>
      <c r="B542" s="5" t="s">
        <v>19</v>
      </c>
      <c r="C542" s="5" t="s">
        <v>342</v>
      </c>
      <c r="D542" s="5">
        <v>1.0</v>
      </c>
      <c r="F542" s="5">
        <v>0.0</v>
      </c>
      <c r="G542" s="5">
        <v>0.0</v>
      </c>
      <c r="H542" s="5">
        <v>1.0</v>
      </c>
    </row>
    <row r="543" ht="15.75" customHeight="1">
      <c r="A543" s="4" t="s">
        <v>1819</v>
      </c>
      <c r="B543" s="5" t="s">
        <v>19</v>
      </c>
      <c r="C543" s="5" t="s">
        <v>1820</v>
      </c>
      <c r="D543" s="5">
        <v>1.0</v>
      </c>
      <c r="E543" s="5">
        <v>-5.0</v>
      </c>
      <c r="F543" s="5">
        <v>0.0</v>
      </c>
      <c r="G543" s="5">
        <v>0.0</v>
      </c>
      <c r="H543" s="5">
        <v>0.0</v>
      </c>
      <c r="I543" s="5">
        <v>0.0</v>
      </c>
    </row>
    <row r="544" ht="15.75" customHeight="1">
      <c r="A544" s="4" t="s">
        <v>1822</v>
      </c>
      <c r="B544" s="5" t="s">
        <v>19</v>
      </c>
      <c r="C544" s="5" t="s">
        <v>1824</v>
      </c>
      <c r="D544" s="5">
        <v>1.0</v>
      </c>
      <c r="F544" s="5">
        <v>0.0</v>
      </c>
      <c r="G544" s="5">
        <v>0.0</v>
      </c>
      <c r="H544" s="5">
        <v>0.0</v>
      </c>
    </row>
    <row r="545" ht="15.75" customHeight="1">
      <c r="A545" s="4" t="s">
        <v>1826</v>
      </c>
      <c r="B545" s="5" t="s">
        <v>19</v>
      </c>
      <c r="C545" s="5" t="s">
        <v>639</v>
      </c>
      <c r="D545" s="5">
        <v>1.0</v>
      </c>
      <c r="E545" s="5">
        <v>-5.0</v>
      </c>
      <c r="F545" s="5">
        <v>0.0</v>
      </c>
      <c r="G545" s="5">
        <v>0.0</v>
      </c>
      <c r="H545" s="5">
        <v>0.0</v>
      </c>
      <c r="I545" s="5">
        <v>-0.17</v>
      </c>
    </row>
    <row r="546" ht="15.75" customHeight="1">
      <c r="A546" s="4" t="s">
        <v>1828</v>
      </c>
      <c r="B546" s="5" t="s">
        <v>19</v>
      </c>
      <c r="D546" s="5">
        <v>1.0</v>
      </c>
      <c r="E546" s="5">
        <v>-3.0</v>
      </c>
      <c r="F546" s="5">
        <v>0.0</v>
      </c>
      <c r="G546" s="5">
        <v>0.0</v>
      </c>
      <c r="H546" s="5">
        <v>0.0</v>
      </c>
      <c r="I546" s="5">
        <v>-1.0</v>
      </c>
    </row>
    <row r="547" ht="15.75" customHeight="1">
      <c r="A547" s="4" t="s">
        <v>1831</v>
      </c>
      <c r="B547" s="5" t="s">
        <v>19</v>
      </c>
      <c r="D547" s="5">
        <v>1.0</v>
      </c>
      <c r="F547" s="5">
        <v>0.0</v>
      </c>
      <c r="G547" s="5">
        <v>0.0</v>
      </c>
      <c r="H547" s="5">
        <v>1.0</v>
      </c>
    </row>
    <row r="548" ht="15.75" customHeight="1">
      <c r="A548" s="4" t="s">
        <v>1834</v>
      </c>
      <c r="B548" s="5" t="s">
        <v>19</v>
      </c>
      <c r="C548" s="5" t="s">
        <v>396</v>
      </c>
      <c r="D548" s="5">
        <v>1.0</v>
      </c>
      <c r="F548" s="5">
        <v>0.0</v>
      </c>
      <c r="G548" s="5">
        <v>0.0</v>
      </c>
      <c r="H548" s="5">
        <v>0.0</v>
      </c>
    </row>
    <row r="549" ht="15.75" customHeight="1">
      <c r="A549" s="4" t="s">
        <v>1836</v>
      </c>
      <c r="B549" s="5" t="s">
        <v>81</v>
      </c>
      <c r="C549" s="5" t="s">
        <v>1839</v>
      </c>
      <c r="D549" s="5">
        <v>1.0</v>
      </c>
      <c r="E549" s="5">
        <v>-2.0</v>
      </c>
      <c r="F549" s="5">
        <v>0.0</v>
      </c>
      <c r="G549" s="5">
        <v>0.0</v>
      </c>
      <c r="H549" s="5">
        <v>0.0</v>
      </c>
      <c r="I549" s="5">
        <v>0.0</v>
      </c>
    </row>
    <row r="550" ht="15.75" customHeight="1">
      <c r="A550" s="4" t="s">
        <v>1840</v>
      </c>
      <c r="B550" s="5" t="s">
        <v>19</v>
      </c>
      <c r="C550" s="5" t="s">
        <v>1842</v>
      </c>
      <c r="D550" s="5">
        <v>1.0</v>
      </c>
      <c r="E550" s="5">
        <v>-2.0</v>
      </c>
      <c r="F550" s="5">
        <v>0.0</v>
      </c>
      <c r="G550" s="5">
        <v>0.0</v>
      </c>
      <c r="H550" s="5">
        <v>0.0</v>
      </c>
      <c r="I550" s="5">
        <v>-0.67</v>
      </c>
    </row>
    <row r="551" ht="15.75" customHeight="1">
      <c r="A551" s="5" t="s">
        <v>1844</v>
      </c>
      <c r="B551" s="5" t="s">
        <v>19</v>
      </c>
      <c r="C551" s="5" t="s">
        <v>877</v>
      </c>
      <c r="D551" s="5">
        <v>1.0</v>
      </c>
      <c r="F551" s="5">
        <v>0.0</v>
      </c>
      <c r="G551" s="5">
        <v>0.0</v>
      </c>
      <c r="H551" s="5">
        <v>2.0</v>
      </c>
    </row>
    <row r="552" ht="15.75" customHeight="1">
      <c r="A552" s="4" t="s">
        <v>1845</v>
      </c>
      <c r="B552" s="5" t="s">
        <v>23</v>
      </c>
      <c r="C552" s="5" t="s">
        <v>1848</v>
      </c>
      <c r="D552" s="5">
        <v>1.0</v>
      </c>
      <c r="F552" s="5">
        <v>0.0</v>
      </c>
      <c r="G552" s="5">
        <v>0.0</v>
      </c>
      <c r="H552" s="5">
        <v>1.0</v>
      </c>
    </row>
    <row r="553" ht="15.75" customHeight="1">
      <c r="A553" s="4" t="s">
        <v>1849</v>
      </c>
      <c r="B553" s="5" t="s">
        <v>19</v>
      </c>
      <c r="C553" s="5" t="s">
        <v>1851</v>
      </c>
      <c r="D553" s="5">
        <v>1.0</v>
      </c>
      <c r="E553" s="5">
        <v>-5.0</v>
      </c>
      <c r="F553" s="5">
        <v>0.0</v>
      </c>
      <c r="G553" s="5">
        <v>0.0</v>
      </c>
      <c r="H553" s="5">
        <v>0.0</v>
      </c>
      <c r="I553" s="5">
        <v>0.0</v>
      </c>
    </row>
    <row r="554" ht="15.75" customHeight="1">
      <c r="A554" s="4" t="s">
        <v>1853</v>
      </c>
      <c r="B554" s="5" t="s">
        <v>19</v>
      </c>
      <c r="C554" s="5" t="s">
        <v>396</v>
      </c>
      <c r="D554" s="5">
        <v>1.0</v>
      </c>
      <c r="F554" s="5">
        <v>0.0</v>
      </c>
      <c r="G554" s="5">
        <v>0.0</v>
      </c>
      <c r="H554" s="5">
        <v>1.0</v>
      </c>
    </row>
    <row r="555" ht="15.75" customHeight="1">
      <c r="A555" s="4" t="s">
        <v>1855</v>
      </c>
      <c r="B555" s="5" t="s">
        <v>19</v>
      </c>
      <c r="D555" s="5">
        <v>1.0</v>
      </c>
      <c r="F555" s="5">
        <v>0.0</v>
      </c>
      <c r="G555" s="5">
        <v>0.0</v>
      </c>
      <c r="H555" s="5">
        <v>1.0</v>
      </c>
    </row>
    <row r="556" ht="15.75" customHeight="1">
      <c r="A556" s="4" t="s">
        <v>1857</v>
      </c>
      <c r="B556" s="5" t="s">
        <v>19</v>
      </c>
      <c r="D556" s="5">
        <v>1.0</v>
      </c>
      <c r="E556" s="5">
        <v>-5.0</v>
      </c>
      <c r="F556" s="5">
        <v>0.0</v>
      </c>
      <c r="G556" s="5">
        <v>0.0</v>
      </c>
      <c r="H556" s="5">
        <v>0.0</v>
      </c>
      <c r="I556" s="5">
        <v>0.0</v>
      </c>
    </row>
    <row r="557" ht="15.75" customHeight="1">
      <c r="A557" s="4" t="s">
        <v>1860</v>
      </c>
      <c r="B557" s="5" t="s">
        <v>19</v>
      </c>
      <c r="D557" s="5">
        <v>1.0</v>
      </c>
      <c r="F557" s="5">
        <v>0.0</v>
      </c>
      <c r="G557" s="5">
        <v>0.0</v>
      </c>
      <c r="H557" s="5">
        <v>0.0</v>
      </c>
    </row>
    <row r="558" ht="15.75" customHeight="1">
      <c r="A558" s="4" t="s">
        <v>1863</v>
      </c>
      <c r="B558" s="5" t="s">
        <v>19</v>
      </c>
      <c r="D558" s="5">
        <v>1.0</v>
      </c>
      <c r="F558" s="5">
        <v>0.0</v>
      </c>
      <c r="G558" s="5">
        <v>0.0</v>
      </c>
      <c r="H558" s="5">
        <v>1.0</v>
      </c>
    </row>
    <row r="559" ht="15.75" customHeight="1">
      <c r="A559" s="4" t="s">
        <v>1865</v>
      </c>
      <c r="B559" s="5" t="s">
        <v>19</v>
      </c>
      <c r="C559" s="5" t="s">
        <v>1163</v>
      </c>
      <c r="D559" s="5">
        <v>1.0</v>
      </c>
      <c r="F559" s="5">
        <v>0.0</v>
      </c>
      <c r="G559" s="5">
        <v>0.0</v>
      </c>
      <c r="H559" s="5">
        <v>2.0</v>
      </c>
    </row>
    <row r="560" ht="15.75" customHeight="1">
      <c r="A560" s="5" t="s">
        <v>1868</v>
      </c>
      <c r="B560" s="5" t="s">
        <v>19</v>
      </c>
      <c r="D560" s="5">
        <v>1.0</v>
      </c>
      <c r="F560" s="5">
        <v>0.0</v>
      </c>
      <c r="G560" s="5">
        <v>0.0</v>
      </c>
      <c r="H560" s="5">
        <v>1.0</v>
      </c>
    </row>
    <row r="561" ht="15.75" customHeight="1">
      <c r="A561" s="4" t="s">
        <v>1870</v>
      </c>
      <c r="B561" s="5" t="s">
        <v>19</v>
      </c>
      <c r="D561" s="5">
        <v>1.0</v>
      </c>
      <c r="E561" s="5">
        <v>0.0</v>
      </c>
      <c r="F561" s="5">
        <v>0.0</v>
      </c>
      <c r="G561" s="5">
        <v>0.0</v>
      </c>
      <c r="H561" s="5">
        <v>0.0</v>
      </c>
      <c r="I561" s="5">
        <v>0.0</v>
      </c>
    </row>
    <row r="562" ht="15.75" customHeight="1">
      <c r="A562" s="4" t="s">
        <v>1871</v>
      </c>
      <c r="B562" s="5" t="s">
        <v>19</v>
      </c>
      <c r="C562" s="5" t="s">
        <v>1873</v>
      </c>
      <c r="D562" s="5">
        <v>1.0</v>
      </c>
      <c r="E562" s="5">
        <v>-7.0</v>
      </c>
      <c r="F562" s="5">
        <v>0.0</v>
      </c>
      <c r="G562" s="5">
        <v>0.0</v>
      </c>
      <c r="H562" s="5">
        <v>1.0</v>
      </c>
      <c r="I562" s="5">
        <v>0.5</v>
      </c>
    </row>
    <row r="563" ht="15.75" customHeight="1">
      <c r="A563" s="4" t="s">
        <v>1875</v>
      </c>
      <c r="B563" s="5" t="s">
        <v>19</v>
      </c>
      <c r="C563" s="5" t="s">
        <v>1163</v>
      </c>
      <c r="D563" s="5">
        <v>1.0</v>
      </c>
      <c r="E563" s="5">
        <v>-3.0</v>
      </c>
      <c r="F563" s="5">
        <v>0.0</v>
      </c>
      <c r="G563" s="5">
        <v>0.0</v>
      </c>
      <c r="H563" s="5">
        <v>1.0</v>
      </c>
      <c r="I563" s="5">
        <v>-0.5</v>
      </c>
    </row>
    <row r="564" ht="15.75" customHeight="1">
      <c r="A564" s="4" t="s">
        <v>1877</v>
      </c>
      <c r="B564" s="5" t="s">
        <v>19</v>
      </c>
      <c r="C564" s="5" t="s">
        <v>952</v>
      </c>
      <c r="D564" s="5">
        <v>1.0</v>
      </c>
      <c r="F564" s="5">
        <v>0.0</v>
      </c>
      <c r="G564" s="5">
        <v>0.0</v>
      </c>
      <c r="H564" s="5">
        <v>0.0</v>
      </c>
    </row>
    <row r="565" ht="15.75" customHeight="1">
      <c r="A565" s="4" t="s">
        <v>1879</v>
      </c>
      <c r="B565" s="5" t="s">
        <v>19</v>
      </c>
      <c r="C565" s="5" t="s">
        <v>1881</v>
      </c>
      <c r="D565" s="5">
        <v>1.0</v>
      </c>
      <c r="E565" s="5">
        <v>-16.0</v>
      </c>
      <c r="F565" s="5">
        <v>0.0</v>
      </c>
      <c r="G565" s="5">
        <v>0.0</v>
      </c>
      <c r="H565" s="5">
        <v>1.0</v>
      </c>
      <c r="I565" s="5">
        <v>-0.53</v>
      </c>
    </row>
    <row r="566" ht="15.75" customHeight="1">
      <c r="A566" s="4" t="s">
        <v>1882</v>
      </c>
      <c r="B566" s="5" t="s">
        <v>19</v>
      </c>
      <c r="C566" s="5" t="s">
        <v>1883</v>
      </c>
      <c r="D566" s="5">
        <v>1.0</v>
      </c>
      <c r="F566" s="5">
        <v>0.0</v>
      </c>
      <c r="G566" s="5">
        <v>0.0</v>
      </c>
      <c r="H566" s="5">
        <v>1.0</v>
      </c>
    </row>
    <row r="567" ht="15.75" customHeight="1">
      <c r="A567" s="4" t="s">
        <v>1885</v>
      </c>
      <c r="B567" s="5" t="s">
        <v>19</v>
      </c>
      <c r="C567" s="5" t="s">
        <v>1886</v>
      </c>
      <c r="D567" s="5">
        <v>1.0</v>
      </c>
      <c r="F567" s="5">
        <v>0.0</v>
      </c>
      <c r="G567" s="5">
        <v>0.0</v>
      </c>
      <c r="H567" s="5">
        <v>0.0</v>
      </c>
    </row>
    <row r="568" ht="15.75" customHeight="1">
      <c r="A568" s="4" t="s">
        <v>1887</v>
      </c>
      <c r="B568" s="5" t="s">
        <v>19</v>
      </c>
      <c r="C568" s="5" t="s">
        <v>1220</v>
      </c>
      <c r="D568" s="5">
        <v>1.0</v>
      </c>
      <c r="F568" s="5">
        <v>0.0</v>
      </c>
      <c r="G568" s="5">
        <v>0.0</v>
      </c>
      <c r="H568" s="5">
        <v>0.0</v>
      </c>
    </row>
    <row r="569" ht="15.75" customHeight="1">
      <c r="A569" s="4" t="s">
        <v>1890</v>
      </c>
      <c r="B569" s="5" t="s">
        <v>19</v>
      </c>
      <c r="C569" s="5" t="s">
        <v>1891</v>
      </c>
      <c r="D569" s="5">
        <v>1.0</v>
      </c>
      <c r="E569" s="5">
        <v>-6.0</v>
      </c>
      <c r="F569" s="5">
        <v>0.0</v>
      </c>
      <c r="G569" s="5">
        <v>0.0</v>
      </c>
      <c r="H569" s="5">
        <v>0.0</v>
      </c>
      <c r="I569" s="5">
        <v>-0.29</v>
      </c>
    </row>
    <row r="570" ht="15.75" customHeight="1">
      <c r="A570" s="4" t="s">
        <v>1892</v>
      </c>
      <c r="B570" s="5" t="s">
        <v>19</v>
      </c>
      <c r="C570" s="5" t="s">
        <v>1894</v>
      </c>
      <c r="D570" s="5">
        <v>1.0</v>
      </c>
      <c r="F570" s="5">
        <v>0.0</v>
      </c>
      <c r="G570" s="5">
        <v>0.0</v>
      </c>
      <c r="H570" s="5">
        <v>1.0</v>
      </c>
    </row>
    <row r="571" ht="15.75" customHeight="1">
      <c r="A571" s="5" t="s">
        <v>1895</v>
      </c>
      <c r="B571" s="5" t="s">
        <v>19</v>
      </c>
      <c r="D571" s="5">
        <v>1.0</v>
      </c>
      <c r="E571" s="5">
        <v>0.0</v>
      </c>
      <c r="F571" s="5">
        <v>0.0</v>
      </c>
      <c r="G571" s="5">
        <v>0.0</v>
      </c>
      <c r="H571" s="5">
        <v>0.0</v>
      </c>
      <c r="I571" s="5">
        <v>0.0</v>
      </c>
    </row>
    <row r="572" ht="15.75" customHeight="1">
      <c r="A572" s="4" t="s">
        <v>1897</v>
      </c>
      <c r="B572" s="5" t="s">
        <v>19</v>
      </c>
      <c r="D572" s="5">
        <v>1.0</v>
      </c>
      <c r="F572" s="5">
        <v>0.0</v>
      </c>
      <c r="G572" s="5">
        <v>0.0</v>
      </c>
      <c r="H572" s="5">
        <v>0.0</v>
      </c>
    </row>
    <row r="573" ht="15.75" customHeight="1">
      <c r="A573" s="4" t="s">
        <v>1898</v>
      </c>
      <c r="B573" s="5" t="s">
        <v>19</v>
      </c>
      <c r="C573" s="5" t="s">
        <v>1900</v>
      </c>
      <c r="D573" s="5">
        <v>1.0</v>
      </c>
      <c r="F573" s="5">
        <v>0.0</v>
      </c>
      <c r="G573" s="5">
        <v>0.0</v>
      </c>
      <c r="H573" s="5">
        <v>1.0</v>
      </c>
    </row>
    <row r="574" ht="15.75" customHeight="1">
      <c r="A574" s="4" t="s">
        <v>1902</v>
      </c>
      <c r="B574" s="5" t="s">
        <v>19</v>
      </c>
      <c r="D574" s="5">
        <v>1.0</v>
      </c>
      <c r="F574" s="5">
        <v>0.0</v>
      </c>
      <c r="G574" s="5">
        <v>0.0</v>
      </c>
      <c r="H574" s="5">
        <v>0.0</v>
      </c>
    </row>
    <row r="575" ht="15.75" customHeight="1">
      <c r="A575" s="4" t="s">
        <v>1903</v>
      </c>
      <c r="B575" s="5" t="s">
        <v>81</v>
      </c>
      <c r="D575" s="5">
        <v>1.0</v>
      </c>
      <c r="E575" s="5">
        <v>-4.0</v>
      </c>
      <c r="F575" s="5">
        <v>0.0</v>
      </c>
      <c r="G575" s="5">
        <v>0.0</v>
      </c>
      <c r="H575" s="5">
        <v>0.0</v>
      </c>
      <c r="I575" s="5">
        <v>-1.8</v>
      </c>
    </row>
    <row r="576" ht="15.75" customHeight="1">
      <c r="A576" s="4" t="s">
        <v>1905</v>
      </c>
      <c r="B576" s="5" t="s">
        <v>935</v>
      </c>
      <c r="D576" s="5">
        <v>1.0</v>
      </c>
      <c r="F576" s="5">
        <v>0.0</v>
      </c>
      <c r="G576" s="5">
        <v>0.0</v>
      </c>
      <c r="H576" s="5">
        <v>0.0</v>
      </c>
    </row>
    <row r="577" ht="15.75" customHeight="1">
      <c r="A577" s="4" t="s">
        <v>1907</v>
      </c>
      <c r="B577" s="5" t="s">
        <v>19</v>
      </c>
      <c r="C577" s="5" t="s">
        <v>1267</v>
      </c>
      <c r="D577" s="5">
        <v>1.0</v>
      </c>
      <c r="F577" s="5">
        <v>0.0</v>
      </c>
      <c r="G577" s="5">
        <v>0.0</v>
      </c>
      <c r="H577" s="5">
        <v>0.0</v>
      </c>
    </row>
    <row r="578" ht="15.75" customHeight="1">
      <c r="A578" s="4" t="s">
        <v>1909</v>
      </c>
      <c r="B578" s="5" t="s">
        <v>19</v>
      </c>
      <c r="C578" s="5" t="s">
        <v>1911</v>
      </c>
      <c r="D578" s="5">
        <v>1.0</v>
      </c>
      <c r="E578" s="5">
        <v>-1.0</v>
      </c>
      <c r="F578" s="5">
        <v>0.0</v>
      </c>
      <c r="G578" s="5">
        <v>0.0</v>
      </c>
      <c r="H578" s="5">
        <v>1.0</v>
      </c>
      <c r="I578" s="5">
        <v>1.0</v>
      </c>
    </row>
    <row r="579" ht="15.75" customHeight="1">
      <c r="A579" s="4" t="s">
        <v>1912</v>
      </c>
      <c r="B579" s="5" t="s">
        <v>19</v>
      </c>
      <c r="C579" s="5" t="s">
        <v>649</v>
      </c>
      <c r="D579" s="5">
        <v>1.0</v>
      </c>
      <c r="E579" s="5">
        <v>-1.0</v>
      </c>
      <c r="F579" s="5">
        <v>0.0</v>
      </c>
      <c r="G579" s="5">
        <v>0.0</v>
      </c>
      <c r="H579" s="5">
        <v>0.0</v>
      </c>
      <c r="I579" s="5">
        <v>-2.0</v>
      </c>
    </row>
    <row r="580" ht="15.75" customHeight="1">
      <c r="A580" s="4" t="s">
        <v>1915</v>
      </c>
      <c r="B580" s="5" t="s">
        <v>23</v>
      </c>
      <c r="D580" s="5">
        <v>1.0</v>
      </c>
      <c r="F580" s="5">
        <v>0.0</v>
      </c>
      <c r="G580" s="5">
        <v>0.0</v>
      </c>
      <c r="H580" s="5">
        <v>0.0</v>
      </c>
    </row>
    <row r="581" ht="15.75" customHeight="1">
      <c r="A581" s="4" t="s">
        <v>1916</v>
      </c>
      <c r="B581" s="5" t="s">
        <v>19</v>
      </c>
      <c r="C581" s="5" t="s">
        <v>1918</v>
      </c>
      <c r="D581" s="5">
        <v>1.0</v>
      </c>
      <c r="F581" s="5">
        <v>0.0</v>
      </c>
      <c r="G581" s="5">
        <v>0.0</v>
      </c>
      <c r="H581" s="5">
        <v>0.0</v>
      </c>
    </row>
    <row r="582" ht="15.75" customHeight="1">
      <c r="A582" s="4" t="s">
        <v>1919</v>
      </c>
      <c r="B582" s="5" t="s">
        <v>19</v>
      </c>
      <c r="C582" s="5" t="s">
        <v>1921</v>
      </c>
      <c r="D582" s="5">
        <v>1.0</v>
      </c>
      <c r="F582" s="5">
        <v>0.0</v>
      </c>
      <c r="G582" s="5">
        <v>0.0</v>
      </c>
      <c r="H582" s="5">
        <v>1.0</v>
      </c>
    </row>
    <row r="583" ht="15.75" customHeight="1">
      <c r="A583" s="4" t="s">
        <v>1923</v>
      </c>
      <c r="B583" s="5" t="s">
        <v>19</v>
      </c>
      <c r="C583" s="5" t="s">
        <v>1925</v>
      </c>
      <c r="D583" s="5">
        <v>1.0</v>
      </c>
      <c r="E583" s="5">
        <v>0.0</v>
      </c>
      <c r="F583" s="5">
        <v>0.0</v>
      </c>
      <c r="G583" s="5">
        <v>0.0</v>
      </c>
      <c r="H583" s="5">
        <v>0.0</v>
      </c>
      <c r="I583" s="5">
        <v>0.0</v>
      </c>
    </row>
    <row r="584" ht="15.75" customHeight="1">
      <c r="A584" s="4" t="s">
        <v>1926</v>
      </c>
      <c r="B584" s="5" t="s">
        <v>19</v>
      </c>
      <c r="C584" s="5" t="s">
        <v>1928</v>
      </c>
      <c r="D584" s="5">
        <v>1.0</v>
      </c>
      <c r="F584" s="5">
        <v>0.0</v>
      </c>
      <c r="G584" s="5">
        <v>0.0</v>
      </c>
      <c r="H584" s="5">
        <v>0.0</v>
      </c>
    </row>
    <row r="585" ht="15.75" customHeight="1">
      <c r="A585" s="4" t="s">
        <v>1929</v>
      </c>
      <c r="B585" s="5" t="s">
        <v>16</v>
      </c>
      <c r="C585" s="5" t="s">
        <v>1931</v>
      </c>
      <c r="D585" s="5">
        <v>1.0</v>
      </c>
      <c r="F585" s="5">
        <v>0.0</v>
      </c>
      <c r="G585" s="5">
        <v>0.0</v>
      </c>
      <c r="H585" s="5">
        <v>0.0</v>
      </c>
    </row>
    <row r="586" ht="15.75" customHeight="1">
      <c r="A586" s="4" t="s">
        <v>1933</v>
      </c>
      <c r="B586" s="5" t="s">
        <v>19</v>
      </c>
      <c r="D586" s="5">
        <v>1.0</v>
      </c>
      <c r="F586" s="5">
        <v>0.0</v>
      </c>
      <c r="G586" s="5">
        <v>0.0</v>
      </c>
      <c r="H586" s="5">
        <v>0.0</v>
      </c>
    </row>
    <row r="587" ht="15.75" customHeight="1">
      <c r="A587" s="4" t="s">
        <v>1935</v>
      </c>
      <c r="B587" s="5" t="s">
        <v>19</v>
      </c>
      <c r="C587" s="5" t="s">
        <v>952</v>
      </c>
      <c r="D587" s="5">
        <v>1.0</v>
      </c>
      <c r="F587" s="5">
        <v>0.0</v>
      </c>
      <c r="G587" s="5">
        <v>0.0</v>
      </c>
      <c r="H587" s="5">
        <v>0.0</v>
      </c>
    </row>
    <row r="588" ht="15.75" customHeight="1">
      <c r="A588" s="4" t="s">
        <v>1938</v>
      </c>
      <c r="B588" s="5" t="s">
        <v>19</v>
      </c>
      <c r="C588" s="5" t="s">
        <v>1940</v>
      </c>
      <c r="D588" s="5">
        <v>1.0</v>
      </c>
      <c r="F588" s="5">
        <v>0.0</v>
      </c>
      <c r="G588" s="5">
        <v>0.0</v>
      </c>
      <c r="H588" s="5">
        <v>0.0</v>
      </c>
    </row>
    <row r="589" ht="15.75" customHeight="1">
      <c r="A589" s="4" t="s">
        <v>1942</v>
      </c>
      <c r="B589" s="5" t="s">
        <v>19</v>
      </c>
      <c r="D589" s="5">
        <v>1.0</v>
      </c>
      <c r="F589" s="5">
        <v>0.0</v>
      </c>
      <c r="G589" s="5">
        <v>0.0</v>
      </c>
      <c r="H589" s="5">
        <v>0.0</v>
      </c>
    </row>
    <row r="590" ht="15.75" customHeight="1">
      <c r="A590" s="4" t="s">
        <v>1944</v>
      </c>
      <c r="B590" s="5" t="s">
        <v>19</v>
      </c>
      <c r="D590" s="5">
        <v>1.0</v>
      </c>
      <c r="F590" s="5">
        <v>0.0</v>
      </c>
      <c r="G590" s="5">
        <v>0.0</v>
      </c>
      <c r="H590" s="5">
        <v>0.0</v>
      </c>
    </row>
    <row r="591" ht="15.75" customHeight="1">
      <c r="A591" s="4" t="s">
        <v>1948</v>
      </c>
      <c r="B591" s="5" t="s">
        <v>19</v>
      </c>
      <c r="C591" s="5" t="s">
        <v>342</v>
      </c>
      <c r="D591" s="5">
        <v>1.0</v>
      </c>
      <c r="E591" s="5">
        <v>-5.0</v>
      </c>
      <c r="F591" s="5">
        <v>0.0</v>
      </c>
      <c r="G591" s="5">
        <v>0.0</v>
      </c>
      <c r="H591" s="5">
        <v>2.0</v>
      </c>
      <c r="I591" s="5">
        <v>-0.33</v>
      </c>
    </row>
    <row r="592" ht="15.75" customHeight="1">
      <c r="A592" s="4" t="s">
        <v>1950</v>
      </c>
      <c r="B592" s="5" t="s">
        <v>19</v>
      </c>
      <c r="C592" s="5" t="s">
        <v>649</v>
      </c>
      <c r="D592" s="5">
        <v>1.0</v>
      </c>
      <c r="F592" s="5">
        <v>0.0</v>
      </c>
      <c r="G592" s="5">
        <v>0.0</v>
      </c>
      <c r="H592" s="5">
        <v>1.0</v>
      </c>
    </row>
    <row r="593" ht="15.75" customHeight="1">
      <c r="A593" s="4" t="s">
        <v>1953</v>
      </c>
      <c r="B593" s="5" t="s">
        <v>19</v>
      </c>
      <c r="C593" s="5" t="s">
        <v>1954</v>
      </c>
      <c r="D593" s="5">
        <v>1.0</v>
      </c>
      <c r="E593" s="5">
        <v>-2.0</v>
      </c>
      <c r="F593" s="5">
        <v>0.0</v>
      </c>
      <c r="G593" s="5">
        <v>0.0</v>
      </c>
      <c r="H593" s="5">
        <v>1.0</v>
      </c>
      <c r="I593" s="5">
        <v>-1.0</v>
      </c>
    </row>
    <row r="594" ht="15.75" customHeight="1">
      <c r="A594" s="4" t="s">
        <v>1955</v>
      </c>
      <c r="B594" s="5" t="s">
        <v>165</v>
      </c>
      <c r="C594" s="5" t="s">
        <v>1957</v>
      </c>
      <c r="D594" s="5">
        <v>1.0</v>
      </c>
      <c r="F594" s="5">
        <v>0.0</v>
      </c>
      <c r="G594" s="5">
        <v>0.0</v>
      </c>
      <c r="H594" s="5">
        <v>1.0</v>
      </c>
    </row>
    <row r="595" ht="15.75" customHeight="1">
      <c r="A595" s="4" t="s">
        <v>1958</v>
      </c>
      <c r="B595" s="5" t="s">
        <v>19</v>
      </c>
      <c r="C595" s="5" t="s">
        <v>1960</v>
      </c>
      <c r="D595" s="5">
        <v>1.0</v>
      </c>
      <c r="F595" s="5">
        <v>0.0</v>
      </c>
      <c r="G595" s="5">
        <v>0.0</v>
      </c>
      <c r="H595" s="5">
        <v>0.0</v>
      </c>
    </row>
    <row r="596" ht="15.75" customHeight="1">
      <c r="A596" s="4" t="s">
        <v>1961</v>
      </c>
      <c r="B596" s="5" t="s">
        <v>19</v>
      </c>
      <c r="C596" s="5" t="s">
        <v>1964</v>
      </c>
      <c r="D596" s="5">
        <v>1.0</v>
      </c>
      <c r="E596" s="5">
        <v>-2.0</v>
      </c>
      <c r="F596" s="5">
        <v>0.0</v>
      </c>
      <c r="G596" s="5">
        <v>0.0</v>
      </c>
      <c r="H596" s="5">
        <v>1.0</v>
      </c>
      <c r="I596" s="5">
        <v>-0.33</v>
      </c>
    </row>
    <row r="597" ht="15.75" customHeight="1">
      <c r="A597" s="4" t="s">
        <v>1965</v>
      </c>
      <c r="B597" s="5" t="s">
        <v>165</v>
      </c>
      <c r="C597" s="5" t="s">
        <v>1968</v>
      </c>
      <c r="D597" s="5">
        <v>1.0</v>
      </c>
      <c r="F597" s="5">
        <v>0.0</v>
      </c>
      <c r="G597" s="5">
        <v>0.0</v>
      </c>
      <c r="H597" s="5">
        <v>0.0</v>
      </c>
    </row>
    <row r="598" ht="15.75" customHeight="1">
      <c r="A598" s="4" t="s">
        <v>1970</v>
      </c>
      <c r="B598" s="5" t="s">
        <v>935</v>
      </c>
      <c r="C598" s="5" t="s">
        <v>977</v>
      </c>
      <c r="D598" s="5">
        <v>1.0</v>
      </c>
      <c r="E598" s="5">
        <v>0.0</v>
      </c>
      <c r="F598" s="5">
        <v>0.0</v>
      </c>
      <c r="G598" s="5">
        <v>0.0</v>
      </c>
      <c r="H598" s="5">
        <v>0.0</v>
      </c>
      <c r="I598" s="5">
        <v>0.0</v>
      </c>
    </row>
    <row r="599" ht="15.75" customHeight="1">
      <c r="A599" s="4" t="s">
        <v>1971</v>
      </c>
      <c r="B599" s="5" t="s">
        <v>19</v>
      </c>
      <c r="D599" s="5">
        <v>1.0</v>
      </c>
      <c r="F599" s="5">
        <v>0.0</v>
      </c>
      <c r="G599" s="5">
        <v>0.0</v>
      </c>
      <c r="H599" s="5">
        <v>2.0</v>
      </c>
    </row>
    <row r="600" ht="15.75" customHeight="1">
      <c r="A600" s="4" t="s">
        <v>1973</v>
      </c>
      <c r="B600" s="5" t="s">
        <v>19</v>
      </c>
      <c r="C600" s="5" t="s">
        <v>247</v>
      </c>
      <c r="D600" s="5">
        <v>1.0</v>
      </c>
      <c r="F600" s="5">
        <v>0.0</v>
      </c>
      <c r="G600" s="5">
        <v>0.0</v>
      </c>
      <c r="H600" s="5">
        <v>0.0</v>
      </c>
    </row>
    <row r="601" ht="15.75" customHeight="1">
      <c r="A601" s="4" t="s">
        <v>1976</v>
      </c>
      <c r="B601" s="5" t="s">
        <v>19</v>
      </c>
      <c r="C601" s="5" t="s">
        <v>1978</v>
      </c>
      <c r="D601" s="5">
        <v>1.0</v>
      </c>
      <c r="F601" s="5">
        <v>0.0</v>
      </c>
      <c r="G601" s="5">
        <v>0.0</v>
      </c>
      <c r="H601" s="5">
        <v>1.0</v>
      </c>
    </row>
    <row r="602" ht="15.75" customHeight="1">
      <c r="A602" s="4" t="s">
        <v>1979</v>
      </c>
      <c r="B602" s="5" t="s">
        <v>19</v>
      </c>
      <c r="C602" s="5" t="s">
        <v>1981</v>
      </c>
      <c r="D602" s="5">
        <v>1.0</v>
      </c>
      <c r="F602" s="5">
        <v>0.0</v>
      </c>
      <c r="G602" s="5">
        <v>0.0</v>
      </c>
      <c r="H602" s="5">
        <v>1.0</v>
      </c>
    </row>
    <row r="603" ht="15.75" customHeight="1">
      <c r="A603" s="4" t="s">
        <v>1983</v>
      </c>
      <c r="B603" s="5" t="s">
        <v>19</v>
      </c>
      <c r="D603" s="5">
        <v>1.0</v>
      </c>
      <c r="E603" s="5">
        <v>-1.0</v>
      </c>
      <c r="F603" s="5">
        <v>0.0</v>
      </c>
      <c r="G603" s="5">
        <v>0.0</v>
      </c>
      <c r="H603" s="5">
        <v>0.0</v>
      </c>
      <c r="I603" s="5">
        <v>0.0</v>
      </c>
    </row>
    <row r="604" ht="15.75" customHeight="1">
      <c r="A604" s="4" t="s">
        <v>1985</v>
      </c>
      <c r="B604" s="5" t="s">
        <v>19</v>
      </c>
      <c r="D604" s="5">
        <v>1.0</v>
      </c>
      <c r="F604" s="5">
        <v>0.0</v>
      </c>
      <c r="G604" s="5">
        <v>0.0</v>
      </c>
      <c r="H604" s="5">
        <v>1.0</v>
      </c>
    </row>
    <row r="605" ht="15.75" customHeight="1">
      <c r="A605" s="4" t="s">
        <v>1987</v>
      </c>
      <c r="B605" s="5" t="s">
        <v>19</v>
      </c>
      <c r="C605" s="5" t="s">
        <v>1988</v>
      </c>
      <c r="D605" s="5">
        <v>1.0</v>
      </c>
      <c r="F605" s="5">
        <v>0.0</v>
      </c>
      <c r="G605" s="5">
        <v>0.0</v>
      </c>
      <c r="H605" s="5">
        <v>1.0</v>
      </c>
    </row>
    <row r="606" ht="15.75" customHeight="1">
      <c r="A606" s="4" t="s">
        <v>1989</v>
      </c>
      <c r="B606" s="5" t="s">
        <v>19</v>
      </c>
      <c r="C606" s="5" t="s">
        <v>342</v>
      </c>
      <c r="D606" s="5">
        <v>1.0</v>
      </c>
      <c r="F606" s="5">
        <v>0.0</v>
      </c>
      <c r="G606" s="5">
        <v>0.0</v>
      </c>
      <c r="H606" s="5">
        <v>1.0</v>
      </c>
    </row>
    <row r="607" ht="15.75" customHeight="1">
      <c r="A607" s="4" t="s">
        <v>1990</v>
      </c>
      <c r="B607" s="5" t="s">
        <v>165</v>
      </c>
      <c r="C607" s="5" t="s">
        <v>1992</v>
      </c>
      <c r="D607" s="5">
        <v>1.0</v>
      </c>
      <c r="F607" s="5">
        <v>0.0</v>
      </c>
      <c r="G607" s="5">
        <v>0.0</v>
      </c>
      <c r="H607" s="5">
        <v>0.0</v>
      </c>
    </row>
    <row r="608" ht="15.75" customHeight="1">
      <c r="A608" s="4" t="s">
        <v>1993</v>
      </c>
      <c r="B608" s="5" t="s">
        <v>19</v>
      </c>
      <c r="D608" s="5">
        <v>1.0</v>
      </c>
      <c r="F608" s="5">
        <v>0.0</v>
      </c>
      <c r="G608" s="5">
        <v>0.0</v>
      </c>
      <c r="H608" s="5">
        <v>0.0</v>
      </c>
    </row>
    <row r="609" ht="15.75" customHeight="1">
      <c r="A609" s="5" t="s">
        <v>1996</v>
      </c>
      <c r="B609" s="5" t="s">
        <v>19</v>
      </c>
      <c r="D609" s="5">
        <v>1.0</v>
      </c>
      <c r="F609" s="5">
        <v>0.0</v>
      </c>
      <c r="G609" s="5">
        <v>0.0</v>
      </c>
      <c r="H609" s="5">
        <v>1.0</v>
      </c>
    </row>
    <row r="610" ht="15.75" customHeight="1">
      <c r="A610" s="4" t="s">
        <v>1998</v>
      </c>
      <c r="B610" s="5" t="s">
        <v>81</v>
      </c>
      <c r="D610" s="5">
        <v>1.0</v>
      </c>
      <c r="F610" s="5">
        <v>0.0</v>
      </c>
      <c r="G610" s="5">
        <v>0.0</v>
      </c>
      <c r="H610" s="5">
        <v>1.0</v>
      </c>
    </row>
    <row r="611" ht="15.75" customHeight="1">
      <c r="A611" s="4" t="s">
        <v>2000</v>
      </c>
      <c r="B611" s="5" t="s">
        <v>19</v>
      </c>
      <c r="C611" s="5" t="s">
        <v>2003</v>
      </c>
      <c r="D611" s="5">
        <v>1.0</v>
      </c>
      <c r="F611" s="5">
        <v>0.0</v>
      </c>
      <c r="G611" s="5">
        <v>0.0</v>
      </c>
      <c r="H611" s="5">
        <v>1.0</v>
      </c>
    </row>
    <row r="612" ht="15.75" customHeight="1">
      <c r="A612" s="4" t="s">
        <v>2004</v>
      </c>
      <c r="B612" s="5" t="s">
        <v>19</v>
      </c>
      <c r="C612" s="5" t="s">
        <v>802</v>
      </c>
      <c r="D612" s="5">
        <v>1.0</v>
      </c>
      <c r="E612" s="5">
        <v>0.0</v>
      </c>
      <c r="F612" s="5">
        <v>0.0</v>
      </c>
      <c r="G612" s="5">
        <v>0.0</v>
      </c>
      <c r="H612" s="5">
        <v>0.0</v>
      </c>
      <c r="I612" s="5">
        <v>0.0</v>
      </c>
    </row>
    <row r="613" ht="15.75" customHeight="1">
      <c r="A613" s="4" t="s">
        <v>2006</v>
      </c>
      <c r="B613" s="5" t="s">
        <v>19</v>
      </c>
      <c r="D613" s="5">
        <v>1.0</v>
      </c>
      <c r="F613" s="5">
        <v>0.0</v>
      </c>
      <c r="G613" s="5">
        <v>0.0</v>
      </c>
      <c r="H613" s="5">
        <v>5.0</v>
      </c>
    </row>
    <row r="614" ht="15.75" customHeight="1">
      <c r="A614" s="4" t="s">
        <v>2009</v>
      </c>
      <c r="B614" s="5" t="s">
        <v>19</v>
      </c>
      <c r="C614" s="5" t="s">
        <v>396</v>
      </c>
      <c r="D614" s="5">
        <v>1.0</v>
      </c>
      <c r="F614" s="5">
        <v>0.0</v>
      </c>
      <c r="G614" s="5">
        <v>0.0</v>
      </c>
      <c r="H614" s="5">
        <v>1.0</v>
      </c>
    </row>
    <row r="615" ht="15.75" customHeight="1">
      <c r="A615" s="4" t="s">
        <v>2013</v>
      </c>
      <c r="B615" s="5" t="s">
        <v>19</v>
      </c>
      <c r="D615" s="5">
        <v>1.0</v>
      </c>
      <c r="F615" s="5">
        <v>0.0</v>
      </c>
      <c r="G615" s="5">
        <v>0.0</v>
      </c>
      <c r="H615" s="5">
        <v>0.0</v>
      </c>
    </row>
    <row r="616" ht="15.75" customHeight="1">
      <c r="A616" s="4" t="s">
        <v>2015</v>
      </c>
      <c r="B616" s="5" t="s">
        <v>19</v>
      </c>
      <c r="C616" s="5" t="s">
        <v>2017</v>
      </c>
      <c r="D616" s="5">
        <v>1.0</v>
      </c>
      <c r="F616" s="5">
        <v>0.0</v>
      </c>
      <c r="G616" s="5">
        <v>0.0</v>
      </c>
      <c r="H616" s="5">
        <v>0.0</v>
      </c>
    </row>
    <row r="617" ht="15.75" customHeight="1">
      <c r="A617" s="4" t="s">
        <v>2019</v>
      </c>
      <c r="B617" s="5" t="s">
        <v>19</v>
      </c>
      <c r="C617" s="5" t="s">
        <v>2020</v>
      </c>
      <c r="D617" s="5">
        <v>1.0</v>
      </c>
      <c r="F617" s="5">
        <v>0.0</v>
      </c>
      <c r="G617" s="5">
        <v>0.0</v>
      </c>
      <c r="H617" s="5">
        <v>1.0</v>
      </c>
    </row>
    <row r="618" ht="15.75" customHeight="1">
      <c r="A618" s="4" t="s">
        <v>2021</v>
      </c>
      <c r="B618" s="5" t="s">
        <v>19</v>
      </c>
      <c r="C618" s="5" t="s">
        <v>2023</v>
      </c>
      <c r="D618" s="5">
        <v>1.0</v>
      </c>
      <c r="E618" s="5">
        <v>-5.0</v>
      </c>
      <c r="F618" s="5">
        <v>0.0</v>
      </c>
      <c r="G618" s="5">
        <v>0.0</v>
      </c>
      <c r="H618" s="5">
        <v>0.0</v>
      </c>
      <c r="I618" s="5">
        <v>0.0</v>
      </c>
    </row>
    <row r="619" ht="15.75" customHeight="1">
      <c r="A619" s="4" t="s">
        <v>2024</v>
      </c>
      <c r="B619" s="5" t="s">
        <v>19</v>
      </c>
      <c r="C619" s="5" t="s">
        <v>2027</v>
      </c>
      <c r="D619" s="5">
        <v>1.0</v>
      </c>
      <c r="F619" s="5">
        <v>0.0</v>
      </c>
      <c r="G619" s="5">
        <v>0.0</v>
      </c>
      <c r="H619" s="5">
        <v>1.0</v>
      </c>
    </row>
    <row r="620" ht="15.75" customHeight="1">
      <c r="A620" s="4" t="s">
        <v>2028</v>
      </c>
      <c r="B620" s="5" t="s">
        <v>19</v>
      </c>
      <c r="C620" s="5" t="s">
        <v>2030</v>
      </c>
      <c r="D620" s="5">
        <v>1.0</v>
      </c>
      <c r="F620" s="5">
        <v>0.0</v>
      </c>
      <c r="G620" s="5">
        <v>0.0</v>
      </c>
      <c r="H620" s="5">
        <v>0.0</v>
      </c>
    </row>
    <row r="621" ht="15.75" customHeight="1">
      <c r="A621" s="4" t="s">
        <v>2031</v>
      </c>
      <c r="B621" s="5" t="s">
        <v>23</v>
      </c>
      <c r="C621" s="5" t="s">
        <v>2033</v>
      </c>
      <c r="D621" s="5">
        <v>1.0</v>
      </c>
      <c r="F621" s="5">
        <v>0.0</v>
      </c>
      <c r="G621" s="5">
        <v>0.0</v>
      </c>
      <c r="H621" s="5">
        <v>0.0</v>
      </c>
    </row>
    <row r="622" ht="15.75" customHeight="1">
      <c r="A622" s="4" t="s">
        <v>2035</v>
      </c>
      <c r="B622" s="5" t="s">
        <v>19</v>
      </c>
      <c r="C622" s="5" t="s">
        <v>2037</v>
      </c>
      <c r="D622" s="5">
        <v>1.0</v>
      </c>
      <c r="E622" s="5">
        <v>-5.0</v>
      </c>
      <c r="F622" s="5">
        <v>0.0</v>
      </c>
      <c r="G622" s="5">
        <v>0.0</v>
      </c>
      <c r="H622" s="5">
        <v>0.0</v>
      </c>
      <c r="I622" s="5">
        <v>-0.5</v>
      </c>
    </row>
    <row r="623" ht="15.75" customHeight="1">
      <c r="A623" s="4" t="s">
        <v>2038</v>
      </c>
      <c r="B623" s="5" t="s">
        <v>19</v>
      </c>
      <c r="C623" s="5" t="s">
        <v>2040</v>
      </c>
      <c r="D623" s="5">
        <v>1.0</v>
      </c>
      <c r="F623" s="5">
        <v>0.0</v>
      </c>
      <c r="G623" s="5">
        <v>0.0</v>
      </c>
      <c r="H623" s="5">
        <v>1.0</v>
      </c>
    </row>
    <row r="624" ht="15.75" customHeight="1">
      <c r="A624" s="4" t="s">
        <v>2041</v>
      </c>
      <c r="B624" s="5" t="s">
        <v>85</v>
      </c>
      <c r="D624" s="5">
        <v>1.0</v>
      </c>
      <c r="F624" s="5">
        <v>0.0</v>
      </c>
      <c r="G624" s="5">
        <v>0.0</v>
      </c>
      <c r="H624" s="5">
        <v>0.0</v>
      </c>
    </row>
    <row r="625" ht="15.75" customHeight="1">
      <c r="A625" s="4" t="s">
        <v>2043</v>
      </c>
      <c r="B625" s="5" t="s">
        <v>19</v>
      </c>
      <c r="C625" s="5" t="s">
        <v>2044</v>
      </c>
      <c r="D625" s="5">
        <v>1.0</v>
      </c>
      <c r="E625" s="5">
        <v>-5.0</v>
      </c>
      <c r="F625" s="5">
        <v>0.0</v>
      </c>
      <c r="G625" s="5">
        <v>0.0</v>
      </c>
      <c r="H625" s="5">
        <v>0.0</v>
      </c>
      <c r="I625" s="5">
        <v>-0.17</v>
      </c>
    </row>
    <row r="626" ht="15.75" customHeight="1">
      <c r="A626" s="4" t="s">
        <v>2046</v>
      </c>
      <c r="B626" s="5" t="s">
        <v>19</v>
      </c>
      <c r="D626" s="5">
        <v>1.0</v>
      </c>
      <c r="F626" s="5">
        <v>0.0</v>
      </c>
      <c r="G626" s="5">
        <v>0.0</v>
      </c>
      <c r="H626" s="5">
        <v>0.0</v>
      </c>
    </row>
    <row r="627" ht="15.75" customHeight="1">
      <c r="A627" s="5" t="s">
        <v>2048</v>
      </c>
      <c r="B627" s="5" t="s">
        <v>19</v>
      </c>
      <c r="D627" s="5">
        <v>1.0</v>
      </c>
      <c r="F627" s="5">
        <v>0.0</v>
      </c>
      <c r="G627" s="5">
        <v>0.0</v>
      </c>
      <c r="H627" s="5">
        <v>3.0</v>
      </c>
    </row>
    <row r="628" ht="15.75" customHeight="1">
      <c r="A628" s="4" t="s">
        <v>2049</v>
      </c>
      <c r="B628" s="5" t="s">
        <v>19</v>
      </c>
      <c r="D628" s="5">
        <v>1.0</v>
      </c>
      <c r="F628" s="5">
        <v>0.0</v>
      </c>
      <c r="G628" s="5">
        <v>0.0</v>
      </c>
      <c r="H628" s="5">
        <v>0.0</v>
      </c>
    </row>
    <row r="629" ht="15.75" customHeight="1">
      <c r="A629" s="4" t="s">
        <v>2051</v>
      </c>
      <c r="B629" s="5" t="s">
        <v>19</v>
      </c>
      <c r="C629" s="5" t="s">
        <v>396</v>
      </c>
      <c r="D629" s="5">
        <v>1.0</v>
      </c>
      <c r="E629" s="5">
        <v>0.0</v>
      </c>
      <c r="F629" s="5">
        <v>0.0</v>
      </c>
      <c r="G629" s="5">
        <v>0.0</v>
      </c>
      <c r="H629" s="5">
        <v>0.0</v>
      </c>
      <c r="I629" s="5">
        <v>-1.0</v>
      </c>
    </row>
    <row r="630" ht="15.75" customHeight="1">
      <c r="A630" s="4" t="s">
        <v>2053</v>
      </c>
      <c r="B630" s="5" t="s">
        <v>19</v>
      </c>
      <c r="D630" s="5">
        <v>1.0</v>
      </c>
      <c r="E630" s="5">
        <v>-1.0</v>
      </c>
      <c r="F630" s="5">
        <v>0.0</v>
      </c>
      <c r="G630" s="5">
        <v>0.0</v>
      </c>
      <c r="H630" s="5">
        <v>0.0</v>
      </c>
      <c r="I630" s="5">
        <v>0.0</v>
      </c>
    </row>
    <row r="631" ht="15.75" customHeight="1">
      <c r="A631" s="4" t="s">
        <v>2056</v>
      </c>
      <c r="B631" s="5" t="s">
        <v>19</v>
      </c>
      <c r="C631" s="5" t="s">
        <v>2058</v>
      </c>
      <c r="D631" s="5">
        <v>1.0</v>
      </c>
      <c r="E631" s="5">
        <v>-5.0</v>
      </c>
      <c r="F631" s="5">
        <v>0.0</v>
      </c>
      <c r="G631" s="5">
        <v>0.0</v>
      </c>
      <c r="H631" s="5">
        <v>2.0</v>
      </c>
      <c r="I631" s="5">
        <v>1.67</v>
      </c>
    </row>
    <row r="632" ht="15.75" customHeight="1">
      <c r="A632" s="4" t="s">
        <v>2060</v>
      </c>
      <c r="B632" s="5" t="s">
        <v>19</v>
      </c>
      <c r="D632" s="5">
        <v>1.0</v>
      </c>
      <c r="F632" s="5">
        <v>0.0</v>
      </c>
      <c r="G632" s="5">
        <v>0.0</v>
      </c>
      <c r="H632" s="5">
        <v>0.0</v>
      </c>
    </row>
    <row r="633" ht="15.75" customHeight="1">
      <c r="A633" s="4" t="s">
        <v>2062</v>
      </c>
      <c r="B633" s="5" t="s">
        <v>19</v>
      </c>
      <c r="C633" s="5" t="s">
        <v>2063</v>
      </c>
      <c r="D633" s="5">
        <v>1.0</v>
      </c>
      <c r="E633" s="5">
        <v>-8.0</v>
      </c>
      <c r="F633" s="5">
        <v>0.0</v>
      </c>
      <c r="G633" s="5">
        <v>0.0</v>
      </c>
      <c r="H633" s="5">
        <v>1.0</v>
      </c>
      <c r="I633" s="5">
        <v>0.22</v>
      </c>
    </row>
    <row r="634" ht="15.75" customHeight="1">
      <c r="A634" s="4" t="s">
        <v>2064</v>
      </c>
      <c r="B634" s="5" t="s">
        <v>19</v>
      </c>
      <c r="C634" s="5" t="s">
        <v>396</v>
      </c>
      <c r="D634" s="5">
        <v>1.0</v>
      </c>
      <c r="E634" s="5">
        <v>0.0</v>
      </c>
      <c r="F634" s="5">
        <v>0.0</v>
      </c>
      <c r="G634" s="5">
        <v>0.0</v>
      </c>
      <c r="H634" s="5">
        <v>0.0</v>
      </c>
      <c r="I634" s="5">
        <v>0.0</v>
      </c>
    </row>
    <row r="635" ht="15.75" customHeight="1">
      <c r="A635" s="5" t="s">
        <v>2067</v>
      </c>
      <c r="B635" s="5" t="s">
        <v>19</v>
      </c>
      <c r="D635" s="5">
        <v>1.0</v>
      </c>
      <c r="E635" s="5">
        <v>-4.0</v>
      </c>
      <c r="F635" s="5">
        <v>0.0</v>
      </c>
      <c r="G635" s="5">
        <v>0.0</v>
      </c>
      <c r="H635" s="5">
        <v>0.0</v>
      </c>
      <c r="I635" s="5">
        <v>-0.4</v>
      </c>
    </row>
    <row r="636" ht="15.75" customHeight="1">
      <c r="A636" s="4" t="s">
        <v>2068</v>
      </c>
      <c r="B636" s="5" t="s">
        <v>19</v>
      </c>
      <c r="D636" s="5">
        <v>1.0</v>
      </c>
      <c r="F636" s="5">
        <v>0.0</v>
      </c>
      <c r="G636" s="5">
        <v>0.0</v>
      </c>
      <c r="H636" s="5">
        <v>1.0</v>
      </c>
    </row>
    <row r="637" ht="15.75" customHeight="1">
      <c r="A637" s="4" t="s">
        <v>2070</v>
      </c>
      <c r="B637" s="5" t="s">
        <v>19</v>
      </c>
      <c r="C637" s="5" t="s">
        <v>2071</v>
      </c>
      <c r="D637" s="5">
        <v>1.0</v>
      </c>
      <c r="F637" s="5">
        <v>0.0</v>
      </c>
      <c r="G637" s="5">
        <v>0.0</v>
      </c>
      <c r="H637" s="5">
        <v>1.0</v>
      </c>
    </row>
    <row r="638" ht="15.75" customHeight="1">
      <c r="A638" s="4" t="s">
        <v>2073</v>
      </c>
      <c r="B638" s="5" t="s">
        <v>19</v>
      </c>
      <c r="C638" s="5" t="s">
        <v>2075</v>
      </c>
      <c r="D638" s="5">
        <v>1.0</v>
      </c>
      <c r="F638" s="5">
        <v>0.0</v>
      </c>
      <c r="G638" s="5">
        <v>0.0</v>
      </c>
      <c r="H638" s="5">
        <v>0.0</v>
      </c>
    </row>
    <row r="639" ht="15.75" customHeight="1">
      <c r="A639" s="4" t="s">
        <v>2076</v>
      </c>
      <c r="B639" s="5" t="s">
        <v>19</v>
      </c>
      <c r="D639" s="5">
        <v>1.0</v>
      </c>
      <c r="F639" s="5">
        <v>0.0</v>
      </c>
      <c r="G639" s="5">
        <v>0.0</v>
      </c>
      <c r="H639" s="5">
        <v>0.0</v>
      </c>
    </row>
    <row r="640" ht="15.75" customHeight="1">
      <c r="A640" s="4" t="s">
        <v>2077</v>
      </c>
      <c r="B640" s="5" t="s">
        <v>19</v>
      </c>
      <c r="C640" s="5" t="s">
        <v>2079</v>
      </c>
      <c r="D640" s="5">
        <v>1.0</v>
      </c>
      <c r="E640" s="5">
        <v>-2.0</v>
      </c>
      <c r="F640" s="5">
        <v>0.0</v>
      </c>
      <c r="G640" s="5">
        <v>0.0</v>
      </c>
      <c r="H640" s="5">
        <v>0.0</v>
      </c>
      <c r="I640" s="5">
        <v>-1.33</v>
      </c>
    </row>
    <row r="641" ht="15.75" customHeight="1">
      <c r="A641" s="4" t="s">
        <v>2081</v>
      </c>
      <c r="B641" s="5" t="s">
        <v>19</v>
      </c>
      <c r="D641" s="5">
        <v>1.0</v>
      </c>
      <c r="F641" s="5">
        <v>0.0</v>
      </c>
      <c r="G641" s="5">
        <v>0.0</v>
      </c>
      <c r="H641" s="5">
        <v>0.0</v>
      </c>
    </row>
    <row r="642" ht="15.75" customHeight="1">
      <c r="A642" s="5" t="s">
        <v>2083</v>
      </c>
      <c r="B642" s="5" t="s">
        <v>19</v>
      </c>
      <c r="C642" s="5" t="s">
        <v>2085</v>
      </c>
      <c r="D642" s="5">
        <v>1.0</v>
      </c>
      <c r="E642" s="5">
        <v>-2.0</v>
      </c>
      <c r="F642" s="5">
        <v>0.0</v>
      </c>
      <c r="G642" s="5">
        <v>0.0</v>
      </c>
      <c r="H642" s="5">
        <v>0.0</v>
      </c>
      <c r="I642" s="5">
        <v>0.0</v>
      </c>
    </row>
    <row r="643" ht="15.75" customHeight="1">
      <c r="A643" s="4" t="s">
        <v>2086</v>
      </c>
      <c r="B643" s="5" t="s">
        <v>19</v>
      </c>
      <c r="D643" s="5">
        <v>1.0</v>
      </c>
      <c r="F643" s="5">
        <v>0.0</v>
      </c>
      <c r="G643" s="5">
        <v>0.0</v>
      </c>
      <c r="H643" s="5">
        <v>0.0</v>
      </c>
    </row>
    <row r="644" ht="15.75" customHeight="1">
      <c r="A644" s="4" t="s">
        <v>2089</v>
      </c>
      <c r="B644" s="5" t="s">
        <v>19</v>
      </c>
      <c r="C644" s="5" t="s">
        <v>2090</v>
      </c>
      <c r="D644" s="5">
        <v>1.0</v>
      </c>
      <c r="E644" s="5">
        <v>0.0</v>
      </c>
      <c r="F644" s="5">
        <v>0.0</v>
      </c>
      <c r="G644" s="5">
        <v>0.0</v>
      </c>
      <c r="H644" s="5">
        <v>0.0</v>
      </c>
      <c r="I644" s="5">
        <v>-1.0</v>
      </c>
    </row>
    <row r="645" ht="15.75" customHeight="1">
      <c r="A645" s="4" t="s">
        <v>2092</v>
      </c>
      <c r="B645" s="5" t="s">
        <v>19</v>
      </c>
      <c r="C645" s="5" t="s">
        <v>599</v>
      </c>
      <c r="D645" s="5">
        <v>1.0</v>
      </c>
      <c r="F645" s="5">
        <v>0.0</v>
      </c>
      <c r="G645" s="5">
        <v>0.0</v>
      </c>
      <c r="H645" s="5">
        <v>0.0</v>
      </c>
    </row>
    <row r="646" ht="15.75" customHeight="1">
      <c r="A646" s="4" t="s">
        <v>2094</v>
      </c>
      <c r="B646" s="5" t="s">
        <v>19</v>
      </c>
      <c r="C646" s="5" t="s">
        <v>396</v>
      </c>
      <c r="D646" s="5">
        <v>1.0</v>
      </c>
      <c r="F646" s="5">
        <v>0.0</v>
      </c>
      <c r="G646" s="5">
        <v>0.0</v>
      </c>
      <c r="H646" s="5">
        <v>1.0</v>
      </c>
    </row>
    <row r="647" ht="15.75" customHeight="1">
      <c r="A647" s="4" t="s">
        <v>2096</v>
      </c>
      <c r="B647" s="5" t="s">
        <v>165</v>
      </c>
      <c r="C647" s="5" t="s">
        <v>2098</v>
      </c>
      <c r="D647" s="5">
        <v>1.0</v>
      </c>
      <c r="F647" s="5">
        <v>0.0</v>
      </c>
      <c r="G647" s="5">
        <v>0.0</v>
      </c>
      <c r="H647" s="5">
        <v>1.0</v>
      </c>
    </row>
    <row r="648" ht="15.75" customHeight="1">
      <c r="A648" s="4" t="s">
        <v>2099</v>
      </c>
      <c r="B648" s="5" t="s">
        <v>19</v>
      </c>
      <c r="C648" s="5" t="s">
        <v>2101</v>
      </c>
      <c r="D648" s="5">
        <v>1.0</v>
      </c>
      <c r="E648" s="5">
        <v>-5.0</v>
      </c>
      <c r="F648" s="5">
        <v>0.0</v>
      </c>
      <c r="G648" s="5">
        <v>0.0</v>
      </c>
      <c r="H648" s="5">
        <v>1.0</v>
      </c>
      <c r="I648" s="5">
        <v>-0.33</v>
      </c>
    </row>
    <row r="649" ht="15.75" customHeight="1">
      <c r="A649" s="4" t="s">
        <v>2102</v>
      </c>
      <c r="B649" s="5" t="s">
        <v>19</v>
      </c>
      <c r="C649" s="5" t="s">
        <v>599</v>
      </c>
      <c r="D649" s="5">
        <v>1.0</v>
      </c>
      <c r="E649" s="5">
        <v>-6.0</v>
      </c>
      <c r="F649" s="5">
        <v>0.0</v>
      </c>
      <c r="G649" s="5">
        <v>0.0</v>
      </c>
      <c r="H649" s="5">
        <v>0.0</v>
      </c>
      <c r="I649" s="5">
        <v>0.0</v>
      </c>
    </row>
    <row r="650" ht="15.75" customHeight="1">
      <c r="A650" s="4" t="s">
        <v>2105</v>
      </c>
      <c r="B650" s="5" t="s">
        <v>23</v>
      </c>
      <c r="C650" s="5" t="s">
        <v>797</v>
      </c>
      <c r="D650" s="5">
        <v>1.0</v>
      </c>
      <c r="E650" s="5">
        <v>0.0</v>
      </c>
      <c r="F650" s="5">
        <v>0.0</v>
      </c>
      <c r="G650" s="5">
        <v>0.0</v>
      </c>
      <c r="H650" s="5">
        <v>2.0</v>
      </c>
      <c r="I650" s="5">
        <v>2.0</v>
      </c>
    </row>
    <row r="651" ht="15.75" customHeight="1">
      <c r="A651" s="4" t="s">
        <v>2106</v>
      </c>
      <c r="B651" s="5" t="s">
        <v>19</v>
      </c>
      <c r="D651" s="5">
        <v>1.0</v>
      </c>
      <c r="E651" s="5">
        <v>0.0</v>
      </c>
      <c r="F651" s="5">
        <v>0.0</v>
      </c>
      <c r="G651" s="5">
        <v>0.0</v>
      </c>
      <c r="H651" s="5">
        <v>0.0</v>
      </c>
      <c r="I651" s="5">
        <v>0.0</v>
      </c>
    </row>
    <row r="652" ht="15.75" customHeight="1">
      <c r="A652" s="4" t="s">
        <v>2108</v>
      </c>
      <c r="B652" s="5" t="s">
        <v>19</v>
      </c>
      <c r="C652" s="5" t="s">
        <v>2110</v>
      </c>
      <c r="D652" s="5">
        <v>1.0</v>
      </c>
      <c r="F652" s="5">
        <v>0.0</v>
      </c>
      <c r="G652" s="5">
        <v>0.0</v>
      </c>
      <c r="H652" s="5">
        <v>0.0</v>
      </c>
    </row>
    <row r="653" ht="15.75" customHeight="1">
      <c r="A653" s="4" t="s">
        <v>2112</v>
      </c>
      <c r="B653" s="5" t="s">
        <v>19</v>
      </c>
      <c r="C653" s="5" t="s">
        <v>2114</v>
      </c>
      <c r="D653" s="5">
        <v>1.0</v>
      </c>
      <c r="F653" s="5">
        <v>0.0</v>
      </c>
      <c r="G653" s="5">
        <v>0.0</v>
      </c>
      <c r="H653" s="5">
        <v>1.0</v>
      </c>
    </row>
    <row r="654" ht="15.75" customHeight="1">
      <c r="A654" s="4" t="s">
        <v>2115</v>
      </c>
      <c r="B654" s="5" t="s">
        <v>19</v>
      </c>
      <c r="D654" s="5">
        <v>1.0</v>
      </c>
      <c r="F654" s="5">
        <v>0.0</v>
      </c>
      <c r="G654" s="5">
        <v>0.0</v>
      </c>
      <c r="H654" s="5">
        <v>0.0</v>
      </c>
    </row>
    <row r="655" ht="15.75" customHeight="1">
      <c r="A655" s="4" t="s">
        <v>2117</v>
      </c>
      <c r="B655" s="5" t="s">
        <v>19</v>
      </c>
      <c r="C655" s="5" t="s">
        <v>649</v>
      </c>
      <c r="D655" s="5">
        <v>1.0</v>
      </c>
      <c r="F655" s="5">
        <v>0.0</v>
      </c>
      <c r="G655" s="5">
        <v>0.0</v>
      </c>
      <c r="H655" s="5">
        <v>0.0</v>
      </c>
    </row>
    <row r="656" ht="15.75" customHeight="1">
      <c r="A656" s="4" t="s">
        <v>2119</v>
      </c>
      <c r="B656" s="5" t="s">
        <v>19</v>
      </c>
      <c r="D656" s="5">
        <v>1.0</v>
      </c>
      <c r="F656" s="5">
        <v>0.0</v>
      </c>
      <c r="G656" s="5">
        <v>0.0</v>
      </c>
      <c r="H656" s="5">
        <v>0.0</v>
      </c>
    </row>
    <row r="657" ht="15.75" customHeight="1">
      <c r="A657" s="4" t="s">
        <v>2121</v>
      </c>
      <c r="B657" s="5" t="s">
        <v>19</v>
      </c>
      <c r="C657" s="5" t="s">
        <v>2123</v>
      </c>
      <c r="D657" s="5">
        <v>1.0</v>
      </c>
      <c r="F657" s="5">
        <v>0.0</v>
      </c>
      <c r="G657" s="5">
        <v>0.0</v>
      </c>
      <c r="H657" s="5">
        <v>0.0</v>
      </c>
    </row>
    <row r="658" ht="15.75" customHeight="1">
      <c r="A658" s="4" t="s">
        <v>2124</v>
      </c>
      <c r="B658" s="5" t="s">
        <v>19</v>
      </c>
      <c r="C658" s="5" t="s">
        <v>2126</v>
      </c>
      <c r="D658" s="5">
        <v>1.0</v>
      </c>
      <c r="E658" s="5">
        <v>-1.0</v>
      </c>
      <c r="F658" s="5">
        <v>0.0</v>
      </c>
      <c r="G658" s="5">
        <v>0.0</v>
      </c>
      <c r="H658" s="5">
        <v>1.0</v>
      </c>
      <c r="I658" s="5">
        <v>0.5</v>
      </c>
    </row>
    <row r="659" ht="15.75" customHeight="1">
      <c r="A659" s="4" t="s">
        <v>2129</v>
      </c>
      <c r="B659" s="5" t="s">
        <v>85</v>
      </c>
      <c r="C659" s="5" t="s">
        <v>2130</v>
      </c>
      <c r="D659" s="5">
        <v>1.0</v>
      </c>
      <c r="F659" s="5">
        <v>0.0</v>
      </c>
      <c r="G659" s="5">
        <v>0.0</v>
      </c>
      <c r="H659" s="5">
        <v>1.0</v>
      </c>
    </row>
    <row r="660" ht="15.75" customHeight="1">
      <c r="A660" s="4" t="s">
        <v>2132</v>
      </c>
      <c r="B660" s="5" t="s">
        <v>19</v>
      </c>
      <c r="C660" s="5" t="s">
        <v>2133</v>
      </c>
      <c r="D660" s="5">
        <v>1.0</v>
      </c>
      <c r="F660" s="5">
        <v>0.0</v>
      </c>
      <c r="G660" s="5">
        <v>0.0</v>
      </c>
      <c r="H660" s="5">
        <v>0.0</v>
      </c>
    </row>
    <row r="661" ht="15.75" customHeight="1">
      <c r="A661" s="4" t="s">
        <v>2135</v>
      </c>
      <c r="B661" s="5" t="s">
        <v>23</v>
      </c>
      <c r="C661" s="5" t="s">
        <v>2137</v>
      </c>
      <c r="D661" s="5">
        <v>1.0</v>
      </c>
      <c r="F661" s="5">
        <v>0.0</v>
      </c>
      <c r="G661" s="5">
        <v>0.0</v>
      </c>
      <c r="H661" s="5">
        <v>5.0</v>
      </c>
    </row>
    <row r="662" ht="15.75" customHeight="1">
      <c r="A662" s="4" t="s">
        <v>2138</v>
      </c>
      <c r="B662" s="5" t="s">
        <v>19</v>
      </c>
      <c r="C662" s="5" t="s">
        <v>2140</v>
      </c>
      <c r="D662" s="5">
        <v>1.0</v>
      </c>
      <c r="F662" s="5">
        <v>0.0</v>
      </c>
      <c r="G662" s="5">
        <v>0.0</v>
      </c>
      <c r="H662" s="5">
        <v>0.0</v>
      </c>
    </row>
    <row r="663" ht="15.75" customHeight="1">
      <c r="A663" s="4" t="s">
        <v>2141</v>
      </c>
      <c r="B663" s="5" t="s">
        <v>19</v>
      </c>
      <c r="D663" s="5">
        <v>1.0</v>
      </c>
      <c r="F663" s="5">
        <v>0.0</v>
      </c>
      <c r="G663" s="5">
        <v>0.0</v>
      </c>
      <c r="H663" s="5">
        <v>0.0</v>
      </c>
    </row>
    <row r="664" ht="15.75" customHeight="1">
      <c r="A664" s="4" t="s">
        <v>2143</v>
      </c>
      <c r="B664" s="5" t="s">
        <v>19</v>
      </c>
      <c r="C664" s="5" t="s">
        <v>247</v>
      </c>
      <c r="D664" s="5">
        <v>1.0</v>
      </c>
      <c r="E664" s="5">
        <v>0.0</v>
      </c>
      <c r="F664" s="5">
        <v>0.0</v>
      </c>
      <c r="G664" s="5">
        <v>0.0</v>
      </c>
      <c r="H664" s="5">
        <v>0.0</v>
      </c>
      <c r="I664" s="5">
        <v>-1.0</v>
      </c>
    </row>
    <row r="665" ht="15.75" customHeight="1">
      <c r="A665" s="4" t="s">
        <v>2147</v>
      </c>
      <c r="B665" s="5" t="s">
        <v>19</v>
      </c>
      <c r="C665" s="5" t="s">
        <v>2148</v>
      </c>
      <c r="D665" s="5">
        <v>1.0</v>
      </c>
      <c r="E665" s="5">
        <v>-11.0</v>
      </c>
      <c r="F665" s="5">
        <v>0.0</v>
      </c>
      <c r="G665" s="5">
        <v>0.0</v>
      </c>
      <c r="H665" s="5">
        <v>0.0</v>
      </c>
      <c r="I665" s="5">
        <v>-1.42</v>
      </c>
    </row>
    <row r="666" ht="15.75" customHeight="1">
      <c r="A666" s="4" t="s">
        <v>2150</v>
      </c>
      <c r="B666" s="5" t="s">
        <v>19</v>
      </c>
      <c r="D666" s="5">
        <v>1.0</v>
      </c>
      <c r="F666" s="5">
        <v>0.0</v>
      </c>
      <c r="G666" s="5">
        <v>0.0</v>
      </c>
      <c r="H666" s="5">
        <v>1.0</v>
      </c>
    </row>
    <row r="667" ht="15.75" customHeight="1">
      <c r="A667" s="4" t="s">
        <v>2152</v>
      </c>
      <c r="B667" s="5" t="s">
        <v>19</v>
      </c>
      <c r="C667" s="5" t="s">
        <v>2153</v>
      </c>
      <c r="D667" s="5">
        <v>1.0</v>
      </c>
      <c r="E667" s="5">
        <v>-6.0</v>
      </c>
      <c r="F667" s="5">
        <v>0.0</v>
      </c>
      <c r="G667" s="5">
        <v>0.0</v>
      </c>
      <c r="H667" s="5">
        <v>4.0</v>
      </c>
      <c r="I667" s="5">
        <v>0.57</v>
      </c>
    </row>
    <row r="668" ht="15.75" customHeight="1">
      <c r="A668" s="4" t="s">
        <v>2155</v>
      </c>
      <c r="B668" s="5" t="s">
        <v>16</v>
      </c>
      <c r="C668" s="5" t="s">
        <v>2156</v>
      </c>
      <c r="D668" s="5">
        <v>1.0</v>
      </c>
      <c r="F668" s="5">
        <v>0.0</v>
      </c>
      <c r="G668" s="5">
        <v>0.0</v>
      </c>
      <c r="H668" s="5">
        <v>0.0</v>
      </c>
    </row>
    <row r="669" ht="15.75" customHeight="1">
      <c r="A669" s="4" t="s">
        <v>2158</v>
      </c>
      <c r="B669" s="5" t="s">
        <v>19</v>
      </c>
      <c r="C669" s="5" t="s">
        <v>2160</v>
      </c>
      <c r="D669" s="5">
        <v>1.0</v>
      </c>
      <c r="F669" s="5">
        <v>0.0</v>
      </c>
      <c r="G669" s="5">
        <v>0.0</v>
      </c>
      <c r="H669" s="5">
        <v>1.0</v>
      </c>
    </row>
    <row r="670" ht="15.75" customHeight="1">
      <c r="A670" s="4" t="s">
        <v>2161</v>
      </c>
      <c r="B670" s="5" t="s">
        <v>19</v>
      </c>
      <c r="C670" s="5" t="s">
        <v>2163</v>
      </c>
      <c r="D670" s="5">
        <v>1.0</v>
      </c>
      <c r="F670" s="5">
        <v>0.0</v>
      </c>
      <c r="G670" s="5">
        <v>0.0</v>
      </c>
      <c r="H670" s="5">
        <v>1.0</v>
      </c>
    </row>
    <row r="671" ht="15.75" customHeight="1">
      <c r="A671" s="4" t="s">
        <v>2164</v>
      </c>
      <c r="B671" s="5" t="s">
        <v>23</v>
      </c>
      <c r="C671" s="5" t="s">
        <v>2165</v>
      </c>
      <c r="D671" s="5">
        <v>1.0</v>
      </c>
      <c r="F671" s="5">
        <v>0.0</v>
      </c>
      <c r="G671" s="5">
        <v>0.0</v>
      </c>
      <c r="H671" s="5">
        <v>1.0</v>
      </c>
    </row>
    <row r="672" ht="15.75" customHeight="1">
      <c r="A672" s="4" t="s">
        <v>2166</v>
      </c>
      <c r="B672" s="5" t="s">
        <v>19</v>
      </c>
      <c r="C672" s="5" t="s">
        <v>2168</v>
      </c>
      <c r="D672" s="5">
        <v>1.0</v>
      </c>
      <c r="F672" s="5">
        <v>0.0</v>
      </c>
      <c r="G672" s="5">
        <v>0.0</v>
      </c>
      <c r="H672" s="5">
        <v>1.0</v>
      </c>
    </row>
    <row r="673" ht="15.75" customHeight="1">
      <c r="A673" s="4" t="s">
        <v>2169</v>
      </c>
      <c r="B673" s="5" t="s">
        <v>19</v>
      </c>
      <c r="D673" s="5">
        <v>1.0</v>
      </c>
      <c r="F673" s="5">
        <v>0.0</v>
      </c>
      <c r="G673" s="5">
        <v>0.0</v>
      </c>
      <c r="H673" s="5">
        <v>1.0</v>
      </c>
    </row>
    <row r="674" ht="15.75" customHeight="1">
      <c r="A674" s="4" t="s">
        <v>2171</v>
      </c>
      <c r="B674" s="5" t="s">
        <v>23</v>
      </c>
      <c r="C674" s="5" t="s">
        <v>2173</v>
      </c>
      <c r="D674" s="5">
        <v>1.0</v>
      </c>
      <c r="E674" s="5">
        <v>0.0</v>
      </c>
      <c r="F674" s="5">
        <v>0.0</v>
      </c>
      <c r="G674" s="5">
        <v>0.0</v>
      </c>
      <c r="H674" s="5">
        <v>0.0</v>
      </c>
      <c r="I674" s="5">
        <v>0.0</v>
      </c>
    </row>
    <row r="675" ht="15.75" customHeight="1">
      <c r="A675" s="4" t="s">
        <v>2174</v>
      </c>
      <c r="B675" s="5" t="s">
        <v>19</v>
      </c>
      <c r="D675" s="5">
        <v>1.0</v>
      </c>
      <c r="E675" s="5">
        <v>-1.0</v>
      </c>
      <c r="F675" s="5">
        <v>0.0</v>
      </c>
      <c r="G675" s="5">
        <v>0.0</v>
      </c>
      <c r="H675" s="5">
        <v>0.0</v>
      </c>
      <c r="I675" s="5">
        <v>-1.0</v>
      </c>
    </row>
    <row r="676" ht="15.75" customHeight="1">
      <c r="A676" s="4" t="s">
        <v>2176</v>
      </c>
      <c r="B676" s="5" t="s">
        <v>19</v>
      </c>
      <c r="D676" s="5">
        <v>1.0</v>
      </c>
      <c r="E676" s="5">
        <v>-4.0</v>
      </c>
      <c r="F676" s="5">
        <v>0.0</v>
      </c>
      <c r="G676" s="5">
        <v>0.0</v>
      </c>
      <c r="H676" s="5">
        <v>0.0</v>
      </c>
      <c r="I676" s="5">
        <v>0.0</v>
      </c>
    </row>
    <row r="677" ht="15.75" customHeight="1">
      <c r="A677" s="4" t="s">
        <v>2178</v>
      </c>
      <c r="B677" s="5" t="s">
        <v>19</v>
      </c>
      <c r="C677" s="5" t="s">
        <v>649</v>
      </c>
      <c r="D677" s="5">
        <v>1.0</v>
      </c>
      <c r="F677" s="5">
        <v>0.0</v>
      </c>
      <c r="G677" s="5">
        <v>0.0</v>
      </c>
      <c r="H677" s="5">
        <v>1.0</v>
      </c>
    </row>
    <row r="678" ht="15.75" customHeight="1">
      <c r="A678" s="4" t="s">
        <v>2180</v>
      </c>
      <c r="B678" s="5" t="s">
        <v>16</v>
      </c>
      <c r="D678" s="5">
        <v>1.0</v>
      </c>
      <c r="F678" s="5">
        <v>0.0</v>
      </c>
      <c r="G678" s="5">
        <v>0.0</v>
      </c>
      <c r="H678" s="5">
        <v>0.0</v>
      </c>
    </row>
    <row r="679" ht="15.75" customHeight="1">
      <c r="A679" s="4" t="s">
        <v>2183</v>
      </c>
      <c r="B679" s="5" t="s">
        <v>19</v>
      </c>
      <c r="C679" s="5" t="s">
        <v>2184</v>
      </c>
      <c r="D679" s="5">
        <v>1.0</v>
      </c>
      <c r="F679" s="5">
        <v>0.0</v>
      </c>
      <c r="G679" s="5">
        <v>0.0</v>
      </c>
      <c r="H679" s="5">
        <v>1.0</v>
      </c>
    </row>
    <row r="680" ht="15.75" customHeight="1">
      <c r="A680" s="4" t="s">
        <v>2186</v>
      </c>
      <c r="B680" s="5" t="s">
        <v>19</v>
      </c>
      <c r="C680" s="5" t="s">
        <v>1057</v>
      </c>
      <c r="D680" s="5">
        <v>1.0</v>
      </c>
      <c r="F680" s="5">
        <v>0.0</v>
      </c>
      <c r="G680" s="5">
        <v>0.0</v>
      </c>
      <c r="H680" s="5">
        <v>0.0</v>
      </c>
    </row>
    <row r="681" ht="15.75" customHeight="1">
      <c r="A681" s="4" t="s">
        <v>2189</v>
      </c>
      <c r="B681" s="5" t="s">
        <v>19</v>
      </c>
      <c r="D681" s="5">
        <v>1.0</v>
      </c>
      <c r="F681" s="5">
        <v>0.0</v>
      </c>
      <c r="G681" s="5">
        <v>0.0</v>
      </c>
      <c r="H681" s="5">
        <v>0.0</v>
      </c>
    </row>
    <row r="682" ht="15.75" customHeight="1">
      <c r="A682" s="4" t="s">
        <v>2191</v>
      </c>
      <c r="B682" s="5" t="s">
        <v>19</v>
      </c>
      <c r="C682" s="5" t="s">
        <v>639</v>
      </c>
      <c r="D682" s="5">
        <v>1.0</v>
      </c>
      <c r="F682" s="5">
        <v>0.0</v>
      </c>
      <c r="G682" s="5">
        <v>0.0</v>
      </c>
      <c r="H682" s="5">
        <v>1.0</v>
      </c>
    </row>
    <row r="683" ht="15.75" customHeight="1">
      <c r="A683" s="4" t="s">
        <v>2193</v>
      </c>
      <c r="B683" s="5" t="s">
        <v>19</v>
      </c>
      <c r="C683" s="5" t="s">
        <v>1163</v>
      </c>
      <c r="D683" s="5">
        <v>1.0</v>
      </c>
      <c r="E683" s="5">
        <v>-7.0</v>
      </c>
      <c r="F683" s="5">
        <v>0.0</v>
      </c>
      <c r="G683" s="5">
        <v>0.0</v>
      </c>
      <c r="H683" s="5">
        <v>1.0</v>
      </c>
      <c r="I683" s="5">
        <v>0.13</v>
      </c>
    </row>
    <row r="684" ht="15.75" customHeight="1">
      <c r="A684" s="5" t="s">
        <v>2195</v>
      </c>
      <c r="B684" s="5" t="s">
        <v>19</v>
      </c>
      <c r="D684" s="5">
        <v>1.0</v>
      </c>
      <c r="E684" s="5">
        <v>-5.0</v>
      </c>
      <c r="F684" s="5">
        <v>0.0</v>
      </c>
      <c r="G684" s="5">
        <v>0.0</v>
      </c>
      <c r="H684" s="5">
        <v>2.0</v>
      </c>
      <c r="I684" s="5">
        <v>-0.33</v>
      </c>
    </row>
    <row r="685" ht="15.75" customHeight="1">
      <c r="A685" s="4" t="s">
        <v>2197</v>
      </c>
      <c r="B685" s="5" t="s">
        <v>19</v>
      </c>
      <c r="C685" s="5" t="s">
        <v>2200</v>
      </c>
      <c r="D685" s="5">
        <v>1.0</v>
      </c>
      <c r="E685" s="5">
        <v>0.0</v>
      </c>
      <c r="F685" s="5">
        <v>0.0</v>
      </c>
      <c r="G685" s="5">
        <v>0.0</v>
      </c>
      <c r="H685" s="5">
        <v>1.0</v>
      </c>
      <c r="I685" s="5">
        <v>0.0</v>
      </c>
    </row>
    <row r="686" ht="15.75" customHeight="1">
      <c r="A686" s="4" t="s">
        <v>2201</v>
      </c>
      <c r="B686" s="5" t="s">
        <v>19</v>
      </c>
      <c r="D686" s="5">
        <v>1.0</v>
      </c>
      <c r="F686" s="5">
        <v>0.0</v>
      </c>
      <c r="G686" s="5">
        <v>0.0</v>
      </c>
      <c r="H686" s="5">
        <v>1.0</v>
      </c>
    </row>
    <row r="687" ht="15.75" customHeight="1">
      <c r="A687" s="4" t="s">
        <v>2203</v>
      </c>
      <c r="B687" s="5" t="s">
        <v>19</v>
      </c>
      <c r="C687" s="5" t="s">
        <v>2204</v>
      </c>
      <c r="D687" s="5">
        <v>1.0</v>
      </c>
      <c r="E687" s="5">
        <v>-5.0</v>
      </c>
      <c r="F687" s="5">
        <v>0.0</v>
      </c>
      <c r="G687" s="5">
        <v>0.0</v>
      </c>
      <c r="H687" s="5">
        <v>2.0</v>
      </c>
      <c r="I687" s="5">
        <v>1.5</v>
      </c>
    </row>
    <row r="688" ht="15.75" customHeight="1">
      <c r="A688" s="5" t="s">
        <v>2205</v>
      </c>
      <c r="B688" s="5" t="s">
        <v>19</v>
      </c>
      <c r="D688" s="5">
        <v>1.0</v>
      </c>
      <c r="F688" s="5">
        <v>0.0</v>
      </c>
      <c r="G688" s="5">
        <v>0.0</v>
      </c>
      <c r="H688" s="5">
        <v>3.0</v>
      </c>
    </row>
    <row r="689" ht="15.75" customHeight="1">
      <c r="A689" s="4" t="s">
        <v>2207</v>
      </c>
      <c r="B689" s="5" t="s">
        <v>19</v>
      </c>
      <c r="C689" s="5" t="s">
        <v>2208</v>
      </c>
      <c r="D689" s="5">
        <v>1.0</v>
      </c>
      <c r="F689" s="5">
        <v>0.0</v>
      </c>
      <c r="G689" s="5">
        <v>0.0</v>
      </c>
      <c r="H689" s="5">
        <v>0.0</v>
      </c>
    </row>
    <row r="690" ht="15.75" customHeight="1">
      <c r="A690" s="4" t="s">
        <v>2210</v>
      </c>
      <c r="B690" s="5" t="s">
        <v>19</v>
      </c>
      <c r="C690" s="5" t="s">
        <v>2211</v>
      </c>
      <c r="D690" s="5">
        <v>1.0</v>
      </c>
      <c r="F690" s="5">
        <v>0.0</v>
      </c>
      <c r="G690" s="5">
        <v>0.0</v>
      </c>
      <c r="H690" s="5">
        <v>0.0</v>
      </c>
    </row>
    <row r="691" ht="15.75" customHeight="1">
      <c r="A691" s="5" t="s">
        <v>2213</v>
      </c>
      <c r="B691" s="5" t="s">
        <v>19</v>
      </c>
      <c r="D691" s="5">
        <v>1.0</v>
      </c>
      <c r="F691" s="5">
        <v>0.0</v>
      </c>
      <c r="G691" s="5">
        <v>0.0</v>
      </c>
      <c r="H691" s="5">
        <v>1.0</v>
      </c>
    </row>
    <row r="692" ht="15.75" customHeight="1">
      <c r="A692" s="4" t="s">
        <v>2214</v>
      </c>
      <c r="B692" s="5" t="s">
        <v>19</v>
      </c>
      <c r="D692" s="5">
        <v>1.0</v>
      </c>
      <c r="F692" s="5">
        <v>0.0</v>
      </c>
      <c r="G692" s="5">
        <v>0.0</v>
      </c>
      <c r="H692" s="5">
        <v>0.0</v>
      </c>
    </row>
    <row r="693" ht="15.75" customHeight="1">
      <c r="A693" s="4" t="s">
        <v>2216</v>
      </c>
      <c r="B693" s="5" t="s">
        <v>19</v>
      </c>
      <c r="C693" s="5" t="s">
        <v>649</v>
      </c>
      <c r="D693" s="5">
        <v>1.0</v>
      </c>
      <c r="F693" s="5">
        <v>0.0</v>
      </c>
      <c r="G693" s="5">
        <v>0.0</v>
      </c>
      <c r="H693" s="5">
        <v>0.0</v>
      </c>
    </row>
    <row r="694" ht="15.75" customHeight="1">
      <c r="A694" s="4" t="s">
        <v>2219</v>
      </c>
      <c r="B694" s="5" t="s">
        <v>19</v>
      </c>
      <c r="C694" s="5" t="s">
        <v>961</v>
      </c>
      <c r="D694" s="5">
        <v>1.0</v>
      </c>
      <c r="E694" s="5">
        <v>-1.0</v>
      </c>
      <c r="F694" s="5">
        <v>0.0</v>
      </c>
      <c r="G694" s="5">
        <v>0.0</v>
      </c>
      <c r="H694" s="5">
        <v>0.0</v>
      </c>
      <c r="I694" s="5">
        <v>-0.5</v>
      </c>
    </row>
    <row r="695" ht="15.75" customHeight="1">
      <c r="A695" s="4" t="s">
        <v>2222</v>
      </c>
      <c r="B695" s="5" t="s">
        <v>19</v>
      </c>
      <c r="D695" s="5">
        <v>1.0</v>
      </c>
      <c r="E695" s="5">
        <v>-1.0</v>
      </c>
      <c r="F695" s="5">
        <v>0.0</v>
      </c>
      <c r="G695" s="5">
        <v>0.0</v>
      </c>
      <c r="H695" s="5">
        <v>0.0</v>
      </c>
      <c r="I695" s="5">
        <v>0.0</v>
      </c>
    </row>
    <row r="696" ht="15.75" customHeight="1">
      <c r="A696" s="4" t="s">
        <v>2224</v>
      </c>
      <c r="B696" s="5" t="s">
        <v>19</v>
      </c>
      <c r="C696" s="5" t="s">
        <v>1163</v>
      </c>
      <c r="D696" s="5">
        <v>1.0</v>
      </c>
      <c r="E696" s="5">
        <v>0.0</v>
      </c>
      <c r="F696" s="5">
        <v>0.0</v>
      </c>
      <c r="G696" s="5">
        <v>0.0</v>
      </c>
      <c r="H696" s="5">
        <v>0.0</v>
      </c>
      <c r="I696" s="5">
        <v>0.0</v>
      </c>
    </row>
    <row r="697" ht="15.75" customHeight="1">
      <c r="A697" s="4" t="s">
        <v>2227</v>
      </c>
      <c r="B697" s="5" t="s">
        <v>16</v>
      </c>
      <c r="C697" s="5" t="s">
        <v>2230</v>
      </c>
      <c r="D697" s="5">
        <v>1.0</v>
      </c>
      <c r="F697" s="5">
        <v>0.0</v>
      </c>
      <c r="G697" s="5">
        <v>0.0</v>
      </c>
      <c r="H697" s="5">
        <v>2.0</v>
      </c>
    </row>
    <row r="698" ht="15.75" customHeight="1">
      <c r="A698" s="4" t="s">
        <v>2231</v>
      </c>
      <c r="B698" s="5" t="s">
        <v>165</v>
      </c>
      <c r="C698" s="5" t="s">
        <v>2233</v>
      </c>
      <c r="D698" s="5">
        <v>1.0</v>
      </c>
      <c r="F698" s="5">
        <v>0.0</v>
      </c>
      <c r="G698" s="5">
        <v>0.0</v>
      </c>
      <c r="H698" s="5">
        <v>1.0</v>
      </c>
    </row>
    <row r="699" ht="15.75" customHeight="1">
      <c r="A699" s="4" t="s">
        <v>2234</v>
      </c>
      <c r="B699" s="5" t="s">
        <v>85</v>
      </c>
      <c r="C699" s="5" t="s">
        <v>2236</v>
      </c>
      <c r="D699" s="5">
        <v>1.0</v>
      </c>
      <c r="E699" s="5">
        <v>-4.0</v>
      </c>
      <c r="F699" s="5">
        <v>0.0</v>
      </c>
      <c r="G699" s="5">
        <v>0.0</v>
      </c>
      <c r="H699" s="5">
        <v>0.0</v>
      </c>
      <c r="I699" s="5">
        <v>-0.2</v>
      </c>
    </row>
    <row r="700" ht="15.75" customHeight="1">
      <c r="A700" s="4" t="s">
        <v>2239</v>
      </c>
      <c r="B700" s="5" t="s">
        <v>85</v>
      </c>
      <c r="C700" s="5" t="s">
        <v>2240</v>
      </c>
      <c r="D700" s="5">
        <v>1.0</v>
      </c>
      <c r="E700" s="5">
        <v>-1.0</v>
      </c>
      <c r="F700" s="5">
        <v>0.0</v>
      </c>
      <c r="G700" s="5">
        <v>0.0</v>
      </c>
      <c r="H700" s="5">
        <v>0.0</v>
      </c>
      <c r="I700" s="5">
        <v>0.0</v>
      </c>
    </row>
    <row r="701" ht="15.75" customHeight="1">
      <c r="A701" s="4" t="s">
        <v>2242</v>
      </c>
      <c r="B701" s="5" t="s">
        <v>19</v>
      </c>
      <c r="C701" s="5" t="s">
        <v>2244</v>
      </c>
      <c r="D701" s="5">
        <v>1.0</v>
      </c>
      <c r="E701" s="5">
        <v>-8.0</v>
      </c>
      <c r="F701" s="5">
        <v>0.0</v>
      </c>
      <c r="G701" s="5">
        <v>0.0</v>
      </c>
      <c r="H701" s="5">
        <v>0.0</v>
      </c>
      <c r="I701" s="5">
        <v>-0.11</v>
      </c>
    </row>
    <row r="702" ht="15.75" customHeight="1">
      <c r="A702" s="4" t="s">
        <v>2246</v>
      </c>
      <c r="B702" s="5" t="s">
        <v>165</v>
      </c>
      <c r="C702" s="5" t="s">
        <v>2247</v>
      </c>
      <c r="D702" s="5">
        <v>1.0</v>
      </c>
      <c r="F702" s="5">
        <v>0.0</v>
      </c>
      <c r="G702" s="5">
        <v>0.0</v>
      </c>
      <c r="H702" s="5">
        <v>2.0</v>
      </c>
    </row>
    <row r="703" ht="15.75" customHeight="1">
      <c r="A703" s="4" t="s">
        <v>2248</v>
      </c>
      <c r="B703" s="5" t="s">
        <v>165</v>
      </c>
      <c r="C703" s="5" t="s">
        <v>2250</v>
      </c>
      <c r="D703" s="5">
        <v>1.0</v>
      </c>
      <c r="E703" s="5">
        <v>-11.0</v>
      </c>
      <c r="F703" s="5">
        <v>0.0</v>
      </c>
      <c r="G703" s="5">
        <v>0.0</v>
      </c>
      <c r="H703" s="5">
        <v>1.0</v>
      </c>
      <c r="I703" s="5">
        <v>0.42</v>
      </c>
    </row>
    <row r="704" ht="15.75" customHeight="1">
      <c r="A704" s="4" t="s">
        <v>2251</v>
      </c>
      <c r="B704" s="5" t="s">
        <v>19</v>
      </c>
      <c r="D704" s="5">
        <v>1.0</v>
      </c>
      <c r="F704" s="5">
        <v>0.0</v>
      </c>
      <c r="G704" s="5">
        <v>0.0</v>
      </c>
      <c r="H704" s="5">
        <v>1.0</v>
      </c>
    </row>
    <row r="705" ht="15.75" customHeight="1">
      <c r="A705" s="4" t="s">
        <v>2254</v>
      </c>
      <c r="B705" s="5" t="s">
        <v>19</v>
      </c>
      <c r="C705" s="5" t="s">
        <v>399</v>
      </c>
      <c r="D705" s="5">
        <v>1.0</v>
      </c>
      <c r="F705" s="5">
        <v>0.0</v>
      </c>
      <c r="G705" s="5">
        <v>0.0</v>
      </c>
      <c r="H705" s="5">
        <v>3.0</v>
      </c>
    </row>
    <row r="706" ht="15.75" customHeight="1">
      <c r="A706" s="4" t="s">
        <v>2256</v>
      </c>
      <c r="B706" s="5" t="s">
        <v>19</v>
      </c>
      <c r="C706" s="5" t="s">
        <v>1648</v>
      </c>
      <c r="D706" s="5">
        <v>1.0</v>
      </c>
      <c r="F706" s="5">
        <v>0.0</v>
      </c>
      <c r="G706" s="5">
        <v>0.0</v>
      </c>
      <c r="H706" s="5">
        <v>1.0</v>
      </c>
    </row>
    <row r="707" ht="15.75" customHeight="1">
      <c r="A707" s="4" t="s">
        <v>2259</v>
      </c>
      <c r="B707" s="5" t="s">
        <v>19</v>
      </c>
      <c r="D707" s="5">
        <v>1.0</v>
      </c>
      <c r="E707" s="5">
        <v>-3.0</v>
      </c>
      <c r="F707" s="5">
        <v>0.0</v>
      </c>
      <c r="G707" s="5">
        <v>0.0</v>
      </c>
      <c r="H707" s="5">
        <v>1.0</v>
      </c>
      <c r="I707" s="5">
        <v>0.0</v>
      </c>
    </row>
    <row r="708" ht="15.75" customHeight="1">
      <c r="A708" s="4" t="s">
        <v>2262</v>
      </c>
      <c r="B708" s="5" t="s">
        <v>19</v>
      </c>
      <c r="D708" s="5">
        <v>1.0</v>
      </c>
      <c r="E708" s="5">
        <v>0.0</v>
      </c>
      <c r="F708" s="5">
        <v>0.0</v>
      </c>
      <c r="G708" s="5">
        <v>0.0</v>
      </c>
      <c r="H708" s="5">
        <v>1.0</v>
      </c>
      <c r="I708" s="5">
        <v>1.0</v>
      </c>
    </row>
    <row r="709" ht="15.75" customHeight="1">
      <c r="A709" s="4" t="s">
        <v>2264</v>
      </c>
      <c r="B709" s="5" t="s">
        <v>19</v>
      </c>
      <c r="C709" s="5" t="s">
        <v>2266</v>
      </c>
      <c r="D709" s="5">
        <v>1.0</v>
      </c>
      <c r="F709" s="5">
        <v>0.0</v>
      </c>
      <c r="G709" s="5">
        <v>0.0</v>
      </c>
      <c r="H709" s="5">
        <v>0.0</v>
      </c>
    </row>
    <row r="710" ht="15.75" customHeight="1">
      <c r="A710" s="4" t="s">
        <v>2268</v>
      </c>
      <c r="B710" s="5" t="s">
        <v>165</v>
      </c>
      <c r="C710" s="5" t="s">
        <v>399</v>
      </c>
      <c r="D710" s="5">
        <v>1.0</v>
      </c>
      <c r="E710" s="5">
        <v>0.0</v>
      </c>
      <c r="F710" s="5">
        <v>0.0</v>
      </c>
      <c r="G710" s="5">
        <v>0.0</v>
      </c>
      <c r="H710" s="5">
        <v>0.0</v>
      </c>
      <c r="I710" s="5">
        <v>-1.0</v>
      </c>
    </row>
    <row r="711" ht="15.75" customHeight="1">
      <c r="A711" s="4" t="s">
        <v>2271</v>
      </c>
      <c r="B711" s="5" t="s">
        <v>19</v>
      </c>
      <c r="D711" s="5">
        <v>1.0</v>
      </c>
      <c r="E711" s="5">
        <v>-2.0</v>
      </c>
      <c r="F711" s="5">
        <v>0.0</v>
      </c>
      <c r="G711" s="5">
        <v>0.0</v>
      </c>
      <c r="H711" s="5">
        <v>1.0</v>
      </c>
      <c r="I711" s="5">
        <v>-0.33</v>
      </c>
    </row>
    <row r="712" ht="15.75" customHeight="1">
      <c r="A712" s="4" t="s">
        <v>2273</v>
      </c>
      <c r="B712" s="5" t="s">
        <v>19</v>
      </c>
      <c r="C712" s="5" t="s">
        <v>649</v>
      </c>
      <c r="D712" s="5">
        <v>1.0</v>
      </c>
      <c r="F712" s="5">
        <v>0.0</v>
      </c>
      <c r="G712" s="5">
        <v>0.0</v>
      </c>
      <c r="H712" s="5">
        <v>0.0</v>
      </c>
    </row>
    <row r="713" ht="15.75" customHeight="1">
      <c r="A713" s="4" t="s">
        <v>2275</v>
      </c>
      <c r="B713" s="5" t="s">
        <v>23</v>
      </c>
      <c r="C713" s="5" t="s">
        <v>2277</v>
      </c>
      <c r="D713" s="5">
        <v>1.0</v>
      </c>
      <c r="F713" s="5">
        <v>0.0</v>
      </c>
      <c r="G713" s="5">
        <v>0.0</v>
      </c>
      <c r="H713" s="5">
        <v>1.0</v>
      </c>
    </row>
    <row r="714" ht="15.75" customHeight="1">
      <c r="A714" s="4" t="s">
        <v>2278</v>
      </c>
      <c r="B714" s="5" t="s">
        <v>19</v>
      </c>
      <c r="C714" s="5" t="s">
        <v>639</v>
      </c>
      <c r="D714" s="5">
        <v>1.0</v>
      </c>
      <c r="F714" s="5">
        <v>0.0</v>
      </c>
      <c r="G714" s="5">
        <v>0.0</v>
      </c>
      <c r="H714" s="5">
        <v>1.0</v>
      </c>
    </row>
    <row r="715" ht="15.75" customHeight="1">
      <c r="A715" s="4" t="s">
        <v>2282</v>
      </c>
      <c r="B715" s="5" t="s">
        <v>19</v>
      </c>
      <c r="C715" s="5" t="s">
        <v>1163</v>
      </c>
      <c r="D715" s="5">
        <v>1.0</v>
      </c>
      <c r="E715" s="5">
        <v>-6.0</v>
      </c>
      <c r="F715" s="5">
        <v>0.0</v>
      </c>
      <c r="G715" s="5">
        <v>0.0</v>
      </c>
      <c r="H715" s="5">
        <v>0.0</v>
      </c>
      <c r="I715" s="5">
        <v>0.0</v>
      </c>
    </row>
    <row r="716" ht="15.75" customHeight="1">
      <c r="A716" s="4" t="s">
        <v>2284</v>
      </c>
      <c r="B716" s="5" t="s">
        <v>19</v>
      </c>
      <c r="C716" s="5" t="s">
        <v>1473</v>
      </c>
      <c r="D716" s="5">
        <v>1.0</v>
      </c>
      <c r="E716" s="5">
        <v>-2.0</v>
      </c>
      <c r="F716" s="5">
        <v>0.0</v>
      </c>
      <c r="G716" s="5">
        <v>0.0</v>
      </c>
      <c r="H716" s="5">
        <v>0.0</v>
      </c>
      <c r="I716" s="5">
        <v>0.0</v>
      </c>
    </row>
    <row r="717" ht="15.75" customHeight="1">
      <c r="A717" s="4" t="s">
        <v>2287</v>
      </c>
      <c r="B717" s="5" t="s">
        <v>85</v>
      </c>
      <c r="C717" s="5" t="s">
        <v>2289</v>
      </c>
      <c r="D717" s="5">
        <v>1.0</v>
      </c>
      <c r="F717" s="5">
        <v>0.0</v>
      </c>
      <c r="G717" s="5">
        <v>0.0</v>
      </c>
      <c r="H717" s="5">
        <v>1.0</v>
      </c>
    </row>
    <row r="718" ht="15.75" customHeight="1">
      <c r="A718" s="4" t="s">
        <v>2290</v>
      </c>
      <c r="B718" s="5" t="s">
        <v>85</v>
      </c>
      <c r="D718" s="5">
        <v>1.0</v>
      </c>
      <c r="F718" s="5">
        <v>0.0</v>
      </c>
      <c r="G718" s="5">
        <v>0.0</v>
      </c>
      <c r="H718" s="5">
        <v>0.0</v>
      </c>
    </row>
    <row r="719" ht="15.75" customHeight="1">
      <c r="A719" s="4" t="s">
        <v>2292</v>
      </c>
      <c r="B719" s="5" t="s">
        <v>19</v>
      </c>
      <c r="D719" s="5">
        <v>1.0</v>
      </c>
      <c r="F719" s="5">
        <v>0.0</v>
      </c>
      <c r="G719" s="5">
        <v>0.0</v>
      </c>
      <c r="H719" s="5">
        <v>0.0</v>
      </c>
    </row>
    <row r="720" ht="15.75" customHeight="1">
      <c r="A720" s="4" t="s">
        <v>2295</v>
      </c>
      <c r="B720" s="5" t="s">
        <v>16</v>
      </c>
      <c r="D720" s="5">
        <v>1.0</v>
      </c>
      <c r="F720" s="5">
        <v>0.0</v>
      </c>
      <c r="G720" s="5">
        <v>0.0</v>
      </c>
      <c r="H720" s="5">
        <v>0.0</v>
      </c>
    </row>
    <row r="721" ht="15.75" customHeight="1">
      <c r="A721" s="4" t="s">
        <v>2297</v>
      </c>
      <c r="B721" s="5" t="s">
        <v>19</v>
      </c>
      <c r="C721" s="5" t="s">
        <v>1453</v>
      </c>
      <c r="D721" s="5">
        <v>1.0</v>
      </c>
      <c r="F721" s="5">
        <v>0.0</v>
      </c>
      <c r="G721" s="5">
        <v>0.0</v>
      </c>
      <c r="H721" s="5">
        <v>1.0</v>
      </c>
    </row>
    <row r="722" ht="15.75" customHeight="1">
      <c r="A722" s="4" t="s">
        <v>2300</v>
      </c>
      <c r="B722" s="5" t="s">
        <v>19</v>
      </c>
      <c r="D722" s="5">
        <v>1.0</v>
      </c>
      <c r="F722" s="5">
        <v>0.0</v>
      </c>
      <c r="G722" s="5">
        <v>0.0</v>
      </c>
      <c r="H722" s="5">
        <v>1.0</v>
      </c>
    </row>
    <row r="723" ht="15.75" customHeight="1">
      <c r="A723" s="4" t="s">
        <v>2302</v>
      </c>
      <c r="B723" s="5" t="s">
        <v>19</v>
      </c>
      <c r="C723" s="5" t="s">
        <v>2304</v>
      </c>
      <c r="D723" s="5">
        <v>1.0</v>
      </c>
      <c r="F723" s="5">
        <v>0.0</v>
      </c>
      <c r="G723" s="5">
        <v>0.0</v>
      </c>
      <c r="H723" s="5">
        <v>1.0</v>
      </c>
    </row>
    <row r="724" ht="15.75" customHeight="1">
      <c r="A724" s="4" t="s">
        <v>2306</v>
      </c>
      <c r="B724" s="5" t="s">
        <v>19</v>
      </c>
      <c r="C724" s="5" t="s">
        <v>2308</v>
      </c>
      <c r="D724" s="5">
        <v>1.0</v>
      </c>
      <c r="F724" s="5">
        <v>0.0</v>
      </c>
      <c r="G724" s="5">
        <v>0.0</v>
      </c>
      <c r="H724" s="5">
        <v>1.0</v>
      </c>
    </row>
    <row r="725" ht="15.75" customHeight="1">
      <c r="A725" s="4" t="s">
        <v>2309</v>
      </c>
      <c r="B725" s="5" t="s">
        <v>19</v>
      </c>
      <c r="C725" s="5" t="s">
        <v>342</v>
      </c>
      <c r="D725" s="5">
        <v>1.0</v>
      </c>
      <c r="F725" s="5">
        <v>0.0</v>
      </c>
      <c r="G725" s="5">
        <v>0.0</v>
      </c>
      <c r="H725" s="5">
        <v>4.0</v>
      </c>
    </row>
    <row r="726" ht="15.75" customHeight="1">
      <c r="A726" s="4" t="s">
        <v>2311</v>
      </c>
      <c r="B726" s="5" t="s">
        <v>19</v>
      </c>
      <c r="D726" s="5">
        <v>1.0</v>
      </c>
      <c r="E726" s="5">
        <v>-3.0</v>
      </c>
      <c r="F726" s="5">
        <v>0.0</v>
      </c>
      <c r="G726" s="5">
        <v>0.0</v>
      </c>
      <c r="H726" s="5">
        <v>0.0</v>
      </c>
      <c r="I726" s="5">
        <v>0.0</v>
      </c>
    </row>
    <row r="727" ht="15.75" customHeight="1">
      <c r="A727" s="4" t="s">
        <v>2313</v>
      </c>
      <c r="B727" s="5" t="s">
        <v>19</v>
      </c>
      <c r="D727" s="5">
        <v>1.0</v>
      </c>
      <c r="E727" s="5">
        <v>0.0</v>
      </c>
      <c r="F727" s="5">
        <v>0.0</v>
      </c>
      <c r="G727" s="5">
        <v>0.0</v>
      </c>
      <c r="H727" s="5">
        <v>1.0</v>
      </c>
      <c r="I727" s="5">
        <v>0.0</v>
      </c>
    </row>
    <row r="728" ht="15.75" customHeight="1">
      <c r="A728" s="4" t="s">
        <v>2315</v>
      </c>
      <c r="B728" s="5" t="s">
        <v>19</v>
      </c>
      <c r="C728" s="5" t="s">
        <v>399</v>
      </c>
      <c r="D728" s="5">
        <v>1.0</v>
      </c>
      <c r="F728" s="5">
        <v>0.0</v>
      </c>
      <c r="G728" s="5">
        <v>0.0</v>
      </c>
      <c r="H728" s="5">
        <v>0.0</v>
      </c>
    </row>
    <row r="729" ht="15.75" customHeight="1">
      <c r="A729" s="4" t="s">
        <v>2317</v>
      </c>
      <c r="B729" s="5" t="s">
        <v>19</v>
      </c>
      <c r="D729" s="5">
        <v>1.0</v>
      </c>
      <c r="F729" s="5">
        <v>0.0</v>
      </c>
      <c r="G729" s="5">
        <v>0.0</v>
      </c>
      <c r="H729" s="5">
        <v>0.0</v>
      </c>
    </row>
    <row r="730" ht="15.75" customHeight="1">
      <c r="A730" s="4" t="s">
        <v>2319</v>
      </c>
      <c r="B730" s="5" t="s">
        <v>19</v>
      </c>
      <c r="C730" s="5" t="s">
        <v>2321</v>
      </c>
      <c r="D730" s="5">
        <v>1.0</v>
      </c>
      <c r="E730" s="5">
        <v>-5.0</v>
      </c>
      <c r="F730" s="5">
        <v>0.0</v>
      </c>
      <c r="G730" s="5">
        <v>0.0</v>
      </c>
      <c r="H730" s="5">
        <v>0.0</v>
      </c>
      <c r="I730" s="5">
        <v>0.0</v>
      </c>
    </row>
    <row r="731" ht="15.75" customHeight="1">
      <c r="A731" s="5" t="s">
        <v>2323</v>
      </c>
      <c r="B731" s="5" t="s">
        <v>19</v>
      </c>
      <c r="D731" s="5">
        <v>1.0</v>
      </c>
      <c r="F731" s="5">
        <v>0.0</v>
      </c>
      <c r="G731" s="5">
        <v>0.0</v>
      </c>
      <c r="H731" s="5">
        <v>0.0</v>
      </c>
    </row>
    <row r="732" ht="15.75" customHeight="1">
      <c r="A732" s="4" t="s">
        <v>2324</v>
      </c>
      <c r="B732" s="5" t="s">
        <v>19</v>
      </c>
      <c r="C732" s="5" t="s">
        <v>2325</v>
      </c>
      <c r="D732" s="5">
        <v>1.0</v>
      </c>
      <c r="F732" s="5">
        <v>0.0</v>
      </c>
      <c r="G732" s="5">
        <v>0.0</v>
      </c>
      <c r="H732" s="5">
        <v>0.0</v>
      </c>
    </row>
    <row r="733" ht="15.75" customHeight="1">
      <c r="A733" s="4" t="s">
        <v>2327</v>
      </c>
      <c r="B733" s="5" t="s">
        <v>19</v>
      </c>
      <c r="C733" s="5" t="s">
        <v>2328</v>
      </c>
      <c r="D733" s="5">
        <v>1.0</v>
      </c>
      <c r="F733" s="5">
        <v>0.0</v>
      </c>
      <c r="G733" s="5">
        <v>0.0</v>
      </c>
      <c r="H733" s="5">
        <v>0.0</v>
      </c>
    </row>
    <row r="734" ht="15.75" customHeight="1">
      <c r="A734" s="4" t="s">
        <v>2330</v>
      </c>
      <c r="B734" s="5" t="s">
        <v>85</v>
      </c>
      <c r="D734" s="5">
        <v>1.0</v>
      </c>
      <c r="F734" s="5">
        <v>0.0</v>
      </c>
      <c r="G734" s="5">
        <v>0.0</v>
      </c>
      <c r="H734" s="5">
        <v>1.0</v>
      </c>
    </row>
    <row r="735" ht="15.75" customHeight="1">
      <c r="A735" s="4" t="s">
        <v>2332</v>
      </c>
      <c r="B735" s="5" t="s">
        <v>19</v>
      </c>
      <c r="C735" s="5" t="s">
        <v>396</v>
      </c>
      <c r="D735" s="5">
        <v>1.0</v>
      </c>
      <c r="F735" s="5">
        <v>0.0</v>
      </c>
      <c r="G735" s="5">
        <v>0.0</v>
      </c>
      <c r="H735" s="5">
        <v>0.0</v>
      </c>
    </row>
    <row r="736" ht="15.75" customHeight="1">
      <c r="A736" s="4" t="s">
        <v>2334</v>
      </c>
      <c r="B736" s="5" t="s">
        <v>19</v>
      </c>
      <c r="C736" s="5" t="s">
        <v>2336</v>
      </c>
      <c r="D736" s="5">
        <v>1.0</v>
      </c>
      <c r="E736" s="5">
        <v>-9.0</v>
      </c>
      <c r="F736" s="5">
        <v>0.0</v>
      </c>
      <c r="G736" s="5">
        <v>0.0</v>
      </c>
      <c r="H736" s="5">
        <v>1.0</v>
      </c>
      <c r="I736" s="5">
        <v>-0.5</v>
      </c>
    </row>
    <row r="737" ht="15.75" customHeight="1">
      <c r="A737" s="4" t="s">
        <v>2338</v>
      </c>
      <c r="B737" s="5" t="s">
        <v>19</v>
      </c>
      <c r="D737" s="5">
        <v>1.0</v>
      </c>
      <c r="F737" s="5">
        <v>0.0</v>
      </c>
      <c r="G737" s="5">
        <v>0.0</v>
      </c>
      <c r="H737" s="5">
        <v>0.0</v>
      </c>
    </row>
    <row r="738" ht="15.75" customHeight="1">
      <c r="A738" s="4" t="s">
        <v>2340</v>
      </c>
      <c r="B738" s="5" t="s">
        <v>19</v>
      </c>
      <c r="D738" s="5">
        <v>1.0</v>
      </c>
      <c r="F738" s="5">
        <v>0.0</v>
      </c>
      <c r="G738" s="5">
        <v>0.0</v>
      </c>
      <c r="H738" s="5">
        <v>0.0</v>
      </c>
    </row>
    <row r="739" ht="15.75" customHeight="1">
      <c r="A739" s="4" t="s">
        <v>2343</v>
      </c>
      <c r="B739" s="5" t="s">
        <v>19</v>
      </c>
      <c r="D739" s="5">
        <v>1.0</v>
      </c>
      <c r="F739" s="5">
        <v>0.0</v>
      </c>
      <c r="G739" s="5">
        <v>0.0</v>
      </c>
      <c r="H739" s="5">
        <v>0.0</v>
      </c>
    </row>
    <row r="740" ht="15.75" customHeight="1">
      <c r="A740" s="4" t="s">
        <v>2344</v>
      </c>
      <c r="B740" s="5" t="s">
        <v>19</v>
      </c>
      <c r="C740" s="5" t="s">
        <v>2346</v>
      </c>
      <c r="D740" s="5">
        <v>1.0</v>
      </c>
      <c r="E740" s="5">
        <v>-7.0</v>
      </c>
      <c r="F740" s="5">
        <v>0.0</v>
      </c>
      <c r="G740" s="5">
        <v>0.0</v>
      </c>
      <c r="H740" s="5">
        <v>4.0</v>
      </c>
      <c r="I740" s="5">
        <v>1.38</v>
      </c>
    </row>
    <row r="741" ht="15.75" customHeight="1">
      <c r="A741" s="4" t="s">
        <v>2347</v>
      </c>
      <c r="B741" s="5" t="s">
        <v>19</v>
      </c>
      <c r="C741" s="5" t="s">
        <v>2348</v>
      </c>
      <c r="D741" s="5">
        <v>1.0</v>
      </c>
      <c r="F741" s="5">
        <v>0.0</v>
      </c>
      <c r="G741" s="5">
        <v>0.0</v>
      </c>
      <c r="H741" s="5">
        <v>0.0</v>
      </c>
    </row>
    <row r="742" ht="15.75" customHeight="1">
      <c r="A742" s="4" t="s">
        <v>2349</v>
      </c>
      <c r="B742" s="5" t="s">
        <v>16</v>
      </c>
      <c r="C742" s="5" t="s">
        <v>2351</v>
      </c>
      <c r="D742" s="5">
        <v>1.0</v>
      </c>
      <c r="F742" s="5">
        <v>0.0</v>
      </c>
      <c r="G742" s="5">
        <v>0.0</v>
      </c>
      <c r="H742" s="5">
        <v>0.0</v>
      </c>
    </row>
    <row r="743" ht="15.75" customHeight="1">
      <c r="A743" s="4" t="s">
        <v>2352</v>
      </c>
      <c r="B743" s="5" t="s">
        <v>23</v>
      </c>
      <c r="C743" s="5" t="s">
        <v>2354</v>
      </c>
      <c r="D743" s="5">
        <v>1.0</v>
      </c>
      <c r="E743" s="5">
        <v>-1.0</v>
      </c>
      <c r="F743" s="5">
        <v>0.0</v>
      </c>
      <c r="G743" s="5">
        <v>0.0</v>
      </c>
      <c r="H743" s="5">
        <v>1.0</v>
      </c>
      <c r="I743" s="5">
        <v>0.0</v>
      </c>
    </row>
    <row r="744" ht="15.75" customHeight="1">
      <c r="A744" s="4" t="s">
        <v>2356</v>
      </c>
      <c r="B744" s="5" t="s">
        <v>19</v>
      </c>
      <c r="C744" s="5" t="s">
        <v>2358</v>
      </c>
      <c r="D744" s="5">
        <v>1.0</v>
      </c>
      <c r="F744" s="5">
        <v>0.0</v>
      </c>
      <c r="G744" s="5">
        <v>0.0</v>
      </c>
      <c r="H744" s="5">
        <v>1.0</v>
      </c>
    </row>
    <row r="745" ht="15.75" customHeight="1">
      <c r="A745" s="4" t="s">
        <v>2360</v>
      </c>
      <c r="B745" s="5" t="s">
        <v>935</v>
      </c>
      <c r="D745" s="5">
        <v>1.0</v>
      </c>
      <c r="F745" s="5">
        <v>0.0</v>
      </c>
      <c r="G745" s="5">
        <v>0.0</v>
      </c>
      <c r="H745" s="5">
        <v>2.0</v>
      </c>
    </row>
    <row r="746" ht="15.75" customHeight="1">
      <c r="A746" s="4" t="s">
        <v>2363</v>
      </c>
      <c r="B746" s="5" t="s">
        <v>19</v>
      </c>
      <c r="C746" s="5" t="s">
        <v>2364</v>
      </c>
      <c r="D746" s="5">
        <v>1.0</v>
      </c>
      <c r="F746" s="5">
        <v>0.0</v>
      </c>
      <c r="G746" s="5">
        <v>0.0</v>
      </c>
      <c r="H746" s="5">
        <v>2.0</v>
      </c>
    </row>
    <row r="747" ht="15.75" customHeight="1">
      <c r="A747" s="4" t="s">
        <v>2365</v>
      </c>
      <c r="B747" s="5" t="s">
        <v>16</v>
      </c>
      <c r="C747" s="5" t="s">
        <v>2366</v>
      </c>
      <c r="D747" s="5">
        <v>1.0</v>
      </c>
      <c r="E747" s="5">
        <v>-3.0</v>
      </c>
      <c r="F747" s="5">
        <v>0.0</v>
      </c>
      <c r="G747" s="5">
        <v>0.0</v>
      </c>
      <c r="H747" s="5">
        <v>3.0</v>
      </c>
      <c r="I747" s="5">
        <v>1.0</v>
      </c>
    </row>
    <row r="748" ht="15.75" customHeight="1">
      <c r="A748" s="4" t="s">
        <v>2367</v>
      </c>
      <c r="B748" s="5" t="s">
        <v>19</v>
      </c>
      <c r="D748" s="5">
        <v>1.0</v>
      </c>
      <c r="E748" s="5">
        <v>0.0</v>
      </c>
      <c r="F748" s="5">
        <v>0.0</v>
      </c>
      <c r="G748" s="5">
        <v>0.0</v>
      </c>
      <c r="H748" s="5">
        <v>1.0</v>
      </c>
      <c r="I748" s="5">
        <v>0.0</v>
      </c>
    </row>
    <row r="749" ht="15.75" customHeight="1">
      <c r="A749" s="4" t="s">
        <v>2369</v>
      </c>
      <c r="B749" s="5" t="s">
        <v>19</v>
      </c>
      <c r="C749" s="5" t="s">
        <v>342</v>
      </c>
      <c r="D749" s="5">
        <v>1.0</v>
      </c>
      <c r="E749" s="5">
        <v>-2.0</v>
      </c>
      <c r="F749" s="5">
        <v>0.0</v>
      </c>
      <c r="G749" s="5">
        <v>0.0</v>
      </c>
      <c r="H749" s="5">
        <v>0.0</v>
      </c>
      <c r="I749" s="5">
        <v>-0.67</v>
      </c>
    </row>
    <row r="750" ht="15.75" customHeight="1">
      <c r="A750" s="4" t="s">
        <v>2371</v>
      </c>
      <c r="B750" s="5" t="s">
        <v>19</v>
      </c>
      <c r="D750" s="5">
        <v>1.0</v>
      </c>
      <c r="F750" s="5">
        <v>0.0</v>
      </c>
      <c r="G750" s="5">
        <v>0.0</v>
      </c>
      <c r="H750" s="5">
        <v>0.0</v>
      </c>
    </row>
    <row r="751" ht="15.75" customHeight="1">
      <c r="A751" s="4" t="s">
        <v>2373</v>
      </c>
      <c r="B751" s="5" t="s">
        <v>19</v>
      </c>
      <c r="D751" s="5">
        <v>1.0</v>
      </c>
      <c r="F751" s="5">
        <v>0.0</v>
      </c>
      <c r="G751" s="5">
        <v>0.0</v>
      </c>
      <c r="H751" s="5">
        <v>1.0</v>
      </c>
    </row>
    <row r="752" ht="15.75" customHeight="1">
      <c r="A752" s="4" t="s">
        <v>2375</v>
      </c>
      <c r="B752" s="5" t="s">
        <v>16</v>
      </c>
      <c r="C752" s="5" t="s">
        <v>1037</v>
      </c>
      <c r="D752" s="5">
        <v>1.0</v>
      </c>
      <c r="F752" s="5">
        <v>0.0</v>
      </c>
      <c r="G752" s="5">
        <v>0.0</v>
      </c>
      <c r="H752" s="5">
        <v>0.0</v>
      </c>
    </row>
    <row r="753" ht="15.75" customHeight="1">
      <c r="A753" s="4" t="s">
        <v>2376</v>
      </c>
      <c r="B753" s="5" t="s">
        <v>165</v>
      </c>
      <c r="C753" s="5" t="s">
        <v>2379</v>
      </c>
      <c r="D753" s="5">
        <v>1.0</v>
      </c>
      <c r="E753" s="5">
        <v>-6.0</v>
      </c>
      <c r="F753" s="5">
        <v>0.0</v>
      </c>
      <c r="G753" s="5">
        <v>0.0</v>
      </c>
      <c r="H753" s="5">
        <v>1.0</v>
      </c>
      <c r="I753" s="5">
        <v>-0.29</v>
      </c>
    </row>
    <row r="754" ht="15.75" customHeight="1">
      <c r="A754" s="4" t="s">
        <v>2380</v>
      </c>
      <c r="B754" s="5" t="s">
        <v>19</v>
      </c>
      <c r="D754" s="5">
        <v>1.0</v>
      </c>
      <c r="F754" s="5">
        <v>0.0</v>
      </c>
      <c r="G754" s="5">
        <v>0.0</v>
      </c>
      <c r="H754" s="5">
        <v>0.0</v>
      </c>
    </row>
    <row r="755" ht="15.75" customHeight="1">
      <c r="A755" s="4" t="s">
        <v>2382</v>
      </c>
      <c r="B755" s="5" t="s">
        <v>19</v>
      </c>
      <c r="C755" s="5" t="s">
        <v>2383</v>
      </c>
      <c r="D755" s="5">
        <v>1.0</v>
      </c>
      <c r="E755" s="5">
        <v>-6.0</v>
      </c>
      <c r="F755" s="5">
        <v>0.0</v>
      </c>
      <c r="G755" s="5">
        <v>0.0</v>
      </c>
      <c r="H755" s="5">
        <v>2.0</v>
      </c>
      <c r="I755" s="5">
        <v>-0.57</v>
      </c>
    </row>
    <row r="756" ht="15.75" customHeight="1">
      <c r="A756" s="4" t="s">
        <v>2386</v>
      </c>
      <c r="B756" s="5" t="s">
        <v>19</v>
      </c>
      <c r="C756" s="5" t="s">
        <v>1163</v>
      </c>
      <c r="D756" s="5">
        <v>1.0</v>
      </c>
      <c r="E756" s="5">
        <v>-5.0</v>
      </c>
      <c r="F756" s="5">
        <v>0.0</v>
      </c>
      <c r="G756" s="5">
        <v>0.0</v>
      </c>
      <c r="H756" s="5">
        <v>0.0</v>
      </c>
      <c r="I756" s="5">
        <v>0.0</v>
      </c>
    </row>
    <row r="757" ht="15.75" customHeight="1">
      <c r="A757" s="4" t="s">
        <v>2388</v>
      </c>
      <c r="B757" s="5" t="s">
        <v>19</v>
      </c>
      <c r="C757" s="5" t="s">
        <v>2390</v>
      </c>
      <c r="D757" s="5">
        <v>1.0</v>
      </c>
      <c r="F757" s="5">
        <v>0.0</v>
      </c>
      <c r="G757" s="5">
        <v>0.0</v>
      </c>
      <c r="H757" s="5">
        <v>0.0</v>
      </c>
    </row>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autoFilter ref="$A$1:$Z$998"/>
  <hyperlinks>
    <hyperlink r:id="rId1" ref="A2"/>
    <hyperlink r:id="rId2" ref="A3"/>
    <hyperlink r:id="rId3" ref="A4"/>
    <hyperlink r:id="rId4" ref="A5"/>
    <hyperlink r:id="rId5" ref="A6"/>
    <hyperlink r:id="rId6" ref="A7"/>
    <hyperlink r:id="rId7" ref="A10"/>
    <hyperlink r:id="rId8" ref="A11"/>
    <hyperlink r:id="rId9" ref="A12"/>
    <hyperlink r:id="rId10" ref="A13"/>
    <hyperlink r:id="rId11" ref="A14"/>
    <hyperlink r:id="rId12" ref="A16"/>
    <hyperlink r:id="rId13" ref="A17"/>
    <hyperlink r:id="rId14" ref="A20"/>
    <hyperlink r:id="rId15" ref="A21"/>
    <hyperlink r:id="rId16" ref="A22"/>
    <hyperlink r:id="rId17" ref="A23"/>
    <hyperlink r:id="rId18" ref="A24"/>
    <hyperlink r:id="rId19" ref="A26"/>
    <hyperlink r:id="rId20" ref="A27"/>
    <hyperlink r:id="rId21" ref="A28"/>
    <hyperlink r:id="rId22" ref="A29"/>
    <hyperlink r:id="rId23" ref="A30"/>
    <hyperlink r:id="rId24" ref="A31"/>
    <hyperlink r:id="rId25" ref="A32"/>
    <hyperlink r:id="rId26" ref="A33"/>
    <hyperlink r:id="rId27" ref="A34"/>
    <hyperlink r:id="rId28" ref="A35"/>
    <hyperlink r:id="rId29" ref="A36"/>
    <hyperlink r:id="rId30" ref="A37"/>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49"/>
    <hyperlink r:id="rId43" ref="A50"/>
    <hyperlink r:id="rId44" ref="A51"/>
    <hyperlink r:id="rId45" ref="A52"/>
    <hyperlink r:id="rId46" ref="A53"/>
    <hyperlink r:id="rId47" ref="A54"/>
    <hyperlink r:id="rId48" ref="A55"/>
    <hyperlink r:id="rId49" ref="A56"/>
    <hyperlink r:id="rId50" ref="A57"/>
    <hyperlink r:id="rId51" ref="A58"/>
    <hyperlink r:id="rId52" ref="A59"/>
    <hyperlink r:id="rId53" ref="A61"/>
    <hyperlink r:id="rId54" ref="A62"/>
    <hyperlink r:id="rId55" ref="A63"/>
    <hyperlink r:id="rId56" ref="A64"/>
    <hyperlink r:id="rId57" ref="A65"/>
    <hyperlink r:id="rId58" ref="A66"/>
    <hyperlink r:id="rId59" ref="A67"/>
    <hyperlink r:id="rId60" ref="A68"/>
    <hyperlink r:id="rId61" ref="A69"/>
    <hyperlink r:id="rId62" ref="A70"/>
    <hyperlink r:id="rId63" ref="A71"/>
    <hyperlink r:id="rId64" ref="A72"/>
    <hyperlink r:id="rId65" ref="A73"/>
    <hyperlink r:id="rId66" ref="A74"/>
    <hyperlink r:id="rId67" ref="A75"/>
    <hyperlink r:id="rId68" ref="A76"/>
    <hyperlink r:id="rId69" ref="A77"/>
    <hyperlink r:id="rId70" ref="A78"/>
    <hyperlink r:id="rId71" ref="A79"/>
    <hyperlink r:id="rId72" ref="A80"/>
    <hyperlink r:id="rId73" ref="A81"/>
    <hyperlink r:id="rId74" ref="A82"/>
    <hyperlink r:id="rId75" ref="A83"/>
    <hyperlink r:id="rId76" ref="A84"/>
    <hyperlink r:id="rId77" ref="A85"/>
    <hyperlink r:id="rId78" ref="A86"/>
    <hyperlink r:id="rId79" ref="A87"/>
    <hyperlink r:id="rId80" ref="A88"/>
    <hyperlink r:id="rId81" ref="A89"/>
    <hyperlink r:id="rId82" ref="A91"/>
    <hyperlink r:id="rId83" ref="A92"/>
    <hyperlink r:id="rId84" ref="A93"/>
    <hyperlink r:id="rId85" ref="A94"/>
    <hyperlink r:id="rId86" ref="A95"/>
    <hyperlink r:id="rId87" ref="A96"/>
    <hyperlink r:id="rId88" ref="A97"/>
    <hyperlink r:id="rId89" ref="A98"/>
    <hyperlink r:id="rId90" ref="A99"/>
    <hyperlink r:id="rId91" ref="A100"/>
    <hyperlink r:id="rId92" ref="A102"/>
    <hyperlink r:id="rId93" ref="A103"/>
    <hyperlink r:id="rId94" ref="A104"/>
    <hyperlink r:id="rId95" ref="A105"/>
    <hyperlink r:id="rId96" ref="A106"/>
    <hyperlink r:id="rId97" ref="A107"/>
    <hyperlink r:id="rId98" ref="A108"/>
    <hyperlink r:id="rId99" ref="A109"/>
    <hyperlink r:id="rId100" ref="A110"/>
    <hyperlink r:id="rId101" ref="A111"/>
    <hyperlink r:id="rId102" ref="A112"/>
    <hyperlink r:id="rId103" ref="A113"/>
    <hyperlink r:id="rId104" ref="A114"/>
    <hyperlink r:id="rId105" ref="A115"/>
    <hyperlink r:id="rId106" ref="A116"/>
    <hyperlink r:id="rId107" ref="A117"/>
    <hyperlink r:id="rId108" ref="A118"/>
    <hyperlink r:id="rId109" ref="A119"/>
    <hyperlink r:id="rId110" ref="A120"/>
    <hyperlink r:id="rId111" ref="A121"/>
    <hyperlink r:id="rId112" ref="A122"/>
    <hyperlink r:id="rId113" ref="A123"/>
    <hyperlink r:id="rId114" ref="A124"/>
    <hyperlink r:id="rId115" ref="A125"/>
    <hyperlink r:id="rId116" ref="A126"/>
    <hyperlink r:id="rId117" ref="A127"/>
    <hyperlink r:id="rId118" ref="A128"/>
    <hyperlink r:id="rId119" ref="A129"/>
    <hyperlink r:id="rId120" ref="A130"/>
    <hyperlink r:id="rId121" ref="A131"/>
    <hyperlink r:id="rId122" ref="A132"/>
    <hyperlink r:id="rId123" ref="A133"/>
    <hyperlink r:id="rId124" ref="A135"/>
    <hyperlink r:id="rId125" ref="A137"/>
    <hyperlink r:id="rId126" ref="A138"/>
    <hyperlink r:id="rId127" ref="A139"/>
    <hyperlink r:id="rId128" ref="A140"/>
    <hyperlink r:id="rId129" ref="A141"/>
    <hyperlink r:id="rId130" ref="A142"/>
    <hyperlink r:id="rId131" ref="A143"/>
    <hyperlink r:id="rId132" ref="A144"/>
    <hyperlink r:id="rId133" ref="A145"/>
    <hyperlink r:id="rId134" ref="A146"/>
    <hyperlink r:id="rId135" ref="A147"/>
    <hyperlink r:id="rId136" ref="A148"/>
    <hyperlink r:id="rId137" ref="A149"/>
    <hyperlink r:id="rId138" ref="A150"/>
    <hyperlink r:id="rId139" ref="A151"/>
    <hyperlink r:id="rId140" ref="A152"/>
    <hyperlink r:id="rId141" ref="A153"/>
    <hyperlink r:id="rId142" ref="A154"/>
    <hyperlink r:id="rId143" ref="A155"/>
    <hyperlink r:id="rId144" ref="A156"/>
    <hyperlink r:id="rId145" ref="A157"/>
    <hyperlink r:id="rId146" ref="A158"/>
    <hyperlink r:id="rId147" ref="A159"/>
    <hyperlink r:id="rId148" ref="A160"/>
    <hyperlink r:id="rId149" ref="A161"/>
    <hyperlink r:id="rId150" ref="A162"/>
    <hyperlink r:id="rId151" ref="A163"/>
    <hyperlink r:id="rId152" ref="A164"/>
    <hyperlink r:id="rId153" ref="A165"/>
    <hyperlink r:id="rId154" ref="A166"/>
    <hyperlink r:id="rId155" ref="A167"/>
    <hyperlink r:id="rId156" ref="A168"/>
    <hyperlink r:id="rId157" ref="A169"/>
    <hyperlink r:id="rId158" ref="A170"/>
    <hyperlink r:id="rId159" ref="A171"/>
    <hyperlink r:id="rId160" ref="A172"/>
    <hyperlink r:id="rId161" ref="A173"/>
    <hyperlink r:id="rId162" ref="A174"/>
    <hyperlink r:id="rId163" ref="A175"/>
    <hyperlink r:id="rId164" ref="A176"/>
    <hyperlink r:id="rId165" ref="A177"/>
    <hyperlink r:id="rId166" ref="A178"/>
    <hyperlink r:id="rId167" ref="A179"/>
    <hyperlink r:id="rId168" ref="A180"/>
    <hyperlink r:id="rId169" ref="A181"/>
    <hyperlink r:id="rId170" ref="A182"/>
    <hyperlink r:id="rId171" ref="A183"/>
    <hyperlink r:id="rId172" ref="A184"/>
    <hyperlink r:id="rId173" ref="A185"/>
    <hyperlink r:id="rId174" ref="A186"/>
    <hyperlink r:id="rId175" ref="A187"/>
    <hyperlink r:id="rId176" ref="A188"/>
    <hyperlink r:id="rId177" ref="A189"/>
    <hyperlink r:id="rId178" ref="A191"/>
    <hyperlink r:id="rId179" ref="A192"/>
    <hyperlink r:id="rId180" ref="A193"/>
    <hyperlink r:id="rId181" ref="A194"/>
    <hyperlink r:id="rId182" ref="A195"/>
    <hyperlink r:id="rId183" ref="A196"/>
    <hyperlink r:id="rId184" ref="A197"/>
    <hyperlink r:id="rId185" ref="A198"/>
    <hyperlink r:id="rId186" ref="A199"/>
    <hyperlink r:id="rId187" ref="A200"/>
    <hyperlink r:id="rId188" ref="A201"/>
    <hyperlink r:id="rId189" ref="A202"/>
    <hyperlink r:id="rId190" ref="A203"/>
    <hyperlink r:id="rId191" ref="A204"/>
    <hyperlink r:id="rId192" ref="A205"/>
    <hyperlink r:id="rId193" ref="A206"/>
    <hyperlink r:id="rId194" ref="A208"/>
    <hyperlink r:id="rId195" ref="A209"/>
    <hyperlink r:id="rId196" ref="A210"/>
    <hyperlink r:id="rId197" ref="A211"/>
    <hyperlink r:id="rId198" ref="A212"/>
    <hyperlink r:id="rId199" ref="A213"/>
    <hyperlink r:id="rId200" ref="A214"/>
    <hyperlink r:id="rId201" ref="A215"/>
    <hyperlink r:id="rId202" ref="A216"/>
    <hyperlink r:id="rId203" ref="A217"/>
    <hyperlink r:id="rId204" ref="A218"/>
    <hyperlink r:id="rId205" ref="A219"/>
    <hyperlink r:id="rId206" ref="A220"/>
    <hyperlink r:id="rId207" ref="A221"/>
    <hyperlink r:id="rId208" ref="A222"/>
    <hyperlink r:id="rId209" ref="A223"/>
    <hyperlink r:id="rId210" ref="A224"/>
    <hyperlink r:id="rId211" ref="A225"/>
    <hyperlink r:id="rId212" ref="A226"/>
    <hyperlink r:id="rId213" ref="A227"/>
    <hyperlink r:id="rId214" ref="A228"/>
    <hyperlink r:id="rId215" ref="A229"/>
    <hyperlink r:id="rId216" ref="A230"/>
    <hyperlink r:id="rId217" ref="A231"/>
    <hyperlink r:id="rId218" ref="A232"/>
    <hyperlink r:id="rId219" ref="A234"/>
    <hyperlink r:id="rId220" ref="A235"/>
    <hyperlink r:id="rId221" ref="A236"/>
    <hyperlink r:id="rId222" ref="A237"/>
    <hyperlink r:id="rId223" ref="A238"/>
    <hyperlink r:id="rId224" ref="A239"/>
    <hyperlink r:id="rId225" ref="A240"/>
    <hyperlink r:id="rId226" ref="A241"/>
    <hyperlink r:id="rId227" ref="A243"/>
    <hyperlink r:id="rId228" ref="A244"/>
    <hyperlink r:id="rId229" ref="A245"/>
    <hyperlink r:id="rId230" ref="A246"/>
    <hyperlink r:id="rId231" ref="A247"/>
    <hyperlink r:id="rId232" ref="A248"/>
    <hyperlink r:id="rId233" ref="A249"/>
    <hyperlink r:id="rId234" ref="A250"/>
    <hyperlink r:id="rId235" ref="A251"/>
    <hyperlink r:id="rId236" ref="A252"/>
    <hyperlink r:id="rId237" ref="A253"/>
    <hyperlink r:id="rId238" ref="A254"/>
    <hyperlink r:id="rId239" ref="A255"/>
    <hyperlink r:id="rId240" ref="A256"/>
    <hyperlink r:id="rId241" ref="A257"/>
    <hyperlink r:id="rId242" ref="A258"/>
    <hyperlink r:id="rId243" ref="A259"/>
    <hyperlink r:id="rId244" ref="A260"/>
    <hyperlink r:id="rId245" ref="A261"/>
    <hyperlink r:id="rId246" ref="A262"/>
    <hyperlink r:id="rId247" ref="A263"/>
    <hyperlink r:id="rId248" ref="A264"/>
    <hyperlink r:id="rId249" ref="A265"/>
    <hyperlink r:id="rId250" ref="A268"/>
    <hyperlink r:id="rId251" ref="A269"/>
    <hyperlink r:id="rId252" ref="A270"/>
    <hyperlink r:id="rId253" ref="A271"/>
    <hyperlink r:id="rId254" ref="A272"/>
    <hyperlink r:id="rId255" ref="A273"/>
    <hyperlink r:id="rId256" ref="A274"/>
    <hyperlink r:id="rId257" ref="A275"/>
    <hyperlink r:id="rId258" ref="A276"/>
    <hyperlink r:id="rId259" ref="A277"/>
    <hyperlink r:id="rId260" ref="A278"/>
    <hyperlink r:id="rId261" ref="A279"/>
    <hyperlink r:id="rId262" ref="A280"/>
    <hyperlink r:id="rId263" ref="A281"/>
    <hyperlink r:id="rId264" ref="A282"/>
    <hyperlink r:id="rId265" ref="A283"/>
    <hyperlink r:id="rId266" ref="A284"/>
    <hyperlink r:id="rId267" ref="A285"/>
    <hyperlink r:id="rId268" ref="A286"/>
    <hyperlink r:id="rId269" ref="A287"/>
    <hyperlink r:id="rId270" ref="A288"/>
    <hyperlink r:id="rId271" ref="A289"/>
    <hyperlink r:id="rId272" ref="A290"/>
    <hyperlink r:id="rId273" ref="A291"/>
    <hyperlink r:id="rId274" ref="A292"/>
    <hyperlink r:id="rId275" ref="A293"/>
    <hyperlink r:id="rId276" ref="A294"/>
    <hyperlink r:id="rId277" ref="A295"/>
    <hyperlink r:id="rId278" ref="A296"/>
    <hyperlink r:id="rId279" ref="A297"/>
    <hyperlink r:id="rId280" ref="A298"/>
    <hyperlink r:id="rId281" ref="A299"/>
    <hyperlink r:id="rId282" ref="A300"/>
    <hyperlink r:id="rId283" ref="A301"/>
    <hyperlink r:id="rId284" ref="A302"/>
    <hyperlink r:id="rId285" ref="A303"/>
    <hyperlink r:id="rId286" ref="A304"/>
    <hyperlink r:id="rId287" ref="A305"/>
    <hyperlink r:id="rId288" ref="A306"/>
    <hyperlink r:id="rId289" ref="A307"/>
    <hyperlink r:id="rId290" ref="A308"/>
    <hyperlink r:id="rId291" ref="A309"/>
    <hyperlink r:id="rId292" ref="A310"/>
    <hyperlink r:id="rId293" ref="A311"/>
    <hyperlink r:id="rId294" ref="A312"/>
    <hyperlink r:id="rId295" ref="A313"/>
    <hyperlink r:id="rId296" ref="A314"/>
    <hyperlink r:id="rId297" ref="A315"/>
    <hyperlink r:id="rId298" ref="A316"/>
    <hyperlink r:id="rId299" ref="A317"/>
    <hyperlink r:id="rId300" ref="A318"/>
    <hyperlink r:id="rId301" ref="A319"/>
    <hyperlink r:id="rId302" ref="A320"/>
    <hyperlink r:id="rId303" ref="A321"/>
    <hyperlink r:id="rId304" ref="A322"/>
    <hyperlink r:id="rId305" ref="A323"/>
    <hyperlink r:id="rId306" ref="A324"/>
    <hyperlink r:id="rId307" ref="A325"/>
    <hyperlink r:id="rId308" ref="A326"/>
    <hyperlink r:id="rId309" ref="A327"/>
    <hyperlink r:id="rId310" ref="A328"/>
    <hyperlink r:id="rId311" ref="A329"/>
    <hyperlink r:id="rId312" ref="A330"/>
    <hyperlink r:id="rId313" ref="A331"/>
    <hyperlink r:id="rId314" ref="A332"/>
    <hyperlink r:id="rId315" ref="A333"/>
    <hyperlink r:id="rId316" ref="A334"/>
    <hyperlink r:id="rId317" ref="A335"/>
    <hyperlink r:id="rId318" ref="A336"/>
    <hyperlink r:id="rId319" ref="A338"/>
    <hyperlink r:id="rId320" ref="A339"/>
    <hyperlink r:id="rId321" ref="A340"/>
    <hyperlink r:id="rId322" ref="A341"/>
    <hyperlink r:id="rId323" ref="A342"/>
    <hyperlink r:id="rId324" ref="A343"/>
    <hyperlink r:id="rId325" ref="A344"/>
    <hyperlink r:id="rId326" ref="A345"/>
    <hyperlink r:id="rId327" ref="A346"/>
    <hyperlink r:id="rId328" ref="A347"/>
    <hyperlink r:id="rId329" ref="A348"/>
    <hyperlink r:id="rId330" ref="A349"/>
    <hyperlink r:id="rId331" ref="A350"/>
    <hyperlink r:id="rId332" ref="A351"/>
    <hyperlink r:id="rId333" ref="A352"/>
    <hyperlink r:id="rId334" ref="A353"/>
    <hyperlink r:id="rId335" ref="A354"/>
    <hyperlink r:id="rId336" ref="A355"/>
    <hyperlink r:id="rId337" ref="A356"/>
    <hyperlink r:id="rId338" ref="A357"/>
    <hyperlink r:id="rId339" ref="A358"/>
    <hyperlink r:id="rId340" ref="A359"/>
    <hyperlink r:id="rId341" ref="A361"/>
    <hyperlink r:id="rId342" ref="A362"/>
    <hyperlink r:id="rId343" ref="A363"/>
    <hyperlink r:id="rId344" ref="A364"/>
    <hyperlink r:id="rId345" ref="A365"/>
    <hyperlink r:id="rId346" ref="A366"/>
    <hyperlink r:id="rId347" ref="A367"/>
    <hyperlink r:id="rId348" ref="A368"/>
    <hyperlink r:id="rId349" ref="A369"/>
    <hyperlink r:id="rId350" ref="A370"/>
    <hyperlink r:id="rId351" ref="A371"/>
    <hyperlink r:id="rId352" ref="A372"/>
    <hyperlink r:id="rId353" ref="A373"/>
    <hyperlink r:id="rId354" ref="A374"/>
    <hyperlink r:id="rId355" ref="A375"/>
    <hyperlink r:id="rId356" ref="A376"/>
    <hyperlink r:id="rId357" ref="A377"/>
    <hyperlink r:id="rId358" ref="A378"/>
    <hyperlink r:id="rId359" ref="A379"/>
    <hyperlink r:id="rId360" ref="A380"/>
    <hyperlink r:id="rId361" ref="A381"/>
    <hyperlink r:id="rId362" ref="A382"/>
    <hyperlink r:id="rId363" ref="A384"/>
    <hyperlink r:id="rId364" ref="A385"/>
    <hyperlink r:id="rId365" ref="A386"/>
    <hyperlink r:id="rId366" ref="A387"/>
    <hyperlink r:id="rId367" ref="A388"/>
    <hyperlink r:id="rId368" ref="A389"/>
    <hyperlink r:id="rId369" ref="A390"/>
    <hyperlink r:id="rId370" ref="A391"/>
    <hyperlink r:id="rId371" ref="A392"/>
    <hyperlink r:id="rId372" ref="A394"/>
    <hyperlink r:id="rId373" ref="A395"/>
    <hyperlink r:id="rId374" ref="A396"/>
    <hyperlink r:id="rId375" ref="A397"/>
    <hyperlink r:id="rId376" ref="A398"/>
    <hyperlink r:id="rId377" ref="A399"/>
    <hyperlink r:id="rId378" ref="A400"/>
    <hyperlink r:id="rId379" ref="A401"/>
    <hyperlink r:id="rId380" ref="A402"/>
    <hyperlink r:id="rId381" ref="A403"/>
    <hyperlink r:id="rId382" ref="A404"/>
    <hyperlink r:id="rId383" ref="A405"/>
    <hyperlink r:id="rId384" ref="A406"/>
    <hyperlink r:id="rId385" ref="A407"/>
    <hyperlink r:id="rId386" ref="A408"/>
    <hyperlink r:id="rId387" ref="A409"/>
    <hyperlink r:id="rId388" ref="A410"/>
    <hyperlink r:id="rId389" ref="A411"/>
    <hyperlink r:id="rId390" ref="A412"/>
    <hyperlink r:id="rId391" ref="A413"/>
    <hyperlink r:id="rId392" ref="A414"/>
    <hyperlink r:id="rId393" ref="A415"/>
    <hyperlink r:id="rId394" ref="A416"/>
    <hyperlink r:id="rId395" ref="A417"/>
    <hyperlink r:id="rId396" ref="A418"/>
    <hyperlink r:id="rId397" ref="A420"/>
    <hyperlink r:id="rId398" ref="A422"/>
    <hyperlink r:id="rId399" ref="A424"/>
    <hyperlink r:id="rId400" ref="A426"/>
    <hyperlink r:id="rId401" ref="A427"/>
    <hyperlink r:id="rId402" ref="A428"/>
    <hyperlink r:id="rId403" ref="A429"/>
    <hyperlink r:id="rId404" ref="A430"/>
    <hyperlink r:id="rId405" ref="A431"/>
    <hyperlink r:id="rId406" ref="A432"/>
    <hyperlink r:id="rId407" ref="A433"/>
    <hyperlink r:id="rId408" ref="A434"/>
    <hyperlink r:id="rId409" ref="A435"/>
    <hyperlink r:id="rId410" ref="A436"/>
    <hyperlink r:id="rId411" ref="A437"/>
    <hyperlink r:id="rId412" ref="A438"/>
    <hyperlink r:id="rId413" ref="A439"/>
    <hyperlink r:id="rId414" ref="A440"/>
    <hyperlink r:id="rId415" ref="A441"/>
    <hyperlink r:id="rId416" ref="A442"/>
    <hyperlink r:id="rId417" ref="A443"/>
    <hyperlink r:id="rId418" ref="A444"/>
    <hyperlink r:id="rId419" ref="A445"/>
    <hyperlink r:id="rId420" ref="A446"/>
    <hyperlink r:id="rId421" ref="A447"/>
    <hyperlink r:id="rId422" ref="A448"/>
    <hyperlink r:id="rId423" ref="A449"/>
    <hyperlink r:id="rId424" ref="A450"/>
    <hyperlink r:id="rId425" ref="A451"/>
    <hyperlink r:id="rId426" ref="A452"/>
    <hyperlink r:id="rId427" ref="A453"/>
    <hyperlink r:id="rId428" ref="A454"/>
    <hyperlink r:id="rId429" ref="A455"/>
    <hyperlink r:id="rId430" ref="A456"/>
    <hyperlink r:id="rId431" ref="A457"/>
    <hyperlink r:id="rId432" ref="A458"/>
    <hyperlink r:id="rId433" ref="A459"/>
    <hyperlink r:id="rId434" ref="A460"/>
    <hyperlink r:id="rId435" ref="A461"/>
    <hyperlink r:id="rId436" ref="A462"/>
    <hyperlink r:id="rId437" ref="A463"/>
    <hyperlink r:id="rId438" ref="A464"/>
    <hyperlink r:id="rId439" ref="A465"/>
    <hyperlink r:id="rId440" ref="A466"/>
    <hyperlink r:id="rId441" ref="A467"/>
    <hyperlink r:id="rId442" ref="A468"/>
    <hyperlink r:id="rId443" ref="A469"/>
    <hyperlink r:id="rId444" ref="A470"/>
    <hyperlink r:id="rId445" ref="A471"/>
    <hyperlink r:id="rId446" ref="A472"/>
    <hyperlink r:id="rId447" ref="A473"/>
    <hyperlink r:id="rId448" ref="A474"/>
    <hyperlink r:id="rId449" ref="A475"/>
    <hyperlink r:id="rId450" ref="A476"/>
    <hyperlink r:id="rId451" ref="A477"/>
    <hyperlink r:id="rId452" ref="A478"/>
    <hyperlink r:id="rId453" ref="A479"/>
    <hyperlink r:id="rId454" ref="A480"/>
    <hyperlink r:id="rId455" ref="A481"/>
    <hyperlink r:id="rId456" ref="A482"/>
    <hyperlink r:id="rId457" ref="A483"/>
    <hyperlink r:id="rId458" ref="A484"/>
    <hyperlink r:id="rId459" ref="A485"/>
    <hyperlink r:id="rId460" ref="A486"/>
    <hyperlink r:id="rId461" ref="A487"/>
    <hyperlink r:id="rId462" ref="A488"/>
    <hyperlink r:id="rId463" ref="A489"/>
    <hyperlink r:id="rId464" ref="A490"/>
    <hyperlink r:id="rId465" ref="A491"/>
    <hyperlink r:id="rId466" ref="A492"/>
    <hyperlink r:id="rId467" ref="A493"/>
    <hyperlink r:id="rId468" ref="A494"/>
    <hyperlink r:id="rId469" ref="A495"/>
    <hyperlink r:id="rId470" ref="A496"/>
    <hyperlink r:id="rId471" ref="A497"/>
    <hyperlink r:id="rId472" ref="A499"/>
    <hyperlink r:id="rId473" ref="A501"/>
    <hyperlink r:id="rId474" ref="A502"/>
    <hyperlink r:id="rId475" ref="A503"/>
    <hyperlink r:id="rId476" ref="A505"/>
    <hyperlink r:id="rId477" ref="A506"/>
    <hyperlink r:id="rId478" ref="A507"/>
    <hyperlink r:id="rId479" ref="A508"/>
    <hyperlink r:id="rId480" ref="A509"/>
    <hyperlink r:id="rId481" ref="A510"/>
    <hyperlink r:id="rId482" ref="A512"/>
    <hyperlink r:id="rId483" ref="A513"/>
    <hyperlink r:id="rId484" ref="A514"/>
    <hyperlink r:id="rId485" ref="A515"/>
    <hyperlink r:id="rId486" ref="A516"/>
    <hyperlink r:id="rId487" ref="A517"/>
    <hyperlink r:id="rId488" ref="A518"/>
    <hyperlink r:id="rId489" ref="A519"/>
    <hyperlink r:id="rId490" ref="A520"/>
    <hyperlink r:id="rId491" ref="A521"/>
    <hyperlink r:id="rId492" ref="A522"/>
    <hyperlink r:id="rId493" ref="A523"/>
    <hyperlink r:id="rId494" ref="A524"/>
    <hyperlink r:id="rId495" ref="A525"/>
    <hyperlink r:id="rId496" ref="A526"/>
    <hyperlink r:id="rId497" ref="A527"/>
    <hyperlink r:id="rId498" ref="A528"/>
    <hyperlink r:id="rId499" ref="A529"/>
    <hyperlink r:id="rId500" ref="A530"/>
    <hyperlink r:id="rId501" ref="A531"/>
    <hyperlink r:id="rId502" ref="A532"/>
    <hyperlink r:id="rId503" ref="A533"/>
    <hyperlink r:id="rId504" ref="A534"/>
    <hyperlink r:id="rId505" ref="A535"/>
    <hyperlink r:id="rId506" ref="A536"/>
    <hyperlink r:id="rId507" ref="A537"/>
    <hyperlink r:id="rId508" ref="A538"/>
    <hyperlink r:id="rId509" ref="A539"/>
    <hyperlink r:id="rId510" ref="A540"/>
    <hyperlink r:id="rId511" ref="A541"/>
    <hyperlink r:id="rId512" ref="A542"/>
    <hyperlink r:id="rId513" ref="A543"/>
    <hyperlink r:id="rId514" ref="A544"/>
    <hyperlink r:id="rId515" ref="A545"/>
    <hyperlink r:id="rId516" ref="A546"/>
    <hyperlink r:id="rId517" ref="A547"/>
    <hyperlink r:id="rId518" ref="A548"/>
    <hyperlink r:id="rId519" ref="A549"/>
    <hyperlink r:id="rId520" ref="A550"/>
    <hyperlink r:id="rId521" ref="A552"/>
    <hyperlink r:id="rId522" ref="A553"/>
    <hyperlink r:id="rId523" ref="A554"/>
    <hyperlink r:id="rId524" ref="A555"/>
    <hyperlink r:id="rId525" ref="A556"/>
    <hyperlink r:id="rId526" ref="A557"/>
    <hyperlink r:id="rId527" ref="A558"/>
    <hyperlink r:id="rId528" ref="A559"/>
    <hyperlink r:id="rId529" ref="A561"/>
    <hyperlink r:id="rId530" ref="A562"/>
    <hyperlink r:id="rId531" ref="A563"/>
    <hyperlink r:id="rId532" ref="A564"/>
    <hyperlink r:id="rId533" ref="A565"/>
    <hyperlink r:id="rId534" ref="A566"/>
    <hyperlink r:id="rId535" ref="A567"/>
    <hyperlink r:id="rId536" ref="A568"/>
    <hyperlink r:id="rId537" ref="A569"/>
    <hyperlink r:id="rId538" ref="A570"/>
    <hyperlink r:id="rId539" ref="A572"/>
    <hyperlink r:id="rId540" ref="A573"/>
    <hyperlink r:id="rId541" ref="A574"/>
    <hyperlink r:id="rId542" ref="A575"/>
    <hyperlink r:id="rId543" ref="A576"/>
    <hyperlink r:id="rId544" ref="A577"/>
    <hyperlink r:id="rId545" ref="A578"/>
    <hyperlink r:id="rId546" ref="A579"/>
    <hyperlink r:id="rId547" ref="A580"/>
    <hyperlink r:id="rId548" ref="A581"/>
    <hyperlink r:id="rId549" ref="A582"/>
    <hyperlink r:id="rId550" ref="A583"/>
    <hyperlink r:id="rId551" ref="A584"/>
    <hyperlink r:id="rId552" ref="A585"/>
    <hyperlink r:id="rId553" ref="A586"/>
    <hyperlink r:id="rId554" ref="A587"/>
    <hyperlink r:id="rId555" ref="A588"/>
    <hyperlink r:id="rId556" ref="A589"/>
    <hyperlink r:id="rId557" ref="A590"/>
    <hyperlink r:id="rId558" ref="A591"/>
    <hyperlink r:id="rId559" ref="A592"/>
    <hyperlink r:id="rId560" ref="A593"/>
    <hyperlink r:id="rId561" ref="A594"/>
    <hyperlink r:id="rId562" ref="A595"/>
    <hyperlink r:id="rId563" ref="A596"/>
    <hyperlink r:id="rId564" ref="A597"/>
    <hyperlink r:id="rId565" ref="A598"/>
    <hyperlink r:id="rId566" ref="A599"/>
    <hyperlink r:id="rId567" ref="A600"/>
    <hyperlink r:id="rId568" ref="A601"/>
    <hyperlink r:id="rId569" ref="A602"/>
    <hyperlink r:id="rId570" ref="A603"/>
    <hyperlink r:id="rId571" ref="A604"/>
    <hyperlink r:id="rId572" ref="A605"/>
    <hyperlink r:id="rId573" ref="A606"/>
    <hyperlink r:id="rId574" ref="A607"/>
    <hyperlink r:id="rId575" ref="A608"/>
    <hyperlink r:id="rId576" ref="A610"/>
    <hyperlink r:id="rId577" ref="A611"/>
    <hyperlink r:id="rId578" ref="A612"/>
    <hyperlink r:id="rId579" ref="A613"/>
    <hyperlink r:id="rId580" ref="A614"/>
    <hyperlink r:id="rId581" ref="A615"/>
    <hyperlink r:id="rId582" ref="A616"/>
    <hyperlink r:id="rId583" ref="A617"/>
    <hyperlink r:id="rId584" ref="A618"/>
    <hyperlink r:id="rId585" ref="A619"/>
    <hyperlink r:id="rId586" ref="A620"/>
    <hyperlink r:id="rId587" ref="A621"/>
    <hyperlink r:id="rId588" ref="A622"/>
    <hyperlink r:id="rId589" ref="A623"/>
    <hyperlink r:id="rId590" ref="A624"/>
    <hyperlink r:id="rId591" ref="A625"/>
    <hyperlink r:id="rId592" ref="A626"/>
    <hyperlink r:id="rId593" ref="A628"/>
    <hyperlink r:id="rId594" ref="A629"/>
    <hyperlink r:id="rId595" ref="A630"/>
    <hyperlink r:id="rId596" ref="A631"/>
    <hyperlink r:id="rId597" ref="A632"/>
    <hyperlink r:id="rId598" ref="A633"/>
    <hyperlink r:id="rId599" ref="A634"/>
    <hyperlink r:id="rId600" ref="A636"/>
    <hyperlink r:id="rId601" ref="A637"/>
    <hyperlink r:id="rId602" ref="A638"/>
    <hyperlink r:id="rId603" ref="A639"/>
    <hyperlink r:id="rId604" ref="A640"/>
    <hyperlink r:id="rId605" ref="A641"/>
    <hyperlink r:id="rId606" ref="A643"/>
    <hyperlink r:id="rId607" ref="A644"/>
    <hyperlink r:id="rId608" ref="A645"/>
    <hyperlink r:id="rId609" ref="A646"/>
    <hyperlink r:id="rId610" ref="A647"/>
    <hyperlink r:id="rId611" ref="A648"/>
    <hyperlink r:id="rId612" ref="A649"/>
    <hyperlink r:id="rId613" ref="A650"/>
    <hyperlink r:id="rId614" ref="A651"/>
    <hyperlink r:id="rId615" ref="A652"/>
    <hyperlink r:id="rId616" ref="A653"/>
    <hyperlink r:id="rId617" ref="A654"/>
    <hyperlink r:id="rId618" ref="A655"/>
    <hyperlink r:id="rId619" ref="A656"/>
    <hyperlink r:id="rId620" ref="A657"/>
    <hyperlink r:id="rId621" ref="A658"/>
    <hyperlink r:id="rId622" ref="A659"/>
    <hyperlink r:id="rId623" ref="A660"/>
    <hyperlink r:id="rId624" ref="A661"/>
    <hyperlink r:id="rId625" ref="A662"/>
    <hyperlink r:id="rId626" ref="A663"/>
    <hyperlink r:id="rId627" ref="A664"/>
    <hyperlink r:id="rId628" ref="A665"/>
    <hyperlink r:id="rId629" ref="A666"/>
    <hyperlink r:id="rId630" ref="A667"/>
    <hyperlink r:id="rId631" ref="A668"/>
    <hyperlink r:id="rId632" ref="A669"/>
    <hyperlink r:id="rId633" ref="A670"/>
    <hyperlink r:id="rId634" ref="A671"/>
    <hyperlink r:id="rId635" ref="A672"/>
    <hyperlink r:id="rId636" ref="A673"/>
    <hyperlink r:id="rId637" ref="A674"/>
    <hyperlink r:id="rId638" ref="A675"/>
    <hyperlink r:id="rId639" ref="A676"/>
    <hyperlink r:id="rId640" ref="A677"/>
    <hyperlink r:id="rId641" ref="A678"/>
    <hyperlink r:id="rId642" ref="A679"/>
    <hyperlink r:id="rId643" ref="A680"/>
    <hyperlink r:id="rId644" ref="A681"/>
    <hyperlink r:id="rId645" ref="A682"/>
    <hyperlink r:id="rId646" ref="A683"/>
    <hyperlink r:id="rId647" ref="A685"/>
    <hyperlink r:id="rId648" ref="A686"/>
    <hyperlink r:id="rId649" ref="A687"/>
    <hyperlink r:id="rId650" ref="A689"/>
    <hyperlink r:id="rId651" ref="A690"/>
    <hyperlink r:id="rId652" ref="A692"/>
    <hyperlink r:id="rId653" ref="A693"/>
    <hyperlink r:id="rId654" ref="A694"/>
    <hyperlink r:id="rId655" ref="A695"/>
    <hyperlink r:id="rId656" ref="A696"/>
    <hyperlink r:id="rId657" ref="A697"/>
    <hyperlink r:id="rId658" ref="A698"/>
    <hyperlink r:id="rId659" ref="A699"/>
    <hyperlink r:id="rId660" ref="A700"/>
    <hyperlink r:id="rId661" ref="A701"/>
    <hyperlink r:id="rId662" ref="A702"/>
    <hyperlink r:id="rId663" ref="A703"/>
    <hyperlink r:id="rId664" ref="A704"/>
    <hyperlink r:id="rId665" ref="A705"/>
    <hyperlink r:id="rId666" ref="A706"/>
    <hyperlink r:id="rId667" ref="A707"/>
    <hyperlink r:id="rId668" ref="A708"/>
    <hyperlink r:id="rId669" ref="A709"/>
    <hyperlink r:id="rId670" ref="A710"/>
    <hyperlink r:id="rId671" ref="A711"/>
    <hyperlink r:id="rId672" ref="A712"/>
    <hyperlink r:id="rId673" ref="A713"/>
    <hyperlink r:id="rId674" ref="A714"/>
    <hyperlink r:id="rId675" ref="A715"/>
    <hyperlink r:id="rId676" ref="A716"/>
    <hyperlink r:id="rId677" ref="A717"/>
    <hyperlink r:id="rId678" ref="A718"/>
    <hyperlink r:id="rId679" ref="A719"/>
    <hyperlink r:id="rId680" ref="A720"/>
    <hyperlink r:id="rId681" ref="A721"/>
    <hyperlink r:id="rId682" ref="A722"/>
    <hyperlink r:id="rId683" ref="A723"/>
    <hyperlink r:id="rId684" ref="A724"/>
    <hyperlink r:id="rId685" ref="A725"/>
    <hyperlink r:id="rId686" ref="A726"/>
    <hyperlink r:id="rId687" ref="A727"/>
    <hyperlink r:id="rId688" ref="A728"/>
    <hyperlink r:id="rId689" ref="A729"/>
    <hyperlink r:id="rId690" ref="A730"/>
    <hyperlink r:id="rId691" ref="A732"/>
    <hyperlink r:id="rId692" ref="A733"/>
    <hyperlink r:id="rId693" ref="A734"/>
    <hyperlink r:id="rId694" ref="A735"/>
    <hyperlink r:id="rId695" ref="A736"/>
    <hyperlink r:id="rId696" ref="A737"/>
    <hyperlink r:id="rId697" ref="A738"/>
    <hyperlink r:id="rId698" ref="A739"/>
    <hyperlink r:id="rId699" ref="A740"/>
    <hyperlink r:id="rId700" ref="A741"/>
    <hyperlink r:id="rId701" ref="A742"/>
    <hyperlink r:id="rId702" ref="A743"/>
    <hyperlink r:id="rId703" ref="A744"/>
    <hyperlink r:id="rId704" ref="A745"/>
    <hyperlink r:id="rId705" ref="A746"/>
    <hyperlink r:id="rId706" ref="A747"/>
    <hyperlink r:id="rId707" ref="A748"/>
    <hyperlink r:id="rId708" ref="A749"/>
    <hyperlink r:id="rId709" ref="A750"/>
    <hyperlink r:id="rId710" ref="A751"/>
    <hyperlink r:id="rId711" ref="A752"/>
    <hyperlink r:id="rId712" ref="A753"/>
    <hyperlink r:id="rId713" ref="A754"/>
    <hyperlink r:id="rId714" ref="A755"/>
    <hyperlink r:id="rId715" ref="A756"/>
    <hyperlink r:id="rId716" ref="A757"/>
  </hyperlinks>
  <drawing r:id="rId7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0"/>
  <cols>
    <col customWidth="1" min="1" max="1" width="82.63"/>
    <col customWidth="1" min="2" max="2" width="62.0"/>
    <col customWidth="1" min="3" max="3" width="29.63"/>
    <col customWidth="1" min="4" max="4" width="17.75"/>
    <col customWidth="1" min="5" max="5" width="21.88"/>
    <col customWidth="1" min="6" max="6" width="12.63"/>
    <col customWidth="1" min="10" max="10" width="19.75"/>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0" t="s">
        <v>22</v>
      </c>
      <c r="B2" s="11" t="s">
        <v>26</v>
      </c>
      <c r="C2" s="4" t="s">
        <v>25</v>
      </c>
      <c r="D2" s="12" t="s">
        <v>29</v>
      </c>
      <c r="E2" s="13" t="s">
        <v>30</v>
      </c>
      <c r="F2" s="5" t="s">
        <v>31</v>
      </c>
      <c r="G2" s="5" t="b">
        <v>0</v>
      </c>
      <c r="H2" s="5" t="s">
        <v>32</v>
      </c>
      <c r="I2" s="5">
        <v>168.0</v>
      </c>
      <c r="J2" s="5">
        <v>0.16</v>
      </c>
      <c r="K2" s="5">
        <v>1.56</v>
      </c>
    </row>
    <row r="3" ht="15.75" customHeight="1">
      <c r="A3" s="4" t="s">
        <v>34</v>
      </c>
      <c r="B3" s="11" t="s">
        <v>36</v>
      </c>
      <c r="C3" s="4" t="s">
        <v>37</v>
      </c>
      <c r="D3" s="12" t="s">
        <v>29</v>
      </c>
      <c r="E3" s="13" t="s">
        <v>30</v>
      </c>
      <c r="F3" s="5" t="s">
        <v>31</v>
      </c>
      <c r="G3" s="5" t="b">
        <v>0</v>
      </c>
      <c r="H3" s="5" t="s">
        <v>43</v>
      </c>
      <c r="I3" s="5">
        <v>91.0</v>
      </c>
      <c r="J3" s="5">
        <v>0.09</v>
      </c>
      <c r="K3" s="5">
        <v>1.77</v>
      </c>
    </row>
    <row r="4" ht="15.75" customHeight="1">
      <c r="A4" s="4" t="s">
        <v>46</v>
      </c>
      <c r="B4" s="11" t="s">
        <v>49</v>
      </c>
      <c r="C4" s="4" t="s">
        <v>35</v>
      </c>
      <c r="D4" s="12" t="s">
        <v>52</v>
      </c>
      <c r="E4" s="13" t="s">
        <v>53</v>
      </c>
      <c r="F4" s="5" t="s">
        <v>54</v>
      </c>
      <c r="G4" s="5" t="b">
        <v>0</v>
      </c>
      <c r="H4" s="5" t="s">
        <v>55</v>
      </c>
      <c r="I4" s="5">
        <v>80.0</v>
      </c>
      <c r="J4" s="5">
        <v>0.08</v>
      </c>
      <c r="K4" s="5">
        <v>0.18</v>
      </c>
    </row>
    <row r="5" ht="15.75" customHeight="1">
      <c r="A5" s="4" t="s">
        <v>57</v>
      </c>
      <c r="B5" s="11" t="s">
        <v>59</v>
      </c>
      <c r="C5" s="4" t="s">
        <v>21</v>
      </c>
      <c r="D5" s="12" t="s">
        <v>29</v>
      </c>
      <c r="E5" s="13" t="s">
        <v>30</v>
      </c>
      <c r="F5" s="5" t="s">
        <v>31</v>
      </c>
      <c r="G5" s="5" t="b">
        <v>0</v>
      </c>
      <c r="H5" s="5" t="s">
        <v>62</v>
      </c>
      <c r="I5" s="5">
        <v>77.0</v>
      </c>
      <c r="J5" s="5">
        <v>0.08</v>
      </c>
      <c r="K5" s="5">
        <v>1.42</v>
      </c>
    </row>
    <row r="6" ht="15.75" customHeight="1">
      <c r="A6" s="4" t="s">
        <v>65</v>
      </c>
      <c r="B6" s="11" t="s">
        <v>66</v>
      </c>
      <c r="C6" s="5" t="s">
        <v>39</v>
      </c>
      <c r="D6" s="12" t="s">
        <v>29</v>
      </c>
      <c r="E6" s="13" t="s">
        <v>30</v>
      </c>
      <c r="F6" s="5" t="s">
        <v>31</v>
      </c>
      <c r="G6" s="5" t="b">
        <v>0</v>
      </c>
      <c r="H6" s="5" t="s">
        <v>68</v>
      </c>
      <c r="I6" s="5">
        <v>73.0</v>
      </c>
      <c r="J6" s="5">
        <v>0.07</v>
      </c>
      <c r="K6" s="5">
        <v>0.84</v>
      </c>
    </row>
    <row r="7" ht="15.75" customHeight="1">
      <c r="A7" s="4" t="s">
        <v>69</v>
      </c>
      <c r="B7" s="11" t="s">
        <v>71</v>
      </c>
      <c r="C7" s="4" t="s">
        <v>18</v>
      </c>
      <c r="D7" s="12" t="s">
        <v>52</v>
      </c>
      <c r="E7" s="13" t="s">
        <v>53</v>
      </c>
      <c r="F7" s="5" t="s">
        <v>54</v>
      </c>
      <c r="G7" s="5" t="b">
        <v>0</v>
      </c>
      <c r="H7" s="5" t="s">
        <v>75</v>
      </c>
      <c r="I7" s="5">
        <v>69.0</v>
      </c>
      <c r="J7" s="5">
        <v>0.07</v>
      </c>
      <c r="K7" s="5">
        <v>0.25</v>
      </c>
    </row>
    <row r="8" ht="15.75" customHeight="1">
      <c r="A8" s="4" t="s">
        <v>76</v>
      </c>
      <c r="B8" s="11" t="s">
        <v>80</v>
      </c>
      <c r="C8" s="4" t="s">
        <v>44</v>
      </c>
      <c r="D8" s="12" t="s">
        <v>84</v>
      </c>
      <c r="E8" s="13" t="s">
        <v>30</v>
      </c>
      <c r="F8" s="5" t="s">
        <v>85</v>
      </c>
      <c r="G8" s="5" t="b">
        <v>0</v>
      </c>
      <c r="H8" s="5" t="s">
        <v>86</v>
      </c>
      <c r="I8" s="5">
        <v>67.0</v>
      </c>
      <c r="J8" s="5">
        <v>0.07</v>
      </c>
      <c r="K8" s="5">
        <v>0.91</v>
      </c>
    </row>
    <row r="9" ht="15.75" customHeight="1">
      <c r="A9" s="4" t="s">
        <v>87</v>
      </c>
      <c r="B9" s="11" t="s">
        <v>90</v>
      </c>
      <c r="C9" s="4" t="s">
        <v>28</v>
      </c>
      <c r="D9" s="12" t="s">
        <v>52</v>
      </c>
      <c r="E9" s="13" t="s">
        <v>93</v>
      </c>
      <c r="F9" s="5" t="s">
        <v>54</v>
      </c>
      <c r="G9" s="5" t="b">
        <v>0</v>
      </c>
      <c r="H9" s="5" t="s">
        <v>95</v>
      </c>
      <c r="I9" s="5">
        <v>63.0</v>
      </c>
      <c r="J9" s="5">
        <v>0.06</v>
      </c>
      <c r="K9" s="5">
        <v>0.38</v>
      </c>
    </row>
    <row r="10" ht="15.75" customHeight="1">
      <c r="A10" s="4" t="s">
        <v>96</v>
      </c>
      <c r="B10" s="11" t="s">
        <v>99</v>
      </c>
      <c r="C10" s="5" t="s">
        <v>100</v>
      </c>
      <c r="D10" s="12" t="s">
        <v>29</v>
      </c>
      <c r="E10" s="13" t="s">
        <v>84</v>
      </c>
      <c r="F10" s="5" t="s">
        <v>31</v>
      </c>
      <c r="G10" s="5" t="b">
        <v>0</v>
      </c>
      <c r="H10" s="5" t="s">
        <v>101</v>
      </c>
      <c r="I10" s="5">
        <v>62.0</v>
      </c>
      <c r="J10" s="5">
        <v>0.06</v>
      </c>
      <c r="K10" s="5">
        <v>1.37</v>
      </c>
    </row>
    <row r="11" ht="15.75" customHeight="1">
      <c r="A11" s="4" t="s">
        <v>103</v>
      </c>
      <c r="B11" s="11" t="s">
        <v>105</v>
      </c>
      <c r="C11" s="4" t="s">
        <v>18</v>
      </c>
      <c r="D11" s="12" t="s">
        <v>52</v>
      </c>
      <c r="E11" s="13" t="s">
        <v>53</v>
      </c>
      <c r="F11" s="5" t="s">
        <v>54</v>
      </c>
      <c r="G11" s="5" t="b">
        <v>0</v>
      </c>
      <c r="H11" s="5" t="s">
        <v>107</v>
      </c>
      <c r="I11" s="5">
        <v>57.0</v>
      </c>
      <c r="J11" s="5">
        <v>0.06</v>
      </c>
      <c r="K11" s="5">
        <v>1.04</v>
      </c>
    </row>
    <row r="12" ht="15.75" customHeight="1">
      <c r="A12" s="4" t="s">
        <v>109</v>
      </c>
      <c r="B12" s="11" t="s">
        <v>111</v>
      </c>
      <c r="C12" s="5" t="s">
        <v>41</v>
      </c>
      <c r="D12" s="12" t="s">
        <v>29</v>
      </c>
      <c r="E12" s="13" t="s">
        <v>30</v>
      </c>
      <c r="F12" s="5" t="s">
        <v>31</v>
      </c>
      <c r="G12" s="5" t="b">
        <v>0</v>
      </c>
      <c r="H12" s="5" t="s">
        <v>113</v>
      </c>
      <c r="I12" s="5">
        <v>55.0</v>
      </c>
      <c r="J12" s="5">
        <v>0.05</v>
      </c>
      <c r="K12" s="5">
        <v>1.18</v>
      </c>
    </row>
    <row r="13" ht="15.75" customHeight="1">
      <c r="A13" s="4" t="s">
        <v>115</v>
      </c>
      <c r="B13" s="11" t="s">
        <v>117</v>
      </c>
      <c r="C13" s="4" t="s">
        <v>118</v>
      </c>
      <c r="D13" s="12" t="s">
        <v>29</v>
      </c>
      <c r="E13" s="13" t="s">
        <v>53</v>
      </c>
      <c r="F13" s="5" t="s">
        <v>31</v>
      </c>
      <c r="G13" s="5" t="b">
        <v>0</v>
      </c>
      <c r="H13" s="5" t="s">
        <v>120</v>
      </c>
      <c r="I13" s="5">
        <v>54.0</v>
      </c>
      <c r="J13" s="5">
        <v>0.05</v>
      </c>
      <c r="K13" s="5">
        <v>0.7</v>
      </c>
    </row>
    <row r="14" ht="15.75" customHeight="1">
      <c r="A14" s="4" t="s">
        <v>122</v>
      </c>
      <c r="B14" s="11" t="s">
        <v>124</v>
      </c>
      <c r="C14" s="4" t="s">
        <v>44</v>
      </c>
      <c r="D14" s="12" t="s">
        <v>126</v>
      </c>
      <c r="E14" s="13" t="s">
        <v>30</v>
      </c>
      <c r="F14" s="5" t="s">
        <v>127</v>
      </c>
      <c r="G14" s="5" t="b">
        <v>0</v>
      </c>
      <c r="H14" s="5" t="s">
        <v>128</v>
      </c>
      <c r="I14" s="5">
        <v>53.0</v>
      </c>
      <c r="J14" s="5">
        <v>0.05</v>
      </c>
      <c r="K14" s="5">
        <v>1.94</v>
      </c>
    </row>
    <row r="15" ht="15.75" customHeight="1">
      <c r="A15" s="4" t="s">
        <v>130</v>
      </c>
      <c r="B15" s="11" t="s">
        <v>132</v>
      </c>
      <c r="C15" s="4" t="s">
        <v>47</v>
      </c>
      <c r="D15" s="12" t="s">
        <v>29</v>
      </c>
      <c r="E15" s="13" t="s">
        <v>30</v>
      </c>
      <c r="F15" s="5" t="s">
        <v>31</v>
      </c>
      <c r="G15" s="5" t="b">
        <v>0</v>
      </c>
      <c r="H15" s="5" t="s">
        <v>135</v>
      </c>
      <c r="I15" s="5">
        <v>48.0</v>
      </c>
      <c r="J15" s="5">
        <v>0.05</v>
      </c>
      <c r="K15" s="5">
        <v>0.67</v>
      </c>
    </row>
    <row r="16" ht="15.75" customHeight="1">
      <c r="A16" s="4" t="s">
        <v>137</v>
      </c>
      <c r="B16" s="11" t="s">
        <v>139</v>
      </c>
      <c r="C16" s="4" t="s">
        <v>108</v>
      </c>
      <c r="D16" s="12" t="s">
        <v>29</v>
      </c>
      <c r="E16" s="13" t="s">
        <v>53</v>
      </c>
      <c r="F16" s="5" t="s">
        <v>31</v>
      </c>
      <c r="G16" s="5" t="b">
        <v>0</v>
      </c>
      <c r="H16" s="5" t="s">
        <v>142</v>
      </c>
      <c r="I16" s="5">
        <v>47.0</v>
      </c>
      <c r="J16" s="5">
        <v>0.05</v>
      </c>
      <c r="K16" s="5">
        <v>1.45</v>
      </c>
    </row>
    <row r="17" ht="15.75" customHeight="1">
      <c r="A17" s="4" t="s">
        <v>144</v>
      </c>
      <c r="B17" s="11" t="s">
        <v>147</v>
      </c>
      <c r="C17" s="4" t="s">
        <v>21</v>
      </c>
      <c r="D17" s="12" t="s">
        <v>29</v>
      </c>
      <c r="E17" s="13" t="s">
        <v>30</v>
      </c>
      <c r="F17" s="5" t="s">
        <v>31</v>
      </c>
      <c r="G17" s="5" t="b">
        <v>0</v>
      </c>
      <c r="H17" s="5" t="s">
        <v>149</v>
      </c>
      <c r="I17" s="5">
        <v>45.0</v>
      </c>
      <c r="J17" s="5">
        <v>0.04</v>
      </c>
      <c r="K17" s="5">
        <v>1.24</v>
      </c>
    </row>
    <row r="18" ht="15.75" customHeight="1">
      <c r="A18" s="4" t="s">
        <v>150</v>
      </c>
      <c r="B18" s="11" t="s">
        <v>152</v>
      </c>
      <c r="C18" s="4" t="s">
        <v>129</v>
      </c>
      <c r="D18" s="12" t="s">
        <v>29</v>
      </c>
      <c r="E18" s="13" t="s">
        <v>30</v>
      </c>
      <c r="F18" s="5" t="s">
        <v>31</v>
      </c>
      <c r="G18" s="5" t="b">
        <v>0</v>
      </c>
      <c r="H18" s="5" t="s">
        <v>155</v>
      </c>
      <c r="I18" s="5">
        <v>43.0</v>
      </c>
      <c r="J18" s="5">
        <v>0.04</v>
      </c>
      <c r="K18" s="5">
        <v>1.53</v>
      </c>
    </row>
    <row r="19" ht="15.75" customHeight="1">
      <c r="A19" s="4" t="s">
        <v>156</v>
      </c>
      <c r="B19" s="11" t="s">
        <v>160</v>
      </c>
      <c r="C19" s="4" t="s">
        <v>10</v>
      </c>
      <c r="D19" s="12" t="s">
        <v>52</v>
      </c>
      <c r="E19" s="13" t="s">
        <v>93</v>
      </c>
      <c r="F19" s="5" t="s">
        <v>54</v>
      </c>
      <c r="G19" s="5" t="b">
        <v>0</v>
      </c>
      <c r="I19" s="5">
        <v>43.0</v>
      </c>
      <c r="J19" s="5">
        <v>0.04</v>
      </c>
      <c r="K19" s="5">
        <v>0.51</v>
      </c>
    </row>
    <row r="20" ht="15.75" customHeight="1">
      <c r="A20" s="4" t="s">
        <v>163</v>
      </c>
      <c r="B20" s="11" t="s">
        <v>166</v>
      </c>
      <c r="C20" s="4" t="s">
        <v>154</v>
      </c>
      <c r="D20" s="12" t="s">
        <v>84</v>
      </c>
      <c r="E20" s="13" t="s">
        <v>84</v>
      </c>
      <c r="F20" s="5" t="s">
        <v>85</v>
      </c>
      <c r="G20" s="5" t="b">
        <v>0</v>
      </c>
      <c r="H20" s="5" t="s">
        <v>169</v>
      </c>
      <c r="I20" s="5">
        <v>42.0</v>
      </c>
      <c r="J20" s="5">
        <v>0.04</v>
      </c>
      <c r="K20" s="5">
        <v>0.76</v>
      </c>
    </row>
    <row r="21" ht="15.75" customHeight="1">
      <c r="A21" s="4" t="s">
        <v>170</v>
      </c>
      <c r="B21" s="11" t="s">
        <v>173</v>
      </c>
      <c r="C21" s="4" t="s">
        <v>83</v>
      </c>
      <c r="D21" s="12" t="s">
        <v>29</v>
      </c>
      <c r="E21" s="13" t="s">
        <v>53</v>
      </c>
      <c r="F21" s="5" t="s">
        <v>31</v>
      </c>
      <c r="G21" s="5" t="b">
        <v>0</v>
      </c>
      <c r="H21" s="5" t="s">
        <v>176</v>
      </c>
      <c r="I21" s="5">
        <v>42.0</v>
      </c>
      <c r="J21" s="5">
        <v>0.04</v>
      </c>
      <c r="K21" s="5">
        <v>1.43</v>
      </c>
    </row>
    <row r="22" ht="15.75" customHeight="1">
      <c r="A22" s="4" t="s">
        <v>177</v>
      </c>
      <c r="B22" s="11" t="s">
        <v>180</v>
      </c>
      <c r="C22" s="4" t="s">
        <v>47</v>
      </c>
      <c r="D22" s="12" t="s">
        <v>29</v>
      </c>
      <c r="E22" s="13" t="s">
        <v>30</v>
      </c>
      <c r="F22" s="5" t="s">
        <v>31</v>
      </c>
      <c r="G22" s="5" t="b">
        <v>0</v>
      </c>
      <c r="H22" s="5" t="s">
        <v>182</v>
      </c>
      <c r="I22" s="5">
        <v>41.0</v>
      </c>
      <c r="J22" s="5">
        <v>0.04</v>
      </c>
      <c r="K22" s="5">
        <v>1.05</v>
      </c>
    </row>
    <row r="23" ht="15.75" customHeight="1">
      <c r="A23" s="4" t="s">
        <v>184</v>
      </c>
      <c r="B23" s="11" t="s">
        <v>186</v>
      </c>
      <c r="C23" s="4" t="s">
        <v>35</v>
      </c>
      <c r="D23" s="12" t="s">
        <v>52</v>
      </c>
      <c r="E23" s="13" t="s">
        <v>53</v>
      </c>
      <c r="F23" s="5" t="s">
        <v>54</v>
      </c>
      <c r="G23" s="5" t="b">
        <v>0</v>
      </c>
      <c r="H23" s="5" t="s">
        <v>188</v>
      </c>
      <c r="I23" s="5">
        <v>40.0</v>
      </c>
      <c r="J23" s="5">
        <v>0.04</v>
      </c>
      <c r="K23" s="5">
        <v>0.53</v>
      </c>
    </row>
    <row r="24" ht="15.75" customHeight="1">
      <c r="A24" s="4" t="s">
        <v>190</v>
      </c>
      <c r="B24" s="11" t="s">
        <v>192</v>
      </c>
      <c r="C24" s="5" t="s">
        <v>39</v>
      </c>
      <c r="D24" s="12" t="s">
        <v>29</v>
      </c>
      <c r="E24" s="13" t="s">
        <v>30</v>
      </c>
      <c r="F24" s="5" t="s">
        <v>31</v>
      </c>
      <c r="G24" s="5" t="b">
        <v>1</v>
      </c>
      <c r="H24" s="5" t="s">
        <v>194</v>
      </c>
      <c r="I24" s="5">
        <v>40.0</v>
      </c>
      <c r="J24" s="5">
        <v>0.04</v>
      </c>
      <c r="K24" s="5">
        <v>1.1</v>
      </c>
    </row>
    <row r="25" ht="15.75" customHeight="1">
      <c r="A25" s="4" t="s">
        <v>196</v>
      </c>
      <c r="B25" s="11" t="s">
        <v>198</v>
      </c>
      <c r="C25" s="4" t="s">
        <v>161</v>
      </c>
      <c r="D25" s="12" t="s">
        <v>29</v>
      </c>
      <c r="E25" s="13" t="s">
        <v>53</v>
      </c>
      <c r="F25" s="5" t="s">
        <v>31</v>
      </c>
      <c r="G25" s="5" t="b">
        <v>0</v>
      </c>
      <c r="H25" s="5" t="s">
        <v>200</v>
      </c>
      <c r="I25" s="5">
        <v>40.0</v>
      </c>
      <c r="J25" s="5">
        <v>0.04</v>
      </c>
      <c r="K25" s="5">
        <v>0.8</v>
      </c>
    </row>
    <row r="26" ht="15.75" customHeight="1">
      <c r="A26" s="4" t="s">
        <v>202</v>
      </c>
      <c r="B26" s="11" t="s">
        <v>205</v>
      </c>
      <c r="C26" s="4" t="s">
        <v>175</v>
      </c>
      <c r="D26" s="12" t="s">
        <v>29</v>
      </c>
      <c r="E26" s="13" t="s">
        <v>30</v>
      </c>
      <c r="F26" s="5" t="s">
        <v>31</v>
      </c>
      <c r="G26" s="5" t="b">
        <v>0</v>
      </c>
      <c r="H26" s="5" t="s">
        <v>208</v>
      </c>
      <c r="I26" s="5">
        <v>39.0</v>
      </c>
      <c r="J26" s="5">
        <v>0.04</v>
      </c>
      <c r="K26" s="5">
        <v>1.77</v>
      </c>
    </row>
    <row r="27" ht="15.75" customHeight="1">
      <c r="A27" s="4" t="s">
        <v>209</v>
      </c>
      <c r="B27" s="11" t="s">
        <v>212</v>
      </c>
      <c r="C27" s="4" t="s">
        <v>168</v>
      </c>
      <c r="D27" s="12" t="s">
        <v>126</v>
      </c>
      <c r="E27" s="13" t="s">
        <v>53</v>
      </c>
      <c r="F27" s="5" t="s">
        <v>127</v>
      </c>
      <c r="G27" s="5" t="b">
        <v>0</v>
      </c>
      <c r="H27" s="5" t="s">
        <v>214</v>
      </c>
      <c r="I27" s="5">
        <v>39.0</v>
      </c>
      <c r="J27" s="5">
        <v>0.04</v>
      </c>
      <c r="K27" s="5">
        <v>0.9</v>
      </c>
    </row>
    <row r="28" ht="15.75" customHeight="1">
      <c r="A28" s="4" t="s">
        <v>216</v>
      </c>
      <c r="B28" s="11" t="s">
        <v>218</v>
      </c>
      <c r="C28" s="4" t="s">
        <v>104</v>
      </c>
      <c r="D28" s="12" t="s">
        <v>29</v>
      </c>
      <c r="E28" s="13" t="s">
        <v>30</v>
      </c>
      <c r="F28" s="5" t="s">
        <v>31</v>
      </c>
      <c r="G28" s="5" t="b">
        <v>0</v>
      </c>
      <c r="H28" s="5" t="s">
        <v>221</v>
      </c>
      <c r="I28" s="5">
        <v>39.0</v>
      </c>
      <c r="J28" s="5">
        <v>0.04</v>
      </c>
      <c r="K28" s="5">
        <v>2.36</v>
      </c>
    </row>
    <row r="29" ht="15.75" customHeight="1">
      <c r="A29" s="4" t="s">
        <v>222</v>
      </c>
      <c r="B29" s="11" t="s">
        <v>225</v>
      </c>
      <c r="C29" s="4" t="s">
        <v>183</v>
      </c>
      <c r="D29" s="12" t="s">
        <v>29</v>
      </c>
      <c r="E29" s="13" t="s">
        <v>53</v>
      </c>
      <c r="F29" s="5" t="s">
        <v>31</v>
      </c>
      <c r="G29" s="5" t="b">
        <v>0</v>
      </c>
      <c r="H29" s="5" t="s">
        <v>227</v>
      </c>
      <c r="I29" s="5">
        <v>38.0</v>
      </c>
      <c r="J29" s="5">
        <v>0.04</v>
      </c>
      <c r="K29" s="5">
        <v>1.61</v>
      </c>
    </row>
    <row r="30" ht="15.75" customHeight="1">
      <c r="A30" s="4" t="s">
        <v>229</v>
      </c>
      <c r="B30" s="11" t="s">
        <v>231</v>
      </c>
      <c r="C30" s="5" t="s">
        <v>41</v>
      </c>
      <c r="D30" s="12" t="s">
        <v>84</v>
      </c>
      <c r="E30" s="13" t="s">
        <v>30</v>
      </c>
      <c r="F30" s="5" t="s">
        <v>85</v>
      </c>
      <c r="H30" s="5" t="s">
        <v>233</v>
      </c>
      <c r="I30" s="5">
        <v>38.0</v>
      </c>
      <c r="J30" s="5">
        <v>0.04</v>
      </c>
      <c r="K30" s="5">
        <v>2.71</v>
      </c>
    </row>
    <row r="31" ht="15.75" customHeight="1">
      <c r="A31" s="4" t="s">
        <v>235</v>
      </c>
      <c r="B31" s="11" t="s">
        <v>237</v>
      </c>
      <c r="C31" s="4" t="s">
        <v>10</v>
      </c>
      <c r="D31" s="12" t="s">
        <v>52</v>
      </c>
      <c r="E31" s="13" t="s">
        <v>93</v>
      </c>
      <c r="F31" s="5" t="s">
        <v>54</v>
      </c>
      <c r="G31" s="5" t="b">
        <v>0</v>
      </c>
      <c r="H31" s="5" t="s">
        <v>240</v>
      </c>
      <c r="I31" s="5">
        <v>38.0</v>
      </c>
      <c r="J31" s="5">
        <v>0.04</v>
      </c>
      <c r="K31" s="5">
        <v>0.66</v>
      </c>
    </row>
    <row r="32" ht="15.75" customHeight="1">
      <c r="A32" s="4" t="s">
        <v>241</v>
      </c>
      <c r="B32" s="11" t="s">
        <v>244</v>
      </c>
      <c r="C32" s="4" t="s">
        <v>10</v>
      </c>
      <c r="D32" s="12" t="s">
        <v>52</v>
      </c>
      <c r="E32" s="13" t="s">
        <v>93</v>
      </c>
      <c r="F32" s="5" t="s">
        <v>54</v>
      </c>
      <c r="G32" s="5" t="b">
        <v>0</v>
      </c>
      <c r="H32" s="5" t="s">
        <v>245</v>
      </c>
      <c r="I32" s="5">
        <v>38.0</v>
      </c>
      <c r="J32" s="5">
        <v>0.04</v>
      </c>
      <c r="K32" s="5">
        <v>0.61</v>
      </c>
    </row>
    <row r="33" ht="15.75" customHeight="1">
      <c r="A33" s="4" t="s">
        <v>246</v>
      </c>
      <c r="B33" s="11" t="s">
        <v>249</v>
      </c>
      <c r="C33" s="5" t="s">
        <v>77</v>
      </c>
      <c r="D33" s="12" t="s">
        <v>29</v>
      </c>
      <c r="E33" s="13" t="s">
        <v>30</v>
      </c>
      <c r="F33" s="5" t="s">
        <v>31</v>
      </c>
      <c r="G33" s="5" t="b">
        <v>0</v>
      </c>
      <c r="H33" s="5" t="s">
        <v>250</v>
      </c>
      <c r="I33" s="5">
        <v>37.0</v>
      </c>
      <c r="J33" s="5">
        <v>0.04</v>
      </c>
      <c r="K33" s="5">
        <v>1.57</v>
      </c>
    </row>
    <row r="34" ht="15.75" customHeight="1">
      <c r="A34" s="4" t="s">
        <v>251</v>
      </c>
      <c r="B34" s="11" t="s">
        <v>253</v>
      </c>
      <c r="C34" s="4" t="s">
        <v>146</v>
      </c>
      <c r="D34" s="12" t="s">
        <v>29</v>
      </c>
      <c r="E34" s="13" t="s">
        <v>53</v>
      </c>
      <c r="F34" s="5" t="s">
        <v>31</v>
      </c>
      <c r="G34" s="5" t="b">
        <v>0</v>
      </c>
      <c r="H34" s="5" t="s">
        <v>255</v>
      </c>
      <c r="I34" s="5">
        <v>36.0</v>
      </c>
      <c r="J34" s="5">
        <v>0.04</v>
      </c>
      <c r="K34" s="5">
        <v>0.42</v>
      </c>
    </row>
    <row r="35" ht="15.75" customHeight="1">
      <c r="A35" s="4" t="s">
        <v>257</v>
      </c>
      <c r="B35" s="11" t="s">
        <v>259</v>
      </c>
      <c r="C35" s="4" t="s">
        <v>56</v>
      </c>
      <c r="D35" s="12" t="s">
        <v>261</v>
      </c>
      <c r="E35" s="13" t="s">
        <v>30</v>
      </c>
      <c r="F35" s="5" t="s">
        <v>263</v>
      </c>
      <c r="G35" s="5" t="b">
        <v>0</v>
      </c>
      <c r="H35" s="5" t="s">
        <v>264</v>
      </c>
      <c r="I35" s="5">
        <v>36.0</v>
      </c>
      <c r="J35" s="5">
        <v>0.04</v>
      </c>
      <c r="K35" s="5">
        <v>0.69</v>
      </c>
    </row>
    <row r="36" ht="15.75" customHeight="1">
      <c r="A36" s="4" t="s">
        <v>265</v>
      </c>
      <c r="B36" s="11" t="s">
        <v>268</v>
      </c>
      <c r="C36" s="4" t="s">
        <v>60</v>
      </c>
      <c r="D36" s="12" t="s">
        <v>29</v>
      </c>
      <c r="E36" s="13" t="s">
        <v>30</v>
      </c>
      <c r="F36" s="5" t="s">
        <v>31</v>
      </c>
      <c r="G36" s="5" t="b">
        <v>0</v>
      </c>
      <c r="H36" s="5" t="s">
        <v>270</v>
      </c>
      <c r="I36" s="5">
        <v>36.0</v>
      </c>
      <c r="J36" s="5">
        <v>0.04</v>
      </c>
      <c r="K36" s="5">
        <v>2.39</v>
      </c>
    </row>
    <row r="37" ht="15.75" customHeight="1">
      <c r="A37" s="4" t="s">
        <v>271</v>
      </c>
      <c r="B37" s="11" t="s">
        <v>273</v>
      </c>
      <c r="C37" s="4" t="s">
        <v>199</v>
      </c>
      <c r="D37" s="12" t="s">
        <v>29</v>
      </c>
      <c r="E37" s="13" t="s">
        <v>30</v>
      </c>
      <c r="F37" s="5" t="s">
        <v>31</v>
      </c>
      <c r="G37" s="5" t="b">
        <v>0</v>
      </c>
      <c r="H37" s="5" t="s">
        <v>276</v>
      </c>
      <c r="I37" s="5">
        <v>35.0</v>
      </c>
      <c r="J37" s="5">
        <v>0.03</v>
      </c>
      <c r="K37" s="5">
        <v>1.83</v>
      </c>
    </row>
    <row r="38" ht="15.75" customHeight="1">
      <c r="A38" s="4" t="s">
        <v>277</v>
      </c>
      <c r="B38" s="11" t="s">
        <v>280</v>
      </c>
      <c r="C38" s="4" t="s">
        <v>206</v>
      </c>
      <c r="D38" s="12" t="s">
        <v>84</v>
      </c>
      <c r="E38" s="13" t="s">
        <v>53</v>
      </c>
      <c r="F38" s="5" t="s">
        <v>85</v>
      </c>
      <c r="G38" s="5" t="b">
        <v>0</v>
      </c>
      <c r="H38" s="5" t="s">
        <v>284</v>
      </c>
      <c r="I38" s="5">
        <v>34.0</v>
      </c>
      <c r="J38" s="5">
        <v>0.03</v>
      </c>
      <c r="K38" s="5">
        <v>1.03</v>
      </c>
    </row>
    <row r="39" ht="15.75" customHeight="1">
      <c r="A39" s="4" t="s">
        <v>286</v>
      </c>
      <c r="B39" s="11" t="s">
        <v>288</v>
      </c>
      <c r="C39" s="4" t="s">
        <v>203</v>
      </c>
      <c r="D39" s="12" t="s">
        <v>29</v>
      </c>
      <c r="E39" s="13" t="s">
        <v>84</v>
      </c>
      <c r="F39" s="5" t="s">
        <v>31</v>
      </c>
      <c r="G39" s="5" t="b">
        <v>0</v>
      </c>
      <c r="H39" s="5" t="s">
        <v>290</v>
      </c>
      <c r="I39" s="5">
        <v>34.0</v>
      </c>
      <c r="J39" s="5">
        <v>0.03</v>
      </c>
      <c r="K39" s="5">
        <v>0.82</v>
      </c>
    </row>
    <row r="40" ht="15.75" customHeight="1">
      <c r="A40" s="4" t="s">
        <v>292</v>
      </c>
      <c r="B40" s="11" t="s">
        <v>295</v>
      </c>
      <c r="C40" s="4" t="s">
        <v>172</v>
      </c>
      <c r="D40" s="12" t="s">
        <v>297</v>
      </c>
      <c r="E40" s="13" t="s">
        <v>53</v>
      </c>
      <c r="F40" s="5" t="s">
        <v>298</v>
      </c>
      <c r="G40" s="5" t="b">
        <v>0</v>
      </c>
      <c r="H40" s="5" t="s">
        <v>299</v>
      </c>
      <c r="I40" s="5">
        <v>34.0</v>
      </c>
      <c r="J40" s="5">
        <v>0.03</v>
      </c>
      <c r="K40" s="5">
        <v>0.38</v>
      </c>
    </row>
    <row r="41" ht="15.75" customHeight="1">
      <c r="A41" s="4" t="s">
        <v>301</v>
      </c>
      <c r="B41" s="11" t="s">
        <v>303</v>
      </c>
      <c r="C41" s="4" t="s">
        <v>56</v>
      </c>
      <c r="D41" s="12" t="s">
        <v>29</v>
      </c>
      <c r="E41" s="13" t="s">
        <v>30</v>
      </c>
      <c r="F41" s="5" t="s">
        <v>31</v>
      </c>
      <c r="G41" s="5" t="b">
        <v>0</v>
      </c>
      <c r="H41" s="5" t="s">
        <v>306</v>
      </c>
      <c r="I41" s="5">
        <v>34.0</v>
      </c>
      <c r="J41" s="5">
        <v>0.03</v>
      </c>
      <c r="K41" s="5">
        <v>1.09</v>
      </c>
    </row>
    <row r="42" ht="15.75" customHeight="1">
      <c r="A42" s="4" t="s">
        <v>307</v>
      </c>
      <c r="B42" s="11" t="s">
        <v>310</v>
      </c>
      <c r="C42" s="4" t="s">
        <v>158</v>
      </c>
      <c r="D42" s="12" t="s">
        <v>84</v>
      </c>
      <c r="E42" s="13" t="s">
        <v>30</v>
      </c>
      <c r="F42" s="5" t="s">
        <v>85</v>
      </c>
      <c r="G42" s="5" t="b">
        <v>0</v>
      </c>
      <c r="H42" s="5" t="s">
        <v>159</v>
      </c>
      <c r="I42" s="5">
        <v>33.0</v>
      </c>
      <c r="J42" s="5">
        <v>0.03</v>
      </c>
      <c r="K42" s="5">
        <v>1.3</v>
      </c>
    </row>
    <row r="43" ht="15.75" customHeight="1">
      <c r="A43" s="4" t="s">
        <v>313</v>
      </c>
      <c r="B43" s="11" t="s">
        <v>316</v>
      </c>
      <c r="C43" s="4" t="s">
        <v>83</v>
      </c>
      <c r="D43" s="12" t="s">
        <v>29</v>
      </c>
      <c r="E43" s="13" t="s">
        <v>53</v>
      </c>
      <c r="F43" s="5" t="s">
        <v>31</v>
      </c>
      <c r="G43" s="5" t="b">
        <v>0</v>
      </c>
      <c r="H43" s="5" t="s">
        <v>318</v>
      </c>
      <c r="I43" s="5">
        <v>33.0</v>
      </c>
      <c r="J43" s="5">
        <v>0.03</v>
      </c>
      <c r="K43" s="5">
        <v>0.39</v>
      </c>
    </row>
    <row r="44" ht="15.75" customHeight="1">
      <c r="A44" s="4" t="s">
        <v>319</v>
      </c>
      <c r="B44" s="11" t="s">
        <v>322</v>
      </c>
      <c r="C44" s="4" t="s">
        <v>28</v>
      </c>
      <c r="D44" s="12" t="s">
        <v>52</v>
      </c>
      <c r="E44" s="13" t="s">
        <v>93</v>
      </c>
      <c r="F44" s="5" t="s">
        <v>54</v>
      </c>
      <c r="G44" s="5" t="b">
        <v>0</v>
      </c>
      <c r="H44" s="5" t="s">
        <v>324</v>
      </c>
      <c r="I44" s="5">
        <v>32.0</v>
      </c>
      <c r="J44" s="5">
        <v>0.03</v>
      </c>
      <c r="K44" s="5">
        <v>0.31</v>
      </c>
    </row>
    <row r="45" ht="15.75" customHeight="1">
      <c r="A45" s="4" t="s">
        <v>326</v>
      </c>
      <c r="B45" s="11" t="s">
        <v>328</v>
      </c>
      <c r="C45" s="4" t="s">
        <v>89</v>
      </c>
      <c r="D45" s="12" t="s">
        <v>29</v>
      </c>
      <c r="E45" s="13" t="s">
        <v>30</v>
      </c>
      <c r="F45" s="5" t="s">
        <v>31</v>
      </c>
      <c r="G45" s="5" t="b">
        <v>0</v>
      </c>
      <c r="H45" s="5" t="s">
        <v>331</v>
      </c>
      <c r="I45" s="5">
        <v>32.0</v>
      </c>
      <c r="J45" s="5">
        <v>0.03</v>
      </c>
      <c r="K45" s="5">
        <v>0.91</v>
      </c>
    </row>
    <row r="46" ht="15.75" customHeight="1">
      <c r="A46" s="4" t="s">
        <v>333</v>
      </c>
      <c r="B46" s="11" t="s">
        <v>337</v>
      </c>
      <c r="C46" s="4" t="s">
        <v>191</v>
      </c>
      <c r="D46" s="12" t="s">
        <v>29</v>
      </c>
      <c r="E46" s="13" t="s">
        <v>53</v>
      </c>
      <c r="F46" s="5" t="s">
        <v>31</v>
      </c>
      <c r="G46" s="5" t="b">
        <v>0</v>
      </c>
      <c r="H46" s="5" t="s">
        <v>340</v>
      </c>
      <c r="I46" s="5">
        <v>32.0</v>
      </c>
      <c r="J46" s="5">
        <v>0.03</v>
      </c>
      <c r="K46" s="5">
        <v>0.94</v>
      </c>
    </row>
    <row r="47" ht="15.75" customHeight="1">
      <c r="A47" s="4" t="s">
        <v>341</v>
      </c>
      <c r="B47" s="11" t="s">
        <v>344</v>
      </c>
      <c r="C47" s="4" t="s">
        <v>97</v>
      </c>
      <c r="D47" s="12" t="s">
        <v>52</v>
      </c>
      <c r="E47" s="13" t="s">
        <v>53</v>
      </c>
      <c r="F47" s="5" t="s">
        <v>54</v>
      </c>
      <c r="G47" s="5" t="b">
        <v>0</v>
      </c>
      <c r="H47" s="5" t="s">
        <v>347</v>
      </c>
      <c r="I47" s="5">
        <v>31.0</v>
      </c>
      <c r="J47" s="5">
        <v>0.03</v>
      </c>
      <c r="K47" s="5">
        <v>0.03</v>
      </c>
    </row>
    <row r="48" ht="15.75" customHeight="1">
      <c r="A48" s="4" t="s">
        <v>349</v>
      </c>
      <c r="B48" s="11" t="s">
        <v>351</v>
      </c>
      <c r="C48" s="5" t="s">
        <v>63</v>
      </c>
      <c r="D48" s="12" t="s">
        <v>29</v>
      </c>
      <c r="E48" s="13" t="s">
        <v>30</v>
      </c>
      <c r="F48" s="5" t="s">
        <v>31</v>
      </c>
      <c r="G48" s="5" t="b">
        <v>0</v>
      </c>
      <c r="H48" s="5" t="s">
        <v>353</v>
      </c>
      <c r="I48" s="5">
        <v>31.0</v>
      </c>
      <c r="J48" s="5">
        <v>0.03</v>
      </c>
      <c r="K48" s="5">
        <v>0.97</v>
      </c>
    </row>
    <row r="49" ht="15.75" customHeight="1">
      <c r="A49" s="4" t="s">
        <v>355</v>
      </c>
      <c r="B49" s="11" t="s">
        <v>358</v>
      </c>
      <c r="C49" s="5" t="s">
        <v>41</v>
      </c>
      <c r="D49" s="12" t="s">
        <v>29</v>
      </c>
      <c r="E49" s="13" t="s">
        <v>30</v>
      </c>
      <c r="F49" s="5" t="s">
        <v>31</v>
      </c>
      <c r="G49" s="5" t="b">
        <v>0</v>
      </c>
      <c r="H49" s="5" t="s">
        <v>359</v>
      </c>
      <c r="I49" s="5">
        <v>31.0</v>
      </c>
      <c r="J49" s="5">
        <v>0.03</v>
      </c>
      <c r="K49" s="5">
        <v>0.61</v>
      </c>
    </row>
    <row r="50" ht="15.75" customHeight="1">
      <c r="A50" s="4" t="s">
        <v>361</v>
      </c>
      <c r="B50" s="11" t="s">
        <v>363</v>
      </c>
      <c r="C50" s="4" t="s">
        <v>10</v>
      </c>
      <c r="D50" s="12" t="s">
        <v>29</v>
      </c>
      <c r="E50" s="13" t="s">
        <v>93</v>
      </c>
      <c r="F50" s="5" t="s">
        <v>31</v>
      </c>
      <c r="G50" s="5" t="b">
        <v>0</v>
      </c>
      <c r="H50" s="5" t="s">
        <v>365</v>
      </c>
      <c r="I50" s="5">
        <v>31.0</v>
      </c>
      <c r="J50" s="5">
        <v>0.03</v>
      </c>
      <c r="K50" s="5">
        <v>0.1</v>
      </c>
    </row>
    <row r="51" ht="15.75" customHeight="1">
      <c r="A51" s="4" t="s">
        <v>367</v>
      </c>
      <c r="B51" s="11" t="s">
        <v>370</v>
      </c>
      <c r="C51" s="5" t="s">
        <v>39</v>
      </c>
      <c r="D51" s="12" t="s">
        <v>29</v>
      </c>
      <c r="E51" s="13" t="s">
        <v>30</v>
      </c>
      <c r="F51" s="5" t="s">
        <v>31</v>
      </c>
      <c r="G51" s="5" t="b">
        <v>0</v>
      </c>
      <c r="H51" s="5" t="s">
        <v>372</v>
      </c>
      <c r="I51" s="5">
        <v>30.0</v>
      </c>
      <c r="J51" s="5">
        <v>0.03</v>
      </c>
      <c r="K51" s="5">
        <v>1.8</v>
      </c>
    </row>
    <row r="52" ht="15.75" customHeight="1">
      <c r="A52" s="4" t="s">
        <v>374</v>
      </c>
      <c r="B52" s="11" t="s">
        <v>376</v>
      </c>
      <c r="C52" s="4" t="s">
        <v>136</v>
      </c>
      <c r="D52" s="12" t="s">
        <v>29</v>
      </c>
      <c r="E52" s="13" t="s">
        <v>30</v>
      </c>
      <c r="F52" s="5" t="s">
        <v>31</v>
      </c>
      <c r="G52" s="5" t="b">
        <v>0</v>
      </c>
      <c r="H52" s="5" t="s">
        <v>379</v>
      </c>
      <c r="I52" s="5">
        <v>30.0</v>
      </c>
      <c r="J52" s="5">
        <v>0.03</v>
      </c>
      <c r="K52" s="5">
        <v>0.87</v>
      </c>
    </row>
    <row r="53" ht="15.75" customHeight="1">
      <c r="A53" s="4" t="s">
        <v>381</v>
      </c>
      <c r="B53" s="11" t="s">
        <v>382</v>
      </c>
      <c r="C53" s="4" t="s">
        <v>56</v>
      </c>
      <c r="D53" s="12" t="s">
        <v>29</v>
      </c>
      <c r="E53" s="13" t="s">
        <v>30</v>
      </c>
      <c r="F53" s="5" t="s">
        <v>31</v>
      </c>
      <c r="G53" s="5" t="b">
        <v>0</v>
      </c>
      <c r="H53" s="5" t="s">
        <v>383</v>
      </c>
      <c r="I53" s="5">
        <v>30.0</v>
      </c>
      <c r="J53" s="5">
        <v>0.03</v>
      </c>
      <c r="K53" s="5">
        <v>2.5</v>
      </c>
    </row>
    <row r="54" ht="15.75" customHeight="1">
      <c r="A54" s="4" t="s">
        <v>385</v>
      </c>
      <c r="B54" s="11" t="s">
        <v>387</v>
      </c>
      <c r="C54" s="4" t="s">
        <v>210</v>
      </c>
      <c r="D54" s="12" t="s">
        <v>126</v>
      </c>
      <c r="E54" s="13" t="s">
        <v>30</v>
      </c>
      <c r="F54" s="5" t="s">
        <v>127</v>
      </c>
      <c r="G54" s="5" t="b">
        <v>0</v>
      </c>
      <c r="H54" s="5" t="s">
        <v>391</v>
      </c>
      <c r="I54" s="5">
        <v>29.0</v>
      </c>
      <c r="J54" s="5">
        <v>0.03</v>
      </c>
      <c r="K54" s="5">
        <v>1.45</v>
      </c>
    </row>
    <row r="55" ht="15.75" customHeight="1">
      <c r="A55" s="4" t="s">
        <v>392</v>
      </c>
      <c r="B55" s="11" t="s">
        <v>395</v>
      </c>
      <c r="C55" s="4" t="s">
        <v>224</v>
      </c>
      <c r="D55" s="12" t="s">
        <v>52</v>
      </c>
      <c r="E55" s="13" t="s">
        <v>84</v>
      </c>
      <c r="F55" s="5" t="s">
        <v>54</v>
      </c>
      <c r="G55" s="5" t="b">
        <v>0</v>
      </c>
      <c r="I55" s="5">
        <v>29.0</v>
      </c>
      <c r="J55" s="5">
        <v>0.03</v>
      </c>
      <c r="K55" s="5">
        <v>0.72</v>
      </c>
    </row>
    <row r="56" ht="15.75" customHeight="1">
      <c r="A56" s="4" t="s">
        <v>398</v>
      </c>
      <c r="B56" s="11" t="s">
        <v>401</v>
      </c>
      <c r="C56" s="4" t="s">
        <v>21</v>
      </c>
      <c r="D56" s="12" t="s">
        <v>29</v>
      </c>
      <c r="E56" s="13" t="s">
        <v>30</v>
      </c>
      <c r="F56" s="5" t="s">
        <v>31</v>
      </c>
      <c r="G56" s="5" t="b">
        <v>0</v>
      </c>
      <c r="H56" s="5" t="s">
        <v>402</v>
      </c>
      <c r="I56" s="5">
        <v>29.0</v>
      </c>
      <c r="J56" s="5">
        <v>0.03</v>
      </c>
      <c r="K56" s="5">
        <v>0.76</v>
      </c>
    </row>
    <row r="57" ht="15.75" customHeight="1">
      <c r="A57" s="4" t="s">
        <v>404</v>
      </c>
      <c r="B57" s="11" t="s">
        <v>406</v>
      </c>
      <c r="C57" s="4" t="s">
        <v>236</v>
      </c>
      <c r="D57" s="12" t="s">
        <v>29</v>
      </c>
      <c r="E57" s="13" t="s">
        <v>53</v>
      </c>
      <c r="F57" s="5" t="s">
        <v>31</v>
      </c>
      <c r="G57" s="5" t="b">
        <v>0</v>
      </c>
      <c r="H57" s="5" t="s">
        <v>409</v>
      </c>
      <c r="I57" s="5">
        <v>28.0</v>
      </c>
      <c r="J57" s="5">
        <v>0.03</v>
      </c>
      <c r="K57" s="5">
        <v>1.04</v>
      </c>
    </row>
    <row r="58" ht="15.75" customHeight="1">
      <c r="A58" s="4" t="s">
        <v>411</v>
      </c>
      <c r="B58" s="11" t="s">
        <v>413</v>
      </c>
      <c r="C58" s="4" t="s">
        <v>28</v>
      </c>
      <c r="D58" s="12" t="s">
        <v>52</v>
      </c>
      <c r="E58" s="13" t="s">
        <v>93</v>
      </c>
      <c r="F58" s="5" t="s">
        <v>54</v>
      </c>
      <c r="G58" s="5" t="b">
        <v>0</v>
      </c>
      <c r="H58" s="5" t="s">
        <v>415</v>
      </c>
      <c r="I58" s="5">
        <v>28.0</v>
      </c>
      <c r="J58" s="5">
        <v>0.03</v>
      </c>
      <c r="K58" s="5">
        <v>0.29</v>
      </c>
    </row>
    <row r="59" ht="15.75" customHeight="1">
      <c r="A59" s="4" t="s">
        <v>417</v>
      </c>
      <c r="B59" s="11" t="s">
        <v>419</v>
      </c>
      <c r="C59" s="4" t="s">
        <v>60</v>
      </c>
      <c r="D59" s="12" t="s">
        <v>29</v>
      </c>
      <c r="E59" s="13" t="s">
        <v>30</v>
      </c>
      <c r="F59" s="5" t="s">
        <v>31</v>
      </c>
      <c r="G59" s="5" t="b">
        <v>0</v>
      </c>
      <c r="H59" s="5" t="s">
        <v>421</v>
      </c>
      <c r="I59" s="5">
        <v>28.0</v>
      </c>
      <c r="J59" s="5">
        <v>0.03</v>
      </c>
      <c r="K59" s="5">
        <v>0.61</v>
      </c>
    </row>
    <row r="60" ht="15.75" customHeight="1">
      <c r="A60" s="4" t="s">
        <v>422</v>
      </c>
      <c r="B60" s="11" t="s">
        <v>425</v>
      </c>
      <c r="C60" s="4" t="s">
        <v>60</v>
      </c>
      <c r="D60" s="12" t="s">
        <v>29</v>
      </c>
      <c r="E60" s="13" t="s">
        <v>30</v>
      </c>
      <c r="F60" s="5" t="s">
        <v>31</v>
      </c>
      <c r="G60" s="5" t="b">
        <v>0</v>
      </c>
      <c r="H60" s="5" t="s">
        <v>426</v>
      </c>
      <c r="I60" s="5">
        <v>28.0</v>
      </c>
      <c r="J60" s="5">
        <v>0.03</v>
      </c>
      <c r="K60" s="5">
        <v>2.04</v>
      </c>
    </row>
    <row r="61" ht="15.75" customHeight="1">
      <c r="A61" s="4" t="s">
        <v>427</v>
      </c>
      <c r="B61" s="11" t="s">
        <v>430</v>
      </c>
      <c r="C61" s="4" t="s">
        <v>228</v>
      </c>
      <c r="D61" s="12" t="s">
        <v>433</v>
      </c>
      <c r="E61" s="13" t="s">
        <v>30</v>
      </c>
      <c r="F61" s="5" t="s">
        <v>434</v>
      </c>
      <c r="G61" s="5" t="b">
        <v>0</v>
      </c>
      <c r="H61" s="5" t="s">
        <v>435</v>
      </c>
      <c r="I61" s="5">
        <v>28.0</v>
      </c>
      <c r="J61" s="5">
        <v>0.03</v>
      </c>
      <c r="K61" s="5">
        <v>0.46</v>
      </c>
    </row>
    <row r="62" ht="15.75" customHeight="1">
      <c r="A62" s="4" t="s">
        <v>437</v>
      </c>
      <c r="B62" s="11" t="s">
        <v>439</v>
      </c>
      <c r="C62" s="4" t="s">
        <v>140</v>
      </c>
      <c r="D62" s="12" t="s">
        <v>29</v>
      </c>
      <c r="E62" s="13" t="s">
        <v>30</v>
      </c>
      <c r="F62" s="5" t="s">
        <v>31</v>
      </c>
      <c r="G62" s="5" t="b">
        <v>0</v>
      </c>
      <c r="H62" s="5" t="s">
        <v>442</v>
      </c>
      <c r="I62" s="5">
        <v>27.0</v>
      </c>
      <c r="J62" s="5">
        <v>0.03</v>
      </c>
      <c r="K62" s="5">
        <v>1.04</v>
      </c>
    </row>
    <row r="63" ht="15.75" customHeight="1">
      <c r="A63" s="4" t="s">
        <v>443</v>
      </c>
      <c r="B63" s="11" t="s">
        <v>446</v>
      </c>
      <c r="C63" s="4" t="s">
        <v>28</v>
      </c>
      <c r="D63" s="12" t="s">
        <v>52</v>
      </c>
      <c r="E63" s="13" t="s">
        <v>93</v>
      </c>
      <c r="F63" s="5" t="s">
        <v>54</v>
      </c>
      <c r="G63" s="5" t="b">
        <v>0</v>
      </c>
      <c r="H63" s="5" t="s">
        <v>448</v>
      </c>
      <c r="I63" s="5">
        <v>27.0</v>
      </c>
      <c r="J63" s="5">
        <v>0.03</v>
      </c>
      <c r="K63" s="5">
        <v>0.37</v>
      </c>
    </row>
    <row r="64" ht="15.75" customHeight="1">
      <c r="A64" s="4" t="s">
        <v>450</v>
      </c>
      <c r="B64" s="11" t="s">
        <v>452</v>
      </c>
      <c r="C64" s="4" t="s">
        <v>258</v>
      </c>
      <c r="D64" s="12" t="s">
        <v>433</v>
      </c>
      <c r="E64" s="13" t="s">
        <v>53</v>
      </c>
      <c r="F64" s="5" t="s">
        <v>434</v>
      </c>
      <c r="G64" s="5" t="b">
        <v>0</v>
      </c>
      <c r="H64" s="5" t="s">
        <v>454</v>
      </c>
      <c r="I64" s="5">
        <v>27.0</v>
      </c>
      <c r="J64" s="5">
        <v>0.03</v>
      </c>
      <c r="K64" s="5">
        <v>0.63</v>
      </c>
    </row>
    <row r="65" ht="15.75" customHeight="1">
      <c r="A65" s="4" t="s">
        <v>456</v>
      </c>
      <c r="B65" s="11" t="s">
        <v>459</v>
      </c>
      <c r="C65" s="5" t="s">
        <v>73</v>
      </c>
      <c r="D65" s="12" t="s">
        <v>29</v>
      </c>
      <c r="E65" s="13" t="s">
        <v>53</v>
      </c>
      <c r="F65" s="5" t="s">
        <v>31</v>
      </c>
      <c r="G65" s="5" t="b">
        <v>0</v>
      </c>
      <c r="H65" s="5" t="s">
        <v>461</v>
      </c>
      <c r="I65" s="5">
        <v>27.0</v>
      </c>
      <c r="J65" s="5">
        <v>0.03</v>
      </c>
      <c r="K65" s="5">
        <v>0.59</v>
      </c>
    </row>
    <row r="66" ht="15.75" customHeight="1">
      <c r="A66" s="4" t="s">
        <v>462</v>
      </c>
      <c r="B66" s="11" t="s">
        <v>465</v>
      </c>
      <c r="C66" s="4" t="s">
        <v>267</v>
      </c>
      <c r="D66" s="12" t="s">
        <v>467</v>
      </c>
      <c r="E66" s="13" t="s">
        <v>30</v>
      </c>
      <c r="F66" s="5" t="s">
        <v>469</v>
      </c>
      <c r="G66" s="5" t="b">
        <v>0</v>
      </c>
      <c r="H66" s="5" t="s">
        <v>269</v>
      </c>
      <c r="I66" s="5">
        <v>27.0</v>
      </c>
      <c r="J66" s="5">
        <v>0.03</v>
      </c>
      <c r="K66" s="5">
        <v>2.19</v>
      </c>
    </row>
    <row r="67" ht="15.75" customHeight="1">
      <c r="A67" s="4" t="s">
        <v>470</v>
      </c>
      <c r="B67" s="11" t="s">
        <v>471</v>
      </c>
      <c r="C67" s="4" t="s">
        <v>21</v>
      </c>
      <c r="D67" s="12" t="s">
        <v>29</v>
      </c>
      <c r="E67" s="13" t="s">
        <v>30</v>
      </c>
      <c r="F67" s="5" t="s">
        <v>31</v>
      </c>
      <c r="G67" s="5" t="b">
        <v>0</v>
      </c>
      <c r="H67" s="5" t="s">
        <v>473</v>
      </c>
      <c r="I67" s="5">
        <v>27.0</v>
      </c>
      <c r="J67" s="5">
        <v>0.03</v>
      </c>
      <c r="K67" s="5">
        <v>2.11</v>
      </c>
    </row>
    <row r="68" ht="15.75" customHeight="1">
      <c r="A68" s="4" t="s">
        <v>474</v>
      </c>
      <c r="B68" s="11" t="s">
        <v>477</v>
      </c>
      <c r="C68" s="4" t="s">
        <v>10</v>
      </c>
      <c r="D68" s="12" t="s">
        <v>52</v>
      </c>
      <c r="E68" s="13" t="s">
        <v>93</v>
      </c>
      <c r="F68" s="5" t="s">
        <v>54</v>
      </c>
      <c r="G68" s="5" t="b">
        <v>0</v>
      </c>
      <c r="H68" s="5" t="s">
        <v>478</v>
      </c>
      <c r="I68" s="5">
        <v>27.0</v>
      </c>
      <c r="J68" s="5">
        <v>0.03</v>
      </c>
      <c r="K68" s="5">
        <v>0.26</v>
      </c>
    </row>
    <row r="69" ht="15.75" customHeight="1">
      <c r="A69" s="4" t="s">
        <v>480</v>
      </c>
      <c r="B69" s="11" t="s">
        <v>482</v>
      </c>
      <c r="C69" s="4" t="s">
        <v>123</v>
      </c>
      <c r="D69" s="12" t="s">
        <v>29</v>
      </c>
      <c r="E69" s="13" t="s">
        <v>30</v>
      </c>
      <c r="F69" s="5" t="s">
        <v>31</v>
      </c>
      <c r="G69" s="5" t="b">
        <v>0</v>
      </c>
      <c r="H69" s="5" t="s">
        <v>484</v>
      </c>
      <c r="I69" s="5">
        <v>26.0</v>
      </c>
      <c r="J69" s="5">
        <v>0.03</v>
      </c>
      <c r="K69" s="5">
        <v>0.73</v>
      </c>
    </row>
    <row r="70" ht="15.75" customHeight="1">
      <c r="A70" s="4" t="s">
        <v>486</v>
      </c>
      <c r="B70" s="11" t="s">
        <v>488</v>
      </c>
      <c r="C70" s="4" t="s">
        <v>18</v>
      </c>
      <c r="D70" s="12" t="s">
        <v>52</v>
      </c>
      <c r="E70" s="13" t="s">
        <v>53</v>
      </c>
      <c r="F70" s="5" t="s">
        <v>54</v>
      </c>
      <c r="G70" s="5" t="b">
        <v>0</v>
      </c>
      <c r="H70" s="5" t="s">
        <v>490</v>
      </c>
      <c r="I70" s="5">
        <v>26.0</v>
      </c>
      <c r="J70" s="5">
        <v>0.03</v>
      </c>
      <c r="K70" s="5">
        <v>0.31</v>
      </c>
    </row>
    <row r="71" ht="15.75" customHeight="1">
      <c r="A71" s="4" t="s">
        <v>491</v>
      </c>
      <c r="B71" s="11" t="s">
        <v>494</v>
      </c>
      <c r="C71" s="4" t="s">
        <v>136</v>
      </c>
      <c r="D71" s="12" t="s">
        <v>126</v>
      </c>
      <c r="E71" s="13" t="s">
        <v>30</v>
      </c>
      <c r="F71" s="5" t="s">
        <v>127</v>
      </c>
      <c r="G71" s="5" t="b">
        <v>0</v>
      </c>
      <c r="H71" s="5" t="s">
        <v>496</v>
      </c>
      <c r="I71" s="5">
        <v>26.0</v>
      </c>
      <c r="J71" s="5">
        <v>0.03</v>
      </c>
      <c r="K71" s="5">
        <v>0.92</v>
      </c>
    </row>
    <row r="72" ht="15.75" customHeight="1">
      <c r="A72" s="4" t="s">
        <v>497</v>
      </c>
      <c r="B72" s="11" t="s">
        <v>499</v>
      </c>
      <c r="C72" s="4" t="s">
        <v>272</v>
      </c>
      <c r="D72" s="12" t="s">
        <v>29</v>
      </c>
      <c r="E72" s="13" t="s">
        <v>53</v>
      </c>
      <c r="F72" s="5" t="s">
        <v>31</v>
      </c>
      <c r="G72" s="5" t="b">
        <v>0</v>
      </c>
      <c r="H72" s="5" t="s">
        <v>502</v>
      </c>
      <c r="I72" s="5">
        <v>26.0</v>
      </c>
      <c r="J72" s="5">
        <v>0.03</v>
      </c>
      <c r="K72" s="5">
        <v>0.62</v>
      </c>
    </row>
    <row r="73" ht="15.75" customHeight="1">
      <c r="A73" s="4" t="s">
        <v>503</v>
      </c>
      <c r="B73" s="11" t="s">
        <v>506</v>
      </c>
      <c r="C73" s="4" t="s">
        <v>50</v>
      </c>
      <c r="D73" s="12" t="s">
        <v>84</v>
      </c>
      <c r="E73" s="13" t="s">
        <v>53</v>
      </c>
      <c r="F73" s="5" t="s">
        <v>85</v>
      </c>
      <c r="G73" s="5" t="b">
        <v>0</v>
      </c>
      <c r="H73" s="5" t="s">
        <v>509</v>
      </c>
      <c r="I73" s="5">
        <v>26.0</v>
      </c>
      <c r="J73" s="5">
        <v>0.03</v>
      </c>
      <c r="K73" s="5">
        <v>1.27</v>
      </c>
    </row>
    <row r="74" ht="15.75" customHeight="1">
      <c r="A74" s="4" t="s">
        <v>510</v>
      </c>
      <c r="B74" s="11" t="s">
        <v>513</v>
      </c>
      <c r="C74" s="4" t="s">
        <v>262</v>
      </c>
      <c r="D74" s="12" t="s">
        <v>29</v>
      </c>
      <c r="E74" s="13" t="s">
        <v>84</v>
      </c>
      <c r="F74" s="5" t="s">
        <v>31</v>
      </c>
      <c r="G74" s="5" t="b">
        <v>0</v>
      </c>
      <c r="H74" s="5" t="s">
        <v>515</v>
      </c>
      <c r="I74" s="5">
        <v>26.0</v>
      </c>
      <c r="J74" s="5">
        <v>0.03</v>
      </c>
      <c r="K74" s="5">
        <v>0.23</v>
      </c>
    </row>
    <row r="75" ht="15.75" customHeight="1">
      <c r="A75" s="4" t="s">
        <v>517</v>
      </c>
      <c r="B75" s="11" t="s">
        <v>521</v>
      </c>
      <c r="C75" s="4" t="s">
        <v>248</v>
      </c>
      <c r="D75" s="12" t="s">
        <v>29</v>
      </c>
      <c r="E75" s="13" t="s">
        <v>53</v>
      </c>
      <c r="F75" s="5" t="s">
        <v>31</v>
      </c>
      <c r="G75" s="5" t="b">
        <v>0</v>
      </c>
      <c r="H75" s="5" t="s">
        <v>252</v>
      </c>
      <c r="I75" s="5">
        <v>26.0</v>
      </c>
      <c r="J75" s="5">
        <v>0.03</v>
      </c>
      <c r="K75" s="5">
        <v>0.69</v>
      </c>
    </row>
    <row r="76" ht="15.75" customHeight="1">
      <c r="A76" s="4" t="s">
        <v>524</v>
      </c>
      <c r="B76" s="11" t="s">
        <v>527</v>
      </c>
      <c r="C76" s="4" t="s">
        <v>35</v>
      </c>
      <c r="D76" s="12" t="s">
        <v>52</v>
      </c>
      <c r="E76" s="13" t="s">
        <v>53</v>
      </c>
      <c r="F76" s="5" t="s">
        <v>54</v>
      </c>
      <c r="G76" s="5" t="b">
        <v>0</v>
      </c>
      <c r="H76" s="5" t="s">
        <v>528</v>
      </c>
      <c r="I76" s="5">
        <v>25.0</v>
      </c>
      <c r="J76" s="5">
        <v>0.02</v>
      </c>
      <c r="K76" s="5">
        <v>0.16</v>
      </c>
    </row>
    <row r="77" ht="15.75" customHeight="1">
      <c r="A77" s="4" t="s">
        <v>530</v>
      </c>
      <c r="B77" s="11" t="s">
        <v>532</v>
      </c>
      <c r="C77" s="4" t="s">
        <v>35</v>
      </c>
      <c r="D77" s="12" t="s">
        <v>52</v>
      </c>
      <c r="E77" s="13" t="s">
        <v>53</v>
      </c>
      <c r="F77" s="5" t="s">
        <v>54</v>
      </c>
      <c r="G77" s="5" t="b">
        <v>0</v>
      </c>
      <c r="H77" s="5" t="s">
        <v>534</v>
      </c>
      <c r="I77" s="5">
        <v>25.0</v>
      </c>
      <c r="J77" s="5">
        <v>0.02</v>
      </c>
      <c r="K77" s="5">
        <v>0.0</v>
      </c>
    </row>
    <row r="78" ht="15.75" customHeight="1">
      <c r="A78" s="4" t="s">
        <v>535</v>
      </c>
      <c r="B78" s="11" t="s">
        <v>538</v>
      </c>
      <c r="C78" s="4" t="s">
        <v>35</v>
      </c>
      <c r="D78" s="12" t="s">
        <v>52</v>
      </c>
      <c r="E78" s="13" t="s">
        <v>53</v>
      </c>
      <c r="F78" s="5" t="s">
        <v>54</v>
      </c>
      <c r="G78" s="5" t="b">
        <v>0</v>
      </c>
      <c r="H78" s="5" t="s">
        <v>539</v>
      </c>
      <c r="I78" s="5">
        <v>25.0</v>
      </c>
      <c r="J78" s="5">
        <v>0.02</v>
      </c>
      <c r="K78" s="5">
        <v>0.64</v>
      </c>
    </row>
    <row r="79" ht="15.75" customHeight="1">
      <c r="A79" s="4" t="s">
        <v>541</v>
      </c>
      <c r="B79" s="11" t="s">
        <v>543</v>
      </c>
      <c r="C79" s="4" t="s">
        <v>285</v>
      </c>
      <c r="D79" s="12" t="s">
        <v>29</v>
      </c>
      <c r="E79" s="13" t="s">
        <v>53</v>
      </c>
      <c r="F79" s="5" t="s">
        <v>31</v>
      </c>
      <c r="G79" s="5" t="b">
        <v>0</v>
      </c>
      <c r="H79" s="5" t="s">
        <v>545</v>
      </c>
      <c r="I79" s="5">
        <v>25.0</v>
      </c>
      <c r="J79" s="5">
        <v>0.02</v>
      </c>
      <c r="K79" s="5">
        <v>0.24</v>
      </c>
    </row>
    <row r="80" ht="15.75" customHeight="1">
      <c r="A80" s="4" t="s">
        <v>546</v>
      </c>
      <c r="B80" s="11" t="s">
        <v>549</v>
      </c>
      <c r="C80" s="4" t="s">
        <v>28</v>
      </c>
      <c r="D80" s="12" t="s">
        <v>52</v>
      </c>
      <c r="E80" s="13" t="s">
        <v>93</v>
      </c>
      <c r="F80" s="5" t="s">
        <v>54</v>
      </c>
      <c r="G80" s="5" t="b">
        <v>0</v>
      </c>
      <c r="H80" s="5" t="s">
        <v>551</v>
      </c>
      <c r="I80" s="5">
        <v>25.0</v>
      </c>
      <c r="J80" s="5">
        <v>0.02</v>
      </c>
      <c r="K80" s="5">
        <v>0.12</v>
      </c>
    </row>
    <row r="81" ht="15.75" customHeight="1">
      <c r="A81" s="4" t="s">
        <v>552</v>
      </c>
      <c r="B81" s="11" t="s">
        <v>555</v>
      </c>
      <c r="C81" s="4" t="s">
        <v>50</v>
      </c>
      <c r="D81" s="12" t="s">
        <v>467</v>
      </c>
      <c r="E81" s="13" t="s">
        <v>53</v>
      </c>
      <c r="F81" s="5" t="s">
        <v>469</v>
      </c>
      <c r="G81" s="5" t="b">
        <v>0</v>
      </c>
      <c r="H81" s="5" t="s">
        <v>556</v>
      </c>
      <c r="I81" s="5">
        <v>25.0</v>
      </c>
      <c r="J81" s="5">
        <v>0.02</v>
      </c>
      <c r="K81" s="5">
        <v>1.0</v>
      </c>
    </row>
    <row r="82" ht="15.75" customHeight="1">
      <c r="A82" s="4" t="s">
        <v>558</v>
      </c>
      <c r="B82" s="11" t="s">
        <v>561</v>
      </c>
      <c r="C82" s="5" t="s">
        <v>232</v>
      </c>
      <c r="D82" s="12" t="s">
        <v>29</v>
      </c>
      <c r="E82" s="13" t="s">
        <v>30</v>
      </c>
      <c r="F82" s="5" t="s">
        <v>31</v>
      </c>
      <c r="G82" s="5" t="b">
        <v>0</v>
      </c>
      <c r="H82" s="5" t="s">
        <v>563</v>
      </c>
      <c r="I82" s="5">
        <v>25.0</v>
      </c>
      <c r="J82" s="5">
        <v>0.02</v>
      </c>
      <c r="K82" s="5">
        <v>1.64</v>
      </c>
    </row>
    <row r="83" ht="15.75" customHeight="1">
      <c r="A83" s="4" t="s">
        <v>564</v>
      </c>
      <c r="B83" s="11" t="s">
        <v>566</v>
      </c>
      <c r="C83" s="4" t="s">
        <v>70</v>
      </c>
      <c r="D83" s="12" t="s">
        <v>29</v>
      </c>
      <c r="E83" s="13" t="s">
        <v>30</v>
      </c>
      <c r="F83" s="5" t="s">
        <v>31</v>
      </c>
      <c r="G83" s="5" t="b">
        <v>0</v>
      </c>
      <c r="H83" s="5" t="s">
        <v>569</v>
      </c>
      <c r="I83" s="5">
        <v>25.0</v>
      </c>
      <c r="J83" s="5">
        <v>0.02</v>
      </c>
      <c r="K83" s="5">
        <v>1.52</v>
      </c>
    </row>
    <row r="84" ht="15.75" customHeight="1">
      <c r="A84" s="4" t="s">
        <v>570</v>
      </c>
      <c r="B84" s="11" t="s">
        <v>573</v>
      </c>
      <c r="C84" s="4" t="s">
        <v>302</v>
      </c>
      <c r="D84" s="12" t="s">
        <v>29</v>
      </c>
      <c r="E84" s="13" t="s">
        <v>53</v>
      </c>
      <c r="F84" s="5" t="s">
        <v>31</v>
      </c>
      <c r="G84" s="5" t="b">
        <v>0</v>
      </c>
      <c r="H84" s="5" t="s">
        <v>576</v>
      </c>
      <c r="I84" s="5">
        <v>24.0</v>
      </c>
      <c r="J84" s="5">
        <v>0.02</v>
      </c>
      <c r="K84" s="5">
        <v>0.67</v>
      </c>
    </row>
    <row r="85" ht="15.75" customHeight="1">
      <c r="A85" s="4" t="s">
        <v>578</v>
      </c>
      <c r="B85" s="11" t="s">
        <v>581</v>
      </c>
      <c r="C85" s="5" t="s">
        <v>77</v>
      </c>
      <c r="D85" s="12" t="s">
        <v>29</v>
      </c>
      <c r="E85" s="13" t="s">
        <v>30</v>
      </c>
      <c r="F85" s="5" t="s">
        <v>31</v>
      </c>
      <c r="G85" s="5" t="b">
        <v>0</v>
      </c>
      <c r="H85" s="5" t="s">
        <v>582</v>
      </c>
      <c r="I85" s="5">
        <v>24.0</v>
      </c>
      <c r="J85" s="5">
        <v>0.02</v>
      </c>
      <c r="K85" s="5">
        <v>0.58</v>
      </c>
    </row>
    <row r="86" ht="15.75" customHeight="1">
      <c r="A86" s="4" t="s">
        <v>585</v>
      </c>
      <c r="B86" s="11" t="s">
        <v>586</v>
      </c>
      <c r="C86" s="4" t="s">
        <v>289</v>
      </c>
      <c r="D86" s="12" t="s">
        <v>261</v>
      </c>
      <c r="E86" s="13" t="s">
        <v>53</v>
      </c>
      <c r="F86" s="5" t="s">
        <v>263</v>
      </c>
      <c r="G86" s="5" t="b">
        <v>0</v>
      </c>
      <c r="H86" s="5" t="s">
        <v>589</v>
      </c>
      <c r="I86" s="5">
        <v>24.0</v>
      </c>
      <c r="J86" s="5">
        <v>0.02</v>
      </c>
      <c r="K86" s="5">
        <v>0.88</v>
      </c>
    </row>
    <row r="87" ht="15.75" customHeight="1">
      <c r="A87" s="4" t="s">
        <v>591</v>
      </c>
      <c r="B87" s="11" t="s">
        <v>592</v>
      </c>
      <c r="C87" s="4" t="s">
        <v>112</v>
      </c>
      <c r="D87" s="12" t="s">
        <v>29</v>
      </c>
      <c r="E87" s="13" t="s">
        <v>53</v>
      </c>
      <c r="F87" s="5" t="s">
        <v>31</v>
      </c>
      <c r="G87" s="5" t="b">
        <v>0</v>
      </c>
      <c r="H87" s="5" t="s">
        <v>595</v>
      </c>
      <c r="I87" s="5">
        <v>24.0</v>
      </c>
      <c r="J87" s="5">
        <v>0.02</v>
      </c>
      <c r="K87" s="5">
        <v>0.13</v>
      </c>
    </row>
    <row r="88" ht="15.75" customHeight="1">
      <c r="A88" s="4" t="s">
        <v>596</v>
      </c>
      <c r="B88" s="11" t="s">
        <v>598</v>
      </c>
      <c r="C88" s="4" t="s">
        <v>37</v>
      </c>
      <c r="D88" s="12" t="s">
        <v>29</v>
      </c>
      <c r="E88" s="13" t="s">
        <v>30</v>
      </c>
      <c r="F88" s="5" t="s">
        <v>31</v>
      </c>
      <c r="G88" s="5" t="b">
        <v>0</v>
      </c>
      <c r="H88" s="5" t="s">
        <v>600</v>
      </c>
      <c r="I88" s="5">
        <v>24.0</v>
      </c>
      <c r="J88" s="5">
        <v>0.02</v>
      </c>
      <c r="K88" s="5">
        <v>0.63</v>
      </c>
    </row>
    <row r="89" ht="15.75" customHeight="1">
      <c r="A89" s="4" t="s">
        <v>601</v>
      </c>
      <c r="B89" s="11" t="s">
        <v>603</v>
      </c>
      <c r="C89" s="4" t="s">
        <v>133</v>
      </c>
      <c r="D89" s="12" t="s">
        <v>29</v>
      </c>
      <c r="E89" s="13" t="s">
        <v>53</v>
      </c>
      <c r="F89" s="5" t="s">
        <v>31</v>
      </c>
      <c r="G89" s="5" t="b">
        <v>0</v>
      </c>
      <c r="H89" s="5" t="s">
        <v>606</v>
      </c>
      <c r="I89" s="5">
        <v>24.0</v>
      </c>
      <c r="J89" s="5">
        <v>0.02</v>
      </c>
      <c r="K89" s="5">
        <v>0.54</v>
      </c>
    </row>
    <row r="90" ht="15.75" customHeight="1">
      <c r="A90" s="4" t="s">
        <v>608</v>
      </c>
      <c r="B90" s="11" t="s">
        <v>610</v>
      </c>
      <c r="C90" s="4" t="s">
        <v>116</v>
      </c>
      <c r="D90" s="12" t="s">
        <v>29</v>
      </c>
      <c r="E90" s="13" t="s">
        <v>30</v>
      </c>
      <c r="F90" s="5" t="s">
        <v>31</v>
      </c>
      <c r="G90" s="5" t="b">
        <v>0</v>
      </c>
      <c r="H90" s="5" t="s">
        <v>612</v>
      </c>
      <c r="I90" s="5">
        <v>24.0</v>
      </c>
      <c r="J90" s="5">
        <v>0.02</v>
      </c>
      <c r="K90" s="5">
        <v>0.38</v>
      </c>
    </row>
    <row r="91" ht="15.75" customHeight="1">
      <c r="A91" s="4" t="s">
        <v>614</v>
      </c>
      <c r="B91" s="11" t="s">
        <v>616</v>
      </c>
      <c r="C91" s="4" t="s">
        <v>35</v>
      </c>
      <c r="D91" s="12" t="s">
        <v>84</v>
      </c>
      <c r="E91" s="13" t="s">
        <v>53</v>
      </c>
      <c r="F91" s="5" t="s">
        <v>85</v>
      </c>
      <c r="G91" s="5" t="b">
        <v>0</v>
      </c>
      <c r="H91" s="5" t="s">
        <v>618</v>
      </c>
      <c r="I91" s="5">
        <v>23.0</v>
      </c>
      <c r="J91" s="5">
        <v>0.02</v>
      </c>
      <c r="K91" s="5">
        <v>0.0</v>
      </c>
    </row>
    <row r="92" ht="15.75" customHeight="1">
      <c r="A92" s="4" t="s">
        <v>620</v>
      </c>
      <c r="B92" s="11" t="s">
        <v>622</v>
      </c>
      <c r="C92" s="4" t="s">
        <v>309</v>
      </c>
      <c r="D92" s="12" t="s">
        <v>29</v>
      </c>
      <c r="E92" s="13" t="s">
        <v>53</v>
      </c>
      <c r="F92" s="5" t="s">
        <v>31</v>
      </c>
      <c r="G92" s="5" t="b">
        <v>0</v>
      </c>
      <c r="H92" s="5" t="s">
        <v>625</v>
      </c>
      <c r="I92" s="5">
        <v>23.0</v>
      </c>
      <c r="J92" s="5">
        <v>0.02</v>
      </c>
      <c r="K92" s="5">
        <v>0.43</v>
      </c>
    </row>
    <row r="93" ht="15.75" customHeight="1">
      <c r="A93" s="4" t="s">
        <v>626</v>
      </c>
      <c r="B93" s="11" t="s">
        <v>629</v>
      </c>
      <c r="C93" s="4" t="s">
        <v>18</v>
      </c>
      <c r="D93" s="12" t="s">
        <v>52</v>
      </c>
      <c r="E93" s="13" t="s">
        <v>53</v>
      </c>
      <c r="F93" s="5" t="s">
        <v>54</v>
      </c>
      <c r="G93" s="5" t="b">
        <v>0</v>
      </c>
      <c r="H93" s="5" t="s">
        <v>630</v>
      </c>
      <c r="I93" s="5">
        <v>23.0</v>
      </c>
      <c r="J93" s="5">
        <v>0.02</v>
      </c>
      <c r="K93" s="5">
        <v>0.17</v>
      </c>
    </row>
    <row r="94" ht="15.75" customHeight="1">
      <c r="A94" s="4" t="s">
        <v>632</v>
      </c>
      <c r="B94" s="11" t="s">
        <v>635</v>
      </c>
      <c r="C94" s="4" t="s">
        <v>28</v>
      </c>
      <c r="D94" s="12" t="s">
        <v>297</v>
      </c>
      <c r="E94" s="13" t="s">
        <v>93</v>
      </c>
      <c r="F94" s="5" t="s">
        <v>298</v>
      </c>
      <c r="G94" s="5" t="b">
        <v>0</v>
      </c>
      <c r="H94" s="5" t="s">
        <v>637</v>
      </c>
      <c r="I94" s="5">
        <v>23.0</v>
      </c>
      <c r="J94" s="5">
        <v>0.02</v>
      </c>
      <c r="K94" s="5">
        <v>0.43</v>
      </c>
    </row>
    <row r="95" ht="15.75" customHeight="1">
      <c r="A95" s="4" t="s">
        <v>638</v>
      </c>
      <c r="B95" s="11" t="s">
        <v>641</v>
      </c>
      <c r="C95" s="4" t="s">
        <v>89</v>
      </c>
      <c r="D95" s="12" t="s">
        <v>29</v>
      </c>
      <c r="E95" s="13" t="s">
        <v>30</v>
      </c>
      <c r="F95" s="5" t="s">
        <v>31</v>
      </c>
      <c r="G95" s="5" t="b">
        <v>0</v>
      </c>
      <c r="H95" s="5" t="s">
        <v>642</v>
      </c>
      <c r="I95" s="5">
        <v>23.0</v>
      </c>
      <c r="J95" s="5">
        <v>0.02</v>
      </c>
      <c r="K95" s="5">
        <v>0.74</v>
      </c>
    </row>
    <row r="96" ht="15.75" customHeight="1">
      <c r="A96" s="4" t="s">
        <v>644</v>
      </c>
      <c r="B96" s="11" t="s">
        <v>647</v>
      </c>
      <c r="C96" s="4" t="s">
        <v>312</v>
      </c>
      <c r="D96" s="12" t="s">
        <v>29</v>
      </c>
      <c r="E96" s="13" t="s">
        <v>53</v>
      </c>
      <c r="F96" s="5" t="s">
        <v>31</v>
      </c>
      <c r="G96" s="5" t="b">
        <v>0</v>
      </c>
      <c r="H96" s="5" t="s">
        <v>650</v>
      </c>
      <c r="I96" s="5">
        <v>23.0</v>
      </c>
      <c r="J96" s="5">
        <v>0.02</v>
      </c>
      <c r="K96" s="5">
        <v>1.87</v>
      </c>
    </row>
    <row r="97" ht="15.75" customHeight="1">
      <c r="A97" s="4" t="s">
        <v>652</v>
      </c>
      <c r="B97" s="11" t="s">
        <v>654</v>
      </c>
      <c r="C97" s="4" t="s">
        <v>10</v>
      </c>
      <c r="D97" s="12" t="s">
        <v>52</v>
      </c>
      <c r="E97" s="13" t="s">
        <v>93</v>
      </c>
      <c r="F97" s="5" t="s">
        <v>54</v>
      </c>
      <c r="G97" s="5" t="b">
        <v>0</v>
      </c>
      <c r="H97" s="5" t="s">
        <v>656</v>
      </c>
      <c r="I97" s="5">
        <v>23.0</v>
      </c>
      <c r="J97" s="5">
        <v>0.02</v>
      </c>
      <c r="K97" s="5">
        <v>0.13</v>
      </c>
    </row>
    <row r="98" ht="15.75" customHeight="1">
      <c r="A98" s="4" t="s">
        <v>658</v>
      </c>
      <c r="B98" s="11" t="s">
        <v>660</v>
      </c>
      <c r="C98" s="4" t="s">
        <v>18</v>
      </c>
      <c r="D98" s="12" t="s">
        <v>84</v>
      </c>
      <c r="E98" s="13" t="s">
        <v>53</v>
      </c>
      <c r="F98" s="5" t="s">
        <v>85</v>
      </c>
      <c r="G98" s="5" t="b">
        <v>0</v>
      </c>
      <c r="H98" s="5" t="s">
        <v>661</v>
      </c>
      <c r="I98" s="5">
        <v>22.0</v>
      </c>
      <c r="J98" s="5">
        <v>0.02</v>
      </c>
      <c r="K98" s="5">
        <v>1.36</v>
      </c>
    </row>
    <row r="99" ht="15.75" customHeight="1">
      <c r="A99" s="4" t="s">
        <v>662</v>
      </c>
      <c r="B99" s="11" t="s">
        <v>663</v>
      </c>
      <c r="C99" s="4" t="s">
        <v>18</v>
      </c>
      <c r="D99" s="12" t="s">
        <v>52</v>
      </c>
      <c r="E99" s="13" t="s">
        <v>53</v>
      </c>
      <c r="F99" s="5" t="s">
        <v>54</v>
      </c>
      <c r="G99" s="5" t="b">
        <v>0</v>
      </c>
      <c r="H99" s="5" t="s">
        <v>664</v>
      </c>
      <c r="I99" s="5">
        <v>22.0</v>
      </c>
      <c r="J99" s="5">
        <v>0.02</v>
      </c>
      <c r="K99" s="5">
        <v>0.68</v>
      </c>
    </row>
    <row r="100" ht="15.75" customHeight="1">
      <c r="A100" s="4" t="s">
        <v>665</v>
      </c>
      <c r="B100" s="11" t="s">
        <v>666</v>
      </c>
      <c r="C100" s="4" t="s">
        <v>187</v>
      </c>
      <c r="D100" s="12" t="s">
        <v>52</v>
      </c>
      <c r="E100" s="13" t="s">
        <v>81</v>
      </c>
      <c r="F100" s="5" t="s">
        <v>54</v>
      </c>
      <c r="G100" s="5" t="b">
        <v>0</v>
      </c>
      <c r="H100" s="5" t="s">
        <v>667</v>
      </c>
      <c r="I100" s="5">
        <v>22.0</v>
      </c>
      <c r="J100" s="5">
        <v>0.02</v>
      </c>
      <c r="K100" s="5">
        <v>0.09</v>
      </c>
    </row>
    <row r="101" ht="15.75" customHeight="1">
      <c r="A101" s="4" t="s">
        <v>668</v>
      </c>
      <c r="B101" s="11" t="s">
        <v>669</v>
      </c>
      <c r="C101" s="4" t="s">
        <v>320</v>
      </c>
      <c r="D101" s="12" t="s">
        <v>670</v>
      </c>
      <c r="E101" s="13" t="s">
        <v>53</v>
      </c>
      <c r="F101" s="5" t="s">
        <v>671</v>
      </c>
      <c r="G101" s="5" t="b">
        <v>0</v>
      </c>
      <c r="H101" s="5" t="s">
        <v>672</v>
      </c>
      <c r="I101" s="5">
        <v>21.0</v>
      </c>
      <c r="J101" s="5">
        <v>0.02</v>
      </c>
      <c r="K101" s="5">
        <v>1.52</v>
      </c>
    </row>
    <row r="102" ht="15.75" customHeight="1">
      <c r="A102" s="4" t="s">
        <v>673</v>
      </c>
      <c r="B102" s="11" t="s">
        <v>674</v>
      </c>
      <c r="C102" s="4" t="s">
        <v>213</v>
      </c>
      <c r="D102" s="12" t="s">
        <v>433</v>
      </c>
      <c r="E102" s="13" t="s">
        <v>30</v>
      </c>
      <c r="F102" s="5" t="s">
        <v>434</v>
      </c>
      <c r="G102" s="5" t="b">
        <v>0</v>
      </c>
      <c r="H102" s="5" t="s">
        <v>675</v>
      </c>
      <c r="I102" s="5">
        <v>21.0</v>
      </c>
      <c r="J102" s="5">
        <v>0.02</v>
      </c>
      <c r="K102" s="5">
        <v>0.95</v>
      </c>
    </row>
    <row r="103" ht="15.75" customHeight="1">
      <c r="A103" s="4" t="s">
        <v>676</v>
      </c>
      <c r="B103" s="11" t="s">
        <v>677</v>
      </c>
      <c r="C103" s="4" t="s">
        <v>330</v>
      </c>
      <c r="D103" s="12" t="s">
        <v>52</v>
      </c>
      <c r="E103" s="13" t="s">
        <v>678</v>
      </c>
      <c r="F103" s="5" t="s">
        <v>54</v>
      </c>
      <c r="G103" s="5" t="b">
        <v>0</v>
      </c>
      <c r="H103" s="5" t="s">
        <v>679</v>
      </c>
      <c r="I103" s="5">
        <v>21.0</v>
      </c>
      <c r="J103" s="5">
        <v>0.02</v>
      </c>
      <c r="K103" s="5">
        <v>1.19</v>
      </c>
    </row>
    <row r="104" ht="15.75" customHeight="1">
      <c r="A104" s="4" t="s">
        <v>680</v>
      </c>
      <c r="B104" s="11" t="s">
        <v>681</v>
      </c>
      <c r="C104" s="4" t="s">
        <v>143</v>
      </c>
      <c r="D104" s="12" t="s">
        <v>29</v>
      </c>
      <c r="E104" s="13" t="s">
        <v>53</v>
      </c>
      <c r="F104" s="5" t="s">
        <v>31</v>
      </c>
      <c r="G104" s="5" t="b">
        <v>0</v>
      </c>
      <c r="H104" s="5" t="s">
        <v>682</v>
      </c>
      <c r="I104" s="5">
        <v>21.0</v>
      </c>
      <c r="J104" s="5">
        <v>0.02</v>
      </c>
      <c r="K104" s="5">
        <v>1.05</v>
      </c>
    </row>
    <row r="105" ht="15.75" customHeight="1">
      <c r="A105" s="4" t="s">
        <v>683</v>
      </c>
      <c r="B105" s="11" t="s">
        <v>684</v>
      </c>
      <c r="C105" s="4" t="s">
        <v>92</v>
      </c>
      <c r="D105" s="12" t="s">
        <v>84</v>
      </c>
      <c r="E105" s="13" t="s">
        <v>84</v>
      </c>
      <c r="F105" s="5" t="s">
        <v>85</v>
      </c>
      <c r="G105" s="5" t="b">
        <v>0</v>
      </c>
      <c r="I105" s="5">
        <v>21.0</v>
      </c>
      <c r="J105" s="5">
        <v>0.02</v>
      </c>
      <c r="K105" s="5">
        <v>1.81</v>
      </c>
    </row>
    <row r="106" ht="15.75" customHeight="1">
      <c r="A106" s="4" t="s">
        <v>685</v>
      </c>
      <c r="B106" s="11" t="s">
        <v>686</v>
      </c>
      <c r="C106" s="4" t="s">
        <v>334</v>
      </c>
      <c r="D106" s="12" t="s">
        <v>467</v>
      </c>
      <c r="E106" s="13" t="s">
        <v>30</v>
      </c>
      <c r="F106" s="5" t="s">
        <v>469</v>
      </c>
      <c r="G106" s="5" t="b">
        <v>0</v>
      </c>
      <c r="H106" s="5" t="s">
        <v>335</v>
      </c>
      <c r="I106" s="5">
        <v>21.0</v>
      </c>
      <c r="J106" s="5">
        <v>0.02</v>
      </c>
      <c r="K106" s="5">
        <v>1.05</v>
      </c>
    </row>
    <row r="107" ht="15.75" customHeight="1">
      <c r="A107" s="4" t="s">
        <v>687</v>
      </c>
      <c r="B107" s="11" t="s">
        <v>688</v>
      </c>
      <c r="C107" s="4" t="s">
        <v>279</v>
      </c>
      <c r="D107" s="12" t="s">
        <v>29</v>
      </c>
      <c r="E107" s="13" t="s">
        <v>53</v>
      </c>
      <c r="F107" s="5" t="s">
        <v>31</v>
      </c>
      <c r="G107" s="5" t="b">
        <v>0</v>
      </c>
      <c r="H107" s="5" t="s">
        <v>689</v>
      </c>
      <c r="I107" s="5">
        <v>20.0</v>
      </c>
      <c r="J107" s="5">
        <v>0.02</v>
      </c>
      <c r="K107" s="5">
        <v>0.85</v>
      </c>
    </row>
    <row r="108" ht="15.75" customHeight="1">
      <c r="A108" s="4" t="s">
        <v>690</v>
      </c>
      <c r="B108" s="11" t="s">
        <v>691</v>
      </c>
      <c r="C108" s="4" t="s">
        <v>195</v>
      </c>
      <c r="D108" s="12" t="s">
        <v>29</v>
      </c>
      <c r="E108" s="13" t="s">
        <v>30</v>
      </c>
      <c r="F108" s="5" t="s">
        <v>31</v>
      </c>
      <c r="G108" s="5" t="b">
        <v>0</v>
      </c>
      <c r="H108" s="5" t="s">
        <v>692</v>
      </c>
      <c r="I108" s="5">
        <v>20.0</v>
      </c>
      <c r="J108" s="5">
        <v>0.02</v>
      </c>
      <c r="K108" s="5">
        <v>0.85</v>
      </c>
    </row>
    <row r="109" ht="15.75" customHeight="1">
      <c r="A109" s="4" t="s">
        <v>693</v>
      </c>
      <c r="B109" s="11" t="s">
        <v>694</v>
      </c>
      <c r="C109" s="4" t="s">
        <v>339</v>
      </c>
      <c r="D109" s="12" t="s">
        <v>297</v>
      </c>
      <c r="E109" s="13" t="s">
        <v>53</v>
      </c>
      <c r="F109" s="5" t="s">
        <v>298</v>
      </c>
      <c r="G109" s="5" t="b">
        <v>0</v>
      </c>
      <c r="H109" s="5" t="s">
        <v>342</v>
      </c>
      <c r="I109" s="5">
        <v>20.0</v>
      </c>
      <c r="J109" s="5">
        <v>0.02</v>
      </c>
      <c r="K109" s="5">
        <v>0.75</v>
      </c>
    </row>
    <row r="110" ht="15.75" customHeight="1">
      <c r="A110" s="4" t="s">
        <v>695</v>
      </c>
      <c r="B110" s="11" t="s">
        <v>696</v>
      </c>
      <c r="C110" s="4" t="s">
        <v>50</v>
      </c>
      <c r="D110" s="12" t="s">
        <v>126</v>
      </c>
      <c r="E110" s="13" t="s">
        <v>53</v>
      </c>
      <c r="F110" s="5" t="s">
        <v>127</v>
      </c>
      <c r="G110" s="5" t="b">
        <v>0</v>
      </c>
      <c r="H110" s="5" t="s">
        <v>396</v>
      </c>
      <c r="I110" s="5">
        <v>20.0</v>
      </c>
      <c r="J110" s="5">
        <v>0.02</v>
      </c>
      <c r="K110" s="5">
        <v>0.75</v>
      </c>
    </row>
    <row r="111" ht="15.75" customHeight="1">
      <c r="A111" s="4" t="s">
        <v>697</v>
      </c>
      <c r="B111" s="11" t="s">
        <v>698</v>
      </c>
      <c r="C111" s="5" t="s">
        <v>63</v>
      </c>
      <c r="D111" s="12" t="s">
        <v>29</v>
      </c>
      <c r="E111" s="13" t="s">
        <v>30</v>
      </c>
      <c r="F111" s="5" t="s">
        <v>31</v>
      </c>
      <c r="G111" s="5" t="b">
        <v>0</v>
      </c>
      <c r="H111" s="5" t="s">
        <v>699</v>
      </c>
      <c r="I111" s="5">
        <v>20.0</v>
      </c>
      <c r="J111" s="5">
        <v>0.02</v>
      </c>
      <c r="K111" s="5">
        <v>0.0</v>
      </c>
    </row>
    <row r="112" ht="15.75" customHeight="1">
      <c r="A112" s="4" t="s">
        <v>700</v>
      </c>
      <c r="B112" s="11" t="s">
        <v>701</v>
      </c>
      <c r="C112" s="4" t="s">
        <v>164</v>
      </c>
      <c r="D112" s="12" t="s">
        <v>29</v>
      </c>
      <c r="E112" s="13" t="s">
        <v>678</v>
      </c>
      <c r="F112" s="5" t="s">
        <v>31</v>
      </c>
      <c r="G112" s="5" t="b">
        <v>0</v>
      </c>
      <c r="H112" s="5" t="s">
        <v>702</v>
      </c>
      <c r="I112" s="5">
        <v>20.0</v>
      </c>
      <c r="J112" s="5">
        <v>0.02</v>
      </c>
      <c r="K112" s="5">
        <v>3.2</v>
      </c>
    </row>
    <row r="113" ht="15.75" customHeight="1">
      <c r="A113" s="4" t="s">
        <v>703</v>
      </c>
      <c r="B113" s="11" t="s">
        <v>704</v>
      </c>
      <c r="C113" s="4" t="s">
        <v>10</v>
      </c>
      <c r="D113" s="12" t="s">
        <v>52</v>
      </c>
      <c r="E113" s="13" t="s">
        <v>93</v>
      </c>
      <c r="F113" s="5" t="s">
        <v>54</v>
      </c>
      <c r="G113" s="5" t="b">
        <v>0</v>
      </c>
      <c r="H113" s="5" t="s">
        <v>705</v>
      </c>
      <c r="I113" s="5">
        <v>20.0</v>
      </c>
      <c r="J113" s="5">
        <v>0.02</v>
      </c>
      <c r="K113" s="5">
        <v>0.2</v>
      </c>
    </row>
    <row r="114" ht="15.75" customHeight="1">
      <c r="A114" s="4" t="s">
        <v>706</v>
      </c>
      <c r="B114" s="11" t="s">
        <v>707</v>
      </c>
      <c r="C114" s="5" t="s">
        <v>346</v>
      </c>
      <c r="D114" s="12" t="s">
        <v>29</v>
      </c>
      <c r="E114" s="13" t="s">
        <v>53</v>
      </c>
      <c r="F114" s="5" t="s">
        <v>31</v>
      </c>
      <c r="G114" s="5" t="b">
        <v>0</v>
      </c>
      <c r="H114" s="5" t="s">
        <v>708</v>
      </c>
      <c r="I114" s="5">
        <v>19.0</v>
      </c>
      <c r="J114" s="5">
        <v>0.02</v>
      </c>
      <c r="K114" s="5">
        <v>0.42</v>
      </c>
    </row>
    <row r="115" ht="15.75" customHeight="1">
      <c r="A115" s="4" t="s">
        <v>709</v>
      </c>
      <c r="B115" s="11" t="s">
        <v>710</v>
      </c>
      <c r="C115" s="4" t="s">
        <v>10</v>
      </c>
      <c r="D115" s="12" t="s">
        <v>52</v>
      </c>
      <c r="E115" s="13" t="s">
        <v>93</v>
      </c>
      <c r="F115" s="5" t="s">
        <v>54</v>
      </c>
      <c r="G115" s="5" t="b">
        <v>0</v>
      </c>
      <c r="H115" s="5" t="s">
        <v>711</v>
      </c>
      <c r="I115" s="5">
        <v>19.0</v>
      </c>
      <c r="J115" s="5">
        <v>0.02</v>
      </c>
      <c r="K115" s="5">
        <v>0.11</v>
      </c>
    </row>
    <row r="116" ht="15.75" customHeight="1">
      <c r="A116" s="4" t="s">
        <v>712</v>
      </c>
      <c r="B116" s="11" t="s">
        <v>713</v>
      </c>
      <c r="C116" s="4" t="s">
        <v>112</v>
      </c>
      <c r="D116" s="12" t="s">
        <v>29</v>
      </c>
      <c r="E116" s="13" t="s">
        <v>53</v>
      </c>
      <c r="F116" s="5" t="s">
        <v>31</v>
      </c>
      <c r="G116" s="5" t="b">
        <v>0</v>
      </c>
      <c r="H116" s="5" t="s">
        <v>714</v>
      </c>
      <c r="I116" s="5">
        <v>19.0</v>
      </c>
      <c r="J116" s="5">
        <v>0.02</v>
      </c>
      <c r="K116" s="5">
        <v>0.0</v>
      </c>
    </row>
    <row r="117" ht="15.75" customHeight="1">
      <c r="A117" s="4" t="s">
        <v>715</v>
      </c>
      <c r="B117" s="11" t="s">
        <v>716</v>
      </c>
      <c r="C117" s="4" t="s">
        <v>92</v>
      </c>
      <c r="D117" s="12" t="s">
        <v>670</v>
      </c>
      <c r="E117" s="13" t="s">
        <v>84</v>
      </c>
      <c r="F117" s="5" t="s">
        <v>671</v>
      </c>
      <c r="G117" s="5" t="b">
        <v>0</v>
      </c>
      <c r="I117" s="5">
        <v>18.0</v>
      </c>
      <c r="J117" s="5">
        <v>0.02</v>
      </c>
      <c r="K117" s="5">
        <v>0.17</v>
      </c>
    </row>
    <row r="118" ht="15.75" customHeight="1">
      <c r="A118" s="4" t="s">
        <v>717</v>
      </c>
      <c r="B118" s="11" t="s">
        <v>718</v>
      </c>
      <c r="C118" s="4" t="s">
        <v>18</v>
      </c>
      <c r="D118" s="12" t="s">
        <v>52</v>
      </c>
      <c r="E118" s="13" t="s">
        <v>53</v>
      </c>
      <c r="F118" s="5" t="s">
        <v>54</v>
      </c>
      <c r="G118" s="5" t="b">
        <v>0</v>
      </c>
      <c r="H118" s="5" t="s">
        <v>396</v>
      </c>
      <c r="I118" s="5">
        <v>18.0</v>
      </c>
      <c r="J118" s="5">
        <v>0.02</v>
      </c>
      <c r="K118" s="5">
        <v>0.06</v>
      </c>
    </row>
    <row r="119" ht="15.75" customHeight="1">
      <c r="A119" s="4" t="s">
        <v>719</v>
      </c>
      <c r="B119" s="11" t="s">
        <v>720</v>
      </c>
      <c r="C119" s="4" t="s">
        <v>97</v>
      </c>
      <c r="D119" s="12" t="s">
        <v>52</v>
      </c>
      <c r="E119" s="13" t="s">
        <v>53</v>
      </c>
      <c r="F119" s="5" t="s">
        <v>54</v>
      </c>
      <c r="G119" s="5" t="b">
        <v>0</v>
      </c>
      <c r="H119" s="5" t="s">
        <v>721</v>
      </c>
      <c r="I119" s="5">
        <v>18.0</v>
      </c>
      <c r="J119" s="5">
        <v>0.02</v>
      </c>
      <c r="K119" s="5">
        <v>0.0</v>
      </c>
    </row>
    <row r="120" ht="15.75" customHeight="1">
      <c r="A120" s="4" t="s">
        <v>722</v>
      </c>
      <c r="B120" s="11" t="s">
        <v>723</v>
      </c>
      <c r="C120" s="4" t="s">
        <v>362</v>
      </c>
      <c r="D120" s="12" t="s">
        <v>29</v>
      </c>
      <c r="E120" s="13" t="s">
        <v>53</v>
      </c>
      <c r="F120" s="5" t="s">
        <v>31</v>
      </c>
      <c r="G120" s="5" t="b">
        <v>0</v>
      </c>
      <c r="H120" s="5" t="s">
        <v>724</v>
      </c>
      <c r="I120" s="5">
        <v>18.0</v>
      </c>
      <c r="J120" s="5">
        <v>0.02</v>
      </c>
      <c r="K120" s="5">
        <v>1.56</v>
      </c>
    </row>
    <row r="121" ht="15.75" customHeight="1">
      <c r="A121" s="4" t="s">
        <v>725</v>
      </c>
      <c r="B121" s="11" t="s">
        <v>726</v>
      </c>
      <c r="C121" s="4" t="s">
        <v>369</v>
      </c>
      <c r="D121" s="12" t="s">
        <v>29</v>
      </c>
      <c r="E121" s="13" t="s">
        <v>53</v>
      </c>
      <c r="F121" s="5" t="s">
        <v>31</v>
      </c>
      <c r="G121" s="5" t="b">
        <v>0</v>
      </c>
      <c r="H121" s="5" t="s">
        <v>727</v>
      </c>
      <c r="I121" s="5">
        <v>18.0</v>
      </c>
      <c r="J121" s="5">
        <v>0.02</v>
      </c>
      <c r="K121" s="5">
        <v>0.39</v>
      </c>
    </row>
    <row r="122" ht="15.75" customHeight="1">
      <c r="A122" s="4" t="s">
        <v>728</v>
      </c>
      <c r="B122" s="11" t="s">
        <v>729</v>
      </c>
      <c r="C122" s="4" t="s">
        <v>366</v>
      </c>
      <c r="D122" s="12" t="s">
        <v>29</v>
      </c>
      <c r="E122" s="13" t="s">
        <v>53</v>
      </c>
      <c r="F122" s="5" t="s">
        <v>31</v>
      </c>
      <c r="G122" s="5" t="b">
        <v>0</v>
      </c>
      <c r="H122" s="5" t="s">
        <v>730</v>
      </c>
      <c r="I122" s="5">
        <v>18.0</v>
      </c>
      <c r="J122" s="5">
        <v>0.02</v>
      </c>
      <c r="K122" s="5">
        <v>1.0</v>
      </c>
    </row>
    <row r="123" ht="15.75" customHeight="1">
      <c r="A123" s="4" t="s">
        <v>731</v>
      </c>
      <c r="B123" s="11" t="s">
        <v>732</v>
      </c>
      <c r="C123" s="4" t="s">
        <v>164</v>
      </c>
      <c r="D123" s="12" t="s">
        <v>467</v>
      </c>
      <c r="E123" s="13" t="s">
        <v>678</v>
      </c>
      <c r="F123" s="5" t="s">
        <v>469</v>
      </c>
      <c r="G123" s="5" t="b">
        <v>0</v>
      </c>
      <c r="H123" s="5" t="s">
        <v>733</v>
      </c>
      <c r="I123" s="5">
        <v>18.0</v>
      </c>
      <c r="J123" s="5">
        <v>0.02</v>
      </c>
      <c r="K123" s="5">
        <v>1.22</v>
      </c>
    </row>
    <row r="124" ht="15.75" customHeight="1">
      <c r="A124" s="4" t="s">
        <v>734</v>
      </c>
      <c r="B124" s="11" t="s">
        <v>735</v>
      </c>
      <c r="C124" s="4" t="s">
        <v>239</v>
      </c>
      <c r="D124" s="12" t="s">
        <v>297</v>
      </c>
      <c r="E124" s="13" t="s">
        <v>93</v>
      </c>
      <c r="F124" s="5" t="s">
        <v>298</v>
      </c>
      <c r="G124" s="5" t="b">
        <v>0</v>
      </c>
      <c r="H124" s="5" t="s">
        <v>396</v>
      </c>
      <c r="I124" s="5">
        <v>18.0</v>
      </c>
      <c r="J124" s="5">
        <v>0.02</v>
      </c>
      <c r="K124" s="5">
        <v>0.06</v>
      </c>
    </row>
    <row r="125" ht="15.75" customHeight="1">
      <c r="A125" s="4" t="s">
        <v>736</v>
      </c>
      <c r="B125" s="11" t="s">
        <v>737</v>
      </c>
      <c r="C125" s="4" t="s">
        <v>83</v>
      </c>
      <c r="D125" s="12" t="s">
        <v>29</v>
      </c>
      <c r="E125" s="13" t="s">
        <v>53</v>
      </c>
      <c r="F125" s="5" t="s">
        <v>31</v>
      </c>
      <c r="G125" s="5" t="b">
        <v>0</v>
      </c>
      <c r="H125" s="5" t="s">
        <v>318</v>
      </c>
      <c r="I125" s="5">
        <v>17.0</v>
      </c>
      <c r="J125" s="5">
        <v>0.02</v>
      </c>
      <c r="K125" s="5">
        <v>0.71</v>
      </c>
    </row>
    <row r="126" ht="15.75" customHeight="1">
      <c r="A126" s="4" t="s">
        <v>738</v>
      </c>
      <c r="B126" s="11" t="s">
        <v>739</v>
      </c>
      <c r="C126" s="5" t="s">
        <v>73</v>
      </c>
      <c r="D126" s="12" t="s">
        <v>29</v>
      </c>
      <c r="E126" s="13" t="s">
        <v>53</v>
      </c>
      <c r="F126" s="5" t="s">
        <v>31</v>
      </c>
      <c r="G126" s="5" t="b">
        <v>0</v>
      </c>
      <c r="H126" s="5" t="s">
        <v>740</v>
      </c>
      <c r="I126" s="5">
        <v>17.0</v>
      </c>
      <c r="J126" s="5">
        <v>0.02</v>
      </c>
      <c r="K126" s="5">
        <v>0.35</v>
      </c>
    </row>
    <row r="127" ht="15.75" customHeight="1">
      <c r="A127" s="4" t="s">
        <v>741</v>
      </c>
      <c r="B127" s="11" t="s">
        <v>742</v>
      </c>
      <c r="C127" s="4" t="s">
        <v>296</v>
      </c>
      <c r="D127" s="12" t="s">
        <v>29</v>
      </c>
      <c r="E127" s="13" t="s">
        <v>30</v>
      </c>
      <c r="F127" s="5" t="s">
        <v>31</v>
      </c>
      <c r="G127" s="5" t="b">
        <v>0</v>
      </c>
      <c r="H127" s="5" t="s">
        <v>743</v>
      </c>
      <c r="I127" s="5">
        <v>17.0</v>
      </c>
      <c r="J127" s="5">
        <v>0.02</v>
      </c>
      <c r="K127" s="5">
        <v>0.88</v>
      </c>
    </row>
    <row r="128" ht="15.75" customHeight="1">
      <c r="A128" s="4" t="s">
        <v>744</v>
      </c>
      <c r="B128" s="11" t="s">
        <v>745</v>
      </c>
      <c r="C128" s="4" t="s">
        <v>56</v>
      </c>
      <c r="D128" s="12" t="s">
        <v>84</v>
      </c>
      <c r="E128" s="13" t="s">
        <v>30</v>
      </c>
      <c r="F128" s="5" t="s">
        <v>85</v>
      </c>
      <c r="G128" s="5" t="b">
        <v>0</v>
      </c>
      <c r="H128" s="5" t="s">
        <v>746</v>
      </c>
      <c r="I128" s="5">
        <v>17.0</v>
      </c>
      <c r="J128" s="5">
        <v>0.02</v>
      </c>
      <c r="K128" s="5">
        <v>2.76</v>
      </c>
    </row>
    <row r="129" ht="15.75" customHeight="1">
      <c r="A129" s="4" t="s">
        <v>747</v>
      </c>
      <c r="B129" s="11" t="s">
        <v>748</v>
      </c>
      <c r="C129" s="4" t="s">
        <v>116</v>
      </c>
      <c r="D129" s="12" t="s">
        <v>126</v>
      </c>
      <c r="E129" s="13" t="s">
        <v>30</v>
      </c>
      <c r="F129" s="5" t="s">
        <v>127</v>
      </c>
      <c r="G129" s="5" t="b">
        <v>0</v>
      </c>
      <c r="H129" s="5" t="s">
        <v>749</v>
      </c>
      <c r="I129" s="5">
        <v>17.0</v>
      </c>
      <c r="J129" s="5">
        <v>0.02</v>
      </c>
      <c r="K129" s="5">
        <v>1.82</v>
      </c>
    </row>
    <row r="130" ht="15.75" customHeight="1">
      <c r="A130" s="4" t="s">
        <v>750</v>
      </c>
      <c r="B130" s="11" t="s">
        <v>751</v>
      </c>
      <c r="C130" s="4" t="s">
        <v>18</v>
      </c>
      <c r="D130" s="12" t="s">
        <v>52</v>
      </c>
      <c r="E130" s="13" t="s">
        <v>53</v>
      </c>
      <c r="F130" s="5" t="s">
        <v>54</v>
      </c>
      <c r="G130" s="5" t="b">
        <v>0</v>
      </c>
      <c r="H130" s="5" t="s">
        <v>752</v>
      </c>
      <c r="I130" s="5">
        <v>16.0</v>
      </c>
      <c r="J130" s="5">
        <v>0.02</v>
      </c>
      <c r="K130" s="5">
        <v>0.38</v>
      </c>
    </row>
    <row r="131" ht="15.75" customHeight="1">
      <c r="A131" s="4" t="s">
        <v>753</v>
      </c>
      <c r="B131" s="11" t="s">
        <v>754</v>
      </c>
      <c r="C131" s="5" t="s">
        <v>388</v>
      </c>
      <c r="D131" s="12" t="s">
        <v>29</v>
      </c>
      <c r="E131" s="13" t="s">
        <v>53</v>
      </c>
      <c r="F131" s="5" t="s">
        <v>31</v>
      </c>
      <c r="G131" s="5" t="b">
        <v>0</v>
      </c>
      <c r="H131" s="5" t="s">
        <v>755</v>
      </c>
      <c r="I131" s="5">
        <v>16.0</v>
      </c>
      <c r="J131" s="5">
        <v>0.02</v>
      </c>
      <c r="K131" s="5">
        <v>0.13</v>
      </c>
    </row>
    <row r="132" ht="15.75" customHeight="1">
      <c r="A132" s="4" t="s">
        <v>756</v>
      </c>
      <c r="B132" s="11" t="s">
        <v>757</v>
      </c>
      <c r="C132" s="4" t="s">
        <v>50</v>
      </c>
      <c r="D132" s="12" t="s">
        <v>126</v>
      </c>
      <c r="E132" s="13" t="s">
        <v>53</v>
      </c>
      <c r="F132" s="5" t="s">
        <v>127</v>
      </c>
      <c r="G132" s="5" t="b">
        <v>0</v>
      </c>
      <c r="H132" s="5" t="s">
        <v>758</v>
      </c>
      <c r="I132" s="5">
        <v>16.0</v>
      </c>
      <c r="J132" s="5">
        <v>0.02</v>
      </c>
      <c r="K132" s="5">
        <v>1.19</v>
      </c>
    </row>
    <row r="133" ht="15.75" customHeight="1">
      <c r="A133" s="4" t="s">
        <v>759</v>
      </c>
      <c r="B133" s="11" t="s">
        <v>760</v>
      </c>
      <c r="C133" s="4" t="s">
        <v>243</v>
      </c>
      <c r="D133" s="12" t="s">
        <v>52</v>
      </c>
      <c r="E133" s="13" t="s">
        <v>30</v>
      </c>
      <c r="F133" s="5" t="s">
        <v>54</v>
      </c>
      <c r="G133" s="5" t="b">
        <v>0</v>
      </c>
      <c r="H133" s="5" t="s">
        <v>247</v>
      </c>
      <c r="I133" s="5">
        <v>16.0</v>
      </c>
      <c r="J133" s="5">
        <v>0.02</v>
      </c>
      <c r="K133" s="5">
        <v>1.13</v>
      </c>
    </row>
    <row r="134" ht="15.75" customHeight="1">
      <c r="A134" s="4" t="s">
        <v>761</v>
      </c>
      <c r="B134" s="11" t="s">
        <v>762</v>
      </c>
      <c r="C134" s="5" t="s">
        <v>63</v>
      </c>
      <c r="D134" s="12" t="s">
        <v>29</v>
      </c>
      <c r="E134" s="13" t="s">
        <v>30</v>
      </c>
      <c r="F134" s="5" t="s">
        <v>31</v>
      </c>
      <c r="G134" s="5" t="b">
        <v>0</v>
      </c>
      <c r="H134" s="5" t="s">
        <v>763</v>
      </c>
      <c r="I134" s="5">
        <v>16.0</v>
      </c>
      <c r="J134" s="5">
        <v>0.02</v>
      </c>
      <c r="K134" s="5">
        <v>0.63</v>
      </c>
    </row>
    <row r="135" ht="15.75" customHeight="1">
      <c r="A135" s="4" t="s">
        <v>764</v>
      </c>
      <c r="B135" s="11" t="s">
        <v>765</v>
      </c>
      <c r="C135" s="4" t="s">
        <v>390</v>
      </c>
      <c r="D135" s="12" t="s">
        <v>29</v>
      </c>
      <c r="E135" s="13" t="s">
        <v>53</v>
      </c>
      <c r="F135" s="5" t="s">
        <v>31</v>
      </c>
      <c r="G135" s="5" t="b">
        <v>0</v>
      </c>
      <c r="H135" s="5" t="s">
        <v>766</v>
      </c>
      <c r="I135" s="5">
        <v>16.0</v>
      </c>
      <c r="J135" s="5">
        <v>0.02</v>
      </c>
      <c r="K135" s="5">
        <v>0.25</v>
      </c>
    </row>
    <row r="136" ht="15.75" customHeight="1">
      <c r="A136" s="4" t="s">
        <v>767</v>
      </c>
      <c r="B136" s="13"/>
      <c r="C136" s="4" t="s">
        <v>92</v>
      </c>
      <c r="D136" s="12" t="s">
        <v>84</v>
      </c>
      <c r="E136" s="13" t="s">
        <v>84</v>
      </c>
      <c r="F136" s="5" t="s">
        <v>85</v>
      </c>
      <c r="H136" s="5" t="s">
        <v>233</v>
      </c>
      <c r="I136" s="5">
        <v>16.0</v>
      </c>
      <c r="J136" s="5">
        <v>0.02</v>
      </c>
      <c r="K136" s="5">
        <v>2.44</v>
      </c>
    </row>
    <row r="137" ht="15.75" customHeight="1">
      <c r="A137" s="4" t="s">
        <v>768</v>
      </c>
      <c r="B137" s="11" t="s">
        <v>769</v>
      </c>
      <c r="C137" s="4" t="s">
        <v>377</v>
      </c>
      <c r="D137" s="12" t="s">
        <v>126</v>
      </c>
      <c r="E137" s="13" t="s">
        <v>53</v>
      </c>
      <c r="F137" s="5" t="s">
        <v>127</v>
      </c>
      <c r="G137" s="5" t="b">
        <v>0</v>
      </c>
      <c r="H137" s="5" t="s">
        <v>770</v>
      </c>
      <c r="I137" s="5">
        <v>16.0</v>
      </c>
      <c r="J137" s="5">
        <v>0.02</v>
      </c>
      <c r="K137" s="5">
        <v>1.19</v>
      </c>
    </row>
    <row r="138" ht="15.75" customHeight="1">
      <c r="A138" s="4" t="s">
        <v>771</v>
      </c>
      <c r="B138" s="11" t="s">
        <v>80</v>
      </c>
      <c r="C138" s="4" t="s">
        <v>44</v>
      </c>
      <c r="D138" s="12" t="s">
        <v>84</v>
      </c>
      <c r="E138" s="13" t="s">
        <v>30</v>
      </c>
      <c r="F138" s="5" t="s">
        <v>85</v>
      </c>
      <c r="G138" s="5" t="b">
        <v>0</v>
      </c>
      <c r="H138" s="5" t="s">
        <v>86</v>
      </c>
      <c r="I138" s="5">
        <v>16.0</v>
      </c>
      <c r="J138" s="5">
        <v>0.02</v>
      </c>
      <c r="K138" s="5">
        <v>0.75</v>
      </c>
    </row>
    <row r="139" ht="15.75" customHeight="1">
      <c r="A139" s="4" t="s">
        <v>772</v>
      </c>
      <c r="B139" s="11" t="s">
        <v>773</v>
      </c>
      <c r="C139" s="4" t="s">
        <v>394</v>
      </c>
      <c r="D139" s="12" t="s">
        <v>29</v>
      </c>
      <c r="E139" s="13" t="s">
        <v>53</v>
      </c>
      <c r="F139" s="5" t="s">
        <v>31</v>
      </c>
      <c r="G139" s="5" t="b">
        <v>0</v>
      </c>
      <c r="H139" s="5" t="s">
        <v>396</v>
      </c>
      <c r="I139" s="5">
        <v>16.0</v>
      </c>
      <c r="J139" s="5">
        <v>0.02</v>
      </c>
      <c r="K139" s="5">
        <v>0.06</v>
      </c>
    </row>
    <row r="140" ht="15.75" customHeight="1">
      <c r="A140" s="4" t="s">
        <v>774</v>
      </c>
      <c r="B140" s="11" t="s">
        <v>775</v>
      </c>
      <c r="C140" s="4" t="s">
        <v>10</v>
      </c>
      <c r="D140" s="12" t="s">
        <v>52</v>
      </c>
      <c r="E140" s="13" t="s">
        <v>93</v>
      </c>
      <c r="F140" s="5" t="s">
        <v>54</v>
      </c>
      <c r="G140" s="5" t="b">
        <v>0</v>
      </c>
      <c r="H140" s="5" t="s">
        <v>776</v>
      </c>
      <c r="I140" s="5">
        <v>16.0</v>
      </c>
      <c r="J140" s="5">
        <v>0.02</v>
      </c>
      <c r="K140" s="5">
        <v>0.13</v>
      </c>
    </row>
    <row r="141" ht="15.75" customHeight="1">
      <c r="A141" s="4" t="s">
        <v>777</v>
      </c>
      <c r="B141" s="11" t="s">
        <v>779</v>
      </c>
      <c r="C141" s="4" t="s">
        <v>10</v>
      </c>
      <c r="D141" s="12" t="s">
        <v>52</v>
      </c>
      <c r="E141" s="13" t="s">
        <v>93</v>
      </c>
      <c r="F141" s="5" t="s">
        <v>54</v>
      </c>
      <c r="G141" s="5" t="b">
        <v>0</v>
      </c>
      <c r="H141" s="5" t="s">
        <v>780</v>
      </c>
      <c r="I141" s="5">
        <v>16.0</v>
      </c>
      <c r="J141" s="5">
        <v>0.02</v>
      </c>
      <c r="K141" s="5">
        <v>0.0</v>
      </c>
    </row>
    <row r="142" ht="15.75" customHeight="1">
      <c r="A142" s="4" t="s">
        <v>781</v>
      </c>
      <c r="B142" s="11" t="s">
        <v>783</v>
      </c>
      <c r="C142" s="4" t="s">
        <v>397</v>
      </c>
      <c r="D142" s="12" t="s">
        <v>29</v>
      </c>
      <c r="E142" s="13" t="s">
        <v>53</v>
      </c>
      <c r="F142" s="5" t="s">
        <v>31</v>
      </c>
      <c r="G142" s="5" t="b">
        <v>0</v>
      </c>
      <c r="H142" s="5" t="s">
        <v>399</v>
      </c>
      <c r="I142" s="5">
        <v>16.0</v>
      </c>
      <c r="J142" s="5">
        <v>0.02</v>
      </c>
      <c r="K142" s="5">
        <v>0.19</v>
      </c>
    </row>
    <row r="143" ht="15.75" customHeight="1">
      <c r="A143" s="4" t="s">
        <v>787</v>
      </c>
      <c r="B143" s="11" t="s">
        <v>789</v>
      </c>
      <c r="C143" s="4" t="s">
        <v>179</v>
      </c>
      <c r="D143" s="12" t="s">
        <v>29</v>
      </c>
      <c r="E143" s="13" t="s">
        <v>53</v>
      </c>
      <c r="F143" s="5" t="s">
        <v>31</v>
      </c>
      <c r="G143" s="5" t="b">
        <v>0</v>
      </c>
      <c r="H143" s="5" t="s">
        <v>792</v>
      </c>
      <c r="I143" s="5">
        <v>16.0</v>
      </c>
      <c r="J143" s="5">
        <v>0.02</v>
      </c>
      <c r="K143" s="5">
        <v>4.94</v>
      </c>
    </row>
    <row r="144" ht="15.75" customHeight="1">
      <c r="A144" s="4" t="s">
        <v>794</v>
      </c>
      <c r="B144" s="11" t="s">
        <v>796</v>
      </c>
      <c r="C144" s="4" t="s">
        <v>275</v>
      </c>
      <c r="D144" s="12" t="s">
        <v>29</v>
      </c>
      <c r="E144" s="13" t="s">
        <v>53</v>
      </c>
      <c r="F144" s="5" t="s">
        <v>31</v>
      </c>
      <c r="G144" s="5" t="b">
        <v>0</v>
      </c>
      <c r="H144" s="5" t="s">
        <v>799</v>
      </c>
      <c r="I144" s="5">
        <v>15.0</v>
      </c>
      <c r="J144" s="5">
        <v>0.01</v>
      </c>
      <c r="K144" s="5">
        <v>1.47</v>
      </c>
    </row>
    <row r="145" ht="15.75" customHeight="1">
      <c r="A145" s="4" t="s">
        <v>801</v>
      </c>
      <c r="B145" s="11" t="s">
        <v>804</v>
      </c>
      <c r="C145" s="4" t="s">
        <v>412</v>
      </c>
      <c r="D145" s="12" t="s">
        <v>29</v>
      </c>
      <c r="E145" s="13" t="s">
        <v>30</v>
      </c>
      <c r="F145" s="5" t="s">
        <v>31</v>
      </c>
      <c r="G145" s="5" t="b">
        <v>0</v>
      </c>
      <c r="H145" s="5" t="s">
        <v>805</v>
      </c>
      <c r="I145" s="5">
        <v>15.0</v>
      </c>
      <c r="J145" s="5">
        <v>0.01</v>
      </c>
      <c r="K145" s="5">
        <v>0.6</v>
      </c>
    </row>
    <row r="146" ht="15.75" customHeight="1">
      <c r="A146" s="4" t="s">
        <v>807</v>
      </c>
      <c r="B146" s="11" t="s">
        <v>809</v>
      </c>
      <c r="C146" s="4" t="s">
        <v>416</v>
      </c>
      <c r="D146" s="12" t="s">
        <v>29</v>
      </c>
      <c r="E146" s="13" t="s">
        <v>53</v>
      </c>
      <c r="F146" s="5" t="s">
        <v>31</v>
      </c>
      <c r="G146" s="5" t="b">
        <v>0</v>
      </c>
      <c r="H146" s="5" t="s">
        <v>813</v>
      </c>
      <c r="I146" s="5">
        <v>15.0</v>
      </c>
      <c r="J146" s="5">
        <v>0.01</v>
      </c>
      <c r="K146" s="5">
        <v>0.0</v>
      </c>
    </row>
    <row r="147" ht="15.75" customHeight="1">
      <c r="A147" s="4" t="s">
        <v>814</v>
      </c>
      <c r="B147" s="11" t="s">
        <v>817</v>
      </c>
      <c r="C147" s="4" t="s">
        <v>47</v>
      </c>
      <c r="D147" s="12" t="s">
        <v>29</v>
      </c>
      <c r="E147" s="13" t="s">
        <v>30</v>
      </c>
      <c r="F147" s="5" t="s">
        <v>31</v>
      </c>
      <c r="G147" s="5" t="b">
        <v>0</v>
      </c>
      <c r="H147" s="5" t="s">
        <v>818</v>
      </c>
      <c r="I147" s="5">
        <v>15.0</v>
      </c>
      <c r="J147" s="5">
        <v>0.01</v>
      </c>
      <c r="K147" s="5">
        <v>0.6</v>
      </c>
    </row>
    <row r="148" ht="15.75" customHeight="1">
      <c r="A148" s="4" t="s">
        <v>821</v>
      </c>
      <c r="B148" s="11" t="s">
        <v>823</v>
      </c>
      <c r="C148" s="4" t="s">
        <v>140</v>
      </c>
      <c r="D148" s="12" t="s">
        <v>29</v>
      </c>
      <c r="E148" s="13" t="s">
        <v>30</v>
      </c>
      <c r="F148" s="5" t="s">
        <v>31</v>
      </c>
      <c r="G148" s="5" t="b">
        <v>0</v>
      </c>
      <c r="H148" s="5" t="s">
        <v>824</v>
      </c>
      <c r="I148" s="5">
        <v>15.0</v>
      </c>
      <c r="J148" s="5">
        <v>0.01</v>
      </c>
      <c r="K148" s="5">
        <v>0.47</v>
      </c>
    </row>
    <row r="149" ht="15.75" customHeight="1">
      <c r="A149" s="4" t="s">
        <v>826</v>
      </c>
      <c r="B149" s="11" t="s">
        <v>829</v>
      </c>
      <c r="C149" s="4" t="s">
        <v>108</v>
      </c>
      <c r="D149" s="12" t="s">
        <v>29</v>
      </c>
      <c r="E149" s="13" t="s">
        <v>53</v>
      </c>
      <c r="F149" s="5" t="s">
        <v>31</v>
      </c>
      <c r="G149" s="5" t="b">
        <v>0</v>
      </c>
      <c r="H149" s="5" t="s">
        <v>830</v>
      </c>
      <c r="I149" s="5">
        <v>15.0</v>
      </c>
      <c r="J149" s="5">
        <v>0.01</v>
      </c>
      <c r="K149" s="5">
        <v>1.07</v>
      </c>
    </row>
    <row r="150" ht="15.75" customHeight="1">
      <c r="A150" s="4" t="s">
        <v>832</v>
      </c>
      <c r="B150" s="11" t="s">
        <v>835</v>
      </c>
      <c r="C150" s="4" t="s">
        <v>89</v>
      </c>
      <c r="D150" s="12" t="s">
        <v>29</v>
      </c>
      <c r="E150" s="13" t="s">
        <v>30</v>
      </c>
      <c r="F150" s="5" t="s">
        <v>31</v>
      </c>
      <c r="G150" s="5" t="b">
        <v>0</v>
      </c>
      <c r="H150" s="5" t="s">
        <v>836</v>
      </c>
      <c r="I150" s="5">
        <v>15.0</v>
      </c>
      <c r="J150" s="5">
        <v>0.01</v>
      </c>
      <c r="K150" s="5">
        <v>0.07</v>
      </c>
    </row>
    <row r="151" ht="15.75" customHeight="1">
      <c r="A151" s="4" t="s">
        <v>837</v>
      </c>
      <c r="B151" s="11" t="s">
        <v>839</v>
      </c>
      <c r="C151" s="5" t="s">
        <v>73</v>
      </c>
      <c r="D151" s="12" t="s">
        <v>29</v>
      </c>
      <c r="E151" s="13" t="s">
        <v>53</v>
      </c>
      <c r="F151" s="5" t="s">
        <v>31</v>
      </c>
      <c r="G151" s="5" t="b">
        <v>0</v>
      </c>
      <c r="H151" s="5" t="s">
        <v>841</v>
      </c>
      <c r="I151" s="5">
        <v>15.0</v>
      </c>
      <c r="J151" s="5">
        <v>0.01</v>
      </c>
      <c r="K151" s="5">
        <v>0.2</v>
      </c>
    </row>
    <row r="152" ht="15.75" customHeight="1">
      <c r="A152" s="4" t="s">
        <v>842</v>
      </c>
      <c r="B152" s="11" t="s">
        <v>845</v>
      </c>
      <c r="C152" s="4" t="s">
        <v>282</v>
      </c>
      <c r="D152" s="12" t="s">
        <v>84</v>
      </c>
      <c r="E152" s="13" t="s">
        <v>53</v>
      </c>
      <c r="F152" s="5" t="s">
        <v>85</v>
      </c>
      <c r="G152" s="5" t="b">
        <v>0</v>
      </c>
      <c r="H152" s="5" t="s">
        <v>283</v>
      </c>
      <c r="I152" s="5">
        <v>15.0</v>
      </c>
      <c r="J152" s="5">
        <v>0.01</v>
      </c>
      <c r="K152" s="5">
        <v>0.27</v>
      </c>
    </row>
    <row r="153" ht="15.75" customHeight="1">
      <c r="A153" s="4" t="s">
        <v>849</v>
      </c>
      <c r="B153" s="11" t="s">
        <v>850</v>
      </c>
      <c r="C153" s="4" t="s">
        <v>21</v>
      </c>
      <c r="D153" s="12" t="s">
        <v>29</v>
      </c>
      <c r="E153" s="13" t="s">
        <v>30</v>
      </c>
      <c r="F153" s="5" t="s">
        <v>31</v>
      </c>
      <c r="G153" s="5" t="b">
        <v>0</v>
      </c>
      <c r="H153" s="5" t="s">
        <v>852</v>
      </c>
      <c r="I153" s="5">
        <v>15.0</v>
      </c>
      <c r="J153" s="5">
        <v>0.01</v>
      </c>
      <c r="K153" s="5">
        <v>0.67</v>
      </c>
    </row>
    <row r="154" ht="15.75" customHeight="1">
      <c r="A154" s="4" t="s">
        <v>854</v>
      </c>
      <c r="B154" s="11" t="s">
        <v>857</v>
      </c>
      <c r="C154" s="4" t="s">
        <v>70</v>
      </c>
      <c r="D154" s="12" t="s">
        <v>29</v>
      </c>
      <c r="E154" s="13" t="s">
        <v>30</v>
      </c>
      <c r="F154" s="5" t="s">
        <v>31</v>
      </c>
      <c r="G154" s="5" t="b">
        <v>0</v>
      </c>
      <c r="H154" s="5" t="s">
        <v>858</v>
      </c>
      <c r="I154" s="5">
        <v>15.0</v>
      </c>
      <c r="J154" s="5">
        <v>0.01</v>
      </c>
      <c r="K154" s="5">
        <v>2.4</v>
      </c>
    </row>
    <row r="155" ht="15.75" customHeight="1">
      <c r="A155" s="4" t="s">
        <v>859</v>
      </c>
      <c r="B155" s="11" t="s">
        <v>861</v>
      </c>
      <c r="C155" s="4" t="s">
        <v>254</v>
      </c>
      <c r="D155" s="12" t="s">
        <v>29</v>
      </c>
      <c r="E155" s="13" t="s">
        <v>30</v>
      </c>
      <c r="F155" s="5" t="s">
        <v>31</v>
      </c>
      <c r="G155" s="5" t="b">
        <v>0</v>
      </c>
      <c r="H155" s="5" t="s">
        <v>864</v>
      </c>
      <c r="I155" s="5">
        <v>15.0</v>
      </c>
      <c r="J155" s="5">
        <v>0.01</v>
      </c>
      <c r="K155" s="5">
        <v>1.67</v>
      </c>
    </row>
    <row r="156" ht="15.75" customHeight="1">
      <c r="A156" s="4" t="s">
        <v>865</v>
      </c>
      <c r="B156" s="11" t="s">
        <v>867</v>
      </c>
      <c r="C156" s="4" t="s">
        <v>220</v>
      </c>
      <c r="D156" s="12" t="s">
        <v>29</v>
      </c>
      <c r="E156" s="13" t="s">
        <v>53</v>
      </c>
      <c r="F156" s="5" t="s">
        <v>31</v>
      </c>
      <c r="G156" s="5" t="b">
        <v>0</v>
      </c>
      <c r="H156" s="5" t="s">
        <v>871</v>
      </c>
      <c r="I156" s="5">
        <v>15.0</v>
      </c>
      <c r="J156" s="5">
        <v>0.01</v>
      </c>
      <c r="K156" s="5">
        <v>2.73</v>
      </c>
    </row>
    <row r="157" ht="15.75" customHeight="1">
      <c r="A157" s="4" t="s">
        <v>873</v>
      </c>
      <c r="B157" s="11" t="s">
        <v>876</v>
      </c>
      <c r="C157" s="4" t="s">
        <v>10</v>
      </c>
      <c r="D157" s="12" t="s">
        <v>52</v>
      </c>
      <c r="E157" s="13" t="s">
        <v>93</v>
      </c>
      <c r="F157" s="5" t="s">
        <v>54</v>
      </c>
      <c r="G157" s="5" t="b">
        <v>0</v>
      </c>
      <c r="H157" s="5" t="s">
        <v>877</v>
      </c>
      <c r="I157" s="5">
        <v>15.0</v>
      </c>
      <c r="J157" s="5">
        <v>0.01</v>
      </c>
      <c r="K157" s="5">
        <v>0.07</v>
      </c>
    </row>
    <row r="158" ht="15.75" customHeight="1">
      <c r="A158" s="4" t="s">
        <v>879</v>
      </c>
      <c r="B158" s="11" t="s">
        <v>883</v>
      </c>
      <c r="C158" s="4" t="s">
        <v>10</v>
      </c>
      <c r="D158" s="12" t="s">
        <v>52</v>
      </c>
      <c r="E158" s="13" t="s">
        <v>93</v>
      </c>
      <c r="F158" s="5" t="s">
        <v>54</v>
      </c>
      <c r="G158" s="5" t="b">
        <v>0</v>
      </c>
      <c r="H158" s="5" t="s">
        <v>884</v>
      </c>
      <c r="I158" s="5">
        <v>15.0</v>
      </c>
      <c r="J158" s="5">
        <v>0.01</v>
      </c>
      <c r="K158" s="5">
        <v>0.47</v>
      </c>
    </row>
    <row r="159" ht="15.75" customHeight="1">
      <c r="A159" s="4" t="s">
        <v>885</v>
      </c>
      <c r="B159" s="11" t="s">
        <v>889</v>
      </c>
      <c r="C159" s="4" t="s">
        <v>10</v>
      </c>
      <c r="D159" s="12" t="s">
        <v>52</v>
      </c>
      <c r="E159" s="13" t="s">
        <v>93</v>
      </c>
      <c r="F159" s="5" t="s">
        <v>54</v>
      </c>
      <c r="G159" s="5" t="b">
        <v>0</v>
      </c>
      <c r="H159" s="5" t="s">
        <v>890</v>
      </c>
      <c r="I159" s="5">
        <v>15.0</v>
      </c>
      <c r="J159" s="5">
        <v>0.01</v>
      </c>
      <c r="K159" s="5">
        <v>0.13</v>
      </c>
    </row>
    <row r="160" ht="15.75" customHeight="1">
      <c r="A160" s="4" t="s">
        <v>891</v>
      </c>
      <c r="B160" s="11" t="s">
        <v>894</v>
      </c>
      <c r="C160" s="4" t="s">
        <v>10</v>
      </c>
      <c r="D160" s="12" t="s">
        <v>52</v>
      </c>
      <c r="E160" s="13" t="s">
        <v>93</v>
      </c>
      <c r="F160" s="5" t="s">
        <v>54</v>
      </c>
      <c r="G160" s="5" t="b">
        <v>0</v>
      </c>
      <c r="H160" s="5" t="s">
        <v>896</v>
      </c>
      <c r="I160" s="5">
        <v>15.0</v>
      </c>
      <c r="J160" s="5">
        <v>0.01</v>
      </c>
      <c r="K160" s="5">
        <v>0.0</v>
      </c>
    </row>
    <row r="161" ht="15.75" customHeight="1">
      <c r="A161" s="4" t="s">
        <v>897</v>
      </c>
      <c r="B161" s="11" t="s">
        <v>899</v>
      </c>
      <c r="C161" s="4" t="s">
        <v>453</v>
      </c>
      <c r="D161" s="12" t="s">
        <v>29</v>
      </c>
      <c r="E161" s="13" t="s">
        <v>53</v>
      </c>
      <c r="F161" s="5" t="s">
        <v>31</v>
      </c>
      <c r="G161" s="5" t="b">
        <v>0</v>
      </c>
      <c r="H161" s="5" t="s">
        <v>903</v>
      </c>
      <c r="I161" s="5">
        <v>14.0</v>
      </c>
      <c r="J161" s="5">
        <v>0.01</v>
      </c>
      <c r="K161" s="5">
        <v>0.29</v>
      </c>
    </row>
    <row r="162" ht="15.75" customHeight="1">
      <c r="A162" s="4" t="s">
        <v>904</v>
      </c>
      <c r="B162" s="11" t="s">
        <v>907</v>
      </c>
      <c r="C162" s="4" t="s">
        <v>457</v>
      </c>
      <c r="D162" s="12" t="s">
        <v>261</v>
      </c>
      <c r="E162" s="13" t="s">
        <v>53</v>
      </c>
      <c r="F162" s="5" t="s">
        <v>263</v>
      </c>
      <c r="G162" s="5" t="b">
        <v>0</v>
      </c>
      <c r="H162" s="5" t="s">
        <v>458</v>
      </c>
      <c r="I162" s="5">
        <v>14.0</v>
      </c>
      <c r="J162" s="5">
        <v>0.01</v>
      </c>
      <c r="K162" s="5">
        <v>0.64</v>
      </c>
    </row>
    <row r="163" ht="15.75" customHeight="1">
      <c r="A163" s="4" t="s">
        <v>910</v>
      </c>
      <c r="B163" s="11" t="s">
        <v>913</v>
      </c>
      <c r="C163" s="4" t="s">
        <v>429</v>
      </c>
      <c r="D163" s="12" t="s">
        <v>29</v>
      </c>
      <c r="E163" s="13" t="s">
        <v>53</v>
      </c>
      <c r="F163" s="5" t="s">
        <v>31</v>
      </c>
      <c r="G163" s="5" t="b">
        <v>0</v>
      </c>
      <c r="H163" s="5" t="s">
        <v>916</v>
      </c>
      <c r="I163" s="5">
        <v>14.0</v>
      </c>
      <c r="J163" s="5">
        <v>0.01</v>
      </c>
      <c r="K163" s="5">
        <v>0.5</v>
      </c>
    </row>
    <row r="164" ht="15.75" customHeight="1">
      <c r="A164" s="4" t="s">
        <v>918</v>
      </c>
      <c r="B164" s="11" t="s">
        <v>920</v>
      </c>
      <c r="C164" s="4" t="s">
        <v>429</v>
      </c>
      <c r="D164" s="12" t="s">
        <v>29</v>
      </c>
      <c r="E164" s="13" t="s">
        <v>53</v>
      </c>
      <c r="F164" s="5" t="s">
        <v>31</v>
      </c>
      <c r="G164" s="5" t="b">
        <v>0</v>
      </c>
      <c r="H164" s="5" t="s">
        <v>824</v>
      </c>
      <c r="I164" s="5">
        <v>14.0</v>
      </c>
      <c r="J164" s="5">
        <v>0.01</v>
      </c>
      <c r="K164" s="5">
        <v>0.14</v>
      </c>
    </row>
    <row r="165" ht="15.75" customHeight="1">
      <c r="A165" s="4" t="s">
        <v>922</v>
      </c>
      <c r="B165" s="11" t="s">
        <v>923</v>
      </c>
      <c r="C165" s="4" t="s">
        <v>460</v>
      </c>
      <c r="D165" s="12" t="s">
        <v>29</v>
      </c>
      <c r="E165" s="13" t="s">
        <v>53</v>
      </c>
      <c r="F165" s="5" t="s">
        <v>31</v>
      </c>
      <c r="G165" s="5" t="b">
        <v>0</v>
      </c>
      <c r="H165" s="5" t="s">
        <v>927</v>
      </c>
      <c r="I165" s="5">
        <v>14.0</v>
      </c>
      <c r="J165" s="5">
        <v>0.01</v>
      </c>
      <c r="K165" s="5">
        <v>1.14</v>
      </c>
    </row>
    <row r="166" ht="15.75" customHeight="1">
      <c r="A166" s="4" t="s">
        <v>928</v>
      </c>
      <c r="B166" s="11" t="s">
        <v>930</v>
      </c>
      <c r="C166" s="4" t="s">
        <v>275</v>
      </c>
      <c r="D166" s="12" t="s">
        <v>29</v>
      </c>
      <c r="E166" s="13" t="s">
        <v>53</v>
      </c>
      <c r="F166" s="5" t="s">
        <v>31</v>
      </c>
      <c r="G166" s="5" t="b">
        <v>0</v>
      </c>
      <c r="H166" s="5" t="s">
        <v>931</v>
      </c>
      <c r="I166" s="5">
        <v>14.0</v>
      </c>
      <c r="J166" s="5">
        <v>0.01</v>
      </c>
      <c r="K166" s="5">
        <v>0.86</v>
      </c>
    </row>
    <row r="167" ht="15.75" customHeight="1">
      <c r="A167" s="4" t="s">
        <v>932</v>
      </c>
      <c r="B167" s="11" t="s">
        <v>934</v>
      </c>
      <c r="C167" s="4" t="s">
        <v>123</v>
      </c>
      <c r="D167" s="12" t="s">
        <v>29</v>
      </c>
      <c r="E167" s="13" t="s">
        <v>30</v>
      </c>
      <c r="F167" s="5" t="s">
        <v>31</v>
      </c>
      <c r="G167" s="5" t="b">
        <v>0</v>
      </c>
      <c r="H167" s="5" t="s">
        <v>937</v>
      </c>
      <c r="I167" s="5">
        <v>14.0</v>
      </c>
      <c r="J167" s="5">
        <v>0.01</v>
      </c>
      <c r="K167" s="5">
        <v>1.5</v>
      </c>
    </row>
    <row r="168" ht="15.75" customHeight="1">
      <c r="A168" s="4" t="s">
        <v>939</v>
      </c>
      <c r="B168" s="11" t="s">
        <v>941</v>
      </c>
      <c r="C168" s="4" t="s">
        <v>380</v>
      </c>
      <c r="D168" s="12" t="s">
        <v>29</v>
      </c>
      <c r="E168" s="13" t="s">
        <v>53</v>
      </c>
      <c r="F168" s="5" t="s">
        <v>31</v>
      </c>
      <c r="G168" s="5" t="b">
        <v>0</v>
      </c>
      <c r="I168" s="5">
        <v>14.0</v>
      </c>
      <c r="J168" s="5">
        <v>0.01</v>
      </c>
      <c r="K168" s="5">
        <v>1.29</v>
      </c>
    </row>
    <row r="169" ht="15.75" customHeight="1">
      <c r="A169" s="4" t="s">
        <v>946</v>
      </c>
      <c r="B169" s="11" t="s">
        <v>949</v>
      </c>
      <c r="C169" s="4" t="s">
        <v>305</v>
      </c>
      <c r="D169" s="12" t="s">
        <v>29</v>
      </c>
      <c r="E169" s="13" t="s">
        <v>81</v>
      </c>
      <c r="F169" s="5" t="s">
        <v>31</v>
      </c>
      <c r="G169" s="5" t="b">
        <v>0</v>
      </c>
      <c r="H169" s="5" t="s">
        <v>952</v>
      </c>
      <c r="I169" s="5">
        <v>14.0</v>
      </c>
      <c r="J169" s="5">
        <v>0.01</v>
      </c>
      <c r="K169" s="5">
        <v>0.43</v>
      </c>
    </row>
    <row r="170" ht="15.75" customHeight="1">
      <c r="A170" s="4" t="s">
        <v>956</v>
      </c>
      <c r="B170" s="11" t="s">
        <v>957</v>
      </c>
      <c r="C170" s="4" t="s">
        <v>151</v>
      </c>
      <c r="D170" s="12" t="s">
        <v>29</v>
      </c>
      <c r="E170" s="13" t="s">
        <v>30</v>
      </c>
      <c r="F170" s="5" t="s">
        <v>31</v>
      </c>
      <c r="G170" s="5" t="b">
        <v>0</v>
      </c>
      <c r="H170" s="5" t="s">
        <v>960</v>
      </c>
      <c r="I170" s="5">
        <v>14.0</v>
      </c>
      <c r="J170" s="5">
        <v>0.01</v>
      </c>
      <c r="K170" s="5">
        <v>0.64</v>
      </c>
    </row>
    <row r="171" ht="15.75" customHeight="1">
      <c r="A171" s="4" t="s">
        <v>962</v>
      </c>
      <c r="B171" s="11" t="s">
        <v>964</v>
      </c>
      <c r="C171" s="4" t="s">
        <v>468</v>
      </c>
      <c r="D171" s="12" t="s">
        <v>29</v>
      </c>
      <c r="E171" s="13" t="s">
        <v>53</v>
      </c>
      <c r="F171" s="5" t="s">
        <v>31</v>
      </c>
      <c r="G171" s="5" t="b">
        <v>0</v>
      </c>
      <c r="H171" s="5" t="s">
        <v>396</v>
      </c>
      <c r="I171" s="5">
        <v>14.0</v>
      </c>
      <c r="J171" s="5">
        <v>0.01</v>
      </c>
      <c r="K171" s="5">
        <v>2.36</v>
      </c>
    </row>
    <row r="172" ht="15.75" customHeight="1">
      <c r="A172" s="4" t="s">
        <v>966</v>
      </c>
      <c r="B172" s="11" t="s">
        <v>969</v>
      </c>
      <c r="C172" s="4" t="s">
        <v>472</v>
      </c>
      <c r="D172" s="12" t="s">
        <v>467</v>
      </c>
      <c r="E172" s="13" t="s">
        <v>53</v>
      </c>
      <c r="F172" s="5" t="s">
        <v>469</v>
      </c>
      <c r="G172" s="5" t="b">
        <v>0</v>
      </c>
      <c r="H172" s="5" t="s">
        <v>475</v>
      </c>
      <c r="I172" s="5">
        <v>14.0</v>
      </c>
      <c r="J172" s="5">
        <v>0.01</v>
      </c>
      <c r="K172" s="5">
        <v>1.14</v>
      </c>
    </row>
    <row r="173" ht="15.75" customHeight="1">
      <c r="A173" s="4" t="s">
        <v>972</v>
      </c>
      <c r="B173" s="11" t="s">
        <v>974</v>
      </c>
      <c r="C173" s="4" t="s">
        <v>336</v>
      </c>
      <c r="D173" s="12" t="s">
        <v>29</v>
      </c>
      <c r="E173" s="13" t="s">
        <v>53</v>
      </c>
      <c r="F173" s="5" t="s">
        <v>31</v>
      </c>
      <c r="G173" s="5" t="b">
        <v>0</v>
      </c>
      <c r="H173" s="5" t="s">
        <v>977</v>
      </c>
      <c r="I173" s="5">
        <v>14.0</v>
      </c>
      <c r="J173" s="5">
        <v>0.01</v>
      </c>
      <c r="K173" s="5">
        <v>0.36</v>
      </c>
    </row>
    <row r="174" ht="15.75" customHeight="1">
      <c r="A174" s="4" t="s">
        <v>979</v>
      </c>
      <c r="B174" s="11" t="s">
        <v>982</v>
      </c>
      <c r="C174" s="4" t="s">
        <v>70</v>
      </c>
      <c r="D174" s="12" t="s">
        <v>29</v>
      </c>
      <c r="E174" s="13" t="s">
        <v>30</v>
      </c>
      <c r="F174" s="5" t="s">
        <v>31</v>
      </c>
      <c r="G174" s="5" t="b">
        <v>0</v>
      </c>
      <c r="H174" s="5" t="s">
        <v>984</v>
      </c>
      <c r="I174" s="5">
        <v>14.0</v>
      </c>
      <c r="J174" s="5">
        <v>0.01</v>
      </c>
      <c r="K174" s="5">
        <v>0.79</v>
      </c>
    </row>
    <row r="175" ht="15.75" customHeight="1">
      <c r="A175" s="4" t="s">
        <v>986</v>
      </c>
      <c r="B175" s="11" t="s">
        <v>989</v>
      </c>
      <c r="C175" s="4" t="s">
        <v>70</v>
      </c>
      <c r="D175" s="12" t="s">
        <v>29</v>
      </c>
      <c r="E175" s="13" t="s">
        <v>30</v>
      </c>
      <c r="F175" s="5" t="s">
        <v>31</v>
      </c>
      <c r="G175" s="5" t="b">
        <v>0</v>
      </c>
      <c r="H175" s="5" t="s">
        <v>990</v>
      </c>
      <c r="I175" s="5">
        <v>14.0</v>
      </c>
      <c r="J175" s="5">
        <v>0.01</v>
      </c>
      <c r="K175" s="5">
        <v>0.64</v>
      </c>
    </row>
    <row r="176" ht="15.75" customHeight="1">
      <c r="A176" s="4" t="s">
        <v>992</v>
      </c>
      <c r="B176" s="11" t="s">
        <v>994</v>
      </c>
      <c r="C176" s="4" t="s">
        <v>79</v>
      </c>
      <c r="D176" s="12" t="s">
        <v>996</v>
      </c>
      <c r="E176" s="13" t="s">
        <v>81</v>
      </c>
      <c r="F176" s="5" t="s">
        <v>997</v>
      </c>
      <c r="G176" s="5" t="b">
        <v>0</v>
      </c>
      <c r="H176" s="5" t="s">
        <v>998</v>
      </c>
      <c r="I176" s="5">
        <v>14.0</v>
      </c>
      <c r="J176" s="5">
        <v>0.01</v>
      </c>
      <c r="K176" s="5">
        <v>1.21</v>
      </c>
    </row>
    <row r="177" ht="15.75" customHeight="1">
      <c r="A177" s="4" t="s">
        <v>1000</v>
      </c>
      <c r="B177" s="11" t="s">
        <v>1003</v>
      </c>
      <c r="C177" s="4" t="s">
        <v>133</v>
      </c>
      <c r="D177" s="12" t="s">
        <v>29</v>
      </c>
      <c r="E177" s="13" t="s">
        <v>53</v>
      </c>
      <c r="F177" s="5" t="s">
        <v>31</v>
      </c>
      <c r="G177" s="5" t="b">
        <v>0</v>
      </c>
      <c r="H177" s="5" t="s">
        <v>1005</v>
      </c>
      <c r="I177" s="5">
        <v>14.0</v>
      </c>
      <c r="J177" s="5">
        <v>0.01</v>
      </c>
      <c r="K177" s="5">
        <v>0.07</v>
      </c>
    </row>
    <row r="178" ht="15.75" customHeight="1">
      <c r="A178" s="4" t="s">
        <v>1006</v>
      </c>
      <c r="B178" s="11" t="s">
        <v>1010</v>
      </c>
      <c r="C178" s="4" t="s">
        <v>179</v>
      </c>
      <c r="D178" s="12" t="s">
        <v>29</v>
      </c>
      <c r="E178" s="13" t="s">
        <v>53</v>
      </c>
      <c r="F178" s="5" t="s">
        <v>31</v>
      </c>
      <c r="G178" s="5" t="b">
        <v>0</v>
      </c>
      <c r="H178" s="5" t="s">
        <v>1012</v>
      </c>
      <c r="I178" s="5">
        <v>14.0</v>
      </c>
      <c r="J178" s="5">
        <v>0.01</v>
      </c>
      <c r="K178" s="5">
        <v>1.0</v>
      </c>
    </row>
    <row r="179" ht="15.75" customHeight="1">
      <c r="A179" s="4" t="s">
        <v>1013</v>
      </c>
      <c r="B179" s="11" t="s">
        <v>1016</v>
      </c>
      <c r="C179" s="4" t="s">
        <v>35</v>
      </c>
      <c r="D179" s="12" t="s">
        <v>84</v>
      </c>
      <c r="E179" s="13" t="s">
        <v>53</v>
      </c>
      <c r="F179" s="5" t="s">
        <v>85</v>
      </c>
      <c r="G179" s="5" t="b">
        <v>0</v>
      </c>
      <c r="H179" s="5" t="s">
        <v>1019</v>
      </c>
      <c r="I179" s="5">
        <v>13.0</v>
      </c>
      <c r="J179" s="5">
        <v>0.01</v>
      </c>
      <c r="K179" s="5">
        <v>0.0</v>
      </c>
    </row>
    <row r="180" ht="15.75" customHeight="1">
      <c r="A180" s="4" t="s">
        <v>1020</v>
      </c>
      <c r="B180" s="11" t="s">
        <v>1023</v>
      </c>
      <c r="C180" s="4" t="s">
        <v>123</v>
      </c>
      <c r="D180" s="12" t="s">
        <v>29</v>
      </c>
      <c r="E180" s="13" t="s">
        <v>30</v>
      </c>
      <c r="F180" s="5" t="s">
        <v>31</v>
      </c>
      <c r="G180" s="5" t="b">
        <v>0</v>
      </c>
      <c r="H180" s="5" t="s">
        <v>937</v>
      </c>
      <c r="I180" s="5">
        <v>13.0</v>
      </c>
      <c r="J180" s="5">
        <v>0.01</v>
      </c>
      <c r="K180" s="5">
        <v>0.77</v>
      </c>
    </row>
    <row r="181" ht="15.75" customHeight="1">
      <c r="A181" s="4" t="s">
        <v>1025</v>
      </c>
      <c r="B181" s="11" t="s">
        <v>1027</v>
      </c>
      <c r="C181" s="4" t="s">
        <v>492</v>
      </c>
      <c r="D181" s="12" t="s">
        <v>29</v>
      </c>
      <c r="E181" s="13" t="s">
        <v>53</v>
      </c>
      <c r="F181" s="5" t="s">
        <v>31</v>
      </c>
      <c r="G181" s="5" t="b">
        <v>0</v>
      </c>
      <c r="H181" s="5" t="s">
        <v>1030</v>
      </c>
      <c r="I181" s="5">
        <v>13.0</v>
      </c>
      <c r="J181" s="5">
        <v>0.01</v>
      </c>
      <c r="K181" s="5">
        <v>0.15</v>
      </c>
    </row>
    <row r="182" ht="15.75" customHeight="1">
      <c r="A182" s="4" t="s">
        <v>1033</v>
      </c>
      <c r="B182" s="11" t="s">
        <v>1035</v>
      </c>
      <c r="C182" s="4" t="s">
        <v>18</v>
      </c>
      <c r="D182" s="12" t="s">
        <v>52</v>
      </c>
      <c r="E182" s="13" t="s">
        <v>53</v>
      </c>
      <c r="F182" s="5" t="s">
        <v>54</v>
      </c>
      <c r="G182" s="5" t="b">
        <v>0</v>
      </c>
      <c r="H182" s="5" t="s">
        <v>1037</v>
      </c>
      <c r="I182" s="5">
        <v>13.0</v>
      </c>
      <c r="J182" s="5">
        <v>0.01</v>
      </c>
      <c r="K182" s="5">
        <v>0.23</v>
      </c>
    </row>
    <row r="183" ht="15.75" customHeight="1">
      <c r="A183" s="4" t="s">
        <v>1038</v>
      </c>
      <c r="B183" s="11" t="s">
        <v>1042</v>
      </c>
      <c r="C183" s="4" t="s">
        <v>151</v>
      </c>
      <c r="D183" s="12" t="s">
        <v>29</v>
      </c>
      <c r="E183" s="13" t="s">
        <v>30</v>
      </c>
      <c r="F183" s="5" t="s">
        <v>31</v>
      </c>
      <c r="G183" s="5" t="b">
        <v>0</v>
      </c>
      <c r="H183" s="5" t="s">
        <v>1044</v>
      </c>
      <c r="I183" s="5">
        <v>13.0</v>
      </c>
      <c r="J183" s="5">
        <v>0.01</v>
      </c>
      <c r="K183" s="5">
        <v>0.62</v>
      </c>
    </row>
    <row r="184" ht="15.75" customHeight="1">
      <c r="A184" s="4" t="s">
        <v>1047</v>
      </c>
      <c r="B184" s="11" t="s">
        <v>1049</v>
      </c>
      <c r="C184" s="4" t="s">
        <v>50</v>
      </c>
      <c r="D184" s="12" t="s">
        <v>126</v>
      </c>
      <c r="E184" s="13" t="s">
        <v>53</v>
      </c>
      <c r="F184" s="5" t="s">
        <v>127</v>
      </c>
      <c r="G184" s="5" t="b">
        <v>0</v>
      </c>
      <c r="H184" s="5" t="s">
        <v>1017</v>
      </c>
      <c r="I184" s="5">
        <v>13.0</v>
      </c>
      <c r="J184" s="5">
        <v>0.01</v>
      </c>
      <c r="K184" s="5">
        <v>1.15</v>
      </c>
    </row>
    <row r="185" ht="15.75" customHeight="1">
      <c r="A185" s="4" t="s">
        <v>1053</v>
      </c>
      <c r="B185" s="11" t="s">
        <v>1055</v>
      </c>
      <c r="C185" s="4" t="s">
        <v>500</v>
      </c>
      <c r="D185" s="12" t="s">
        <v>126</v>
      </c>
      <c r="E185" s="13" t="s">
        <v>53</v>
      </c>
      <c r="F185" s="5" t="s">
        <v>127</v>
      </c>
      <c r="G185" s="5" t="b">
        <v>0</v>
      </c>
      <c r="I185" s="5">
        <v>13.0</v>
      </c>
      <c r="J185" s="5">
        <v>0.01</v>
      </c>
      <c r="K185" s="5">
        <v>1.08</v>
      </c>
    </row>
    <row r="186" ht="15.75" customHeight="1">
      <c r="A186" s="4" t="s">
        <v>1059</v>
      </c>
      <c r="B186" s="11" t="s">
        <v>1062</v>
      </c>
      <c r="C186" s="4" t="s">
        <v>104</v>
      </c>
      <c r="D186" s="12" t="s">
        <v>29</v>
      </c>
      <c r="E186" s="13" t="s">
        <v>30</v>
      </c>
      <c r="F186" s="5" t="s">
        <v>31</v>
      </c>
      <c r="G186" s="5" t="b">
        <v>0</v>
      </c>
      <c r="H186" s="5" t="s">
        <v>221</v>
      </c>
      <c r="I186" s="5">
        <v>13.0</v>
      </c>
      <c r="J186" s="5">
        <v>0.01</v>
      </c>
      <c r="K186" s="5">
        <v>1.69</v>
      </c>
    </row>
    <row r="187" ht="15.75" customHeight="1">
      <c r="A187" s="4" t="s">
        <v>1064</v>
      </c>
      <c r="B187" s="11" t="s">
        <v>1068</v>
      </c>
      <c r="C187" s="4" t="s">
        <v>424</v>
      </c>
      <c r="D187" s="12" t="s">
        <v>52</v>
      </c>
      <c r="E187" s="13" t="s">
        <v>93</v>
      </c>
      <c r="F187" s="5" t="s">
        <v>54</v>
      </c>
      <c r="G187" s="5" t="b">
        <v>0</v>
      </c>
      <c r="H187" s="5" t="s">
        <v>1071</v>
      </c>
      <c r="I187" s="5">
        <v>13.0</v>
      </c>
      <c r="J187" s="5">
        <v>0.01</v>
      </c>
      <c r="K187" s="5">
        <v>0.0</v>
      </c>
    </row>
    <row r="188" ht="15.75" customHeight="1">
      <c r="A188" s="4" t="s">
        <v>1072</v>
      </c>
      <c r="B188" s="11" t="s">
        <v>1075</v>
      </c>
      <c r="C188" s="4" t="s">
        <v>315</v>
      </c>
      <c r="D188" s="12" t="s">
        <v>433</v>
      </c>
      <c r="E188" s="13" t="s">
        <v>678</v>
      </c>
      <c r="F188" s="5" t="s">
        <v>434</v>
      </c>
      <c r="G188" s="5" t="b">
        <v>0</v>
      </c>
      <c r="H188" s="5" t="s">
        <v>317</v>
      </c>
      <c r="I188" s="5">
        <v>13.0</v>
      </c>
      <c r="J188" s="5">
        <v>0.01</v>
      </c>
      <c r="K188" s="5">
        <v>2.0</v>
      </c>
    </row>
    <row r="189" ht="15.75" customHeight="1">
      <c r="A189" s="4" t="s">
        <v>1079</v>
      </c>
      <c r="B189" s="11" t="s">
        <v>1082</v>
      </c>
      <c r="C189" s="4" t="s">
        <v>112</v>
      </c>
      <c r="D189" s="12" t="s">
        <v>29</v>
      </c>
      <c r="E189" s="13" t="s">
        <v>53</v>
      </c>
      <c r="F189" s="5" t="s">
        <v>31</v>
      </c>
      <c r="G189" s="5" t="b">
        <v>0</v>
      </c>
      <c r="H189" s="5" t="s">
        <v>1084</v>
      </c>
      <c r="I189" s="5">
        <v>13.0</v>
      </c>
      <c r="J189" s="5">
        <v>0.01</v>
      </c>
      <c r="K189" s="5">
        <v>0.0</v>
      </c>
    </row>
    <row r="190" ht="15.75" customHeight="1">
      <c r="A190" s="4" t="s">
        <v>1085</v>
      </c>
      <c r="B190" s="11" t="s">
        <v>1087</v>
      </c>
      <c r="C190" s="4" t="s">
        <v>357</v>
      </c>
      <c r="D190" s="12" t="s">
        <v>29</v>
      </c>
      <c r="E190" s="13" t="s">
        <v>678</v>
      </c>
      <c r="F190" s="5" t="s">
        <v>31</v>
      </c>
      <c r="G190" s="5" t="b">
        <v>0</v>
      </c>
      <c r="H190" s="5" t="s">
        <v>1089</v>
      </c>
      <c r="I190" s="5">
        <v>13.0</v>
      </c>
      <c r="J190" s="5">
        <v>0.01</v>
      </c>
      <c r="K190" s="5">
        <v>0.15</v>
      </c>
    </row>
    <row r="191" ht="15.75" customHeight="1">
      <c r="A191" s="4" t="s">
        <v>1091</v>
      </c>
      <c r="B191" s="11" t="s">
        <v>1093</v>
      </c>
      <c r="C191" s="4" t="s">
        <v>501</v>
      </c>
      <c r="D191" s="12" t="s">
        <v>29</v>
      </c>
      <c r="E191" s="13" t="s">
        <v>30</v>
      </c>
      <c r="F191" s="5" t="s">
        <v>31</v>
      </c>
      <c r="G191" s="5" t="b">
        <v>0</v>
      </c>
      <c r="H191" s="5" t="s">
        <v>1094</v>
      </c>
      <c r="I191" s="5">
        <v>13.0</v>
      </c>
      <c r="J191" s="5">
        <v>0.01</v>
      </c>
      <c r="K191" s="5">
        <v>0.15</v>
      </c>
    </row>
    <row r="192" ht="15.75" customHeight="1">
      <c r="A192" s="4" t="s">
        <v>1096</v>
      </c>
      <c r="B192" s="11" t="s">
        <v>1098</v>
      </c>
      <c r="C192" s="4" t="s">
        <v>505</v>
      </c>
      <c r="D192" s="12" t="s">
        <v>29</v>
      </c>
      <c r="E192" s="13" t="s">
        <v>53</v>
      </c>
      <c r="F192" s="5" t="s">
        <v>31</v>
      </c>
      <c r="G192" s="5" t="b">
        <v>0</v>
      </c>
      <c r="H192" s="5" t="s">
        <v>1101</v>
      </c>
      <c r="I192" s="5">
        <v>13.0</v>
      </c>
      <c r="J192" s="5">
        <v>0.01</v>
      </c>
      <c r="K192" s="5">
        <v>3.85</v>
      </c>
    </row>
    <row r="193" ht="15.75" customHeight="1">
      <c r="A193" s="4" t="s">
        <v>1103</v>
      </c>
      <c r="B193" s="11" t="s">
        <v>1106</v>
      </c>
      <c r="C193" s="4" t="s">
        <v>432</v>
      </c>
      <c r="D193" s="12" t="s">
        <v>52</v>
      </c>
      <c r="E193" s="13" t="s">
        <v>93</v>
      </c>
      <c r="F193" s="5" t="s">
        <v>54</v>
      </c>
      <c r="G193" s="5" t="b">
        <v>0</v>
      </c>
      <c r="H193" s="5" t="s">
        <v>1108</v>
      </c>
      <c r="I193" s="5">
        <v>12.0</v>
      </c>
      <c r="J193" s="5">
        <v>0.01</v>
      </c>
      <c r="K193" s="5">
        <v>0.0</v>
      </c>
    </row>
    <row r="194" ht="15.75" customHeight="1">
      <c r="A194" s="4" t="s">
        <v>1110</v>
      </c>
      <c r="B194" s="11" t="s">
        <v>1113</v>
      </c>
      <c r="C194" s="4" t="s">
        <v>432</v>
      </c>
      <c r="D194" s="12" t="s">
        <v>52</v>
      </c>
      <c r="E194" s="13" t="s">
        <v>93</v>
      </c>
      <c r="F194" s="5" t="s">
        <v>54</v>
      </c>
      <c r="G194" s="5" t="b">
        <v>0</v>
      </c>
      <c r="H194" s="5" t="s">
        <v>1114</v>
      </c>
      <c r="I194" s="5">
        <v>12.0</v>
      </c>
      <c r="J194" s="5">
        <v>0.01</v>
      </c>
      <c r="K194" s="5">
        <v>0.08</v>
      </c>
    </row>
    <row r="195" ht="15.75" customHeight="1">
      <c r="A195" s="4" t="s">
        <v>1116</v>
      </c>
      <c r="B195" s="11" t="s">
        <v>1119</v>
      </c>
      <c r="C195" s="5" t="s">
        <v>518</v>
      </c>
      <c r="D195" s="12" t="s">
        <v>29</v>
      </c>
      <c r="E195" s="13" t="s">
        <v>53</v>
      </c>
      <c r="F195" s="5" t="s">
        <v>31</v>
      </c>
      <c r="G195" s="5" t="b">
        <v>0</v>
      </c>
      <c r="H195" s="5" t="s">
        <v>1120</v>
      </c>
      <c r="I195" s="5">
        <v>12.0</v>
      </c>
      <c r="J195" s="5">
        <v>0.01</v>
      </c>
      <c r="K195" s="5">
        <v>0.0</v>
      </c>
    </row>
    <row r="196" ht="15.75" customHeight="1">
      <c r="A196" s="4" t="s">
        <v>1122</v>
      </c>
      <c r="B196" s="11" t="s">
        <v>1126</v>
      </c>
      <c r="C196" s="4" t="s">
        <v>400</v>
      </c>
      <c r="D196" s="12" t="s">
        <v>29</v>
      </c>
      <c r="E196" s="13" t="s">
        <v>81</v>
      </c>
      <c r="F196" s="5" t="s">
        <v>31</v>
      </c>
      <c r="G196" s="5" t="b">
        <v>0</v>
      </c>
      <c r="H196" s="5" t="s">
        <v>1129</v>
      </c>
      <c r="I196" s="5">
        <v>12.0</v>
      </c>
      <c r="J196" s="5">
        <v>0.01</v>
      </c>
      <c r="K196" s="5">
        <v>1.25</v>
      </c>
    </row>
    <row r="197" ht="15.75" customHeight="1">
      <c r="A197" s="4" t="s">
        <v>1131</v>
      </c>
      <c r="B197" s="11" t="s">
        <v>1134</v>
      </c>
      <c r="C197" s="4" t="s">
        <v>438</v>
      </c>
      <c r="D197" s="12" t="s">
        <v>29</v>
      </c>
      <c r="E197" s="13" t="s">
        <v>53</v>
      </c>
      <c r="F197" s="5" t="s">
        <v>31</v>
      </c>
      <c r="G197" s="5" t="b">
        <v>0</v>
      </c>
      <c r="H197" s="5" t="s">
        <v>1136</v>
      </c>
      <c r="I197" s="5">
        <v>12.0</v>
      </c>
      <c r="J197" s="5">
        <v>0.01</v>
      </c>
      <c r="K197" s="5">
        <v>1.67</v>
      </c>
    </row>
    <row r="198" ht="15.75" customHeight="1">
      <c r="A198" s="4" t="s">
        <v>1137</v>
      </c>
      <c r="B198" s="11" t="s">
        <v>1141</v>
      </c>
      <c r="C198" s="4" t="s">
        <v>47</v>
      </c>
      <c r="D198" s="12" t="s">
        <v>29</v>
      </c>
      <c r="E198" s="13" t="s">
        <v>30</v>
      </c>
      <c r="F198" s="5" t="s">
        <v>31</v>
      </c>
      <c r="G198" s="5" t="b">
        <v>0</v>
      </c>
      <c r="H198" s="5" t="s">
        <v>182</v>
      </c>
      <c r="I198" s="5">
        <v>12.0</v>
      </c>
      <c r="J198" s="5">
        <v>0.01</v>
      </c>
      <c r="K198" s="5">
        <v>0.67</v>
      </c>
    </row>
    <row r="199" ht="15.75" customHeight="1">
      <c r="A199" s="4" t="s">
        <v>1144</v>
      </c>
      <c r="B199" s="11" t="s">
        <v>1145</v>
      </c>
      <c r="C199" s="4" t="s">
        <v>18</v>
      </c>
      <c r="D199" s="12" t="s">
        <v>52</v>
      </c>
      <c r="E199" s="13" t="s">
        <v>53</v>
      </c>
      <c r="F199" s="5" t="s">
        <v>54</v>
      </c>
      <c r="G199" s="5" t="b">
        <v>0</v>
      </c>
      <c r="H199" s="5" t="s">
        <v>1147</v>
      </c>
      <c r="I199" s="5">
        <v>12.0</v>
      </c>
      <c r="J199" s="5">
        <v>0.01</v>
      </c>
      <c r="K199" s="5">
        <v>0.17</v>
      </c>
    </row>
    <row r="200" ht="15.75" customHeight="1">
      <c r="A200" s="4" t="s">
        <v>1148</v>
      </c>
      <c r="B200" s="11" t="s">
        <v>1151</v>
      </c>
      <c r="C200" s="4" t="s">
        <v>140</v>
      </c>
      <c r="D200" s="12" t="s">
        <v>29</v>
      </c>
      <c r="E200" s="13" t="s">
        <v>30</v>
      </c>
      <c r="F200" s="5" t="s">
        <v>31</v>
      </c>
      <c r="G200" s="5" t="b">
        <v>0</v>
      </c>
      <c r="H200" s="5" t="s">
        <v>1154</v>
      </c>
      <c r="I200" s="5">
        <v>12.0</v>
      </c>
      <c r="J200" s="5">
        <v>0.01</v>
      </c>
      <c r="K200" s="5">
        <v>0.0</v>
      </c>
    </row>
    <row r="201" ht="15.75" customHeight="1">
      <c r="A201" s="4" t="s">
        <v>1155</v>
      </c>
      <c r="B201" s="11" t="s">
        <v>1158</v>
      </c>
      <c r="C201" s="4" t="s">
        <v>464</v>
      </c>
      <c r="D201" s="12" t="s">
        <v>29</v>
      </c>
      <c r="E201" s="13" t="s">
        <v>93</v>
      </c>
      <c r="F201" s="5" t="s">
        <v>31</v>
      </c>
      <c r="G201" s="5" t="b">
        <v>0</v>
      </c>
      <c r="H201" s="5" t="s">
        <v>1161</v>
      </c>
      <c r="I201" s="5">
        <v>12.0</v>
      </c>
      <c r="J201" s="5">
        <v>0.01</v>
      </c>
      <c r="K201" s="5">
        <v>0.08</v>
      </c>
    </row>
    <row r="202" ht="15.75" customHeight="1">
      <c r="A202" s="4" t="s">
        <v>1162</v>
      </c>
      <c r="B202" s="11" t="s">
        <v>1165</v>
      </c>
      <c r="C202" s="4" t="s">
        <v>495</v>
      </c>
      <c r="D202" s="12" t="s">
        <v>29</v>
      </c>
      <c r="E202" s="13" t="s">
        <v>53</v>
      </c>
      <c r="F202" s="5" t="s">
        <v>31</v>
      </c>
      <c r="G202" s="5" t="b">
        <v>0</v>
      </c>
      <c r="H202" s="5" t="s">
        <v>1168</v>
      </c>
      <c r="I202" s="5">
        <v>12.0</v>
      </c>
      <c r="J202" s="5">
        <v>0.01</v>
      </c>
      <c r="K202" s="5">
        <v>0.75</v>
      </c>
    </row>
    <row r="203" ht="15.75" customHeight="1">
      <c r="A203" s="4" t="s">
        <v>1169</v>
      </c>
      <c r="B203" s="11" t="s">
        <v>1172</v>
      </c>
      <c r="C203" s="4" t="s">
        <v>487</v>
      </c>
      <c r="D203" s="12" t="s">
        <v>29</v>
      </c>
      <c r="E203" s="13" t="s">
        <v>53</v>
      </c>
      <c r="F203" s="5" t="s">
        <v>31</v>
      </c>
      <c r="G203" s="5" t="b">
        <v>0</v>
      </c>
      <c r="H203" s="5" t="s">
        <v>1175</v>
      </c>
      <c r="I203" s="5">
        <v>12.0</v>
      </c>
      <c r="J203" s="5">
        <v>0.01</v>
      </c>
      <c r="K203" s="5">
        <v>1.25</v>
      </c>
    </row>
    <row r="204" ht="15.75" customHeight="1">
      <c r="A204" s="4" t="s">
        <v>1176</v>
      </c>
      <c r="B204" s="11" t="s">
        <v>1179</v>
      </c>
      <c r="C204" s="4" t="s">
        <v>526</v>
      </c>
      <c r="D204" s="12" t="s">
        <v>467</v>
      </c>
      <c r="E204" s="13" t="s">
        <v>53</v>
      </c>
      <c r="F204" s="5" t="s">
        <v>469</v>
      </c>
      <c r="G204" s="5" t="b">
        <v>0</v>
      </c>
      <c r="I204" s="5">
        <v>12.0</v>
      </c>
      <c r="J204" s="5">
        <v>0.01</v>
      </c>
      <c r="K204" s="5">
        <v>0.92</v>
      </c>
    </row>
    <row r="205" ht="15.75" customHeight="1">
      <c r="A205" s="4" t="s">
        <v>1182</v>
      </c>
      <c r="B205" s="11" t="s">
        <v>1185</v>
      </c>
      <c r="C205" s="4" t="s">
        <v>343</v>
      </c>
      <c r="D205" s="12" t="s">
        <v>29</v>
      </c>
      <c r="E205" s="13" t="s">
        <v>81</v>
      </c>
      <c r="F205" s="5" t="s">
        <v>31</v>
      </c>
      <c r="G205" s="5" t="b">
        <v>0</v>
      </c>
      <c r="I205" s="5">
        <v>12.0</v>
      </c>
      <c r="J205" s="5">
        <v>0.01</v>
      </c>
      <c r="K205" s="5">
        <v>0.08</v>
      </c>
    </row>
    <row r="206" ht="15.75" customHeight="1">
      <c r="A206" s="4" t="s">
        <v>1189</v>
      </c>
      <c r="B206" s="11" t="s">
        <v>1192</v>
      </c>
      <c r="C206" s="4" t="s">
        <v>420</v>
      </c>
      <c r="D206" s="12" t="s">
        <v>29</v>
      </c>
      <c r="E206" s="13" t="s">
        <v>53</v>
      </c>
      <c r="F206" s="5" t="s">
        <v>31</v>
      </c>
      <c r="G206" s="5" t="b">
        <v>0</v>
      </c>
      <c r="H206" s="5" t="s">
        <v>1194</v>
      </c>
      <c r="I206" s="5">
        <v>12.0</v>
      </c>
      <c r="J206" s="5">
        <v>0.01</v>
      </c>
      <c r="K206" s="5">
        <v>1.0</v>
      </c>
    </row>
    <row r="207" ht="15.75" customHeight="1">
      <c r="A207" s="4" t="s">
        <v>1196</v>
      </c>
      <c r="B207" s="11" t="s">
        <v>1199</v>
      </c>
      <c r="C207" s="4" t="s">
        <v>441</v>
      </c>
      <c r="D207" s="12" t="s">
        <v>261</v>
      </c>
      <c r="E207" s="13" t="s">
        <v>93</v>
      </c>
      <c r="F207" s="5" t="s">
        <v>263</v>
      </c>
      <c r="G207" s="5" t="b">
        <v>0</v>
      </c>
      <c r="H207" s="5" t="s">
        <v>1202</v>
      </c>
      <c r="I207" s="5">
        <v>12.0</v>
      </c>
      <c r="J207" s="5">
        <v>0.01</v>
      </c>
      <c r="K207" s="5">
        <v>0.5</v>
      </c>
    </row>
    <row r="208" ht="15.75" customHeight="1">
      <c r="A208" s="4" t="s">
        <v>1204</v>
      </c>
      <c r="B208" s="11" t="s">
        <v>1206</v>
      </c>
      <c r="C208" s="4" t="s">
        <v>282</v>
      </c>
      <c r="D208" s="12" t="s">
        <v>467</v>
      </c>
      <c r="E208" s="13" t="s">
        <v>53</v>
      </c>
      <c r="F208" s="5" t="s">
        <v>469</v>
      </c>
      <c r="G208" s="5" t="b">
        <v>0</v>
      </c>
      <c r="H208" s="5" t="s">
        <v>283</v>
      </c>
      <c r="I208" s="5">
        <v>12.0</v>
      </c>
      <c r="J208" s="5">
        <v>0.01</v>
      </c>
      <c r="K208" s="5">
        <v>1.17</v>
      </c>
    </row>
    <row r="209" ht="15.75" customHeight="1">
      <c r="A209" s="4" t="s">
        <v>1209</v>
      </c>
      <c r="B209" s="11" t="s">
        <v>1210</v>
      </c>
      <c r="C209" s="4" t="s">
        <v>164</v>
      </c>
      <c r="D209" s="12" t="s">
        <v>29</v>
      </c>
      <c r="E209" s="13" t="s">
        <v>678</v>
      </c>
      <c r="F209" s="5" t="s">
        <v>31</v>
      </c>
      <c r="G209" s="5" t="b">
        <v>0</v>
      </c>
      <c r="H209" s="5" t="s">
        <v>1212</v>
      </c>
      <c r="I209" s="5">
        <v>12.0</v>
      </c>
      <c r="J209" s="5">
        <v>0.01</v>
      </c>
      <c r="K209" s="5">
        <v>1.25</v>
      </c>
    </row>
    <row r="210" ht="15.75" customHeight="1">
      <c r="A210" s="4" t="s">
        <v>1213</v>
      </c>
      <c r="B210" s="11" t="s">
        <v>1215</v>
      </c>
      <c r="C210" s="4" t="s">
        <v>164</v>
      </c>
      <c r="D210" s="12" t="s">
        <v>433</v>
      </c>
      <c r="E210" s="13" t="s">
        <v>678</v>
      </c>
      <c r="F210" s="5" t="s">
        <v>434</v>
      </c>
      <c r="G210" s="5" t="b">
        <v>0</v>
      </c>
      <c r="H210" s="5" t="s">
        <v>1217</v>
      </c>
      <c r="I210" s="5">
        <v>12.0</v>
      </c>
      <c r="J210" s="5">
        <v>0.01</v>
      </c>
      <c r="K210" s="5">
        <v>0.83</v>
      </c>
    </row>
    <row r="211" ht="15.75" customHeight="1">
      <c r="A211" s="4" t="s">
        <v>1219</v>
      </c>
      <c r="B211" s="11" t="s">
        <v>1221</v>
      </c>
      <c r="C211" s="4" t="s">
        <v>529</v>
      </c>
      <c r="D211" s="12" t="s">
        <v>29</v>
      </c>
      <c r="E211" s="13" t="s">
        <v>53</v>
      </c>
      <c r="F211" s="5" t="s">
        <v>31</v>
      </c>
      <c r="G211" s="5" t="b">
        <v>0</v>
      </c>
      <c r="H211" s="5" t="s">
        <v>1223</v>
      </c>
      <c r="I211" s="5">
        <v>12.0</v>
      </c>
      <c r="J211" s="5">
        <v>0.01</v>
      </c>
      <c r="K211" s="5">
        <v>1.17</v>
      </c>
    </row>
    <row r="212" ht="15.75" customHeight="1">
      <c r="A212" s="4" t="s">
        <v>1224</v>
      </c>
      <c r="B212" s="11" t="s">
        <v>1227</v>
      </c>
      <c r="C212" s="4" t="s">
        <v>143</v>
      </c>
      <c r="D212" s="12" t="s">
        <v>29</v>
      </c>
      <c r="E212" s="13" t="s">
        <v>53</v>
      </c>
      <c r="F212" s="5" t="s">
        <v>31</v>
      </c>
      <c r="G212" s="5" t="b">
        <v>0</v>
      </c>
      <c r="H212" s="5" t="s">
        <v>1229</v>
      </c>
      <c r="I212" s="5">
        <v>12.0</v>
      </c>
      <c r="J212" s="5">
        <v>0.01</v>
      </c>
      <c r="K212" s="5">
        <v>0.25</v>
      </c>
    </row>
    <row r="213" ht="15.75" customHeight="1">
      <c r="A213" s="4" t="s">
        <v>1230</v>
      </c>
      <c r="B213" s="11" t="s">
        <v>1232</v>
      </c>
      <c r="C213" s="4" t="s">
        <v>56</v>
      </c>
      <c r="D213" s="12" t="s">
        <v>29</v>
      </c>
      <c r="E213" s="13" t="s">
        <v>30</v>
      </c>
      <c r="F213" s="5" t="s">
        <v>31</v>
      </c>
      <c r="G213" s="5" t="b">
        <v>0</v>
      </c>
      <c r="H213" s="5" t="s">
        <v>1234</v>
      </c>
      <c r="I213" s="5">
        <v>12.0</v>
      </c>
      <c r="J213" s="5">
        <v>0.01</v>
      </c>
      <c r="K213" s="5">
        <v>0.83</v>
      </c>
    </row>
    <row r="214" ht="15.75" customHeight="1">
      <c r="A214" s="4" t="s">
        <v>1235</v>
      </c>
      <c r="B214" s="11" t="s">
        <v>1238</v>
      </c>
      <c r="C214" s="4" t="s">
        <v>279</v>
      </c>
      <c r="D214" s="12" t="s">
        <v>29</v>
      </c>
      <c r="E214" s="13" t="s">
        <v>53</v>
      </c>
      <c r="F214" s="5" t="s">
        <v>31</v>
      </c>
      <c r="G214" s="5" t="b">
        <v>0</v>
      </c>
      <c r="H214" s="5" t="s">
        <v>1239</v>
      </c>
      <c r="I214" s="5">
        <v>11.0</v>
      </c>
      <c r="J214" s="5">
        <v>0.01</v>
      </c>
      <c r="K214" s="5">
        <v>1.0</v>
      </c>
    </row>
    <row r="215" ht="15.75" customHeight="1">
      <c r="A215" s="4" t="s">
        <v>1241</v>
      </c>
      <c r="B215" s="11" t="s">
        <v>1244</v>
      </c>
      <c r="C215" s="4" t="s">
        <v>327</v>
      </c>
      <c r="D215" s="12" t="s">
        <v>84</v>
      </c>
      <c r="E215" s="13" t="s">
        <v>53</v>
      </c>
      <c r="F215" s="5" t="s">
        <v>85</v>
      </c>
      <c r="G215" s="5" t="b">
        <v>0</v>
      </c>
      <c r="H215" s="5" t="s">
        <v>329</v>
      </c>
      <c r="I215" s="5">
        <v>11.0</v>
      </c>
      <c r="J215" s="5">
        <v>0.01</v>
      </c>
      <c r="K215" s="5">
        <v>2.0</v>
      </c>
    </row>
    <row r="216" ht="15.75" customHeight="1">
      <c r="A216" s="4" t="s">
        <v>1246</v>
      </c>
      <c r="B216" s="11" t="s">
        <v>1249</v>
      </c>
      <c r="C216" s="4" t="s">
        <v>35</v>
      </c>
      <c r="D216" s="12" t="s">
        <v>52</v>
      </c>
      <c r="E216" s="13" t="s">
        <v>53</v>
      </c>
      <c r="F216" s="5" t="s">
        <v>54</v>
      </c>
      <c r="G216" s="5" t="b">
        <v>0</v>
      </c>
      <c r="H216" s="5" t="s">
        <v>1250</v>
      </c>
      <c r="I216" s="5">
        <v>11.0</v>
      </c>
      <c r="J216" s="5">
        <v>0.01</v>
      </c>
      <c r="K216" s="5">
        <v>0.09</v>
      </c>
    </row>
    <row r="217" ht="15.75" customHeight="1">
      <c r="A217" s="4" t="s">
        <v>1253</v>
      </c>
      <c r="B217" s="11" t="s">
        <v>1255</v>
      </c>
      <c r="C217" s="4" t="s">
        <v>18</v>
      </c>
      <c r="D217" s="12" t="s">
        <v>52</v>
      </c>
      <c r="E217" s="13" t="s">
        <v>53</v>
      </c>
      <c r="F217" s="5" t="s">
        <v>54</v>
      </c>
      <c r="G217" s="5" t="b">
        <v>0</v>
      </c>
      <c r="H217" s="5" t="s">
        <v>1257</v>
      </c>
      <c r="I217" s="5">
        <v>11.0</v>
      </c>
      <c r="J217" s="5">
        <v>0.01</v>
      </c>
      <c r="K217" s="5">
        <v>0.18</v>
      </c>
    </row>
    <row r="218" ht="15.75" customHeight="1">
      <c r="A218" s="4" t="s">
        <v>1258</v>
      </c>
      <c r="B218" s="11" t="s">
        <v>1260</v>
      </c>
      <c r="C218" s="4" t="s">
        <v>140</v>
      </c>
      <c r="D218" s="12" t="s">
        <v>29</v>
      </c>
      <c r="E218" s="13" t="s">
        <v>30</v>
      </c>
      <c r="F218" s="5" t="s">
        <v>31</v>
      </c>
      <c r="G218" s="5" t="b">
        <v>0</v>
      </c>
      <c r="H218" s="5" t="s">
        <v>1262</v>
      </c>
      <c r="I218" s="5">
        <v>11.0</v>
      </c>
      <c r="J218" s="5">
        <v>0.01</v>
      </c>
      <c r="K218" s="5">
        <v>0.27</v>
      </c>
    </row>
    <row r="219" ht="15.75" customHeight="1">
      <c r="A219" s="4" t="s">
        <v>1263</v>
      </c>
      <c r="B219" s="11" t="s">
        <v>1266</v>
      </c>
      <c r="C219" s="4" t="s">
        <v>210</v>
      </c>
      <c r="D219" s="12" t="s">
        <v>261</v>
      </c>
      <c r="E219" s="13" t="s">
        <v>30</v>
      </c>
      <c r="F219" s="5" t="s">
        <v>263</v>
      </c>
      <c r="G219" s="5" t="b">
        <v>0</v>
      </c>
      <c r="H219" s="5" t="s">
        <v>1267</v>
      </c>
      <c r="I219" s="5">
        <v>11.0</v>
      </c>
      <c r="J219" s="5">
        <v>0.01</v>
      </c>
      <c r="K219" s="5">
        <v>1.45</v>
      </c>
    </row>
    <row r="220" ht="15.75" customHeight="1">
      <c r="A220" s="4" t="s">
        <v>1269</v>
      </c>
      <c r="B220" s="11" t="s">
        <v>1271</v>
      </c>
      <c r="C220" s="4" t="s">
        <v>28</v>
      </c>
      <c r="D220" s="12" t="s">
        <v>297</v>
      </c>
      <c r="E220" s="13" t="s">
        <v>93</v>
      </c>
      <c r="F220" s="5" t="s">
        <v>298</v>
      </c>
      <c r="G220" s="5" t="b">
        <v>0</v>
      </c>
      <c r="H220" s="5" t="s">
        <v>1272</v>
      </c>
      <c r="I220" s="5">
        <v>11.0</v>
      </c>
      <c r="J220" s="5">
        <v>0.01</v>
      </c>
      <c r="K220" s="5">
        <v>0.18</v>
      </c>
    </row>
    <row r="221" ht="15.75" customHeight="1">
      <c r="A221" s="4" t="s">
        <v>1274</v>
      </c>
      <c r="B221" s="11" t="s">
        <v>1276</v>
      </c>
      <c r="C221" s="4" t="s">
        <v>483</v>
      </c>
      <c r="D221" s="12" t="s">
        <v>52</v>
      </c>
      <c r="E221" s="13" t="s">
        <v>53</v>
      </c>
      <c r="F221" s="5" t="s">
        <v>54</v>
      </c>
      <c r="G221" s="5" t="b">
        <v>0</v>
      </c>
      <c r="H221" s="5" t="s">
        <v>1279</v>
      </c>
      <c r="I221" s="5">
        <v>11.0</v>
      </c>
      <c r="J221" s="5">
        <v>0.01</v>
      </c>
      <c r="K221" s="5">
        <v>1.09</v>
      </c>
    </row>
    <row r="222" ht="15.75" customHeight="1">
      <c r="A222" s="4" t="s">
        <v>1281</v>
      </c>
      <c r="B222" s="11" t="s">
        <v>1284</v>
      </c>
      <c r="C222" s="4" t="s">
        <v>481</v>
      </c>
      <c r="D222" s="12" t="s">
        <v>52</v>
      </c>
      <c r="E222" s="13" t="s">
        <v>53</v>
      </c>
      <c r="F222" s="5" t="s">
        <v>54</v>
      </c>
      <c r="G222" s="5" t="b">
        <v>0</v>
      </c>
      <c r="H222" s="5" t="s">
        <v>396</v>
      </c>
      <c r="I222" s="5">
        <v>11.0</v>
      </c>
      <c r="J222" s="5">
        <v>0.01</v>
      </c>
      <c r="K222" s="5">
        <v>1.0</v>
      </c>
    </row>
    <row r="223" ht="15.75" customHeight="1">
      <c r="A223" s="4" t="s">
        <v>1287</v>
      </c>
      <c r="B223" s="11" t="s">
        <v>1290</v>
      </c>
      <c r="C223" s="4" t="s">
        <v>523</v>
      </c>
      <c r="D223" s="12" t="s">
        <v>52</v>
      </c>
      <c r="E223" s="13" t="s">
        <v>93</v>
      </c>
      <c r="F223" s="5" t="s">
        <v>54</v>
      </c>
      <c r="G223" s="5" t="b">
        <v>0</v>
      </c>
      <c r="H223" s="5" t="s">
        <v>1293</v>
      </c>
      <c r="I223" s="5">
        <v>11.0</v>
      </c>
      <c r="J223" s="5">
        <v>0.01</v>
      </c>
      <c r="K223" s="5">
        <v>0.0</v>
      </c>
    </row>
    <row r="224" ht="15.75" customHeight="1">
      <c r="A224" s="4" t="s">
        <v>1295</v>
      </c>
      <c r="B224" s="11" t="s">
        <v>1297</v>
      </c>
      <c r="C224" s="5" t="s">
        <v>63</v>
      </c>
      <c r="D224" s="12" t="s">
        <v>29</v>
      </c>
      <c r="E224" s="13" t="s">
        <v>30</v>
      </c>
      <c r="F224" s="5" t="s">
        <v>31</v>
      </c>
      <c r="G224" s="5" t="b">
        <v>0</v>
      </c>
      <c r="H224" s="5" t="s">
        <v>1299</v>
      </c>
      <c r="I224" s="5">
        <v>11.0</v>
      </c>
      <c r="J224" s="5">
        <v>0.01</v>
      </c>
      <c r="K224" s="5">
        <v>0.09</v>
      </c>
    </row>
    <row r="225" ht="15.75" customHeight="1">
      <c r="A225" s="4" t="s">
        <v>1300</v>
      </c>
      <c r="B225" s="11" t="s">
        <v>1302</v>
      </c>
      <c r="C225" s="4" t="s">
        <v>336</v>
      </c>
      <c r="D225" s="12" t="s">
        <v>29</v>
      </c>
      <c r="E225" s="13" t="s">
        <v>53</v>
      </c>
      <c r="F225" s="5" t="s">
        <v>31</v>
      </c>
      <c r="G225" s="5" t="b">
        <v>0</v>
      </c>
      <c r="H225" s="5" t="s">
        <v>1304</v>
      </c>
      <c r="I225" s="5">
        <v>11.0</v>
      </c>
      <c r="J225" s="5">
        <v>0.01</v>
      </c>
      <c r="K225" s="5">
        <v>0.09</v>
      </c>
    </row>
    <row r="226" ht="15.75" customHeight="1">
      <c r="A226" s="4" t="s">
        <v>1305</v>
      </c>
      <c r="B226" s="11" t="s">
        <v>1307</v>
      </c>
      <c r="C226" s="4" t="s">
        <v>508</v>
      </c>
      <c r="D226" s="12" t="s">
        <v>126</v>
      </c>
      <c r="E226" s="13" t="s">
        <v>53</v>
      </c>
      <c r="F226" s="5" t="s">
        <v>127</v>
      </c>
      <c r="G226" s="5" t="b">
        <v>0</v>
      </c>
      <c r="I226" s="5">
        <v>11.0</v>
      </c>
      <c r="J226" s="5">
        <v>0.01</v>
      </c>
      <c r="K226" s="5">
        <v>1.18</v>
      </c>
    </row>
    <row r="227" ht="15.75" customHeight="1">
      <c r="A227" s="4" t="s">
        <v>1309</v>
      </c>
      <c r="B227" s="11" t="s">
        <v>1312</v>
      </c>
      <c r="C227" s="4" t="s">
        <v>293</v>
      </c>
      <c r="D227" s="12" t="s">
        <v>29</v>
      </c>
      <c r="E227" s="13" t="s">
        <v>53</v>
      </c>
      <c r="F227" s="5" t="s">
        <v>31</v>
      </c>
      <c r="G227" s="5" t="b">
        <v>0</v>
      </c>
      <c r="H227" s="5" t="s">
        <v>1316</v>
      </c>
      <c r="I227" s="5">
        <v>11.0</v>
      </c>
      <c r="J227" s="5">
        <v>0.01</v>
      </c>
      <c r="K227" s="5">
        <v>0.0</v>
      </c>
    </row>
    <row r="228" ht="15.75" customHeight="1">
      <c r="A228" s="4" t="s">
        <v>1317</v>
      </c>
      <c r="B228" s="11" t="s">
        <v>1320</v>
      </c>
      <c r="C228" s="4" t="s">
        <v>217</v>
      </c>
      <c r="D228" s="12" t="s">
        <v>52</v>
      </c>
      <c r="E228" s="13" t="s">
        <v>81</v>
      </c>
      <c r="F228" s="5" t="s">
        <v>54</v>
      </c>
      <c r="G228" s="5" t="b">
        <v>0</v>
      </c>
      <c r="H228" s="5" t="s">
        <v>1322</v>
      </c>
      <c r="I228" s="5">
        <v>11.0</v>
      </c>
      <c r="J228" s="5">
        <v>0.01</v>
      </c>
      <c r="K228" s="5">
        <v>0.0</v>
      </c>
    </row>
    <row r="229" ht="15.75" customHeight="1">
      <c r="A229" s="4" t="s">
        <v>1324</v>
      </c>
      <c r="B229" s="11" t="s">
        <v>1325</v>
      </c>
      <c r="C229" s="5" t="s">
        <v>73</v>
      </c>
      <c r="D229" s="12" t="s">
        <v>29</v>
      </c>
      <c r="E229" s="13" t="s">
        <v>53</v>
      </c>
      <c r="F229" s="5" t="s">
        <v>31</v>
      </c>
      <c r="G229" s="5" t="b">
        <v>0</v>
      </c>
      <c r="H229" s="5" t="s">
        <v>1330</v>
      </c>
      <c r="I229" s="5">
        <v>11.0</v>
      </c>
      <c r="J229" s="5">
        <v>0.01</v>
      </c>
      <c r="K229" s="5">
        <v>2.36</v>
      </c>
    </row>
    <row r="230" ht="15.75" customHeight="1">
      <c r="A230" s="4" t="s">
        <v>1332</v>
      </c>
      <c r="B230" s="11" t="s">
        <v>1335</v>
      </c>
      <c r="C230" s="4" t="s">
        <v>542</v>
      </c>
      <c r="D230" s="12" t="s">
        <v>126</v>
      </c>
      <c r="E230" s="13" t="s">
        <v>53</v>
      </c>
      <c r="F230" s="5" t="s">
        <v>127</v>
      </c>
      <c r="G230" s="5" t="b">
        <v>0</v>
      </c>
      <c r="I230" s="5">
        <v>11.0</v>
      </c>
      <c r="J230" s="5">
        <v>0.01</v>
      </c>
      <c r="K230" s="5">
        <v>0.82</v>
      </c>
    </row>
    <row r="231" ht="15.75" customHeight="1">
      <c r="A231" s="4" t="s">
        <v>1338</v>
      </c>
      <c r="B231" s="11" t="s">
        <v>1341</v>
      </c>
      <c r="C231" s="4" t="s">
        <v>354</v>
      </c>
      <c r="D231" s="12" t="s">
        <v>29</v>
      </c>
      <c r="E231" s="13" t="s">
        <v>81</v>
      </c>
      <c r="F231" s="5" t="s">
        <v>31</v>
      </c>
      <c r="G231" s="5" t="b">
        <v>0</v>
      </c>
      <c r="H231" s="5" t="s">
        <v>1343</v>
      </c>
      <c r="I231" s="5">
        <v>11.0</v>
      </c>
      <c r="J231" s="5">
        <v>0.01</v>
      </c>
      <c r="K231" s="5">
        <v>1.27</v>
      </c>
    </row>
    <row r="232" ht="15.75" customHeight="1">
      <c r="A232" s="4" t="s">
        <v>1344</v>
      </c>
      <c r="B232" s="11" t="s">
        <v>1346</v>
      </c>
      <c r="C232" s="5" t="s">
        <v>41</v>
      </c>
      <c r="D232" s="12" t="s">
        <v>29</v>
      </c>
      <c r="E232" s="13" t="s">
        <v>30</v>
      </c>
      <c r="F232" s="5" t="s">
        <v>31</v>
      </c>
      <c r="G232" s="5" t="b">
        <v>0</v>
      </c>
      <c r="H232" s="5" t="s">
        <v>1348</v>
      </c>
      <c r="I232" s="5">
        <v>11.0</v>
      </c>
      <c r="J232" s="5">
        <v>0.01</v>
      </c>
      <c r="K232" s="5">
        <v>0.0</v>
      </c>
    </row>
    <row r="233" ht="15.75" customHeight="1">
      <c r="A233" s="4" t="s">
        <v>1350</v>
      </c>
      <c r="B233" s="11" t="s">
        <v>817</v>
      </c>
      <c r="C233" s="4" t="s">
        <v>350</v>
      </c>
      <c r="D233" s="12" t="s">
        <v>29</v>
      </c>
      <c r="E233" s="13" t="s">
        <v>84</v>
      </c>
      <c r="F233" s="5" t="s">
        <v>31</v>
      </c>
      <c r="G233" s="5" t="b">
        <v>0</v>
      </c>
      <c r="H233" s="5" t="s">
        <v>1353</v>
      </c>
      <c r="I233" s="5">
        <v>11.0</v>
      </c>
      <c r="J233" s="5">
        <v>0.01</v>
      </c>
      <c r="K233" s="5">
        <v>0.64</v>
      </c>
    </row>
    <row r="234" ht="15.75" customHeight="1">
      <c r="A234" s="4" t="s">
        <v>1355</v>
      </c>
      <c r="B234" s="11" t="s">
        <v>1356</v>
      </c>
      <c r="C234" s="4" t="s">
        <v>133</v>
      </c>
      <c r="D234" s="12" t="s">
        <v>29</v>
      </c>
      <c r="E234" s="13" t="s">
        <v>53</v>
      </c>
      <c r="F234" s="5" t="s">
        <v>31</v>
      </c>
      <c r="G234" s="5" t="b">
        <v>0</v>
      </c>
      <c r="H234" s="5" t="s">
        <v>1358</v>
      </c>
      <c r="I234" s="5">
        <v>11.0</v>
      </c>
      <c r="J234" s="5">
        <v>0.01</v>
      </c>
      <c r="K234" s="5">
        <v>0.27</v>
      </c>
    </row>
    <row r="235" ht="15.75" customHeight="1">
      <c r="A235" s="4" t="s">
        <v>1360</v>
      </c>
      <c r="B235" s="11" t="s">
        <v>1362</v>
      </c>
      <c r="C235" s="4" t="s">
        <v>327</v>
      </c>
      <c r="D235" s="12" t="s">
        <v>126</v>
      </c>
      <c r="E235" s="13" t="s">
        <v>53</v>
      </c>
      <c r="F235" s="5" t="s">
        <v>127</v>
      </c>
      <c r="G235" s="5" t="b">
        <v>0</v>
      </c>
      <c r="H235" s="5" t="s">
        <v>329</v>
      </c>
      <c r="I235" s="5">
        <v>10.0</v>
      </c>
      <c r="J235" s="5">
        <v>0.01</v>
      </c>
      <c r="K235" s="5">
        <v>2.5</v>
      </c>
    </row>
    <row r="236" ht="15.75" customHeight="1">
      <c r="A236" s="4" t="s">
        <v>1365</v>
      </c>
      <c r="B236" s="11" t="s">
        <v>1367</v>
      </c>
      <c r="C236" s="4" t="s">
        <v>35</v>
      </c>
      <c r="D236" s="12" t="s">
        <v>297</v>
      </c>
      <c r="E236" s="13" t="s">
        <v>53</v>
      </c>
      <c r="F236" s="5" t="s">
        <v>298</v>
      </c>
      <c r="G236" s="5" t="b">
        <v>0</v>
      </c>
      <c r="H236" s="5" t="s">
        <v>1368</v>
      </c>
      <c r="I236" s="5">
        <v>10.0</v>
      </c>
      <c r="J236" s="5">
        <v>0.01</v>
      </c>
      <c r="K236" s="5">
        <v>0.0</v>
      </c>
    </row>
    <row r="237" ht="15.75" customHeight="1">
      <c r="A237" s="4" t="s">
        <v>1370</v>
      </c>
      <c r="B237" s="11" t="s">
        <v>1372</v>
      </c>
      <c r="C237" s="4" t="s">
        <v>565</v>
      </c>
      <c r="D237" s="12" t="s">
        <v>126</v>
      </c>
      <c r="E237" s="13" t="s">
        <v>53</v>
      </c>
      <c r="F237" s="5" t="s">
        <v>127</v>
      </c>
      <c r="G237" s="5" t="b">
        <v>0</v>
      </c>
      <c r="I237" s="5">
        <v>10.0</v>
      </c>
      <c r="J237" s="5">
        <v>0.01</v>
      </c>
      <c r="K237" s="5">
        <v>0.1</v>
      </c>
    </row>
    <row r="238" ht="15.75" customHeight="1">
      <c r="A238" s="4" t="s">
        <v>1375</v>
      </c>
      <c r="B238" s="11" t="s">
        <v>1377</v>
      </c>
      <c r="C238" s="4" t="s">
        <v>47</v>
      </c>
      <c r="D238" s="12" t="s">
        <v>29</v>
      </c>
      <c r="E238" s="13" t="s">
        <v>30</v>
      </c>
      <c r="F238" s="5" t="s">
        <v>31</v>
      </c>
      <c r="G238" s="5" t="b">
        <v>0</v>
      </c>
      <c r="H238" s="5" t="s">
        <v>182</v>
      </c>
      <c r="I238" s="5">
        <v>10.0</v>
      </c>
      <c r="J238" s="5">
        <v>0.01</v>
      </c>
      <c r="K238" s="5">
        <v>0.5</v>
      </c>
    </row>
    <row r="239" ht="15.75" customHeight="1">
      <c r="A239" s="4" t="s">
        <v>1379</v>
      </c>
      <c r="B239" s="11" t="s">
        <v>1381</v>
      </c>
      <c r="C239" s="4" t="s">
        <v>18</v>
      </c>
      <c r="D239" s="12" t="s">
        <v>52</v>
      </c>
      <c r="E239" s="13" t="s">
        <v>53</v>
      </c>
      <c r="F239" s="5" t="s">
        <v>54</v>
      </c>
      <c r="G239" s="5" t="b">
        <v>0</v>
      </c>
      <c r="H239" s="5" t="s">
        <v>1384</v>
      </c>
      <c r="I239" s="5">
        <v>10.0</v>
      </c>
      <c r="J239" s="5">
        <v>0.01</v>
      </c>
      <c r="K239" s="5">
        <v>0.1</v>
      </c>
    </row>
    <row r="240" ht="15.75" customHeight="1">
      <c r="A240" s="4" t="s">
        <v>1385</v>
      </c>
      <c r="B240" s="11" t="s">
        <v>1387</v>
      </c>
      <c r="C240" s="4" t="s">
        <v>18</v>
      </c>
      <c r="D240" s="12" t="s">
        <v>52</v>
      </c>
      <c r="E240" s="13" t="s">
        <v>53</v>
      </c>
      <c r="F240" s="5" t="s">
        <v>54</v>
      </c>
      <c r="G240" s="5" t="b">
        <v>0</v>
      </c>
      <c r="H240" s="5" t="s">
        <v>1389</v>
      </c>
      <c r="I240" s="5">
        <v>10.0</v>
      </c>
      <c r="J240" s="5">
        <v>0.01</v>
      </c>
      <c r="K240" s="5">
        <v>0.9</v>
      </c>
    </row>
    <row r="241" ht="15.75" customHeight="1">
      <c r="A241" s="4" t="s">
        <v>1390</v>
      </c>
      <c r="B241" s="11" t="s">
        <v>1392</v>
      </c>
      <c r="C241" s="4" t="s">
        <v>18</v>
      </c>
      <c r="D241" s="12" t="s">
        <v>52</v>
      </c>
      <c r="E241" s="13" t="s">
        <v>53</v>
      </c>
      <c r="F241" s="5" t="s">
        <v>54</v>
      </c>
      <c r="G241" s="5" t="b">
        <v>0</v>
      </c>
      <c r="H241" s="5" t="s">
        <v>1393</v>
      </c>
      <c r="I241" s="5">
        <v>10.0</v>
      </c>
      <c r="J241" s="5">
        <v>0.01</v>
      </c>
      <c r="K241" s="5">
        <v>0.2</v>
      </c>
    </row>
    <row r="242" ht="15.75" customHeight="1">
      <c r="A242" s="4" t="s">
        <v>1395</v>
      </c>
      <c r="B242" s="11" t="s">
        <v>1397</v>
      </c>
      <c r="C242" s="4" t="s">
        <v>571</v>
      </c>
      <c r="D242" s="12" t="s">
        <v>29</v>
      </c>
      <c r="E242" s="13" t="s">
        <v>93</v>
      </c>
      <c r="F242" s="5" t="s">
        <v>31</v>
      </c>
      <c r="G242" s="5" t="b">
        <v>0</v>
      </c>
      <c r="H242" s="5" t="s">
        <v>572</v>
      </c>
      <c r="I242" s="5">
        <v>10.0</v>
      </c>
      <c r="J242" s="5">
        <v>0.01</v>
      </c>
      <c r="K242" s="5">
        <v>0.0</v>
      </c>
    </row>
    <row r="243" ht="15.75" customHeight="1">
      <c r="A243" s="4" t="s">
        <v>1399</v>
      </c>
      <c r="B243" s="11" t="s">
        <v>1403</v>
      </c>
      <c r="C243" s="4" t="s">
        <v>520</v>
      </c>
      <c r="D243" s="12" t="s">
        <v>29</v>
      </c>
      <c r="E243" s="13" t="s">
        <v>53</v>
      </c>
      <c r="F243" s="5" t="s">
        <v>31</v>
      </c>
      <c r="G243" s="5" t="b">
        <v>0</v>
      </c>
      <c r="H243" s="5" t="s">
        <v>1406</v>
      </c>
      <c r="I243" s="5">
        <v>10.0</v>
      </c>
      <c r="J243" s="5">
        <v>0.01</v>
      </c>
      <c r="K243" s="5">
        <v>0.2</v>
      </c>
    </row>
    <row r="244" ht="15.75" customHeight="1">
      <c r="A244" s="4" t="s">
        <v>1407</v>
      </c>
      <c r="B244" s="13"/>
      <c r="C244" s="4" t="s">
        <v>481</v>
      </c>
      <c r="D244" s="12" t="s">
        <v>84</v>
      </c>
      <c r="E244" s="13" t="s">
        <v>53</v>
      </c>
      <c r="F244" s="5" t="s">
        <v>85</v>
      </c>
      <c r="H244" s="5" t="s">
        <v>233</v>
      </c>
      <c r="I244" s="5">
        <v>10.0</v>
      </c>
      <c r="J244" s="5">
        <v>0.01</v>
      </c>
      <c r="K244" s="5">
        <v>0.3</v>
      </c>
    </row>
    <row r="245" ht="15.75" customHeight="1">
      <c r="A245" s="4" t="s">
        <v>1412</v>
      </c>
      <c r="B245" s="11" t="s">
        <v>1415</v>
      </c>
      <c r="C245" s="4" t="s">
        <v>554</v>
      </c>
      <c r="D245" s="12" t="s">
        <v>29</v>
      </c>
      <c r="E245" s="13" t="s">
        <v>53</v>
      </c>
      <c r="F245" s="5" t="s">
        <v>31</v>
      </c>
      <c r="G245" s="5" t="b">
        <v>0</v>
      </c>
      <c r="H245" s="5" t="s">
        <v>557</v>
      </c>
      <c r="I245" s="5">
        <v>10.0</v>
      </c>
      <c r="J245" s="5">
        <v>0.01</v>
      </c>
      <c r="K245" s="5">
        <v>1.3</v>
      </c>
    </row>
    <row r="246" ht="15.75" customHeight="1">
      <c r="A246" s="4" t="s">
        <v>1419</v>
      </c>
      <c r="B246" s="11" t="s">
        <v>1421</v>
      </c>
      <c r="C246" s="4" t="s">
        <v>577</v>
      </c>
      <c r="D246" s="12" t="s">
        <v>126</v>
      </c>
      <c r="E246" s="13" t="s">
        <v>53</v>
      </c>
      <c r="F246" s="5" t="s">
        <v>127</v>
      </c>
      <c r="G246" s="5" t="b">
        <v>0</v>
      </c>
      <c r="H246" s="5" t="s">
        <v>1424</v>
      </c>
      <c r="I246" s="5">
        <v>10.0</v>
      </c>
      <c r="J246" s="5">
        <v>0.01</v>
      </c>
      <c r="K246" s="5">
        <v>0.1</v>
      </c>
    </row>
    <row r="247" ht="15.75" customHeight="1">
      <c r="A247" s="4" t="s">
        <v>1425</v>
      </c>
      <c r="B247" s="11" t="s">
        <v>1428</v>
      </c>
      <c r="C247" s="4" t="s">
        <v>584</v>
      </c>
      <c r="D247" s="12" t="s">
        <v>29</v>
      </c>
      <c r="E247" s="13" t="s">
        <v>84</v>
      </c>
      <c r="F247" s="5" t="s">
        <v>31</v>
      </c>
      <c r="G247" s="5" t="b">
        <v>0</v>
      </c>
      <c r="I247" s="5">
        <v>10.0</v>
      </c>
      <c r="J247" s="5">
        <v>0.01</v>
      </c>
      <c r="K247" s="5">
        <v>0.0</v>
      </c>
    </row>
    <row r="248" ht="15.75" customHeight="1">
      <c r="A248" s="4" t="s">
        <v>1432</v>
      </c>
      <c r="B248" s="11" t="s">
        <v>1434</v>
      </c>
      <c r="C248" s="4" t="s">
        <v>587</v>
      </c>
      <c r="D248" s="12" t="s">
        <v>29</v>
      </c>
      <c r="E248" s="13" t="s">
        <v>53</v>
      </c>
      <c r="F248" s="5" t="s">
        <v>31</v>
      </c>
      <c r="G248" s="5" t="b">
        <v>0</v>
      </c>
      <c r="H248" s="5" t="s">
        <v>1436</v>
      </c>
      <c r="I248" s="5">
        <v>10.0</v>
      </c>
      <c r="J248" s="5">
        <v>0.01</v>
      </c>
      <c r="K248" s="5">
        <v>0.0</v>
      </c>
    </row>
    <row r="249" ht="15.75" customHeight="1">
      <c r="A249" s="4" t="s">
        <v>1437</v>
      </c>
      <c r="B249" s="11" t="s">
        <v>1439</v>
      </c>
      <c r="C249" s="4" t="s">
        <v>293</v>
      </c>
      <c r="D249" s="12" t="s">
        <v>29</v>
      </c>
      <c r="E249" s="13" t="s">
        <v>53</v>
      </c>
      <c r="F249" s="5" t="s">
        <v>31</v>
      </c>
      <c r="G249" s="5" t="b">
        <v>0</v>
      </c>
      <c r="H249" s="5" t="s">
        <v>1442</v>
      </c>
      <c r="I249" s="5">
        <v>10.0</v>
      </c>
      <c r="J249" s="5">
        <v>0.01</v>
      </c>
      <c r="K249" s="5">
        <v>1.0</v>
      </c>
    </row>
    <row r="250" ht="15.75" customHeight="1">
      <c r="A250" s="4" t="s">
        <v>1443</v>
      </c>
      <c r="B250" s="11" t="s">
        <v>1446</v>
      </c>
      <c r="C250" s="4" t="s">
        <v>217</v>
      </c>
      <c r="D250" s="12" t="s">
        <v>52</v>
      </c>
      <c r="E250" s="13" t="s">
        <v>81</v>
      </c>
      <c r="F250" s="5" t="s">
        <v>54</v>
      </c>
      <c r="G250" s="5" t="b">
        <v>0</v>
      </c>
      <c r="H250" s="5" t="s">
        <v>1448</v>
      </c>
      <c r="I250" s="5">
        <v>10.0</v>
      </c>
      <c r="J250" s="5">
        <v>0.01</v>
      </c>
      <c r="K250" s="5">
        <v>0.6</v>
      </c>
    </row>
    <row r="251" ht="15.75" customHeight="1">
      <c r="A251" s="4" t="s">
        <v>1449</v>
      </c>
      <c r="B251" s="11" t="s">
        <v>1452</v>
      </c>
      <c r="C251" s="4" t="s">
        <v>562</v>
      </c>
      <c r="D251" s="12" t="s">
        <v>126</v>
      </c>
      <c r="E251" s="13" t="s">
        <v>53</v>
      </c>
      <c r="F251" s="5" t="s">
        <v>127</v>
      </c>
      <c r="G251" s="5" t="b">
        <v>0</v>
      </c>
      <c r="I251" s="5">
        <v>10.0</v>
      </c>
      <c r="J251" s="5">
        <v>0.01</v>
      </c>
      <c r="K251" s="5">
        <v>0.3</v>
      </c>
    </row>
    <row r="252" ht="15.75" customHeight="1">
      <c r="A252" s="4" t="s">
        <v>1455</v>
      </c>
      <c r="B252" s="11" t="s">
        <v>1457</v>
      </c>
      <c r="C252" s="4" t="s">
        <v>590</v>
      </c>
      <c r="D252" s="12" t="s">
        <v>467</v>
      </c>
      <c r="E252" s="13" t="s">
        <v>53</v>
      </c>
      <c r="F252" s="5" t="s">
        <v>469</v>
      </c>
      <c r="G252" s="5" t="b">
        <v>0</v>
      </c>
      <c r="I252" s="5">
        <v>10.0</v>
      </c>
      <c r="J252" s="5">
        <v>0.01</v>
      </c>
      <c r="K252" s="5">
        <v>1.5</v>
      </c>
    </row>
    <row r="253" ht="15.75" customHeight="1">
      <c r="A253" s="4" t="s">
        <v>1459</v>
      </c>
      <c r="B253" s="11" t="s">
        <v>1462</v>
      </c>
      <c r="C253" s="4" t="s">
        <v>70</v>
      </c>
      <c r="D253" s="12" t="s">
        <v>29</v>
      </c>
      <c r="E253" s="13" t="s">
        <v>30</v>
      </c>
      <c r="F253" s="5" t="s">
        <v>31</v>
      </c>
      <c r="G253" s="5" t="b">
        <v>0</v>
      </c>
      <c r="H253" s="5" t="s">
        <v>1465</v>
      </c>
      <c r="I253" s="5">
        <v>10.0</v>
      </c>
      <c r="J253" s="5">
        <v>0.01</v>
      </c>
      <c r="K253" s="5">
        <v>0.9</v>
      </c>
    </row>
    <row r="254" ht="15.75" customHeight="1">
      <c r="A254" s="4" t="s">
        <v>1466</v>
      </c>
      <c r="B254" s="11" t="s">
        <v>1468</v>
      </c>
      <c r="C254" s="4" t="s">
        <v>593</v>
      </c>
      <c r="D254" s="12" t="s">
        <v>29</v>
      </c>
      <c r="E254" s="13" t="s">
        <v>53</v>
      </c>
      <c r="F254" s="5" t="s">
        <v>31</v>
      </c>
      <c r="G254" s="5" t="b">
        <v>0</v>
      </c>
      <c r="H254" s="5" t="s">
        <v>594</v>
      </c>
      <c r="I254" s="5">
        <v>10.0</v>
      </c>
      <c r="J254" s="5">
        <v>0.01</v>
      </c>
      <c r="K254" s="5">
        <v>0.2</v>
      </c>
    </row>
    <row r="255" ht="15.75" customHeight="1">
      <c r="A255" s="4" t="s">
        <v>1472</v>
      </c>
      <c r="B255" s="11" t="s">
        <v>1475</v>
      </c>
      <c r="C255" s="4" t="s">
        <v>254</v>
      </c>
      <c r="D255" s="12" t="s">
        <v>29</v>
      </c>
      <c r="E255" s="13" t="s">
        <v>30</v>
      </c>
      <c r="F255" s="5" t="s">
        <v>31</v>
      </c>
      <c r="G255" s="5" t="b">
        <v>0</v>
      </c>
      <c r="H255" s="5" t="s">
        <v>1477</v>
      </c>
      <c r="I255" s="5">
        <v>10.0</v>
      </c>
      <c r="J255" s="5">
        <v>0.01</v>
      </c>
      <c r="K255" s="5">
        <v>1.7</v>
      </c>
    </row>
    <row r="256" ht="15.75" customHeight="1">
      <c r="A256" s="4" t="s">
        <v>1478</v>
      </c>
      <c r="B256" s="11" t="s">
        <v>1481</v>
      </c>
      <c r="C256" s="4" t="s">
        <v>143</v>
      </c>
      <c r="D256" s="12" t="s">
        <v>29</v>
      </c>
      <c r="E256" s="13" t="s">
        <v>53</v>
      </c>
      <c r="F256" s="5" t="s">
        <v>31</v>
      </c>
      <c r="G256" s="5" t="b">
        <v>0</v>
      </c>
      <c r="H256" s="5" t="s">
        <v>1482</v>
      </c>
      <c r="I256" s="5">
        <v>10.0</v>
      </c>
      <c r="J256" s="5">
        <v>0.01</v>
      </c>
      <c r="K256" s="5">
        <v>0.1</v>
      </c>
    </row>
    <row r="257" ht="15.75" customHeight="1">
      <c r="A257" s="4" t="s">
        <v>1483</v>
      </c>
      <c r="B257" s="11" t="s">
        <v>1486</v>
      </c>
      <c r="C257" s="4" t="s">
        <v>597</v>
      </c>
      <c r="D257" s="12" t="s">
        <v>261</v>
      </c>
      <c r="E257" s="13" t="s">
        <v>53</v>
      </c>
      <c r="F257" s="5" t="s">
        <v>263</v>
      </c>
      <c r="G257" s="5" t="b">
        <v>0</v>
      </c>
      <c r="H257" s="5" t="s">
        <v>1488</v>
      </c>
      <c r="I257" s="5">
        <v>10.0</v>
      </c>
      <c r="J257" s="5">
        <v>0.01</v>
      </c>
      <c r="K257" s="5">
        <v>0.1</v>
      </c>
    </row>
    <row r="258" ht="15.75" customHeight="1">
      <c r="A258" s="4" t="s">
        <v>1490</v>
      </c>
      <c r="B258" s="11" t="s">
        <v>1492</v>
      </c>
      <c r="C258" s="4" t="s">
        <v>60</v>
      </c>
      <c r="D258" s="12" t="s">
        <v>29</v>
      </c>
      <c r="E258" s="13" t="s">
        <v>30</v>
      </c>
      <c r="F258" s="5" t="s">
        <v>31</v>
      </c>
      <c r="G258" s="5" t="b">
        <v>0</v>
      </c>
      <c r="H258" s="5" t="s">
        <v>1493</v>
      </c>
      <c r="I258" s="5">
        <v>10.0</v>
      </c>
      <c r="J258" s="5">
        <v>0.01</v>
      </c>
      <c r="K258" s="5">
        <v>0.0</v>
      </c>
    </row>
    <row r="259" ht="15.75" customHeight="1">
      <c r="A259" s="4" t="s">
        <v>1495</v>
      </c>
      <c r="B259" s="11" t="s">
        <v>1497</v>
      </c>
      <c r="C259" s="4" t="s">
        <v>373</v>
      </c>
      <c r="D259" s="12" t="s">
        <v>29</v>
      </c>
      <c r="E259" s="13" t="s">
        <v>93</v>
      </c>
      <c r="F259" s="5" t="s">
        <v>31</v>
      </c>
      <c r="G259" s="5" t="b">
        <v>0</v>
      </c>
      <c r="H259" s="5" t="s">
        <v>1499</v>
      </c>
      <c r="I259" s="5">
        <v>10.0</v>
      </c>
      <c r="J259" s="5">
        <v>0.01</v>
      </c>
      <c r="K259" s="5">
        <v>0.0</v>
      </c>
    </row>
    <row r="260" ht="15.75" customHeight="1">
      <c r="A260" s="4" t="s">
        <v>1500</v>
      </c>
      <c r="B260" s="11" t="s">
        <v>1503</v>
      </c>
      <c r="C260" s="4" t="s">
        <v>116</v>
      </c>
      <c r="D260" s="12" t="s">
        <v>84</v>
      </c>
      <c r="E260" s="13" t="s">
        <v>30</v>
      </c>
      <c r="F260" s="5" t="s">
        <v>85</v>
      </c>
      <c r="G260" s="5" t="b">
        <v>0</v>
      </c>
      <c r="H260" s="5" t="s">
        <v>1505</v>
      </c>
      <c r="I260" s="5">
        <v>10.0</v>
      </c>
      <c r="J260" s="5">
        <v>0.01</v>
      </c>
      <c r="K260" s="5">
        <v>1.1</v>
      </c>
    </row>
    <row r="261" ht="15.75" customHeight="1">
      <c r="A261" s="4" t="s">
        <v>1507</v>
      </c>
      <c r="B261" s="11" t="s">
        <v>1510</v>
      </c>
      <c r="C261" s="4" t="s">
        <v>611</v>
      </c>
      <c r="D261" s="12" t="s">
        <v>467</v>
      </c>
      <c r="E261" s="13" t="s">
        <v>53</v>
      </c>
      <c r="F261" s="5" t="s">
        <v>469</v>
      </c>
      <c r="G261" s="5" t="b">
        <v>0</v>
      </c>
      <c r="I261" s="5">
        <v>9.0</v>
      </c>
      <c r="J261" s="5">
        <v>0.01</v>
      </c>
      <c r="K261" s="5">
        <v>0.0</v>
      </c>
    </row>
    <row r="262" ht="15.75" customHeight="1">
      <c r="A262" s="4" t="s">
        <v>1514</v>
      </c>
      <c r="B262" s="11" t="s">
        <v>1516</v>
      </c>
      <c r="C262" s="4" t="s">
        <v>35</v>
      </c>
      <c r="D262" s="12" t="s">
        <v>52</v>
      </c>
      <c r="E262" s="13" t="s">
        <v>53</v>
      </c>
      <c r="F262" s="5" t="s">
        <v>54</v>
      </c>
      <c r="G262" s="5" t="b">
        <v>0</v>
      </c>
      <c r="H262" s="5" t="s">
        <v>1518</v>
      </c>
      <c r="I262" s="5">
        <v>9.0</v>
      </c>
      <c r="J262" s="5">
        <v>0.01</v>
      </c>
      <c r="K262" s="5">
        <v>0.0</v>
      </c>
    </row>
    <row r="263" ht="15.75" customHeight="1">
      <c r="A263" s="4" t="s">
        <v>1520</v>
      </c>
      <c r="B263" s="11" t="s">
        <v>1522</v>
      </c>
      <c r="C263" s="4" t="s">
        <v>533</v>
      </c>
      <c r="D263" s="12" t="s">
        <v>29</v>
      </c>
      <c r="E263" s="13" t="s">
        <v>30</v>
      </c>
      <c r="F263" s="5" t="s">
        <v>31</v>
      </c>
      <c r="G263" s="5" t="b">
        <v>0</v>
      </c>
      <c r="H263" s="5" t="s">
        <v>1524</v>
      </c>
      <c r="I263" s="5">
        <v>9.0</v>
      </c>
      <c r="J263" s="5">
        <v>0.01</v>
      </c>
      <c r="K263" s="5">
        <v>2.11</v>
      </c>
    </row>
    <row r="264" ht="15.75" customHeight="1">
      <c r="A264" s="4" t="s">
        <v>1526</v>
      </c>
      <c r="B264" s="11" t="s">
        <v>1528</v>
      </c>
      <c r="C264" s="4" t="s">
        <v>195</v>
      </c>
      <c r="D264" s="12" t="s">
        <v>29</v>
      </c>
      <c r="E264" s="13" t="s">
        <v>30</v>
      </c>
      <c r="F264" s="5" t="s">
        <v>31</v>
      </c>
      <c r="G264" s="5" t="b">
        <v>0</v>
      </c>
      <c r="H264" s="5" t="s">
        <v>1530</v>
      </c>
      <c r="I264" s="5">
        <v>9.0</v>
      </c>
      <c r="J264" s="5">
        <v>0.01</v>
      </c>
      <c r="K264" s="5">
        <v>0.22</v>
      </c>
    </row>
    <row r="265" ht="15.75" customHeight="1">
      <c r="A265" s="4" t="s">
        <v>1531</v>
      </c>
      <c r="B265" s="11" t="s">
        <v>1534</v>
      </c>
      <c r="C265" s="4" t="s">
        <v>47</v>
      </c>
      <c r="D265" s="12" t="s">
        <v>29</v>
      </c>
      <c r="E265" s="13" t="s">
        <v>30</v>
      </c>
      <c r="F265" s="5" t="s">
        <v>31</v>
      </c>
      <c r="G265" s="5" t="b">
        <v>0</v>
      </c>
      <c r="H265" s="5" t="s">
        <v>182</v>
      </c>
      <c r="I265" s="5">
        <v>9.0</v>
      </c>
      <c r="J265" s="5">
        <v>0.01</v>
      </c>
      <c r="K265" s="5">
        <v>0.89</v>
      </c>
    </row>
    <row r="266" ht="15.75" customHeight="1">
      <c r="A266" s="4" t="s">
        <v>1536</v>
      </c>
      <c r="B266" s="11" t="s">
        <v>1538</v>
      </c>
      <c r="C266" s="4" t="s">
        <v>18</v>
      </c>
      <c r="D266" s="12" t="s">
        <v>52</v>
      </c>
      <c r="E266" s="13" t="s">
        <v>53</v>
      </c>
      <c r="F266" s="5" t="s">
        <v>54</v>
      </c>
      <c r="G266" s="5" t="b">
        <v>0</v>
      </c>
      <c r="H266" s="5" t="s">
        <v>1539</v>
      </c>
      <c r="I266" s="5">
        <v>9.0</v>
      </c>
      <c r="J266" s="5">
        <v>0.01</v>
      </c>
      <c r="K266" s="5">
        <v>1.44</v>
      </c>
    </row>
    <row r="267" ht="15.75" customHeight="1">
      <c r="A267" s="4" t="s">
        <v>1540</v>
      </c>
      <c r="B267" s="11" t="s">
        <v>1541</v>
      </c>
      <c r="C267" s="4" t="s">
        <v>18</v>
      </c>
      <c r="D267" s="12" t="s">
        <v>52</v>
      </c>
      <c r="E267" s="13" t="s">
        <v>53</v>
      </c>
      <c r="F267" s="5" t="s">
        <v>54</v>
      </c>
      <c r="G267" s="5" t="b">
        <v>0</v>
      </c>
      <c r="H267" s="5" t="s">
        <v>1543</v>
      </c>
      <c r="I267" s="5">
        <v>9.0</v>
      </c>
      <c r="J267" s="5">
        <v>0.01</v>
      </c>
      <c r="K267" s="5">
        <v>0.67</v>
      </c>
    </row>
    <row r="268" ht="15.75" customHeight="1">
      <c r="A268" s="4" t="s">
        <v>1544</v>
      </c>
      <c r="B268" s="11" t="s">
        <v>1546</v>
      </c>
      <c r="C268" s="4" t="s">
        <v>305</v>
      </c>
      <c r="D268" s="12" t="s">
        <v>29</v>
      </c>
      <c r="E268" s="13" t="s">
        <v>81</v>
      </c>
      <c r="F268" s="5" t="s">
        <v>31</v>
      </c>
      <c r="G268" s="5" t="b">
        <v>0</v>
      </c>
      <c r="I268" s="5">
        <v>9.0</v>
      </c>
      <c r="J268" s="5">
        <v>0.01</v>
      </c>
      <c r="K268" s="5">
        <v>0.0</v>
      </c>
    </row>
    <row r="269" ht="15.75" customHeight="1">
      <c r="A269" s="4" t="s">
        <v>1548</v>
      </c>
      <c r="B269" s="11" t="s">
        <v>1550</v>
      </c>
      <c r="C269" s="4" t="s">
        <v>384</v>
      </c>
      <c r="D269" s="12" t="s">
        <v>29</v>
      </c>
      <c r="E269" s="13" t="s">
        <v>53</v>
      </c>
      <c r="F269" s="5" t="s">
        <v>31</v>
      </c>
      <c r="G269" s="5" t="b">
        <v>0</v>
      </c>
      <c r="H269" s="5" t="s">
        <v>1553</v>
      </c>
      <c r="I269" s="5">
        <v>9.0</v>
      </c>
      <c r="J269" s="5">
        <v>0.01</v>
      </c>
      <c r="K269" s="5">
        <v>0.33</v>
      </c>
    </row>
    <row r="270" ht="15.75" customHeight="1">
      <c r="A270" s="4" t="s">
        <v>1554</v>
      </c>
      <c r="B270" s="11" t="s">
        <v>1557</v>
      </c>
      <c r="C270" s="4" t="s">
        <v>574</v>
      </c>
      <c r="D270" s="12" t="s">
        <v>29</v>
      </c>
      <c r="E270" s="13" t="s">
        <v>53</v>
      </c>
      <c r="F270" s="5" t="s">
        <v>31</v>
      </c>
      <c r="G270" s="5" t="b">
        <v>0</v>
      </c>
      <c r="H270" s="5" t="s">
        <v>1560</v>
      </c>
      <c r="I270" s="5">
        <v>9.0</v>
      </c>
      <c r="J270" s="5">
        <v>0.01</v>
      </c>
      <c r="K270" s="5">
        <v>0.89</v>
      </c>
    </row>
    <row r="271" ht="15.75" customHeight="1">
      <c r="A271" s="4" t="s">
        <v>1561</v>
      </c>
      <c r="B271" s="11" t="s">
        <v>1563</v>
      </c>
      <c r="C271" s="4" t="s">
        <v>621</v>
      </c>
      <c r="D271" s="12" t="s">
        <v>467</v>
      </c>
      <c r="E271" s="13" t="s">
        <v>53</v>
      </c>
      <c r="F271" s="5" t="s">
        <v>469</v>
      </c>
      <c r="G271" s="5" t="b">
        <v>0</v>
      </c>
      <c r="H271" s="5" t="s">
        <v>623</v>
      </c>
      <c r="I271" s="5">
        <v>9.0</v>
      </c>
      <c r="J271" s="5">
        <v>0.01</v>
      </c>
      <c r="K271" s="5">
        <v>0.0</v>
      </c>
    </row>
    <row r="272" ht="15.75" customHeight="1">
      <c r="A272" s="4" t="s">
        <v>1566</v>
      </c>
      <c r="B272" s="11" t="s">
        <v>1568</v>
      </c>
      <c r="C272" s="4" t="s">
        <v>607</v>
      </c>
      <c r="D272" s="12" t="s">
        <v>29</v>
      </c>
      <c r="E272" s="13" t="s">
        <v>30</v>
      </c>
      <c r="F272" s="5" t="s">
        <v>31</v>
      </c>
      <c r="G272" s="5" t="b">
        <v>1</v>
      </c>
      <c r="H272" s="5" t="s">
        <v>1570</v>
      </c>
      <c r="I272" s="5">
        <v>9.0</v>
      </c>
      <c r="J272" s="5">
        <v>0.01</v>
      </c>
      <c r="K272" s="5">
        <v>1.22</v>
      </c>
    </row>
    <row r="273" ht="15.75" customHeight="1">
      <c r="A273" s="4" t="s">
        <v>1571</v>
      </c>
      <c r="B273" s="11" t="s">
        <v>1573</v>
      </c>
      <c r="C273" s="5" t="s">
        <v>511</v>
      </c>
      <c r="D273" s="12" t="s">
        <v>84</v>
      </c>
      <c r="E273" s="13" t="s">
        <v>30</v>
      </c>
      <c r="F273" s="5" t="s">
        <v>85</v>
      </c>
      <c r="G273" s="5" t="b">
        <v>0</v>
      </c>
      <c r="H273" s="5" t="s">
        <v>1574</v>
      </c>
      <c r="I273" s="5">
        <v>9.0</v>
      </c>
      <c r="J273" s="5">
        <v>0.01</v>
      </c>
      <c r="K273" s="5">
        <v>1.56</v>
      </c>
    </row>
    <row r="274" ht="15.75" customHeight="1">
      <c r="A274" s="4" t="s">
        <v>1576</v>
      </c>
      <c r="B274" s="11" t="s">
        <v>1579</v>
      </c>
      <c r="C274" s="4" t="s">
        <v>580</v>
      </c>
      <c r="D274" s="12" t="s">
        <v>29</v>
      </c>
      <c r="E274" s="13" t="s">
        <v>53</v>
      </c>
      <c r="F274" s="5" t="s">
        <v>31</v>
      </c>
      <c r="G274" s="5" t="b">
        <v>0</v>
      </c>
      <c r="H274" s="5" t="s">
        <v>1581</v>
      </c>
      <c r="I274" s="5">
        <v>9.0</v>
      </c>
      <c r="J274" s="5">
        <v>0.01</v>
      </c>
      <c r="K274" s="5">
        <v>0.0</v>
      </c>
    </row>
    <row r="275" ht="15.75" customHeight="1">
      <c r="A275" s="4" t="s">
        <v>1582</v>
      </c>
      <c r="B275" s="11" t="s">
        <v>1584</v>
      </c>
      <c r="C275" s="4" t="s">
        <v>604</v>
      </c>
      <c r="D275" s="12" t="s">
        <v>29</v>
      </c>
      <c r="E275" s="13" t="s">
        <v>53</v>
      </c>
      <c r="F275" s="5" t="s">
        <v>31</v>
      </c>
      <c r="G275" s="5" t="b">
        <v>0</v>
      </c>
      <c r="H275" s="5" t="s">
        <v>1586</v>
      </c>
      <c r="I275" s="5">
        <v>9.0</v>
      </c>
      <c r="J275" s="5">
        <v>0.01</v>
      </c>
      <c r="K275" s="5">
        <v>1.0</v>
      </c>
    </row>
    <row r="276" ht="15.75" customHeight="1">
      <c r="A276" s="4" t="s">
        <v>1587</v>
      </c>
      <c r="B276" s="11" t="s">
        <v>1589</v>
      </c>
      <c r="C276" s="4" t="s">
        <v>164</v>
      </c>
      <c r="D276" s="12" t="s">
        <v>433</v>
      </c>
      <c r="E276" s="13" t="s">
        <v>678</v>
      </c>
      <c r="F276" s="5" t="s">
        <v>434</v>
      </c>
      <c r="G276" s="5" t="b">
        <v>0</v>
      </c>
      <c r="H276" s="5" t="s">
        <v>1590</v>
      </c>
      <c r="I276" s="5">
        <v>9.0</v>
      </c>
      <c r="J276" s="5">
        <v>0.01</v>
      </c>
      <c r="K276" s="5">
        <v>0.0</v>
      </c>
    </row>
    <row r="277" ht="15.75" customHeight="1">
      <c r="A277" s="4" t="s">
        <v>1592</v>
      </c>
      <c r="B277" s="11" t="s">
        <v>1594</v>
      </c>
      <c r="C277" s="4" t="s">
        <v>220</v>
      </c>
      <c r="D277" s="12" t="s">
        <v>29</v>
      </c>
      <c r="E277" s="13" t="s">
        <v>53</v>
      </c>
      <c r="F277" s="5" t="s">
        <v>31</v>
      </c>
      <c r="G277" s="5" t="b">
        <v>0</v>
      </c>
      <c r="H277" s="5" t="s">
        <v>1596</v>
      </c>
      <c r="I277" s="5">
        <v>9.0</v>
      </c>
      <c r="J277" s="5">
        <v>0.01</v>
      </c>
      <c r="K277" s="5">
        <v>1.67</v>
      </c>
    </row>
    <row r="278" ht="15.75" customHeight="1">
      <c r="A278" s="4" t="s">
        <v>1598</v>
      </c>
      <c r="B278" s="11" t="s">
        <v>1600</v>
      </c>
      <c r="C278" s="4" t="s">
        <v>10</v>
      </c>
      <c r="D278" s="12" t="s">
        <v>52</v>
      </c>
      <c r="E278" s="13" t="s">
        <v>93</v>
      </c>
      <c r="F278" s="5" t="s">
        <v>54</v>
      </c>
      <c r="G278" s="5" t="b">
        <v>0</v>
      </c>
      <c r="H278" s="5" t="s">
        <v>1602</v>
      </c>
      <c r="I278" s="5">
        <v>9.0</v>
      </c>
      <c r="J278" s="5">
        <v>0.01</v>
      </c>
      <c r="K278" s="5">
        <v>0.0</v>
      </c>
    </row>
    <row r="279" ht="15.75" customHeight="1">
      <c r="A279" s="4" t="s">
        <v>1604</v>
      </c>
      <c r="B279" s="11" t="s">
        <v>1606</v>
      </c>
      <c r="C279" s="4" t="s">
        <v>624</v>
      </c>
      <c r="D279" s="12" t="s">
        <v>29</v>
      </c>
      <c r="E279" s="13" t="s">
        <v>84</v>
      </c>
      <c r="F279" s="5" t="s">
        <v>31</v>
      </c>
      <c r="G279" s="5" t="b">
        <v>0</v>
      </c>
      <c r="H279" s="5" t="s">
        <v>1609</v>
      </c>
      <c r="I279" s="5">
        <v>9.0</v>
      </c>
      <c r="J279" s="5">
        <v>0.01</v>
      </c>
      <c r="K279" s="5">
        <v>0.11</v>
      </c>
    </row>
    <row r="280" ht="15.75" customHeight="1">
      <c r="A280" s="4" t="s">
        <v>1610</v>
      </c>
      <c r="B280" s="11" t="s">
        <v>1612</v>
      </c>
      <c r="C280" s="4" t="s">
        <v>628</v>
      </c>
      <c r="D280" s="12" t="s">
        <v>670</v>
      </c>
      <c r="E280" s="13" t="s">
        <v>53</v>
      </c>
      <c r="F280" s="5" t="s">
        <v>671</v>
      </c>
      <c r="G280" s="5" t="b">
        <v>0</v>
      </c>
      <c r="H280" s="5" t="s">
        <v>1617</v>
      </c>
      <c r="I280" s="5">
        <v>9.0</v>
      </c>
      <c r="J280" s="5">
        <v>0.01</v>
      </c>
      <c r="K280" s="5">
        <v>0.0</v>
      </c>
    </row>
    <row r="281" ht="15.75" customHeight="1">
      <c r="A281" s="4" t="s">
        <v>1618</v>
      </c>
      <c r="B281" s="11" t="s">
        <v>1621</v>
      </c>
      <c r="C281" s="4" t="s">
        <v>633</v>
      </c>
      <c r="D281" s="12" t="s">
        <v>29</v>
      </c>
      <c r="E281" s="13" t="s">
        <v>84</v>
      </c>
      <c r="F281" s="5" t="s">
        <v>31</v>
      </c>
      <c r="G281" s="5" t="b">
        <v>0</v>
      </c>
      <c r="H281" s="5" t="s">
        <v>1623</v>
      </c>
      <c r="I281" s="5">
        <v>9.0</v>
      </c>
      <c r="J281" s="5">
        <v>0.01</v>
      </c>
      <c r="K281" s="5">
        <v>0.0</v>
      </c>
    </row>
    <row r="282" ht="15.75" customHeight="1">
      <c r="A282" s="4" t="s">
        <v>1624</v>
      </c>
      <c r="B282" s="11" t="s">
        <v>1625</v>
      </c>
      <c r="C282" s="4" t="s">
        <v>350</v>
      </c>
      <c r="D282" s="12" t="s">
        <v>29</v>
      </c>
      <c r="E282" s="13" t="s">
        <v>84</v>
      </c>
      <c r="F282" s="5" t="s">
        <v>31</v>
      </c>
      <c r="G282" s="5" t="b">
        <v>0</v>
      </c>
      <c r="H282" s="5" t="s">
        <v>1627</v>
      </c>
      <c r="I282" s="5">
        <v>9.0</v>
      </c>
      <c r="J282" s="5">
        <v>0.01</v>
      </c>
      <c r="K282" s="5">
        <v>0.44</v>
      </c>
    </row>
    <row r="283" ht="15.75" customHeight="1">
      <c r="A283" s="4" t="s">
        <v>1628</v>
      </c>
      <c r="B283" s="11" t="s">
        <v>1631</v>
      </c>
      <c r="C283" s="4" t="s">
        <v>408</v>
      </c>
      <c r="D283" s="12" t="s">
        <v>84</v>
      </c>
      <c r="E283" s="13" t="s">
        <v>30</v>
      </c>
      <c r="F283" s="5" t="s">
        <v>85</v>
      </c>
      <c r="G283" s="5" t="b">
        <v>0</v>
      </c>
      <c r="H283" s="5" t="s">
        <v>1634</v>
      </c>
      <c r="I283" s="5">
        <v>9.0</v>
      </c>
      <c r="J283" s="5">
        <v>0.01</v>
      </c>
      <c r="K283" s="5">
        <v>1.33</v>
      </c>
    </row>
    <row r="284" ht="15.75" customHeight="1">
      <c r="A284" s="4" t="s">
        <v>1635</v>
      </c>
      <c r="B284" s="11" t="s">
        <v>1637</v>
      </c>
      <c r="C284" s="4" t="s">
        <v>449</v>
      </c>
      <c r="D284" s="12" t="s">
        <v>29</v>
      </c>
      <c r="E284" s="13" t="s">
        <v>93</v>
      </c>
      <c r="F284" s="5" t="s">
        <v>31</v>
      </c>
      <c r="G284" s="5" t="b">
        <v>0</v>
      </c>
      <c r="H284" s="5" t="s">
        <v>1639</v>
      </c>
      <c r="I284" s="5">
        <v>9.0</v>
      </c>
      <c r="J284" s="5">
        <v>0.01</v>
      </c>
      <c r="K284" s="5">
        <v>0.0</v>
      </c>
    </row>
    <row r="285" ht="15.75" customHeight="1">
      <c r="A285" s="4" t="s">
        <v>1640</v>
      </c>
      <c r="B285" s="11" t="s">
        <v>1642</v>
      </c>
      <c r="C285" s="4" t="s">
        <v>602</v>
      </c>
      <c r="D285" s="12" t="s">
        <v>29</v>
      </c>
      <c r="E285" s="13" t="s">
        <v>678</v>
      </c>
      <c r="F285" s="5" t="s">
        <v>31</v>
      </c>
      <c r="G285" s="5" t="b">
        <v>0</v>
      </c>
      <c r="I285" s="5">
        <v>9.0</v>
      </c>
      <c r="J285" s="5">
        <v>0.01</v>
      </c>
      <c r="K285" s="5">
        <v>0.0</v>
      </c>
    </row>
    <row r="286" ht="15.75" customHeight="1">
      <c r="A286" s="4" t="s">
        <v>1645</v>
      </c>
      <c r="B286" s="13"/>
      <c r="C286" s="4" t="s">
        <v>544</v>
      </c>
      <c r="D286" s="12" t="s">
        <v>84</v>
      </c>
      <c r="E286" s="13" t="s">
        <v>53</v>
      </c>
      <c r="F286" s="5" t="s">
        <v>85</v>
      </c>
      <c r="H286" s="5" t="s">
        <v>233</v>
      </c>
      <c r="I286" s="5">
        <v>8.0</v>
      </c>
      <c r="J286" s="5">
        <v>0.01</v>
      </c>
      <c r="K286" s="5">
        <v>1.0</v>
      </c>
    </row>
    <row r="287" ht="15.75" customHeight="1">
      <c r="A287" s="4" t="s">
        <v>1650</v>
      </c>
      <c r="B287" s="11" t="s">
        <v>1653</v>
      </c>
      <c r="C287" s="4" t="s">
        <v>35</v>
      </c>
      <c r="D287" s="12" t="s">
        <v>297</v>
      </c>
      <c r="E287" s="13" t="s">
        <v>53</v>
      </c>
      <c r="F287" s="5" t="s">
        <v>298</v>
      </c>
      <c r="G287" s="5" t="b">
        <v>0</v>
      </c>
      <c r="H287" s="5" t="s">
        <v>1655</v>
      </c>
      <c r="I287" s="5">
        <v>8.0</v>
      </c>
      <c r="J287" s="5">
        <v>0.01</v>
      </c>
      <c r="K287" s="5">
        <v>0.38</v>
      </c>
    </row>
    <row r="288" ht="15.75" customHeight="1">
      <c r="A288" s="4" t="s">
        <v>1656</v>
      </c>
      <c r="B288" s="11" t="s">
        <v>1659</v>
      </c>
      <c r="C288" s="4" t="s">
        <v>35</v>
      </c>
      <c r="D288" s="12" t="s">
        <v>84</v>
      </c>
      <c r="E288" s="13" t="s">
        <v>53</v>
      </c>
      <c r="F288" s="5" t="s">
        <v>85</v>
      </c>
      <c r="G288" s="5" t="b">
        <v>0</v>
      </c>
      <c r="H288" s="5" t="s">
        <v>1660</v>
      </c>
      <c r="I288" s="5">
        <v>8.0</v>
      </c>
      <c r="J288" s="5">
        <v>0.01</v>
      </c>
      <c r="K288" s="5">
        <v>0.63</v>
      </c>
    </row>
    <row r="289" ht="15.75" customHeight="1">
      <c r="A289" s="4" t="s">
        <v>1662</v>
      </c>
      <c r="B289" s="11" t="s">
        <v>1665</v>
      </c>
      <c r="C289" s="4" t="s">
        <v>651</v>
      </c>
      <c r="D289" s="12" t="s">
        <v>52</v>
      </c>
      <c r="E289" s="13" t="s">
        <v>53</v>
      </c>
      <c r="F289" s="5" t="s">
        <v>54</v>
      </c>
      <c r="G289" s="5" t="b">
        <v>0</v>
      </c>
      <c r="H289" s="5" t="s">
        <v>1668</v>
      </c>
      <c r="I289" s="5">
        <v>8.0</v>
      </c>
      <c r="J289" s="5">
        <v>0.01</v>
      </c>
      <c r="K289" s="5">
        <v>0.5</v>
      </c>
    </row>
    <row r="290" ht="15.75" customHeight="1">
      <c r="A290" s="4" t="s">
        <v>1670</v>
      </c>
      <c r="B290" s="11" t="s">
        <v>1672</v>
      </c>
      <c r="C290" s="4" t="s">
        <v>655</v>
      </c>
      <c r="D290" s="12" t="s">
        <v>29</v>
      </c>
      <c r="E290" s="13" t="s">
        <v>53</v>
      </c>
      <c r="F290" s="5" t="s">
        <v>31</v>
      </c>
      <c r="G290" s="5" t="b">
        <v>0</v>
      </c>
      <c r="H290" s="5" t="s">
        <v>657</v>
      </c>
      <c r="I290" s="5">
        <v>8.0</v>
      </c>
      <c r="J290" s="5">
        <v>0.01</v>
      </c>
      <c r="K290" s="5">
        <v>0.0</v>
      </c>
    </row>
    <row r="291" ht="15.75" customHeight="1">
      <c r="A291" s="4" t="s">
        <v>1676</v>
      </c>
      <c r="B291" s="11" t="s">
        <v>1678</v>
      </c>
      <c r="C291" s="4" t="s">
        <v>659</v>
      </c>
      <c r="D291" s="12" t="s">
        <v>261</v>
      </c>
      <c r="E291" s="13" t="s">
        <v>53</v>
      </c>
      <c r="F291" s="5" t="s">
        <v>263</v>
      </c>
      <c r="G291" s="5" t="b">
        <v>0</v>
      </c>
      <c r="I291" s="5">
        <v>8.0</v>
      </c>
      <c r="J291" s="5">
        <v>0.01</v>
      </c>
      <c r="K291" s="5">
        <v>0.0</v>
      </c>
    </row>
    <row r="292" ht="15.75" customHeight="1">
      <c r="A292" s="4" t="s">
        <v>1680</v>
      </c>
      <c r="B292" s="11" t="s">
        <v>1683</v>
      </c>
      <c r="C292" s="4" t="s">
        <v>778</v>
      </c>
      <c r="D292" s="12" t="s">
        <v>467</v>
      </c>
      <c r="E292" s="13" t="s">
        <v>53</v>
      </c>
      <c r="F292" s="5" t="s">
        <v>469</v>
      </c>
      <c r="G292" s="5" t="b">
        <v>0</v>
      </c>
      <c r="I292" s="5">
        <v>8.0</v>
      </c>
      <c r="J292" s="5">
        <v>0.01</v>
      </c>
      <c r="K292" s="5">
        <v>0.5</v>
      </c>
    </row>
    <row r="293" ht="15.75" customHeight="1">
      <c r="A293" s="4" t="s">
        <v>1686</v>
      </c>
      <c r="B293" s="11" t="s">
        <v>1625</v>
      </c>
      <c r="C293" s="4" t="s">
        <v>567</v>
      </c>
      <c r="D293" s="12" t="s">
        <v>29</v>
      </c>
      <c r="E293" s="13" t="s">
        <v>53</v>
      </c>
      <c r="F293" s="5" t="s">
        <v>31</v>
      </c>
      <c r="G293" s="5" t="b">
        <v>0</v>
      </c>
      <c r="H293" s="5" t="s">
        <v>1690</v>
      </c>
      <c r="I293" s="5">
        <v>8.0</v>
      </c>
      <c r="J293" s="5">
        <v>0.01</v>
      </c>
      <c r="K293" s="5">
        <v>0.25</v>
      </c>
    </row>
    <row r="294" ht="15.75" customHeight="1">
      <c r="A294" s="4" t="s">
        <v>1692</v>
      </c>
      <c r="B294" s="11" t="s">
        <v>1694</v>
      </c>
      <c r="C294" s="4" t="s">
        <v>782</v>
      </c>
      <c r="D294" s="12" t="s">
        <v>29</v>
      </c>
      <c r="E294" s="13" t="s">
        <v>53</v>
      </c>
      <c r="F294" s="5" t="s">
        <v>31</v>
      </c>
      <c r="G294" s="5" t="b">
        <v>0</v>
      </c>
      <c r="H294" s="5" t="s">
        <v>1698</v>
      </c>
      <c r="I294" s="5">
        <v>8.0</v>
      </c>
      <c r="J294" s="5">
        <v>0.01</v>
      </c>
      <c r="K294" s="5">
        <v>0.38</v>
      </c>
    </row>
    <row r="295" ht="15.75" customHeight="1">
      <c r="A295" s="4" t="s">
        <v>1700</v>
      </c>
      <c r="B295" s="11" t="s">
        <v>1701</v>
      </c>
      <c r="C295" s="4" t="s">
        <v>785</v>
      </c>
      <c r="D295" s="12" t="s">
        <v>29</v>
      </c>
      <c r="E295" s="13" t="s">
        <v>53</v>
      </c>
      <c r="F295" s="5" t="s">
        <v>31</v>
      </c>
      <c r="G295" s="5" t="b">
        <v>0</v>
      </c>
      <c r="H295" s="5" t="s">
        <v>1705</v>
      </c>
      <c r="I295" s="5">
        <v>8.0</v>
      </c>
      <c r="J295" s="5">
        <v>0.01</v>
      </c>
      <c r="K295" s="5">
        <v>1.0</v>
      </c>
    </row>
    <row r="296" ht="15.75" customHeight="1">
      <c r="A296" s="4" t="s">
        <v>1706</v>
      </c>
      <c r="B296" s="11" t="s">
        <v>1708</v>
      </c>
      <c r="C296" s="4" t="s">
        <v>50</v>
      </c>
      <c r="D296" s="12" t="s">
        <v>84</v>
      </c>
      <c r="E296" s="13" t="s">
        <v>53</v>
      </c>
      <c r="F296" s="5" t="s">
        <v>85</v>
      </c>
      <c r="G296" s="5" t="b">
        <v>0</v>
      </c>
      <c r="H296" s="5" t="s">
        <v>396</v>
      </c>
      <c r="I296" s="5">
        <v>8.0</v>
      </c>
      <c r="J296" s="5">
        <v>0.01</v>
      </c>
      <c r="K296" s="5">
        <v>1.5</v>
      </c>
    </row>
    <row r="297" ht="15.75" customHeight="1">
      <c r="A297" s="4" t="s">
        <v>1709</v>
      </c>
      <c r="B297" s="11" t="s">
        <v>1711</v>
      </c>
      <c r="C297" s="4" t="s">
        <v>640</v>
      </c>
      <c r="D297" s="12" t="s">
        <v>126</v>
      </c>
      <c r="E297" s="13" t="s">
        <v>53</v>
      </c>
      <c r="F297" s="5" t="s">
        <v>127</v>
      </c>
      <c r="G297" s="5" t="b">
        <v>0</v>
      </c>
      <c r="H297" s="5" t="s">
        <v>643</v>
      </c>
      <c r="I297" s="5">
        <v>8.0</v>
      </c>
      <c r="J297" s="5">
        <v>0.01</v>
      </c>
      <c r="K297" s="5">
        <v>0.88</v>
      </c>
    </row>
    <row r="298" ht="15.75" customHeight="1">
      <c r="A298" s="4" t="s">
        <v>1714</v>
      </c>
      <c r="B298" s="11" t="s">
        <v>1717</v>
      </c>
      <c r="C298" s="4" t="s">
        <v>158</v>
      </c>
      <c r="D298" s="12" t="s">
        <v>126</v>
      </c>
      <c r="E298" s="13" t="s">
        <v>30</v>
      </c>
      <c r="F298" s="5" t="s">
        <v>127</v>
      </c>
      <c r="G298" s="5" t="b">
        <v>0</v>
      </c>
      <c r="H298" s="5" t="s">
        <v>159</v>
      </c>
      <c r="I298" s="5">
        <v>8.0</v>
      </c>
      <c r="J298" s="5">
        <v>0.01</v>
      </c>
      <c r="K298" s="5">
        <v>1.5</v>
      </c>
    </row>
    <row r="299" ht="15.75" customHeight="1">
      <c r="A299" s="4" t="s">
        <v>1719</v>
      </c>
      <c r="B299" s="11" t="s">
        <v>1721</v>
      </c>
      <c r="C299" s="4" t="s">
        <v>788</v>
      </c>
      <c r="D299" s="12" t="s">
        <v>126</v>
      </c>
      <c r="E299" s="13" t="s">
        <v>53</v>
      </c>
      <c r="F299" s="5" t="s">
        <v>127</v>
      </c>
      <c r="G299" s="5" t="b">
        <v>0</v>
      </c>
      <c r="I299" s="5">
        <v>8.0</v>
      </c>
      <c r="J299" s="5">
        <v>0.01</v>
      </c>
      <c r="K299" s="5">
        <v>1.0</v>
      </c>
    </row>
    <row r="300" ht="15.75" customHeight="1">
      <c r="A300" s="4" t="s">
        <v>1723</v>
      </c>
      <c r="B300" s="11" t="s">
        <v>1726</v>
      </c>
      <c r="C300" s="5" t="s">
        <v>63</v>
      </c>
      <c r="D300" s="12" t="s">
        <v>261</v>
      </c>
      <c r="E300" s="13" t="s">
        <v>30</v>
      </c>
      <c r="F300" s="5" t="s">
        <v>263</v>
      </c>
      <c r="G300" s="5" t="b">
        <v>0</v>
      </c>
      <c r="H300" s="5" t="s">
        <v>1728</v>
      </c>
      <c r="I300" s="5">
        <v>8.0</v>
      </c>
      <c r="J300" s="5">
        <v>0.01</v>
      </c>
      <c r="K300" s="5">
        <v>0.25</v>
      </c>
    </row>
    <row r="301" ht="15.75" customHeight="1">
      <c r="A301" s="4" t="s">
        <v>1729</v>
      </c>
      <c r="B301" s="11" t="s">
        <v>1732</v>
      </c>
      <c r="C301" s="4" t="s">
        <v>83</v>
      </c>
      <c r="D301" s="12" t="s">
        <v>29</v>
      </c>
      <c r="E301" s="13" t="s">
        <v>53</v>
      </c>
      <c r="F301" s="5" t="s">
        <v>31</v>
      </c>
      <c r="G301" s="5" t="b">
        <v>0</v>
      </c>
      <c r="H301" s="5" t="s">
        <v>176</v>
      </c>
      <c r="I301" s="5">
        <v>8.0</v>
      </c>
      <c r="J301" s="5">
        <v>0.01</v>
      </c>
      <c r="K301" s="5">
        <v>0.0</v>
      </c>
    </row>
    <row r="302" ht="15.75" customHeight="1">
      <c r="A302" s="4" t="s">
        <v>1735</v>
      </c>
      <c r="B302" s="13"/>
      <c r="C302" s="4" t="s">
        <v>92</v>
      </c>
      <c r="D302" s="12" t="s">
        <v>84</v>
      </c>
      <c r="E302" s="13" t="s">
        <v>84</v>
      </c>
      <c r="F302" s="5" t="s">
        <v>85</v>
      </c>
      <c r="H302" s="5" t="s">
        <v>233</v>
      </c>
      <c r="I302" s="5">
        <v>8.0</v>
      </c>
      <c r="J302" s="5">
        <v>0.01</v>
      </c>
      <c r="K302" s="5">
        <v>2.13</v>
      </c>
    </row>
    <row r="303" ht="15.75" customHeight="1">
      <c r="A303" s="4" t="s">
        <v>1737</v>
      </c>
      <c r="B303" s="11" t="s">
        <v>1739</v>
      </c>
      <c r="C303" s="4" t="s">
        <v>793</v>
      </c>
      <c r="D303" s="12" t="s">
        <v>126</v>
      </c>
      <c r="E303" s="13" t="s">
        <v>53</v>
      </c>
      <c r="F303" s="5" t="s">
        <v>127</v>
      </c>
      <c r="G303" s="5" t="b">
        <v>0</v>
      </c>
      <c r="I303" s="5">
        <v>8.0</v>
      </c>
      <c r="J303" s="5">
        <v>0.01</v>
      </c>
      <c r="K303" s="5">
        <v>1.13</v>
      </c>
    </row>
    <row r="304" ht="15.75" customHeight="1">
      <c r="A304" s="4" t="s">
        <v>1742</v>
      </c>
      <c r="B304" s="11" t="s">
        <v>1745</v>
      </c>
      <c r="C304" s="4" t="s">
        <v>514</v>
      </c>
      <c r="D304" s="12" t="s">
        <v>29</v>
      </c>
      <c r="E304" s="13" t="s">
        <v>53</v>
      </c>
      <c r="F304" s="5" t="s">
        <v>31</v>
      </c>
      <c r="G304" s="5" t="b">
        <v>0</v>
      </c>
      <c r="H304" s="5" t="s">
        <v>1747</v>
      </c>
      <c r="I304" s="5">
        <v>8.0</v>
      </c>
      <c r="J304" s="5">
        <v>0.01</v>
      </c>
      <c r="K304" s="5">
        <v>1.25</v>
      </c>
    </row>
    <row r="305" ht="15.75" customHeight="1">
      <c r="A305" s="4" t="s">
        <v>1748</v>
      </c>
      <c r="B305" s="11" t="s">
        <v>1750</v>
      </c>
      <c r="C305" s="5" t="s">
        <v>77</v>
      </c>
      <c r="D305" s="12" t="s">
        <v>29</v>
      </c>
      <c r="E305" s="13" t="s">
        <v>30</v>
      </c>
      <c r="F305" s="5" t="s">
        <v>31</v>
      </c>
      <c r="G305" s="5" t="b">
        <v>0</v>
      </c>
      <c r="H305" s="5" t="s">
        <v>1752</v>
      </c>
      <c r="I305" s="5">
        <v>8.0</v>
      </c>
      <c r="J305" s="5">
        <v>0.01</v>
      </c>
      <c r="K305" s="5">
        <v>1.38</v>
      </c>
    </row>
    <row r="306" ht="15.75" customHeight="1">
      <c r="A306" s="4" t="s">
        <v>1753</v>
      </c>
      <c r="B306" s="11" t="s">
        <v>1755</v>
      </c>
      <c r="C306" s="4" t="s">
        <v>21</v>
      </c>
      <c r="D306" s="12" t="s">
        <v>467</v>
      </c>
      <c r="E306" s="13" t="s">
        <v>30</v>
      </c>
      <c r="F306" s="5" t="s">
        <v>469</v>
      </c>
      <c r="G306" s="5" t="b">
        <v>0</v>
      </c>
      <c r="H306" s="5" t="s">
        <v>1756</v>
      </c>
      <c r="I306" s="5">
        <v>8.0</v>
      </c>
      <c r="J306" s="5">
        <v>0.01</v>
      </c>
      <c r="K306" s="5">
        <v>1.25</v>
      </c>
    </row>
    <row r="307" ht="15.75" customHeight="1">
      <c r="A307" s="4" t="s">
        <v>1757</v>
      </c>
      <c r="B307" s="11" t="s">
        <v>1759</v>
      </c>
      <c r="C307" s="4" t="s">
        <v>70</v>
      </c>
      <c r="D307" s="12" t="s">
        <v>84</v>
      </c>
      <c r="E307" s="13" t="s">
        <v>30</v>
      </c>
      <c r="F307" s="5" t="s">
        <v>85</v>
      </c>
      <c r="G307" s="5" t="b">
        <v>0</v>
      </c>
      <c r="H307" s="5" t="s">
        <v>733</v>
      </c>
      <c r="I307" s="5">
        <v>8.0</v>
      </c>
      <c r="J307" s="5">
        <v>0.01</v>
      </c>
      <c r="K307" s="5">
        <v>0.88</v>
      </c>
    </row>
    <row r="308" ht="15.75" customHeight="1">
      <c r="A308" s="4" t="s">
        <v>1761</v>
      </c>
      <c r="B308" s="11" t="s">
        <v>1763</v>
      </c>
      <c r="C308" s="4" t="s">
        <v>79</v>
      </c>
      <c r="D308" s="12" t="s">
        <v>996</v>
      </c>
      <c r="E308" s="13" t="s">
        <v>81</v>
      </c>
      <c r="F308" s="5" t="s">
        <v>997</v>
      </c>
      <c r="G308" s="5" t="b">
        <v>0</v>
      </c>
      <c r="H308" s="5" t="s">
        <v>1764</v>
      </c>
      <c r="I308" s="5">
        <v>8.0</v>
      </c>
      <c r="J308" s="5">
        <v>0.01</v>
      </c>
      <c r="K308" s="5">
        <v>2.0</v>
      </c>
    </row>
    <row r="309" ht="15.75" customHeight="1">
      <c r="A309" s="4" t="s">
        <v>1766</v>
      </c>
      <c r="B309" s="11" t="s">
        <v>1768</v>
      </c>
      <c r="C309" s="4" t="s">
        <v>79</v>
      </c>
      <c r="D309" s="12" t="s">
        <v>996</v>
      </c>
      <c r="E309" s="13" t="s">
        <v>81</v>
      </c>
      <c r="F309" s="5" t="s">
        <v>997</v>
      </c>
      <c r="G309" s="5" t="b">
        <v>0</v>
      </c>
      <c r="H309" s="5" t="s">
        <v>1770</v>
      </c>
      <c r="I309" s="5">
        <v>8.0</v>
      </c>
      <c r="J309" s="5">
        <v>0.01</v>
      </c>
      <c r="K309" s="5">
        <v>1.88</v>
      </c>
    </row>
    <row r="310" ht="15.75" customHeight="1">
      <c r="A310" s="4" t="s">
        <v>1771</v>
      </c>
      <c r="B310" s="11" t="s">
        <v>1774</v>
      </c>
      <c r="C310" s="4" t="s">
        <v>795</v>
      </c>
      <c r="D310" s="12" t="s">
        <v>261</v>
      </c>
      <c r="E310" s="13" t="s">
        <v>678</v>
      </c>
      <c r="F310" s="5" t="s">
        <v>263</v>
      </c>
      <c r="G310" s="5" t="b">
        <v>0</v>
      </c>
      <c r="H310" s="5" t="s">
        <v>797</v>
      </c>
      <c r="I310" s="5">
        <v>8.0</v>
      </c>
      <c r="J310" s="5">
        <v>0.01</v>
      </c>
      <c r="K310" s="5">
        <v>2.0</v>
      </c>
    </row>
    <row r="311" ht="15.75" customHeight="1">
      <c r="A311" s="4" t="s">
        <v>1777</v>
      </c>
      <c r="B311" s="11" t="s">
        <v>1779</v>
      </c>
      <c r="C311" s="4" t="s">
        <v>645</v>
      </c>
      <c r="D311" s="12" t="s">
        <v>126</v>
      </c>
      <c r="E311" s="13" t="s">
        <v>53</v>
      </c>
      <c r="F311" s="5" t="s">
        <v>127</v>
      </c>
      <c r="G311" s="5" t="b">
        <v>0</v>
      </c>
      <c r="H311" s="5" t="s">
        <v>646</v>
      </c>
      <c r="I311" s="5">
        <v>8.0</v>
      </c>
      <c r="J311" s="5">
        <v>0.01</v>
      </c>
      <c r="K311" s="5">
        <v>1.13</v>
      </c>
    </row>
    <row r="312" ht="15.75" customHeight="1">
      <c r="A312" s="4" t="s">
        <v>1782</v>
      </c>
      <c r="B312" s="11" t="s">
        <v>1784</v>
      </c>
      <c r="C312" s="4" t="s">
        <v>636</v>
      </c>
      <c r="D312" s="12" t="s">
        <v>126</v>
      </c>
      <c r="E312" s="13" t="s">
        <v>53</v>
      </c>
      <c r="F312" s="5" t="s">
        <v>127</v>
      </c>
      <c r="G312" s="5" t="b">
        <v>0</v>
      </c>
      <c r="H312" s="5" t="s">
        <v>639</v>
      </c>
      <c r="I312" s="5">
        <v>8.0</v>
      </c>
      <c r="J312" s="5">
        <v>0.01</v>
      </c>
      <c r="K312" s="5">
        <v>1.13</v>
      </c>
    </row>
    <row r="313" ht="15.75" customHeight="1">
      <c r="A313" s="4" t="s">
        <v>1786</v>
      </c>
      <c r="B313" s="11" t="s">
        <v>1788</v>
      </c>
      <c r="C313" s="4" t="s">
        <v>213</v>
      </c>
      <c r="D313" s="12" t="s">
        <v>467</v>
      </c>
      <c r="E313" s="13" t="s">
        <v>30</v>
      </c>
      <c r="F313" s="5" t="s">
        <v>469</v>
      </c>
      <c r="G313" s="5" t="b">
        <v>0</v>
      </c>
      <c r="H313" s="5" t="s">
        <v>1790</v>
      </c>
      <c r="I313" s="5">
        <v>8.0</v>
      </c>
      <c r="J313" s="5">
        <v>0.01</v>
      </c>
      <c r="K313" s="5">
        <v>0.88</v>
      </c>
    </row>
    <row r="314" ht="15.75" customHeight="1">
      <c r="A314" s="4" t="s">
        <v>1792</v>
      </c>
      <c r="B314" s="11" t="s">
        <v>1794</v>
      </c>
      <c r="C314" s="4" t="s">
        <v>798</v>
      </c>
      <c r="D314" s="12" t="s">
        <v>29</v>
      </c>
      <c r="E314" s="13" t="s">
        <v>84</v>
      </c>
      <c r="F314" s="5" t="s">
        <v>31</v>
      </c>
      <c r="G314" s="5" t="b">
        <v>0</v>
      </c>
      <c r="I314" s="5">
        <v>8.0</v>
      </c>
      <c r="J314" s="5">
        <v>0.01</v>
      </c>
      <c r="K314" s="5">
        <v>0.25</v>
      </c>
    </row>
    <row r="315" ht="15.75" customHeight="1">
      <c r="A315" s="4" t="s">
        <v>1796</v>
      </c>
      <c r="B315" s="11" t="s">
        <v>1798</v>
      </c>
      <c r="C315" s="4" t="s">
        <v>220</v>
      </c>
      <c r="D315" s="12" t="s">
        <v>29</v>
      </c>
      <c r="E315" s="13" t="s">
        <v>53</v>
      </c>
      <c r="F315" s="5" t="s">
        <v>31</v>
      </c>
      <c r="G315" s="5" t="b">
        <v>0</v>
      </c>
      <c r="H315" s="5" t="s">
        <v>1801</v>
      </c>
      <c r="I315" s="5">
        <v>8.0</v>
      </c>
      <c r="J315" s="5">
        <v>0.01</v>
      </c>
      <c r="K315" s="5">
        <v>0.0</v>
      </c>
    </row>
    <row r="316" ht="15.75" customHeight="1">
      <c r="A316" s="4" t="s">
        <v>1802</v>
      </c>
      <c r="B316" s="11" t="s">
        <v>1804</v>
      </c>
      <c r="C316" s="4" t="s">
        <v>800</v>
      </c>
      <c r="D316" s="12" t="s">
        <v>29</v>
      </c>
      <c r="E316" s="13" t="s">
        <v>53</v>
      </c>
      <c r="F316" s="5" t="s">
        <v>31</v>
      </c>
      <c r="G316" s="5" t="b">
        <v>0</v>
      </c>
      <c r="H316" s="5" t="s">
        <v>1807</v>
      </c>
      <c r="I316" s="5">
        <v>8.0</v>
      </c>
      <c r="J316" s="5">
        <v>0.01</v>
      </c>
      <c r="K316" s="5">
        <v>1.75</v>
      </c>
    </row>
    <row r="317" ht="15.75" customHeight="1">
      <c r="A317" s="4" t="s">
        <v>1808</v>
      </c>
      <c r="B317" s="11" t="s">
        <v>1811</v>
      </c>
      <c r="C317" s="4" t="s">
        <v>10</v>
      </c>
      <c r="D317" s="12" t="s">
        <v>52</v>
      </c>
      <c r="E317" s="13" t="s">
        <v>93</v>
      </c>
      <c r="F317" s="5" t="s">
        <v>54</v>
      </c>
      <c r="G317" s="5" t="b">
        <v>0</v>
      </c>
      <c r="I317" s="5">
        <v>8.0</v>
      </c>
      <c r="J317" s="5">
        <v>0.01</v>
      </c>
      <c r="K317" s="5">
        <v>0.13</v>
      </c>
    </row>
    <row r="318" ht="15.75" customHeight="1">
      <c r="A318" s="4" t="s">
        <v>1813</v>
      </c>
      <c r="B318" s="11" t="s">
        <v>1815</v>
      </c>
      <c r="C318" s="4" t="s">
        <v>323</v>
      </c>
      <c r="D318" s="12" t="s">
        <v>297</v>
      </c>
      <c r="E318" s="13" t="s">
        <v>53</v>
      </c>
      <c r="F318" s="5" t="s">
        <v>298</v>
      </c>
      <c r="G318" s="5" t="b">
        <v>0</v>
      </c>
      <c r="H318" s="5" t="s">
        <v>1817</v>
      </c>
      <c r="I318" s="5">
        <v>8.0</v>
      </c>
      <c r="J318" s="5">
        <v>0.01</v>
      </c>
      <c r="K318" s="5">
        <v>0.0</v>
      </c>
    </row>
    <row r="319" ht="15.75" customHeight="1">
      <c r="A319" s="4" t="s">
        <v>1818</v>
      </c>
      <c r="B319" s="11" t="s">
        <v>1821</v>
      </c>
      <c r="C319" s="4" t="s">
        <v>405</v>
      </c>
      <c r="D319" s="12" t="s">
        <v>29</v>
      </c>
      <c r="E319" s="13" t="s">
        <v>30</v>
      </c>
      <c r="F319" s="5" t="s">
        <v>31</v>
      </c>
      <c r="G319" s="5" t="b">
        <v>0</v>
      </c>
      <c r="H319" s="5" t="s">
        <v>1823</v>
      </c>
      <c r="I319" s="5">
        <v>8.0</v>
      </c>
      <c r="J319" s="5">
        <v>0.01</v>
      </c>
      <c r="K319" s="5">
        <v>2.13</v>
      </c>
    </row>
    <row r="320" ht="15.75" customHeight="1">
      <c r="A320" s="4" t="s">
        <v>1825</v>
      </c>
      <c r="B320" s="11" t="s">
        <v>1827</v>
      </c>
      <c r="C320" s="4" t="s">
        <v>92</v>
      </c>
      <c r="D320" s="12" t="s">
        <v>84</v>
      </c>
      <c r="E320" s="13" t="s">
        <v>84</v>
      </c>
      <c r="F320" s="5" t="s">
        <v>85</v>
      </c>
      <c r="G320" s="5" t="b">
        <v>0</v>
      </c>
      <c r="I320" s="5">
        <v>8.0</v>
      </c>
      <c r="J320" s="5">
        <v>0.01</v>
      </c>
      <c r="K320" s="5">
        <v>0.5</v>
      </c>
    </row>
    <row r="321" ht="15.75" customHeight="1">
      <c r="A321" s="4" t="s">
        <v>1829</v>
      </c>
      <c r="B321" s="11" t="s">
        <v>1830</v>
      </c>
      <c r="C321" s="4" t="s">
        <v>239</v>
      </c>
      <c r="D321" s="12" t="s">
        <v>297</v>
      </c>
      <c r="E321" s="13" t="s">
        <v>93</v>
      </c>
      <c r="F321" s="5" t="s">
        <v>298</v>
      </c>
      <c r="G321" s="5" t="b">
        <v>0</v>
      </c>
      <c r="H321" s="5" t="s">
        <v>1832</v>
      </c>
      <c r="I321" s="5">
        <v>8.0</v>
      </c>
      <c r="J321" s="5">
        <v>0.01</v>
      </c>
      <c r="K321" s="5">
        <v>0.0</v>
      </c>
    </row>
    <row r="322" ht="15.75" customHeight="1">
      <c r="A322" s="4" t="s">
        <v>1833</v>
      </c>
      <c r="B322" s="11" t="s">
        <v>1835</v>
      </c>
      <c r="C322" s="4" t="s">
        <v>248</v>
      </c>
      <c r="D322" s="12" t="s">
        <v>29</v>
      </c>
      <c r="E322" s="13" t="s">
        <v>53</v>
      </c>
      <c r="F322" s="5" t="s">
        <v>31</v>
      </c>
      <c r="G322" s="5" t="b">
        <v>0</v>
      </c>
      <c r="I322" s="5">
        <v>8.0</v>
      </c>
      <c r="J322" s="5">
        <v>0.01</v>
      </c>
      <c r="K322" s="5">
        <v>0.38</v>
      </c>
    </row>
    <row r="323" ht="15.75" customHeight="1">
      <c r="A323" s="4" t="s">
        <v>1837</v>
      </c>
      <c r="B323" s="11" t="s">
        <v>1838</v>
      </c>
      <c r="C323" s="4" t="s">
        <v>550</v>
      </c>
      <c r="D323" s="12" t="s">
        <v>29</v>
      </c>
      <c r="E323" s="13" t="s">
        <v>93</v>
      </c>
      <c r="F323" s="5" t="s">
        <v>31</v>
      </c>
      <c r="G323" s="5" t="b">
        <v>0</v>
      </c>
      <c r="H323" s="5" t="s">
        <v>1841</v>
      </c>
      <c r="I323" s="5">
        <v>8.0</v>
      </c>
      <c r="J323" s="5">
        <v>0.01</v>
      </c>
      <c r="K323" s="5">
        <v>0.0</v>
      </c>
    </row>
    <row r="324" ht="15.75" customHeight="1">
      <c r="A324" s="4" t="s">
        <v>1843</v>
      </c>
      <c r="B324" s="11" t="s">
        <v>1846</v>
      </c>
      <c r="C324" s="4" t="s">
        <v>35</v>
      </c>
      <c r="D324" s="12" t="s">
        <v>52</v>
      </c>
      <c r="E324" s="13" t="s">
        <v>53</v>
      </c>
      <c r="F324" s="5" t="s">
        <v>54</v>
      </c>
      <c r="G324" s="5" t="b">
        <v>0</v>
      </c>
      <c r="H324" s="5" t="s">
        <v>1847</v>
      </c>
      <c r="I324" s="5">
        <v>7.0</v>
      </c>
      <c r="J324" s="5">
        <v>0.01</v>
      </c>
      <c r="K324" s="5">
        <v>0.0</v>
      </c>
    </row>
    <row r="325" ht="15.75" customHeight="1">
      <c r="A325" s="4" t="s">
        <v>1850</v>
      </c>
      <c r="B325" s="11" t="s">
        <v>1852</v>
      </c>
      <c r="C325" s="4" t="s">
        <v>445</v>
      </c>
      <c r="D325" s="12" t="s">
        <v>467</v>
      </c>
      <c r="E325" s="13" t="s">
        <v>53</v>
      </c>
      <c r="F325" s="5" t="s">
        <v>469</v>
      </c>
      <c r="G325" s="5" t="b">
        <v>0</v>
      </c>
      <c r="H325" s="5" t="s">
        <v>1854</v>
      </c>
      <c r="I325" s="5">
        <v>7.0</v>
      </c>
      <c r="J325" s="5">
        <v>0.01</v>
      </c>
      <c r="K325" s="5">
        <v>0.0</v>
      </c>
    </row>
    <row r="326" ht="15.75" customHeight="1">
      <c r="A326" s="4" t="s">
        <v>1856</v>
      </c>
      <c r="B326" s="11" t="s">
        <v>387</v>
      </c>
      <c r="C326" s="4" t="s">
        <v>210</v>
      </c>
      <c r="D326" s="12" t="s">
        <v>126</v>
      </c>
      <c r="E326" s="13" t="s">
        <v>30</v>
      </c>
      <c r="F326" s="5" t="s">
        <v>127</v>
      </c>
      <c r="G326" s="5" t="b">
        <v>0</v>
      </c>
      <c r="H326" s="5" t="s">
        <v>1858</v>
      </c>
      <c r="I326" s="5">
        <v>7.0</v>
      </c>
      <c r="J326" s="5">
        <v>0.01</v>
      </c>
      <c r="K326" s="5">
        <v>0.29</v>
      </c>
    </row>
    <row r="327" ht="15.75" customHeight="1">
      <c r="A327" s="4" t="s">
        <v>1859</v>
      </c>
      <c r="B327" s="11" t="s">
        <v>1861</v>
      </c>
      <c r="C327" s="4" t="s">
        <v>812</v>
      </c>
      <c r="D327" s="12" t="s">
        <v>29</v>
      </c>
      <c r="E327" s="13" t="s">
        <v>53</v>
      </c>
      <c r="F327" s="5" t="s">
        <v>31</v>
      </c>
      <c r="G327" s="5" t="b">
        <v>0</v>
      </c>
      <c r="H327" s="5" t="s">
        <v>1862</v>
      </c>
      <c r="I327" s="5">
        <v>7.0</v>
      </c>
      <c r="J327" s="5">
        <v>0.01</v>
      </c>
      <c r="K327" s="5">
        <v>0.57</v>
      </c>
    </row>
    <row r="328" ht="15.75" customHeight="1">
      <c r="A328" s="4" t="s">
        <v>1864</v>
      </c>
      <c r="B328" s="11" t="s">
        <v>1866</v>
      </c>
      <c r="C328" s="4" t="s">
        <v>28</v>
      </c>
      <c r="D328" s="12" t="s">
        <v>52</v>
      </c>
      <c r="E328" s="13" t="s">
        <v>93</v>
      </c>
      <c r="F328" s="5" t="s">
        <v>54</v>
      </c>
      <c r="G328" s="5" t="b">
        <v>0</v>
      </c>
      <c r="H328" s="5" t="s">
        <v>1867</v>
      </c>
      <c r="I328" s="5">
        <v>7.0</v>
      </c>
      <c r="J328" s="5">
        <v>0.01</v>
      </c>
      <c r="K328" s="5">
        <v>0.29</v>
      </c>
    </row>
    <row r="329" ht="15.75" customHeight="1">
      <c r="A329" s="4" t="s">
        <v>1869</v>
      </c>
      <c r="B329" s="11" t="s">
        <v>1872</v>
      </c>
      <c r="C329" s="4" t="s">
        <v>151</v>
      </c>
      <c r="D329" s="12" t="s">
        <v>29</v>
      </c>
      <c r="E329" s="13" t="s">
        <v>30</v>
      </c>
      <c r="F329" s="5" t="s">
        <v>31</v>
      </c>
      <c r="G329" s="5" t="b">
        <v>0</v>
      </c>
      <c r="H329" s="5" t="s">
        <v>1874</v>
      </c>
      <c r="I329" s="5">
        <v>7.0</v>
      </c>
      <c r="J329" s="5">
        <v>0.01</v>
      </c>
      <c r="K329" s="5">
        <v>0.86</v>
      </c>
    </row>
    <row r="330" ht="15.75" customHeight="1">
      <c r="A330" s="4" t="s">
        <v>1876</v>
      </c>
      <c r="B330" s="11" t="s">
        <v>1878</v>
      </c>
      <c r="C330" s="4" t="s">
        <v>808</v>
      </c>
      <c r="D330" s="12" t="s">
        <v>467</v>
      </c>
      <c r="E330" s="13" t="s">
        <v>53</v>
      </c>
      <c r="F330" s="5" t="s">
        <v>469</v>
      </c>
      <c r="G330" s="5" t="b">
        <v>0</v>
      </c>
      <c r="H330" s="5" t="s">
        <v>399</v>
      </c>
      <c r="I330" s="5">
        <v>7.0</v>
      </c>
      <c r="J330" s="5">
        <v>0.01</v>
      </c>
      <c r="K330" s="5">
        <v>0.29</v>
      </c>
    </row>
    <row r="331" ht="15.75" customHeight="1">
      <c r="A331" s="4" t="s">
        <v>1880</v>
      </c>
      <c r="B331" s="13"/>
      <c r="C331" s="4" t="s">
        <v>481</v>
      </c>
      <c r="D331" s="12" t="s">
        <v>84</v>
      </c>
      <c r="E331" s="13" t="s">
        <v>53</v>
      </c>
      <c r="F331" s="5" t="s">
        <v>85</v>
      </c>
      <c r="H331" s="5" t="s">
        <v>233</v>
      </c>
      <c r="I331" s="5">
        <v>7.0</v>
      </c>
      <c r="J331" s="5">
        <v>0.01</v>
      </c>
      <c r="K331" s="5">
        <v>0.0</v>
      </c>
    </row>
    <row r="332" ht="15.75" customHeight="1">
      <c r="A332" s="4" t="s">
        <v>1884</v>
      </c>
      <c r="B332" s="11" t="s">
        <v>1284</v>
      </c>
      <c r="C332" s="4" t="s">
        <v>92</v>
      </c>
      <c r="D332" s="12" t="s">
        <v>297</v>
      </c>
      <c r="E332" s="13" t="s">
        <v>84</v>
      </c>
      <c r="F332" s="5" t="s">
        <v>298</v>
      </c>
      <c r="G332" s="5" t="b">
        <v>0</v>
      </c>
      <c r="H332" s="5" t="s">
        <v>396</v>
      </c>
      <c r="I332" s="5">
        <v>7.0</v>
      </c>
      <c r="J332" s="5">
        <v>0.01</v>
      </c>
      <c r="K332" s="5">
        <v>0.0</v>
      </c>
    </row>
    <row r="333" ht="15.75" customHeight="1">
      <c r="A333" s="4" t="s">
        <v>1888</v>
      </c>
      <c r="B333" s="11" t="s">
        <v>1889</v>
      </c>
      <c r="C333" s="4" t="s">
        <v>537</v>
      </c>
      <c r="D333" s="12" t="s">
        <v>29</v>
      </c>
      <c r="E333" s="13" t="s">
        <v>53</v>
      </c>
      <c r="F333" s="5" t="s">
        <v>31</v>
      </c>
      <c r="G333" s="5" t="b">
        <v>0</v>
      </c>
      <c r="I333" s="5">
        <v>7.0</v>
      </c>
      <c r="J333" s="5">
        <v>0.01</v>
      </c>
      <c r="K333" s="5">
        <v>0.29</v>
      </c>
    </row>
    <row r="334" ht="15.75" customHeight="1">
      <c r="A334" s="4" t="s">
        <v>1893</v>
      </c>
      <c r="B334" s="11" t="s">
        <v>1896</v>
      </c>
      <c r="C334" s="4" t="s">
        <v>816</v>
      </c>
      <c r="D334" s="12" t="s">
        <v>126</v>
      </c>
      <c r="E334" s="13" t="s">
        <v>53</v>
      </c>
      <c r="F334" s="5" t="s">
        <v>127</v>
      </c>
      <c r="G334" s="5" t="b">
        <v>0</v>
      </c>
      <c r="H334" s="5" t="s">
        <v>819</v>
      </c>
      <c r="I334" s="5">
        <v>7.0</v>
      </c>
      <c r="J334" s="5">
        <v>0.01</v>
      </c>
      <c r="K334" s="5">
        <v>1.29</v>
      </c>
    </row>
    <row r="335" ht="15.75" customHeight="1">
      <c r="A335" s="4" t="s">
        <v>1899</v>
      </c>
      <c r="B335" s="11" t="s">
        <v>1901</v>
      </c>
      <c r="C335" s="4" t="s">
        <v>820</v>
      </c>
      <c r="D335" s="12" t="s">
        <v>297</v>
      </c>
      <c r="E335" s="13" t="s">
        <v>53</v>
      </c>
      <c r="F335" s="5" t="s">
        <v>298</v>
      </c>
      <c r="G335" s="5" t="b">
        <v>0</v>
      </c>
      <c r="I335" s="5">
        <v>7.0</v>
      </c>
      <c r="J335" s="5">
        <v>0.01</v>
      </c>
      <c r="K335" s="5">
        <v>0.29</v>
      </c>
    </row>
    <row r="336" ht="15.75" customHeight="1">
      <c r="A336" s="4" t="s">
        <v>1904</v>
      </c>
      <c r="B336" s="11" t="s">
        <v>1906</v>
      </c>
      <c r="C336" s="4" t="s">
        <v>822</v>
      </c>
      <c r="D336" s="12" t="s">
        <v>467</v>
      </c>
      <c r="E336" s="13" t="s">
        <v>53</v>
      </c>
      <c r="F336" s="5" t="s">
        <v>469</v>
      </c>
      <c r="G336" s="5" t="b">
        <v>0</v>
      </c>
      <c r="I336" s="5">
        <v>7.0</v>
      </c>
      <c r="J336" s="5">
        <v>0.01</v>
      </c>
      <c r="K336" s="5">
        <v>0.57</v>
      </c>
    </row>
    <row r="337" ht="15.75" customHeight="1">
      <c r="A337" s="4" t="s">
        <v>1908</v>
      </c>
      <c r="B337" s="11" t="s">
        <v>1910</v>
      </c>
      <c r="C337" s="4" t="s">
        <v>790</v>
      </c>
      <c r="D337" s="12" t="s">
        <v>29</v>
      </c>
      <c r="E337" s="13" t="s">
        <v>53</v>
      </c>
      <c r="F337" s="5" t="s">
        <v>31</v>
      </c>
      <c r="G337" s="5" t="b">
        <v>0</v>
      </c>
      <c r="H337" s="5" t="s">
        <v>1913</v>
      </c>
      <c r="I337" s="5">
        <v>7.0</v>
      </c>
      <c r="J337" s="5">
        <v>0.01</v>
      </c>
      <c r="K337" s="5">
        <v>0.0</v>
      </c>
    </row>
    <row r="338" ht="15.75" customHeight="1">
      <c r="A338" s="4" t="s">
        <v>1914</v>
      </c>
      <c r="B338" s="11" t="s">
        <v>337</v>
      </c>
      <c r="C338" s="4" t="s">
        <v>191</v>
      </c>
      <c r="D338" s="12" t="s">
        <v>29</v>
      </c>
      <c r="E338" s="13" t="s">
        <v>53</v>
      </c>
      <c r="F338" s="5" t="s">
        <v>31</v>
      </c>
      <c r="G338" s="5" t="b">
        <v>0</v>
      </c>
      <c r="H338" s="5" t="s">
        <v>340</v>
      </c>
      <c r="I338" s="5">
        <v>7.0</v>
      </c>
      <c r="J338" s="5">
        <v>0.01</v>
      </c>
      <c r="K338" s="5">
        <v>0.0</v>
      </c>
    </row>
    <row r="339" ht="15.75" customHeight="1">
      <c r="A339" s="4" t="s">
        <v>1917</v>
      </c>
      <c r="B339" s="11" t="s">
        <v>1920</v>
      </c>
      <c r="C339" s="4" t="s">
        <v>354</v>
      </c>
      <c r="D339" s="12" t="s">
        <v>433</v>
      </c>
      <c r="E339" s="13" t="s">
        <v>81</v>
      </c>
      <c r="F339" s="5" t="s">
        <v>434</v>
      </c>
      <c r="G339" s="5" t="b">
        <v>0</v>
      </c>
      <c r="H339" s="5" t="s">
        <v>1922</v>
      </c>
      <c r="I339" s="5">
        <v>7.0</v>
      </c>
      <c r="J339" s="5">
        <v>0.01</v>
      </c>
      <c r="K339" s="5">
        <v>1.29</v>
      </c>
    </row>
    <row r="340" ht="15.75" customHeight="1">
      <c r="A340" s="4" t="s">
        <v>1924</v>
      </c>
      <c r="B340" s="11" t="s">
        <v>1927</v>
      </c>
      <c r="C340" s="4" t="s">
        <v>825</v>
      </c>
      <c r="D340" s="12" t="s">
        <v>467</v>
      </c>
      <c r="E340" s="13" t="s">
        <v>53</v>
      </c>
      <c r="F340" s="5" t="s">
        <v>469</v>
      </c>
      <c r="G340" s="5" t="b">
        <v>0</v>
      </c>
      <c r="H340" s="5" t="s">
        <v>1930</v>
      </c>
      <c r="I340" s="5">
        <v>7.0</v>
      </c>
      <c r="J340" s="5">
        <v>0.01</v>
      </c>
      <c r="K340" s="5">
        <v>1.14</v>
      </c>
    </row>
    <row r="341" ht="15.75" customHeight="1">
      <c r="A341" s="4" t="s">
        <v>1932</v>
      </c>
      <c r="B341" s="11" t="s">
        <v>1934</v>
      </c>
      <c r="C341" s="4" t="s">
        <v>70</v>
      </c>
      <c r="D341" s="12" t="s">
        <v>29</v>
      </c>
      <c r="E341" s="13" t="s">
        <v>30</v>
      </c>
      <c r="F341" s="5" t="s">
        <v>31</v>
      </c>
      <c r="G341" s="5" t="b">
        <v>0</v>
      </c>
      <c r="H341" s="5" t="s">
        <v>1936</v>
      </c>
      <c r="I341" s="5">
        <v>7.0</v>
      </c>
      <c r="J341" s="5">
        <v>0.01</v>
      </c>
      <c r="K341" s="5">
        <v>1.0</v>
      </c>
    </row>
    <row r="342" ht="15.75" customHeight="1">
      <c r="A342" s="4" t="s">
        <v>1937</v>
      </c>
      <c r="B342" s="11" t="s">
        <v>1939</v>
      </c>
      <c r="C342" s="4" t="s">
        <v>70</v>
      </c>
      <c r="D342" s="12" t="s">
        <v>29</v>
      </c>
      <c r="E342" s="13" t="s">
        <v>30</v>
      </c>
      <c r="F342" s="5" t="s">
        <v>31</v>
      </c>
      <c r="G342" s="5" t="b">
        <v>0</v>
      </c>
      <c r="H342" s="5" t="s">
        <v>1941</v>
      </c>
      <c r="I342" s="5">
        <v>7.0</v>
      </c>
      <c r="J342" s="5">
        <v>0.01</v>
      </c>
      <c r="K342" s="5">
        <v>0.43</v>
      </c>
    </row>
    <row r="343" ht="15.75" customHeight="1">
      <c r="A343" s="4" t="s">
        <v>1943</v>
      </c>
      <c r="B343" s="11" t="s">
        <v>1945</v>
      </c>
      <c r="C343" s="4" t="s">
        <v>79</v>
      </c>
      <c r="D343" s="12" t="s">
        <v>996</v>
      </c>
      <c r="E343" s="13" t="s">
        <v>81</v>
      </c>
      <c r="F343" s="5" t="s">
        <v>997</v>
      </c>
      <c r="G343" s="5" t="b">
        <v>0</v>
      </c>
      <c r="H343" s="5" t="s">
        <v>1946</v>
      </c>
      <c r="I343" s="5">
        <v>7.0</v>
      </c>
      <c r="J343" s="5">
        <v>0.01</v>
      </c>
      <c r="K343" s="5">
        <v>2.29</v>
      </c>
    </row>
    <row r="344" ht="15.75" customHeight="1">
      <c r="A344" s="4" t="s">
        <v>1947</v>
      </c>
      <c r="B344" s="11" t="s">
        <v>1949</v>
      </c>
      <c r="C344" s="4" t="s">
        <v>79</v>
      </c>
      <c r="D344" s="12" t="s">
        <v>996</v>
      </c>
      <c r="E344" s="13" t="s">
        <v>81</v>
      </c>
      <c r="F344" s="5" t="s">
        <v>997</v>
      </c>
      <c r="G344" s="5" t="b">
        <v>0</v>
      </c>
      <c r="I344" s="5">
        <v>7.0</v>
      </c>
      <c r="J344" s="5">
        <v>0.01</v>
      </c>
      <c r="K344" s="5">
        <v>2.14</v>
      </c>
    </row>
    <row r="345" ht="15.75" customHeight="1">
      <c r="A345" s="4" t="s">
        <v>1951</v>
      </c>
      <c r="B345" s="11" t="s">
        <v>1952</v>
      </c>
      <c r="C345" s="4" t="s">
        <v>828</v>
      </c>
      <c r="D345" s="12" t="s">
        <v>467</v>
      </c>
      <c r="E345" s="13" t="s">
        <v>53</v>
      </c>
      <c r="F345" s="5" t="s">
        <v>469</v>
      </c>
      <c r="G345" s="5" t="b">
        <v>0</v>
      </c>
      <c r="I345" s="5">
        <v>7.0</v>
      </c>
      <c r="J345" s="5">
        <v>0.01</v>
      </c>
      <c r="K345" s="5">
        <v>0.43</v>
      </c>
    </row>
    <row r="346" ht="15.75" customHeight="1">
      <c r="A346" s="4" t="s">
        <v>1956</v>
      </c>
      <c r="B346" s="11" t="s">
        <v>1959</v>
      </c>
      <c r="C346" s="4" t="s">
        <v>831</v>
      </c>
      <c r="D346" s="12" t="s">
        <v>297</v>
      </c>
      <c r="E346" s="13" t="s">
        <v>53</v>
      </c>
      <c r="F346" s="5" t="s">
        <v>298</v>
      </c>
      <c r="G346" s="5" t="b">
        <v>0</v>
      </c>
      <c r="H346" s="5" t="s">
        <v>1962</v>
      </c>
      <c r="I346" s="5">
        <v>7.0</v>
      </c>
      <c r="J346" s="5">
        <v>0.01</v>
      </c>
      <c r="K346" s="5">
        <v>0.0</v>
      </c>
    </row>
    <row r="347" ht="15.75" customHeight="1">
      <c r="A347" s="4" t="s">
        <v>1963</v>
      </c>
      <c r="B347" s="11" t="s">
        <v>1966</v>
      </c>
      <c r="C347" s="4" t="s">
        <v>213</v>
      </c>
      <c r="D347" s="12" t="s">
        <v>261</v>
      </c>
      <c r="E347" s="13" t="s">
        <v>30</v>
      </c>
      <c r="F347" s="5" t="s">
        <v>263</v>
      </c>
      <c r="G347" s="5" t="b">
        <v>0</v>
      </c>
      <c r="H347" s="5" t="s">
        <v>1967</v>
      </c>
      <c r="I347" s="5">
        <v>7.0</v>
      </c>
      <c r="J347" s="5">
        <v>0.01</v>
      </c>
      <c r="K347" s="5">
        <v>1.14</v>
      </c>
    </row>
    <row r="348" ht="15.75" customHeight="1">
      <c r="A348" s="4" t="s">
        <v>1969</v>
      </c>
      <c r="B348" s="11" t="s">
        <v>1972</v>
      </c>
      <c r="C348" s="4" t="s">
        <v>834</v>
      </c>
      <c r="D348" s="12" t="s">
        <v>29</v>
      </c>
      <c r="E348" s="13" t="s">
        <v>53</v>
      </c>
      <c r="F348" s="5" t="s">
        <v>31</v>
      </c>
      <c r="G348" s="5" t="b">
        <v>0</v>
      </c>
      <c r="H348" s="5" t="s">
        <v>1974</v>
      </c>
      <c r="I348" s="5">
        <v>7.0</v>
      </c>
      <c r="J348" s="5">
        <v>0.01</v>
      </c>
      <c r="K348" s="5">
        <v>0.0</v>
      </c>
    </row>
    <row r="349" ht="15.75" customHeight="1">
      <c r="A349" s="4" t="s">
        <v>1975</v>
      </c>
      <c r="B349" s="11" t="s">
        <v>1977</v>
      </c>
      <c r="C349" s="4" t="s">
        <v>840</v>
      </c>
      <c r="D349" s="12" t="s">
        <v>29</v>
      </c>
      <c r="E349" s="13" t="s">
        <v>53</v>
      </c>
      <c r="F349" s="5" t="s">
        <v>31</v>
      </c>
      <c r="G349" s="5" t="b">
        <v>0</v>
      </c>
      <c r="H349" s="5" t="s">
        <v>1980</v>
      </c>
      <c r="I349" s="5">
        <v>7.0</v>
      </c>
      <c r="J349" s="5">
        <v>0.01</v>
      </c>
      <c r="K349" s="5">
        <v>0.57</v>
      </c>
    </row>
    <row r="350" ht="15.75" customHeight="1">
      <c r="A350" s="4" t="s">
        <v>1982</v>
      </c>
      <c r="B350" s="11" t="s">
        <v>1984</v>
      </c>
      <c r="C350" s="4" t="s">
        <v>844</v>
      </c>
      <c r="D350" s="12" t="s">
        <v>84</v>
      </c>
      <c r="E350" s="13" t="s">
        <v>93</v>
      </c>
      <c r="F350" s="5" t="s">
        <v>85</v>
      </c>
      <c r="G350" s="5" t="b">
        <v>0</v>
      </c>
      <c r="I350" s="5">
        <v>7.0</v>
      </c>
      <c r="J350" s="5">
        <v>0.01</v>
      </c>
      <c r="K350" s="5">
        <v>0.0</v>
      </c>
    </row>
    <row r="351" ht="15.75" customHeight="1">
      <c r="A351" s="4" t="s">
        <v>1986</v>
      </c>
      <c r="B351" s="13"/>
      <c r="C351" s="4" t="s">
        <v>856</v>
      </c>
      <c r="D351" s="12" t="s">
        <v>52</v>
      </c>
      <c r="E351" s="13" t="s">
        <v>93</v>
      </c>
      <c r="F351" s="5" t="s">
        <v>54</v>
      </c>
      <c r="G351" s="5" t="b">
        <v>0</v>
      </c>
      <c r="I351" s="5">
        <v>6.0</v>
      </c>
      <c r="J351" s="5">
        <v>0.01</v>
      </c>
      <c r="K351" s="5">
        <v>0.0</v>
      </c>
    </row>
    <row r="352" ht="15.75" customHeight="1">
      <c r="A352" s="4" t="s">
        <v>1991</v>
      </c>
      <c r="B352" s="11" t="s">
        <v>1994</v>
      </c>
      <c r="C352" s="4" t="s">
        <v>35</v>
      </c>
      <c r="D352" s="12" t="s">
        <v>52</v>
      </c>
      <c r="E352" s="13" t="s">
        <v>53</v>
      </c>
      <c r="F352" s="5" t="s">
        <v>54</v>
      </c>
      <c r="G352" s="5" t="b">
        <v>0</v>
      </c>
      <c r="H352" s="5" t="s">
        <v>1995</v>
      </c>
      <c r="I352" s="5">
        <v>6.0</v>
      </c>
      <c r="J352" s="5">
        <v>0.01</v>
      </c>
      <c r="K352" s="5">
        <v>0.0</v>
      </c>
    </row>
    <row r="353" ht="15.75" customHeight="1">
      <c r="A353" s="4" t="s">
        <v>1997</v>
      </c>
      <c r="B353" s="11" t="s">
        <v>1999</v>
      </c>
      <c r="C353" s="4" t="s">
        <v>35</v>
      </c>
      <c r="D353" s="12" t="s">
        <v>52</v>
      </c>
      <c r="E353" s="13" t="s">
        <v>53</v>
      </c>
      <c r="F353" s="5" t="s">
        <v>54</v>
      </c>
      <c r="G353" s="5" t="b">
        <v>0</v>
      </c>
      <c r="H353" s="5" t="s">
        <v>2001</v>
      </c>
      <c r="I353" s="5">
        <v>6.0</v>
      </c>
      <c r="J353" s="5">
        <v>0.01</v>
      </c>
      <c r="K353" s="5">
        <v>0.0</v>
      </c>
    </row>
    <row r="354" ht="15.75" customHeight="1">
      <c r="A354" s="4" t="s">
        <v>2002</v>
      </c>
      <c r="B354" s="11" t="s">
        <v>2005</v>
      </c>
      <c r="C354" s="4" t="s">
        <v>195</v>
      </c>
      <c r="D354" s="12" t="s">
        <v>29</v>
      </c>
      <c r="E354" s="13" t="s">
        <v>30</v>
      </c>
      <c r="F354" s="5" t="s">
        <v>31</v>
      </c>
      <c r="G354" s="5" t="b">
        <v>0</v>
      </c>
      <c r="H354" s="5" t="s">
        <v>2007</v>
      </c>
      <c r="I354" s="5">
        <v>6.0</v>
      </c>
      <c r="J354" s="5">
        <v>0.01</v>
      </c>
      <c r="K354" s="5">
        <v>0.33</v>
      </c>
    </row>
    <row r="355" ht="15.75" customHeight="1">
      <c r="A355" s="4" t="s">
        <v>2008</v>
      </c>
      <c r="B355" s="11" t="s">
        <v>2010</v>
      </c>
      <c r="C355" s="4" t="s">
        <v>18</v>
      </c>
      <c r="D355" s="12" t="s">
        <v>52</v>
      </c>
      <c r="E355" s="13" t="s">
        <v>53</v>
      </c>
      <c r="F355" s="5" t="s">
        <v>54</v>
      </c>
      <c r="G355" s="5" t="b">
        <v>0</v>
      </c>
      <c r="H355" s="5" t="s">
        <v>2011</v>
      </c>
      <c r="I355" s="5">
        <v>6.0</v>
      </c>
      <c r="J355" s="5">
        <v>0.01</v>
      </c>
      <c r="K355" s="5">
        <v>0.0</v>
      </c>
    </row>
    <row r="356" ht="15.75" customHeight="1">
      <c r="A356" s="4" t="s">
        <v>2012</v>
      </c>
      <c r="B356" s="11" t="s">
        <v>2014</v>
      </c>
      <c r="C356" s="4" t="s">
        <v>863</v>
      </c>
      <c r="D356" s="12" t="s">
        <v>29</v>
      </c>
      <c r="E356" s="13" t="s">
        <v>53</v>
      </c>
      <c r="F356" s="5" t="s">
        <v>31</v>
      </c>
      <c r="G356" s="5" t="b">
        <v>0</v>
      </c>
      <c r="H356" s="5" t="s">
        <v>2016</v>
      </c>
      <c r="I356" s="5">
        <v>6.0</v>
      </c>
      <c r="J356" s="5">
        <v>0.01</v>
      </c>
      <c r="K356" s="5">
        <v>0.0</v>
      </c>
    </row>
    <row r="357" ht="15.75" customHeight="1">
      <c r="A357" s="4" t="s">
        <v>2018</v>
      </c>
      <c r="B357" s="11" t="s">
        <v>2022</v>
      </c>
      <c r="C357" s="4" t="s">
        <v>853</v>
      </c>
      <c r="D357" s="12" t="s">
        <v>29</v>
      </c>
      <c r="E357" s="13" t="s">
        <v>53</v>
      </c>
      <c r="F357" s="5" t="s">
        <v>31</v>
      </c>
      <c r="G357" s="5" t="b">
        <v>0</v>
      </c>
      <c r="H357" s="5" t="s">
        <v>2025</v>
      </c>
      <c r="I357" s="5">
        <v>6.0</v>
      </c>
      <c r="J357" s="5">
        <v>0.01</v>
      </c>
      <c r="K357" s="5">
        <v>1.83</v>
      </c>
    </row>
    <row r="358" ht="15.75" customHeight="1">
      <c r="A358" s="4" t="s">
        <v>2026</v>
      </c>
      <c r="B358" s="11" t="s">
        <v>2029</v>
      </c>
      <c r="C358" s="4" t="s">
        <v>613</v>
      </c>
      <c r="D358" s="12" t="s">
        <v>126</v>
      </c>
      <c r="E358" s="13" t="s">
        <v>30</v>
      </c>
      <c r="F358" s="5" t="s">
        <v>127</v>
      </c>
      <c r="G358" s="5" t="b">
        <v>0</v>
      </c>
      <c r="H358" s="5" t="s">
        <v>2032</v>
      </c>
      <c r="I358" s="5">
        <v>6.0</v>
      </c>
      <c r="J358" s="5">
        <v>0.01</v>
      </c>
      <c r="K358" s="5">
        <v>1.67</v>
      </c>
    </row>
    <row r="359" ht="15.75" customHeight="1">
      <c r="A359" s="4" t="s">
        <v>2034</v>
      </c>
      <c r="B359" s="11" t="s">
        <v>2036</v>
      </c>
      <c r="C359" s="4" t="s">
        <v>617</v>
      </c>
      <c r="D359" s="12" t="s">
        <v>29</v>
      </c>
      <c r="E359" s="13" t="s">
        <v>678</v>
      </c>
      <c r="F359" s="5" t="s">
        <v>31</v>
      </c>
      <c r="G359" s="5" t="b">
        <v>0</v>
      </c>
      <c r="H359" s="5" t="s">
        <v>396</v>
      </c>
      <c r="I359" s="5">
        <v>6.0</v>
      </c>
      <c r="J359" s="5">
        <v>0.01</v>
      </c>
      <c r="K359" s="5">
        <v>2.17</v>
      </c>
    </row>
    <row r="360" ht="15.75" customHeight="1">
      <c r="A360" s="4" t="s">
        <v>2039</v>
      </c>
      <c r="B360" s="11" t="s">
        <v>2042</v>
      </c>
      <c r="C360" s="4" t="s">
        <v>870</v>
      </c>
      <c r="D360" s="12" t="s">
        <v>467</v>
      </c>
      <c r="E360" s="13" t="s">
        <v>53</v>
      </c>
      <c r="F360" s="5" t="s">
        <v>469</v>
      </c>
      <c r="G360" s="5" t="b">
        <v>0</v>
      </c>
      <c r="H360" s="5" t="s">
        <v>342</v>
      </c>
      <c r="I360" s="5">
        <v>6.0</v>
      </c>
      <c r="J360" s="5">
        <v>0.01</v>
      </c>
      <c r="K360" s="5">
        <v>1.33</v>
      </c>
    </row>
    <row r="361" ht="15.75" customHeight="1">
      <c r="A361" s="4" t="s">
        <v>2045</v>
      </c>
      <c r="B361" s="11" t="s">
        <v>2047</v>
      </c>
      <c r="C361" s="4" t="s">
        <v>872</v>
      </c>
      <c r="D361" s="12" t="s">
        <v>29</v>
      </c>
      <c r="E361" s="13" t="s">
        <v>678</v>
      </c>
      <c r="F361" s="5" t="s">
        <v>31</v>
      </c>
      <c r="G361" s="5" t="b">
        <v>0</v>
      </c>
      <c r="H361" s="5" t="s">
        <v>2050</v>
      </c>
      <c r="I361" s="5">
        <v>6.0</v>
      </c>
      <c r="J361" s="5">
        <v>0.01</v>
      </c>
      <c r="K361" s="5">
        <v>1.0</v>
      </c>
    </row>
    <row r="362" ht="15.75" customHeight="1">
      <c r="A362" s="4" t="s">
        <v>2052</v>
      </c>
      <c r="B362" s="11" t="s">
        <v>2054</v>
      </c>
      <c r="C362" s="4" t="s">
        <v>243</v>
      </c>
      <c r="D362" s="12" t="s">
        <v>126</v>
      </c>
      <c r="E362" s="13" t="s">
        <v>30</v>
      </c>
      <c r="F362" s="5" t="s">
        <v>127</v>
      </c>
      <c r="G362" s="5" t="b">
        <v>0</v>
      </c>
      <c r="H362" s="5" t="s">
        <v>247</v>
      </c>
      <c r="I362" s="5">
        <v>6.0</v>
      </c>
      <c r="J362" s="5">
        <v>0.01</v>
      </c>
      <c r="K362" s="5">
        <v>2.17</v>
      </c>
    </row>
    <row r="363" ht="15.75" customHeight="1">
      <c r="A363" s="4" t="s">
        <v>2055</v>
      </c>
      <c r="B363" s="11" t="s">
        <v>2057</v>
      </c>
      <c r="C363" s="5" t="s">
        <v>63</v>
      </c>
      <c r="D363" s="12" t="s">
        <v>29</v>
      </c>
      <c r="E363" s="13" t="s">
        <v>30</v>
      </c>
      <c r="F363" s="5" t="s">
        <v>31</v>
      </c>
      <c r="G363" s="5" t="b">
        <v>0</v>
      </c>
      <c r="H363" s="5" t="s">
        <v>2059</v>
      </c>
      <c r="I363" s="5">
        <v>6.0</v>
      </c>
      <c r="J363" s="5">
        <v>0.01</v>
      </c>
      <c r="K363" s="5">
        <v>0.0</v>
      </c>
    </row>
    <row r="364" ht="15.75" customHeight="1">
      <c r="A364" s="4" t="s">
        <v>2061</v>
      </c>
      <c r="B364" s="13"/>
      <c r="C364" s="4" t="s">
        <v>875</v>
      </c>
      <c r="D364" s="12" t="s">
        <v>467</v>
      </c>
      <c r="E364" s="13" t="s">
        <v>84</v>
      </c>
      <c r="F364" s="5" t="s">
        <v>469</v>
      </c>
      <c r="H364" s="5" t="s">
        <v>233</v>
      </c>
      <c r="I364" s="5">
        <v>6.0</v>
      </c>
      <c r="J364" s="5">
        <v>0.01</v>
      </c>
      <c r="K364" s="5">
        <v>0.33</v>
      </c>
    </row>
    <row r="365" ht="15.75" customHeight="1">
      <c r="A365" s="4" t="s">
        <v>2065</v>
      </c>
      <c r="B365" s="11" t="s">
        <v>2066</v>
      </c>
      <c r="C365" s="4" t="s">
        <v>878</v>
      </c>
      <c r="D365" s="12" t="s">
        <v>126</v>
      </c>
      <c r="E365" s="13" t="s">
        <v>53</v>
      </c>
      <c r="F365" s="5" t="s">
        <v>127</v>
      </c>
      <c r="G365" s="5" t="b">
        <v>0</v>
      </c>
      <c r="I365" s="5">
        <v>6.0</v>
      </c>
      <c r="J365" s="5">
        <v>0.01</v>
      </c>
      <c r="K365" s="5">
        <v>0.83</v>
      </c>
    </row>
    <row r="366" ht="15.75" customHeight="1">
      <c r="A366" s="4" t="s">
        <v>2069</v>
      </c>
      <c r="B366" s="11" t="s">
        <v>2072</v>
      </c>
      <c r="C366" s="4" t="s">
        <v>806</v>
      </c>
      <c r="D366" s="12" t="s">
        <v>126</v>
      </c>
      <c r="E366" s="13" t="s">
        <v>53</v>
      </c>
      <c r="F366" s="5" t="s">
        <v>127</v>
      </c>
      <c r="G366" s="5" t="b">
        <v>0</v>
      </c>
      <c r="I366" s="5">
        <v>6.0</v>
      </c>
      <c r="J366" s="5">
        <v>0.01</v>
      </c>
      <c r="K366" s="5">
        <v>0.83</v>
      </c>
    </row>
    <row r="367" ht="15.75" customHeight="1">
      <c r="A367" s="4" t="s">
        <v>2074</v>
      </c>
      <c r="B367" s="11" t="s">
        <v>2078</v>
      </c>
      <c r="C367" s="4" t="s">
        <v>336</v>
      </c>
      <c r="D367" s="12" t="s">
        <v>29</v>
      </c>
      <c r="E367" s="13" t="s">
        <v>53</v>
      </c>
      <c r="F367" s="5" t="s">
        <v>31</v>
      </c>
      <c r="G367" s="5" t="b">
        <v>0</v>
      </c>
      <c r="H367" s="5" t="s">
        <v>2080</v>
      </c>
      <c r="I367" s="5">
        <v>6.0</v>
      </c>
      <c r="J367" s="5">
        <v>0.01</v>
      </c>
      <c r="K367" s="5">
        <v>0.0</v>
      </c>
    </row>
    <row r="368" ht="15.75" customHeight="1">
      <c r="A368" s="4" t="s">
        <v>2082</v>
      </c>
      <c r="B368" s="11" t="s">
        <v>2084</v>
      </c>
      <c r="C368" s="4" t="s">
        <v>880</v>
      </c>
      <c r="D368" s="12" t="s">
        <v>29</v>
      </c>
      <c r="E368" s="13" t="s">
        <v>53</v>
      </c>
      <c r="F368" s="5" t="s">
        <v>31</v>
      </c>
      <c r="G368" s="5" t="b">
        <v>0</v>
      </c>
      <c r="H368" s="5" t="s">
        <v>2087</v>
      </c>
      <c r="I368" s="5">
        <v>6.0</v>
      </c>
      <c r="J368" s="5">
        <v>0.01</v>
      </c>
      <c r="K368" s="5">
        <v>1.17</v>
      </c>
    </row>
    <row r="369" ht="15.75" customHeight="1">
      <c r="A369" s="4" t="s">
        <v>2088</v>
      </c>
      <c r="B369" s="11" t="s">
        <v>2091</v>
      </c>
      <c r="C369" s="4" t="s">
        <v>803</v>
      </c>
      <c r="D369" s="12" t="s">
        <v>126</v>
      </c>
      <c r="E369" s="13" t="s">
        <v>53</v>
      </c>
      <c r="F369" s="5" t="s">
        <v>127</v>
      </c>
      <c r="G369" s="5" t="b">
        <v>0</v>
      </c>
      <c r="I369" s="5">
        <v>6.0</v>
      </c>
      <c r="J369" s="5">
        <v>0.01</v>
      </c>
      <c r="K369" s="5">
        <v>1.17</v>
      </c>
    </row>
    <row r="370" ht="15.75" customHeight="1">
      <c r="A370" s="4" t="s">
        <v>2093</v>
      </c>
      <c r="B370" s="11" t="s">
        <v>2095</v>
      </c>
      <c r="C370" s="4" t="s">
        <v>803</v>
      </c>
      <c r="D370" s="12" t="s">
        <v>126</v>
      </c>
      <c r="E370" s="13" t="s">
        <v>53</v>
      </c>
      <c r="F370" s="5" t="s">
        <v>127</v>
      </c>
      <c r="G370" s="5" t="b">
        <v>0</v>
      </c>
      <c r="I370" s="5">
        <v>6.0</v>
      </c>
      <c r="J370" s="5">
        <v>0.01</v>
      </c>
      <c r="K370" s="5">
        <v>0.83</v>
      </c>
    </row>
    <row r="371" ht="15.75" customHeight="1">
      <c r="A371" s="4" t="s">
        <v>2097</v>
      </c>
      <c r="B371" s="11" t="s">
        <v>2100</v>
      </c>
      <c r="C371" s="4" t="s">
        <v>104</v>
      </c>
      <c r="D371" s="12" t="s">
        <v>467</v>
      </c>
      <c r="E371" s="13" t="s">
        <v>30</v>
      </c>
      <c r="F371" s="5" t="s">
        <v>469</v>
      </c>
      <c r="G371" s="5" t="b">
        <v>0</v>
      </c>
      <c r="H371" s="5" t="s">
        <v>342</v>
      </c>
      <c r="I371" s="5">
        <v>6.0</v>
      </c>
      <c r="J371" s="5">
        <v>0.01</v>
      </c>
      <c r="K371" s="5">
        <v>1.33</v>
      </c>
    </row>
    <row r="372" ht="15.75" customHeight="1">
      <c r="A372" s="4" t="s">
        <v>2103</v>
      </c>
      <c r="B372" s="11" t="s">
        <v>2104</v>
      </c>
      <c r="C372" s="4" t="s">
        <v>882</v>
      </c>
      <c r="D372" s="12" t="s">
        <v>467</v>
      </c>
      <c r="E372" s="13" t="s">
        <v>53</v>
      </c>
      <c r="F372" s="5" t="s">
        <v>469</v>
      </c>
      <c r="G372" s="5" t="b">
        <v>0</v>
      </c>
      <c r="H372" s="5" t="s">
        <v>399</v>
      </c>
      <c r="I372" s="5">
        <v>6.0</v>
      </c>
      <c r="J372" s="5">
        <v>0.01</v>
      </c>
      <c r="K372" s="5">
        <v>0.33</v>
      </c>
    </row>
    <row r="373" ht="15.75" customHeight="1">
      <c r="A373" s="4" t="s">
        <v>2107</v>
      </c>
      <c r="B373" s="11" t="s">
        <v>2109</v>
      </c>
      <c r="C373" s="5" t="s">
        <v>77</v>
      </c>
      <c r="D373" s="12" t="s">
        <v>29</v>
      </c>
      <c r="E373" s="13" t="s">
        <v>30</v>
      </c>
      <c r="F373" s="5" t="s">
        <v>31</v>
      </c>
      <c r="G373" s="5" t="b">
        <v>0</v>
      </c>
      <c r="H373" s="5" t="s">
        <v>2111</v>
      </c>
      <c r="I373" s="5">
        <v>6.0</v>
      </c>
      <c r="J373" s="5">
        <v>0.01</v>
      </c>
      <c r="K373" s="5">
        <v>2.0</v>
      </c>
    </row>
    <row r="374" ht="15.75" customHeight="1">
      <c r="A374" s="4" t="s">
        <v>2113</v>
      </c>
      <c r="B374" s="11" t="s">
        <v>2116</v>
      </c>
      <c r="C374" s="4" t="s">
        <v>888</v>
      </c>
      <c r="D374" s="12" t="s">
        <v>126</v>
      </c>
      <c r="E374" s="13" t="s">
        <v>53</v>
      </c>
      <c r="F374" s="5" t="s">
        <v>127</v>
      </c>
      <c r="G374" s="5" t="b">
        <v>0</v>
      </c>
      <c r="H374" s="5" t="s">
        <v>396</v>
      </c>
      <c r="I374" s="5">
        <v>6.0</v>
      </c>
      <c r="J374" s="5">
        <v>0.01</v>
      </c>
      <c r="K374" s="5">
        <v>0.33</v>
      </c>
    </row>
    <row r="375" ht="15.75" customHeight="1">
      <c r="A375" s="4" t="s">
        <v>2118</v>
      </c>
      <c r="B375" s="11" t="s">
        <v>2120</v>
      </c>
      <c r="C375" s="4" t="s">
        <v>70</v>
      </c>
      <c r="D375" s="12" t="s">
        <v>29</v>
      </c>
      <c r="E375" s="13" t="s">
        <v>30</v>
      </c>
      <c r="F375" s="5" t="s">
        <v>31</v>
      </c>
      <c r="G375" s="5" t="b">
        <v>0</v>
      </c>
      <c r="H375" s="5" t="s">
        <v>858</v>
      </c>
      <c r="I375" s="5">
        <v>6.0</v>
      </c>
      <c r="J375" s="5">
        <v>0.01</v>
      </c>
      <c r="K375" s="5">
        <v>0.17</v>
      </c>
    </row>
    <row r="376" ht="15.75" customHeight="1">
      <c r="A376" s="4" t="s">
        <v>2122</v>
      </c>
      <c r="B376" s="11" t="s">
        <v>2125</v>
      </c>
      <c r="C376" s="4" t="s">
        <v>79</v>
      </c>
      <c r="D376" s="12" t="s">
        <v>996</v>
      </c>
      <c r="E376" s="13" t="s">
        <v>81</v>
      </c>
      <c r="F376" s="5" t="s">
        <v>997</v>
      </c>
      <c r="G376" s="5" t="b">
        <v>0</v>
      </c>
      <c r="H376" s="5" t="s">
        <v>2127</v>
      </c>
      <c r="I376" s="5">
        <v>6.0</v>
      </c>
      <c r="J376" s="5">
        <v>0.01</v>
      </c>
      <c r="K376" s="5">
        <v>1.0</v>
      </c>
    </row>
    <row r="377" ht="15.75" customHeight="1">
      <c r="A377" s="4" t="s">
        <v>2128</v>
      </c>
      <c r="B377" s="11" t="s">
        <v>2131</v>
      </c>
      <c r="C377" s="4" t="s">
        <v>895</v>
      </c>
      <c r="D377" s="12" t="s">
        <v>29</v>
      </c>
      <c r="E377" s="13" t="s">
        <v>53</v>
      </c>
      <c r="F377" s="5" t="s">
        <v>31</v>
      </c>
      <c r="G377" s="5" t="b">
        <v>0</v>
      </c>
      <c r="H377" s="5" t="s">
        <v>2134</v>
      </c>
      <c r="I377" s="5">
        <v>6.0</v>
      </c>
      <c r="J377" s="5">
        <v>0.01</v>
      </c>
      <c r="K377" s="5">
        <v>1.33</v>
      </c>
    </row>
    <row r="378" ht="15.75" customHeight="1">
      <c r="A378" s="4" t="s">
        <v>2136</v>
      </c>
      <c r="B378" s="11" t="s">
        <v>2139</v>
      </c>
      <c r="C378" s="4" t="s">
        <v>10</v>
      </c>
      <c r="D378" s="12" t="s">
        <v>52</v>
      </c>
      <c r="E378" s="13" t="s">
        <v>93</v>
      </c>
      <c r="F378" s="5" t="s">
        <v>54</v>
      </c>
      <c r="G378" s="5" t="b">
        <v>0</v>
      </c>
      <c r="H378" s="5" t="s">
        <v>1574</v>
      </c>
      <c r="I378" s="5">
        <v>6.0</v>
      </c>
      <c r="J378" s="5">
        <v>0.01</v>
      </c>
      <c r="K378" s="5">
        <v>0.0</v>
      </c>
    </row>
    <row r="379" ht="15.75" customHeight="1">
      <c r="A379" s="4" t="s">
        <v>2142</v>
      </c>
      <c r="B379" s="11" t="s">
        <v>2144</v>
      </c>
      <c r="C379" s="4" t="s">
        <v>10</v>
      </c>
      <c r="D379" s="12" t="s">
        <v>52</v>
      </c>
      <c r="E379" s="13" t="s">
        <v>93</v>
      </c>
      <c r="F379" s="5" t="s">
        <v>54</v>
      </c>
      <c r="G379" s="5" t="b">
        <v>0</v>
      </c>
      <c r="H379" s="5" t="s">
        <v>2145</v>
      </c>
      <c r="I379" s="5">
        <v>6.0</v>
      </c>
      <c r="J379" s="5">
        <v>0.01</v>
      </c>
      <c r="K379" s="5">
        <v>0.5</v>
      </c>
    </row>
    <row r="380" ht="15.75" customHeight="1">
      <c r="A380" s="4" t="s">
        <v>2146</v>
      </c>
      <c r="B380" s="11" t="s">
        <v>2149</v>
      </c>
      <c r="C380" s="4" t="s">
        <v>323</v>
      </c>
      <c r="D380" s="12" t="s">
        <v>29</v>
      </c>
      <c r="E380" s="13" t="s">
        <v>53</v>
      </c>
      <c r="F380" s="5" t="s">
        <v>31</v>
      </c>
      <c r="G380" s="5" t="b">
        <v>0</v>
      </c>
      <c r="I380" s="5">
        <v>6.0</v>
      </c>
      <c r="J380" s="5">
        <v>0.01</v>
      </c>
      <c r="K380" s="5">
        <v>0.0</v>
      </c>
    </row>
    <row r="381" ht="15.75" customHeight="1">
      <c r="A381" s="4" t="s">
        <v>2151</v>
      </c>
      <c r="B381" s="11" t="s">
        <v>2154</v>
      </c>
      <c r="C381" s="4" t="s">
        <v>900</v>
      </c>
      <c r="D381" s="12" t="s">
        <v>29</v>
      </c>
      <c r="E381" s="13" t="s">
        <v>93</v>
      </c>
      <c r="F381" s="5" t="s">
        <v>31</v>
      </c>
      <c r="G381" s="5" t="b">
        <v>0</v>
      </c>
      <c r="H381" s="5" t="s">
        <v>2157</v>
      </c>
      <c r="I381" s="5">
        <v>6.0</v>
      </c>
      <c r="J381" s="5">
        <v>0.01</v>
      </c>
      <c r="K381" s="5">
        <v>0.5</v>
      </c>
    </row>
    <row r="382" ht="15.75" customHeight="1">
      <c r="A382" s="4" t="s">
        <v>2159</v>
      </c>
      <c r="B382" s="11" t="s">
        <v>2162</v>
      </c>
      <c r="C382" s="4" t="s">
        <v>315</v>
      </c>
      <c r="D382" s="12" t="s">
        <v>670</v>
      </c>
      <c r="E382" s="13" t="s">
        <v>678</v>
      </c>
      <c r="F382" s="5" t="s">
        <v>671</v>
      </c>
      <c r="G382" s="5" t="b">
        <v>0</v>
      </c>
      <c r="H382" s="5" t="s">
        <v>1017</v>
      </c>
      <c r="I382" s="5">
        <v>6.0</v>
      </c>
      <c r="J382" s="5">
        <v>0.01</v>
      </c>
      <c r="K382" s="5">
        <v>1.33</v>
      </c>
    </row>
    <row r="383" ht="15.75" customHeight="1">
      <c r="A383" s="4" t="s">
        <v>2167</v>
      </c>
      <c r="B383" s="11" t="s">
        <v>2170</v>
      </c>
      <c r="C383" s="4" t="s">
        <v>408</v>
      </c>
      <c r="D383" s="12" t="s">
        <v>467</v>
      </c>
      <c r="E383" s="13" t="s">
        <v>30</v>
      </c>
      <c r="F383" s="5" t="s">
        <v>469</v>
      </c>
      <c r="G383" s="5" t="b">
        <v>0</v>
      </c>
      <c r="H383" s="5" t="s">
        <v>1634</v>
      </c>
      <c r="I383" s="5">
        <v>6.0</v>
      </c>
      <c r="J383" s="5">
        <v>0.01</v>
      </c>
      <c r="K383" s="5">
        <v>1.0</v>
      </c>
    </row>
    <row r="384" ht="15.75" customHeight="1">
      <c r="A384" s="4" t="s">
        <v>2172</v>
      </c>
      <c r="B384" s="11" t="s">
        <v>2175</v>
      </c>
      <c r="C384" s="4" t="s">
        <v>648</v>
      </c>
      <c r="D384" s="12" t="s">
        <v>126</v>
      </c>
      <c r="E384" s="13" t="s">
        <v>53</v>
      </c>
      <c r="F384" s="5" t="s">
        <v>127</v>
      </c>
      <c r="G384" s="5" t="b">
        <v>0</v>
      </c>
      <c r="H384" s="5" t="s">
        <v>649</v>
      </c>
      <c r="I384" s="5">
        <v>6.0</v>
      </c>
      <c r="J384" s="5">
        <v>0.01</v>
      </c>
      <c r="K384" s="5">
        <v>1.67</v>
      </c>
    </row>
    <row r="385" ht="15.75" customHeight="1">
      <c r="A385" s="4" t="s">
        <v>2177</v>
      </c>
      <c r="B385" s="11" t="s">
        <v>2179</v>
      </c>
      <c r="C385" s="4" t="s">
        <v>846</v>
      </c>
      <c r="D385" s="12" t="s">
        <v>29</v>
      </c>
      <c r="E385" s="13" t="s">
        <v>93</v>
      </c>
      <c r="F385" s="5" t="s">
        <v>31</v>
      </c>
      <c r="G385" s="5" t="b">
        <v>0</v>
      </c>
      <c r="H385" s="5" t="s">
        <v>2181</v>
      </c>
      <c r="I385" s="5">
        <v>6.0</v>
      </c>
      <c r="J385" s="5">
        <v>0.01</v>
      </c>
      <c r="K385" s="5">
        <v>2.0</v>
      </c>
    </row>
    <row r="386" ht="15.75" customHeight="1">
      <c r="A386" s="4" t="s">
        <v>2182</v>
      </c>
      <c r="B386" s="11" t="s">
        <v>2179</v>
      </c>
      <c r="C386" s="4" t="s">
        <v>846</v>
      </c>
      <c r="D386" s="12" t="s">
        <v>29</v>
      </c>
      <c r="E386" s="13" t="s">
        <v>93</v>
      </c>
      <c r="F386" s="5" t="s">
        <v>31</v>
      </c>
      <c r="G386" s="5" t="b">
        <v>0</v>
      </c>
      <c r="H386" s="5" t="s">
        <v>2181</v>
      </c>
      <c r="I386" s="5">
        <v>6.0</v>
      </c>
      <c r="J386" s="5">
        <v>0.01</v>
      </c>
      <c r="K386" s="5">
        <v>0.33</v>
      </c>
    </row>
    <row r="387" ht="15.75" customHeight="1">
      <c r="A387" s="4" t="s">
        <v>2185</v>
      </c>
      <c r="B387" s="11" t="s">
        <v>2187</v>
      </c>
      <c r="C387" s="4" t="s">
        <v>550</v>
      </c>
      <c r="D387" s="12" t="s">
        <v>29</v>
      </c>
      <c r="E387" s="13" t="s">
        <v>93</v>
      </c>
      <c r="F387" s="5" t="s">
        <v>31</v>
      </c>
      <c r="G387" s="5" t="b">
        <v>0</v>
      </c>
      <c r="H387" s="5" t="s">
        <v>2188</v>
      </c>
      <c r="I387" s="5">
        <v>6.0</v>
      </c>
      <c r="J387" s="5">
        <v>0.01</v>
      </c>
      <c r="K387" s="5">
        <v>0.0</v>
      </c>
    </row>
    <row r="388" ht="15.75" customHeight="1">
      <c r="A388" s="4" t="s">
        <v>2190</v>
      </c>
      <c r="B388" s="11" t="s">
        <v>2192</v>
      </c>
      <c r="C388" s="4" t="s">
        <v>917</v>
      </c>
      <c r="D388" s="12" t="s">
        <v>467</v>
      </c>
      <c r="E388" s="13" t="s">
        <v>53</v>
      </c>
      <c r="F388" s="5" t="s">
        <v>469</v>
      </c>
      <c r="G388" s="5" t="b">
        <v>0</v>
      </c>
      <c r="H388" s="5" t="s">
        <v>342</v>
      </c>
      <c r="I388" s="5">
        <v>5.0</v>
      </c>
      <c r="J388" s="5">
        <v>0.0</v>
      </c>
      <c r="K388" s="5">
        <v>1.2</v>
      </c>
    </row>
    <row r="389" ht="15.75" customHeight="1">
      <c r="A389" s="4" t="s">
        <v>2194</v>
      </c>
      <c r="B389" s="11" t="s">
        <v>2196</v>
      </c>
      <c r="C389" s="5" t="s">
        <v>810</v>
      </c>
      <c r="D389" s="12" t="s">
        <v>467</v>
      </c>
      <c r="E389" s="13" t="s">
        <v>30</v>
      </c>
      <c r="F389" s="5" t="s">
        <v>469</v>
      </c>
      <c r="G389" s="5" t="b">
        <v>0</v>
      </c>
      <c r="H389" s="5" t="s">
        <v>2198</v>
      </c>
      <c r="I389" s="5">
        <v>5.0</v>
      </c>
      <c r="J389" s="5">
        <v>0.0</v>
      </c>
      <c r="K389" s="5">
        <v>1.0</v>
      </c>
    </row>
    <row r="390" ht="15.75" customHeight="1">
      <c r="A390" s="4" t="s">
        <v>2199</v>
      </c>
      <c r="B390" s="11" t="s">
        <v>2202</v>
      </c>
      <c r="C390" s="4" t="s">
        <v>921</v>
      </c>
      <c r="D390" s="12" t="s">
        <v>126</v>
      </c>
      <c r="E390" s="13" t="s">
        <v>53</v>
      </c>
      <c r="F390" s="5" t="s">
        <v>127</v>
      </c>
      <c r="G390" s="5" t="b">
        <v>0</v>
      </c>
      <c r="H390" s="5" t="s">
        <v>399</v>
      </c>
      <c r="I390" s="5">
        <v>5.0</v>
      </c>
      <c r="J390" s="5">
        <v>0.0</v>
      </c>
      <c r="K390" s="5">
        <v>0.2</v>
      </c>
    </row>
    <row r="391" ht="15.75" customHeight="1">
      <c r="A391" s="4" t="s">
        <v>2206</v>
      </c>
      <c r="B391" s="11" t="s">
        <v>2209</v>
      </c>
      <c r="C391" s="4" t="s">
        <v>924</v>
      </c>
      <c r="D391" s="12" t="s">
        <v>467</v>
      </c>
      <c r="E391" s="13" t="s">
        <v>53</v>
      </c>
      <c r="F391" s="5" t="s">
        <v>469</v>
      </c>
      <c r="G391" s="5" t="b">
        <v>0</v>
      </c>
      <c r="H391" s="5" t="s">
        <v>925</v>
      </c>
      <c r="I391" s="5">
        <v>5.0</v>
      </c>
      <c r="J391" s="5">
        <v>0.0</v>
      </c>
      <c r="K391" s="5">
        <v>0.4</v>
      </c>
    </row>
    <row r="392" ht="15.75" customHeight="1">
      <c r="A392" s="4" t="s">
        <v>2212</v>
      </c>
      <c r="B392" s="11" t="s">
        <v>2215</v>
      </c>
      <c r="C392" s="4" t="s">
        <v>926</v>
      </c>
      <c r="D392" s="12" t="s">
        <v>29</v>
      </c>
      <c r="E392" s="13" t="s">
        <v>53</v>
      </c>
      <c r="F392" s="5" t="s">
        <v>31</v>
      </c>
      <c r="G392" s="5" t="b">
        <v>0</v>
      </c>
      <c r="H392" s="5" t="s">
        <v>396</v>
      </c>
      <c r="I392" s="5">
        <v>5.0</v>
      </c>
      <c r="J392" s="5">
        <v>0.0</v>
      </c>
      <c r="K392" s="5">
        <v>0.0</v>
      </c>
    </row>
    <row r="393" ht="15.75" customHeight="1">
      <c r="A393" s="4" t="s">
        <v>2217</v>
      </c>
      <c r="B393" s="11" t="s">
        <v>2218</v>
      </c>
      <c r="C393" s="4" t="s">
        <v>18</v>
      </c>
      <c r="D393" s="12" t="s">
        <v>52</v>
      </c>
      <c r="E393" s="13" t="s">
        <v>53</v>
      </c>
      <c r="F393" s="5" t="s">
        <v>54</v>
      </c>
      <c r="G393" s="5" t="b">
        <v>0</v>
      </c>
      <c r="H393" s="5" t="s">
        <v>2220</v>
      </c>
      <c r="I393" s="5">
        <v>5.0</v>
      </c>
      <c r="J393" s="5">
        <v>0.0</v>
      </c>
      <c r="K393" s="5">
        <v>0.8</v>
      </c>
    </row>
    <row r="394" ht="15.75" customHeight="1">
      <c r="A394" s="4" t="s">
        <v>2221</v>
      </c>
      <c r="B394" s="11" t="s">
        <v>2223</v>
      </c>
      <c r="C394" s="4" t="s">
        <v>18</v>
      </c>
      <c r="D394" s="12" t="s">
        <v>52</v>
      </c>
      <c r="E394" s="13" t="s">
        <v>53</v>
      </c>
      <c r="F394" s="5" t="s">
        <v>54</v>
      </c>
      <c r="G394" s="5" t="b">
        <v>0</v>
      </c>
      <c r="H394" s="5" t="s">
        <v>661</v>
      </c>
      <c r="I394" s="5">
        <v>5.0</v>
      </c>
      <c r="J394" s="5">
        <v>0.0</v>
      </c>
      <c r="K394" s="5">
        <v>0.0</v>
      </c>
    </row>
    <row r="395" ht="15.75" customHeight="1">
      <c r="A395" s="4" t="s">
        <v>2225</v>
      </c>
      <c r="B395" s="11" t="s">
        <v>2226</v>
      </c>
      <c r="C395" s="4" t="s">
        <v>140</v>
      </c>
      <c r="D395" s="12" t="s">
        <v>29</v>
      </c>
      <c r="E395" s="13" t="s">
        <v>30</v>
      </c>
      <c r="F395" s="5" t="s">
        <v>31</v>
      </c>
      <c r="G395" s="5" t="b">
        <v>0</v>
      </c>
      <c r="H395" s="5" t="s">
        <v>2228</v>
      </c>
      <c r="I395" s="5">
        <v>5.0</v>
      </c>
      <c r="J395" s="5">
        <v>0.0</v>
      </c>
      <c r="K395" s="5">
        <v>0.4</v>
      </c>
    </row>
    <row r="396" ht="15.75" customHeight="1">
      <c r="A396" s="4" t="s">
        <v>2229</v>
      </c>
      <c r="B396" s="11" t="s">
        <v>2232</v>
      </c>
      <c r="C396" s="4" t="s">
        <v>933</v>
      </c>
      <c r="D396" s="12" t="s">
        <v>297</v>
      </c>
      <c r="E396" s="13" t="s">
        <v>2235</v>
      </c>
      <c r="F396" s="5" t="s">
        <v>298</v>
      </c>
      <c r="G396" s="5" t="b">
        <v>0</v>
      </c>
      <c r="H396" s="5" t="s">
        <v>2237</v>
      </c>
      <c r="I396" s="5">
        <v>5.0</v>
      </c>
      <c r="J396" s="5">
        <v>0.0</v>
      </c>
      <c r="K396" s="5">
        <v>0.8</v>
      </c>
    </row>
    <row r="397" ht="15.75" customHeight="1">
      <c r="A397" s="4" t="s">
        <v>2238</v>
      </c>
      <c r="B397" s="11" t="s">
        <v>2241</v>
      </c>
      <c r="C397" s="4" t="s">
        <v>97</v>
      </c>
      <c r="D397" s="12" t="s">
        <v>52</v>
      </c>
      <c r="E397" s="13" t="s">
        <v>53</v>
      </c>
      <c r="F397" s="5" t="s">
        <v>54</v>
      </c>
      <c r="G397" s="5" t="b">
        <v>0</v>
      </c>
      <c r="H397" s="5" t="s">
        <v>2243</v>
      </c>
      <c r="I397" s="5">
        <v>5.0</v>
      </c>
      <c r="J397" s="5">
        <v>0.0</v>
      </c>
      <c r="K397" s="5">
        <v>0.0</v>
      </c>
    </row>
    <row r="398" ht="15.75" customHeight="1">
      <c r="A398" s="4" t="s">
        <v>2245</v>
      </c>
      <c r="B398" s="11" t="s">
        <v>2249</v>
      </c>
      <c r="C398" s="4" t="s">
        <v>938</v>
      </c>
      <c r="D398" s="12" t="s">
        <v>29</v>
      </c>
      <c r="E398" s="13" t="s">
        <v>93</v>
      </c>
      <c r="F398" s="5" t="s">
        <v>31</v>
      </c>
      <c r="G398" s="5" t="b">
        <v>0</v>
      </c>
      <c r="H398" s="5" t="s">
        <v>2252</v>
      </c>
      <c r="I398" s="5">
        <v>5.0</v>
      </c>
      <c r="J398" s="5">
        <v>0.0</v>
      </c>
      <c r="K398" s="5">
        <v>0.4</v>
      </c>
    </row>
    <row r="399" ht="15.75" customHeight="1">
      <c r="A399" s="4" t="s">
        <v>2253</v>
      </c>
      <c r="B399" s="11" t="s">
        <v>2255</v>
      </c>
      <c r="C399" s="4" t="s">
        <v>151</v>
      </c>
      <c r="D399" s="12" t="s">
        <v>29</v>
      </c>
      <c r="E399" s="13" t="s">
        <v>30</v>
      </c>
      <c r="F399" s="5" t="s">
        <v>31</v>
      </c>
      <c r="G399" s="5" t="b">
        <v>0</v>
      </c>
      <c r="H399" s="5" t="s">
        <v>2257</v>
      </c>
      <c r="I399" s="5">
        <v>5.0</v>
      </c>
      <c r="J399" s="5">
        <v>0.0</v>
      </c>
      <c r="K399" s="5">
        <v>0.4</v>
      </c>
    </row>
    <row r="400" ht="15.75" customHeight="1">
      <c r="A400" s="4" t="s">
        <v>2258</v>
      </c>
      <c r="B400" s="11" t="s">
        <v>2260</v>
      </c>
      <c r="C400" s="4" t="s">
        <v>384</v>
      </c>
      <c r="D400" s="12" t="s">
        <v>29</v>
      </c>
      <c r="E400" s="13" t="s">
        <v>53</v>
      </c>
      <c r="F400" s="5" t="s">
        <v>31</v>
      </c>
      <c r="G400" s="5" t="b">
        <v>0</v>
      </c>
      <c r="H400" s="5" t="s">
        <v>2261</v>
      </c>
      <c r="I400" s="5">
        <v>5.0</v>
      </c>
      <c r="J400" s="5">
        <v>0.0</v>
      </c>
      <c r="K400" s="5">
        <v>1.0</v>
      </c>
    </row>
    <row r="401" ht="15.75" customHeight="1">
      <c r="A401" s="4" t="s">
        <v>2263</v>
      </c>
      <c r="B401" s="11" t="s">
        <v>2265</v>
      </c>
      <c r="C401" s="5" t="s">
        <v>868</v>
      </c>
      <c r="D401" s="12" t="s">
        <v>52</v>
      </c>
      <c r="E401" s="13" t="s">
        <v>53</v>
      </c>
      <c r="F401" s="5" t="s">
        <v>54</v>
      </c>
      <c r="G401" s="5" t="b">
        <v>0</v>
      </c>
      <c r="I401" s="5">
        <v>5.0</v>
      </c>
      <c r="J401" s="5">
        <v>0.0</v>
      </c>
      <c r="K401" s="5">
        <v>2.8</v>
      </c>
    </row>
    <row r="402" ht="15.75" customHeight="1">
      <c r="A402" s="4" t="s">
        <v>2267</v>
      </c>
      <c r="B402" s="11" t="s">
        <v>2269</v>
      </c>
      <c r="C402" s="4" t="s">
        <v>50</v>
      </c>
      <c r="D402" s="12" t="s">
        <v>29</v>
      </c>
      <c r="E402" s="13" t="s">
        <v>53</v>
      </c>
      <c r="F402" s="5" t="s">
        <v>31</v>
      </c>
      <c r="G402" s="5" t="b">
        <v>0</v>
      </c>
      <c r="H402" s="5" t="s">
        <v>2270</v>
      </c>
      <c r="I402" s="5">
        <v>5.0</v>
      </c>
      <c r="J402" s="5">
        <v>0.0</v>
      </c>
      <c r="K402" s="5">
        <v>1.0</v>
      </c>
    </row>
    <row r="403" ht="15.75" customHeight="1">
      <c r="A403" s="4" t="s">
        <v>2272</v>
      </c>
      <c r="B403" s="11" t="s">
        <v>2274</v>
      </c>
      <c r="C403" s="4" t="s">
        <v>909</v>
      </c>
      <c r="D403" s="12" t="s">
        <v>126</v>
      </c>
      <c r="E403" s="13" t="s">
        <v>53</v>
      </c>
      <c r="F403" s="5" t="s">
        <v>127</v>
      </c>
      <c r="G403" s="5" t="b">
        <v>0</v>
      </c>
      <c r="H403" s="5" t="s">
        <v>911</v>
      </c>
      <c r="I403" s="5">
        <v>5.0</v>
      </c>
      <c r="J403" s="5">
        <v>0.0</v>
      </c>
      <c r="K403" s="5">
        <v>1.2</v>
      </c>
    </row>
    <row r="404" ht="15.75" customHeight="1">
      <c r="A404" s="4" t="s">
        <v>2276</v>
      </c>
      <c r="B404" s="11" t="s">
        <v>2279</v>
      </c>
      <c r="C404" s="4" t="s">
        <v>187</v>
      </c>
      <c r="D404" s="12" t="s">
        <v>52</v>
      </c>
      <c r="E404" s="13" t="s">
        <v>81</v>
      </c>
      <c r="F404" s="5" t="s">
        <v>54</v>
      </c>
      <c r="G404" s="5" t="b">
        <v>0</v>
      </c>
      <c r="H404" s="5" t="s">
        <v>2280</v>
      </c>
      <c r="I404" s="5">
        <v>5.0</v>
      </c>
      <c r="J404" s="5">
        <v>0.0</v>
      </c>
      <c r="K404" s="5">
        <v>0.0</v>
      </c>
    </row>
    <row r="405" ht="15.75" customHeight="1">
      <c r="A405" s="4" t="s">
        <v>2281</v>
      </c>
      <c r="B405" s="11" t="s">
        <v>2283</v>
      </c>
      <c r="C405" s="4" t="s">
        <v>187</v>
      </c>
      <c r="D405" s="12" t="s">
        <v>52</v>
      </c>
      <c r="E405" s="13" t="s">
        <v>81</v>
      </c>
      <c r="F405" s="5" t="s">
        <v>54</v>
      </c>
      <c r="G405" s="5" t="b">
        <v>0</v>
      </c>
      <c r="H405" s="5" t="s">
        <v>2285</v>
      </c>
      <c r="I405" s="5">
        <v>5.0</v>
      </c>
      <c r="J405" s="5">
        <v>0.0</v>
      </c>
      <c r="K405" s="5">
        <v>0.0</v>
      </c>
    </row>
    <row r="406" ht="15.75" customHeight="1">
      <c r="A406" s="4" t="s">
        <v>2286</v>
      </c>
      <c r="B406" s="13"/>
      <c r="C406" s="4" t="s">
        <v>92</v>
      </c>
      <c r="D406" s="12" t="s">
        <v>84</v>
      </c>
      <c r="E406" s="13" t="s">
        <v>84</v>
      </c>
      <c r="F406" s="5" t="s">
        <v>85</v>
      </c>
      <c r="H406" s="5" t="s">
        <v>233</v>
      </c>
      <c r="I406" s="5">
        <v>5.0</v>
      </c>
      <c r="J406" s="5">
        <v>0.0</v>
      </c>
      <c r="K406" s="5">
        <v>0.0</v>
      </c>
    </row>
    <row r="407" ht="15.75" customHeight="1">
      <c r="A407" s="4" t="s">
        <v>2288</v>
      </c>
      <c r="B407" s="11" t="s">
        <v>2291</v>
      </c>
      <c r="C407" s="4" t="s">
        <v>945</v>
      </c>
      <c r="D407" s="12" t="s">
        <v>261</v>
      </c>
      <c r="E407" s="13" t="s">
        <v>2235</v>
      </c>
      <c r="F407" s="5" t="s">
        <v>263</v>
      </c>
      <c r="G407" s="5" t="b">
        <v>0</v>
      </c>
      <c r="H407" s="5" t="s">
        <v>2293</v>
      </c>
      <c r="I407" s="5">
        <v>5.0</v>
      </c>
      <c r="J407" s="5">
        <v>0.0</v>
      </c>
      <c r="K407" s="5">
        <v>0.8</v>
      </c>
    </row>
    <row r="408" ht="15.75" customHeight="1">
      <c r="A408" s="4" t="s">
        <v>2294</v>
      </c>
      <c r="B408" s="11" t="s">
        <v>2296</v>
      </c>
      <c r="C408" s="4" t="s">
        <v>146</v>
      </c>
      <c r="D408" s="12" t="s">
        <v>29</v>
      </c>
      <c r="E408" s="13" t="s">
        <v>53</v>
      </c>
      <c r="F408" s="5" t="s">
        <v>31</v>
      </c>
      <c r="G408" s="5" t="b">
        <v>0</v>
      </c>
      <c r="H408" s="5" t="s">
        <v>2298</v>
      </c>
      <c r="I408" s="5">
        <v>5.0</v>
      </c>
      <c r="J408" s="5">
        <v>0.0</v>
      </c>
      <c r="K408" s="5">
        <v>0.4</v>
      </c>
    </row>
    <row r="409" ht="15.75" customHeight="1">
      <c r="A409" s="4" t="s">
        <v>2299</v>
      </c>
      <c r="B409" s="11" t="s">
        <v>2301</v>
      </c>
      <c r="C409" s="4" t="s">
        <v>906</v>
      </c>
      <c r="D409" s="12" t="s">
        <v>84</v>
      </c>
      <c r="E409" s="13" t="s">
        <v>30</v>
      </c>
      <c r="F409" s="5" t="s">
        <v>85</v>
      </c>
      <c r="G409" s="5" t="b">
        <v>0</v>
      </c>
      <c r="H409" s="5" t="s">
        <v>2303</v>
      </c>
      <c r="I409" s="5">
        <v>5.0</v>
      </c>
      <c r="J409" s="5">
        <v>0.0</v>
      </c>
      <c r="K409" s="5">
        <v>1.6</v>
      </c>
    </row>
    <row r="410" ht="15.75" customHeight="1">
      <c r="A410" s="4" t="s">
        <v>2305</v>
      </c>
      <c r="B410" s="11" t="s">
        <v>2307</v>
      </c>
      <c r="C410" s="4" t="s">
        <v>806</v>
      </c>
      <c r="D410" s="12" t="s">
        <v>467</v>
      </c>
      <c r="E410" s="13" t="s">
        <v>53</v>
      </c>
      <c r="F410" s="5" t="s">
        <v>469</v>
      </c>
      <c r="G410" s="5" t="b">
        <v>0</v>
      </c>
      <c r="I410" s="5">
        <v>5.0</v>
      </c>
      <c r="J410" s="5">
        <v>0.0</v>
      </c>
      <c r="K410" s="5">
        <v>0.6</v>
      </c>
    </row>
    <row r="411" ht="15.75" customHeight="1">
      <c r="A411" s="4" t="s">
        <v>2310</v>
      </c>
      <c r="B411" s="11" t="s">
        <v>2312</v>
      </c>
      <c r="C411" s="4" t="s">
        <v>948</v>
      </c>
      <c r="D411" s="12" t="s">
        <v>467</v>
      </c>
      <c r="E411" s="13" t="s">
        <v>53</v>
      </c>
      <c r="F411" s="5" t="s">
        <v>469</v>
      </c>
      <c r="G411" s="5" t="b">
        <v>0</v>
      </c>
      <c r="I411" s="5">
        <v>5.0</v>
      </c>
      <c r="J411" s="5">
        <v>0.0</v>
      </c>
      <c r="K411" s="5">
        <v>0.0</v>
      </c>
    </row>
    <row r="412" ht="15.75" customHeight="1">
      <c r="A412" s="4" t="s">
        <v>2314</v>
      </c>
      <c r="B412" s="11" t="s">
        <v>2316</v>
      </c>
      <c r="C412" s="4" t="s">
        <v>950</v>
      </c>
      <c r="D412" s="12" t="s">
        <v>29</v>
      </c>
      <c r="E412" s="13" t="s">
        <v>53</v>
      </c>
      <c r="F412" s="5" t="s">
        <v>31</v>
      </c>
      <c r="G412" s="5" t="b">
        <v>0</v>
      </c>
      <c r="H412" s="5" t="s">
        <v>2318</v>
      </c>
      <c r="I412" s="5">
        <v>5.0</v>
      </c>
      <c r="J412" s="5">
        <v>0.0</v>
      </c>
      <c r="K412" s="5">
        <v>0.4</v>
      </c>
    </row>
    <row r="413" ht="15.75" customHeight="1">
      <c r="A413" s="4" t="s">
        <v>2320</v>
      </c>
      <c r="B413" s="11" t="s">
        <v>2322</v>
      </c>
      <c r="C413" s="4" t="s">
        <v>953</v>
      </c>
      <c r="D413" s="12" t="s">
        <v>467</v>
      </c>
      <c r="E413" s="13" t="s">
        <v>53</v>
      </c>
      <c r="F413" s="5" t="s">
        <v>469</v>
      </c>
      <c r="G413" s="5" t="b">
        <v>0</v>
      </c>
      <c r="H413" s="5" t="s">
        <v>954</v>
      </c>
      <c r="I413" s="5">
        <v>5.0</v>
      </c>
      <c r="J413" s="5">
        <v>0.0</v>
      </c>
      <c r="K413" s="5">
        <v>1.6</v>
      </c>
    </row>
    <row r="414" ht="15.75" customHeight="1">
      <c r="A414" s="4" t="s">
        <v>2326</v>
      </c>
      <c r="B414" s="11" t="s">
        <v>2329</v>
      </c>
      <c r="C414" s="4" t="s">
        <v>92</v>
      </c>
      <c r="D414" s="12" t="s">
        <v>126</v>
      </c>
      <c r="E414" s="13" t="s">
        <v>84</v>
      </c>
      <c r="F414" s="5" t="s">
        <v>127</v>
      </c>
      <c r="G414" s="5" t="b">
        <v>0</v>
      </c>
      <c r="I414" s="5">
        <v>5.0</v>
      </c>
      <c r="J414" s="5">
        <v>0.0</v>
      </c>
      <c r="K414" s="5">
        <v>0.0</v>
      </c>
    </row>
    <row r="415" ht="15.75" customHeight="1">
      <c r="A415" s="4" t="s">
        <v>2331</v>
      </c>
      <c r="B415" s="11" t="s">
        <v>2333</v>
      </c>
      <c r="C415" s="4" t="s">
        <v>886</v>
      </c>
      <c r="D415" s="12" t="s">
        <v>29</v>
      </c>
      <c r="E415" s="13" t="s">
        <v>30</v>
      </c>
      <c r="F415" s="5" t="s">
        <v>31</v>
      </c>
      <c r="G415" s="5" t="b">
        <v>0</v>
      </c>
      <c r="H415" s="5" t="s">
        <v>2335</v>
      </c>
      <c r="I415" s="5">
        <v>5.0</v>
      </c>
      <c r="J415" s="5">
        <v>0.0</v>
      </c>
      <c r="K415" s="5">
        <v>0.0</v>
      </c>
    </row>
    <row r="416" ht="15.75" customHeight="1">
      <c r="A416" s="4" t="s">
        <v>2337</v>
      </c>
      <c r="B416" s="11" t="s">
        <v>2339</v>
      </c>
      <c r="C416" s="4" t="s">
        <v>959</v>
      </c>
      <c r="D416" s="12" t="s">
        <v>29</v>
      </c>
      <c r="E416" s="13" t="s">
        <v>53</v>
      </c>
      <c r="F416" s="5" t="s">
        <v>31</v>
      </c>
      <c r="G416" s="5" t="b">
        <v>0</v>
      </c>
      <c r="H416" s="5" t="s">
        <v>2341</v>
      </c>
      <c r="I416" s="5">
        <v>5.0</v>
      </c>
      <c r="J416" s="5">
        <v>0.0</v>
      </c>
      <c r="K416" s="5">
        <v>0.6</v>
      </c>
    </row>
    <row r="417" ht="15.75" customHeight="1">
      <c r="A417" s="4" t="s">
        <v>2342</v>
      </c>
      <c r="B417" s="11" t="s">
        <v>2345</v>
      </c>
      <c r="C417" s="4" t="s">
        <v>547</v>
      </c>
      <c r="D417" s="12" t="s">
        <v>29</v>
      </c>
      <c r="E417" s="13" t="s">
        <v>53</v>
      </c>
      <c r="F417" s="5" t="s">
        <v>31</v>
      </c>
      <c r="G417" s="5" t="b">
        <v>0</v>
      </c>
      <c r="H417" s="5" t="s">
        <v>342</v>
      </c>
      <c r="I417" s="5">
        <v>5.0</v>
      </c>
      <c r="J417" s="5">
        <v>0.0</v>
      </c>
      <c r="K417" s="5">
        <v>0.6</v>
      </c>
    </row>
    <row r="418" ht="15.75" customHeight="1">
      <c r="A418" s="4" t="s">
        <v>2350</v>
      </c>
      <c r="B418" s="11" t="s">
        <v>2353</v>
      </c>
      <c r="C418" s="4" t="s">
        <v>547</v>
      </c>
      <c r="D418" s="12" t="s">
        <v>29</v>
      </c>
      <c r="E418" s="13" t="s">
        <v>53</v>
      </c>
      <c r="F418" s="5" t="s">
        <v>31</v>
      </c>
      <c r="G418" s="5" t="b">
        <v>0</v>
      </c>
      <c r="H418" s="5" t="s">
        <v>2355</v>
      </c>
      <c r="I418" s="5">
        <v>5.0</v>
      </c>
      <c r="J418" s="5">
        <v>0.0</v>
      </c>
      <c r="K418" s="5">
        <v>1.0</v>
      </c>
    </row>
    <row r="419" ht="15.75" customHeight="1">
      <c r="A419" s="4" t="s">
        <v>2357</v>
      </c>
      <c r="B419" s="11" t="s">
        <v>2359</v>
      </c>
      <c r="C419" s="4" t="s">
        <v>296</v>
      </c>
      <c r="D419" s="12" t="s">
        <v>29</v>
      </c>
      <c r="E419" s="13" t="s">
        <v>30</v>
      </c>
      <c r="F419" s="5" t="s">
        <v>31</v>
      </c>
      <c r="G419" s="5" t="b">
        <v>0</v>
      </c>
      <c r="H419" s="5" t="s">
        <v>2361</v>
      </c>
      <c r="I419" s="5">
        <v>5.0</v>
      </c>
      <c r="J419" s="5">
        <v>0.0</v>
      </c>
      <c r="K419" s="5">
        <v>0.4</v>
      </c>
    </row>
    <row r="420" ht="15.75" customHeight="1">
      <c r="A420" s="4" t="s">
        <v>2362</v>
      </c>
      <c r="B420" s="11" t="s">
        <v>387</v>
      </c>
      <c r="C420" s="4" t="s">
        <v>919</v>
      </c>
      <c r="D420" s="12" t="s">
        <v>84</v>
      </c>
      <c r="E420" s="13" t="s">
        <v>53</v>
      </c>
      <c r="F420" s="5" t="s">
        <v>85</v>
      </c>
      <c r="G420" s="5" t="b">
        <v>0</v>
      </c>
      <c r="H420" s="5" t="s">
        <v>391</v>
      </c>
      <c r="I420" s="5">
        <v>5.0</v>
      </c>
      <c r="J420" s="5">
        <v>0.0</v>
      </c>
      <c r="K420" s="5">
        <v>0.0</v>
      </c>
    </row>
    <row r="421" ht="15.75" customHeight="1">
      <c r="A421" s="4" t="s">
        <v>2368</v>
      </c>
      <c r="B421" s="11" t="s">
        <v>2370</v>
      </c>
      <c r="C421" s="4" t="s">
        <v>963</v>
      </c>
      <c r="D421" s="12" t="s">
        <v>126</v>
      </c>
      <c r="E421" s="13" t="s">
        <v>53</v>
      </c>
      <c r="F421" s="5" t="s">
        <v>127</v>
      </c>
      <c r="G421" s="5" t="b">
        <v>0</v>
      </c>
      <c r="I421" s="5">
        <v>5.0</v>
      </c>
      <c r="J421" s="5">
        <v>0.0</v>
      </c>
      <c r="K421" s="5">
        <v>1.4</v>
      </c>
    </row>
    <row r="422" ht="15.75" customHeight="1">
      <c r="A422" s="4" t="s">
        <v>2372</v>
      </c>
      <c r="B422" s="11" t="s">
        <v>2374</v>
      </c>
      <c r="C422" s="4" t="s">
        <v>892</v>
      </c>
      <c r="D422" s="12" t="s">
        <v>467</v>
      </c>
      <c r="E422" s="13" t="s">
        <v>30</v>
      </c>
      <c r="F422" s="5" t="s">
        <v>469</v>
      </c>
      <c r="G422" s="5" t="b">
        <v>0</v>
      </c>
      <c r="H422" s="5" t="s">
        <v>2377</v>
      </c>
      <c r="I422" s="5">
        <v>5.0</v>
      </c>
      <c r="J422" s="5">
        <v>0.0</v>
      </c>
      <c r="K422" s="5">
        <v>0.0</v>
      </c>
    </row>
    <row r="423" ht="15.75" customHeight="1">
      <c r="A423" s="4" t="s">
        <v>2378</v>
      </c>
      <c r="B423" s="11" t="s">
        <v>2381</v>
      </c>
      <c r="C423" s="4" t="s">
        <v>848</v>
      </c>
      <c r="D423" s="12" t="s">
        <v>29</v>
      </c>
      <c r="E423" s="13" t="s">
        <v>53</v>
      </c>
      <c r="F423" s="5" t="s">
        <v>31</v>
      </c>
      <c r="G423" s="5" t="b">
        <v>0</v>
      </c>
      <c r="H423" s="5" t="s">
        <v>2384</v>
      </c>
      <c r="I423" s="5">
        <v>5.0</v>
      </c>
      <c r="J423" s="5">
        <v>0.0</v>
      </c>
      <c r="K423" s="5">
        <v>1.6</v>
      </c>
    </row>
    <row r="424" ht="15.75" customHeight="1">
      <c r="A424" s="4" t="s">
        <v>2385</v>
      </c>
      <c r="B424" s="11" t="s">
        <v>2387</v>
      </c>
      <c r="C424" s="4" t="s">
        <v>10</v>
      </c>
      <c r="D424" s="12" t="s">
        <v>52</v>
      </c>
      <c r="E424" s="13" t="s">
        <v>93</v>
      </c>
      <c r="F424" s="5" t="s">
        <v>54</v>
      </c>
      <c r="G424" s="5" t="b">
        <v>0</v>
      </c>
      <c r="H424" s="5" t="s">
        <v>1602</v>
      </c>
      <c r="I424" s="5">
        <v>5.0</v>
      </c>
      <c r="J424" s="5">
        <v>0.0</v>
      </c>
      <c r="K424" s="5">
        <v>0.0</v>
      </c>
    </row>
    <row r="425" ht="15.75" customHeight="1">
      <c r="A425" s="4" t="s">
        <v>2389</v>
      </c>
      <c r="B425" s="11" t="s">
        <v>2391</v>
      </c>
      <c r="C425" s="4" t="s">
        <v>10</v>
      </c>
      <c r="D425" s="12" t="s">
        <v>52</v>
      </c>
      <c r="E425" s="13" t="s">
        <v>93</v>
      </c>
      <c r="F425" s="5" t="s">
        <v>54</v>
      </c>
      <c r="G425" s="5" t="b">
        <v>0</v>
      </c>
      <c r="H425" s="5" t="s">
        <v>2392</v>
      </c>
      <c r="I425" s="5">
        <v>5.0</v>
      </c>
      <c r="J425" s="5">
        <v>0.0</v>
      </c>
      <c r="K425" s="5">
        <v>0.0</v>
      </c>
    </row>
    <row r="426" ht="15.75" customHeight="1">
      <c r="A426" s="4" t="s">
        <v>2393</v>
      </c>
      <c r="B426" s="11" t="s">
        <v>2394</v>
      </c>
      <c r="C426" s="4" t="s">
        <v>10</v>
      </c>
      <c r="D426" s="12" t="s">
        <v>52</v>
      </c>
      <c r="E426" s="13" t="s">
        <v>93</v>
      </c>
      <c r="F426" s="5" t="s">
        <v>54</v>
      </c>
      <c r="G426" s="5" t="b">
        <v>0</v>
      </c>
      <c r="H426" s="5" t="s">
        <v>2395</v>
      </c>
      <c r="I426" s="5">
        <v>5.0</v>
      </c>
      <c r="J426" s="5">
        <v>0.0</v>
      </c>
      <c r="K426" s="5">
        <v>0.0</v>
      </c>
    </row>
    <row r="427" ht="15.75" customHeight="1">
      <c r="A427" s="4" t="s">
        <v>2396</v>
      </c>
      <c r="B427" s="11" t="s">
        <v>2397</v>
      </c>
      <c r="C427" s="4" t="s">
        <v>10</v>
      </c>
      <c r="D427" s="12" t="s">
        <v>52</v>
      </c>
      <c r="E427" s="13" t="s">
        <v>93</v>
      </c>
      <c r="F427" s="5" t="s">
        <v>54</v>
      </c>
      <c r="G427" s="5" t="b">
        <v>0</v>
      </c>
      <c r="H427" s="5" t="s">
        <v>877</v>
      </c>
      <c r="I427" s="5">
        <v>5.0</v>
      </c>
      <c r="J427" s="5">
        <v>0.0</v>
      </c>
      <c r="K427" s="5">
        <v>0.6</v>
      </c>
    </row>
    <row r="428" ht="15.75" customHeight="1">
      <c r="A428" s="4" t="s">
        <v>2398</v>
      </c>
      <c r="B428" s="11" t="s">
        <v>2399</v>
      </c>
      <c r="C428" s="4" t="s">
        <v>323</v>
      </c>
      <c r="D428" s="12" t="s">
        <v>52</v>
      </c>
      <c r="E428" s="13" t="s">
        <v>53</v>
      </c>
      <c r="F428" s="5" t="s">
        <v>54</v>
      </c>
      <c r="G428" s="5" t="b">
        <v>0</v>
      </c>
      <c r="H428" s="5" t="s">
        <v>2400</v>
      </c>
      <c r="I428" s="5">
        <v>5.0</v>
      </c>
      <c r="J428" s="5">
        <v>0.0</v>
      </c>
      <c r="K428" s="5">
        <v>0.0</v>
      </c>
    </row>
    <row r="429" ht="15.75" customHeight="1">
      <c r="A429" s="4" t="s">
        <v>2401</v>
      </c>
      <c r="B429" s="11" t="s">
        <v>2402</v>
      </c>
      <c r="C429" s="5" t="s">
        <v>968</v>
      </c>
      <c r="D429" s="12" t="s">
        <v>126</v>
      </c>
      <c r="E429" s="13" t="s">
        <v>53</v>
      </c>
      <c r="F429" s="5" t="s">
        <v>127</v>
      </c>
      <c r="G429" s="5" t="b">
        <v>0</v>
      </c>
      <c r="H429" s="5" t="s">
        <v>342</v>
      </c>
      <c r="I429" s="5">
        <v>5.0</v>
      </c>
      <c r="J429" s="5">
        <v>0.0</v>
      </c>
      <c r="K429" s="5">
        <v>0.0</v>
      </c>
    </row>
    <row r="430" ht="15.75" customHeight="1">
      <c r="A430" s="4" t="s">
        <v>2403</v>
      </c>
      <c r="B430" s="11" t="s">
        <v>2404</v>
      </c>
      <c r="C430" s="4" t="s">
        <v>172</v>
      </c>
      <c r="D430" s="12" t="s">
        <v>297</v>
      </c>
      <c r="E430" s="13" t="s">
        <v>53</v>
      </c>
      <c r="F430" s="5" t="s">
        <v>298</v>
      </c>
      <c r="G430" s="5" t="b">
        <v>0</v>
      </c>
      <c r="H430" s="5" t="s">
        <v>2405</v>
      </c>
      <c r="I430" s="5">
        <v>5.0</v>
      </c>
      <c r="J430" s="5">
        <v>0.0</v>
      </c>
      <c r="K430" s="5">
        <v>1.6</v>
      </c>
    </row>
    <row r="431" ht="15.75" customHeight="1">
      <c r="A431" s="4" t="s">
        <v>2406</v>
      </c>
      <c r="B431" s="11" t="s">
        <v>2407</v>
      </c>
      <c r="C431" s="4" t="s">
        <v>405</v>
      </c>
      <c r="D431" s="12" t="s">
        <v>29</v>
      </c>
      <c r="E431" s="13" t="s">
        <v>30</v>
      </c>
      <c r="F431" s="5" t="s">
        <v>31</v>
      </c>
      <c r="G431" s="5" t="b">
        <v>0</v>
      </c>
      <c r="H431" s="5" t="s">
        <v>2408</v>
      </c>
      <c r="I431" s="5">
        <v>5.0</v>
      </c>
      <c r="J431" s="5">
        <v>0.0</v>
      </c>
      <c r="K431" s="5">
        <v>1.0</v>
      </c>
    </row>
    <row r="432" ht="15.75" customHeight="1">
      <c r="A432" s="4" t="s">
        <v>2409</v>
      </c>
      <c r="B432" s="11" t="s">
        <v>2410</v>
      </c>
      <c r="C432" s="4" t="s">
        <v>970</v>
      </c>
      <c r="D432" s="12" t="s">
        <v>261</v>
      </c>
      <c r="E432" s="13" t="s">
        <v>53</v>
      </c>
      <c r="F432" s="5" t="s">
        <v>263</v>
      </c>
      <c r="G432" s="5" t="b">
        <v>0</v>
      </c>
      <c r="I432" s="5">
        <v>5.0</v>
      </c>
      <c r="J432" s="5">
        <v>0.0</v>
      </c>
      <c r="K432" s="5">
        <v>0.8</v>
      </c>
    </row>
    <row r="433" ht="15.75" customHeight="1">
      <c r="A433" s="4" t="s">
        <v>2411</v>
      </c>
      <c r="B433" s="11" t="s">
        <v>2412</v>
      </c>
      <c r="C433" s="4" t="s">
        <v>357</v>
      </c>
      <c r="D433" s="12" t="s">
        <v>29</v>
      </c>
      <c r="E433" s="13" t="s">
        <v>678</v>
      </c>
      <c r="F433" s="5" t="s">
        <v>31</v>
      </c>
      <c r="G433" s="5" t="b">
        <v>0</v>
      </c>
      <c r="H433" s="5" t="s">
        <v>2413</v>
      </c>
      <c r="I433" s="5">
        <v>5.0</v>
      </c>
      <c r="J433" s="5">
        <v>0.0</v>
      </c>
      <c r="K433" s="5">
        <v>0.6</v>
      </c>
    </row>
    <row r="434" ht="15.75" customHeight="1">
      <c r="A434" s="4" t="s">
        <v>2414</v>
      </c>
      <c r="B434" s="11" t="s">
        <v>2415</v>
      </c>
      <c r="C434" s="4" t="s">
        <v>971</v>
      </c>
      <c r="D434" s="12" t="s">
        <v>29</v>
      </c>
      <c r="E434" s="13" t="s">
        <v>53</v>
      </c>
      <c r="F434" s="5" t="s">
        <v>31</v>
      </c>
      <c r="G434" s="5" t="b">
        <v>0</v>
      </c>
      <c r="H434" s="5" t="s">
        <v>2416</v>
      </c>
      <c r="I434" s="5">
        <v>5.0</v>
      </c>
      <c r="J434" s="5">
        <v>0.0</v>
      </c>
      <c r="K434" s="5">
        <v>0.2</v>
      </c>
    </row>
    <row r="435" ht="15.75" customHeight="1">
      <c r="A435" s="4" t="s">
        <v>2417</v>
      </c>
      <c r="B435" s="11" t="s">
        <v>2418</v>
      </c>
      <c r="C435" s="4" t="s">
        <v>56</v>
      </c>
      <c r="D435" s="12" t="s">
        <v>29</v>
      </c>
      <c r="E435" s="13" t="s">
        <v>30</v>
      </c>
      <c r="F435" s="5" t="s">
        <v>31</v>
      </c>
      <c r="G435" s="5" t="b">
        <v>0</v>
      </c>
      <c r="H435" s="5" t="s">
        <v>2419</v>
      </c>
      <c r="I435" s="5">
        <v>5.0</v>
      </c>
      <c r="J435" s="5">
        <v>0.0</v>
      </c>
      <c r="K435" s="5">
        <v>0.0</v>
      </c>
    </row>
    <row r="436" ht="15.75" customHeight="1">
      <c r="A436" s="4" t="s">
        <v>2420</v>
      </c>
      <c r="B436" s="11" t="s">
        <v>2421</v>
      </c>
      <c r="C436" s="4" t="s">
        <v>373</v>
      </c>
      <c r="D436" s="12" t="s">
        <v>84</v>
      </c>
      <c r="E436" s="13" t="s">
        <v>93</v>
      </c>
      <c r="F436" s="5" t="s">
        <v>85</v>
      </c>
      <c r="G436" s="5" t="b">
        <v>0</v>
      </c>
      <c r="H436" s="5" t="s">
        <v>396</v>
      </c>
      <c r="I436" s="5">
        <v>5.0</v>
      </c>
      <c r="J436" s="5">
        <v>0.0</v>
      </c>
      <c r="K436" s="5">
        <v>0.0</v>
      </c>
    </row>
    <row r="437" ht="15.75" customHeight="1">
      <c r="A437" s="4" t="s">
        <v>2422</v>
      </c>
      <c r="B437" s="11" t="s">
        <v>2423</v>
      </c>
      <c r="C437" s="4" t="s">
        <v>975</v>
      </c>
      <c r="D437" s="12" t="s">
        <v>29</v>
      </c>
      <c r="E437" s="13" t="s">
        <v>84</v>
      </c>
      <c r="F437" s="5" t="s">
        <v>31</v>
      </c>
      <c r="G437" s="5" t="b">
        <v>0</v>
      </c>
      <c r="H437" s="5" t="s">
        <v>2424</v>
      </c>
      <c r="I437" s="5">
        <v>5.0</v>
      </c>
      <c r="J437" s="5">
        <v>0.0</v>
      </c>
      <c r="K437" s="5">
        <v>1.6</v>
      </c>
    </row>
    <row r="438" ht="15.75" customHeight="1">
      <c r="A438" s="4" t="s">
        <v>2425</v>
      </c>
      <c r="B438" s="11" t="s">
        <v>2426</v>
      </c>
      <c r="C438" s="4" t="s">
        <v>993</v>
      </c>
      <c r="D438" s="12" t="s">
        <v>467</v>
      </c>
      <c r="E438" s="13" t="s">
        <v>53</v>
      </c>
      <c r="F438" s="5" t="s">
        <v>469</v>
      </c>
      <c r="G438" s="5" t="b">
        <v>0</v>
      </c>
      <c r="H438" s="5" t="s">
        <v>952</v>
      </c>
      <c r="I438" s="5">
        <v>4.0</v>
      </c>
      <c r="J438" s="5">
        <v>0.0</v>
      </c>
      <c r="K438" s="5">
        <v>0.0</v>
      </c>
    </row>
    <row r="439" ht="15.75" customHeight="1">
      <c r="A439" s="4" t="s">
        <v>2427</v>
      </c>
      <c r="B439" s="11" t="s">
        <v>2428</v>
      </c>
      <c r="C439" s="4" t="s">
        <v>995</v>
      </c>
      <c r="D439" s="12" t="s">
        <v>29</v>
      </c>
      <c r="E439" s="13" t="s">
        <v>53</v>
      </c>
      <c r="F439" s="5" t="s">
        <v>31</v>
      </c>
      <c r="G439" s="5" t="b">
        <v>0</v>
      </c>
      <c r="H439" s="5" t="s">
        <v>2429</v>
      </c>
      <c r="I439" s="5">
        <v>4.0</v>
      </c>
      <c r="J439" s="5">
        <v>0.0</v>
      </c>
      <c r="K439" s="5">
        <v>1.0</v>
      </c>
    </row>
    <row r="440" ht="15.75" customHeight="1">
      <c r="A440" s="4" t="s">
        <v>2430</v>
      </c>
      <c r="B440" s="13"/>
      <c r="C440" s="4" t="s">
        <v>92</v>
      </c>
      <c r="D440" s="12" t="s">
        <v>84</v>
      </c>
      <c r="E440" s="13" t="s">
        <v>84</v>
      </c>
      <c r="F440" s="5" t="s">
        <v>85</v>
      </c>
      <c r="H440" s="5" t="s">
        <v>233</v>
      </c>
      <c r="I440" s="5">
        <v>4.0</v>
      </c>
      <c r="J440" s="5">
        <v>0.0</v>
      </c>
      <c r="K440" s="5">
        <v>0.0</v>
      </c>
    </row>
    <row r="441" ht="15.75" customHeight="1">
      <c r="A441" s="4" t="s">
        <v>2431</v>
      </c>
      <c r="B441" s="11" t="s">
        <v>2432</v>
      </c>
      <c r="C441" s="4" t="s">
        <v>18</v>
      </c>
      <c r="D441" s="12" t="s">
        <v>52</v>
      </c>
      <c r="E441" s="13" t="s">
        <v>53</v>
      </c>
      <c r="F441" s="5" t="s">
        <v>54</v>
      </c>
      <c r="G441" s="5" t="b">
        <v>0</v>
      </c>
      <c r="H441" s="5" t="s">
        <v>2433</v>
      </c>
      <c r="I441" s="5">
        <v>4.0</v>
      </c>
      <c r="J441" s="5">
        <v>0.0</v>
      </c>
      <c r="K441" s="5">
        <v>2.0</v>
      </c>
    </row>
    <row r="442" ht="15.75" customHeight="1">
      <c r="A442" s="4" t="s">
        <v>2434</v>
      </c>
      <c r="B442" s="11" t="s">
        <v>2435</v>
      </c>
      <c r="C442" s="4" t="s">
        <v>18</v>
      </c>
      <c r="D442" s="12" t="s">
        <v>52</v>
      </c>
      <c r="E442" s="13" t="s">
        <v>53</v>
      </c>
      <c r="F442" s="5" t="s">
        <v>54</v>
      </c>
      <c r="G442" s="5" t="b">
        <v>0</v>
      </c>
      <c r="H442" s="5" t="s">
        <v>2436</v>
      </c>
      <c r="I442" s="5">
        <v>4.0</v>
      </c>
      <c r="J442" s="5">
        <v>0.0</v>
      </c>
      <c r="K442" s="5">
        <v>0.75</v>
      </c>
    </row>
    <row r="443" ht="15.75" customHeight="1">
      <c r="A443" s="4" t="s">
        <v>2437</v>
      </c>
      <c r="B443" s="11" t="s">
        <v>2438</v>
      </c>
      <c r="C443" s="4" t="s">
        <v>18</v>
      </c>
      <c r="D443" s="12" t="s">
        <v>52</v>
      </c>
      <c r="E443" s="13" t="s">
        <v>53</v>
      </c>
      <c r="F443" s="5" t="s">
        <v>54</v>
      </c>
      <c r="G443" s="5" t="b">
        <v>0</v>
      </c>
      <c r="H443" s="5" t="s">
        <v>2439</v>
      </c>
      <c r="I443" s="5">
        <v>4.0</v>
      </c>
      <c r="J443" s="5">
        <v>0.0</v>
      </c>
      <c r="K443" s="5">
        <v>0.0</v>
      </c>
    </row>
    <row r="444" ht="15.75" customHeight="1">
      <c r="A444" s="4" t="s">
        <v>2440</v>
      </c>
      <c r="B444" s="11" t="s">
        <v>2441</v>
      </c>
      <c r="C444" s="4" t="s">
        <v>97</v>
      </c>
      <c r="D444" s="12" t="s">
        <v>52</v>
      </c>
      <c r="E444" s="13" t="s">
        <v>53</v>
      </c>
      <c r="F444" s="5" t="s">
        <v>54</v>
      </c>
      <c r="G444" s="5" t="b">
        <v>0</v>
      </c>
      <c r="H444" s="5" t="s">
        <v>2442</v>
      </c>
      <c r="I444" s="5">
        <v>4.0</v>
      </c>
      <c r="J444" s="5">
        <v>0.0</v>
      </c>
      <c r="K444" s="5">
        <v>0.0</v>
      </c>
    </row>
    <row r="445" ht="15.75" customHeight="1">
      <c r="A445" s="4" t="s">
        <v>2443</v>
      </c>
      <c r="B445" s="11" t="s">
        <v>2444</v>
      </c>
      <c r="C445" s="4" t="s">
        <v>942</v>
      </c>
      <c r="D445" s="12" t="s">
        <v>126</v>
      </c>
      <c r="E445" s="13" t="s">
        <v>53</v>
      </c>
      <c r="F445" s="5" t="s">
        <v>127</v>
      </c>
      <c r="G445" s="5" t="b">
        <v>0</v>
      </c>
      <c r="I445" s="5">
        <v>4.0</v>
      </c>
      <c r="J445" s="5">
        <v>0.0</v>
      </c>
      <c r="K445" s="5">
        <v>0.25</v>
      </c>
    </row>
    <row r="446" ht="15.75" customHeight="1">
      <c r="A446" s="4" t="s">
        <v>2445</v>
      </c>
      <c r="B446" s="11" t="s">
        <v>2446</v>
      </c>
      <c r="C446" s="4" t="s">
        <v>50</v>
      </c>
      <c r="D446" s="12" t="s">
        <v>297</v>
      </c>
      <c r="E446" s="13" t="s">
        <v>53</v>
      </c>
      <c r="F446" s="5" t="s">
        <v>298</v>
      </c>
      <c r="G446" s="5" t="b">
        <v>0</v>
      </c>
      <c r="H446" s="5" t="s">
        <v>396</v>
      </c>
      <c r="I446" s="5">
        <v>4.0</v>
      </c>
      <c r="J446" s="5">
        <v>0.0</v>
      </c>
      <c r="K446" s="5">
        <v>0.0</v>
      </c>
    </row>
    <row r="447" ht="15.75" customHeight="1">
      <c r="A447" s="4" t="s">
        <v>2447</v>
      </c>
      <c r="B447" s="11" t="s">
        <v>2448</v>
      </c>
      <c r="C447" s="4" t="s">
        <v>1015</v>
      </c>
      <c r="D447" s="12" t="s">
        <v>297</v>
      </c>
      <c r="E447" s="13" t="s">
        <v>93</v>
      </c>
      <c r="F447" s="5" t="s">
        <v>298</v>
      </c>
      <c r="G447" s="5" t="b">
        <v>0</v>
      </c>
      <c r="H447" s="5" t="s">
        <v>2449</v>
      </c>
      <c r="I447" s="5">
        <v>4.0</v>
      </c>
      <c r="J447" s="5">
        <v>0.0</v>
      </c>
      <c r="K447" s="5">
        <v>0.0</v>
      </c>
    </row>
    <row r="448" ht="15.75" customHeight="1">
      <c r="A448" s="4" t="s">
        <v>2450</v>
      </c>
      <c r="B448" s="13"/>
      <c r="C448" s="4" t="s">
        <v>481</v>
      </c>
      <c r="D448" s="12" t="s">
        <v>84</v>
      </c>
      <c r="E448" s="13" t="s">
        <v>53</v>
      </c>
      <c r="F448" s="5" t="s">
        <v>85</v>
      </c>
      <c r="H448" s="5" t="s">
        <v>233</v>
      </c>
      <c r="I448" s="5">
        <v>4.0</v>
      </c>
      <c r="J448" s="5">
        <v>0.0</v>
      </c>
      <c r="K448" s="5">
        <v>0.0</v>
      </c>
    </row>
    <row r="449" ht="15.75" customHeight="1">
      <c r="A449" s="4" t="s">
        <v>2451</v>
      </c>
      <c r="B449" s="11" t="s">
        <v>2452</v>
      </c>
      <c r="C449" s="4" t="s">
        <v>243</v>
      </c>
      <c r="D449" s="12" t="s">
        <v>126</v>
      </c>
      <c r="E449" s="13" t="s">
        <v>30</v>
      </c>
      <c r="F449" s="5" t="s">
        <v>127</v>
      </c>
      <c r="G449" s="5" t="b">
        <v>0</v>
      </c>
      <c r="H449" s="5" t="s">
        <v>247</v>
      </c>
      <c r="I449" s="5">
        <v>4.0</v>
      </c>
      <c r="J449" s="5">
        <v>0.0</v>
      </c>
      <c r="K449" s="5">
        <v>0.75</v>
      </c>
    </row>
    <row r="450" ht="15.75" customHeight="1">
      <c r="A450" s="4" t="s">
        <v>2453</v>
      </c>
      <c r="B450" s="11" t="s">
        <v>2454</v>
      </c>
      <c r="C450" s="4" t="s">
        <v>981</v>
      </c>
      <c r="D450" s="12" t="s">
        <v>29</v>
      </c>
      <c r="E450" s="13" t="s">
        <v>53</v>
      </c>
      <c r="F450" s="5" t="s">
        <v>31</v>
      </c>
      <c r="G450" s="5" t="b">
        <v>0</v>
      </c>
      <c r="H450" s="5" t="s">
        <v>1648</v>
      </c>
      <c r="I450" s="5">
        <v>4.0</v>
      </c>
      <c r="J450" s="5">
        <v>0.0</v>
      </c>
      <c r="K450" s="5">
        <v>0.25</v>
      </c>
    </row>
    <row r="451" ht="15.75" customHeight="1">
      <c r="A451" s="4" t="s">
        <v>2455</v>
      </c>
      <c r="B451" s="11" t="s">
        <v>2456</v>
      </c>
      <c r="C451" s="4" t="s">
        <v>1029</v>
      </c>
      <c r="D451" s="12" t="s">
        <v>29</v>
      </c>
      <c r="E451" s="13" t="s">
        <v>53</v>
      </c>
      <c r="F451" s="5" t="s">
        <v>31</v>
      </c>
      <c r="G451" s="5" t="b">
        <v>0</v>
      </c>
      <c r="H451" s="5" t="s">
        <v>2457</v>
      </c>
      <c r="I451" s="5">
        <v>4.0</v>
      </c>
      <c r="J451" s="5">
        <v>0.0</v>
      </c>
      <c r="K451" s="5">
        <v>0.0</v>
      </c>
    </row>
    <row r="452" ht="15.75" customHeight="1">
      <c r="A452" s="4" t="s">
        <v>2458</v>
      </c>
      <c r="B452" s="11" t="s">
        <v>2459</v>
      </c>
      <c r="C452" s="4" t="s">
        <v>217</v>
      </c>
      <c r="D452" s="12" t="s">
        <v>52</v>
      </c>
      <c r="E452" s="13" t="s">
        <v>81</v>
      </c>
      <c r="F452" s="5" t="s">
        <v>54</v>
      </c>
      <c r="G452" s="5" t="b">
        <v>0</v>
      </c>
      <c r="H452" s="5" t="s">
        <v>952</v>
      </c>
      <c r="I452" s="5">
        <v>4.0</v>
      </c>
      <c r="J452" s="5">
        <v>0.0</v>
      </c>
      <c r="K452" s="5">
        <v>0.0</v>
      </c>
    </row>
    <row r="453" ht="15.75" customHeight="1">
      <c r="A453" s="4" t="s">
        <v>2460</v>
      </c>
      <c r="B453" s="11" t="s">
        <v>2461</v>
      </c>
      <c r="C453" s="4" t="s">
        <v>1032</v>
      </c>
      <c r="D453" s="12" t="s">
        <v>433</v>
      </c>
      <c r="E453" s="13" t="s">
        <v>53</v>
      </c>
      <c r="F453" s="5" t="s">
        <v>434</v>
      </c>
      <c r="G453" s="5" t="b">
        <v>0</v>
      </c>
      <c r="H453" s="5" t="s">
        <v>1034</v>
      </c>
      <c r="I453" s="5">
        <v>4.0</v>
      </c>
      <c r="J453" s="5">
        <v>0.0</v>
      </c>
      <c r="K453" s="5">
        <v>0.0</v>
      </c>
    </row>
    <row r="454" ht="15.75" customHeight="1">
      <c r="A454" s="4" t="s">
        <v>2462</v>
      </c>
      <c r="B454" s="11" t="s">
        <v>2463</v>
      </c>
      <c r="C454" s="4" t="s">
        <v>92</v>
      </c>
      <c r="D454" s="12" t="s">
        <v>52</v>
      </c>
      <c r="E454" s="13" t="s">
        <v>84</v>
      </c>
      <c r="F454" s="5" t="s">
        <v>54</v>
      </c>
      <c r="G454" s="5" t="b">
        <v>0</v>
      </c>
      <c r="I454" s="5">
        <v>4.0</v>
      </c>
      <c r="J454" s="5">
        <v>0.0</v>
      </c>
      <c r="K454" s="5">
        <v>1.25</v>
      </c>
    </row>
    <row r="455" ht="15.75" customHeight="1">
      <c r="A455" s="4" t="s">
        <v>2464</v>
      </c>
      <c r="B455" s="11" t="s">
        <v>2465</v>
      </c>
      <c r="C455" s="4" t="s">
        <v>92</v>
      </c>
      <c r="D455" s="12" t="s">
        <v>84</v>
      </c>
      <c r="E455" s="13" t="s">
        <v>84</v>
      </c>
      <c r="F455" s="5" t="s">
        <v>85</v>
      </c>
      <c r="G455" s="5" t="b">
        <v>0</v>
      </c>
      <c r="I455" s="5">
        <v>4.0</v>
      </c>
      <c r="J455" s="5">
        <v>0.0</v>
      </c>
      <c r="K455" s="5">
        <v>0.0</v>
      </c>
    </row>
    <row r="456" ht="15.75" customHeight="1">
      <c r="A456" s="4" t="s">
        <v>2466</v>
      </c>
      <c r="B456" s="11" t="s">
        <v>2467</v>
      </c>
      <c r="C456" s="4" t="s">
        <v>104</v>
      </c>
      <c r="D456" s="12" t="s">
        <v>126</v>
      </c>
      <c r="E456" s="13" t="s">
        <v>30</v>
      </c>
      <c r="F456" s="5" t="s">
        <v>127</v>
      </c>
      <c r="G456" s="5" t="b">
        <v>0</v>
      </c>
      <c r="H456" s="5" t="s">
        <v>342</v>
      </c>
      <c r="I456" s="5">
        <v>4.0</v>
      </c>
      <c r="J456" s="5">
        <v>0.0</v>
      </c>
      <c r="K456" s="5">
        <v>0.5</v>
      </c>
    </row>
    <row r="457" ht="15.75" customHeight="1">
      <c r="A457" s="4" t="s">
        <v>2468</v>
      </c>
      <c r="B457" s="11" t="s">
        <v>2469</v>
      </c>
      <c r="C457" s="4" t="s">
        <v>1036</v>
      </c>
      <c r="D457" s="12" t="s">
        <v>467</v>
      </c>
      <c r="E457" s="13" t="s">
        <v>30</v>
      </c>
      <c r="F457" s="5" t="s">
        <v>469</v>
      </c>
      <c r="G457" s="5" t="b">
        <v>0</v>
      </c>
      <c r="H457" s="5" t="s">
        <v>1039</v>
      </c>
      <c r="I457" s="5">
        <v>4.0</v>
      </c>
      <c r="J457" s="5">
        <v>0.0</v>
      </c>
      <c r="K457" s="5">
        <v>1.0</v>
      </c>
    </row>
    <row r="458" ht="15.75" customHeight="1">
      <c r="A458" s="4" t="s">
        <v>2470</v>
      </c>
      <c r="B458" s="11" t="s">
        <v>2471</v>
      </c>
      <c r="C458" s="4" t="s">
        <v>129</v>
      </c>
      <c r="D458" s="12" t="s">
        <v>29</v>
      </c>
      <c r="E458" s="13" t="s">
        <v>30</v>
      </c>
      <c r="F458" s="5" t="s">
        <v>31</v>
      </c>
      <c r="G458" s="5" t="b">
        <v>0</v>
      </c>
      <c r="H458" s="5" t="s">
        <v>2472</v>
      </c>
      <c r="I458" s="5">
        <v>4.0</v>
      </c>
      <c r="J458" s="5">
        <v>0.0</v>
      </c>
      <c r="K458" s="5">
        <v>0.5</v>
      </c>
    </row>
    <row r="459" ht="15.75" customHeight="1">
      <c r="A459" s="4" t="s">
        <v>2473</v>
      </c>
      <c r="B459" s="11" t="s">
        <v>2474</v>
      </c>
      <c r="C459" s="4" t="s">
        <v>129</v>
      </c>
      <c r="D459" s="12" t="s">
        <v>29</v>
      </c>
      <c r="E459" s="13" t="s">
        <v>30</v>
      </c>
      <c r="F459" s="5" t="s">
        <v>31</v>
      </c>
      <c r="G459" s="5" t="b">
        <v>0</v>
      </c>
      <c r="H459" s="5" t="s">
        <v>2475</v>
      </c>
      <c r="I459" s="5">
        <v>4.0</v>
      </c>
      <c r="J459" s="5">
        <v>0.0</v>
      </c>
      <c r="K459" s="5">
        <v>1.0</v>
      </c>
    </row>
    <row r="460" ht="15.75" customHeight="1">
      <c r="A460" s="4" t="s">
        <v>2476</v>
      </c>
      <c r="B460" s="11" t="s">
        <v>2477</v>
      </c>
      <c r="C460" s="4" t="s">
        <v>1043</v>
      </c>
      <c r="D460" s="12" t="s">
        <v>29</v>
      </c>
      <c r="E460" s="13" t="s">
        <v>53</v>
      </c>
      <c r="F460" s="5" t="s">
        <v>31</v>
      </c>
      <c r="G460" s="5" t="b">
        <v>0</v>
      </c>
      <c r="H460" s="5" t="s">
        <v>1045</v>
      </c>
      <c r="I460" s="5">
        <v>4.0</v>
      </c>
      <c r="J460" s="5">
        <v>0.0</v>
      </c>
      <c r="K460" s="5">
        <v>0.25</v>
      </c>
    </row>
    <row r="461" ht="15.75" customHeight="1">
      <c r="A461" s="4" t="s">
        <v>2478</v>
      </c>
      <c r="B461" s="11" t="s">
        <v>2479</v>
      </c>
      <c r="C461" s="4" t="s">
        <v>1046</v>
      </c>
      <c r="D461" s="12" t="s">
        <v>126</v>
      </c>
      <c r="E461" s="13" t="s">
        <v>53</v>
      </c>
      <c r="F461" s="5" t="s">
        <v>127</v>
      </c>
      <c r="G461" s="5" t="b">
        <v>0</v>
      </c>
      <c r="H461" s="5" t="s">
        <v>1048</v>
      </c>
      <c r="I461" s="5">
        <v>4.0</v>
      </c>
      <c r="J461" s="5">
        <v>0.0</v>
      </c>
      <c r="K461" s="5">
        <v>1.0</v>
      </c>
    </row>
    <row r="462" ht="15.75" customHeight="1">
      <c r="A462" s="4" t="s">
        <v>2480</v>
      </c>
      <c r="B462" s="11" t="s">
        <v>2481</v>
      </c>
      <c r="C462" s="5" t="s">
        <v>232</v>
      </c>
      <c r="D462" s="12" t="s">
        <v>126</v>
      </c>
      <c r="E462" s="13" t="s">
        <v>30</v>
      </c>
      <c r="F462" s="5" t="s">
        <v>127</v>
      </c>
      <c r="G462" s="5" t="b">
        <v>0</v>
      </c>
      <c r="H462" s="5" t="s">
        <v>2482</v>
      </c>
      <c r="I462" s="5">
        <v>4.0</v>
      </c>
      <c r="J462" s="5">
        <v>0.0</v>
      </c>
      <c r="K462" s="5">
        <v>3.0</v>
      </c>
    </row>
    <row r="463" ht="15.75" customHeight="1">
      <c r="A463" s="4" t="s">
        <v>2483</v>
      </c>
      <c r="B463" s="11" t="s">
        <v>2484</v>
      </c>
      <c r="C463" s="5" t="s">
        <v>1050</v>
      </c>
      <c r="D463" s="12" t="s">
        <v>29</v>
      </c>
      <c r="E463" s="13" t="s">
        <v>53</v>
      </c>
      <c r="F463" s="5" t="s">
        <v>31</v>
      </c>
      <c r="G463" s="5" t="b">
        <v>0</v>
      </c>
      <c r="H463" s="5" t="s">
        <v>2485</v>
      </c>
      <c r="I463" s="5">
        <v>4.0</v>
      </c>
      <c r="J463" s="5">
        <v>0.0</v>
      </c>
      <c r="K463" s="5">
        <v>0.0</v>
      </c>
    </row>
    <row r="464" ht="15.75" customHeight="1">
      <c r="A464" s="4" t="s">
        <v>2486</v>
      </c>
      <c r="B464" s="11" t="s">
        <v>2487</v>
      </c>
      <c r="C464" s="4" t="s">
        <v>79</v>
      </c>
      <c r="D464" s="12" t="s">
        <v>996</v>
      </c>
      <c r="E464" s="13" t="s">
        <v>81</v>
      </c>
      <c r="F464" s="5" t="s">
        <v>997</v>
      </c>
      <c r="G464" s="5" t="b">
        <v>0</v>
      </c>
      <c r="H464" s="5" t="s">
        <v>2488</v>
      </c>
      <c r="I464" s="5">
        <v>4.0</v>
      </c>
      <c r="J464" s="5">
        <v>0.0</v>
      </c>
      <c r="K464" s="5">
        <v>1.75</v>
      </c>
    </row>
    <row r="465" ht="15.75" customHeight="1">
      <c r="A465" s="4" t="s">
        <v>2489</v>
      </c>
      <c r="B465" s="11" t="s">
        <v>2490</v>
      </c>
      <c r="C465" s="4" t="s">
        <v>79</v>
      </c>
      <c r="D465" s="12" t="s">
        <v>996</v>
      </c>
      <c r="E465" s="13" t="s">
        <v>81</v>
      </c>
      <c r="F465" s="5" t="s">
        <v>997</v>
      </c>
      <c r="G465" s="5" t="b">
        <v>0</v>
      </c>
      <c r="H465" s="5" t="s">
        <v>2491</v>
      </c>
      <c r="I465" s="5">
        <v>4.0</v>
      </c>
      <c r="J465" s="5">
        <v>0.0</v>
      </c>
      <c r="K465" s="5">
        <v>1.5</v>
      </c>
    </row>
    <row r="466" ht="15.75" customHeight="1">
      <c r="A466" s="4" t="s">
        <v>2492</v>
      </c>
      <c r="B466" s="11" t="s">
        <v>2493</v>
      </c>
      <c r="C466" s="4" t="s">
        <v>79</v>
      </c>
      <c r="D466" s="12" t="s">
        <v>996</v>
      </c>
      <c r="E466" s="13" t="s">
        <v>81</v>
      </c>
      <c r="F466" s="5" t="s">
        <v>997</v>
      </c>
      <c r="G466" s="5" t="b">
        <v>0</v>
      </c>
      <c r="H466" s="5" t="s">
        <v>2494</v>
      </c>
      <c r="I466" s="5">
        <v>4.0</v>
      </c>
      <c r="J466" s="5">
        <v>0.0</v>
      </c>
      <c r="K466" s="5">
        <v>1.75</v>
      </c>
    </row>
    <row r="467" ht="15.75" customHeight="1">
      <c r="A467" s="4" t="s">
        <v>2495</v>
      </c>
      <c r="B467" s="11" t="s">
        <v>2496</v>
      </c>
      <c r="C467" s="5" t="s">
        <v>1052</v>
      </c>
      <c r="D467" s="12" t="s">
        <v>126</v>
      </c>
      <c r="E467" s="13" t="s">
        <v>53</v>
      </c>
      <c r="F467" s="5" t="s">
        <v>127</v>
      </c>
      <c r="G467" s="5" t="b">
        <v>0</v>
      </c>
      <c r="I467" s="5">
        <v>4.0</v>
      </c>
      <c r="J467" s="5">
        <v>0.0</v>
      </c>
      <c r="K467" s="5">
        <v>0.5</v>
      </c>
    </row>
    <row r="468" ht="15.75" customHeight="1">
      <c r="A468" s="4" t="s">
        <v>2497</v>
      </c>
      <c r="B468" s="11" t="s">
        <v>2498</v>
      </c>
      <c r="C468" s="4" t="s">
        <v>978</v>
      </c>
      <c r="D468" s="12" t="s">
        <v>29</v>
      </c>
      <c r="E468" s="13" t="s">
        <v>53</v>
      </c>
      <c r="F468" s="5" t="s">
        <v>31</v>
      </c>
      <c r="G468" s="5" t="b">
        <v>0</v>
      </c>
      <c r="H468" s="5" t="s">
        <v>2499</v>
      </c>
      <c r="I468" s="5">
        <v>4.0</v>
      </c>
      <c r="J468" s="5">
        <v>0.0</v>
      </c>
      <c r="K468" s="5">
        <v>2.5</v>
      </c>
    </row>
    <row r="469" ht="15.75" customHeight="1">
      <c r="A469" s="4" t="s">
        <v>2500</v>
      </c>
      <c r="B469" s="11" t="s">
        <v>2501</v>
      </c>
      <c r="C469" s="4" t="s">
        <v>1054</v>
      </c>
      <c r="D469" s="12" t="s">
        <v>126</v>
      </c>
      <c r="E469" s="13" t="s">
        <v>53</v>
      </c>
      <c r="F469" s="5" t="s">
        <v>127</v>
      </c>
      <c r="G469" s="5" t="b">
        <v>0</v>
      </c>
      <c r="H469" s="5" t="s">
        <v>159</v>
      </c>
      <c r="I469" s="5">
        <v>4.0</v>
      </c>
      <c r="J469" s="5">
        <v>0.0</v>
      </c>
      <c r="K469" s="5">
        <v>1.0</v>
      </c>
    </row>
    <row r="470" ht="15.75" customHeight="1">
      <c r="A470" s="4" t="s">
        <v>2502</v>
      </c>
      <c r="B470" s="11" t="s">
        <v>2503</v>
      </c>
      <c r="C470" s="4" t="s">
        <v>1056</v>
      </c>
      <c r="D470" s="12" t="s">
        <v>29</v>
      </c>
      <c r="E470" s="13" t="s">
        <v>53</v>
      </c>
      <c r="F470" s="5" t="s">
        <v>31</v>
      </c>
      <c r="G470" s="5" t="b">
        <v>0</v>
      </c>
      <c r="H470" s="5" t="s">
        <v>1057</v>
      </c>
      <c r="I470" s="5">
        <v>4.0</v>
      </c>
      <c r="J470" s="5">
        <v>0.0</v>
      </c>
      <c r="K470" s="5">
        <v>0.0</v>
      </c>
    </row>
    <row r="471" ht="15.75" customHeight="1">
      <c r="A471" s="4" t="s">
        <v>2504</v>
      </c>
      <c r="B471" s="11" t="s">
        <v>2505</v>
      </c>
      <c r="C471" s="4" t="s">
        <v>1058</v>
      </c>
      <c r="D471" s="12" t="s">
        <v>52</v>
      </c>
      <c r="E471" s="13" t="s">
        <v>93</v>
      </c>
      <c r="F471" s="5" t="s">
        <v>54</v>
      </c>
      <c r="G471" s="5" t="b">
        <v>0</v>
      </c>
      <c r="H471" s="5" t="s">
        <v>1060</v>
      </c>
      <c r="I471" s="5">
        <v>4.0</v>
      </c>
      <c r="J471" s="5">
        <v>0.0</v>
      </c>
      <c r="K471" s="5">
        <v>0.0</v>
      </c>
    </row>
    <row r="472" ht="15.75" customHeight="1">
      <c r="A472" s="4" t="s">
        <v>2506</v>
      </c>
      <c r="B472" s="11" t="s">
        <v>2507</v>
      </c>
      <c r="C472" s="4" t="s">
        <v>10</v>
      </c>
      <c r="D472" s="12" t="s">
        <v>52</v>
      </c>
      <c r="E472" s="13" t="s">
        <v>93</v>
      </c>
      <c r="F472" s="5" t="s">
        <v>54</v>
      </c>
      <c r="G472" s="5" t="b">
        <v>0</v>
      </c>
      <c r="I472" s="5">
        <v>4.0</v>
      </c>
      <c r="J472" s="5">
        <v>0.0</v>
      </c>
      <c r="K472" s="5">
        <v>0.0</v>
      </c>
    </row>
    <row r="473" ht="15.75" customHeight="1">
      <c r="A473" s="4" t="s">
        <v>2508</v>
      </c>
      <c r="B473" s="11" t="s">
        <v>2509</v>
      </c>
      <c r="C473" s="4" t="s">
        <v>10</v>
      </c>
      <c r="D473" s="12" t="s">
        <v>52</v>
      </c>
      <c r="E473" s="13" t="s">
        <v>93</v>
      </c>
      <c r="F473" s="5" t="s">
        <v>54</v>
      </c>
      <c r="G473" s="5" t="b">
        <v>0</v>
      </c>
      <c r="H473" s="5" t="s">
        <v>877</v>
      </c>
      <c r="I473" s="5">
        <v>4.0</v>
      </c>
      <c r="J473" s="5">
        <v>0.0</v>
      </c>
      <c r="K473" s="5">
        <v>0.75</v>
      </c>
    </row>
    <row r="474" ht="15.75" customHeight="1">
      <c r="A474" s="4" t="s">
        <v>2510</v>
      </c>
      <c r="B474" s="11" t="s">
        <v>2511</v>
      </c>
      <c r="C474" s="4" t="s">
        <v>10</v>
      </c>
      <c r="D474" s="12" t="s">
        <v>52</v>
      </c>
      <c r="E474" s="13" t="s">
        <v>93</v>
      </c>
      <c r="F474" s="5" t="s">
        <v>54</v>
      </c>
      <c r="G474" s="5" t="b">
        <v>0</v>
      </c>
      <c r="H474" s="5" t="s">
        <v>2512</v>
      </c>
      <c r="I474" s="5">
        <v>4.0</v>
      </c>
      <c r="J474" s="5">
        <v>0.0</v>
      </c>
      <c r="K474" s="5">
        <v>0.0</v>
      </c>
    </row>
    <row r="475" ht="15.75" customHeight="1">
      <c r="A475" s="4" t="s">
        <v>2513</v>
      </c>
      <c r="B475" s="11" t="s">
        <v>2514</v>
      </c>
      <c r="C475" s="4" t="s">
        <v>1061</v>
      </c>
      <c r="D475" s="12" t="s">
        <v>467</v>
      </c>
      <c r="E475" s="13" t="s">
        <v>53</v>
      </c>
      <c r="F475" s="5" t="s">
        <v>469</v>
      </c>
      <c r="G475" s="5" t="b">
        <v>0</v>
      </c>
      <c r="I475" s="5">
        <v>4.0</v>
      </c>
      <c r="J475" s="5">
        <v>0.0</v>
      </c>
      <c r="K475" s="5">
        <v>0.0</v>
      </c>
    </row>
    <row r="476" ht="15.75" customHeight="1">
      <c r="A476" s="4" t="s">
        <v>2515</v>
      </c>
      <c r="B476" s="11" t="s">
        <v>2516</v>
      </c>
      <c r="C476" s="4" t="s">
        <v>315</v>
      </c>
      <c r="D476" s="12" t="s">
        <v>261</v>
      </c>
      <c r="E476" s="13" t="s">
        <v>678</v>
      </c>
      <c r="F476" s="5" t="s">
        <v>263</v>
      </c>
      <c r="G476" s="5" t="b">
        <v>0</v>
      </c>
      <c r="I476" s="5">
        <v>4.0</v>
      </c>
      <c r="J476" s="5">
        <v>0.0</v>
      </c>
      <c r="K476" s="5">
        <v>2.0</v>
      </c>
    </row>
    <row r="477" ht="15.75" customHeight="1">
      <c r="A477" s="4" t="s">
        <v>2517</v>
      </c>
      <c r="B477" s="11" t="s">
        <v>2518</v>
      </c>
      <c r="C477" s="4" t="s">
        <v>1063</v>
      </c>
      <c r="D477" s="12" t="s">
        <v>29</v>
      </c>
      <c r="E477" s="13" t="s">
        <v>53</v>
      </c>
      <c r="F477" s="5" t="s">
        <v>31</v>
      </c>
      <c r="G477" s="5" t="b">
        <v>0</v>
      </c>
      <c r="H477" s="5" t="s">
        <v>2519</v>
      </c>
      <c r="I477" s="5">
        <v>4.0</v>
      </c>
      <c r="J477" s="5">
        <v>0.0</v>
      </c>
      <c r="K477" s="5">
        <v>0.5</v>
      </c>
    </row>
    <row r="478" ht="15.75" customHeight="1">
      <c r="A478" s="4" t="s">
        <v>2520</v>
      </c>
      <c r="B478" s="11" t="s">
        <v>2521</v>
      </c>
      <c r="C478" s="4" t="s">
        <v>228</v>
      </c>
      <c r="D478" s="12" t="s">
        <v>670</v>
      </c>
      <c r="E478" s="13" t="s">
        <v>30</v>
      </c>
      <c r="F478" s="5" t="s">
        <v>671</v>
      </c>
      <c r="G478" s="5" t="b">
        <v>0</v>
      </c>
      <c r="H478" s="5" t="s">
        <v>2522</v>
      </c>
      <c r="I478" s="5">
        <v>4.0</v>
      </c>
      <c r="J478" s="5">
        <v>0.0</v>
      </c>
      <c r="K478" s="5">
        <v>0.75</v>
      </c>
    </row>
    <row r="479" ht="15.75" customHeight="1">
      <c r="A479" s="4" t="s">
        <v>2523</v>
      </c>
      <c r="B479" s="11" t="s">
        <v>2524</v>
      </c>
      <c r="C479" s="4" t="s">
        <v>116</v>
      </c>
      <c r="D479" s="12" t="s">
        <v>670</v>
      </c>
      <c r="E479" s="13" t="s">
        <v>30</v>
      </c>
      <c r="F479" s="5" t="s">
        <v>671</v>
      </c>
      <c r="G479" s="5" t="b">
        <v>0</v>
      </c>
      <c r="H479" s="5" t="s">
        <v>2525</v>
      </c>
      <c r="I479" s="5">
        <v>4.0</v>
      </c>
      <c r="J479" s="5">
        <v>0.0</v>
      </c>
      <c r="K479" s="5">
        <v>1.0</v>
      </c>
    </row>
    <row r="480" ht="15.75" customHeight="1">
      <c r="A480" s="4" t="s">
        <v>2526</v>
      </c>
      <c r="B480" s="11" t="s">
        <v>2527</v>
      </c>
      <c r="C480" s="4" t="s">
        <v>1069</v>
      </c>
      <c r="D480" s="12" t="s">
        <v>126</v>
      </c>
      <c r="E480" s="13" t="s">
        <v>53</v>
      </c>
      <c r="F480" s="5" t="s">
        <v>127</v>
      </c>
      <c r="G480" s="5" t="b">
        <v>0</v>
      </c>
      <c r="H480" s="5" t="s">
        <v>396</v>
      </c>
      <c r="I480" s="5">
        <v>4.0</v>
      </c>
      <c r="J480" s="5">
        <v>0.0</v>
      </c>
      <c r="K480" s="5">
        <v>0.5</v>
      </c>
    </row>
    <row r="481" ht="15.75" customHeight="1">
      <c r="A481" s="4" t="s">
        <v>2528</v>
      </c>
      <c r="B481" s="13"/>
      <c r="C481" s="4" t="s">
        <v>1083</v>
      </c>
      <c r="D481" s="12" t="s">
        <v>467</v>
      </c>
      <c r="E481" s="13" t="s">
        <v>53</v>
      </c>
      <c r="F481" s="5" t="s">
        <v>469</v>
      </c>
      <c r="H481" s="5" t="s">
        <v>233</v>
      </c>
      <c r="I481" s="5">
        <v>3.0</v>
      </c>
      <c r="J481" s="5">
        <v>0.0</v>
      </c>
      <c r="K481" s="5">
        <v>1.0</v>
      </c>
    </row>
    <row r="482" ht="15.75" customHeight="1">
      <c r="A482" s="4" t="s">
        <v>2529</v>
      </c>
      <c r="B482" s="11" t="s">
        <v>2530</v>
      </c>
      <c r="C482" s="4" t="s">
        <v>1086</v>
      </c>
      <c r="D482" s="12" t="s">
        <v>297</v>
      </c>
      <c r="E482" s="13" t="s">
        <v>53</v>
      </c>
      <c r="F482" s="5" t="s">
        <v>298</v>
      </c>
      <c r="G482" s="5" t="b">
        <v>0</v>
      </c>
      <c r="I482" s="5">
        <v>3.0</v>
      </c>
      <c r="J482" s="5">
        <v>0.0</v>
      </c>
      <c r="K482" s="5">
        <v>1.0</v>
      </c>
    </row>
    <row r="483" ht="15.75" customHeight="1">
      <c r="A483" s="4" t="s">
        <v>2531</v>
      </c>
      <c r="B483" s="11" t="s">
        <v>2532</v>
      </c>
      <c r="C483" s="4" t="s">
        <v>544</v>
      </c>
      <c r="D483" s="12" t="s">
        <v>670</v>
      </c>
      <c r="E483" s="13" t="s">
        <v>53</v>
      </c>
      <c r="F483" s="5" t="s">
        <v>671</v>
      </c>
      <c r="G483" s="5" t="b">
        <v>0</v>
      </c>
      <c r="H483" s="5" t="s">
        <v>396</v>
      </c>
      <c r="I483" s="5">
        <v>3.0</v>
      </c>
      <c r="J483" s="5">
        <v>0.0</v>
      </c>
      <c r="K483" s="5">
        <v>1.0</v>
      </c>
    </row>
    <row r="484" ht="15.75" customHeight="1">
      <c r="A484" s="4" t="s">
        <v>2533</v>
      </c>
      <c r="B484" s="11" t="s">
        <v>2534</v>
      </c>
      <c r="C484" s="4" t="s">
        <v>35</v>
      </c>
      <c r="D484" s="12" t="s">
        <v>52</v>
      </c>
      <c r="E484" s="13" t="s">
        <v>53</v>
      </c>
      <c r="F484" s="5" t="s">
        <v>54</v>
      </c>
      <c r="G484" s="5" t="b">
        <v>0</v>
      </c>
      <c r="H484" s="5" t="s">
        <v>2535</v>
      </c>
      <c r="I484" s="5">
        <v>3.0</v>
      </c>
      <c r="J484" s="5">
        <v>0.0</v>
      </c>
      <c r="K484" s="5">
        <v>0.0</v>
      </c>
    </row>
    <row r="485" ht="15.75" customHeight="1">
      <c r="A485" s="4" t="s">
        <v>2536</v>
      </c>
      <c r="B485" s="11" t="s">
        <v>2537</v>
      </c>
      <c r="C485" s="4" t="s">
        <v>915</v>
      </c>
      <c r="D485" s="12" t="s">
        <v>52</v>
      </c>
      <c r="E485" s="13" t="s">
        <v>93</v>
      </c>
      <c r="F485" s="5" t="s">
        <v>54</v>
      </c>
      <c r="G485" s="5" t="b">
        <v>0</v>
      </c>
      <c r="I485" s="5">
        <v>3.0</v>
      </c>
      <c r="J485" s="5">
        <v>0.0</v>
      </c>
      <c r="K485" s="5">
        <v>0.0</v>
      </c>
    </row>
    <row r="486" ht="15.75" customHeight="1">
      <c r="A486" s="4" t="s">
        <v>2538</v>
      </c>
      <c r="B486" s="13"/>
      <c r="C486" s="4" t="s">
        <v>1088</v>
      </c>
      <c r="D486" s="12" t="s">
        <v>467</v>
      </c>
      <c r="E486" s="13" t="s">
        <v>53</v>
      </c>
      <c r="F486" s="5" t="s">
        <v>469</v>
      </c>
      <c r="H486" s="5" t="s">
        <v>233</v>
      </c>
      <c r="I486" s="5">
        <v>3.0</v>
      </c>
      <c r="J486" s="5">
        <v>0.0</v>
      </c>
      <c r="K486" s="5">
        <v>2.33</v>
      </c>
    </row>
    <row r="487" ht="15.75" customHeight="1">
      <c r="A487" s="4" t="s">
        <v>2539</v>
      </c>
      <c r="B487" s="11" t="s">
        <v>2540</v>
      </c>
      <c r="C487" s="4" t="s">
        <v>1090</v>
      </c>
      <c r="D487" s="12" t="s">
        <v>29</v>
      </c>
      <c r="E487" s="13" t="s">
        <v>84</v>
      </c>
      <c r="F487" s="5" t="s">
        <v>31</v>
      </c>
      <c r="G487" s="5" t="b">
        <v>0</v>
      </c>
      <c r="I487" s="5">
        <v>3.0</v>
      </c>
      <c r="J487" s="5">
        <v>0.0</v>
      </c>
      <c r="K487" s="5">
        <v>0.0</v>
      </c>
    </row>
    <row r="488" ht="15.75" customHeight="1">
      <c r="A488" s="4" t="s">
        <v>2541</v>
      </c>
      <c r="B488" s="11" t="s">
        <v>2542</v>
      </c>
      <c r="C488" s="4" t="s">
        <v>1092</v>
      </c>
      <c r="D488" s="12" t="s">
        <v>261</v>
      </c>
      <c r="E488" s="13" t="s">
        <v>678</v>
      </c>
      <c r="F488" s="5" t="s">
        <v>263</v>
      </c>
      <c r="G488" s="5" t="b">
        <v>0</v>
      </c>
      <c r="I488" s="5">
        <v>3.0</v>
      </c>
      <c r="J488" s="5">
        <v>0.0</v>
      </c>
      <c r="K488" s="5">
        <v>1.67</v>
      </c>
    </row>
    <row r="489" ht="15.75" customHeight="1">
      <c r="A489" s="4" t="s">
        <v>2543</v>
      </c>
      <c r="B489" s="11" t="s">
        <v>2544</v>
      </c>
      <c r="C489" s="4" t="s">
        <v>1001</v>
      </c>
      <c r="D489" s="12" t="s">
        <v>29</v>
      </c>
      <c r="E489" s="13" t="s">
        <v>2235</v>
      </c>
      <c r="F489" s="5" t="s">
        <v>31</v>
      </c>
      <c r="G489" s="5" t="b">
        <v>0</v>
      </c>
      <c r="H489" s="5" t="s">
        <v>2545</v>
      </c>
      <c r="I489" s="5">
        <v>3.0</v>
      </c>
      <c r="J489" s="5">
        <v>0.0</v>
      </c>
      <c r="K489" s="5">
        <v>0.0</v>
      </c>
    </row>
    <row r="490" ht="15.75" customHeight="1">
      <c r="A490" s="4" t="s">
        <v>2546</v>
      </c>
      <c r="B490" s="11" t="s">
        <v>2547</v>
      </c>
      <c r="C490" s="4" t="s">
        <v>1097</v>
      </c>
      <c r="D490" s="12" t="s">
        <v>29</v>
      </c>
      <c r="E490" s="13" t="s">
        <v>678</v>
      </c>
      <c r="F490" s="5" t="s">
        <v>31</v>
      </c>
      <c r="G490" s="5" t="b">
        <v>0</v>
      </c>
      <c r="H490" s="5" t="s">
        <v>1099</v>
      </c>
      <c r="I490" s="5">
        <v>3.0</v>
      </c>
      <c r="J490" s="5">
        <v>0.0</v>
      </c>
      <c r="K490" s="5">
        <v>0.0</v>
      </c>
    </row>
    <row r="491" ht="15.75" customHeight="1">
      <c r="A491" s="4" t="s">
        <v>2548</v>
      </c>
      <c r="B491" s="11" t="s">
        <v>2549</v>
      </c>
      <c r="C491" s="4" t="s">
        <v>1100</v>
      </c>
      <c r="D491" s="12" t="s">
        <v>467</v>
      </c>
      <c r="E491" s="13" t="s">
        <v>53</v>
      </c>
      <c r="F491" s="5" t="s">
        <v>469</v>
      </c>
      <c r="G491" s="5" t="b">
        <v>0</v>
      </c>
      <c r="I491" s="5">
        <v>3.0</v>
      </c>
      <c r="J491" s="5">
        <v>0.0</v>
      </c>
      <c r="K491" s="5">
        <v>1.0</v>
      </c>
    </row>
    <row r="492" ht="15.75" customHeight="1">
      <c r="A492" s="4" t="s">
        <v>2550</v>
      </c>
      <c r="B492" s="11" t="s">
        <v>2551</v>
      </c>
      <c r="C492" s="4" t="s">
        <v>445</v>
      </c>
      <c r="D492" s="12" t="s">
        <v>467</v>
      </c>
      <c r="E492" s="13" t="s">
        <v>53</v>
      </c>
      <c r="F492" s="5" t="s">
        <v>469</v>
      </c>
      <c r="G492" s="5" t="b">
        <v>0</v>
      </c>
      <c r="H492" s="5" t="s">
        <v>2156</v>
      </c>
      <c r="I492" s="5">
        <v>3.0</v>
      </c>
      <c r="J492" s="5">
        <v>0.0</v>
      </c>
      <c r="K492" s="5">
        <v>1.0</v>
      </c>
    </row>
    <row r="493" ht="15.75" customHeight="1">
      <c r="A493" s="4" t="s">
        <v>2552</v>
      </c>
      <c r="B493" s="11" t="s">
        <v>2553</v>
      </c>
      <c r="C493" s="4" t="s">
        <v>1184</v>
      </c>
      <c r="D493" s="12" t="s">
        <v>29</v>
      </c>
      <c r="E493" s="13" t="s">
        <v>53</v>
      </c>
      <c r="F493" s="5" t="s">
        <v>31</v>
      </c>
      <c r="G493" s="5" t="b">
        <v>0</v>
      </c>
      <c r="H493" s="5" t="s">
        <v>2554</v>
      </c>
      <c r="I493" s="5">
        <v>3.0</v>
      </c>
      <c r="J493" s="5">
        <v>0.0</v>
      </c>
      <c r="K493" s="5">
        <v>0.67</v>
      </c>
    </row>
    <row r="494" ht="15.75" customHeight="1">
      <c r="A494" s="4" t="s">
        <v>2555</v>
      </c>
      <c r="B494" s="11" t="s">
        <v>2556</v>
      </c>
      <c r="C494" s="4" t="s">
        <v>1102</v>
      </c>
      <c r="D494" s="12" t="s">
        <v>126</v>
      </c>
      <c r="E494" s="13" t="s">
        <v>53</v>
      </c>
      <c r="F494" s="5" t="s">
        <v>127</v>
      </c>
      <c r="G494" s="5" t="b">
        <v>0</v>
      </c>
      <c r="H494" s="5" t="s">
        <v>2557</v>
      </c>
      <c r="I494" s="5">
        <v>3.0</v>
      </c>
      <c r="J494" s="5">
        <v>0.0</v>
      </c>
      <c r="K494" s="5">
        <v>1.0</v>
      </c>
    </row>
    <row r="495" ht="15.75" customHeight="1">
      <c r="A495" s="4" t="s">
        <v>2558</v>
      </c>
      <c r="B495" s="11" t="s">
        <v>2559</v>
      </c>
      <c r="C495" s="4" t="s">
        <v>400</v>
      </c>
      <c r="D495" s="12" t="s">
        <v>29</v>
      </c>
      <c r="E495" s="13" t="s">
        <v>81</v>
      </c>
      <c r="F495" s="5" t="s">
        <v>31</v>
      </c>
      <c r="G495" s="5" t="b">
        <v>0</v>
      </c>
      <c r="H495" s="5" t="s">
        <v>2560</v>
      </c>
      <c r="I495" s="5">
        <v>3.0</v>
      </c>
      <c r="J495" s="5">
        <v>0.0</v>
      </c>
      <c r="K495" s="5">
        <v>1.67</v>
      </c>
    </row>
    <row r="496" ht="15.75" customHeight="1">
      <c r="A496" s="4" t="s">
        <v>2561</v>
      </c>
      <c r="B496" s="11" t="s">
        <v>2562</v>
      </c>
      <c r="C496" s="4" t="s">
        <v>92</v>
      </c>
      <c r="D496" s="12" t="s">
        <v>126</v>
      </c>
      <c r="E496" s="13" t="s">
        <v>84</v>
      </c>
      <c r="F496" s="5" t="s">
        <v>127</v>
      </c>
      <c r="G496" s="5" t="b">
        <v>0</v>
      </c>
      <c r="H496" s="5" t="s">
        <v>2563</v>
      </c>
      <c r="I496" s="5">
        <v>3.0</v>
      </c>
      <c r="J496" s="5">
        <v>0.0</v>
      </c>
      <c r="K496" s="5">
        <v>0.0</v>
      </c>
    </row>
    <row r="497" ht="15.75" customHeight="1">
      <c r="A497" s="4" t="s">
        <v>2564</v>
      </c>
      <c r="B497" s="11" t="s">
        <v>2565</v>
      </c>
      <c r="C497" s="4" t="s">
        <v>1105</v>
      </c>
      <c r="D497" s="12" t="s">
        <v>29</v>
      </c>
      <c r="E497" s="13" t="s">
        <v>53</v>
      </c>
      <c r="F497" s="5" t="s">
        <v>31</v>
      </c>
      <c r="G497" s="5" t="b">
        <v>0</v>
      </c>
      <c r="H497" s="5" t="s">
        <v>2566</v>
      </c>
      <c r="I497" s="5">
        <v>3.0</v>
      </c>
      <c r="J497" s="5">
        <v>0.0</v>
      </c>
      <c r="K497" s="5">
        <v>1.0</v>
      </c>
    </row>
    <row r="498" ht="15.75" customHeight="1">
      <c r="A498" s="4" t="s">
        <v>2567</v>
      </c>
      <c r="B498" s="11" t="s">
        <v>2568</v>
      </c>
      <c r="C498" s="4" t="s">
        <v>1109</v>
      </c>
      <c r="D498" s="12" t="s">
        <v>29</v>
      </c>
      <c r="E498" s="13" t="s">
        <v>53</v>
      </c>
      <c r="F498" s="5" t="s">
        <v>31</v>
      </c>
      <c r="G498" s="5" t="b">
        <v>0</v>
      </c>
      <c r="H498" s="5" t="s">
        <v>1111</v>
      </c>
      <c r="I498" s="5">
        <v>3.0</v>
      </c>
      <c r="J498" s="5">
        <v>0.0</v>
      </c>
      <c r="K498" s="5">
        <v>0.67</v>
      </c>
    </row>
    <row r="499" ht="15.75" customHeight="1">
      <c r="A499" s="4" t="s">
        <v>2569</v>
      </c>
      <c r="B499" s="11" t="s">
        <v>2570</v>
      </c>
      <c r="C499" s="4" t="s">
        <v>1112</v>
      </c>
      <c r="D499" s="12" t="s">
        <v>126</v>
      </c>
      <c r="E499" s="13" t="s">
        <v>53</v>
      </c>
      <c r="F499" s="5" t="s">
        <v>127</v>
      </c>
      <c r="G499" s="5" t="b">
        <v>0</v>
      </c>
      <c r="H499" s="5" t="s">
        <v>1017</v>
      </c>
      <c r="I499" s="5">
        <v>3.0</v>
      </c>
      <c r="J499" s="5">
        <v>0.0</v>
      </c>
      <c r="K499" s="5">
        <v>0.67</v>
      </c>
    </row>
    <row r="500" ht="15.75" customHeight="1">
      <c r="A500" s="4" t="s">
        <v>2571</v>
      </c>
      <c r="B500" s="11" t="s">
        <v>2572</v>
      </c>
      <c r="C500" s="4" t="s">
        <v>47</v>
      </c>
      <c r="D500" s="12" t="s">
        <v>29</v>
      </c>
      <c r="E500" s="13" t="s">
        <v>30</v>
      </c>
      <c r="F500" s="5" t="s">
        <v>31</v>
      </c>
      <c r="G500" s="5" t="b">
        <v>0</v>
      </c>
      <c r="H500" s="5" t="s">
        <v>2573</v>
      </c>
      <c r="I500" s="5">
        <v>3.0</v>
      </c>
      <c r="J500" s="5">
        <v>0.0</v>
      </c>
      <c r="K500" s="5">
        <v>0.0</v>
      </c>
    </row>
    <row r="501" ht="15.75" customHeight="1">
      <c r="A501" s="4" t="s">
        <v>2574</v>
      </c>
      <c r="B501" s="11" t="s">
        <v>2575</v>
      </c>
      <c r="C501" s="4" t="s">
        <v>47</v>
      </c>
      <c r="D501" s="12" t="s">
        <v>29</v>
      </c>
      <c r="E501" s="13" t="s">
        <v>30</v>
      </c>
      <c r="F501" s="5" t="s">
        <v>31</v>
      </c>
      <c r="G501" s="5" t="b">
        <v>0</v>
      </c>
      <c r="H501" s="5" t="s">
        <v>2576</v>
      </c>
      <c r="I501" s="5">
        <v>3.0</v>
      </c>
      <c r="J501" s="5">
        <v>0.0</v>
      </c>
      <c r="K501" s="5">
        <v>2.33</v>
      </c>
    </row>
    <row r="502" ht="15.75" customHeight="1">
      <c r="A502" s="4" t="s">
        <v>2577</v>
      </c>
      <c r="B502" s="11" t="s">
        <v>2223</v>
      </c>
      <c r="C502" s="4" t="s">
        <v>18</v>
      </c>
      <c r="D502" s="12" t="s">
        <v>52</v>
      </c>
      <c r="E502" s="13" t="s">
        <v>53</v>
      </c>
      <c r="F502" s="5" t="s">
        <v>54</v>
      </c>
      <c r="G502" s="5" t="b">
        <v>0</v>
      </c>
      <c r="H502" s="5" t="s">
        <v>661</v>
      </c>
      <c r="I502" s="5">
        <v>3.0</v>
      </c>
      <c r="J502" s="5">
        <v>0.0</v>
      </c>
      <c r="K502" s="5">
        <v>0.0</v>
      </c>
    </row>
    <row r="503" ht="15.75" customHeight="1">
      <c r="A503" s="4" t="s">
        <v>2578</v>
      </c>
      <c r="B503" s="11" t="s">
        <v>2579</v>
      </c>
      <c r="C503" s="4" t="s">
        <v>1115</v>
      </c>
      <c r="D503" s="12" t="s">
        <v>29</v>
      </c>
      <c r="E503" s="13" t="s">
        <v>2235</v>
      </c>
      <c r="F503" s="5" t="s">
        <v>31</v>
      </c>
      <c r="G503" s="5" t="b">
        <v>0</v>
      </c>
      <c r="H503" s="5" t="s">
        <v>2580</v>
      </c>
      <c r="I503" s="5">
        <v>3.0</v>
      </c>
      <c r="J503" s="5">
        <v>0.0</v>
      </c>
      <c r="K503" s="5">
        <v>0.0</v>
      </c>
    </row>
    <row r="504" ht="15.75" customHeight="1">
      <c r="A504" s="4" t="s">
        <v>2581</v>
      </c>
      <c r="B504" s="11" t="s">
        <v>2582</v>
      </c>
      <c r="C504" s="4" t="s">
        <v>559</v>
      </c>
      <c r="D504" s="12" t="s">
        <v>126</v>
      </c>
      <c r="E504" s="13" t="s">
        <v>30</v>
      </c>
      <c r="F504" s="5" t="s">
        <v>127</v>
      </c>
      <c r="G504" s="5" t="b">
        <v>0</v>
      </c>
      <c r="H504" s="5" t="s">
        <v>560</v>
      </c>
      <c r="I504" s="5">
        <v>3.0</v>
      </c>
      <c r="J504" s="5">
        <v>0.0</v>
      </c>
      <c r="K504" s="5">
        <v>2.67</v>
      </c>
    </row>
    <row r="505" ht="15.75" customHeight="1">
      <c r="A505" s="4" t="s">
        <v>2583</v>
      </c>
      <c r="B505" s="11" t="s">
        <v>2584</v>
      </c>
      <c r="C505" s="4" t="s">
        <v>559</v>
      </c>
      <c r="D505" s="12" t="s">
        <v>84</v>
      </c>
      <c r="E505" s="13" t="s">
        <v>30</v>
      </c>
      <c r="F505" s="5" t="s">
        <v>85</v>
      </c>
      <c r="G505" s="5" t="b">
        <v>0</v>
      </c>
      <c r="H505" s="5" t="s">
        <v>2585</v>
      </c>
      <c r="I505" s="5">
        <v>3.0</v>
      </c>
      <c r="J505" s="5">
        <v>0.0</v>
      </c>
      <c r="K505" s="5">
        <v>1.33</v>
      </c>
    </row>
    <row r="506" ht="15.75" customHeight="1">
      <c r="A506" s="4" t="s">
        <v>2586</v>
      </c>
      <c r="B506" s="11" t="s">
        <v>2587</v>
      </c>
      <c r="C506" s="4" t="s">
        <v>339</v>
      </c>
      <c r="D506" s="12" t="s">
        <v>297</v>
      </c>
      <c r="E506" s="13" t="s">
        <v>53</v>
      </c>
      <c r="F506" s="5" t="s">
        <v>298</v>
      </c>
      <c r="G506" s="5" t="b">
        <v>0</v>
      </c>
      <c r="H506" s="5" t="s">
        <v>342</v>
      </c>
      <c r="I506" s="5">
        <v>3.0</v>
      </c>
      <c r="J506" s="5">
        <v>0.0</v>
      </c>
      <c r="K506" s="5">
        <v>0.0</v>
      </c>
    </row>
    <row r="507" ht="15.75" customHeight="1">
      <c r="A507" s="4" t="s">
        <v>2588</v>
      </c>
      <c r="B507" s="11" t="s">
        <v>2589</v>
      </c>
      <c r="C507" s="4" t="s">
        <v>613</v>
      </c>
      <c r="D507" s="12" t="s">
        <v>126</v>
      </c>
      <c r="E507" s="13" t="s">
        <v>30</v>
      </c>
      <c r="F507" s="5" t="s">
        <v>127</v>
      </c>
      <c r="G507" s="5" t="b">
        <v>0</v>
      </c>
      <c r="H507" s="5" t="s">
        <v>2590</v>
      </c>
      <c r="I507" s="5">
        <v>3.0</v>
      </c>
      <c r="J507" s="5">
        <v>0.0</v>
      </c>
      <c r="K507" s="5">
        <v>0.0</v>
      </c>
    </row>
    <row r="508" ht="15.75" customHeight="1">
      <c r="A508" s="4" t="s">
        <v>2591</v>
      </c>
      <c r="B508" s="11" t="s">
        <v>2592</v>
      </c>
      <c r="C508" s="4" t="s">
        <v>50</v>
      </c>
      <c r="D508" s="12" t="s">
        <v>126</v>
      </c>
      <c r="E508" s="13" t="s">
        <v>53</v>
      </c>
      <c r="F508" s="5" t="s">
        <v>127</v>
      </c>
      <c r="G508" s="5" t="b">
        <v>0</v>
      </c>
      <c r="H508" s="5" t="s">
        <v>396</v>
      </c>
      <c r="I508" s="5">
        <v>3.0</v>
      </c>
      <c r="J508" s="5">
        <v>0.0</v>
      </c>
      <c r="K508" s="5">
        <v>1.0</v>
      </c>
    </row>
    <row r="509" ht="15.75" customHeight="1">
      <c r="A509" s="4" t="s">
        <v>2593</v>
      </c>
      <c r="B509" s="11" t="s">
        <v>2594</v>
      </c>
      <c r="C509" s="4" t="s">
        <v>50</v>
      </c>
      <c r="D509" s="12" t="s">
        <v>84</v>
      </c>
      <c r="E509" s="13" t="s">
        <v>53</v>
      </c>
      <c r="F509" s="5" t="s">
        <v>85</v>
      </c>
      <c r="G509" s="5" t="b">
        <v>0</v>
      </c>
      <c r="H509" s="5" t="s">
        <v>1037</v>
      </c>
      <c r="I509" s="5">
        <v>3.0</v>
      </c>
      <c r="J509" s="5">
        <v>0.0</v>
      </c>
      <c r="K509" s="5">
        <v>1.33</v>
      </c>
    </row>
    <row r="510" ht="15.75" customHeight="1">
      <c r="A510" s="4" t="s">
        <v>2595</v>
      </c>
      <c r="B510" s="11" t="s">
        <v>2596</v>
      </c>
      <c r="C510" s="4" t="s">
        <v>50</v>
      </c>
      <c r="D510" s="12" t="s">
        <v>126</v>
      </c>
      <c r="E510" s="13" t="s">
        <v>53</v>
      </c>
      <c r="F510" s="5" t="s">
        <v>127</v>
      </c>
      <c r="G510" s="5" t="b">
        <v>0</v>
      </c>
      <c r="H510" s="5" t="s">
        <v>396</v>
      </c>
      <c r="I510" s="5">
        <v>3.0</v>
      </c>
      <c r="J510" s="5">
        <v>0.0</v>
      </c>
      <c r="K510" s="5">
        <v>1.0</v>
      </c>
    </row>
    <row r="511" ht="15.75" customHeight="1">
      <c r="A511" s="4" t="s">
        <v>2597</v>
      </c>
      <c r="B511" s="11" t="s">
        <v>2598</v>
      </c>
      <c r="C511" s="4" t="s">
        <v>617</v>
      </c>
      <c r="D511" s="12" t="s">
        <v>261</v>
      </c>
      <c r="E511" s="13" t="s">
        <v>678</v>
      </c>
      <c r="F511" s="5" t="s">
        <v>263</v>
      </c>
      <c r="G511" s="5" t="b">
        <v>0</v>
      </c>
      <c r="H511" s="5" t="s">
        <v>1463</v>
      </c>
      <c r="I511" s="5">
        <v>3.0</v>
      </c>
      <c r="J511" s="5">
        <v>0.0</v>
      </c>
      <c r="K511" s="5">
        <v>1.67</v>
      </c>
    </row>
    <row r="512" ht="15.75" customHeight="1">
      <c r="A512" s="4" t="s">
        <v>2599</v>
      </c>
      <c r="B512" s="11" t="s">
        <v>2600</v>
      </c>
      <c r="C512" s="4" t="s">
        <v>1125</v>
      </c>
      <c r="D512" s="12" t="s">
        <v>467</v>
      </c>
      <c r="E512" s="13" t="s">
        <v>53</v>
      </c>
      <c r="F512" s="5" t="s">
        <v>469</v>
      </c>
      <c r="G512" s="5" t="b">
        <v>0</v>
      </c>
      <c r="H512" s="5" t="s">
        <v>396</v>
      </c>
      <c r="I512" s="5">
        <v>3.0</v>
      </c>
      <c r="J512" s="5">
        <v>0.0</v>
      </c>
      <c r="K512" s="5">
        <v>0.0</v>
      </c>
    </row>
    <row r="513" ht="15.75" customHeight="1">
      <c r="A513" s="4" t="s">
        <v>2601</v>
      </c>
      <c r="B513" s="11" t="s">
        <v>2602</v>
      </c>
      <c r="C513" s="4" t="s">
        <v>1127</v>
      </c>
      <c r="D513" s="12" t="s">
        <v>670</v>
      </c>
      <c r="E513" s="13" t="s">
        <v>53</v>
      </c>
      <c r="F513" s="5" t="s">
        <v>671</v>
      </c>
      <c r="G513" s="5" t="b">
        <v>0</v>
      </c>
      <c r="H513" s="5" t="s">
        <v>1128</v>
      </c>
      <c r="I513" s="5">
        <v>3.0</v>
      </c>
      <c r="J513" s="5">
        <v>0.0</v>
      </c>
      <c r="K513" s="5">
        <v>0.33</v>
      </c>
    </row>
    <row r="514" ht="15.75" customHeight="1">
      <c r="A514" s="4" t="s">
        <v>2603</v>
      </c>
      <c r="B514" s="11" t="s">
        <v>2604</v>
      </c>
      <c r="C514" s="4" t="s">
        <v>1078</v>
      </c>
      <c r="D514" s="12" t="s">
        <v>84</v>
      </c>
      <c r="E514" s="13" t="s">
        <v>84</v>
      </c>
      <c r="F514" s="5" t="s">
        <v>85</v>
      </c>
      <c r="H514" s="5" t="s">
        <v>233</v>
      </c>
      <c r="I514" s="5">
        <v>3.0</v>
      </c>
      <c r="J514" s="5">
        <v>0.0</v>
      </c>
      <c r="K514" s="5">
        <v>1.33</v>
      </c>
    </row>
    <row r="515" ht="15.75" customHeight="1">
      <c r="A515" s="4" t="s">
        <v>2605</v>
      </c>
      <c r="B515" s="11" t="s">
        <v>2279</v>
      </c>
      <c r="C515" s="4" t="s">
        <v>187</v>
      </c>
      <c r="D515" s="12" t="s">
        <v>52</v>
      </c>
      <c r="E515" s="13" t="s">
        <v>81</v>
      </c>
      <c r="F515" s="5" t="s">
        <v>54</v>
      </c>
      <c r="G515" s="5" t="b">
        <v>0</v>
      </c>
      <c r="H515" s="5" t="s">
        <v>1586</v>
      </c>
      <c r="I515" s="5">
        <v>3.0</v>
      </c>
      <c r="J515" s="5">
        <v>0.0</v>
      </c>
      <c r="K515" s="5">
        <v>0.0</v>
      </c>
    </row>
    <row r="516" ht="15.75" customHeight="1">
      <c r="A516" s="4" t="s">
        <v>2606</v>
      </c>
      <c r="B516" s="11" t="s">
        <v>666</v>
      </c>
      <c r="C516" s="4" t="s">
        <v>187</v>
      </c>
      <c r="D516" s="12" t="s">
        <v>84</v>
      </c>
      <c r="E516" s="13" t="s">
        <v>81</v>
      </c>
      <c r="F516" s="5" t="s">
        <v>85</v>
      </c>
      <c r="G516" s="5" t="b">
        <v>0</v>
      </c>
      <c r="H516" s="5" t="s">
        <v>2607</v>
      </c>
      <c r="I516" s="5">
        <v>3.0</v>
      </c>
      <c r="J516" s="5">
        <v>0.0</v>
      </c>
      <c r="K516" s="5">
        <v>0.0</v>
      </c>
    </row>
    <row r="517" ht="15.75" customHeight="1">
      <c r="A517" s="4" t="s">
        <v>2608</v>
      </c>
      <c r="B517" s="11" t="s">
        <v>2609</v>
      </c>
      <c r="C517" s="4" t="s">
        <v>92</v>
      </c>
      <c r="D517" s="12" t="s">
        <v>52</v>
      </c>
      <c r="E517" s="13" t="s">
        <v>84</v>
      </c>
      <c r="F517" s="5" t="s">
        <v>54</v>
      </c>
      <c r="G517" s="5" t="b">
        <v>0</v>
      </c>
      <c r="H517" s="5" t="s">
        <v>396</v>
      </c>
      <c r="I517" s="5">
        <v>3.0</v>
      </c>
      <c r="J517" s="5">
        <v>0.0</v>
      </c>
      <c r="K517" s="5">
        <v>0.0</v>
      </c>
    </row>
    <row r="518" ht="15.75" customHeight="1">
      <c r="A518" s="4" t="s">
        <v>2610</v>
      </c>
      <c r="B518" s="11" t="s">
        <v>2611</v>
      </c>
      <c r="C518" s="4" t="s">
        <v>1018</v>
      </c>
      <c r="D518" s="12" t="s">
        <v>29</v>
      </c>
      <c r="E518" s="13" t="s">
        <v>53</v>
      </c>
      <c r="F518" s="5" t="s">
        <v>31</v>
      </c>
      <c r="G518" s="5" t="b">
        <v>0</v>
      </c>
      <c r="H518" s="5" t="s">
        <v>2612</v>
      </c>
      <c r="I518" s="5">
        <v>3.0</v>
      </c>
      <c r="J518" s="5">
        <v>0.0</v>
      </c>
      <c r="K518" s="5">
        <v>1.0</v>
      </c>
    </row>
    <row r="519" ht="15.75" customHeight="1">
      <c r="A519" s="4" t="s">
        <v>2613</v>
      </c>
      <c r="B519" s="11" t="s">
        <v>2614</v>
      </c>
      <c r="C519" s="4" t="s">
        <v>1022</v>
      </c>
      <c r="D519" s="12" t="s">
        <v>261</v>
      </c>
      <c r="E519" s="13" t="s">
        <v>53</v>
      </c>
      <c r="F519" s="5" t="s">
        <v>263</v>
      </c>
      <c r="G519" s="5" t="b">
        <v>0</v>
      </c>
      <c r="H519" s="5" t="s">
        <v>649</v>
      </c>
      <c r="I519" s="5">
        <v>3.0</v>
      </c>
      <c r="J519" s="5">
        <v>0.0</v>
      </c>
      <c r="K519" s="5">
        <v>0.0</v>
      </c>
    </row>
    <row r="520" ht="15.75" customHeight="1">
      <c r="A520" s="4" t="s">
        <v>2615</v>
      </c>
      <c r="B520" s="11" t="s">
        <v>2616</v>
      </c>
      <c r="C520" s="4" t="s">
        <v>1130</v>
      </c>
      <c r="D520" s="12" t="s">
        <v>29</v>
      </c>
      <c r="E520" s="13" t="s">
        <v>53</v>
      </c>
      <c r="F520" s="5" t="s">
        <v>31</v>
      </c>
      <c r="G520" s="5" t="b">
        <v>0</v>
      </c>
      <c r="H520" s="5" t="s">
        <v>2617</v>
      </c>
      <c r="I520" s="5">
        <v>3.0</v>
      </c>
      <c r="J520" s="5">
        <v>0.0</v>
      </c>
      <c r="K520" s="5">
        <v>0.67</v>
      </c>
    </row>
    <row r="521" ht="15.75" customHeight="1">
      <c r="A521" s="4" t="s">
        <v>2618</v>
      </c>
      <c r="B521" s="13"/>
      <c r="C521" s="4" t="s">
        <v>1133</v>
      </c>
      <c r="D521" s="12" t="s">
        <v>467</v>
      </c>
      <c r="E521" s="13" t="s">
        <v>53</v>
      </c>
      <c r="F521" s="5" t="s">
        <v>469</v>
      </c>
      <c r="H521" s="5" t="s">
        <v>233</v>
      </c>
      <c r="I521" s="5">
        <v>3.0</v>
      </c>
      <c r="J521" s="5">
        <v>0.0</v>
      </c>
      <c r="K521" s="5">
        <v>0.67</v>
      </c>
    </row>
    <row r="522" ht="15.75" customHeight="1">
      <c r="A522" s="4" t="s">
        <v>2619</v>
      </c>
      <c r="B522" s="11" t="s">
        <v>2620</v>
      </c>
      <c r="C522" s="4" t="s">
        <v>1139</v>
      </c>
      <c r="D522" s="12" t="s">
        <v>29</v>
      </c>
      <c r="E522" s="13" t="s">
        <v>53</v>
      </c>
      <c r="F522" s="5" t="s">
        <v>31</v>
      </c>
      <c r="G522" s="5" t="b">
        <v>0</v>
      </c>
      <c r="H522" s="5" t="s">
        <v>2621</v>
      </c>
      <c r="I522" s="5">
        <v>3.0</v>
      </c>
      <c r="J522" s="5">
        <v>0.0</v>
      </c>
      <c r="K522" s="5">
        <v>1.0</v>
      </c>
    </row>
    <row r="523" ht="15.75" customHeight="1">
      <c r="A523" s="4" t="s">
        <v>2622</v>
      </c>
      <c r="B523" s="13"/>
      <c r="C523" s="4" t="s">
        <v>1142</v>
      </c>
      <c r="D523" s="12" t="s">
        <v>467</v>
      </c>
      <c r="E523" s="13" t="s">
        <v>53</v>
      </c>
      <c r="F523" s="5" t="s">
        <v>469</v>
      </c>
      <c r="H523" s="5" t="s">
        <v>233</v>
      </c>
      <c r="I523" s="5">
        <v>3.0</v>
      </c>
      <c r="J523" s="5">
        <v>0.0</v>
      </c>
      <c r="K523" s="5">
        <v>0.67</v>
      </c>
    </row>
    <row r="524" ht="15.75" customHeight="1">
      <c r="A524" s="4" t="s">
        <v>2623</v>
      </c>
      <c r="B524" s="11" t="s">
        <v>2624</v>
      </c>
      <c r="C524" s="4" t="s">
        <v>1143</v>
      </c>
      <c r="D524" s="12" t="s">
        <v>467</v>
      </c>
      <c r="E524" s="13" t="s">
        <v>53</v>
      </c>
      <c r="F524" s="5" t="s">
        <v>469</v>
      </c>
      <c r="G524" s="5" t="b">
        <v>0</v>
      </c>
      <c r="I524" s="5">
        <v>3.0</v>
      </c>
      <c r="J524" s="5">
        <v>0.0</v>
      </c>
      <c r="K524" s="5">
        <v>0.0</v>
      </c>
    </row>
    <row r="525" ht="15.75" customHeight="1">
      <c r="A525" s="4" t="s">
        <v>2625</v>
      </c>
      <c r="B525" s="11" t="s">
        <v>2626</v>
      </c>
      <c r="C525" s="4" t="s">
        <v>293</v>
      </c>
      <c r="D525" s="12" t="s">
        <v>84</v>
      </c>
      <c r="E525" s="13" t="s">
        <v>53</v>
      </c>
      <c r="F525" s="5" t="s">
        <v>85</v>
      </c>
      <c r="G525" s="5" t="b">
        <v>0</v>
      </c>
      <c r="H525" s="5" t="s">
        <v>2627</v>
      </c>
      <c r="I525" s="5">
        <v>3.0</v>
      </c>
      <c r="J525" s="5">
        <v>0.0</v>
      </c>
      <c r="K525" s="5">
        <v>0.67</v>
      </c>
    </row>
    <row r="526" ht="15.75" customHeight="1">
      <c r="A526" s="4" t="s">
        <v>2628</v>
      </c>
      <c r="B526" s="11" t="s">
        <v>2629</v>
      </c>
      <c r="C526" s="4" t="s">
        <v>217</v>
      </c>
      <c r="D526" s="12" t="s">
        <v>52</v>
      </c>
      <c r="E526" s="13" t="s">
        <v>81</v>
      </c>
      <c r="F526" s="5" t="s">
        <v>54</v>
      </c>
      <c r="G526" s="5" t="b">
        <v>0</v>
      </c>
      <c r="H526" s="5" t="s">
        <v>2630</v>
      </c>
      <c r="I526" s="5">
        <v>3.0</v>
      </c>
      <c r="J526" s="5">
        <v>0.0</v>
      </c>
      <c r="K526" s="5">
        <v>0.0</v>
      </c>
    </row>
    <row r="527" ht="15.75" customHeight="1">
      <c r="A527" s="4" t="s">
        <v>2631</v>
      </c>
      <c r="B527" s="11" t="s">
        <v>2632</v>
      </c>
      <c r="C527" s="4" t="s">
        <v>217</v>
      </c>
      <c r="D527" s="12" t="s">
        <v>297</v>
      </c>
      <c r="E527" s="13" t="s">
        <v>81</v>
      </c>
      <c r="F527" s="5" t="s">
        <v>298</v>
      </c>
      <c r="G527" s="5" t="b">
        <v>0</v>
      </c>
      <c r="H527" s="5" t="s">
        <v>2633</v>
      </c>
      <c r="I527" s="5">
        <v>3.0</v>
      </c>
      <c r="J527" s="5">
        <v>0.0</v>
      </c>
      <c r="K527" s="5">
        <v>1.0</v>
      </c>
    </row>
    <row r="528" ht="15.75" customHeight="1">
      <c r="A528" s="4" t="s">
        <v>2634</v>
      </c>
      <c r="B528" s="13"/>
      <c r="C528" s="4" t="s">
        <v>92</v>
      </c>
      <c r="D528" s="12" t="s">
        <v>84</v>
      </c>
      <c r="E528" s="13" t="s">
        <v>84</v>
      </c>
      <c r="F528" s="5" t="s">
        <v>85</v>
      </c>
      <c r="H528" s="5" t="s">
        <v>233</v>
      </c>
      <c r="I528" s="5">
        <v>3.0</v>
      </c>
      <c r="J528" s="5">
        <v>0.0</v>
      </c>
      <c r="K528" s="5">
        <v>0.0</v>
      </c>
    </row>
    <row r="529" ht="15.75" customHeight="1">
      <c r="A529" s="4" t="s">
        <v>2635</v>
      </c>
      <c r="B529" s="11" t="s">
        <v>2636</v>
      </c>
      <c r="C529" s="4" t="s">
        <v>1150</v>
      </c>
      <c r="D529" s="12" t="s">
        <v>52</v>
      </c>
      <c r="E529" s="13" t="s">
        <v>53</v>
      </c>
      <c r="F529" s="5" t="s">
        <v>54</v>
      </c>
      <c r="G529" s="5" t="b">
        <v>0</v>
      </c>
      <c r="H529" s="5" t="s">
        <v>2637</v>
      </c>
      <c r="I529" s="5">
        <v>3.0</v>
      </c>
      <c r="J529" s="5">
        <v>0.0</v>
      </c>
      <c r="K529" s="5">
        <v>3.0</v>
      </c>
    </row>
    <row r="530" ht="15.75" customHeight="1">
      <c r="A530" s="4" t="s">
        <v>2638</v>
      </c>
      <c r="B530" s="11" t="s">
        <v>2639</v>
      </c>
      <c r="C530" s="4" t="s">
        <v>955</v>
      </c>
      <c r="D530" s="12" t="s">
        <v>29</v>
      </c>
      <c r="E530" s="13" t="s">
        <v>53</v>
      </c>
      <c r="F530" s="5" t="s">
        <v>31</v>
      </c>
      <c r="G530" s="5" t="b">
        <v>0</v>
      </c>
      <c r="H530" s="5" t="s">
        <v>2640</v>
      </c>
      <c r="I530" s="5">
        <v>3.0</v>
      </c>
      <c r="J530" s="5">
        <v>0.0</v>
      </c>
      <c r="K530" s="5">
        <v>0.0</v>
      </c>
    </row>
    <row r="531" ht="15.75" customHeight="1">
      <c r="A531" s="4" t="s">
        <v>2641</v>
      </c>
      <c r="B531" s="11" t="s">
        <v>2642</v>
      </c>
      <c r="C531" s="5" t="s">
        <v>73</v>
      </c>
      <c r="D531" s="12" t="s">
        <v>29</v>
      </c>
      <c r="E531" s="13" t="s">
        <v>53</v>
      </c>
      <c r="F531" s="5" t="s">
        <v>31</v>
      </c>
      <c r="G531" s="5" t="b">
        <v>0</v>
      </c>
      <c r="H531" s="5" t="s">
        <v>2643</v>
      </c>
      <c r="I531" s="5">
        <v>3.0</v>
      </c>
      <c r="J531" s="5">
        <v>0.0</v>
      </c>
      <c r="K531" s="5">
        <v>0.0</v>
      </c>
    </row>
    <row r="532" ht="15.75" customHeight="1">
      <c r="A532" s="4" t="s">
        <v>2644</v>
      </c>
      <c r="B532" s="11" t="s">
        <v>2645</v>
      </c>
      <c r="C532" s="4" t="s">
        <v>354</v>
      </c>
      <c r="D532" s="12" t="s">
        <v>84</v>
      </c>
      <c r="E532" s="13" t="s">
        <v>81</v>
      </c>
      <c r="F532" s="5" t="s">
        <v>85</v>
      </c>
      <c r="G532" s="5" t="b">
        <v>0</v>
      </c>
      <c r="H532" s="5" t="s">
        <v>2646</v>
      </c>
      <c r="I532" s="5">
        <v>3.0</v>
      </c>
      <c r="J532" s="5">
        <v>0.0</v>
      </c>
      <c r="K532" s="5">
        <v>1.0</v>
      </c>
    </row>
    <row r="533" ht="15.75" customHeight="1">
      <c r="A533" s="4" t="s">
        <v>2647</v>
      </c>
      <c r="B533" s="11" t="s">
        <v>2648</v>
      </c>
      <c r="C533" s="4" t="s">
        <v>1153</v>
      </c>
      <c r="D533" s="12" t="s">
        <v>29</v>
      </c>
      <c r="E533" s="13" t="s">
        <v>53</v>
      </c>
      <c r="F533" s="5" t="s">
        <v>31</v>
      </c>
      <c r="G533" s="5" t="b">
        <v>0</v>
      </c>
      <c r="H533" s="5" t="s">
        <v>2649</v>
      </c>
      <c r="I533" s="5">
        <v>3.0</v>
      </c>
      <c r="J533" s="5">
        <v>0.0</v>
      </c>
      <c r="K533" s="5">
        <v>0.67</v>
      </c>
    </row>
    <row r="534" ht="15.75" customHeight="1">
      <c r="A534" s="4" t="s">
        <v>2650</v>
      </c>
      <c r="B534" s="11" t="s">
        <v>2651</v>
      </c>
      <c r="C534" s="4" t="s">
        <v>912</v>
      </c>
      <c r="D534" s="12" t="s">
        <v>29</v>
      </c>
      <c r="E534" s="13" t="s">
        <v>53</v>
      </c>
      <c r="F534" s="5" t="s">
        <v>31</v>
      </c>
      <c r="G534" s="5" t="b">
        <v>0</v>
      </c>
      <c r="H534" s="5" t="s">
        <v>2652</v>
      </c>
      <c r="I534" s="5">
        <v>3.0</v>
      </c>
      <c r="J534" s="5">
        <v>0.0</v>
      </c>
      <c r="K534" s="5">
        <v>1.0</v>
      </c>
    </row>
    <row r="535" ht="15.75" customHeight="1">
      <c r="A535" s="4" t="s">
        <v>2653</v>
      </c>
      <c r="B535" s="11" t="s">
        <v>2654</v>
      </c>
      <c r="C535" s="4" t="s">
        <v>1157</v>
      </c>
      <c r="D535" s="12" t="s">
        <v>467</v>
      </c>
      <c r="E535" s="13" t="s">
        <v>53</v>
      </c>
      <c r="F535" s="5" t="s">
        <v>469</v>
      </c>
      <c r="G535" s="5" t="b">
        <v>0</v>
      </c>
      <c r="H535" s="5" t="s">
        <v>1159</v>
      </c>
      <c r="I535" s="5">
        <v>3.0</v>
      </c>
      <c r="J535" s="5">
        <v>0.0</v>
      </c>
      <c r="K535" s="5">
        <v>1.67</v>
      </c>
    </row>
    <row r="536" ht="15.75" customHeight="1">
      <c r="A536" s="4" t="s">
        <v>2655</v>
      </c>
      <c r="B536" s="11" t="s">
        <v>2656</v>
      </c>
      <c r="C536" s="4" t="s">
        <v>514</v>
      </c>
      <c r="D536" s="12" t="s">
        <v>29</v>
      </c>
      <c r="E536" s="13" t="s">
        <v>53</v>
      </c>
      <c r="F536" s="5" t="s">
        <v>31</v>
      </c>
      <c r="G536" s="5" t="b">
        <v>0</v>
      </c>
      <c r="H536" s="5" t="s">
        <v>2657</v>
      </c>
      <c r="I536" s="5">
        <v>3.0</v>
      </c>
      <c r="J536" s="5">
        <v>0.0</v>
      </c>
      <c r="K536" s="5">
        <v>0.33</v>
      </c>
    </row>
    <row r="537" ht="15.75" customHeight="1">
      <c r="A537" s="4" t="s">
        <v>2658</v>
      </c>
      <c r="B537" s="11" t="s">
        <v>2659</v>
      </c>
      <c r="C537" s="4" t="s">
        <v>1160</v>
      </c>
      <c r="D537" s="12" t="s">
        <v>467</v>
      </c>
      <c r="E537" s="13" t="s">
        <v>53</v>
      </c>
      <c r="F537" s="5" t="s">
        <v>469</v>
      </c>
      <c r="G537" s="5" t="b">
        <v>0</v>
      </c>
      <c r="H537" s="5" t="s">
        <v>396</v>
      </c>
      <c r="I537" s="5">
        <v>3.0</v>
      </c>
      <c r="J537" s="5">
        <v>0.0</v>
      </c>
      <c r="K537" s="5">
        <v>1.0</v>
      </c>
    </row>
    <row r="538" ht="15.75" customHeight="1">
      <c r="A538" s="4" t="s">
        <v>2660</v>
      </c>
      <c r="B538" s="11" t="s">
        <v>2661</v>
      </c>
      <c r="C538" s="4" t="s">
        <v>70</v>
      </c>
      <c r="D538" s="12" t="s">
        <v>29</v>
      </c>
      <c r="E538" s="13" t="s">
        <v>30</v>
      </c>
      <c r="F538" s="5" t="s">
        <v>31</v>
      </c>
      <c r="G538" s="5" t="b">
        <v>0</v>
      </c>
      <c r="H538" s="5" t="s">
        <v>858</v>
      </c>
      <c r="I538" s="5">
        <v>3.0</v>
      </c>
      <c r="J538" s="5">
        <v>0.0</v>
      </c>
      <c r="K538" s="5">
        <v>1.33</v>
      </c>
    </row>
    <row r="539" ht="15.75" customHeight="1">
      <c r="A539" s="4" t="s">
        <v>2662</v>
      </c>
      <c r="B539" s="11" t="s">
        <v>2663</v>
      </c>
      <c r="C539" s="4" t="s">
        <v>1166</v>
      </c>
      <c r="D539" s="12" t="s">
        <v>467</v>
      </c>
      <c r="E539" s="13" t="s">
        <v>53</v>
      </c>
      <c r="F539" s="5" t="s">
        <v>469</v>
      </c>
      <c r="G539" s="5" t="b">
        <v>0</v>
      </c>
      <c r="I539" s="5">
        <v>3.0</v>
      </c>
      <c r="J539" s="5">
        <v>0.0</v>
      </c>
      <c r="K539" s="5">
        <v>0.0</v>
      </c>
    </row>
    <row r="540" ht="15.75" customHeight="1">
      <c r="A540" s="4" t="s">
        <v>2664</v>
      </c>
      <c r="B540" s="11" t="s">
        <v>2665</v>
      </c>
      <c r="C540" s="4" t="s">
        <v>1167</v>
      </c>
      <c r="D540" s="12" t="s">
        <v>29</v>
      </c>
      <c r="E540" s="13" t="s">
        <v>53</v>
      </c>
      <c r="F540" s="5" t="s">
        <v>31</v>
      </c>
      <c r="G540" s="5" t="b">
        <v>0</v>
      </c>
      <c r="H540" s="5" t="s">
        <v>1170</v>
      </c>
      <c r="I540" s="5">
        <v>3.0</v>
      </c>
      <c r="J540" s="5">
        <v>0.0</v>
      </c>
      <c r="K540" s="5">
        <v>0.67</v>
      </c>
    </row>
    <row r="541" ht="15.75" customHeight="1">
      <c r="A541" s="4" t="s">
        <v>2666</v>
      </c>
      <c r="B541" s="11" t="s">
        <v>2667</v>
      </c>
      <c r="C541" s="4" t="s">
        <v>1171</v>
      </c>
      <c r="D541" s="12" t="s">
        <v>261</v>
      </c>
      <c r="E541" s="13" t="s">
        <v>30</v>
      </c>
      <c r="F541" s="5" t="s">
        <v>263</v>
      </c>
      <c r="G541" s="5" t="b">
        <v>0</v>
      </c>
      <c r="H541" s="5" t="s">
        <v>2668</v>
      </c>
      <c r="I541" s="5">
        <v>3.0</v>
      </c>
      <c r="J541" s="5">
        <v>0.0</v>
      </c>
      <c r="K541" s="5">
        <v>0.67</v>
      </c>
    </row>
    <row r="542" ht="15.75" customHeight="1">
      <c r="A542" s="4" t="s">
        <v>2669</v>
      </c>
      <c r="B542" s="11" t="s">
        <v>2670</v>
      </c>
      <c r="C542" s="4" t="s">
        <v>254</v>
      </c>
      <c r="D542" s="12" t="s">
        <v>297</v>
      </c>
      <c r="E542" s="13" t="s">
        <v>30</v>
      </c>
      <c r="F542" s="5" t="s">
        <v>298</v>
      </c>
      <c r="G542" s="5" t="b">
        <v>0</v>
      </c>
      <c r="H542" s="5" t="s">
        <v>2671</v>
      </c>
      <c r="I542" s="5">
        <v>3.0</v>
      </c>
      <c r="J542" s="5">
        <v>0.0</v>
      </c>
      <c r="K542" s="5">
        <v>1.0</v>
      </c>
    </row>
    <row r="543" ht="15.75" customHeight="1">
      <c r="A543" s="4" t="s">
        <v>2672</v>
      </c>
      <c r="B543" s="11" t="s">
        <v>2673</v>
      </c>
      <c r="C543" s="4" t="s">
        <v>164</v>
      </c>
      <c r="D543" s="12" t="s">
        <v>84</v>
      </c>
      <c r="E543" s="13" t="s">
        <v>678</v>
      </c>
      <c r="F543" s="5" t="s">
        <v>85</v>
      </c>
      <c r="G543" s="5" t="b">
        <v>0</v>
      </c>
      <c r="H543" s="5" t="s">
        <v>2674</v>
      </c>
      <c r="I543" s="5">
        <v>3.0</v>
      </c>
      <c r="J543" s="5">
        <v>0.0</v>
      </c>
      <c r="K543" s="5">
        <v>0.0</v>
      </c>
    </row>
    <row r="544" ht="15.75" customHeight="1">
      <c r="A544" s="4" t="s">
        <v>2675</v>
      </c>
      <c r="B544" s="11" t="s">
        <v>2676</v>
      </c>
      <c r="C544" s="4" t="s">
        <v>220</v>
      </c>
      <c r="D544" s="12" t="s">
        <v>29</v>
      </c>
      <c r="E544" s="13" t="s">
        <v>53</v>
      </c>
      <c r="F544" s="5" t="s">
        <v>31</v>
      </c>
      <c r="G544" s="5" t="b">
        <v>0</v>
      </c>
      <c r="H544" s="5" t="s">
        <v>2677</v>
      </c>
      <c r="I544" s="5">
        <v>3.0</v>
      </c>
      <c r="J544" s="5">
        <v>0.0</v>
      </c>
      <c r="K544" s="5">
        <v>0.0</v>
      </c>
    </row>
    <row r="545" ht="15.75" customHeight="1">
      <c r="A545" s="4" t="s">
        <v>2678</v>
      </c>
      <c r="B545" s="11" t="s">
        <v>2679</v>
      </c>
      <c r="C545" s="4" t="s">
        <v>1174</v>
      </c>
      <c r="D545" s="12" t="s">
        <v>29</v>
      </c>
      <c r="E545" s="13" t="s">
        <v>53</v>
      </c>
      <c r="F545" s="5" t="s">
        <v>31</v>
      </c>
      <c r="G545" s="5" t="b">
        <v>0</v>
      </c>
      <c r="H545" s="5" t="s">
        <v>2680</v>
      </c>
      <c r="I545" s="5">
        <v>3.0</v>
      </c>
      <c r="J545" s="5">
        <v>0.0</v>
      </c>
      <c r="K545" s="5">
        <v>0.67</v>
      </c>
    </row>
    <row r="546" ht="15.75" customHeight="1">
      <c r="A546" s="4" t="s">
        <v>2681</v>
      </c>
      <c r="B546" s="11" t="s">
        <v>2682</v>
      </c>
      <c r="C546" s="4" t="s">
        <v>1181</v>
      </c>
      <c r="D546" s="12" t="s">
        <v>29</v>
      </c>
      <c r="E546" s="13" t="s">
        <v>84</v>
      </c>
      <c r="F546" s="5" t="s">
        <v>31</v>
      </c>
      <c r="G546" s="5" t="b">
        <v>0</v>
      </c>
      <c r="H546" s="5" t="s">
        <v>2683</v>
      </c>
      <c r="I546" s="5">
        <v>3.0</v>
      </c>
      <c r="J546" s="5">
        <v>0.0</v>
      </c>
      <c r="K546" s="5">
        <v>1.0</v>
      </c>
    </row>
    <row r="547" ht="15.75" customHeight="1">
      <c r="A547" s="4" t="s">
        <v>2684</v>
      </c>
      <c r="B547" s="11" t="s">
        <v>2399</v>
      </c>
      <c r="C547" s="4" t="s">
        <v>10</v>
      </c>
      <c r="D547" s="12" t="s">
        <v>52</v>
      </c>
      <c r="E547" s="13" t="s">
        <v>93</v>
      </c>
      <c r="F547" s="5" t="s">
        <v>54</v>
      </c>
      <c r="G547" s="5" t="b">
        <v>0</v>
      </c>
      <c r="H547" s="5" t="s">
        <v>2400</v>
      </c>
      <c r="I547" s="5">
        <v>3.0</v>
      </c>
      <c r="J547" s="5">
        <v>0.0</v>
      </c>
      <c r="K547" s="5">
        <v>0.0</v>
      </c>
    </row>
    <row r="548" ht="15.75" customHeight="1">
      <c r="A548" s="4" t="s">
        <v>2685</v>
      </c>
      <c r="B548" s="11" t="s">
        <v>80</v>
      </c>
      <c r="C548" s="4" t="s">
        <v>44</v>
      </c>
      <c r="D548" s="12" t="s">
        <v>126</v>
      </c>
      <c r="E548" s="13" t="s">
        <v>30</v>
      </c>
      <c r="F548" s="5" t="s">
        <v>127</v>
      </c>
      <c r="G548" s="5" t="b">
        <v>0</v>
      </c>
      <c r="H548" s="5" t="s">
        <v>86</v>
      </c>
      <c r="I548" s="5">
        <v>3.0</v>
      </c>
      <c r="J548" s="5">
        <v>0.0</v>
      </c>
      <c r="K548" s="5">
        <v>0.0</v>
      </c>
    </row>
    <row r="549" ht="15.75" customHeight="1">
      <c r="A549" s="4" t="s">
        <v>2686</v>
      </c>
      <c r="B549" s="11" t="s">
        <v>1827</v>
      </c>
      <c r="C549" s="4" t="s">
        <v>92</v>
      </c>
      <c r="D549" s="12" t="s">
        <v>84</v>
      </c>
      <c r="E549" s="13" t="s">
        <v>84</v>
      </c>
      <c r="F549" s="5" t="s">
        <v>85</v>
      </c>
      <c r="G549" s="5" t="b">
        <v>0</v>
      </c>
      <c r="I549" s="5">
        <v>3.0</v>
      </c>
      <c r="J549" s="5">
        <v>0.0</v>
      </c>
      <c r="K549" s="5">
        <v>0.33</v>
      </c>
    </row>
    <row r="550" ht="15.75" customHeight="1">
      <c r="A550" s="4" t="s">
        <v>2687</v>
      </c>
      <c r="B550" s="11" t="s">
        <v>2688</v>
      </c>
      <c r="C550" s="4" t="s">
        <v>1187</v>
      </c>
      <c r="D550" s="12" t="s">
        <v>29</v>
      </c>
      <c r="E550" s="13" t="s">
        <v>53</v>
      </c>
      <c r="F550" s="5" t="s">
        <v>31</v>
      </c>
      <c r="G550" s="5" t="b">
        <v>0</v>
      </c>
      <c r="H550" s="5" t="s">
        <v>2689</v>
      </c>
      <c r="I550" s="5">
        <v>3.0</v>
      </c>
      <c r="J550" s="5">
        <v>0.0</v>
      </c>
      <c r="K550" s="5">
        <v>0.0</v>
      </c>
    </row>
    <row r="551" ht="15.75" customHeight="1">
      <c r="A551" s="4" t="s">
        <v>2690</v>
      </c>
      <c r="B551" s="11" t="s">
        <v>2691</v>
      </c>
      <c r="C551" s="4" t="s">
        <v>902</v>
      </c>
      <c r="D551" s="12" t="s">
        <v>29</v>
      </c>
      <c r="E551" s="13" t="s">
        <v>53</v>
      </c>
      <c r="F551" s="5" t="s">
        <v>31</v>
      </c>
      <c r="G551" s="5" t="b">
        <v>1</v>
      </c>
      <c r="H551" s="5" t="s">
        <v>2692</v>
      </c>
      <c r="I551" s="5">
        <v>3.0</v>
      </c>
      <c r="J551" s="5">
        <v>0.0</v>
      </c>
      <c r="K551" s="5">
        <v>1.0</v>
      </c>
    </row>
    <row r="552" ht="15.75" customHeight="1">
      <c r="A552" s="4" t="s">
        <v>2693</v>
      </c>
      <c r="B552" s="11" t="s">
        <v>2694</v>
      </c>
      <c r="C552" s="4" t="s">
        <v>449</v>
      </c>
      <c r="D552" s="12" t="s">
        <v>29</v>
      </c>
      <c r="E552" s="13" t="s">
        <v>93</v>
      </c>
      <c r="F552" s="5" t="s">
        <v>31</v>
      </c>
      <c r="G552" s="5" t="b">
        <v>0</v>
      </c>
      <c r="H552" s="5" t="s">
        <v>2695</v>
      </c>
      <c r="I552" s="5">
        <v>3.0</v>
      </c>
      <c r="J552" s="5">
        <v>0.0</v>
      </c>
      <c r="K552" s="5">
        <v>0.33</v>
      </c>
    </row>
    <row r="553" ht="15.75" customHeight="1">
      <c r="A553" s="4" t="s">
        <v>2696</v>
      </c>
      <c r="B553" s="11" t="s">
        <v>2697</v>
      </c>
      <c r="C553" s="4" t="s">
        <v>56</v>
      </c>
      <c r="D553" s="12" t="s">
        <v>29</v>
      </c>
      <c r="E553" s="13" t="s">
        <v>30</v>
      </c>
      <c r="F553" s="5" t="s">
        <v>31</v>
      </c>
      <c r="G553" s="5" t="b">
        <v>0</v>
      </c>
      <c r="H553" s="5" t="s">
        <v>2698</v>
      </c>
      <c r="I553" s="5">
        <v>3.0</v>
      </c>
      <c r="J553" s="5">
        <v>0.0</v>
      </c>
      <c r="K553" s="5">
        <v>0.0</v>
      </c>
    </row>
    <row r="554" ht="15.75" customHeight="1">
      <c r="A554" s="4" t="s">
        <v>2699</v>
      </c>
      <c r="B554" s="13"/>
      <c r="C554" s="4" t="s">
        <v>1193</v>
      </c>
      <c r="D554" s="12" t="s">
        <v>84</v>
      </c>
      <c r="E554" s="13" t="s">
        <v>53</v>
      </c>
      <c r="F554" s="5" t="s">
        <v>85</v>
      </c>
      <c r="H554" s="5" t="s">
        <v>233</v>
      </c>
      <c r="I554" s="5">
        <v>3.0</v>
      </c>
      <c r="J554" s="5">
        <v>0.0</v>
      </c>
      <c r="K554" s="5">
        <v>0.0</v>
      </c>
    </row>
    <row r="555" ht="15.75" customHeight="1">
      <c r="A555" s="4" t="s">
        <v>2700</v>
      </c>
      <c r="B555" s="11" t="s">
        <v>2701</v>
      </c>
      <c r="C555" s="4" t="s">
        <v>1195</v>
      </c>
      <c r="D555" s="12" t="s">
        <v>29</v>
      </c>
      <c r="E555" s="13" t="s">
        <v>53</v>
      </c>
      <c r="F555" s="5" t="s">
        <v>31</v>
      </c>
      <c r="G555" s="5" t="b">
        <v>0</v>
      </c>
      <c r="H555" s="5" t="s">
        <v>2702</v>
      </c>
      <c r="I555" s="5">
        <v>3.0</v>
      </c>
      <c r="J555" s="5">
        <v>0.0</v>
      </c>
      <c r="K555" s="5">
        <v>0.0</v>
      </c>
    </row>
    <row r="556" ht="15.75" customHeight="1">
      <c r="A556" s="4" t="s">
        <v>2703</v>
      </c>
      <c r="B556" s="11" t="s">
        <v>2704</v>
      </c>
      <c r="C556" s="4" t="s">
        <v>985</v>
      </c>
      <c r="D556" s="12" t="s">
        <v>467</v>
      </c>
      <c r="E556" s="13" t="s">
        <v>53</v>
      </c>
      <c r="F556" s="5" t="s">
        <v>469</v>
      </c>
      <c r="G556" s="5" t="b">
        <v>0</v>
      </c>
      <c r="H556" s="5" t="s">
        <v>2705</v>
      </c>
      <c r="I556" s="5">
        <v>3.0</v>
      </c>
      <c r="J556" s="5">
        <v>0.0</v>
      </c>
      <c r="K556" s="5">
        <v>1.33</v>
      </c>
    </row>
    <row r="557" ht="15.75" customHeight="1">
      <c r="A557" s="4" t="s">
        <v>2706</v>
      </c>
      <c r="B557" s="11" t="s">
        <v>2707</v>
      </c>
      <c r="C557" s="4" t="s">
        <v>179</v>
      </c>
      <c r="D557" s="12" t="s">
        <v>29</v>
      </c>
      <c r="E557" s="13" t="s">
        <v>53</v>
      </c>
      <c r="F557" s="5" t="s">
        <v>31</v>
      </c>
      <c r="G557" s="5" t="b">
        <v>0</v>
      </c>
      <c r="H557" s="5" t="s">
        <v>2708</v>
      </c>
      <c r="I557" s="5">
        <v>3.0</v>
      </c>
      <c r="J557" s="5">
        <v>0.0</v>
      </c>
      <c r="K557" s="5">
        <v>2.67</v>
      </c>
    </row>
    <row r="558" ht="15.75" customHeight="1">
      <c r="A558" s="4" t="s">
        <v>2709</v>
      </c>
      <c r="B558" s="11" t="s">
        <v>2710</v>
      </c>
      <c r="C558" s="4" t="s">
        <v>116</v>
      </c>
      <c r="D558" s="12" t="s">
        <v>670</v>
      </c>
      <c r="E558" s="13" t="s">
        <v>30</v>
      </c>
      <c r="F558" s="5" t="s">
        <v>671</v>
      </c>
      <c r="G558" s="5" t="b">
        <v>0</v>
      </c>
      <c r="H558" s="5" t="s">
        <v>2711</v>
      </c>
      <c r="I558" s="5">
        <v>3.0</v>
      </c>
      <c r="J558" s="5">
        <v>0.0</v>
      </c>
      <c r="K558" s="5">
        <v>0.67</v>
      </c>
    </row>
    <row r="559" ht="15.75" customHeight="1">
      <c r="A559" s="4" t="s">
        <v>2712</v>
      </c>
      <c r="B559" s="11" t="s">
        <v>2713</v>
      </c>
      <c r="C559" s="4" t="s">
        <v>1200</v>
      </c>
      <c r="D559" s="12" t="s">
        <v>29</v>
      </c>
      <c r="E559" s="13" t="s">
        <v>53</v>
      </c>
      <c r="F559" s="5" t="s">
        <v>31</v>
      </c>
      <c r="G559" s="5" t="b">
        <v>0</v>
      </c>
      <c r="H559" s="5" t="s">
        <v>2714</v>
      </c>
      <c r="I559" s="5">
        <v>3.0</v>
      </c>
      <c r="J559" s="5">
        <v>0.0</v>
      </c>
      <c r="K559" s="5">
        <v>0.67</v>
      </c>
    </row>
    <row r="560" ht="15.75" customHeight="1">
      <c r="A560" s="4" t="s">
        <v>2715</v>
      </c>
      <c r="B560" s="11" t="s">
        <v>2716</v>
      </c>
      <c r="C560" s="4" t="s">
        <v>1203</v>
      </c>
      <c r="D560" s="12" t="s">
        <v>261</v>
      </c>
      <c r="E560" s="13" t="s">
        <v>678</v>
      </c>
      <c r="F560" s="5" t="s">
        <v>263</v>
      </c>
      <c r="G560" s="5" t="b">
        <v>0</v>
      </c>
      <c r="I560" s="5">
        <v>3.0</v>
      </c>
      <c r="J560" s="5">
        <v>0.0</v>
      </c>
      <c r="K560" s="5">
        <v>1.67</v>
      </c>
    </row>
    <row r="561" ht="15.75" customHeight="1">
      <c r="A561" s="4" t="s">
        <v>2717</v>
      </c>
      <c r="B561" s="11" t="s">
        <v>2718</v>
      </c>
      <c r="C561" s="4" t="s">
        <v>476</v>
      </c>
      <c r="D561" s="12" t="s">
        <v>29</v>
      </c>
      <c r="E561" s="13" t="s">
        <v>81</v>
      </c>
      <c r="F561" s="5" t="s">
        <v>31</v>
      </c>
      <c r="G561" s="5" t="b">
        <v>0</v>
      </c>
      <c r="H561" s="5" t="s">
        <v>2134</v>
      </c>
      <c r="I561" s="5">
        <v>3.0</v>
      </c>
      <c r="J561" s="5">
        <v>0.0</v>
      </c>
      <c r="K561" s="5">
        <v>1.0</v>
      </c>
    </row>
    <row r="562" ht="15.75" customHeight="1">
      <c r="A562" s="4" t="s">
        <v>2719</v>
      </c>
      <c r="B562" s="11" t="s">
        <v>2720</v>
      </c>
      <c r="C562" s="4" t="s">
        <v>476</v>
      </c>
      <c r="D562" s="12" t="s">
        <v>29</v>
      </c>
      <c r="E562" s="13" t="s">
        <v>81</v>
      </c>
      <c r="F562" s="5" t="s">
        <v>31</v>
      </c>
      <c r="G562" s="5" t="b">
        <v>0</v>
      </c>
      <c r="H562" s="5" t="s">
        <v>2721</v>
      </c>
      <c r="I562" s="5">
        <v>3.0</v>
      </c>
      <c r="J562" s="5">
        <v>0.0</v>
      </c>
      <c r="K562" s="5">
        <v>1.0</v>
      </c>
    </row>
    <row r="563" ht="15.75" customHeight="1">
      <c r="A563" s="4" t="s">
        <v>2722</v>
      </c>
      <c r="B563" s="11" t="s">
        <v>2723</v>
      </c>
      <c r="C563" s="4" t="s">
        <v>1225</v>
      </c>
      <c r="D563" s="12" t="s">
        <v>84</v>
      </c>
      <c r="E563" s="13" t="s">
        <v>93</v>
      </c>
      <c r="F563" s="5" t="s">
        <v>85</v>
      </c>
      <c r="G563" s="5" t="b">
        <v>0</v>
      </c>
      <c r="H563" s="5" t="s">
        <v>1226</v>
      </c>
      <c r="I563" s="5">
        <v>2.0</v>
      </c>
      <c r="J563" s="5">
        <v>0.0</v>
      </c>
      <c r="K563" s="5">
        <v>0.0</v>
      </c>
    </row>
    <row r="564" ht="15.75" customHeight="1">
      <c r="A564" s="4" t="s">
        <v>2724</v>
      </c>
      <c r="B564" s="11" t="s">
        <v>2725</v>
      </c>
      <c r="C564" s="4" t="s">
        <v>1228</v>
      </c>
      <c r="D564" s="12" t="s">
        <v>29</v>
      </c>
      <c r="E564" s="13" t="s">
        <v>53</v>
      </c>
      <c r="F564" s="5" t="s">
        <v>31</v>
      </c>
      <c r="G564" s="5" t="b">
        <v>0</v>
      </c>
      <c r="I564" s="5">
        <v>2.0</v>
      </c>
      <c r="J564" s="5">
        <v>0.0</v>
      </c>
      <c r="K564" s="5">
        <v>1.0</v>
      </c>
    </row>
    <row r="565" ht="15.75" customHeight="1">
      <c r="A565" s="4" t="s">
        <v>2726</v>
      </c>
      <c r="B565" s="11" t="s">
        <v>2727</v>
      </c>
      <c r="C565" s="4" t="s">
        <v>1231</v>
      </c>
      <c r="D565" s="12" t="s">
        <v>126</v>
      </c>
      <c r="E565" s="13" t="s">
        <v>53</v>
      </c>
      <c r="F565" s="5" t="s">
        <v>127</v>
      </c>
      <c r="G565" s="5" t="b">
        <v>0</v>
      </c>
      <c r="H565" s="5" t="s">
        <v>342</v>
      </c>
      <c r="I565" s="5">
        <v>2.0</v>
      </c>
      <c r="J565" s="5">
        <v>0.0</v>
      </c>
      <c r="K565" s="5">
        <v>2.0</v>
      </c>
    </row>
    <row r="566" ht="15.75" customHeight="1">
      <c r="A566" s="4" t="s">
        <v>2728</v>
      </c>
      <c r="B566" s="11" t="s">
        <v>2729</v>
      </c>
      <c r="C566" s="4" t="s">
        <v>1237</v>
      </c>
      <c r="D566" s="12" t="s">
        <v>467</v>
      </c>
      <c r="E566" s="13" t="s">
        <v>53</v>
      </c>
      <c r="F566" s="5" t="s">
        <v>469</v>
      </c>
      <c r="G566" s="5" t="b">
        <v>0</v>
      </c>
      <c r="I566" s="5">
        <v>2.0</v>
      </c>
      <c r="J566" s="5">
        <v>0.0</v>
      </c>
      <c r="K566" s="5">
        <v>1.5</v>
      </c>
    </row>
    <row r="567" ht="15.75" customHeight="1">
      <c r="A567" s="4" t="s">
        <v>2730</v>
      </c>
      <c r="B567" s="11" t="s">
        <v>2731</v>
      </c>
      <c r="C567" s="4" t="s">
        <v>236</v>
      </c>
      <c r="D567" s="12" t="s">
        <v>467</v>
      </c>
      <c r="E567" s="13" t="s">
        <v>53</v>
      </c>
      <c r="F567" s="5" t="s">
        <v>469</v>
      </c>
      <c r="G567" s="5" t="b">
        <v>0</v>
      </c>
      <c r="H567" s="5" t="s">
        <v>2732</v>
      </c>
      <c r="I567" s="5">
        <v>2.0</v>
      </c>
      <c r="J567" s="5">
        <v>0.0</v>
      </c>
      <c r="K567" s="5">
        <v>1.0</v>
      </c>
    </row>
    <row r="568" ht="15.75" customHeight="1">
      <c r="A568" s="4" t="s">
        <v>2733</v>
      </c>
      <c r="B568" s="11" t="s">
        <v>2734</v>
      </c>
      <c r="C568" s="4" t="s">
        <v>35</v>
      </c>
      <c r="D568" s="12" t="s">
        <v>52</v>
      </c>
      <c r="E568" s="13" t="s">
        <v>53</v>
      </c>
      <c r="F568" s="5" t="s">
        <v>54</v>
      </c>
      <c r="G568" s="5" t="b">
        <v>0</v>
      </c>
      <c r="H568" s="5" t="s">
        <v>528</v>
      </c>
      <c r="I568" s="5">
        <v>2.0</v>
      </c>
      <c r="J568" s="5">
        <v>0.0</v>
      </c>
      <c r="K568" s="5">
        <v>0.0</v>
      </c>
    </row>
    <row r="569" ht="15.75" customHeight="1">
      <c r="A569" s="4" t="s">
        <v>2735</v>
      </c>
      <c r="B569" s="11" t="s">
        <v>2736</v>
      </c>
      <c r="C569" s="4" t="s">
        <v>35</v>
      </c>
      <c r="D569" s="12" t="s">
        <v>52</v>
      </c>
      <c r="E569" s="13" t="s">
        <v>53</v>
      </c>
      <c r="F569" s="5" t="s">
        <v>54</v>
      </c>
      <c r="G569" s="5" t="b">
        <v>0</v>
      </c>
      <c r="H569" s="5" t="s">
        <v>1250</v>
      </c>
      <c r="I569" s="5">
        <v>2.0</v>
      </c>
      <c r="J569" s="5">
        <v>0.0</v>
      </c>
      <c r="K569" s="5">
        <v>0.0</v>
      </c>
    </row>
    <row r="570" ht="15.75" customHeight="1">
      <c r="A570" s="4" t="s">
        <v>2737</v>
      </c>
      <c r="B570" s="11" t="s">
        <v>2738</v>
      </c>
      <c r="C570" s="4" t="s">
        <v>35</v>
      </c>
      <c r="D570" s="12" t="s">
        <v>52</v>
      </c>
      <c r="E570" s="13" t="s">
        <v>53</v>
      </c>
      <c r="F570" s="5" t="s">
        <v>54</v>
      </c>
      <c r="G570" s="5" t="b">
        <v>0</v>
      </c>
      <c r="H570" s="5" t="s">
        <v>2739</v>
      </c>
      <c r="I570" s="5">
        <v>2.0</v>
      </c>
      <c r="J570" s="5">
        <v>0.0</v>
      </c>
      <c r="K570" s="5">
        <v>0.0</v>
      </c>
    </row>
    <row r="571" ht="15.75" customHeight="1">
      <c r="A571" s="4" t="s">
        <v>2740</v>
      </c>
      <c r="B571" s="11" t="s">
        <v>2741</v>
      </c>
      <c r="C571" s="4" t="s">
        <v>35</v>
      </c>
      <c r="D571" s="12" t="s">
        <v>52</v>
      </c>
      <c r="E571" s="13" t="s">
        <v>53</v>
      </c>
      <c r="F571" s="5" t="s">
        <v>54</v>
      </c>
      <c r="G571" s="5" t="b">
        <v>0</v>
      </c>
      <c r="H571" s="5" t="s">
        <v>2742</v>
      </c>
      <c r="I571" s="5">
        <v>2.0</v>
      </c>
      <c r="J571" s="5">
        <v>0.0</v>
      </c>
      <c r="K571" s="5">
        <v>0.0</v>
      </c>
    </row>
    <row r="572" ht="15.75" customHeight="1">
      <c r="A572" s="4" t="s">
        <v>2743</v>
      </c>
      <c r="B572" s="11" t="s">
        <v>2744</v>
      </c>
      <c r="C572" s="4" t="s">
        <v>915</v>
      </c>
      <c r="D572" s="12" t="s">
        <v>52</v>
      </c>
      <c r="E572" s="13" t="s">
        <v>93</v>
      </c>
      <c r="F572" s="5" t="s">
        <v>54</v>
      </c>
      <c r="G572" s="5" t="b">
        <v>0</v>
      </c>
      <c r="I572" s="5">
        <v>2.0</v>
      </c>
      <c r="J572" s="5">
        <v>0.0</v>
      </c>
      <c r="K572" s="5">
        <v>0.0</v>
      </c>
    </row>
    <row r="573" ht="15.75" customHeight="1">
      <c r="A573" s="4" t="s">
        <v>2745</v>
      </c>
      <c r="B573" s="11" t="s">
        <v>2746</v>
      </c>
      <c r="C573" s="4" t="s">
        <v>1243</v>
      </c>
      <c r="D573" s="12" t="s">
        <v>670</v>
      </c>
      <c r="E573" s="13" t="s">
        <v>53</v>
      </c>
      <c r="F573" s="5" t="s">
        <v>671</v>
      </c>
      <c r="G573" s="5" t="b">
        <v>0</v>
      </c>
      <c r="H573" s="5" t="s">
        <v>1037</v>
      </c>
      <c r="I573" s="5">
        <v>2.0</v>
      </c>
      <c r="J573" s="5">
        <v>0.0</v>
      </c>
      <c r="K573" s="5">
        <v>0.5</v>
      </c>
    </row>
    <row r="574" ht="15.75" customHeight="1">
      <c r="A574" s="4" t="s">
        <v>2747</v>
      </c>
      <c r="B574" s="11" t="s">
        <v>2748</v>
      </c>
      <c r="C574" s="4" t="s">
        <v>1076</v>
      </c>
      <c r="D574" s="12" t="s">
        <v>297</v>
      </c>
      <c r="E574" s="13" t="s">
        <v>678</v>
      </c>
      <c r="F574" s="5" t="s">
        <v>298</v>
      </c>
      <c r="G574" s="5" t="b">
        <v>0</v>
      </c>
      <c r="H574" s="5" t="s">
        <v>2749</v>
      </c>
      <c r="I574" s="5">
        <v>2.0</v>
      </c>
      <c r="J574" s="5">
        <v>0.0</v>
      </c>
      <c r="K574" s="5">
        <v>1.5</v>
      </c>
    </row>
    <row r="575" ht="15.75" customHeight="1">
      <c r="A575" s="4" t="s">
        <v>2750</v>
      </c>
      <c r="B575" s="11" t="s">
        <v>2751</v>
      </c>
      <c r="C575" s="5" t="s">
        <v>1247</v>
      </c>
      <c r="D575" s="12" t="s">
        <v>467</v>
      </c>
      <c r="E575" s="13" t="s">
        <v>53</v>
      </c>
      <c r="F575" s="5" t="s">
        <v>469</v>
      </c>
      <c r="G575" s="5" t="b">
        <v>0</v>
      </c>
      <c r="I575" s="5">
        <v>2.0</v>
      </c>
      <c r="J575" s="5">
        <v>0.0</v>
      </c>
      <c r="K575" s="5">
        <v>0.0</v>
      </c>
    </row>
    <row r="576" ht="15.75" customHeight="1">
      <c r="A576" s="4" t="s">
        <v>2752</v>
      </c>
      <c r="B576" s="11" t="s">
        <v>2753</v>
      </c>
      <c r="C576" s="4" t="s">
        <v>1252</v>
      </c>
      <c r="D576" s="12" t="s">
        <v>261</v>
      </c>
      <c r="E576" s="13" t="s">
        <v>30</v>
      </c>
      <c r="F576" s="5" t="s">
        <v>263</v>
      </c>
      <c r="G576" s="5" t="b">
        <v>0</v>
      </c>
      <c r="H576" s="5" t="s">
        <v>2754</v>
      </c>
      <c r="I576" s="5">
        <v>2.0</v>
      </c>
      <c r="J576" s="5">
        <v>0.0</v>
      </c>
      <c r="K576" s="5">
        <v>0.5</v>
      </c>
    </row>
    <row r="577" ht="15.75" customHeight="1">
      <c r="A577" s="4" t="s">
        <v>2755</v>
      </c>
      <c r="B577" s="11" t="s">
        <v>2756</v>
      </c>
      <c r="C577" s="4" t="s">
        <v>1259</v>
      </c>
      <c r="D577" s="12" t="s">
        <v>52</v>
      </c>
      <c r="E577" s="13" t="s">
        <v>53</v>
      </c>
      <c r="F577" s="5" t="s">
        <v>54</v>
      </c>
      <c r="G577" s="5" t="b">
        <v>0</v>
      </c>
      <c r="H577" s="5" t="s">
        <v>496</v>
      </c>
      <c r="I577" s="5">
        <v>2.0</v>
      </c>
      <c r="J577" s="5">
        <v>0.0</v>
      </c>
      <c r="K577" s="5">
        <v>0.0</v>
      </c>
    </row>
    <row r="578" ht="15.75" customHeight="1">
      <c r="A578" s="4" t="s">
        <v>2757</v>
      </c>
      <c r="B578" s="11" t="s">
        <v>2758</v>
      </c>
      <c r="C578" s="4" t="s">
        <v>445</v>
      </c>
      <c r="D578" s="12" t="s">
        <v>126</v>
      </c>
      <c r="E578" s="13" t="s">
        <v>53</v>
      </c>
      <c r="F578" s="5" t="s">
        <v>127</v>
      </c>
      <c r="G578" s="5" t="b">
        <v>0</v>
      </c>
      <c r="H578" s="5" t="s">
        <v>2156</v>
      </c>
      <c r="I578" s="5">
        <v>2.0</v>
      </c>
      <c r="J578" s="5">
        <v>0.0</v>
      </c>
      <c r="K578" s="5">
        <v>2.0</v>
      </c>
    </row>
    <row r="579" ht="15.75" customHeight="1">
      <c r="A579" s="4" t="s">
        <v>2759</v>
      </c>
      <c r="B579" s="11" t="s">
        <v>2760</v>
      </c>
      <c r="C579" s="4" t="s">
        <v>445</v>
      </c>
      <c r="D579" s="12" t="s">
        <v>126</v>
      </c>
      <c r="E579" s="13" t="s">
        <v>53</v>
      </c>
      <c r="F579" s="5" t="s">
        <v>127</v>
      </c>
      <c r="G579" s="5" t="b">
        <v>0</v>
      </c>
      <c r="H579" s="5" t="s">
        <v>2156</v>
      </c>
      <c r="I579" s="5">
        <v>2.0</v>
      </c>
      <c r="J579" s="5">
        <v>0.0</v>
      </c>
      <c r="K579" s="5">
        <v>1.0</v>
      </c>
    </row>
    <row r="580" ht="15.75" customHeight="1">
      <c r="A580" s="4" t="s">
        <v>2761</v>
      </c>
      <c r="B580" s="11" t="s">
        <v>1278</v>
      </c>
      <c r="C580" s="4" t="s">
        <v>1205</v>
      </c>
      <c r="D580" s="12" t="s">
        <v>467</v>
      </c>
      <c r="E580" s="13" t="s">
        <v>30</v>
      </c>
      <c r="F580" s="5" t="s">
        <v>469</v>
      </c>
      <c r="G580" s="5" t="b">
        <v>0</v>
      </c>
      <c r="H580" s="5" t="s">
        <v>2762</v>
      </c>
      <c r="I580" s="5">
        <v>2.0</v>
      </c>
      <c r="J580" s="5">
        <v>0.0</v>
      </c>
      <c r="K580" s="5">
        <v>1.0</v>
      </c>
    </row>
    <row r="581" ht="15.75" customHeight="1">
      <c r="A581" s="4" t="s">
        <v>2763</v>
      </c>
      <c r="B581" s="11" t="s">
        <v>2764</v>
      </c>
      <c r="C581" s="4" t="s">
        <v>1261</v>
      </c>
      <c r="D581" s="12" t="s">
        <v>29</v>
      </c>
      <c r="E581" s="13" t="s">
        <v>53</v>
      </c>
      <c r="F581" s="5" t="s">
        <v>31</v>
      </c>
      <c r="G581" s="5" t="b">
        <v>0</v>
      </c>
      <c r="H581" s="5" t="s">
        <v>1264</v>
      </c>
      <c r="I581" s="5">
        <v>2.0</v>
      </c>
      <c r="J581" s="5">
        <v>0.0</v>
      </c>
      <c r="K581" s="5">
        <v>1.5</v>
      </c>
    </row>
    <row r="582" ht="15.75" customHeight="1">
      <c r="A582" s="4" t="s">
        <v>2765</v>
      </c>
      <c r="B582" s="11" t="s">
        <v>2766</v>
      </c>
      <c r="C582" s="4" t="s">
        <v>92</v>
      </c>
      <c r="D582" s="12" t="s">
        <v>126</v>
      </c>
      <c r="E582" s="13" t="s">
        <v>84</v>
      </c>
      <c r="F582" s="5" t="s">
        <v>127</v>
      </c>
      <c r="G582" s="5" t="b">
        <v>0</v>
      </c>
      <c r="H582" s="5" t="s">
        <v>2767</v>
      </c>
      <c r="I582" s="5">
        <v>2.0</v>
      </c>
      <c r="J582" s="5">
        <v>0.0</v>
      </c>
      <c r="K582" s="5">
        <v>0.0</v>
      </c>
    </row>
    <row r="583" ht="15.75" customHeight="1">
      <c r="A583" s="4" t="s">
        <v>2768</v>
      </c>
      <c r="B583" s="11" t="s">
        <v>2562</v>
      </c>
      <c r="C583" s="4" t="s">
        <v>92</v>
      </c>
      <c r="D583" s="12" t="s">
        <v>126</v>
      </c>
      <c r="E583" s="13" t="s">
        <v>84</v>
      </c>
      <c r="F583" s="5" t="s">
        <v>127</v>
      </c>
      <c r="G583" s="5" t="b">
        <v>0</v>
      </c>
      <c r="H583" s="5" t="s">
        <v>2563</v>
      </c>
      <c r="I583" s="5">
        <v>2.0</v>
      </c>
      <c r="J583" s="5">
        <v>0.0</v>
      </c>
      <c r="K583" s="5">
        <v>1.0</v>
      </c>
    </row>
    <row r="584" ht="15.75" customHeight="1">
      <c r="A584" s="4" t="s">
        <v>2769</v>
      </c>
      <c r="B584" s="11" t="s">
        <v>2770</v>
      </c>
      <c r="C584" s="4" t="s">
        <v>860</v>
      </c>
      <c r="D584" s="12" t="s">
        <v>261</v>
      </c>
      <c r="E584" s="13" t="s">
        <v>678</v>
      </c>
      <c r="F584" s="5" t="s">
        <v>263</v>
      </c>
      <c r="G584" s="5" t="b">
        <v>0</v>
      </c>
      <c r="H584" s="5" t="s">
        <v>2771</v>
      </c>
      <c r="I584" s="5">
        <v>2.0</v>
      </c>
      <c r="J584" s="5">
        <v>0.0</v>
      </c>
      <c r="K584" s="5">
        <v>1.5</v>
      </c>
    </row>
    <row r="585" ht="15.75" customHeight="1">
      <c r="A585" s="4" t="s">
        <v>2772</v>
      </c>
      <c r="B585" s="11" t="s">
        <v>2773</v>
      </c>
      <c r="C585" s="4" t="s">
        <v>860</v>
      </c>
      <c r="D585" s="12" t="s">
        <v>29</v>
      </c>
      <c r="E585" s="13" t="s">
        <v>678</v>
      </c>
      <c r="F585" s="5" t="s">
        <v>31</v>
      </c>
      <c r="G585" s="5" t="b">
        <v>0</v>
      </c>
      <c r="H585" s="5" t="s">
        <v>1163</v>
      </c>
      <c r="I585" s="5">
        <v>2.0</v>
      </c>
      <c r="J585" s="5">
        <v>0.0</v>
      </c>
      <c r="K585" s="5">
        <v>2.0</v>
      </c>
    </row>
    <row r="586" ht="15.75" customHeight="1">
      <c r="A586" s="4" t="s">
        <v>2774</v>
      </c>
      <c r="B586" s="11" t="s">
        <v>2775</v>
      </c>
      <c r="C586" s="4" t="s">
        <v>1265</v>
      </c>
      <c r="D586" s="12" t="s">
        <v>126</v>
      </c>
      <c r="E586" s="13" t="s">
        <v>53</v>
      </c>
      <c r="F586" s="5" t="s">
        <v>127</v>
      </c>
      <c r="G586" s="5" t="b">
        <v>0</v>
      </c>
      <c r="I586" s="5">
        <v>2.0</v>
      </c>
      <c r="J586" s="5">
        <v>0.0</v>
      </c>
      <c r="K586" s="5">
        <v>0.0</v>
      </c>
    </row>
    <row r="587" ht="15.75" customHeight="1">
      <c r="A587" s="4" t="s">
        <v>2776</v>
      </c>
      <c r="B587" s="13"/>
      <c r="C587" s="4" t="s">
        <v>1268</v>
      </c>
      <c r="D587" s="12" t="s">
        <v>29</v>
      </c>
      <c r="E587" s="13" t="s">
        <v>678</v>
      </c>
      <c r="F587" s="5" t="s">
        <v>31</v>
      </c>
      <c r="G587" s="5" t="b">
        <v>0</v>
      </c>
      <c r="I587" s="5">
        <v>2.0</v>
      </c>
      <c r="J587" s="5">
        <v>0.0</v>
      </c>
      <c r="K587" s="5">
        <v>0.5</v>
      </c>
    </row>
    <row r="588" ht="15.75" customHeight="1">
      <c r="A588" s="4" t="s">
        <v>2777</v>
      </c>
      <c r="B588" s="11" t="s">
        <v>2778</v>
      </c>
      <c r="C588" s="4" t="s">
        <v>1208</v>
      </c>
      <c r="D588" s="12" t="s">
        <v>126</v>
      </c>
      <c r="E588" s="13" t="s">
        <v>84</v>
      </c>
      <c r="F588" s="5" t="s">
        <v>127</v>
      </c>
      <c r="G588" s="5" t="b">
        <v>0</v>
      </c>
      <c r="H588" s="5" t="s">
        <v>317</v>
      </c>
      <c r="I588" s="5">
        <v>2.0</v>
      </c>
      <c r="J588" s="5">
        <v>0.0</v>
      </c>
      <c r="K588" s="5">
        <v>2.0</v>
      </c>
    </row>
    <row r="589" ht="15.75" customHeight="1">
      <c r="A589" s="4" t="s">
        <v>2779</v>
      </c>
      <c r="B589" s="11" t="s">
        <v>2780</v>
      </c>
      <c r="C589" s="4" t="s">
        <v>1270</v>
      </c>
      <c r="D589" s="12" t="s">
        <v>29</v>
      </c>
      <c r="E589" s="13" t="s">
        <v>53</v>
      </c>
      <c r="F589" s="5" t="s">
        <v>31</v>
      </c>
      <c r="G589" s="5" t="b">
        <v>0</v>
      </c>
      <c r="H589" s="5" t="s">
        <v>1273</v>
      </c>
      <c r="I589" s="5">
        <v>2.0</v>
      </c>
      <c r="J589" s="5">
        <v>0.0</v>
      </c>
      <c r="K589" s="5">
        <v>0.0</v>
      </c>
    </row>
    <row r="590" ht="15.75" customHeight="1">
      <c r="A590" s="4" t="s">
        <v>2781</v>
      </c>
      <c r="B590" s="11" t="s">
        <v>2782</v>
      </c>
      <c r="C590" s="4" t="s">
        <v>1275</v>
      </c>
      <c r="D590" s="12" t="s">
        <v>126</v>
      </c>
      <c r="E590" s="13" t="s">
        <v>53</v>
      </c>
      <c r="F590" s="5" t="s">
        <v>127</v>
      </c>
      <c r="G590" s="5" t="b">
        <v>0</v>
      </c>
      <c r="I590" s="5">
        <v>2.0</v>
      </c>
      <c r="J590" s="5">
        <v>0.0</v>
      </c>
      <c r="K590" s="5">
        <v>0.0</v>
      </c>
    </row>
    <row r="591" ht="15.75" customHeight="1">
      <c r="A591" s="4" t="s">
        <v>2783</v>
      </c>
      <c r="B591" s="11" t="s">
        <v>2784</v>
      </c>
      <c r="C591" s="4" t="s">
        <v>929</v>
      </c>
      <c r="D591" s="12" t="s">
        <v>261</v>
      </c>
      <c r="E591" s="13" t="s">
        <v>53</v>
      </c>
      <c r="F591" s="5" t="s">
        <v>263</v>
      </c>
      <c r="G591" s="5" t="b">
        <v>0</v>
      </c>
      <c r="I591" s="5">
        <v>2.0</v>
      </c>
      <c r="J591" s="5">
        <v>0.0</v>
      </c>
      <c r="K591" s="5">
        <v>0.0</v>
      </c>
    </row>
    <row r="592" ht="15.75" customHeight="1">
      <c r="A592" s="4" t="s">
        <v>2785</v>
      </c>
      <c r="B592" s="11" t="s">
        <v>2786</v>
      </c>
      <c r="C592" s="4" t="s">
        <v>929</v>
      </c>
      <c r="D592" s="12" t="s">
        <v>126</v>
      </c>
      <c r="E592" s="13" t="s">
        <v>53</v>
      </c>
      <c r="F592" s="5" t="s">
        <v>127</v>
      </c>
      <c r="G592" s="5" t="b">
        <v>0</v>
      </c>
      <c r="H592" s="5" t="s">
        <v>342</v>
      </c>
      <c r="I592" s="5">
        <v>2.0</v>
      </c>
      <c r="J592" s="5">
        <v>0.0</v>
      </c>
      <c r="K592" s="5">
        <v>1.0</v>
      </c>
    </row>
    <row r="593" ht="15.75" customHeight="1">
      <c r="A593" s="4" t="s">
        <v>2787</v>
      </c>
      <c r="B593" s="11" t="s">
        <v>2788</v>
      </c>
      <c r="C593" s="4" t="s">
        <v>1004</v>
      </c>
      <c r="D593" s="12" t="s">
        <v>29</v>
      </c>
      <c r="E593" s="13" t="s">
        <v>30</v>
      </c>
      <c r="F593" s="5" t="s">
        <v>31</v>
      </c>
      <c r="G593" s="5" t="b">
        <v>0</v>
      </c>
      <c r="H593" s="5" t="s">
        <v>2789</v>
      </c>
      <c r="I593" s="5">
        <v>2.0</v>
      </c>
      <c r="J593" s="5">
        <v>0.0</v>
      </c>
      <c r="K593" s="5">
        <v>2.0</v>
      </c>
    </row>
    <row r="594" ht="15.75" customHeight="1">
      <c r="A594" s="4" t="s">
        <v>2790</v>
      </c>
      <c r="B594" s="11" t="s">
        <v>2791</v>
      </c>
      <c r="C594" s="4" t="s">
        <v>47</v>
      </c>
      <c r="D594" s="12" t="s">
        <v>29</v>
      </c>
      <c r="E594" s="13" t="s">
        <v>30</v>
      </c>
      <c r="F594" s="5" t="s">
        <v>31</v>
      </c>
      <c r="G594" s="5" t="b">
        <v>0</v>
      </c>
      <c r="H594" s="5" t="s">
        <v>182</v>
      </c>
      <c r="I594" s="5">
        <v>2.0</v>
      </c>
      <c r="J594" s="5">
        <v>0.0</v>
      </c>
      <c r="K594" s="5">
        <v>0.0</v>
      </c>
    </row>
    <row r="595" ht="15.75" customHeight="1">
      <c r="A595" s="4" t="s">
        <v>2792</v>
      </c>
      <c r="B595" s="11" t="s">
        <v>2793</v>
      </c>
      <c r="C595" s="4" t="s">
        <v>18</v>
      </c>
      <c r="D595" s="12" t="s">
        <v>52</v>
      </c>
      <c r="E595" s="13" t="s">
        <v>53</v>
      </c>
      <c r="F595" s="5" t="s">
        <v>54</v>
      </c>
      <c r="G595" s="5" t="b">
        <v>0</v>
      </c>
      <c r="H595" s="5" t="s">
        <v>2794</v>
      </c>
      <c r="I595" s="5">
        <v>2.0</v>
      </c>
      <c r="J595" s="5">
        <v>0.0</v>
      </c>
      <c r="K595" s="5">
        <v>0.0</v>
      </c>
    </row>
    <row r="596" ht="15.75" customHeight="1">
      <c r="A596" s="4" t="s">
        <v>2795</v>
      </c>
      <c r="B596" s="11" t="s">
        <v>2796</v>
      </c>
      <c r="C596" s="4" t="s">
        <v>18</v>
      </c>
      <c r="D596" s="12" t="s">
        <v>297</v>
      </c>
      <c r="E596" s="13" t="s">
        <v>53</v>
      </c>
      <c r="F596" s="5" t="s">
        <v>298</v>
      </c>
      <c r="G596" s="5" t="b">
        <v>0</v>
      </c>
      <c r="I596" s="5">
        <v>2.0</v>
      </c>
      <c r="J596" s="5">
        <v>0.0</v>
      </c>
      <c r="K596" s="5">
        <v>0.0</v>
      </c>
    </row>
    <row r="597" ht="15.75" customHeight="1">
      <c r="A597" s="4" t="s">
        <v>2797</v>
      </c>
      <c r="B597" s="11" t="s">
        <v>2438</v>
      </c>
      <c r="C597" s="4" t="s">
        <v>18</v>
      </c>
      <c r="D597" s="12" t="s">
        <v>52</v>
      </c>
      <c r="E597" s="13" t="s">
        <v>53</v>
      </c>
      <c r="F597" s="5" t="s">
        <v>54</v>
      </c>
      <c r="G597" s="5" t="b">
        <v>0</v>
      </c>
      <c r="H597" s="5" t="s">
        <v>2011</v>
      </c>
      <c r="I597" s="5">
        <v>2.0</v>
      </c>
      <c r="J597" s="5">
        <v>0.0</v>
      </c>
      <c r="K597" s="5">
        <v>0.5</v>
      </c>
    </row>
    <row r="598" ht="15.75" customHeight="1">
      <c r="A598" s="4" t="s">
        <v>2798</v>
      </c>
      <c r="B598" s="11" t="s">
        <v>2799</v>
      </c>
      <c r="C598" s="4" t="s">
        <v>18</v>
      </c>
      <c r="D598" s="12" t="s">
        <v>297</v>
      </c>
      <c r="E598" s="13" t="s">
        <v>53</v>
      </c>
      <c r="F598" s="5" t="s">
        <v>298</v>
      </c>
      <c r="G598" s="5" t="b">
        <v>0</v>
      </c>
      <c r="H598" s="5" t="s">
        <v>2800</v>
      </c>
      <c r="I598" s="5">
        <v>2.0</v>
      </c>
      <c r="J598" s="5">
        <v>0.0</v>
      </c>
      <c r="K598" s="5">
        <v>0.0</v>
      </c>
    </row>
    <row r="599" ht="15.75" customHeight="1">
      <c r="A599" s="4" t="s">
        <v>2801</v>
      </c>
      <c r="B599" s="11" t="s">
        <v>2802</v>
      </c>
      <c r="C599" s="4" t="s">
        <v>18</v>
      </c>
      <c r="D599" s="12" t="s">
        <v>52</v>
      </c>
      <c r="E599" s="13" t="s">
        <v>53</v>
      </c>
      <c r="F599" s="5" t="s">
        <v>54</v>
      </c>
      <c r="G599" s="5" t="b">
        <v>0</v>
      </c>
      <c r="H599" s="5" t="s">
        <v>1037</v>
      </c>
      <c r="I599" s="5">
        <v>2.0</v>
      </c>
      <c r="J599" s="5">
        <v>0.0</v>
      </c>
      <c r="K599" s="5">
        <v>0.0</v>
      </c>
    </row>
    <row r="600" ht="15.75" customHeight="1">
      <c r="A600" s="4" t="s">
        <v>2803</v>
      </c>
      <c r="B600" s="11" t="s">
        <v>2804</v>
      </c>
      <c r="C600" s="4" t="s">
        <v>1070</v>
      </c>
      <c r="D600" s="12" t="s">
        <v>84</v>
      </c>
      <c r="E600" s="13" t="s">
        <v>30</v>
      </c>
      <c r="F600" s="5" t="s">
        <v>85</v>
      </c>
      <c r="G600" s="5" t="b">
        <v>0</v>
      </c>
      <c r="H600" s="5" t="s">
        <v>2805</v>
      </c>
      <c r="I600" s="5">
        <v>2.0</v>
      </c>
      <c r="J600" s="5">
        <v>0.0</v>
      </c>
      <c r="K600" s="5">
        <v>2.0</v>
      </c>
    </row>
    <row r="601" ht="15.75" customHeight="1">
      <c r="A601" s="4" t="s">
        <v>2806</v>
      </c>
      <c r="B601" s="11" t="s">
        <v>2807</v>
      </c>
      <c r="C601" s="4" t="s">
        <v>1074</v>
      </c>
      <c r="D601" s="12" t="s">
        <v>467</v>
      </c>
      <c r="E601" s="13" t="s">
        <v>53</v>
      </c>
      <c r="F601" s="5" t="s">
        <v>469</v>
      </c>
      <c r="G601" s="5" t="b">
        <v>0</v>
      </c>
      <c r="I601" s="5">
        <v>2.0</v>
      </c>
      <c r="J601" s="5">
        <v>0.0</v>
      </c>
      <c r="K601" s="5">
        <v>2.5</v>
      </c>
    </row>
    <row r="602" ht="15.75" customHeight="1">
      <c r="A602" s="4" t="s">
        <v>2808</v>
      </c>
      <c r="B602" s="11" t="s">
        <v>2809</v>
      </c>
      <c r="C602" s="4" t="s">
        <v>1277</v>
      </c>
      <c r="D602" s="12" t="s">
        <v>261</v>
      </c>
      <c r="E602" s="13" t="s">
        <v>53</v>
      </c>
      <c r="F602" s="5" t="s">
        <v>263</v>
      </c>
      <c r="G602" s="5" t="b">
        <v>0</v>
      </c>
      <c r="H602" s="5" t="s">
        <v>1278</v>
      </c>
      <c r="I602" s="5">
        <v>2.0</v>
      </c>
      <c r="J602" s="5">
        <v>0.0</v>
      </c>
      <c r="K602" s="5">
        <v>1.0</v>
      </c>
    </row>
    <row r="603" ht="15.75" customHeight="1">
      <c r="A603" s="4" t="s">
        <v>2810</v>
      </c>
      <c r="B603" s="11" t="s">
        <v>2811</v>
      </c>
      <c r="C603" s="4" t="s">
        <v>559</v>
      </c>
      <c r="D603" s="12" t="s">
        <v>126</v>
      </c>
      <c r="E603" s="13" t="s">
        <v>30</v>
      </c>
      <c r="F603" s="5" t="s">
        <v>127</v>
      </c>
      <c r="G603" s="5" t="b">
        <v>0</v>
      </c>
      <c r="H603" s="5" t="s">
        <v>560</v>
      </c>
      <c r="I603" s="5">
        <v>2.0</v>
      </c>
      <c r="J603" s="5">
        <v>0.0</v>
      </c>
      <c r="K603" s="5">
        <v>0.5</v>
      </c>
    </row>
    <row r="604" ht="15.75" customHeight="1">
      <c r="A604" s="4" t="s">
        <v>2812</v>
      </c>
      <c r="B604" s="11" t="s">
        <v>2813</v>
      </c>
      <c r="C604" s="4" t="s">
        <v>97</v>
      </c>
      <c r="D604" s="12" t="s">
        <v>29</v>
      </c>
      <c r="E604" s="13" t="s">
        <v>53</v>
      </c>
      <c r="F604" s="5" t="s">
        <v>31</v>
      </c>
      <c r="G604" s="5" t="b">
        <v>0</v>
      </c>
      <c r="H604" s="5" t="s">
        <v>2814</v>
      </c>
      <c r="I604" s="5">
        <v>2.0</v>
      </c>
      <c r="J604" s="5">
        <v>0.0</v>
      </c>
      <c r="K604" s="5">
        <v>0.0</v>
      </c>
    </row>
    <row r="605" ht="15.75" customHeight="1">
      <c r="A605" s="4" t="s">
        <v>2815</v>
      </c>
      <c r="B605" s="11" t="s">
        <v>2816</v>
      </c>
      <c r="C605" s="4" t="s">
        <v>97</v>
      </c>
      <c r="D605" s="12" t="s">
        <v>29</v>
      </c>
      <c r="E605" s="13" t="s">
        <v>53</v>
      </c>
      <c r="F605" s="5" t="s">
        <v>31</v>
      </c>
      <c r="G605" s="5" t="b">
        <v>0</v>
      </c>
      <c r="H605" s="5" t="s">
        <v>2817</v>
      </c>
      <c r="I605" s="5">
        <v>2.0</v>
      </c>
      <c r="J605" s="5">
        <v>0.0</v>
      </c>
      <c r="K605" s="5">
        <v>0.0</v>
      </c>
    </row>
    <row r="606" ht="15.75" customHeight="1">
      <c r="A606" s="4" t="s">
        <v>2818</v>
      </c>
      <c r="B606" s="11" t="s">
        <v>2819</v>
      </c>
      <c r="C606" s="4" t="s">
        <v>97</v>
      </c>
      <c r="D606" s="12" t="s">
        <v>29</v>
      </c>
      <c r="E606" s="13" t="s">
        <v>53</v>
      </c>
      <c r="F606" s="5" t="s">
        <v>31</v>
      </c>
      <c r="G606" s="5" t="b">
        <v>0</v>
      </c>
      <c r="H606" s="5" t="s">
        <v>2820</v>
      </c>
      <c r="I606" s="5">
        <v>2.0</v>
      </c>
      <c r="J606" s="5">
        <v>0.0</v>
      </c>
      <c r="K606" s="5">
        <v>1.0</v>
      </c>
    </row>
    <row r="607" ht="15.75" customHeight="1">
      <c r="A607" s="4" t="s">
        <v>2821</v>
      </c>
      <c r="B607" s="11" t="s">
        <v>2822</v>
      </c>
      <c r="C607" s="4" t="s">
        <v>1280</v>
      </c>
      <c r="D607" s="12" t="s">
        <v>29</v>
      </c>
      <c r="E607" s="13" t="s">
        <v>53</v>
      </c>
      <c r="F607" s="5" t="s">
        <v>31</v>
      </c>
      <c r="G607" s="5" t="b">
        <v>0</v>
      </c>
      <c r="H607" s="5" t="s">
        <v>1282</v>
      </c>
      <c r="I607" s="5">
        <v>2.0</v>
      </c>
      <c r="J607" s="5">
        <v>0.0</v>
      </c>
      <c r="K607" s="5">
        <v>0.5</v>
      </c>
    </row>
    <row r="608" ht="15.75" customHeight="1">
      <c r="A608" s="4" t="s">
        <v>2823</v>
      </c>
      <c r="B608" s="11" t="s">
        <v>2824</v>
      </c>
      <c r="C608" s="4" t="s">
        <v>441</v>
      </c>
      <c r="D608" s="12" t="s">
        <v>29</v>
      </c>
      <c r="E608" s="13" t="s">
        <v>93</v>
      </c>
      <c r="F608" s="5" t="s">
        <v>31</v>
      </c>
      <c r="G608" s="5" t="b">
        <v>0</v>
      </c>
      <c r="H608" s="5" t="s">
        <v>2825</v>
      </c>
      <c r="I608" s="5">
        <v>2.0</v>
      </c>
      <c r="J608" s="5">
        <v>0.0</v>
      </c>
      <c r="K608" s="5">
        <v>3.0</v>
      </c>
    </row>
    <row r="609" ht="15.75" customHeight="1">
      <c r="A609" s="4" t="s">
        <v>2826</v>
      </c>
      <c r="B609" s="11" t="s">
        <v>2827</v>
      </c>
      <c r="C609" s="4" t="s">
        <v>28</v>
      </c>
      <c r="D609" s="12" t="s">
        <v>29</v>
      </c>
      <c r="E609" s="13" t="s">
        <v>93</v>
      </c>
      <c r="F609" s="5" t="s">
        <v>31</v>
      </c>
      <c r="G609" s="5" t="b">
        <v>0</v>
      </c>
      <c r="H609" s="5" t="s">
        <v>2828</v>
      </c>
      <c r="I609" s="5">
        <v>2.0</v>
      </c>
      <c r="J609" s="5">
        <v>0.0</v>
      </c>
      <c r="K609" s="5">
        <v>0.5</v>
      </c>
    </row>
    <row r="610" ht="15.75" customHeight="1">
      <c r="A610" s="4" t="s">
        <v>2829</v>
      </c>
      <c r="B610" s="11" t="s">
        <v>2830</v>
      </c>
      <c r="C610" s="4" t="s">
        <v>28</v>
      </c>
      <c r="D610" s="12" t="s">
        <v>297</v>
      </c>
      <c r="E610" s="13" t="s">
        <v>93</v>
      </c>
      <c r="F610" s="5" t="s">
        <v>298</v>
      </c>
      <c r="G610" s="5" t="b">
        <v>0</v>
      </c>
      <c r="H610" s="5" t="s">
        <v>2831</v>
      </c>
      <c r="I610" s="5">
        <v>2.0</v>
      </c>
      <c r="J610" s="5">
        <v>0.0</v>
      </c>
      <c r="K610" s="5">
        <v>0.0</v>
      </c>
    </row>
    <row r="611" ht="15.75" customHeight="1">
      <c r="A611" s="4" t="s">
        <v>2832</v>
      </c>
      <c r="B611" s="11" t="s">
        <v>2833</v>
      </c>
      <c r="C611" s="4" t="s">
        <v>1118</v>
      </c>
      <c r="D611" s="12" t="s">
        <v>29</v>
      </c>
      <c r="E611" s="13" t="s">
        <v>53</v>
      </c>
      <c r="F611" s="5" t="s">
        <v>31</v>
      </c>
      <c r="G611" s="5" t="b">
        <v>0</v>
      </c>
      <c r="H611" s="5" t="s">
        <v>2834</v>
      </c>
      <c r="I611" s="5">
        <v>2.0</v>
      </c>
      <c r="J611" s="5">
        <v>0.0</v>
      </c>
      <c r="K611" s="5">
        <v>0.0</v>
      </c>
    </row>
    <row r="612" ht="15.75" customHeight="1">
      <c r="A612" s="4" t="s">
        <v>2835</v>
      </c>
      <c r="B612" s="11" t="s">
        <v>1872</v>
      </c>
      <c r="C612" s="4" t="s">
        <v>151</v>
      </c>
      <c r="D612" s="12" t="s">
        <v>29</v>
      </c>
      <c r="E612" s="13" t="s">
        <v>30</v>
      </c>
      <c r="F612" s="5" t="s">
        <v>31</v>
      </c>
      <c r="G612" s="5" t="b">
        <v>0</v>
      </c>
      <c r="H612" s="5" t="s">
        <v>1874</v>
      </c>
      <c r="I612" s="5">
        <v>2.0</v>
      </c>
      <c r="J612" s="5">
        <v>0.0</v>
      </c>
      <c r="K612" s="5">
        <v>1.5</v>
      </c>
    </row>
    <row r="613" ht="15.75" customHeight="1">
      <c r="A613" s="4" t="s">
        <v>2836</v>
      </c>
      <c r="B613" s="11" t="s">
        <v>2837</v>
      </c>
      <c r="C613" s="4" t="s">
        <v>151</v>
      </c>
      <c r="D613" s="12" t="s">
        <v>29</v>
      </c>
      <c r="E613" s="13" t="s">
        <v>30</v>
      </c>
      <c r="F613" s="5" t="s">
        <v>31</v>
      </c>
      <c r="G613" s="5" t="b">
        <v>0</v>
      </c>
      <c r="H613" s="5" t="s">
        <v>2838</v>
      </c>
      <c r="I613" s="5">
        <v>2.0</v>
      </c>
      <c r="J613" s="5">
        <v>0.0</v>
      </c>
      <c r="K613" s="5">
        <v>0.5</v>
      </c>
    </row>
    <row r="614" ht="15.75" customHeight="1">
      <c r="A614" s="4" t="s">
        <v>2839</v>
      </c>
      <c r="B614" s="11" t="s">
        <v>2840</v>
      </c>
      <c r="C614" s="4" t="s">
        <v>1283</v>
      </c>
      <c r="D614" s="12" t="s">
        <v>126</v>
      </c>
      <c r="E614" s="13" t="s">
        <v>53</v>
      </c>
      <c r="F614" s="5" t="s">
        <v>127</v>
      </c>
      <c r="G614" s="5" t="b">
        <v>0</v>
      </c>
      <c r="H614" s="5" t="s">
        <v>1285</v>
      </c>
      <c r="I614" s="5">
        <v>2.0</v>
      </c>
      <c r="J614" s="5">
        <v>0.0</v>
      </c>
      <c r="K614" s="5">
        <v>0.5</v>
      </c>
    </row>
    <row r="615" ht="15.75" customHeight="1">
      <c r="A615" s="4" t="s">
        <v>2841</v>
      </c>
      <c r="B615" s="11" t="s">
        <v>2842</v>
      </c>
      <c r="C615" s="4" t="s">
        <v>1008</v>
      </c>
      <c r="D615" s="12" t="s">
        <v>84</v>
      </c>
      <c r="E615" s="13" t="s">
        <v>30</v>
      </c>
      <c r="F615" s="5" t="s">
        <v>85</v>
      </c>
      <c r="H615" s="5" t="s">
        <v>233</v>
      </c>
      <c r="I615" s="5">
        <v>2.0</v>
      </c>
      <c r="J615" s="5">
        <v>0.0</v>
      </c>
      <c r="K615" s="5">
        <v>1.0</v>
      </c>
    </row>
    <row r="616" ht="15.75" customHeight="1">
      <c r="A616" s="4" t="s">
        <v>2843</v>
      </c>
      <c r="B616" s="11" t="s">
        <v>2844</v>
      </c>
      <c r="C616" s="4" t="s">
        <v>1008</v>
      </c>
      <c r="D616" s="12" t="s">
        <v>126</v>
      </c>
      <c r="E616" s="13" t="s">
        <v>30</v>
      </c>
      <c r="F616" s="5" t="s">
        <v>127</v>
      </c>
      <c r="G616" s="5" t="b">
        <v>0</v>
      </c>
      <c r="H616" s="5" t="s">
        <v>2845</v>
      </c>
      <c r="I616" s="5">
        <v>2.0</v>
      </c>
      <c r="J616" s="5">
        <v>0.0</v>
      </c>
      <c r="K616" s="5">
        <v>1.5</v>
      </c>
    </row>
    <row r="617" ht="15.75" customHeight="1">
      <c r="A617" s="4" t="s">
        <v>2846</v>
      </c>
      <c r="B617" s="11" t="s">
        <v>2847</v>
      </c>
      <c r="C617" s="4" t="s">
        <v>1286</v>
      </c>
      <c r="D617" s="12" t="s">
        <v>29</v>
      </c>
      <c r="E617" s="13" t="s">
        <v>53</v>
      </c>
      <c r="F617" s="5" t="s">
        <v>31</v>
      </c>
      <c r="G617" s="5" t="b">
        <v>0</v>
      </c>
      <c r="H617" s="5" t="s">
        <v>2848</v>
      </c>
      <c r="I617" s="5">
        <v>2.0</v>
      </c>
      <c r="J617" s="5">
        <v>0.0</v>
      </c>
      <c r="K617" s="5">
        <v>2.5</v>
      </c>
    </row>
    <row r="618" ht="15.75" customHeight="1">
      <c r="A618" s="4" t="s">
        <v>2849</v>
      </c>
      <c r="B618" s="11" t="s">
        <v>2850</v>
      </c>
      <c r="C618" s="4" t="s">
        <v>1011</v>
      </c>
      <c r="D618" s="12" t="s">
        <v>670</v>
      </c>
      <c r="E618" s="13" t="s">
        <v>30</v>
      </c>
      <c r="F618" s="5" t="s">
        <v>671</v>
      </c>
      <c r="G618" s="5" t="b">
        <v>0</v>
      </c>
      <c r="H618" s="5" t="s">
        <v>2851</v>
      </c>
      <c r="I618" s="5">
        <v>2.0</v>
      </c>
      <c r="J618" s="5">
        <v>0.0</v>
      </c>
      <c r="K618" s="5">
        <v>1.0</v>
      </c>
    </row>
    <row r="619" ht="15.75" customHeight="1">
      <c r="A619" s="4" t="s">
        <v>2852</v>
      </c>
      <c r="B619" s="11" t="s">
        <v>2853</v>
      </c>
      <c r="C619" s="4" t="s">
        <v>808</v>
      </c>
      <c r="D619" s="12" t="s">
        <v>297</v>
      </c>
      <c r="E619" s="13" t="s">
        <v>53</v>
      </c>
      <c r="F619" s="5" t="s">
        <v>298</v>
      </c>
      <c r="G619" s="5" t="b">
        <v>0</v>
      </c>
      <c r="H619" s="5" t="s">
        <v>399</v>
      </c>
      <c r="I619" s="5">
        <v>2.0</v>
      </c>
      <c r="J619" s="5">
        <v>0.0</v>
      </c>
      <c r="K619" s="5">
        <v>0.0</v>
      </c>
    </row>
    <row r="620" ht="15.75" customHeight="1">
      <c r="A620" s="4" t="s">
        <v>2854</v>
      </c>
      <c r="B620" s="11" t="s">
        <v>2855</v>
      </c>
      <c r="C620" s="4" t="s">
        <v>1289</v>
      </c>
      <c r="D620" s="12" t="s">
        <v>126</v>
      </c>
      <c r="E620" s="13" t="s">
        <v>53</v>
      </c>
      <c r="F620" s="5" t="s">
        <v>127</v>
      </c>
      <c r="G620" s="5" t="b">
        <v>0</v>
      </c>
      <c r="I620" s="5">
        <v>2.0</v>
      </c>
      <c r="J620" s="5">
        <v>0.0</v>
      </c>
      <c r="K620" s="5">
        <v>0.0</v>
      </c>
    </row>
    <row r="621" ht="15.75" customHeight="1">
      <c r="A621" s="4" t="s">
        <v>2856</v>
      </c>
      <c r="B621" s="11" t="s">
        <v>2857</v>
      </c>
      <c r="C621" s="5" t="s">
        <v>943</v>
      </c>
      <c r="D621" s="12" t="s">
        <v>670</v>
      </c>
      <c r="E621" s="13" t="s">
        <v>53</v>
      </c>
      <c r="F621" s="5" t="s">
        <v>671</v>
      </c>
      <c r="G621" s="5" t="b">
        <v>0</v>
      </c>
      <c r="H621" s="5" t="s">
        <v>2858</v>
      </c>
      <c r="I621" s="5">
        <v>2.0</v>
      </c>
      <c r="J621" s="5">
        <v>0.0</v>
      </c>
      <c r="K621" s="5">
        <v>0.0</v>
      </c>
    </row>
    <row r="622" ht="15.75" customHeight="1">
      <c r="A622" s="4" t="s">
        <v>2859</v>
      </c>
      <c r="B622" s="11" t="s">
        <v>2860</v>
      </c>
      <c r="C622" s="5" t="s">
        <v>943</v>
      </c>
      <c r="D622" s="12" t="s">
        <v>29</v>
      </c>
      <c r="E622" s="13" t="s">
        <v>53</v>
      </c>
      <c r="F622" s="5" t="s">
        <v>31</v>
      </c>
      <c r="G622" s="5" t="b">
        <v>0</v>
      </c>
      <c r="H622" s="5" t="s">
        <v>2861</v>
      </c>
      <c r="I622" s="5">
        <v>2.0</v>
      </c>
      <c r="J622" s="5">
        <v>0.0</v>
      </c>
      <c r="K622" s="5">
        <v>0.5</v>
      </c>
    </row>
    <row r="623" ht="15.75" customHeight="1">
      <c r="A623" s="4" t="s">
        <v>2862</v>
      </c>
      <c r="B623" s="11" t="s">
        <v>2863</v>
      </c>
      <c r="C623" s="4" t="s">
        <v>1291</v>
      </c>
      <c r="D623" s="12" t="s">
        <v>297</v>
      </c>
      <c r="E623" s="13" t="s">
        <v>53</v>
      </c>
      <c r="F623" s="5" t="s">
        <v>298</v>
      </c>
      <c r="G623" s="5" t="b">
        <v>0</v>
      </c>
      <c r="H623" s="5" t="s">
        <v>1292</v>
      </c>
      <c r="I623" s="5">
        <v>2.0</v>
      </c>
      <c r="J623" s="5">
        <v>0.0</v>
      </c>
      <c r="K623" s="5">
        <v>1.5</v>
      </c>
    </row>
    <row r="624" ht="15.75" customHeight="1">
      <c r="A624" s="4" t="s">
        <v>2864</v>
      </c>
      <c r="B624" s="11" t="s">
        <v>2865</v>
      </c>
      <c r="C624" s="4" t="s">
        <v>988</v>
      </c>
      <c r="D624" s="12" t="s">
        <v>29</v>
      </c>
      <c r="E624" s="13" t="s">
        <v>53</v>
      </c>
      <c r="F624" s="5" t="s">
        <v>31</v>
      </c>
      <c r="G624" s="5" t="b">
        <v>0</v>
      </c>
      <c r="I624" s="5">
        <v>2.0</v>
      </c>
      <c r="J624" s="5">
        <v>0.0</v>
      </c>
      <c r="K624" s="5">
        <v>1.0</v>
      </c>
    </row>
    <row r="625" ht="15.75" customHeight="1">
      <c r="A625" s="4" t="s">
        <v>2866</v>
      </c>
      <c r="B625" s="11" t="s">
        <v>2867</v>
      </c>
      <c r="C625" s="4" t="s">
        <v>988</v>
      </c>
      <c r="D625" s="12" t="s">
        <v>29</v>
      </c>
      <c r="E625" s="13" t="s">
        <v>53</v>
      </c>
      <c r="F625" s="5" t="s">
        <v>31</v>
      </c>
      <c r="G625" s="5" t="b">
        <v>0</v>
      </c>
      <c r="H625" s="5" t="s">
        <v>2868</v>
      </c>
      <c r="I625" s="5">
        <v>2.0</v>
      </c>
      <c r="J625" s="5">
        <v>0.0</v>
      </c>
      <c r="K625" s="5">
        <v>2.0</v>
      </c>
    </row>
    <row r="626" ht="15.75" customHeight="1">
      <c r="A626" s="4" t="s">
        <v>2869</v>
      </c>
      <c r="B626" s="11" t="s">
        <v>2870</v>
      </c>
      <c r="C626" s="4" t="s">
        <v>1294</v>
      </c>
      <c r="D626" s="12" t="s">
        <v>126</v>
      </c>
      <c r="E626" s="13" t="s">
        <v>53</v>
      </c>
      <c r="F626" s="5" t="s">
        <v>127</v>
      </c>
      <c r="G626" s="5" t="b">
        <v>0</v>
      </c>
      <c r="I626" s="5">
        <v>2.0</v>
      </c>
      <c r="J626" s="5">
        <v>0.0</v>
      </c>
      <c r="K626" s="5">
        <v>0.0</v>
      </c>
    </row>
    <row r="627" ht="15.75" customHeight="1">
      <c r="A627" s="4" t="s">
        <v>2871</v>
      </c>
      <c r="B627" s="11" t="s">
        <v>2872</v>
      </c>
      <c r="C627" s="4" t="s">
        <v>50</v>
      </c>
      <c r="D627" s="12" t="s">
        <v>670</v>
      </c>
      <c r="E627" s="13" t="s">
        <v>53</v>
      </c>
      <c r="F627" s="5" t="s">
        <v>671</v>
      </c>
      <c r="G627" s="5" t="b">
        <v>0</v>
      </c>
      <c r="H627" s="5" t="s">
        <v>396</v>
      </c>
      <c r="I627" s="5">
        <v>2.0</v>
      </c>
      <c r="J627" s="5">
        <v>0.0</v>
      </c>
      <c r="K627" s="5">
        <v>1.5</v>
      </c>
    </row>
    <row r="628" ht="15.75" customHeight="1">
      <c r="A628" s="4" t="s">
        <v>2873</v>
      </c>
      <c r="B628" s="11" t="s">
        <v>2279</v>
      </c>
      <c r="C628" s="4" t="s">
        <v>187</v>
      </c>
      <c r="D628" s="12" t="s">
        <v>52</v>
      </c>
      <c r="E628" s="13" t="s">
        <v>81</v>
      </c>
      <c r="F628" s="5" t="s">
        <v>54</v>
      </c>
      <c r="G628" s="5" t="b">
        <v>0</v>
      </c>
      <c r="H628" s="5" t="s">
        <v>2874</v>
      </c>
      <c r="I628" s="5">
        <v>2.0</v>
      </c>
      <c r="J628" s="5">
        <v>0.0</v>
      </c>
      <c r="K628" s="5">
        <v>0.0</v>
      </c>
    </row>
    <row r="629" ht="15.75" customHeight="1">
      <c r="A629" s="4" t="s">
        <v>2875</v>
      </c>
      <c r="B629" s="11" t="s">
        <v>2283</v>
      </c>
      <c r="C629" s="4" t="s">
        <v>187</v>
      </c>
      <c r="D629" s="12" t="s">
        <v>297</v>
      </c>
      <c r="E629" s="13" t="s">
        <v>81</v>
      </c>
      <c r="F629" s="5" t="s">
        <v>298</v>
      </c>
      <c r="G629" s="5" t="b">
        <v>0</v>
      </c>
      <c r="H629" s="5" t="s">
        <v>2876</v>
      </c>
      <c r="I629" s="5">
        <v>2.0</v>
      </c>
      <c r="J629" s="5">
        <v>0.0</v>
      </c>
      <c r="K629" s="5">
        <v>0.0</v>
      </c>
    </row>
    <row r="630" ht="15.75" customHeight="1">
      <c r="A630" s="4" t="s">
        <v>2877</v>
      </c>
      <c r="B630" s="11" t="s">
        <v>2878</v>
      </c>
      <c r="C630" s="4" t="s">
        <v>1301</v>
      </c>
      <c r="D630" s="12" t="s">
        <v>29</v>
      </c>
      <c r="E630" s="13" t="s">
        <v>53</v>
      </c>
      <c r="F630" s="5" t="s">
        <v>31</v>
      </c>
      <c r="G630" s="5" t="b">
        <v>0</v>
      </c>
      <c r="H630" s="5" t="s">
        <v>2879</v>
      </c>
      <c r="I630" s="5">
        <v>2.0</v>
      </c>
      <c r="J630" s="5">
        <v>0.0</v>
      </c>
      <c r="K630" s="5">
        <v>1.0</v>
      </c>
    </row>
    <row r="631" ht="15.75" customHeight="1">
      <c r="A631" s="4" t="s">
        <v>2880</v>
      </c>
      <c r="B631" s="11" t="s">
        <v>2881</v>
      </c>
      <c r="C631" s="4" t="s">
        <v>1303</v>
      </c>
      <c r="D631" s="12" t="s">
        <v>126</v>
      </c>
      <c r="E631" s="13" t="s">
        <v>53</v>
      </c>
      <c r="F631" s="5" t="s">
        <v>127</v>
      </c>
      <c r="G631" s="5" t="b">
        <v>0</v>
      </c>
      <c r="I631" s="5">
        <v>2.0</v>
      </c>
      <c r="J631" s="5">
        <v>0.0</v>
      </c>
      <c r="K631" s="5">
        <v>0.5</v>
      </c>
    </row>
    <row r="632" ht="15.75" customHeight="1">
      <c r="A632" s="4" t="s">
        <v>2882</v>
      </c>
      <c r="B632" s="11" t="s">
        <v>2883</v>
      </c>
      <c r="C632" s="4" t="s">
        <v>1308</v>
      </c>
      <c r="D632" s="12" t="s">
        <v>29</v>
      </c>
      <c r="E632" s="13" t="s">
        <v>30</v>
      </c>
      <c r="F632" s="5" t="s">
        <v>31</v>
      </c>
      <c r="G632" s="5" t="b">
        <v>0</v>
      </c>
      <c r="H632" s="5" t="s">
        <v>2884</v>
      </c>
      <c r="I632" s="5">
        <v>2.0</v>
      </c>
      <c r="J632" s="5">
        <v>0.0</v>
      </c>
      <c r="K632" s="5">
        <v>1.0</v>
      </c>
    </row>
    <row r="633" ht="15.75" customHeight="1">
      <c r="A633" s="4" t="s">
        <v>2885</v>
      </c>
      <c r="B633" s="11" t="s">
        <v>2886</v>
      </c>
      <c r="C633" s="4" t="s">
        <v>320</v>
      </c>
      <c r="D633" s="12" t="s">
        <v>29</v>
      </c>
      <c r="E633" s="13" t="s">
        <v>53</v>
      </c>
      <c r="F633" s="5" t="s">
        <v>31</v>
      </c>
      <c r="G633" s="5" t="b">
        <v>0</v>
      </c>
      <c r="I633" s="5">
        <v>2.0</v>
      </c>
      <c r="J633" s="5">
        <v>0.0</v>
      </c>
      <c r="K633" s="5">
        <v>0.5</v>
      </c>
    </row>
    <row r="634" ht="15.75" customHeight="1">
      <c r="A634" s="4" t="s">
        <v>2887</v>
      </c>
      <c r="B634" s="11" t="s">
        <v>2888</v>
      </c>
      <c r="C634" s="4" t="s">
        <v>537</v>
      </c>
      <c r="D634" s="12" t="s">
        <v>29</v>
      </c>
      <c r="E634" s="13" t="s">
        <v>53</v>
      </c>
      <c r="F634" s="5" t="s">
        <v>31</v>
      </c>
      <c r="G634" s="5" t="b">
        <v>0</v>
      </c>
      <c r="H634" s="5" t="s">
        <v>2889</v>
      </c>
      <c r="I634" s="5">
        <v>2.0</v>
      </c>
      <c r="J634" s="5">
        <v>0.0</v>
      </c>
      <c r="K634" s="5">
        <v>0.5</v>
      </c>
    </row>
    <row r="635" ht="15.75" customHeight="1">
      <c r="A635" s="4" t="s">
        <v>2890</v>
      </c>
      <c r="B635" s="11" t="s">
        <v>2891</v>
      </c>
      <c r="C635" s="4" t="s">
        <v>537</v>
      </c>
      <c r="D635" s="12" t="s">
        <v>29</v>
      </c>
      <c r="E635" s="13" t="s">
        <v>53</v>
      </c>
      <c r="F635" s="5" t="s">
        <v>31</v>
      </c>
      <c r="G635" s="5" t="b">
        <v>0</v>
      </c>
      <c r="H635" s="5" t="s">
        <v>2892</v>
      </c>
      <c r="I635" s="5">
        <v>2.0</v>
      </c>
      <c r="J635" s="5">
        <v>0.0</v>
      </c>
      <c r="K635" s="5">
        <v>0.5</v>
      </c>
    </row>
    <row r="636" ht="15.75" customHeight="1">
      <c r="A636" s="4" t="s">
        <v>2893</v>
      </c>
      <c r="B636" s="11" t="s">
        <v>2894</v>
      </c>
      <c r="C636" s="4" t="s">
        <v>1311</v>
      </c>
      <c r="D636" s="12" t="s">
        <v>126</v>
      </c>
      <c r="E636" s="13" t="s">
        <v>53</v>
      </c>
      <c r="F636" s="5" t="s">
        <v>127</v>
      </c>
      <c r="G636" s="5" t="b">
        <v>0</v>
      </c>
      <c r="H636" s="5" t="s">
        <v>952</v>
      </c>
      <c r="I636" s="5">
        <v>2.0</v>
      </c>
      <c r="J636" s="5">
        <v>0.0</v>
      </c>
      <c r="K636" s="5">
        <v>1.0</v>
      </c>
    </row>
    <row r="637" ht="15.75" customHeight="1">
      <c r="A637" s="4" t="s">
        <v>2895</v>
      </c>
      <c r="B637" s="11" t="s">
        <v>2896</v>
      </c>
      <c r="C637" s="5" t="s">
        <v>1313</v>
      </c>
      <c r="D637" s="12" t="s">
        <v>29</v>
      </c>
      <c r="E637" s="13" t="s">
        <v>53</v>
      </c>
      <c r="F637" s="5" t="s">
        <v>31</v>
      </c>
      <c r="G637" s="5" t="b">
        <v>0</v>
      </c>
      <c r="H637" s="5" t="s">
        <v>2897</v>
      </c>
      <c r="I637" s="5">
        <v>2.0</v>
      </c>
      <c r="J637" s="5">
        <v>0.0</v>
      </c>
      <c r="K637" s="5">
        <v>0.0</v>
      </c>
    </row>
    <row r="638" ht="15.75" customHeight="1">
      <c r="A638" s="4" t="s">
        <v>2898</v>
      </c>
      <c r="B638" s="11" t="s">
        <v>2899</v>
      </c>
      <c r="C638" s="4" t="s">
        <v>243</v>
      </c>
      <c r="D638" s="12" t="s">
        <v>126</v>
      </c>
      <c r="E638" s="13" t="s">
        <v>30</v>
      </c>
      <c r="F638" s="5" t="s">
        <v>127</v>
      </c>
      <c r="G638" s="5" t="b">
        <v>0</v>
      </c>
      <c r="H638" s="5" t="s">
        <v>247</v>
      </c>
      <c r="I638" s="5">
        <v>2.0</v>
      </c>
      <c r="J638" s="5">
        <v>0.0</v>
      </c>
      <c r="K638" s="5">
        <v>2.0</v>
      </c>
    </row>
    <row r="639" ht="15.75" customHeight="1">
      <c r="A639" s="4" t="s">
        <v>2900</v>
      </c>
      <c r="B639" s="11" t="s">
        <v>2901</v>
      </c>
      <c r="C639" s="5" t="s">
        <v>63</v>
      </c>
      <c r="D639" s="12" t="s">
        <v>29</v>
      </c>
      <c r="E639" s="13" t="s">
        <v>30</v>
      </c>
      <c r="F639" s="5" t="s">
        <v>31</v>
      </c>
      <c r="G639" s="5" t="b">
        <v>0</v>
      </c>
      <c r="H639" s="5" t="s">
        <v>2902</v>
      </c>
      <c r="I639" s="5">
        <v>2.0</v>
      </c>
      <c r="J639" s="5">
        <v>0.0</v>
      </c>
      <c r="K639" s="5">
        <v>0.5</v>
      </c>
    </row>
    <row r="640" ht="15.75" customHeight="1">
      <c r="A640" s="4" t="s">
        <v>2903</v>
      </c>
      <c r="B640" s="11" t="s">
        <v>2904</v>
      </c>
      <c r="C640" s="5" t="s">
        <v>63</v>
      </c>
      <c r="D640" s="12" t="s">
        <v>29</v>
      </c>
      <c r="E640" s="13" t="s">
        <v>30</v>
      </c>
      <c r="F640" s="5" t="s">
        <v>31</v>
      </c>
      <c r="G640" s="5" t="b">
        <v>0</v>
      </c>
      <c r="H640" s="5" t="s">
        <v>2905</v>
      </c>
      <c r="I640" s="5">
        <v>2.0</v>
      </c>
      <c r="J640" s="5">
        <v>0.0</v>
      </c>
      <c r="K640" s="5">
        <v>1.0</v>
      </c>
    </row>
    <row r="641" ht="15.75" customHeight="1">
      <c r="A641" s="4" t="s">
        <v>2906</v>
      </c>
      <c r="B641" s="11" t="s">
        <v>2907</v>
      </c>
      <c r="C641" s="5" t="s">
        <v>63</v>
      </c>
      <c r="D641" s="12" t="s">
        <v>29</v>
      </c>
      <c r="E641" s="13" t="s">
        <v>30</v>
      </c>
      <c r="F641" s="5" t="s">
        <v>31</v>
      </c>
      <c r="G641" s="5" t="b">
        <v>0</v>
      </c>
      <c r="H641" s="5" t="s">
        <v>2908</v>
      </c>
      <c r="I641" s="5">
        <v>2.0</v>
      </c>
      <c r="J641" s="5">
        <v>0.0</v>
      </c>
      <c r="K641" s="5">
        <v>0.5</v>
      </c>
    </row>
    <row r="642" ht="15.75" customHeight="1">
      <c r="A642" s="4" t="s">
        <v>2909</v>
      </c>
      <c r="B642" s="11" t="s">
        <v>2910</v>
      </c>
      <c r="C642" s="4" t="s">
        <v>146</v>
      </c>
      <c r="D642" s="12" t="s">
        <v>29</v>
      </c>
      <c r="E642" s="13" t="s">
        <v>53</v>
      </c>
      <c r="F642" s="5" t="s">
        <v>31</v>
      </c>
      <c r="G642" s="5" t="b">
        <v>0</v>
      </c>
      <c r="H642" s="5" t="s">
        <v>2911</v>
      </c>
      <c r="I642" s="5">
        <v>2.0</v>
      </c>
      <c r="J642" s="5">
        <v>0.0</v>
      </c>
      <c r="K642" s="5">
        <v>2.0</v>
      </c>
    </row>
    <row r="643" ht="15.75" customHeight="1">
      <c r="A643" s="4" t="s">
        <v>2912</v>
      </c>
      <c r="B643" s="11" t="s">
        <v>2913</v>
      </c>
      <c r="C643" s="4" t="s">
        <v>1319</v>
      </c>
      <c r="D643" s="12" t="s">
        <v>467</v>
      </c>
      <c r="E643" s="13" t="s">
        <v>53</v>
      </c>
      <c r="F643" s="5" t="s">
        <v>469</v>
      </c>
      <c r="G643" s="5" t="b">
        <v>0</v>
      </c>
      <c r="I643" s="5">
        <v>2.0</v>
      </c>
      <c r="J643" s="5">
        <v>0.0</v>
      </c>
      <c r="K643" s="5">
        <v>0.0</v>
      </c>
    </row>
    <row r="644" ht="15.75" customHeight="1">
      <c r="A644" s="4" t="s">
        <v>2914</v>
      </c>
      <c r="B644" s="11" t="s">
        <v>2915</v>
      </c>
      <c r="C644" s="4" t="s">
        <v>1321</v>
      </c>
      <c r="D644" s="12" t="s">
        <v>467</v>
      </c>
      <c r="E644" s="13" t="s">
        <v>53</v>
      </c>
      <c r="F644" s="5" t="s">
        <v>469</v>
      </c>
      <c r="G644" s="5" t="b">
        <v>0</v>
      </c>
      <c r="I644" s="5">
        <v>2.0</v>
      </c>
      <c r="J644" s="5">
        <v>0.0</v>
      </c>
      <c r="K644" s="5">
        <v>0.5</v>
      </c>
    </row>
    <row r="645" ht="15.75" customHeight="1">
      <c r="A645" s="4" t="s">
        <v>2916</v>
      </c>
      <c r="B645" s="11" t="s">
        <v>2917</v>
      </c>
      <c r="C645" s="4" t="s">
        <v>1323</v>
      </c>
      <c r="D645" s="12" t="s">
        <v>467</v>
      </c>
      <c r="E645" s="13" t="s">
        <v>53</v>
      </c>
      <c r="F645" s="5" t="s">
        <v>469</v>
      </c>
      <c r="G645" s="5" t="b">
        <v>0</v>
      </c>
      <c r="H645" s="5" t="s">
        <v>342</v>
      </c>
      <c r="I645" s="5">
        <v>2.0</v>
      </c>
      <c r="J645" s="5">
        <v>0.0</v>
      </c>
      <c r="K645" s="5">
        <v>1.5</v>
      </c>
    </row>
    <row r="646" ht="15.75" customHeight="1">
      <c r="A646" s="4" t="s">
        <v>2918</v>
      </c>
      <c r="B646" s="11" t="s">
        <v>2919</v>
      </c>
      <c r="C646" s="4" t="s">
        <v>1026</v>
      </c>
      <c r="D646" s="12" t="s">
        <v>29</v>
      </c>
      <c r="E646" s="13" t="s">
        <v>93</v>
      </c>
      <c r="F646" s="5" t="s">
        <v>31</v>
      </c>
      <c r="G646" s="5" t="b">
        <v>0</v>
      </c>
      <c r="H646" s="5" t="s">
        <v>2920</v>
      </c>
      <c r="I646" s="5">
        <v>2.0</v>
      </c>
      <c r="J646" s="5">
        <v>0.0</v>
      </c>
      <c r="K646" s="5">
        <v>0.0</v>
      </c>
    </row>
    <row r="647" ht="15.75" customHeight="1">
      <c r="A647" s="4" t="s">
        <v>2921</v>
      </c>
      <c r="B647" s="11" t="s">
        <v>2922</v>
      </c>
      <c r="C647" s="4" t="s">
        <v>1328</v>
      </c>
      <c r="D647" s="12" t="s">
        <v>261</v>
      </c>
      <c r="E647" s="13" t="s">
        <v>678</v>
      </c>
      <c r="F647" s="5" t="s">
        <v>263</v>
      </c>
      <c r="G647" s="5" t="b">
        <v>0</v>
      </c>
      <c r="H647" s="5" t="s">
        <v>2923</v>
      </c>
      <c r="I647" s="5">
        <v>2.0</v>
      </c>
      <c r="J647" s="5">
        <v>0.0</v>
      </c>
      <c r="K647" s="5">
        <v>2.0</v>
      </c>
    </row>
    <row r="648" ht="15.75" customHeight="1">
      <c r="A648" s="4" t="s">
        <v>2924</v>
      </c>
      <c r="B648" s="11" t="s">
        <v>2925</v>
      </c>
      <c r="C648" s="4" t="s">
        <v>1135</v>
      </c>
      <c r="D648" s="12" t="s">
        <v>84</v>
      </c>
      <c r="E648" s="13" t="s">
        <v>93</v>
      </c>
      <c r="F648" s="5" t="s">
        <v>85</v>
      </c>
      <c r="G648" s="5" t="b">
        <v>0</v>
      </c>
      <c r="H648" s="5" t="s">
        <v>2926</v>
      </c>
      <c r="I648" s="5">
        <v>2.0</v>
      </c>
      <c r="J648" s="5">
        <v>0.0</v>
      </c>
      <c r="K648" s="5">
        <v>0.0</v>
      </c>
    </row>
    <row r="649" ht="15.75" customHeight="1">
      <c r="A649" s="4" t="s">
        <v>2927</v>
      </c>
      <c r="B649" s="11" t="s">
        <v>2928</v>
      </c>
      <c r="C649" s="4" t="s">
        <v>1329</v>
      </c>
      <c r="D649" s="12" t="s">
        <v>126</v>
      </c>
      <c r="E649" s="13" t="s">
        <v>53</v>
      </c>
      <c r="F649" s="5" t="s">
        <v>127</v>
      </c>
      <c r="G649" s="5" t="b">
        <v>0</v>
      </c>
      <c r="I649" s="5">
        <v>2.0</v>
      </c>
      <c r="J649" s="5">
        <v>0.0</v>
      </c>
      <c r="K649" s="5">
        <v>0.0</v>
      </c>
    </row>
    <row r="650" ht="15.75" customHeight="1">
      <c r="A650" s="4" t="s">
        <v>2929</v>
      </c>
      <c r="B650" s="11" t="s">
        <v>2930</v>
      </c>
      <c r="C650" s="4" t="s">
        <v>1331</v>
      </c>
      <c r="D650" s="12" t="s">
        <v>670</v>
      </c>
      <c r="E650" s="13" t="s">
        <v>53</v>
      </c>
      <c r="F650" s="5" t="s">
        <v>671</v>
      </c>
      <c r="G650" s="5" t="b">
        <v>0</v>
      </c>
      <c r="H650" s="5" t="s">
        <v>2931</v>
      </c>
      <c r="I650" s="5">
        <v>2.0</v>
      </c>
      <c r="J650" s="5">
        <v>0.0</v>
      </c>
      <c r="K650" s="5">
        <v>1.0</v>
      </c>
    </row>
    <row r="651" ht="15.75" customHeight="1">
      <c r="A651" s="4" t="s">
        <v>2932</v>
      </c>
      <c r="B651" s="11" t="s">
        <v>2933</v>
      </c>
      <c r="C651" s="4" t="s">
        <v>803</v>
      </c>
      <c r="D651" s="12" t="s">
        <v>467</v>
      </c>
      <c r="E651" s="13" t="s">
        <v>53</v>
      </c>
      <c r="F651" s="5" t="s">
        <v>469</v>
      </c>
      <c r="G651" s="5" t="b">
        <v>0</v>
      </c>
      <c r="I651" s="5">
        <v>2.0</v>
      </c>
      <c r="J651" s="5">
        <v>0.0</v>
      </c>
      <c r="K651" s="5">
        <v>1.5</v>
      </c>
    </row>
    <row r="652" ht="15.75" customHeight="1">
      <c r="A652" s="4" t="s">
        <v>2934</v>
      </c>
      <c r="B652" s="11" t="s">
        <v>2935</v>
      </c>
      <c r="C652" s="4" t="s">
        <v>981</v>
      </c>
      <c r="D652" s="12" t="s">
        <v>467</v>
      </c>
      <c r="E652" s="13" t="s">
        <v>53</v>
      </c>
      <c r="F652" s="5" t="s">
        <v>469</v>
      </c>
      <c r="G652" s="5" t="b">
        <v>0</v>
      </c>
      <c r="H652" s="5" t="s">
        <v>2845</v>
      </c>
      <c r="I652" s="5">
        <v>2.0</v>
      </c>
      <c r="J652" s="5">
        <v>0.0</v>
      </c>
      <c r="K652" s="5">
        <v>1.5</v>
      </c>
    </row>
    <row r="653" ht="15.75" customHeight="1">
      <c r="A653" s="4" t="s">
        <v>2936</v>
      </c>
      <c r="B653" s="11" t="s">
        <v>2937</v>
      </c>
      <c r="C653" s="4" t="s">
        <v>1306</v>
      </c>
      <c r="D653" s="12" t="s">
        <v>52</v>
      </c>
      <c r="E653" s="13" t="s">
        <v>53</v>
      </c>
      <c r="F653" s="5" t="s">
        <v>54</v>
      </c>
      <c r="G653" s="5" t="b">
        <v>0</v>
      </c>
      <c r="H653" s="5" t="s">
        <v>1060</v>
      </c>
      <c r="I653" s="5">
        <v>2.0</v>
      </c>
      <c r="J653" s="5">
        <v>0.0</v>
      </c>
      <c r="K653" s="5">
        <v>1.0</v>
      </c>
    </row>
    <row r="654" ht="15.75" customHeight="1">
      <c r="A654" s="4" t="s">
        <v>2938</v>
      </c>
      <c r="B654" s="11" t="s">
        <v>2939</v>
      </c>
      <c r="C654" s="4" t="s">
        <v>1211</v>
      </c>
      <c r="D654" s="12" t="s">
        <v>29</v>
      </c>
      <c r="E654" s="13" t="s">
        <v>53</v>
      </c>
      <c r="F654" s="5" t="s">
        <v>31</v>
      </c>
      <c r="G654" s="5" t="b">
        <v>0</v>
      </c>
      <c r="I654" s="5">
        <v>2.0</v>
      </c>
      <c r="J654" s="5">
        <v>0.0</v>
      </c>
      <c r="K654" s="5">
        <v>1.5</v>
      </c>
    </row>
    <row r="655" ht="15.75" customHeight="1">
      <c r="A655" s="4" t="s">
        <v>2940</v>
      </c>
      <c r="B655" s="11" t="s">
        <v>2941</v>
      </c>
      <c r="C655" s="4" t="s">
        <v>508</v>
      </c>
      <c r="D655" s="12" t="s">
        <v>126</v>
      </c>
      <c r="E655" s="13" t="s">
        <v>53</v>
      </c>
      <c r="F655" s="5" t="s">
        <v>127</v>
      </c>
      <c r="G655" s="5" t="b">
        <v>0</v>
      </c>
      <c r="I655" s="5">
        <v>2.0</v>
      </c>
      <c r="J655" s="5">
        <v>0.0</v>
      </c>
      <c r="K655" s="5">
        <v>1.0</v>
      </c>
    </row>
    <row r="656" ht="15.75" customHeight="1">
      <c r="A656" s="4" t="s">
        <v>2942</v>
      </c>
      <c r="B656" s="11" t="s">
        <v>2943</v>
      </c>
      <c r="C656" s="4" t="s">
        <v>1334</v>
      </c>
      <c r="D656" s="12" t="s">
        <v>29</v>
      </c>
      <c r="E656" s="13" t="s">
        <v>53</v>
      </c>
      <c r="F656" s="5" t="s">
        <v>31</v>
      </c>
      <c r="G656" s="5" t="b">
        <v>0</v>
      </c>
      <c r="H656" s="5" t="s">
        <v>2944</v>
      </c>
      <c r="I656" s="5">
        <v>2.0</v>
      </c>
      <c r="J656" s="5">
        <v>0.0</v>
      </c>
      <c r="K656" s="5">
        <v>0.0</v>
      </c>
    </row>
    <row r="657" ht="15.75" customHeight="1">
      <c r="A657" s="4" t="s">
        <v>2945</v>
      </c>
      <c r="B657" s="11" t="s">
        <v>2946</v>
      </c>
      <c r="C657" s="4" t="s">
        <v>1146</v>
      </c>
      <c r="D657" s="12" t="s">
        <v>29</v>
      </c>
      <c r="E657" s="13" t="s">
        <v>53</v>
      </c>
      <c r="F657" s="5" t="s">
        <v>31</v>
      </c>
      <c r="G657" s="5" t="b">
        <v>0</v>
      </c>
      <c r="H657" s="5" t="s">
        <v>2947</v>
      </c>
      <c r="I657" s="5">
        <v>2.0</v>
      </c>
      <c r="J657" s="5">
        <v>0.0</v>
      </c>
      <c r="K657" s="5">
        <v>1.0</v>
      </c>
    </row>
    <row r="658" ht="15.75" customHeight="1">
      <c r="A658" s="4" t="s">
        <v>2948</v>
      </c>
      <c r="B658" s="11" t="s">
        <v>2949</v>
      </c>
      <c r="C658" s="4" t="s">
        <v>293</v>
      </c>
      <c r="D658" s="12" t="s">
        <v>126</v>
      </c>
      <c r="E658" s="13" t="s">
        <v>53</v>
      </c>
      <c r="F658" s="5" t="s">
        <v>127</v>
      </c>
      <c r="G658" s="5" t="b">
        <v>0</v>
      </c>
      <c r="I658" s="5">
        <v>2.0</v>
      </c>
      <c r="J658" s="5">
        <v>0.0</v>
      </c>
      <c r="K658" s="5">
        <v>0.0</v>
      </c>
    </row>
    <row r="659" ht="15.75" customHeight="1">
      <c r="A659" s="4" t="s">
        <v>2950</v>
      </c>
      <c r="B659" s="11" t="s">
        <v>2951</v>
      </c>
      <c r="C659" s="4" t="s">
        <v>217</v>
      </c>
      <c r="D659" s="12" t="s">
        <v>297</v>
      </c>
      <c r="E659" s="13" t="s">
        <v>81</v>
      </c>
      <c r="F659" s="5" t="s">
        <v>298</v>
      </c>
      <c r="G659" s="5" t="b">
        <v>0</v>
      </c>
      <c r="H659" s="5" t="s">
        <v>2952</v>
      </c>
      <c r="I659" s="5">
        <v>2.0</v>
      </c>
      <c r="J659" s="5">
        <v>0.0</v>
      </c>
      <c r="K659" s="5">
        <v>0.0</v>
      </c>
    </row>
    <row r="660" ht="15.75" customHeight="1">
      <c r="A660" s="4" t="s">
        <v>2953</v>
      </c>
      <c r="B660" s="11" t="s">
        <v>2954</v>
      </c>
      <c r="C660" s="4" t="s">
        <v>217</v>
      </c>
      <c r="D660" s="12" t="s">
        <v>52</v>
      </c>
      <c r="E660" s="13" t="s">
        <v>81</v>
      </c>
      <c r="F660" s="5" t="s">
        <v>54</v>
      </c>
      <c r="G660" s="5" t="b">
        <v>0</v>
      </c>
      <c r="H660" s="5" t="s">
        <v>2955</v>
      </c>
      <c r="I660" s="5">
        <v>2.0</v>
      </c>
      <c r="J660" s="5">
        <v>0.0</v>
      </c>
      <c r="K660" s="5">
        <v>0.0</v>
      </c>
    </row>
    <row r="661" ht="15.75" customHeight="1">
      <c r="A661" s="4" t="s">
        <v>2956</v>
      </c>
      <c r="B661" s="13"/>
      <c r="C661" s="4" t="s">
        <v>92</v>
      </c>
      <c r="D661" s="12" t="s">
        <v>84</v>
      </c>
      <c r="E661" s="13" t="s">
        <v>84</v>
      </c>
      <c r="F661" s="5" t="s">
        <v>85</v>
      </c>
      <c r="H661" s="5" t="s">
        <v>233</v>
      </c>
      <c r="I661" s="5">
        <v>2.0</v>
      </c>
      <c r="J661" s="5">
        <v>0.0</v>
      </c>
      <c r="K661" s="5">
        <v>0.0</v>
      </c>
    </row>
    <row r="662" ht="15.75" customHeight="1">
      <c r="A662" s="4" t="s">
        <v>2957</v>
      </c>
      <c r="B662" s="13"/>
      <c r="C662" s="4" t="s">
        <v>92</v>
      </c>
      <c r="D662" s="12" t="s">
        <v>84</v>
      </c>
      <c r="E662" s="13" t="s">
        <v>84</v>
      </c>
      <c r="F662" s="5" t="s">
        <v>85</v>
      </c>
      <c r="H662" s="5" t="s">
        <v>233</v>
      </c>
      <c r="I662" s="5">
        <v>2.0</v>
      </c>
      <c r="J662" s="5">
        <v>0.0</v>
      </c>
      <c r="K662" s="5">
        <v>0.0</v>
      </c>
    </row>
    <row r="663" ht="15.75" customHeight="1">
      <c r="A663" s="4" t="s">
        <v>2958</v>
      </c>
      <c r="B663" s="11" t="s">
        <v>2959</v>
      </c>
      <c r="C663" s="4" t="s">
        <v>420</v>
      </c>
      <c r="D663" s="12" t="s">
        <v>29</v>
      </c>
      <c r="E663" s="13" t="s">
        <v>53</v>
      </c>
      <c r="F663" s="5" t="s">
        <v>31</v>
      </c>
      <c r="G663" s="5" t="b">
        <v>0</v>
      </c>
      <c r="H663" s="5" t="s">
        <v>2960</v>
      </c>
      <c r="I663" s="5">
        <v>2.0</v>
      </c>
      <c r="J663" s="5">
        <v>0.0</v>
      </c>
      <c r="K663" s="5">
        <v>0.0</v>
      </c>
    </row>
    <row r="664" ht="15.75" customHeight="1">
      <c r="A664" s="4" t="s">
        <v>2961</v>
      </c>
      <c r="B664" s="11" t="s">
        <v>2962</v>
      </c>
      <c r="C664" s="4" t="s">
        <v>1340</v>
      </c>
      <c r="D664" s="12" t="s">
        <v>52</v>
      </c>
      <c r="E664" s="13" t="s">
        <v>53</v>
      </c>
      <c r="F664" s="5" t="s">
        <v>54</v>
      </c>
      <c r="G664" s="5" t="b">
        <v>0</v>
      </c>
      <c r="I664" s="5">
        <v>2.0</v>
      </c>
      <c r="J664" s="5">
        <v>0.0</v>
      </c>
      <c r="K664" s="5">
        <v>0.5</v>
      </c>
    </row>
    <row r="665" ht="15.75" customHeight="1">
      <c r="A665" s="4" t="s">
        <v>2963</v>
      </c>
      <c r="B665" s="11" t="s">
        <v>2467</v>
      </c>
      <c r="C665" s="4" t="s">
        <v>104</v>
      </c>
      <c r="D665" s="12" t="s">
        <v>126</v>
      </c>
      <c r="E665" s="13" t="s">
        <v>30</v>
      </c>
      <c r="F665" s="5" t="s">
        <v>127</v>
      </c>
      <c r="G665" s="5" t="b">
        <v>0</v>
      </c>
      <c r="H665" s="5" t="s">
        <v>342</v>
      </c>
      <c r="I665" s="5">
        <v>2.0</v>
      </c>
      <c r="J665" s="5">
        <v>0.0</v>
      </c>
      <c r="K665" s="5">
        <v>0.5</v>
      </c>
    </row>
    <row r="666" ht="15.75" customHeight="1">
      <c r="A666" s="4" t="s">
        <v>2964</v>
      </c>
      <c r="B666" s="11" t="s">
        <v>2965</v>
      </c>
      <c r="C666" s="4" t="s">
        <v>1351</v>
      </c>
      <c r="D666" s="12" t="s">
        <v>29</v>
      </c>
      <c r="E666" s="13" t="s">
        <v>53</v>
      </c>
      <c r="F666" s="5" t="s">
        <v>31</v>
      </c>
      <c r="G666" s="5" t="b">
        <v>0</v>
      </c>
      <c r="H666" s="5" t="s">
        <v>2966</v>
      </c>
      <c r="I666" s="5">
        <v>2.0</v>
      </c>
      <c r="J666" s="5">
        <v>0.0</v>
      </c>
      <c r="K666" s="5">
        <v>0.0</v>
      </c>
    </row>
    <row r="667" ht="15.75" customHeight="1">
      <c r="A667" s="4" t="s">
        <v>2967</v>
      </c>
      <c r="B667" s="11" t="s">
        <v>2968</v>
      </c>
      <c r="C667" s="4" t="s">
        <v>1354</v>
      </c>
      <c r="D667" s="12" t="s">
        <v>126</v>
      </c>
      <c r="E667" s="13" t="s">
        <v>53</v>
      </c>
      <c r="F667" s="5" t="s">
        <v>127</v>
      </c>
      <c r="G667" s="5" t="b">
        <v>0</v>
      </c>
      <c r="I667" s="5">
        <v>2.0</v>
      </c>
      <c r="J667" s="5">
        <v>0.0</v>
      </c>
      <c r="K667" s="5">
        <v>1.0</v>
      </c>
    </row>
    <row r="668" ht="15.75" customHeight="1">
      <c r="A668" s="4" t="s">
        <v>2969</v>
      </c>
      <c r="B668" s="11" t="s">
        <v>2970</v>
      </c>
      <c r="C668" s="4" t="s">
        <v>1357</v>
      </c>
      <c r="D668" s="12" t="s">
        <v>261</v>
      </c>
      <c r="E668" s="13" t="s">
        <v>53</v>
      </c>
      <c r="F668" s="5" t="s">
        <v>263</v>
      </c>
      <c r="G668" s="5" t="b">
        <v>0</v>
      </c>
      <c r="H668" s="5" t="s">
        <v>2971</v>
      </c>
      <c r="I668" s="5">
        <v>2.0</v>
      </c>
      <c r="J668" s="5">
        <v>0.0</v>
      </c>
      <c r="K668" s="5">
        <v>0.5</v>
      </c>
    </row>
    <row r="669" ht="15.75" customHeight="1">
      <c r="A669" s="4" t="s">
        <v>2972</v>
      </c>
      <c r="B669" s="11" t="s">
        <v>2973</v>
      </c>
      <c r="C669" s="4" t="s">
        <v>955</v>
      </c>
      <c r="D669" s="12" t="s">
        <v>29</v>
      </c>
      <c r="E669" s="13" t="s">
        <v>53</v>
      </c>
      <c r="F669" s="5" t="s">
        <v>31</v>
      </c>
      <c r="G669" s="5" t="b">
        <v>0</v>
      </c>
      <c r="H669" s="5" t="s">
        <v>2974</v>
      </c>
      <c r="I669" s="5">
        <v>2.0</v>
      </c>
      <c r="J669" s="5">
        <v>0.0</v>
      </c>
      <c r="K669" s="5">
        <v>0.0</v>
      </c>
    </row>
    <row r="670" ht="15.75" customHeight="1">
      <c r="A670" s="4" t="s">
        <v>2975</v>
      </c>
      <c r="B670" s="11" t="s">
        <v>2976</v>
      </c>
      <c r="C670" s="4" t="s">
        <v>1361</v>
      </c>
      <c r="D670" s="12" t="s">
        <v>84</v>
      </c>
      <c r="E670" s="13" t="s">
        <v>84</v>
      </c>
      <c r="F670" s="5" t="s">
        <v>85</v>
      </c>
      <c r="G670" s="5" t="b">
        <v>0</v>
      </c>
      <c r="H670" s="5" t="s">
        <v>2977</v>
      </c>
      <c r="I670" s="5">
        <v>2.0</v>
      </c>
      <c r="J670" s="5">
        <v>0.0</v>
      </c>
      <c r="K670" s="5">
        <v>0.0</v>
      </c>
    </row>
    <row r="671" ht="15.75" customHeight="1">
      <c r="A671" s="4" t="s">
        <v>2978</v>
      </c>
      <c r="B671" s="11" t="s">
        <v>2979</v>
      </c>
      <c r="C671" s="4" t="s">
        <v>1364</v>
      </c>
      <c r="D671" s="12" t="s">
        <v>467</v>
      </c>
      <c r="E671" s="13" t="s">
        <v>53</v>
      </c>
      <c r="F671" s="5" t="s">
        <v>469</v>
      </c>
      <c r="G671" s="5" t="b">
        <v>0</v>
      </c>
      <c r="I671" s="5">
        <v>2.0</v>
      </c>
      <c r="J671" s="5">
        <v>0.0</v>
      </c>
      <c r="K671" s="5">
        <v>0.5</v>
      </c>
    </row>
    <row r="672" ht="15.75" customHeight="1">
      <c r="A672" s="4" t="s">
        <v>2980</v>
      </c>
      <c r="B672" s="11" t="s">
        <v>2981</v>
      </c>
      <c r="C672" s="5" t="s">
        <v>73</v>
      </c>
      <c r="D672" s="12" t="s">
        <v>29</v>
      </c>
      <c r="E672" s="13" t="s">
        <v>53</v>
      </c>
      <c r="F672" s="5" t="s">
        <v>31</v>
      </c>
      <c r="G672" s="5" t="b">
        <v>0</v>
      </c>
      <c r="H672" s="5" t="s">
        <v>2982</v>
      </c>
      <c r="I672" s="5">
        <v>2.0</v>
      </c>
      <c r="J672" s="5">
        <v>0.0</v>
      </c>
      <c r="K672" s="5">
        <v>1.0</v>
      </c>
    </row>
    <row r="673" ht="15.75" customHeight="1">
      <c r="A673" s="4" t="s">
        <v>2983</v>
      </c>
      <c r="B673" s="11" t="s">
        <v>2984</v>
      </c>
      <c r="C673" s="5" t="s">
        <v>73</v>
      </c>
      <c r="D673" s="12" t="s">
        <v>29</v>
      </c>
      <c r="E673" s="13" t="s">
        <v>53</v>
      </c>
      <c r="F673" s="5" t="s">
        <v>31</v>
      </c>
      <c r="G673" s="5" t="b">
        <v>0</v>
      </c>
      <c r="H673" s="5" t="s">
        <v>2985</v>
      </c>
      <c r="I673" s="5">
        <v>2.0</v>
      </c>
      <c r="J673" s="5">
        <v>0.0</v>
      </c>
      <c r="K673" s="5">
        <v>1.0</v>
      </c>
    </row>
    <row r="674" ht="15.75" customHeight="1">
      <c r="A674" s="4" t="s">
        <v>2986</v>
      </c>
      <c r="B674" s="11" t="s">
        <v>2987</v>
      </c>
      <c r="C674" s="4" t="s">
        <v>1366</v>
      </c>
      <c r="D674" s="12" t="s">
        <v>29</v>
      </c>
      <c r="E674" s="13" t="s">
        <v>53</v>
      </c>
      <c r="F674" s="5" t="s">
        <v>31</v>
      </c>
      <c r="G674" s="5" t="b">
        <v>0</v>
      </c>
      <c r="H674" s="5" t="s">
        <v>2988</v>
      </c>
      <c r="I674" s="5">
        <v>2.0</v>
      </c>
      <c r="J674" s="5">
        <v>0.0</v>
      </c>
      <c r="K674" s="5">
        <v>0.0</v>
      </c>
    </row>
    <row r="675" ht="15.75" customHeight="1">
      <c r="A675" s="4" t="s">
        <v>2989</v>
      </c>
      <c r="B675" s="11" t="s">
        <v>2990</v>
      </c>
      <c r="C675" s="4" t="s">
        <v>354</v>
      </c>
      <c r="D675" s="12" t="s">
        <v>84</v>
      </c>
      <c r="E675" s="13" t="s">
        <v>81</v>
      </c>
      <c r="F675" s="5" t="s">
        <v>85</v>
      </c>
      <c r="G675" s="5" t="b">
        <v>0</v>
      </c>
      <c r="H675" s="5" t="s">
        <v>2991</v>
      </c>
      <c r="I675" s="5">
        <v>2.0</v>
      </c>
      <c r="J675" s="5">
        <v>0.0</v>
      </c>
      <c r="K675" s="5">
        <v>1.0</v>
      </c>
    </row>
    <row r="676" ht="15.75" customHeight="1">
      <c r="A676" s="4" t="s">
        <v>2992</v>
      </c>
      <c r="B676" s="11" t="s">
        <v>2993</v>
      </c>
      <c r="C676" s="4" t="s">
        <v>354</v>
      </c>
      <c r="D676" s="12" t="s">
        <v>29</v>
      </c>
      <c r="E676" s="13" t="s">
        <v>81</v>
      </c>
      <c r="F676" s="5" t="s">
        <v>31</v>
      </c>
      <c r="G676" s="5" t="b">
        <v>0</v>
      </c>
      <c r="H676" s="5" t="s">
        <v>2994</v>
      </c>
      <c r="I676" s="5">
        <v>2.0</v>
      </c>
      <c r="J676" s="5">
        <v>0.0</v>
      </c>
      <c r="K676" s="5">
        <v>1.0</v>
      </c>
    </row>
    <row r="677" ht="15.75" customHeight="1">
      <c r="A677" s="4" t="s">
        <v>2995</v>
      </c>
      <c r="B677" s="11" t="s">
        <v>2996</v>
      </c>
      <c r="C677" s="4" t="s">
        <v>129</v>
      </c>
      <c r="D677" s="12" t="s">
        <v>29</v>
      </c>
      <c r="E677" s="13" t="s">
        <v>30</v>
      </c>
      <c r="F677" s="5" t="s">
        <v>31</v>
      </c>
      <c r="G677" s="5" t="b">
        <v>0</v>
      </c>
      <c r="H677" s="5" t="s">
        <v>2997</v>
      </c>
      <c r="I677" s="5">
        <v>2.0</v>
      </c>
      <c r="J677" s="5">
        <v>0.0</v>
      </c>
      <c r="K677" s="5">
        <v>1.0</v>
      </c>
    </row>
    <row r="678" ht="15.75" customHeight="1">
      <c r="A678" s="4" t="s">
        <v>2998</v>
      </c>
      <c r="B678" s="11" t="s">
        <v>2999</v>
      </c>
      <c r="C678" s="4" t="s">
        <v>1040</v>
      </c>
      <c r="D678" s="12" t="s">
        <v>29</v>
      </c>
      <c r="E678" s="13" t="s">
        <v>53</v>
      </c>
      <c r="F678" s="5" t="s">
        <v>31</v>
      </c>
      <c r="G678" s="5" t="b">
        <v>0</v>
      </c>
      <c r="H678" s="5" t="s">
        <v>3000</v>
      </c>
      <c r="I678" s="5">
        <v>2.0</v>
      </c>
      <c r="J678" s="5">
        <v>0.0</v>
      </c>
      <c r="K678" s="5">
        <v>1.5</v>
      </c>
    </row>
    <row r="679" ht="15.75" customHeight="1">
      <c r="A679" s="4" t="s">
        <v>3001</v>
      </c>
      <c r="B679" s="11" t="s">
        <v>3002</v>
      </c>
      <c r="C679" s="4" t="s">
        <v>1040</v>
      </c>
      <c r="D679" s="12" t="s">
        <v>29</v>
      </c>
      <c r="E679" s="13" t="s">
        <v>53</v>
      </c>
      <c r="F679" s="5" t="s">
        <v>31</v>
      </c>
      <c r="G679" s="5" t="b">
        <v>0</v>
      </c>
      <c r="H679" s="5" t="s">
        <v>3003</v>
      </c>
      <c r="I679" s="5">
        <v>2.0</v>
      </c>
      <c r="J679" s="5">
        <v>0.0</v>
      </c>
      <c r="K679" s="5">
        <v>1.0</v>
      </c>
    </row>
    <row r="680" ht="15.75" customHeight="1">
      <c r="A680" s="4" t="s">
        <v>3004</v>
      </c>
      <c r="B680" s="11" t="s">
        <v>3005</v>
      </c>
      <c r="C680" s="4" t="s">
        <v>1369</v>
      </c>
      <c r="D680" s="12" t="s">
        <v>126</v>
      </c>
      <c r="E680" s="13" t="s">
        <v>53</v>
      </c>
      <c r="F680" s="5" t="s">
        <v>127</v>
      </c>
      <c r="G680" s="5" t="b">
        <v>0</v>
      </c>
      <c r="I680" s="5">
        <v>2.0</v>
      </c>
      <c r="J680" s="5">
        <v>0.0</v>
      </c>
      <c r="K680" s="5">
        <v>3.0</v>
      </c>
    </row>
    <row r="681" ht="15.75" customHeight="1">
      <c r="A681" s="4" t="s">
        <v>3006</v>
      </c>
      <c r="B681" s="11" t="s">
        <v>3007</v>
      </c>
      <c r="C681" s="4" t="s">
        <v>1371</v>
      </c>
      <c r="D681" s="12" t="s">
        <v>29</v>
      </c>
      <c r="E681" s="13" t="s">
        <v>84</v>
      </c>
      <c r="F681" s="5" t="s">
        <v>31</v>
      </c>
      <c r="G681" s="5" t="b">
        <v>0</v>
      </c>
      <c r="H681" s="5" t="s">
        <v>3008</v>
      </c>
      <c r="I681" s="5">
        <v>2.0</v>
      </c>
      <c r="J681" s="5">
        <v>0.0</v>
      </c>
      <c r="K681" s="5">
        <v>0.0</v>
      </c>
    </row>
    <row r="682" ht="15.75" customHeight="1">
      <c r="A682" s="4" t="s">
        <v>3009</v>
      </c>
      <c r="B682" s="11" t="s">
        <v>3010</v>
      </c>
      <c r="C682" s="5" t="s">
        <v>1374</v>
      </c>
      <c r="D682" s="12" t="s">
        <v>126</v>
      </c>
      <c r="E682" s="13" t="s">
        <v>53</v>
      </c>
      <c r="F682" s="5" t="s">
        <v>127</v>
      </c>
      <c r="G682" s="5" t="b">
        <v>0</v>
      </c>
      <c r="I682" s="5">
        <v>2.0</v>
      </c>
      <c r="J682" s="5">
        <v>0.0</v>
      </c>
      <c r="K682" s="5">
        <v>1.0</v>
      </c>
    </row>
    <row r="683" ht="15.75" customHeight="1">
      <c r="A683" s="4" t="s">
        <v>3011</v>
      </c>
      <c r="B683" s="11" t="s">
        <v>3012</v>
      </c>
      <c r="C683" s="5" t="s">
        <v>41</v>
      </c>
      <c r="D683" s="12" t="s">
        <v>29</v>
      </c>
      <c r="E683" s="13" t="s">
        <v>30</v>
      </c>
      <c r="F683" s="5" t="s">
        <v>31</v>
      </c>
      <c r="G683" s="5" t="b">
        <v>0</v>
      </c>
      <c r="H683" s="5" t="s">
        <v>3013</v>
      </c>
      <c r="I683" s="5">
        <v>2.0</v>
      </c>
      <c r="J683" s="5">
        <v>0.0</v>
      </c>
      <c r="K683" s="5">
        <v>0.5</v>
      </c>
    </row>
    <row r="684" ht="15.75" customHeight="1">
      <c r="A684" s="4" t="s">
        <v>3014</v>
      </c>
      <c r="B684" s="11" t="s">
        <v>3015</v>
      </c>
      <c r="C684" s="4" t="s">
        <v>1376</v>
      </c>
      <c r="D684" s="12" t="s">
        <v>126</v>
      </c>
      <c r="E684" s="13" t="s">
        <v>53</v>
      </c>
      <c r="F684" s="5" t="s">
        <v>127</v>
      </c>
      <c r="G684" s="5" t="b">
        <v>0</v>
      </c>
      <c r="I684" s="5">
        <v>2.0</v>
      </c>
      <c r="J684" s="5">
        <v>0.0</v>
      </c>
      <c r="K684" s="5">
        <v>0.0</v>
      </c>
    </row>
    <row r="685" ht="15.75" customHeight="1">
      <c r="A685" s="4" t="s">
        <v>3016</v>
      </c>
      <c r="B685" s="11" t="s">
        <v>3017</v>
      </c>
      <c r="C685" s="4" t="s">
        <v>1378</v>
      </c>
      <c r="D685" s="12" t="s">
        <v>29</v>
      </c>
      <c r="E685" s="13" t="s">
        <v>53</v>
      </c>
      <c r="F685" s="5" t="s">
        <v>31</v>
      </c>
      <c r="G685" s="5" t="b">
        <v>0</v>
      </c>
      <c r="I685" s="5">
        <v>2.0</v>
      </c>
      <c r="J685" s="5">
        <v>0.0</v>
      </c>
      <c r="K685" s="5">
        <v>0.5</v>
      </c>
    </row>
    <row r="686" ht="15.75" customHeight="1">
      <c r="A686" s="4" t="s">
        <v>3018</v>
      </c>
      <c r="B686" s="11" t="s">
        <v>3019</v>
      </c>
      <c r="C686" s="4" t="s">
        <v>1380</v>
      </c>
      <c r="D686" s="12" t="s">
        <v>29</v>
      </c>
      <c r="E686" s="13" t="s">
        <v>53</v>
      </c>
      <c r="F686" s="5" t="s">
        <v>31</v>
      </c>
      <c r="G686" s="5" t="b">
        <v>0</v>
      </c>
      <c r="H686" s="5" t="s">
        <v>3020</v>
      </c>
      <c r="I686" s="5">
        <v>2.0</v>
      </c>
      <c r="J686" s="5">
        <v>0.0</v>
      </c>
      <c r="K686" s="5">
        <v>0.5</v>
      </c>
    </row>
    <row r="687" ht="15.75" customHeight="1">
      <c r="A687" s="4" t="s">
        <v>3021</v>
      </c>
      <c r="B687" s="11" t="s">
        <v>3022</v>
      </c>
      <c r="C687" s="4" t="s">
        <v>912</v>
      </c>
      <c r="D687" s="12" t="s">
        <v>29</v>
      </c>
      <c r="E687" s="13" t="s">
        <v>53</v>
      </c>
      <c r="F687" s="5" t="s">
        <v>31</v>
      </c>
      <c r="G687" s="5" t="b">
        <v>0</v>
      </c>
      <c r="H687" s="5" t="s">
        <v>3023</v>
      </c>
      <c r="I687" s="5">
        <v>2.0</v>
      </c>
      <c r="J687" s="5">
        <v>0.0</v>
      </c>
      <c r="K687" s="5">
        <v>1.0</v>
      </c>
    </row>
    <row r="688" ht="15.75" customHeight="1">
      <c r="A688" s="4" t="s">
        <v>3024</v>
      </c>
      <c r="B688" s="11" t="s">
        <v>3025</v>
      </c>
      <c r="C688" s="4" t="s">
        <v>1383</v>
      </c>
      <c r="D688" s="12" t="s">
        <v>29</v>
      </c>
      <c r="E688" s="13" t="s">
        <v>53</v>
      </c>
      <c r="F688" s="5" t="s">
        <v>31</v>
      </c>
      <c r="G688" s="5" t="b">
        <v>0</v>
      </c>
      <c r="I688" s="5">
        <v>2.0</v>
      </c>
      <c r="J688" s="5">
        <v>0.0</v>
      </c>
      <c r="K688" s="5">
        <v>1.0</v>
      </c>
    </row>
    <row r="689" ht="15.75" customHeight="1">
      <c r="A689" s="4" t="s">
        <v>3026</v>
      </c>
      <c r="B689" s="11" t="s">
        <v>3027</v>
      </c>
      <c r="C689" s="5" t="s">
        <v>77</v>
      </c>
      <c r="D689" s="12" t="s">
        <v>29</v>
      </c>
      <c r="E689" s="13" t="s">
        <v>30</v>
      </c>
      <c r="F689" s="5" t="s">
        <v>31</v>
      </c>
      <c r="G689" s="5" t="b">
        <v>0</v>
      </c>
      <c r="H689" s="5" t="s">
        <v>3028</v>
      </c>
      <c r="I689" s="5">
        <v>2.0</v>
      </c>
      <c r="J689" s="5">
        <v>0.0</v>
      </c>
      <c r="K689" s="5">
        <v>1.0</v>
      </c>
    </row>
    <row r="690" ht="15.75" customHeight="1">
      <c r="A690" s="4" t="s">
        <v>3029</v>
      </c>
      <c r="B690" s="11" t="s">
        <v>3030</v>
      </c>
      <c r="C690" s="4" t="s">
        <v>296</v>
      </c>
      <c r="D690" s="12" t="s">
        <v>29</v>
      </c>
      <c r="E690" s="13" t="s">
        <v>30</v>
      </c>
      <c r="F690" s="5" t="s">
        <v>31</v>
      </c>
      <c r="G690" s="5" t="b">
        <v>0</v>
      </c>
      <c r="H690" s="5" t="s">
        <v>3031</v>
      </c>
      <c r="I690" s="5">
        <v>2.0</v>
      </c>
      <c r="J690" s="5">
        <v>0.0</v>
      </c>
      <c r="K690" s="5">
        <v>1.0</v>
      </c>
    </row>
    <row r="691" ht="15.75" customHeight="1">
      <c r="A691" s="4" t="s">
        <v>3032</v>
      </c>
      <c r="B691" s="13"/>
      <c r="C691" s="4" t="s">
        <v>1386</v>
      </c>
      <c r="D691" s="12" t="s">
        <v>467</v>
      </c>
      <c r="E691" s="13" t="s">
        <v>53</v>
      </c>
      <c r="F691" s="5" t="s">
        <v>469</v>
      </c>
      <c r="H691" s="5" t="s">
        <v>233</v>
      </c>
      <c r="I691" s="5">
        <v>2.0</v>
      </c>
      <c r="J691" s="5">
        <v>0.0</v>
      </c>
      <c r="K691" s="5">
        <v>1.0</v>
      </c>
    </row>
    <row r="692" ht="15.75" customHeight="1">
      <c r="A692" s="4" t="s">
        <v>3033</v>
      </c>
      <c r="B692" s="11" t="s">
        <v>3034</v>
      </c>
      <c r="C692" s="4" t="s">
        <v>1164</v>
      </c>
      <c r="D692" s="12" t="s">
        <v>126</v>
      </c>
      <c r="E692" s="13" t="s">
        <v>53</v>
      </c>
      <c r="F692" s="5" t="s">
        <v>127</v>
      </c>
      <c r="G692" s="5" t="b">
        <v>0</v>
      </c>
      <c r="H692" s="5" t="s">
        <v>396</v>
      </c>
      <c r="I692" s="5">
        <v>2.0</v>
      </c>
      <c r="J692" s="5">
        <v>0.0</v>
      </c>
      <c r="K692" s="5">
        <v>0.0</v>
      </c>
    </row>
    <row r="693" ht="15.75" customHeight="1">
      <c r="A693" s="4" t="s">
        <v>3035</v>
      </c>
      <c r="B693" s="11" t="s">
        <v>3036</v>
      </c>
      <c r="C693" s="4" t="s">
        <v>1388</v>
      </c>
      <c r="D693" s="12" t="s">
        <v>126</v>
      </c>
      <c r="E693" s="13" t="s">
        <v>53</v>
      </c>
      <c r="F693" s="5" t="s">
        <v>127</v>
      </c>
      <c r="G693" s="5" t="b">
        <v>0</v>
      </c>
      <c r="I693" s="5">
        <v>2.0</v>
      </c>
      <c r="J693" s="5">
        <v>0.0</v>
      </c>
      <c r="K693" s="5">
        <v>0.0</v>
      </c>
    </row>
    <row r="694" ht="15.75" customHeight="1">
      <c r="A694" s="4" t="s">
        <v>3037</v>
      </c>
      <c r="B694" s="11" t="s">
        <v>3038</v>
      </c>
      <c r="C694" s="4" t="s">
        <v>70</v>
      </c>
      <c r="D694" s="12" t="s">
        <v>433</v>
      </c>
      <c r="E694" s="13" t="s">
        <v>30</v>
      </c>
      <c r="F694" s="5" t="s">
        <v>434</v>
      </c>
      <c r="G694" s="5" t="b">
        <v>0</v>
      </c>
      <c r="H694" s="5" t="s">
        <v>3039</v>
      </c>
      <c r="I694" s="5">
        <v>2.0</v>
      </c>
      <c r="J694" s="5">
        <v>0.0</v>
      </c>
      <c r="K694" s="5">
        <v>1.5</v>
      </c>
    </row>
    <row r="695" ht="15.75" customHeight="1">
      <c r="A695" s="4" t="s">
        <v>3040</v>
      </c>
      <c r="B695" s="11" t="s">
        <v>3041</v>
      </c>
      <c r="C695" s="4" t="s">
        <v>70</v>
      </c>
      <c r="D695" s="12" t="s">
        <v>29</v>
      </c>
      <c r="E695" s="13" t="s">
        <v>30</v>
      </c>
      <c r="F695" s="5" t="s">
        <v>31</v>
      </c>
      <c r="G695" s="5" t="b">
        <v>0</v>
      </c>
      <c r="H695" s="5" t="s">
        <v>3042</v>
      </c>
      <c r="I695" s="5">
        <v>2.0</v>
      </c>
      <c r="J695" s="5">
        <v>0.0</v>
      </c>
      <c r="K695" s="5">
        <v>0.0</v>
      </c>
    </row>
    <row r="696" ht="15.75" customHeight="1">
      <c r="A696" s="4" t="s">
        <v>3043</v>
      </c>
      <c r="B696" s="11" t="s">
        <v>3044</v>
      </c>
      <c r="C696" s="4" t="s">
        <v>79</v>
      </c>
      <c r="D696" s="12" t="s">
        <v>996</v>
      </c>
      <c r="E696" s="13" t="s">
        <v>81</v>
      </c>
      <c r="F696" s="5" t="s">
        <v>997</v>
      </c>
      <c r="G696" s="5" t="b">
        <v>0</v>
      </c>
      <c r="H696" s="5" t="s">
        <v>3045</v>
      </c>
      <c r="I696" s="5">
        <v>2.0</v>
      </c>
      <c r="J696" s="5">
        <v>0.0</v>
      </c>
      <c r="K696" s="5">
        <v>1.0</v>
      </c>
    </row>
    <row r="697" ht="15.75" customHeight="1">
      <c r="A697" s="4" t="s">
        <v>3046</v>
      </c>
      <c r="B697" s="13"/>
      <c r="C697" s="4" t="s">
        <v>1391</v>
      </c>
      <c r="D697" s="12" t="s">
        <v>84</v>
      </c>
      <c r="E697" s="13" t="s">
        <v>53</v>
      </c>
      <c r="F697" s="5" t="s">
        <v>85</v>
      </c>
      <c r="H697" s="5" t="s">
        <v>233</v>
      </c>
      <c r="I697" s="5">
        <v>2.0</v>
      </c>
      <c r="J697" s="5">
        <v>0.0</v>
      </c>
      <c r="K697" s="5">
        <v>0.0</v>
      </c>
    </row>
    <row r="698" ht="15.75" customHeight="1">
      <c r="A698" s="4" t="s">
        <v>3047</v>
      </c>
      <c r="B698" s="11" t="s">
        <v>3048</v>
      </c>
      <c r="C698" s="4" t="s">
        <v>1394</v>
      </c>
      <c r="D698" s="12" t="s">
        <v>52</v>
      </c>
      <c r="E698" s="13" t="s">
        <v>93</v>
      </c>
      <c r="F698" s="5" t="s">
        <v>54</v>
      </c>
      <c r="G698" s="5" t="b">
        <v>0</v>
      </c>
      <c r="H698" s="5" t="s">
        <v>1226</v>
      </c>
      <c r="I698" s="5">
        <v>2.0</v>
      </c>
      <c r="J698" s="5">
        <v>0.0</v>
      </c>
      <c r="K698" s="5">
        <v>0.0</v>
      </c>
    </row>
    <row r="699" ht="15.75" customHeight="1">
      <c r="A699" s="4" t="s">
        <v>3049</v>
      </c>
      <c r="B699" s="11" t="s">
        <v>3050</v>
      </c>
      <c r="C699" s="4" t="s">
        <v>965</v>
      </c>
      <c r="D699" s="12" t="s">
        <v>29</v>
      </c>
      <c r="E699" s="13" t="s">
        <v>53</v>
      </c>
      <c r="F699" s="5" t="s">
        <v>31</v>
      </c>
      <c r="G699" s="5" t="b">
        <v>0</v>
      </c>
      <c r="H699" s="5" t="s">
        <v>342</v>
      </c>
      <c r="I699" s="5">
        <v>2.0</v>
      </c>
      <c r="J699" s="5">
        <v>0.0</v>
      </c>
      <c r="K699" s="5">
        <v>0.0</v>
      </c>
    </row>
    <row r="700" ht="15.75" customHeight="1">
      <c r="A700" s="4" t="s">
        <v>3051</v>
      </c>
      <c r="B700" s="11" t="s">
        <v>3052</v>
      </c>
      <c r="C700" s="4" t="s">
        <v>1396</v>
      </c>
      <c r="D700" s="12" t="s">
        <v>29</v>
      </c>
      <c r="E700" s="13" t="s">
        <v>53</v>
      </c>
      <c r="F700" s="5" t="s">
        <v>31</v>
      </c>
      <c r="G700" s="5" t="b">
        <v>0</v>
      </c>
      <c r="H700" s="5" t="s">
        <v>396</v>
      </c>
      <c r="I700" s="5">
        <v>2.0</v>
      </c>
      <c r="J700" s="5">
        <v>0.0</v>
      </c>
      <c r="K700" s="5">
        <v>0.0</v>
      </c>
    </row>
    <row r="701" ht="15.75" customHeight="1">
      <c r="A701" s="4" t="s">
        <v>3053</v>
      </c>
      <c r="B701" s="11" t="s">
        <v>3054</v>
      </c>
      <c r="C701" s="5" t="s">
        <v>1398</v>
      </c>
      <c r="D701" s="12" t="s">
        <v>467</v>
      </c>
      <c r="E701" s="13" t="s">
        <v>53</v>
      </c>
      <c r="F701" s="5" t="s">
        <v>469</v>
      </c>
      <c r="G701" s="5" t="b">
        <v>0</v>
      </c>
      <c r="H701" s="5" t="s">
        <v>247</v>
      </c>
      <c r="I701" s="5">
        <v>2.0</v>
      </c>
      <c r="J701" s="5">
        <v>0.0</v>
      </c>
      <c r="K701" s="5">
        <v>0.0</v>
      </c>
    </row>
    <row r="702" ht="15.75" customHeight="1">
      <c r="A702" s="4" t="s">
        <v>3055</v>
      </c>
      <c r="B702" s="11" t="s">
        <v>3056</v>
      </c>
      <c r="C702" s="4" t="s">
        <v>1400</v>
      </c>
      <c r="D702" s="12" t="s">
        <v>29</v>
      </c>
      <c r="E702" s="13" t="s">
        <v>53</v>
      </c>
      <c r="F702" s="5" t="s">
        <v>31</v>
      </c>
      <c r="G702" s="5" t="b">
        <v>0</v>
      </c>
      <c r="H702" s="5" t="s">
        <v>3057</v>
      </c>
      <c r="I702" s="5">
        <v>2.0</v>
      </c>
      <c r="J702" s="5">
        <v>0.0</v>
      </c>
      <c r="K702" s="5">
        <v>0.5</v>
      </c>
    </row>
    <row r="703" ht="15.75" customHeight="1">
      <c r="A703" s="4" t="s">
        <v>3058</v>
      </c>
      <c r="B703" s="11" t="s">
        <v>3059</v>
      </c>
      <c r="C703" s="4" t="s">
        <v>10</v>
      </c>
      <c r="D703" s="12" t="s">
        <v>52</v>
      </c>
      <c r="E703" s="13" t="s">
        <v>93</v>
      </c>
      <c r="F703" s="5" t="s">
        <v>54</v>
      </c>
      <c r="G703" s="5" t="b">
        <v>0</v>
      </c>
      <c r="H703" s="5" t="s">
        <v>1574</v>
      </c>
      <c r="I703" s="5">
        <v>2.0</v>
      </c>
      <c r="J703" s="5">
        <v>0.0</v>
      </c>
      <c r="K703" s="5">
        <v>0.0</v>
      </c>
    </row>
    <row r="704" ht="15.75" customHeight="1">
      <c r="A704" s="4" t="s">
        <v>3060</v>
      </c>
      <c r="B704" s="11" t="s">
        <v>3061</v>
      </c>
      <c r="C704" s="4" t="s">
        <v>10</v>
      </c>
      <c r="D704" s="12" t="s">
        <v>52</v>
      </c>
      <c r="E704" s="13" t="s">
        <v>93</v>
      </c>
      <c r="F704" s="5" t="s">
        <v>54</v>
      </c>
      <c r="G704" s="5" t="b">
        <v>0</v>
      </c>
      <c r="H704" s="5" t="s">
        <v>877</v>
      </c>
      <c r="I704" s="5">
        <v>2.0</v>
      </c>
      <c r="J704" s="5">
        <v>0.0</v>
      </c>
      <c r="K704" s="5">
        <v>0.0</v>
      </c>
    </row>
    <row r="705" ht="15.75" customHeight="1">
      <c r="A705" s="4" t="s">
        <v>3062</v>
      </c>
      <c r="B705" s="11" t="s">
        <v>3063</v>
      </c>
      <c r="C705" s="4" t="s">
        <v>10</v>
      </c>
      <c r="D705" s="12" t="s">
        <v>52</v>
      </c>
      <c r="E705" s="13" t="s">
        <v>93</v>
      </c>
      <c r="F705" s="5" t="s">
        <v>54</v>
      </c>
      <c r="G705" s="5" t="b">
        <v>0</v>
      </c>
      <c r="H705" s="5" t="s">
        <v>776</v>
      </c>
      <c r="I705" s="5">
        <v>2.0</v>
      </c>
      <c r="J705" s="5">
        <v>0.0</v>
      </c>
      <c r="K705" s="5">
        <v>0.0</v>
      </c>
    </row>
    <row r="706" ht="15.75" customHeight="1">
      <c r="A706" s="4" t="s">
        <v>3064</v>
      </c>
      <c r="B706" s="11" t="s">
        <v>3065</v>
      </c>
      <c r="C706" s="4" t="s">
        <v>10</v>
      </c>
      <c r="D706" s="12" t="s">
        <v>52</v>
      </c>
      <c r="E706" s="13" t="s">
        <v>93</v>
      </c>
      <c r="F706" s="5" t="s">
        <v>54</v>
      </c>
      <c r="G706" s="5" t="b">
        <v>0</v>
      </c>
      <c r="H706" s="5" t="s">
        <v>2392</v>
      </c>
      <c r="I706" s="5">
        <v>2.0</v>
      </c>
      <c r="J706" s="5">
        <v>0.0</v>
      </c>
      <c r="K706" s="5">
        <v>0.0</v>
      </c>
    </row>
    <row r="707" ht="15.75" customHeight="1">
      <c r="A707" s="4" t="s">
        <v>3066</v>
      </c>
      <c r="B707" s="11" t="s">
        <v>3067</v>
      </c>
      <c r="C707" s="4" t="s">
        <v>10</v>
      </c>
      <c r="D707" s="12" t="s">
        <v>52</v>
      </c>
      <c r="E707" s="13" t="s">
        <v>93</v>
      </c>
      <c r="F707" s="5" t="s">
        <v>54</v>
      </c>
      <c r="G707" s="5" t="b">
        <v>0</v>
      </c>
      <c r="H707" s="5" t="s">
        <v>2512</v>
      </c>
      <c r="I707" s="5">
        <v>2.0</v>
      </c>
      <c r="J707" s="5">
        <v>0.0</v>
      </c>
      <c r="K707" s="5">
        <v>0.0</v>
      </c>
    </row>
    <row r="708" ht="15.75" customHeight="1">
      <c r="A708" s="4" t="s">
        <v>3068</v>
      </c>
      <c r="B708" s="11" t="s">
        <v>3069</v>
      </c>
      <c r="C708" s="4" t="s">
        <v>10</v>
      </c>
      <c r="D708" s="12" t="s">
        <v>52</v>
      </c>
      <c r="E708" s="13" t="s">
        <v>93</v>
      </c>
      <c r="F708" s="5" t="s">
        <v>54</v>
      </c>
      <c r="G708" s="5" t="b">
        <v>0</v>
      </c>
      <c r="H708" s="5" t="s">
        <v>3070</v>
      </c>
      <c r="I708" s="5">
        <v>2.0</v>
      </c>
      <c r="J708" s="5">
        <v>0.0</v>
      </c>
      <c r="K708" s="5">
        <v>0.0</v>
      </c>
    </row>
    <row r="709" ht="15.75" customHeight="1">
      <c r="A709" s="4" t="s">
        <v>3071</v>
      </c>
      <c r="B709" s="11" t="s">
        <v>3072</v>
      </c>
      <c r="C709" s="4" t="s">
        <v>10</v>
      </c>
      <c r="D709" s="12" t="s">
        <v>297</v>
      </c>
      <c r="E709" s="13" t="s">
        <v>93</v>
      </c>
      <c r="F709" s="5" t="s">
        <v>298</v>
      </c>
      <c r="G709" s="5" t="b">
        <v>0</v>
      </c>
      <c r="H709" s="5" t="s">
        <v>3073</v>
      </c>
      <c r="I709" s="5">
        <v>2.0</v>
      </c>
      <c r="J709" s="5">
        <v>0.0</v>
      </c>
      <c r="K709" s="5">
        <v>0.0</v>
      </c>
    </row>
    <row r="710" ht="15.75" customHeight="1">
      <c r="A710" s="4" t="s">
        <v>3074</v>
      </c>
      <c r="B710" s="11" t="s">
        <v>3075</v>
      </c>
      <c r="C710" s="4" t="s">
        <v>323</v>
      </c>
      <c r="D710" s="12" t="s">
        <v>52</v>
      </c>
      <c r="E710" s="13" t="s">
        <v>53</v>
      </c>
      <c r="F710" s="5" t="s">
        <v>54</v>
      </c>
      <c r="G710" s="5" t="b">
        <v>0</v>
      </c>
      <c r="H710" s="5" t="s">
        <v>3076</v>
      </c>
      <c r="I710" s="5">
        <v>2.0</v>
      </c>
      <c r="J710" s="5">
        <v>0.0</v>
      </c>
      <c r="K710" s="5">
        <v>0.0</v>
      </c>
    </row>
    <row r="711" ht="15.75" customHeight="1">
      <c r="A711" s="4" t="s">
        <v>3077</v>
      </c>
      <c r="B711" s="11" t="s">
        <v>3078</v>
      </c>
      <c r="C711" s="4" t="s">
        <v>1402</v>
      </c>
      <c r="D711" s="12" t="s">
        <v>29</v>
      </c>
      <c r="E711" s="13" t="s">
        <v>53</v>
      </c>
      <c r="F711" s="5" t="s">
        <v>31</v>
      </c>
      <c r="G711" s="5" t="b">
        <v>0</v>
      </c>
      <c r="H711" s="5" t="s">
        <v>3079</v>
      </c>
      <c r="I711" s="5">
        <v>2.0</v>
      </c>
      <c r="J711" s="5">
        <v>0.0</v>
      </c>
      <c r="K711" s="5">
        <v>0.0</v>
      </c>
    </row>
    <row r="712" ht="15.75" customHeight="1">
      <c r="A712" s="4" t="s">
        <v>3080</v>
      </c>
      <c r="B712" s="11" t="s">
        <v>3081</v>
      </c>
      <c r="C712" s="4" t="s">
        <v>1405</v>
      </c>
      <c r="D712" s="12" t="s">
        <v>433</v>
      </c>
      <c r="E712" s="13" t="s">
        <v>53</v>
      </c>
      <c r="F712" s="5" t="s">
        <v>434</v>
      </c>
      <c r="G712" s="5" t="b">
        <v>0</v>
      </c>
      <c r="H712" s="5" t="s">
        <v>3082</v>
      </c>
      <c r="I712" s="5">
        <v>2.0</v>
      </c>
      <c r="J712" s="5">
        <v>0.0</v>
      </c>
      <c r="K712" s="5">
        <v>0.5</v>
      </c>
    </row>
    <row r="713" ht="15.75" customHeight="1">
      <c r="A713" s="4" t="s">
        <v>3083</v>
      </c>
      <c r="B713" s="11" t="s">
        <v>3084</v>
      </c>
      <c r="C713" s="4" t="s">
        <v>424</v>
      </c>
      <c r="D713" s="12" t="s">
        <v>29</v>
      </c>
      <c r="E713" s="13" t="s">
        <v>93</v>
      </c>
      <c r="F713" s="5" t="s">
        <v>31</v>
      </c>
      <c r="G713" s="5" t="b">
        <v>0</v>
      </c>
      <c r="H713" s="5" t="s">
        <v>3085</v>
      </c>
      <c r="I713" s="5">
        <v>2.0</v>
      </c>
      <c r="J713" s="5">
        <v>0.0</v>
      </c>
      <c r="K713" s="5">
        <v>0.0</v>
      </c>
    </row>
    <row r="714" ht="15.75" customHeight="1">
      <c r="A714" s="4" t="s">
        <v>3086</v>
      </c>
      <c r="B714" s="11" t="s">
        <v>3087</v>
      </c>
      <c r="C714" s="4" t="s">
        <v>92</v>
      </c>
      <c r="D714" s="12" t="s">
        <v>670</v>
      </c>
      <c r="E714" s="13" t="s">
        <v>84</v>
      </c>
      <c r="F714" s="5" t="s">
        <v>671</v>
      </c>
      <c r="G714" s="5" t="b">
        <v>0</v>
      </c>
      <c r="I714" s="5">
        <v>2.0</v>
      </c>
      <c r="J714" s="5">
        <v>0.0</v>
      </c>
      <c r="K714" s="5">
        <v>0.0</v>
      </c>
    </row>
    <row r="715" ht="15.75" customHeight="1">
      <c r="A715" s="4" t="s">
        <v>3088</v>
      </c>
      <c r="B715" s="11" t="s">
        <v>3089</v>
      </c>
      <c r="C715" s="4" t="s">
        <v>239</v>
      </c>
      <c r="D715" s="12" t="s">
        <v>84</v>
      </c>
      <c r="E715" s="13" t="s">
        <v>93</v>
      </c>
      <c r="F715" s="5" t="s">
        <v>85</v>
      </c>
      <c r="G715" s="5" t="b">
        <v>0</v>
      </c>
      <c r="H715" s="5" t="s">
        <v>396</v>
      </c>
      <c r="I715" s="5">
        <v>2.0</v>
      </c>
      <c r="J715" s="5">
        <v>0.0</v>
      </c>
      <c r="K715" s="5">
        <v>1.0</v>
      </c>
    </row>
    <row r="716" ht="15.75" customHeight="1">
      <c r="A716" s="4" t="s">
        <v>3090</v>
      </c>
      <c r="B716" s="11" t="s">
        <v>3091</v>
      </c>
      <c r="C716" s="4" t="s">
        <v>112</v>
      </c>
      <c r="D716" s="12" t="s">
        <v>29</v>
      </c>
      <c r="E716" s="13" t="s">
        <v>53</v>
      </c>
      <c r="F716" s="5" t="s">
        <v>31</v>
      </c>
      <c r="G716" s="5" t="b">
        <v>0</v>
      </c>
      <c r="H716" s="5" t="s">
        <v>3092</v>
      </c>
      <c r="I716" s="5">
        <v>2.0</v>
      </c>
      <c r="J716" s="5">
        <v>0.0</v>
      </c>
      <c r="K716" s="5">
        <v>1.0</v>
      </c>
    </row>
    <row r="717" ht="15.75" customHeight="1">
      <c r="A717" s="4" t="s">
        <v>3093</v>
      </c>
      <c r="B717" s="11" t="s">
        <v>3094</v>
      </c>
      <c r="C717" s="4" t="s">
        <v>1409</v>
      </c>
      <c r="D717" s="12" t="s">
        <v>467</v>
      </c>
      <c r="E717" s="13" t="s">
        <v>53</v>
      </c>
      <c r="F717" s="5" t="s">
        <v>469</v>
      </c>
      <c r="G717" s="5" t="b">
        <v>0</v>
      </c>
      <c r="I717" s="5">
        <v>2.0</v>
      </c>
      <c r="J717" s="5">
        <v>0.0</v>
      </c>
      <c r="K717" s="5">
        <v>0.0</v>
      </c>
    </row>
    <row r="718" ht="15.75" customHeight="1">
      <c r="A718" s="4" t="s">
        <v>3095</v>
      </c>
      <c r="B718" s="11" t="s">
        <v>3096</v>
      </c>
      <c r="C718" s="4" t="s">
        <v>357</v>
      </c>
      <c r="D718" s="12" t="s">
        <v>29</v>
      </c>
      <c r="E718" s="13" t="s">
        <v>678</v>
      </c>
      <c r="F718" s="5" t="s">
        <v>31</v>
      </c>
      <c r="G718" s="5" t="b">
        <v>0</v>
      </c>
      <c r="H718" s="5" t="s">
        <v>3097</v>
      </c>
      <c r="I718" s="5">
        <v>2.0</v>
      </c>
      <c r="J718" s="5">
        <v>0.0</v>
      </c>
      <c r="K718" s="5">
        <v>0.0</v>
      </c>
    </row>
    <row r="719" ht="15.75" customHeight="1">
      <c r="A719" s="4" t="s">
        <v>3098</v>
      </c>
      <c r="B719" s="11" t="s">
        <v>3099</v>
      </c>
      <c r="C719" s="4" t="s">
        <v>902</v>
      </c>
      <c r="D719" s="12" t="s">
        <v>29</v>
      </c>
      <c r="E719" s="13" t="s">
        <v>53</v>
      </c>
      <c r="F719" s="5" t="s">
        <v>31</v>
      </c>
      <c r="G719" s="5" t="b">
        <v>0</v>
      </c>
      <c r="H719" s="5" t="s">
        <v>3100</v>
      </c>
      <c r="I719" s="5">
        <v>2.0</v>
      </c>
      <c r="J719" s="5">
        <v>0.0</v>
      </c>
      <c r="K719" s="5">
        <v>2.5</v>
      </c>
    </row>
    <row r="720" ht="15.75" customHeight="1">
      <c r="A720" s="4" t="s">
        <v>3101</v>
      </c>
      <c r="B720" s="11" t="s">
        <v>3102</v>
      </c>
      <c r="C720" s="4" t="s">
        <v>449</v>
      </c>
      <c r="D720" s="12" t="s">
        <v>52</v>
      </c>
      <c r="E720" s="13" t="s">
        <v>93</v>
      </c>
      <c r="F720" s="5" t="s">
        <v>54</v>
      </c>
      <c r="G720" s="5" t="b">
        <v>0</v>
      </c>
      <c r="H720" s="5" t="s">
        <v>1539</v>
      </c>
      <c r="I720" s="5">
        <v>2.0</v>
      </c>
      <c r="J720" s="5">
        <v>0.0</v>
      </c>
      <c r="K720" s="5">
        <v>0.0</v>
      </c>
    </row>
    <row r="721" ht="15.75" customHeight="1">
      <c r="A721" s="4" t="s">
        <v>3103</v>
      </c>
      <c r="B721" s="11" t="s">
        <v>3104</v>
      </c>
      <c r="C721" s="4" t="s">
        <v>1218</v>
      </c>
      <c r="D721" s="12" t="s">
        <v>29</v>
      </c>
      <c r="E721" s="13" t="s">
        <v>81</v>
      </c>
      <c r="F721" s="5" t="s">
        <v>31</v>
      </c>
      <c r="G721" s="5" t="b">
        <v>0</v>
      </c>
      <c r="H721" s="5" t="s">
        <v>1220</v>
      </c>
      <c r="I721" s="5">
        <v>2.0</v>
      </c>
      <c r="J721" s="5">
        <v>0.0</v>
      </c>
      <c r="K721" s="5">
        <v>1.0</v>
      </c>
    </row>
    <row r="722" ht="15.75" customHeight="1">
      <c r="A722" s="4" t="s">
        <v>3105</v>
      </c>
      <c r="B722" s="11" t="s">
        <v>3106</v>
      </c>
      <c r="C722" s="4" t="s">
        <v>1066</v>
      </c>
      <c r="D722" s="12" t="s">
        <v>261</v>
      </c>
      <c r="E722" s="13" t="s">
        <v>678</v>
      </c>
      <c r="F722" s="5" t="s">
        <v>263</v>
      </c>
      <c r="G722" s="5" t="b">
        <v>0</v>
      </c>
      <c r="H722" s="5" t="s">
        <v>3106</v>
      </c>
      <c r="I722" s="5">
        <v>2.0</v>
      </c>
      <c r="J722" s="5">
        <v>0.0</v>
      </c>
      <c r="K722" s="5">
        <v>1.5</v>
      </c>
    </row>
    <row r="723" ht="15.75" customHeight="1">
      <c r="A723" s="4" t="s">
        <v>3107</v>
      </c>
      <c r="B723" s="11" t="s">
        <v>3108</v>
      </c>
      <c r="C723" s="4" t="s">
        <v>1190</v>
      </c>
      <c r="D723" s="12" t="s">
        <v>261</v>
      </c>
      <c r="E723" s="13" t="s">
        <v>678</v>
      </c>
      <c r="F723" s="5" t="s">
        <v>263</v>
      </c>
      <c r="G723" s="5" t="b">
        <v>0</v>
      </c>
      <c r="H723" s="5" t="s">
        <v>3109</v>
      </c>
      <c r="I723" s="5">
        <v>2.0</v>
      </c>
      <c r="J723" s="5">
        <v>0.0</v>
      </c>
      <c r="K723" s="5">
        <v>2.0</v>
      </c>
    </row>
    <row r="724" ht="15.75" customHeight="1">
      <c r="A724" s="4" t="s">
        <v>3110</v>
      </c>
      <c r="B724" s="11" t="s">
        <v>3111</v>
      </c>
      <c r="C724" s="4" t="s">
        <v>60</v>
      </c>
      <c r="D724" s="12" t="s">
        <v>126</v>
      </c>
      <c r="E724" s="13" t="s">
        <v>30</v>
      </c>
      <c r="F724" s="5" t="s">
        <v>127</v>
      </c>
      <c r="G724" s="5" t="b">
        <v>0</v>
      </c>
      <c r="H724" s="5" t="s">
        <v>3112</v>
      </c>
      <c r="I724" s="5">
        <v>2.0</v>
      </c>
      <c r="J724" s="5">
        <v>0.0</v>
      </c>
      <c r="K724" s="5">
        <v>0.0</v>
      </c>
    </row>
    <row r="725" ht="15.75" customHeight="1">
      <c r="A725" s="4" t="s">
        <v>3113</v>
      </c>
      <c r="B725" s="11" t="s">
        <v>1497</v>
      </c>
      <c r="C725" s="4" t="s">
        <v>373</v>
      </c>
      <c r="D725" s="12" t="s">
        <v>29</v>
      </c>
      <c r="E725" s="13" t="s">
        <v>93</v>
      </c>
      <c r="F725" s="5" t="s">
        <v>31</v>
      </c>
      <c r="G725" s="5" t="b">
        <v>0</v>
      </c>
      <c r="H725" s="5" t="s">
        <v>396</v>
      </c>
      <c r="I725" s="5">
        <v>2.0</v>
      </c>
      <c r="J725" s="5">
        <v>0.0</v>
      </c>
      <c r="K725" s="5">
        <v>0.0</v>
      </c>
    </row>
    <row r="726" ht="15.75" customHeight="1">
      <c r="A726" s="4" t="s">
        <v>3114</v>
      </c>
      <c r="B726" s="11" t="s">
        <v>3115</v>
      </c>
      <c r="C726" s="4" t="s">
        <v>1413</v>
      </c>
      <c r="D726" s="12" t="s">
        <v>433</v>
      </c>
      <c r="E726" s="13" t="s">
        <v>53</v>
      </c>
      <c r="F726" s="5" t="s">
        <v>434</v>
      </c>
      <c r="G726" s="5" t="b">
        <v>0</v>
      </c>
      <c r="H726" s="5" t="s">
        <v>3116</v>
      </c>
      <c r="I726" s="5">
        <v>2.0</v>
      </c>
      <c r="J726" s="5">
        <v>0.0</v>
      </c>
      <c r="K726" s="5">
        <v>0.0</v>
      </c>
    </row>
    <row r="727" ht="15.75" customHeight="1">
      <c r="A727" s="4" t="s">
        <v>3117</v>
      </c>
      <c r="B727" s="11" t="s">
        <v>3118</v>
      </c>
      <c r="C727" s="4" t="s">
        <v>1418</v>
      </c>
      <c r="D727" s="12" t="s">
        <v>126</v>
      </c>
      <c r="E727" s="13" t="s">
        <v>53</v>
      </c>
      <c r="F727" s="5" t="s">
        <v>127</v>
      </c>
      <c r="G727" s="5" t="b">
        <v>0</v>
      </c>
      <c r="H727" s="5" t="s">
        <v>396</v>
      </c>
      <c r="I727" s="5">
        <v>2.0</v>
      </c>
      <c r="J727" s="5">
        <v>0.0</v>
      </c>
      <c r="K727" s="5">
        <v>0.5</v>
      </c>
    </row>
    <row r="728" ht="15.75" customHeight="1">
      <c r="A728" s="4" t="s">
        <v>3119</v>
      </c>
      <c r="B728" s="11" t="s">
        <v>3120</v>
      </c>
      <c r="C728" s="4" t="s">
        <v>343</v>
      </c>
      <c r="D728" s="12" t="s">
        <v>297</v>
      </c>
      <c r="E728" s="13" t="s">
        <v>81</v>
      </c>
      <c r="F728" s="5" t="s">
        <v>298</v>
      </c>
      <c r="G728" s="5" t="b">
        <v>0</v>
      </c>
      <c r="I728" s="5">
        <v>2.0</v>
      </c>
      <c r="J728" s="5">
        <v>0.0</v>
      </c>
      <c r="K728" s="5">
        <v>1.0</v>
      </c>
    </row>
    <row r="729" ht="15.75" customHeight="1">
      <c r="A729" s="4" t="s">
        <v>3121</v>
      </c>
      <c r="B729" s="11" t="s">
        <v>3122</v>
      </c>
      <c r="C729" s="4" t="s">
        <v>343</v>
      </c>
      <c r="D729" s="12" t="s">
        <v>297</v>
      </c>
      <c r="E729" s="13" t="s">
        <v>81</v>
      </c>
      <c r="F729" s="5" t="s">
        <v>298</v>
      </c>
      <c r="G729" s="5" t="b">
        <v>0</v>
      </c>
      <c r="H729" s="5" t="s">
        <v>1292</v>
      </c>
      <c r="I729" s="5">
        <v>2.0</v>
      </c>
      <c r="J729" s="5">
        <v>0.0</v>
      </c>
      <c r="K729" s="5">
        <v>1.0</v>
      </c>
    </row>
    <row r="730" ht="15.75" customHeight="1">
      <c r="A730" s="4" t="s">
        <v>3123</v>
      </c>
      <c r="B730" s="11" t="s">
        <v>3124</v>
      </c>
      <c r="C730" s="4" t="s">
        <v>1198</v>
      </c>
      <c r="D730" s="12" t="s">
        <v>126</v>
      </c>
      <c r="E730" s="13" t="s">
        <v>53</v>
      </c>
      <c r="F730" s="5" t="s">
        <v>127</v>
      </c>
      <c r="G730" s="5" t="b">
        <v>0</v>
      </c>
      <c r="I730" s="5">
        <v>2.0</v>
      </c>
      <c r="J730" s="5">
        <v>0.0</v>
      </c>
      <c r="K730" s="5">
        <v>0.0</v>
      </c>
    </row>
    <row r="731" ht="15.75" customHeight="1">
      <c r="A731" s="4" t="s">
        <v>3125</v>
      </c>
      <c r="B731" s="11" t="s">
        <v>3126</v>
      </c>
      <c r="C731" s="4" t="s">
        <v>648</v>
      </c>
      <c r="D731" s="12" t="s">
        <v>126</v>
      </c>
      <c r="E731" s="13" t="s">
        <v>53</v>
      </c>
      <c r="F731" s="5" t="s">
        <v>127</v>
      </c>
      <c r="G731" s="5" t="b">
        <v>0</v>
      </c>
      <c r="I731" s="5">
        <v>2.0</v>
      </c>
      <c r="J731" s="5">
        <v>0.0</v>
      </c>
      <c r="K731" s="5">
        <v>1.5</v>
      </c>
    </row>
    <row r="732" ht="15.75" customHeight="1">
      <c r="A732" s="4" t="s">
        <v>3127</v>
      </c>
      <c r="B732" s="11" t="s">
        <v>3128</v>
      </c>
      <c r="C732" s="4" t="s">
        <v>1420</v>
      </c>
      <c r="D732" s="12" t="s">
        <v>126</v>
      </c>
      <c r="E732" s="13" t="s">
        <v>53</v>
      </c>
      <c r="F732" s="5" t="s">
        <v>127</v>
      </c>
      <c r="G732" s="5" t="b">
        <v>0</v>
      </c>
      <c r="H732" s="5" t="s">
        <v>2557</v>
      </c>
      <c r="I732" s="5">
        <v>2.0</v>
      </c>
      <c r="J732" s="5">
        <v>0.0</v>
      </c>
      <c r="K732" s="5">
        <v>2.5</v>
      </c>
    </row>
    <row r="733" ht="15.75" customHeight="1">
      <c r="A733" s="4" t="s">
        <v>3129</v>
      </c>
      <c r="B733" s="11" t="s">
        <v>3130</v>
      </c>
      <c r="C733" s="4" t="s">
        <v>1423</v>
      </c>
      <c r="D733" s="12" t="s">
        <v>467</v>
      </c>
      <c r="E733" s="13" t="s">
        <v>53</v>
      </c>
      <c r="F733" s="5" t="s">
        <v>469</v>
      </c>
      <c r="G733" s="5" t="b">
        <v>0</v>
      </c>
      <c r="I733" s="5">
        <v>2.0</v>
      </c>
      <c r="J733" s="5">
        <v>0.0</v>
      </c>
      <c r="K733" s="5">
        <v>1.5</v>
      </c>
    </row>
    <row r="734" ht="15.75" customHeight="1">
      <c r="A734" s="4" t="s">
        <v>3131</v>
      </c>
      <c r="B734" s="11" t="s">
        <v>3132</v>
      </c>
      <c r="C734" s="4" t="s">
        <v>179</v>
      </c>
      <c r="D734" s="12" t="s">
        <v>29</v>
      </c>
      <c r="E734" s="13" t="s">
        <v>53</v>
      </c>
      <c r="F734" s="5" t="s">
        <v>31</v>
      </c>
      <c r="G734" s="5" t="b">
        <v>0</v>
      </c>
      <c r="H734" s="5" t="s">
        <v>3133</v>
      </c>
      <c r="I734" s="5">
        <v>2.0</v>
      </c>
      <c r="J734" s="5">
        <v>0.0</v>
      </c>
      <c r="K734" s="5">
        <v>2.0</v>
      </c>
    </row>
    <row r="735" ht="15.75" customHeight="1">
      <c r="A735" s="4" t="s">
        <v>3134</v>
      </c>
      <c r="B735" s="11" t="s">
        <v>3135</v>
      </c>
      <c r="C735" s="4" t="s">
        <v>179</v>
      </c>
      <c r="D735" s="12" t="s">
        <v>29</v>
      </c>
      <c r="E735" s="13" t="s">
        <v>53</v>
      </c>
      <c r="F735" s="5" t="s">
        <v>31</v>
      </c>
      <c r="G735" s="5" t="b">
        <v>0</v>
      </c>
      <c r="H735" s="5" t="s">
        <v>3136</v>
      </c>
      <c r="I735" s="5">
        <v>2.0</v>
      </c>
      <c r="J735" s="5">
        <v>0.0</v>
      </c>
      <c r="K735" s="5">
        <v>1.0</v>
      </c>
    </row>
    <row r="736" ht="15.75" customHeight="1">
      <c r="A736" s="4" t="s">
        <v>3137</v>
      </c>
      <c r="B736" s="11" t="s">
        <v>3138</v>
      </c>
      <c r="C736" s="4" t="s">
        <v>116</v>
      </c>
      <c r="D736" s="12" t="s">
        <v>261</v>
      </c>
      <c r="E736" s="13" t="s">
        <v>30</v>
      </c>
      <c r="F736" s="5" t="s">
        <v>263</v>
      </c>
      <c r="G736" s="5" t="b">
        <v>0</v>
      </c>
      <c r="H736" s="5" t="s">
        <v>749</v>
      </c>
      <c r="I736" s="5">
        <v>2.0</v>
      </c>
      <c r="J736" s="5">
        <v>0.0</v>
      </c>
      <c r="K736" s="5">
        <v>2.5</v>
      </c>
    </row>
    <row r="737" ht="15.75" customHeight="1">
      <c r="A737" s="4" t="s">
        <v>3139</v>
      </c>
      <c r="B737" s="11" t="s">
        <v>3140</v>
      </c>
      <c r="C737" s="4" t="s">
        <v>1431</v>
      </c>
      <c r="D737" s="12" t="s">
        <v>126</v>
      </c>
      <c r="E737" s="13" t="s">
        <v>53</v>
      </c>
      <c r="F737" s="5" t="s">
        <v>127</v>
      </c>
      <c r="G737" s="5" t="b">
        <v>0</v>
      </c>
      <c r="H737" s="5" t="s">
        <v>3141</v>
      </c>
      <c r="I737" s="5">
        <v>2.0</v>
      </c>
      <c r="J737" s="5">
        <v>0.0</v>
      </c>
      <c r="K737" s="5">
        <v>0.0</v>
      </c>
    </row>
    <row r="738" ht="15.75" customHeight="1">
      <c r="A738" s="4" t="s">
        <v>3142</v>
      </c>
      <c r="B738" s="13"/>
      <c r="C738" s="4" t="s">
        <v>1435</v>
      </c>
      <c r="D738" s="12" t="s">
        <v>84</v>
      </c>
      <c r="E738" s="13" t="s">
        <v>53</v>
      </c>
      <c r="F738" s="5" t="s">
        <v>85</v>
      </c>
      <c r="H738" s="5" t="s">
        <v>233</v>
      </c>
      <c r="I738" s="5">
        <v>2.0</v>
      </c>
      <c r="J738" s="5">
        <v>0.0</v>
      </c>
      <c r="K738" s="5">
        <v>0.0</v>
      </c>
    </row>
    <row r="739" ht="15.75" customHeight="1">
      <c r="A739" s="4" t="s">
        <v>3143</v>
      </c>
      <c r="B739" s="11" t="s">
        <v>3144</v>
      </c>
      <c r="C739" s="5" t="s">
        <v>1470</v>
      </c>
      <c r="D739" s="12" t="s">
        <v>261</v>
      </c>
      <c r="E739" s="13" t="s">
        <v>53</v>
      </c>
      <c r="F739" s="5" t="s">
        <v>263</v>
      </c>
      <c r="G739" s="5" t="b">
        <v>0</v>
      </c>
      <c r="H739" s="5" t="s">
        <v>396</v>
      </c>
      <c r="I739" s="5">
        <v>1.0</v>
      </c>
      <c r="J739" s="5">
        <v>0.0</v>
      </c>
      <c r="K739" s="5">
        <v>0.0</v>
      </c>
    </row>
    <row r="740" ht="15.75" customHeight="1">
      <c r="A740" s="4" t="s">
        <v>3145</v>
      </c>
      <c r="B740" s="11" t="s">
        <v>3146</v>
      </c>
      <c r="C740" s="4" t="s">
        <v>1471</v>
      </c>
      <c r="D740" s="12" t="s">
        <v>29</v>
      </c>
      <c r="E740" s="13" t="s">
        <v>53</v>
      </c>
      <c r="F740" s="5" t="s">
        <v>31</v>
      </c>
      <c r="G740" s="5" t="b">
        <v>0</v>
      </c>
      <c r="H740" s="5" t="s">
        <v>1473</v>
      </c>
      <c r="I740" s="5">
        <v>1.0</v>
      </c>
      <c r="J740" s="5">
        <v>0.0</v>
      </c>
      <c r="K740" s="5">
        <v>1.0</v>
      </c>
    </row>
    <row r="741" ht="15.75" customHeight="1">
      <c r="A741" s="4" t="s">
        <v>3147</v>
      </c>
      <c r="B741" s="11" t="s">
        <v>3148</v>
      </c>
      <c r="C741" s="5" t="s">
        <v>1474</v>
      </c>
      <c r="D741" s="12" t="s">
        <v>84</v>
      </c>
      <c r="E741" s="13" t="s">
        <v>53</v>
      </c>
      <c r="F741" s="5" t="s">
        <v>85</v>
      </c>
      <c r="G741" s="5" t="b">
        <v>0</v>
      </c>
      <c r="H741" s="5" t="s">
        <v>399</v>
      </c>
      <c r="I741" s="5">
        <v>1.0</v>
      </c>
      <c r="J741" s="5">
        <v>0.0</v>
      </c>
      <c r="K741" s="5">
        <v>0.0</v>
      </c>
    </row>
    <row r="742" ht="15.75" customHeight="1">
      <c r="A742" s="4" t="s">
        <v>3149</v>
      </c>
      <c r="B742" s="11" t="s">
        <v>3150</v>
      </c>
      <c r="C742" s="4" t="s">
        <v>1476</v>
      </c>
      <c r="D742" s="12" t="s">
        <v>670</v>
      </c>
      <c r="E742" s="13" t="s">
        <v>53</v>
      </c>
      <c r="F742" s="5" t="s">
        <v>671</v>
      </c>
      <c r="G742" s="5" t="b">
        <v>0</v>
      </c>
      <c r="I742" s="5">
        <v>1.0</v>
      </c>
      <c r="J742" s="5">
        <v>0.0</v>
      </c>
      <c r="K742" s="5">
        <v>0.0</v>
      </c>
    </row>
    <row r="743" ht="15.75" customHeight="1">
      <c r="A743" s="4" t="s">
        <v>3151</v>
      </c>
      <c r="B743" s="11" t="s">
        <v>3152</v>
      </c>
      <c r="C743" s="5" t="s">
        <v>1479</v>
      </c>
      <c r="D743" s="12" t="s">
        <v>29</v>
      </c>
      <c r="E743" s="13" t="s">
        <v>53</v>
      </c>
      <c r="F743" s="5" t="s">
        <v>31</v>
      </c>
      <c r="G743" s="5" t="b">
        <v>0</v>
      </c>
      <c r="I743" s="5">
        <v>1.0</v>
      </c>
      <c r="J743" s="5">
        <v>0.0</v>
      </c>
      <c r="K743" s="5">
        <v>0.0</v>
      </c>
    </row>
    <row r="744" ht="15.75" customHeight="1">
      <c r="A744" s="4" t="s">
        <v>3153</v>
      </c>
      <c r="B744" s="11" t="s">
        <v>3154</v>
      </c>
      <c r="C744" s="4" t="s">
        <v>1480</v>
      </c>
      <c r="D744" s="12" t="s">
        <v>126</v>
      </c>
      <c r="E744" s="13" t="s">
        <v>53</v>
      </c>
      <c r="F744" s="5" t="s">
        <v>127</v>
      </c>
      <c r="G744" s="5" t="b">
        <v>0</v>
      </c>
      <c r="I744" s="5">
        <v>1.0</v>
      </c>
      <c r="J744" s="5">
        <v>0.0</v>
      </c>
      <c r="K744" s="5">
        <v>1.0</v>
      </c>
    </row>
    <row r="745" ht="15.75" customHeight="1">
      <c r="A745" s="4" t="s">
        <v>3155</v>
      </c>
      <c r="B745" s="11" t="s">
        <v>3156</v>
      </c>
      <c r="C745" s="4" t="s">
        <v>432</v>
      </c>
      <c r="D745" s="12" t="s">
        <v>52</v>
      </c>
      <c r="E745" s="13" t="s">
        <v>93</v>
      </c>
      <c r="F745" s="5" t="s">
        <v>54</v>
      </c>
      <c r="G745" s="5" t="b">
        <v>0</v>
      </c>
      <c r="H745" s="5" t="s">
        <v>3157</v>
      </c>
      <c r="I745" s="5">
        <v>1.0</v>
      </c>
      <c r="J745" s="5">
        <v>0.0</v>
      </c>
      <c r="K745" s="5">
        <v>1.0</v>
      </c>
    </row>
    <row r="746" ht="15.75" customHeight="1">
      <c r="A746" s="4" t="s">
        <v>3158</v>
      </c>
      <c r="B746" s="13"/>
      <c r="C746" s="5" t="s">
        <v>1484</v>
      </c>
      <c r="D746" s="12" t="s">
        <v>84</v>
      </c>
      <c r="E746" s="13" t="s">
        <v>53</v>
      </c>
      <c r="F746" s="5" t="s">
        <v>85</v>
      </c>
      <c r="H746" s="5" t="s">
        <v>233</v>
      </c>
      <c r="I746" s="5">
        <v>1.0</v>
      </c>
      <c r="J746" s="5">
        <v>0.0</v>
      </c>
      <c r="K746" s="5">
        <v>2.0</v>
      </c>
    </row>
    <row r="747" ht="15.75" customHeight="1">
      <c r="A747" s="4" t="s">
        <v>3159</v>
      </c>
      <c r="B747" s="11" t="s">
        <v>3160</v>
      </c>
      <c r="C747" s="4" t="s">
        <v>1485</v>
      </c>
      <c r="D747" s="12" t="s">
        <v>84</v>
      </c>
      <c r="E747" s="13" t="s">
        <v>53</v>
      </c>
      <c r="F747" s="5" t="s">
        <v>85</v>
      </c>
      <c r="G747" s="5" t="b">
        <v>0</v>
      </c>
      <c r="I747" s="5">
        <v>1.0</v>
      </c>
      <c r="J747" s="5">
        <v>0.0</v>
      </c>
      <c r="K747" s="5">
        <v>1.0</v>
      </c>
    </row>
    <row r="748" ht="15.75" customHeight="1">
      <c r="A748" s="4" t="s">
        <v>3161</v>
      </c>
      <c r="B748" s="11" t="s">
        <v>3162</v>
      </c>
      <c r="C748" s="4" t="s">
        <v>1487</v>
      </c>
      <c r="D748" s="12" t="s">
        <v>126</v>
      </c>
      <c r="E748" s="13" t="s">
        <v>53</v>
      </c>
      <c r="F748" s="5" t="s">
        <v>127</v>
      </c>
      <c r="G748" s="5" t="b">
        <v>0</v>
      </c>
      <c r="I748" s="5">
        <v>1.0</v>
      </c>
      <c r="J748" s="5">
        <v>0.0</v>
      </c>
      <c r="K748" s="5">
        <v>0.0</v>
      </c>
    </row>
    <row r="749" ht="15.75" customHeight="1">
      <c r="A749" s="4" t="s">
        <v>3163</v>
      </c>
      <c r="B749" s="11" t="s">
        <v>3164</v>
      </c>
      <c r="C749" s="4" t="s">
        <v>1233</v>
      </c>
      <c r="D749" s="12" t="s">
        <v>297</v>
      </c>
      <c r="E749" s="13" t="s">
        <v>2235</v>
      </c>
      <c r="F749" s="5" t="s">
        <v>298</v>
      </c>
      <c r="G749" s="5" t="b">
        <v>0</v>
      </c>
      <c r="H749" s="5" t="s">
        <v>3165</v>
      </c>
      <c r="I749" s="5">
        <v>1.0</v>
      </c>
      <c r="J749" s="5">
        <v>0.0</v>
      </c>
      <c r="K749" s="5">
        <v>1.0</v>
      </c>
    </row>
    <row r="750" ht="15.75" customHeight="1">
      <c r="A750" s="4" t="s">
        <v>3166</v>
      </c>
      <c r="B750" s="11" t="s">
        <v>3167</v>
      </c>
      <c r="C750" s="4" t="s">
        <v>1233</v>
      </c>
      <c r="D750" s="12" t="s">
        <v>52</v>
      </c>
      <c r="E750" s="13" t="s">
        <v>2235</v>
      </c>
      <c r="F750" s="5" t="s">
        <v>54</v>
      </c>
      <c r="G750" s="5" t="b">
        <v>0</v>
      </c>
      <c r="H750" s="5" t="s">
        <v>3168</v>
      </c>
      <c r="I750" s="5">
        <v>1.0</v>
      </c>
      <c r="J750" s="5">
        <v>0.0</v>
      </c>
      <c r="K750" s="5">
        <v>0.0</v>
      </c>
    </row>
    <row r="751" ht="15.75" customHeight="1">
      <c r="A751" s="4" t="s">
        <v>3169</v>
      </c>
      <c r="B751" s="11" t="s">
        <v>3170</v>
      </c>
      <c r="C751" s="4" t="s">
        <v>1983</v>
      </c>
      <c r="D751" s="12" t="s">
        <v>670</v>
      </c>
      <c r="E751" s="13" t="s">
        <v>53</v>
      </c>
      <c r="F751" s="5" t="s">
        <v>671</v>
      </c>
      <c r="G751" s="5" t="b">
        <v>0</v>
      </c>
      <c r="I751" s="5">
        <v>1.0</v>
      </c>
      <c r="J751" s="5">
        <v>0.0</v>
      </c>
      <c r="K751" s="5">
        <v>0.0</v>
      </c>
    </row>
    <row r="752" ht="15.75" customHeight="1">
      <c r="A752" s="4" t="s">
        <v>3171</v>
      </c>
      <c r="B752" s="11" t="s">
        <v>3172</v>
      </c>
      <c r="C752" s="4" t="s">
        <v>92</v>
      </c>
      <c r="D752" s="12" t="s">
        <v>84</v>
      </c>
      <c r="E752" s="13" t="s">
        <v>84</v>
      </c>
      <c r="F752" s="5" t="s">
        <v>85</v>
      </c>
      <c r="G752" s="5" t="b">
        <v>0</v>
      </c>
      <c r="I752" s="5">
        <v>1.0</v>
      </c>
      <c r="J752" s="5">
        <v>0.0</v>
      </c>
      <c r="K752" s="5">
        <v>0.0</v>
      </c>
    </row>
    <row r="753" ht="15.75" customHeight="1">
      <c r="A753" s="4" t="s">
        <v>3173</v>
      </c>
      <c r="B753" s="11" t="s">
        <v>3174</v>
      </c>
      <c r="C753" s="4" t="s">
        <v>1491</v>
      </c>
      <c r="D753" s="12" t="s">
        <v>29</v>
      </c>
      <c r="E753" s="13" t="s">
        <v>53</v>
      </c>
      <c r="F753" s="5" t="s">
        <v>31</v>
      </c>
      <c r="G753" s="5" t="b">
        <v>0</v>
      </c>
      <c r="H753" s="5" t="s">
        <v>1494</v>
      </c>
      <c r="I753" s="5">
        <v>1.0</v>
      </c>
      <c r="J753" s="5">
        <v>0.0</v>
      </c>
      <c r="K753" s="5">
        <v>0.0</v>
      </c>
    </row>
    <row r="754" ht="15.75" customHeight="1">
      <c r="A754" s="4" t="s">
        <v>3175</v>
      </c>
      <c r="B754" s="11" t="s">
        <v>3176</v>
      </c>
      <c r="C754" s="4" t="s">
        <v>1496</v>
      </c>
      <c r="D754" s="12" t="s">
        <v>297</v>
      </c>
      <c r="E754" s="13" t="s">
        <v>53</v>
      </c>
      <c r="F754" s="5" t="s">
        <v>298</v>
      </c>
      <c r="G754" s="5" t="b">
        <v>0</v>
      </c>
      <c r="H754" s="5" t="s">
        <v>1463</v>
      </c>
      <c r="I754" s="5">
        <v>1.0</v>
      </c>
      <c r="J754" s="5">
        <v>0.0</v>
      </c>
      <c r="K754" s="5">
        <v>1.0</v>
      </c>
    </row>
    <row r="755" ht="15.75" customHeight="1">
      <c r="A755" s="4" t="s">
        <v>3177</v>
      </c>
      <c r="B755" s="11" t="s">
        <v>3178</v>
      </c>
      <c r="C755" s="4" t="s">
        <v>1498</v>
      </c>
      <c r="D755" s="12" t="s">
        <v>261</v>
      </c>
      <c r="E755" s="13" t="s">
        <v>678</v>
      </c>
      <c r="F755" s="5" t="s">
        <v>263</v>
      </c>
      <c r="G755" s="5" t="b">
        <v>0</v>
      </c>
      <c r="I755" s="5">
        <v>1.0</v>
      </c>
      <c r="J755" s="5">
        <v>0.0</v>
      </c>
      <c r="K755" s="5">
        <v>0.0</v>
      </c>
    </row>
    <row r="756" ht="15.75" customHeight="1">
      <c r="A756" s="4" t="s">
        <v>3179</v>
      </c>
      <c r="B756" s="11" t="s">
        <v>3180</v>
      </c>
      <c r="C756" s="4" t="s">
        <v>1501</v>
      </c>
      <c r="D756" s="12" t="s">
        <v>126</v>
      </c>
      <c r="E756" s="13" t="s">
        <v>53</v>
      </c>
      <c r="F756" s="5" t="s">
        <v>127</v>
      </c>
      <c r="G756" s="5" t="b">
        <v>0</v>
      </c>
      <c r="I756" s="5">
        <v>1.0</v>
      </c>
      <c r="J756" s="5">
        <v>0.0</v>
      </c>
      <c r="K756" s="5">
        <v>0.0</v>
      </c>
    </row>
    <row r="757" ht="15.75" customHeight="1">
      <c r="A757" s="4" t="s">
        <v>3181</v>
      </c>
      <c r="B757" s="11" t="s">
        <v>3182</v>
      </c>
      <c r="C757" s="4" t="s">
        <v>1502</v>
      </c>
      <c r="D757" s="12" t="s">
        <v>29</v>
      </c>
      <c r="E757" s="13" t="s">
        <v>53</v>
      </c>
      <c r="F757" s="5" t="s">
        <v>31</v>
      </c>
      <c r="G757" s="5" t="b">
        <v>0</v>
      </c>
      <c r="H757" s="5" t="s">
        <v>3183</v>
      </c>
      <c r="I757" s="5">
        <v>1.0</v>
      </c>
      <c r="J757" s="5">
        <v>0.0</v>
      </c>
      <c r="K757" s="5">
        <v>2.0</v>
      </c>
    </row>
    <row r="758" ht="15.75" customHeight="1">
      <c r="A758" s="4" t="s">
        <v>3184</v>
      </c>
      <c r="B758" s="11" t="s">
        <v>3185</v>
      </c>
      <c r="C758" s="4" t="s">
        <v>1506</v>
      </c>
      <c r="D758" s="12" t="s">
        <v>29</v>
      </c>
      <c r="E758" s="13" t="s">
        <v>81</v>
      </c>
      <c r="F758" s="5" t="s">
        <v>31</v>
      </c>
      <c r="G758" s="5" t="b">
        <v>0</v>
      </c>
      <c r="H758" s="5" t="s">
        <v>3186</v>
      </c>
      <c r="I758" s="5">
        <v>1.0</v>
      </c>
      <c r="J758" s="5">
        <v>0.0</v>
      </c>
      <c r="K758" s="5">
        <v>0.0</v>
      </c>
    </row>
    <row r="759" ht="15.75" customHeight="1">
      <c r="A759" s="4" t="s">
        <v>3187</v>
      </c>
      <c r="B759" s="11" t="s">
        <v>3188</v>
      </c>
      <c r="C759" s="4" t="s">
        <v>1509</v>
      </c>
      <c r="D759" s="12" t="s">
        <v>52</v>
      </c>
      <c r="E759" s="13" t="s">
        <v>53</v>
      </c>
      <c r="F759" s="5" t="s">
        <v>54</v>
      </c>
      <c r="G759" s="5" t="b">
        <v>0</v>
      </c>
      <c r="H759" s="5" t="s">
        <v>1511</v>
      </c>
      <c r="I759" s="5">
        <v>1.0</v>
      </c>
      <c r="J759" s="5">
        <v>0.0</v>
      </c>
      <c r="K759" s="5">
        <v>1.0</v>
      </c>
    </row>
    <row r="760" ht="15.75" customHeight="1">
      <c r="A760" s="4" t="s">
        <v>3189</v>
      </c>
      <c r="B760" s="11" t="s">
        <v>3190</v>
      </c>
      <c r="C760" s="4" t="s">
        <v>1512</v>
      </c>
      <c r="D760" s="12" t="s">
        <v>670</v>
      </c>
      <c r="E760" s="13" t="s">
        <v>53</v>
      </c>
      <c r="F760" s="5" t="s">
        <v>671</v>
      </c>
      <c r="G760" s="5" t="b">
        <v>0</v>
      </c>
      <c r="H760" s="5" t="s">
        <v>3191</v>
      </c>
      <c r="I760" s="5">
        <v>1.0</v>
      </c>
      <c r="J760" s="5">
        <v>0.0</v>
      </c>
      <c r="K760" s="5">
        <v>1.0</v>
      </c>
    </row>
    <row r="761" ht="15.75" customHeight="1">
      <c r="A761" s="4" t="s">
        <v>3192</v>
      </c>
      <c r="B761" s="11" t="s">
        <v>3193</v>
      </c>
      <c r="C761" s="4" t="s">
        <v>35</v>
      </c>
      <c r="D761" s="12" t="s">
        <v>52</v>
      </c>
      <c r="E761" s="13" t="s">
        <v>53</v>
      </c>
      <c r="F761" s="5" t="s">
        <v>54</v>
      </c>
      <c r="G761" s="5" t="b">
        <v>0</v>
      </c>
      <c r="H761" s="5" t="s">
        <v>3194</v>
      </c>
      <c r="I761" s="5">
        <v>1.0</v>
      </c>
      <c r="J761" s="5">
        <v>0.0</v>
      </c>
      <c r="K761" s="5">
        <v>0.0</v>
      </c>
    </row>
    <row r="762" ht="15.75" customHeight="1">
      <c r="A762" s="4" t="s">
        <v>3195</v>
      </c>
      <c r="B762" s="11" t="s">
        <v>3196</v>
      </c>
      <c r="C762" s="4" t="s">
        <v>35</v>
      </c>
      <c r="D762" s="12" t="s">
        <v>52</v>
      </c>
      <c r="E762" s="13" t="s">
        <v>53</v>
      </c>
      <c r="F762" s="5" t="s">
        <v>54</v>
      </c>
      <c r="G762" s="5" t="b">
        <v>0</v>
      </c>
      <c r="H762" s="5" t="s">
        <v>534</v>
      </c>
      <c r="I762" s="5">
        <v>1.0</v>
      </c>
      <c r="J762" s="5">
        <v>0.0</v>
      </c>
      <c r="K762" s="5">
        <v>0.0</v>
      </c>
    </row>
    <row r="763" ht="15.75" customHeight="1">
      <c r="A763" s="4" t="s">
        <v>3197</v>
      </c>
      <c r="B763" s="11" t="s">
        <v>3198</v>
      </c>
      <c r="C763" s="4" t="s">
        <v>35</v>
      </c>
      <c r="D763" s="12" t="s">
        <v>52</v>
      </c>
      <c r="E763" s="13" t="s">
        <v>53</v>
      </c>
      <c r="F763" s="5" t="s">
        <v>54</v>
      </c>
      <c r="G763" s="5" t="b">
        <v>0</v>
      </c>
      <c r="I763" s="5">
        <v>1.0</v>
      </c>
      <c r="J763" s="5">
        <v>0.0</v>
      </c>
      <c r="K763" s="5">
        <v>0.0</v>
      </c>
    </row>
    <row r="764" ht="15.75" customHeight="1">
      <c r="A764" s="4" t="s">
        <v>3199</v>
      </c>
      <c r="B764" s="11" t="s">
        <v>3200</v>
      </c>
      <c r="C764" s="4" t="s">
        <v>35</v>
      </c>
      <c r="D764" s="12" t="s">
        <v>52</v>
      </c>
      <c r="E764" s="13" t="s">
        <v>53</v>
      </c>
      <c r="F764" s="5" t="s">
        <v>54</v>
      </c>
      <c r="G764" s="5" t="b">
        <v>0</v>
      </c>
      <c r="H764" s="5" t="s">
        <v>2156</v>
      </c>
      <c r="I764" s="5">
        <v>1.0</v>
      </c>
      <c r="J764" s="5">
        <v>0.0</v>
      </c>
      <c r="K764" s="5">
        <v>0.0</v>
      </c>
    </row>
    <row r="765" ht="15.75" customHeight="1">
      <c r="A765" s="4" t="s">
        <v>3201</v>
      </c>
      <c r="B765" s="11" t="s">
        <v>3202</v>
      </c>
      <c r="C765" s="4" t="s">
        <v>35</v>
      </c>
      <c r="D765" s="12" t="s">
        <v>297</v>
      </c>
      <c r="E765" s="13" t="s">
        <v>53</v>
      </c>
      <c r="F765" s="5" t="s">
        <v>298</v>
      </c>
      <c r="G765" s="5" t="b">
        <v>0</v>
      </c>
      <c r="H765" s="5" t="s">
        <v>1250</v>
      </c>
      <c r="I765" s="5">
        <v>1.0</v>
      </c>
      <c r="J765" s="5">
        <v>0.0</v>
      </c>
      <c r="K765" s="5">
        <v>0.0</v>
      </c>
    </row>
    <row r="766" ht="15.75" customHeight="1">
      <c r="A766" s="4" t="s">
        <v>3203</v>
      </c>
      <c r="B766" s="11" t="s">
        <v>3204</v>
      </c>
      <c r="C766" s="4" t="s">
        <v>35</v>
      </c>
      <c r="D766" s="12" t="s">
        <v>52</v>
      </c>
      <c r="E766" s="13" t="s">
        <v>53</v>
      </c>
      <c r="F766" s="5" t="s">
        <v>54</v>
      </c>
      <c r="G766" s="5" t="b">
        <v>0</v>
      </c>
      <c r="H766" s="5" t="s">
        <v>3205</v>
      </c>
      <c r="I766" s="5">
        <v>1.0</v>
      </c>
      <c r="J766" s="5">
        <v>0.0</v>
      </c>
      <c r="K766" s="5">
        <v>0.0</v>
      </c>
    </row>
    <row r="767" ht="15.75" customHeight="1">
      <c r="A767" s="4" t="s">
        <v>3206</v>
      </c>
      <c r="B767" s="11" t="s">
        <v>3207</v>
      </c>
      <c r="C767" s="4" t="s">
        <v>35</v>
      </c>
      <c r="D767" s="12" t="s">
        <v>52</v>
      </c>
      <c r="E767" s="13" t="s">
        <v>53</v>
      </c>
      <c r="F767" s="5" t="s">
        <v>54</v>
      </c>
      <c r="G767" s="5" t="b">
        <v>0</v>
      </c>
      <c r="H767" s="5" t="s">
        <v>3208</v>
      </c>
      <c r="I767" s="5">
        <v>1.0</v>
      </c>
      <c r="J767" s="5">
        <v>0.0</v>
      </c>
      <c r="K767" s="5">
        <v>1.0</v>
      </c>
    </row>
    <row r="768" ht="15.75" customHeight="1">
      <c r="A768" s="4" t="s">
        <v>3209</v>
      </c>
      <c r="B768" s="11" t="s">
        <v>3210</v>
      </c>
      <c r="C768" s="4" t="s">
        <v>1240</v>
      </c>
      <c r="D768" s="12" t="s">
        <v>467</v>
      </c>
      <c r="E768" s="13" t="s">
        <v>678</v>
      </c>
      <c r="F768" s="5" t="s">
        <v>469</v>
      </c>
      <c r="G768" s="5" t="b">
        <v>0</v>
      </c>
      <c r="H768" s="5" t="s">
        <v>3211</v>
      </c>
      <c r="I768" s="5">
        <v>1.0</v>
      </c>
      <c r="J768" s="5">
        <v>0.0</v>
      </c>
      <c r="K768" s="5">
        <v>1.0</v>
      </c>
    </row>
    <row r="769" ht="15.75" customHeight="1">
      <c r="A769" s="4" t="s">
        <v>3212</v>
      </c>
      <c r="B769" s="11" t="s">
        <v>3213</v>
      </c>
      <c r="C769" s="4" t="s">
        <v>1240</v>
      </c>
      <c r="D769" s="12" t="s">
        <v>297</v>
      </c>
      <c r="E769" s="13" t="s">
        <v>678</v>
      </c>
      <c r="F769" s="5" t="s">
        <v>298</v>
      </c>
      <c r="G769" s="5" t="b">
        <v>0</v>
      </c>
      <c r="I769" s="5">
        <v>1.0</v>
      </c>
      <c r="J769" s="5">
        <v>0.0</v>
      </c>
      <c r="K769" s="5">
        <v>1.0</v>
      </c>
    </row>
    <row r="770" ht="15.75" customHeight="1">
      <c r="A770" s="4" t="s">
        <v>3214</v>
      </c>
      <c r="B770" s="11" t="s">
        <v>3215</v>
      </c>
      <c r="C770" s="4" t="s">
        <v>1447</v>
      </c>
      <c r="D770" s="12" t="s">
        <v>433</v>
      </c>
      <c r="E770" s="13" t="s">
        <v>53</v>
      </c>
      <c r="F770" s="5" t="s">
        <v>434</v>
      </c>
      <c r="G770" s="5" t="b">
        <v>0</v>
      </c>
      <c r="H770" s="5" t="s">
        <v>3216</v>
      </c>
      <c r="I770" s="5">
        <v>1.0</v>
      </c>
      <c r="J770" s="5">
        <v>0.0</v>
      </c>
      <c r="K770" s="5">
        <v>2.0</v>
      </c>
    </row>
    <row r="771" ht="15.75" customHeight="1">
      <c r="A771" s="4" t="s">
        <v>3217</v>
      </c>
      <c r="B771" s="11" t="s">
        <v>3218</v>
      </c>
      <c r="C771" s="4" t="s">
        <v>1447</v>
      </c>
      <c r="D771" s="12" t="s">
        <v>433</v>
      </c>
      <c r="E771" s="13" t="s">
        <v>53</v>
      </c>
      <c r="F771" s="5" t="s">
        <v>434</v>
      </c>
      <c r="G771" s="5" t="b">
        <v>0</v>
      </c>
      <c r="H771" s="5" t="s">
        <v>3219</v>
      </c>
      <c r="I771" s="5">
        <v>1.0</v>
      </c>
      <c r="J771" s="5">
        <v>0.0</v>
      </c>
      <c r="K771" s="5">
        <v>0.0</v>
      </c>
    </row>
    <row r="772" ht="15.75" customHeight="1">
      <c r="A772" s="4" t="s">
        <v>3220</v>
      </c>
      <c r="B772" s="11" t="s">
        <v>3221</v>
      </c>
      <c r="C772" s="4" t="s">
        <v>1515</v>
      </c>
      <c r="D772" s="12" t="s">
        <v>297</v>
      </c>
      <c r="E772" s="13" t="s">
        <v>53</v>
      </c>
      <c r="F772" s="5" t="s">
        <v>298</v>
      </c>
      <c r="G772" s="5" t="b">
        <v>0</v>
      </c>
      <c r="H772" s="5" t="s">
        <v>3222</v>
      </c>
      <c r="I772" s="5">
        <v>1.0</v>
      </c>
      <c r="J772" s="5">
        <v>0.0</v>
      </c>
      <c r="K772" s="5">
        <v>0.0</v>
      </c>
    </row>
    <row r="773" ht="15.75" customHeight="1">
      <c r="A773" s="4" t="s">
        <v>3223</v>
      </c>
      <c r="B773" s="11" t="s">
        <v>3224</v>
      </c>
      <c r="C773" s="4" t="s">
        <v>1519</v>
      </c>
      <c r="D773" s="12" t="s">
        <v>126</v>
      </c>
      <c r="E773" s="13" t="s">
        <v>53</v>
      </c>
      <c r="F773" s="5" t="s">
        <v>127</v>
      </c>
      <c r="G773" s="5" t="b">
        <v>0</v>
      </c>
      <c r="I773" s="5">
        <v>1.0</v>
      </c>
      <c r="J773" s="5">
        <v>0.0</v>
      </c>
      <c r="K773" s="5">
        <v>0.0</v>
      </c>
    </row>
    <row r="774" ht="15.75" customHeight="1">
      <c r="A774" s="4" t="s">
        <v>3225</v>
      </c>
      <c r="B774" s="11" t="s">
        <v>3226</v>
      </c>
      <c r="C774" s="4" t="s">
        <v>1245</v>
      </c>
      <c r="D774" s="12" t="s">
        <v>467</v>
      </c>
      <c r="E774" s="13" t="s">
        <v>53</v>
      </c>
      <c r="F774" s="5" t="s">
        <v>469</v>
      </c>
      <c r="G774" s="5" t="b">
        <v>0</v>
      </c>
      <c r="I774" s="5">
        <v>1.0</v>
      </c>
      <c r="J774" s="5">
        <v>0.0</v>
      </c>
      <c r="K774" s="5">
        <v>0.0</v>
      </c>
    </row>
    <row r="775" ht="15.75" customHeight="1">
      <c r="A775" s="4" t="s">
        <v>3227</v>
      </c>
      <c r="B775" s="11" t="s">
        <v>3228</v>
      </c>
      <c r="C775" s="4" t="s">
        <v>1245</v>
      </c>
      <c r="D775" s="12" t="s">
        <v>670</v>
      </c>
      <c r="E775" s="13" t="s">
        <v>53</v>
      </c>
      <c r="F775" s="5" t="s">
        <v>671</v>
      </c>
      <c r="G775" s="5" t="b">
        <v>0</v>
      </c>
      <c r="I775" s="5">
        <v>1.0</v>
      </c>
      <c r="J775" s="5">
        <v>0.0</v>
      </c>
      <c r="K775" s="5">
        <v>1.0</v>
      </c>
    </row>
    <row r="776" ht="15.75" customHeight="1">
      <c r="A776" s="4" t="s">
        <v>3229</v>
      </c>
      <c r="B776" s="11" t="s">
        <v>3230</v>
      </c>
      <c r="C776" s="4" t="s">
        <v>1521</v>
      </c>
      <c r="D776" s="12" t="s">
        <v>670</v>
      </c>
      <c r="E776" s="13" t="s">
        <v>53</v>
      </c>
      <c r="F776" s="5" t="s">
        <v>671</v>
      </c>
      <c r="G776" s="5" t="b">
        <v>0</v>
      </c>
      <c r="H776" s="5" t="s">
        <v>3231</v>
      </c>
      <c r="I776" s="5">
        <v>1.0</v>
      </c>
      <c r="J776" s="5">
        <v>0.0</v>
      </c>
      <c r="K776" s="5">
        <v>0.0</v>
      </c>
    </row>
    <row r="777" ht="15.75" customHeight="1">
      <c r="A777" s="4" t="s">
        <v>3232</v>
      </c>
      <c r="B777" s="11" t="s">
        <v>3233</v>
      </c>
      <c r="C777" s="4" t="s">
        <v>1076</v>
      </c>
      <c r="D777" s="12" t="s">
        <v>29</v>
      </c>
      <c r="E777" s="13" t="s">
        <v>678</v>
      </c>
      <c r="F777" s="5" t="s">
        <v>31</v>
      </c>
      <c r="G777" s="5" t="b">
        <v>0</v>
      </c>
      <c r="H777" s="5" t="s">
        <v>342</v>
      </c>
      <c r="I777" s="5">
        <v>1.0</v>
      </c>
      <c r="J777" s="5">
        <v>0.0</v>
      </c>
      <c r="K777" s="5">
        <v>0.0</v>
      </c>
    </row>
    <row r="778" ht="15.75" customHeight="1">
      <c r="A778" s="4" t="s">
        <v>3234</v>
      </c>
      <c r="B778" s="11" t="s">
        <v>3235</v>
      </c>
      <c r="C778" s="4" t="s">
        <v>1076</v>
      </c>
      <c r="D778" s="12" t="s">
        <v>261</v>
      </c>
      <c r="E778" s="13" t="s">
        <v>678</v>
      </c>
      <c r="F778" s="5" t="s">
        <v>263</v>
      </c>
      <c r="G778" s="5" t="b">
        <v>0</v>
      </c>
      <c r="I778" s="5">
        <v>1.0</v>
      </c>
      <c r="J778" s="5">
        <v>0.0</v>
      </c>
      <c r="K778" s="5">
        <v>0.0</v>
      </c>
    </row>
    <row r="779" ht="15.75" customHeight="1">
      <c r="A779" s="4" t="s">
        <v>3236</v>
      </c>
      <c r="B779" s="11" t="s">
        <v>3237</v>
      </c>
      <c r="C779" s="4" t="s">
        <v>1525</v>
      </c>
      <c r="D779" s="12" t="s">
        <v>29</v>
      </c>
      <c r="E779" s="13" t="s">
        <v>53</v>
      </c>
      <c r="F779" s="5" t="s">
        <v>31</v>
      </c>
      <c r="G779" s="5" t="b">
        <v>0</v>
      </c>
      <c r="I779" s="5">
        <v>1.0</v>
      </c>
      <c r="J779" s="5">
        <v>0.0</v>
      </c>
      <c r="K779" s="5">
        <v>5.0</v>
      </c>
    </row>
    <row r="780" ht="15.75" customHeight="1">
      <c r="A780" s="4" t="s">
        <v>3238</v>
      </c>
      <c r="B780" s="11" t="s">
        <v>3239</v>
      </c>
      <c r="C780" s="4" t="s">
        <v>1527</v>
      </c>
      <c r="D780" s="12" t="s">
        <v>29</v>
      </c>
      <c r="E780" s="13" t="s">
        <v>53</v>
      </c>
      <c r="F780" s="5" t="s">
        <v>31</v>
      </c>
      <c r="G780" s="5" t="b">
        <v>0</v>
      </c>
      <c r="H780" s="5" t="s">
        <v>3240</v>
      </c>
      <c r="I780" s="5">
        <v>1.0</v>
      </c>
      <c r="J780" s="5">
        <v>0.0</v>
      </c>
      <c r="K780" s="5">
        <v>0.0</v>
      </c>
    </row>
    <row r="781" ht="15.75" customHeight="1">
      <c r="A781" s="4" t="s">
        <v>3241</v>
      </c>
      <c r="B781" s="11" t="s">
        <v>3242</v>
      </c>
      <c r="C781" s="4" t="s">
        <v>1532</v>
      </c>
      <c r="D781" s="12" t="s">
        <v>29</v>
      </c>
      <c r="E781" s="13" t="s">
        <v>53</v>
      </c>
      <c r="F781" s="5" t="s">
        <v>31</v>
      </c>
      <c r="G781" s="5" t="b">
        <v>0</v>
      </c>
      <c r="H781" s="5" t="s">
        <v>3243</v>
      </c>
      <c r="I781" s="5">
        <v>1.0</v>
      </c>
      <c r="J781" s="5">
        <v>0.0</v>
      </c>
      <c r="K781" s="5">
        <v>0.0</v>
      </c>
    </row>
    <row r="782" ht="15.75" customHeight="1">
      <c r="A782" s="4" t="s">
        <v>3244</v>
      </c>
      <c r="B782" s="11" t="s">
        <v>3245</v>
      </c>
      <c r="C782" s="4" t="s">
        <v>1535</v>
      </c>
      <c r="D782" s="12" t="s">
        <v>467</v>
      </c>
      <c r="E782" s="13" t="s">
        <v>53</v>
      </c>
      <c r="F782" s="5" t="s">
        <v>469</v>
      </c>
      <c r="G782" s="5" t="b">
        <v>0</v>
      </c>
      <c r="I782" s="5">
        <v>1.0</v>
      </c>
      <c r="J782" s="5">
        <v>0.0</v>
      </c>
      <c r="K782" s="5">
        <v>0.0</v>
      </c>
    </row>
    <row r="783" ht="15.75" customHeight="1">
      <c r="A783" s="4" t="s">
        <v>3246</v>
      </c>
      <c r="B783" s="11" t="s">
        <v>3247</v>
      </c>
      <c r="C783" s="4" t="s">
        <v>1537</v>
      </c>
      <c r="D783" s="12" t="s">
        <v>29</v>
      </c>
      <c r="E783" s="13" t="s">
        <v>53</v>
      </c>
      <c r="F783" s="5" t="s">
        <v>31</v>
      </c>
      <c r="G783" s="5" t="b">
        <v>0</v>
      </c>
      <c r="H783" s="5" t="s">
        <v>3248</v>
      </c>
      <c r="I783" s="5">
        <v>1.0</v>
      </c>
      <c r="J783" s="5">
        <v>0.0</v>
      </c>
      <c r="K783" s="5">
        <v>1.0</v>
      </c>
    </row>
    <row r="784" ht="15.75" customHeight="1">
      <c r="A784" s="4" t="s">
        <v>3249</v>
      </c>
      <c r="B784" s="11" t="s">
        <v>3250</v>
      </c>
      <c r="C784" s="4" t="s">
        <v>1545</v>
      </c>
      <c r="D784" s="12" t="s">
        <v>670</v>
      </c>
      <c r="E784" s="13" t="s">
        <v>53</v>
      </c>
      <c r="F784" s="5" t="s">
        <v>671</v>
      </c>
      <c r="G784" s="5" t="b">
        <v>0</v>
      </c>
      <c r="H784" s="5" t="s">
        <v>342</v>
      </c>
      <c r="I784" s="5">
        <v>1.0</v>
      </c>
      <c r="J784" s="5">
        <v>0.0</v>
      </c>
      <c r="K784" s="5">
        <v>0.0</v>
      </c>
    </row>
    <row r="785" ht="15.75" customHeight="1">
      <c r="A785" s="4" t="s">
        <v>3251</v>
      </c>
      <c r="B785" s="11" t="s">
        <v>3252</v>
      </c>
      <c r="C785" s="4" t="s">
        <v>1248</v>
      </c>
      <c r="D785" s="12" t="s">
        <v>29</v>
      </c>
      <c r="E785" s="13" t="s">
        <v>84</v>
      </c>
      <c r="F785" s="5" t="s">
        <v>31</v>
      </c>
      <c r="G785" s="5" t="b">
        <v>0</v>
      </c>
      <c r="H785" s="5" t="s">
        <v>952</v>
      </c>
      <c r="I785" s="5">
        <v>1.0</v>
      </c>
      <c r="J785" s="5">
        <v>0.0</v>
      </c>
      <c r="K785" s="5">
        <v>1.0</v>
      </c>
    </row>
    <row r="786" ht="15.75" customHeight="1">
      <c r="A786" s="4" t="s">
        <v>3253</v>
      </c>
      <c r="B786" s="11" t="s">
        <v>3254</v>
      </c>
      <c r="C786" s="4" t="s">
        <v>1248</v>
      </c>
      <c r="D786" s="12" t="s">
        <v>29</v>
      </c>
      <c r="E786" s="13" t="s">
        <v>84</v>
      </c>
      <c r="F786" s="5" t="s">
        <v>31</v>
      </c>
      <c r="G786" s="5" t="b">
        <v>0</v>
      </c>
      <c r="H786" s="5" t="s">
        <v>1251</v>
      </c>
      <c r="I786" s="5">
        <v>1.0</v>
      </c>
      <c r="J786" s="5">
        <v>0.0</v>
      </c>
      <c r="K786" s="5">
        <v>0.0</v>
      </c>
    </row>
    <row r="787" ht="15.75" customHeight="1">
      <c r="A787" s="4" t="s">
        <v>3255</v>
      </c>
      <c r="B787" s="11" t="s">
        <v>3256</v>
      </c>
      <c r="C787" s="4" t="s">
        <v>1547</v>
      </c>
      <c r="D787" s="12" t="s">
        <v>467</v>
      </c>
      <c r="E787" s="13" t="s">
        <v>53</v>
      </c>
      <c r="F787" s="5" t="s">
        <v>469</v>
      </c>
      <c r="G787" s="5" t="b">
        <v>0</v>
      </c>
      <c r="H787" s="5" t="s">
        <v>639</v>
      </c>
      <c r="I787" s="5">
        <v>1.0</v>
      </c>
      <c r="J787" s="5">
        <v>0.0</v>
      </c>
      <c r="K787" s="5">
        <v>0.0</v>
      </c>
    </row>
    <row r="788" ht="15.75" customHeight="1">
      <c r="A788" s="4" t="s">
        <v>3257</v>
      </c>
      <c r="B788" s="11" t="s">
        <v>3258</v>
      </c>
      <c r="C788" s="4" t="s">
        <v>1549</v>
      </c>
      <c r="D788" s="12" t="s">
        <v>467</v>
      </c>
      <c r="E788" s="13" t="s">
        <v>53</v>
      </c>
      <c r="F788" s="5" t="s">
        <v>469</v>
      </c>
      <c r="G788" s="5" t="b">
        <v>0</v>
      </c>
      <c r="H788" s="5" t="s">
        <v>1551</v>
      </c>
      <c r="I788" s="5">
        <v>1.0</v>
      </c>
      <c r="J788" s="5">
        <v>0.0</v>
      </c>
      <c r="K788" s="5">
        <v>2.0</v>
      </c>
    </row>
    <row r="789" ht="15.75" customHeight="1">
      <c r="A789" s="4" t="s">
        <v>3259</v>
      </c>
      <c r="B789" s="11" t="s">
        <v>3260</v>
      </c>
      <c r="C789" s="4" t="s">
        <v>1552</v>
      </c>
      <c r="D789" s="12" t="s">
        <v>29</v>
      </c>
      <c r="E789" s="13" t="s">
        <v>53</v>
      </c>
      <c r="F789" s="5" t="s">
        <v>31</v>
      </c>
      <c r="G789" s="5" t="b">
        <v>0</v>
      </c>
      <c r="H789" s="5" t="s">
        <v>3261</v>
      </c>
      <c r="I789" s="5">
        <v>1.0</v>
      </c>
      <c r="J789" s="5">
        <v>0.0</v>
      </c>
      <c r="K789" s="5">
        <v>0.0</v>
      </c>
    </row>
    <row r="790" ht="15.75" customHeight="1">
      <c r="A790" s="4" t="s">
        <v>3262</v>
      </c>
      <c r="B790" s="11" t="s">
        <v>3263</v>
      </c>
      <c r="C790" s="4" t="s">
        <v>1464</v>
      </c>
      <c r="D790" s="12" t="s">
        <v>126</v>
      </c>
      <c r="E790" s="13" t="s">
        <v>2235</v>
      </c>
      <c r="F790" s="5" t="s">
        <v>127</v>
      </c>
      <c r="G790" s="5" t="b">
        <v>0</v>
      </c>
      <c r="I790" s="5">
        <v>1.0</v>
      </c>
      <c r="J790" s="5">
        <v>0.0</v>
      </c>
      <c r="K790" s="5">
        <v>0.0</v>
      </c>
    </row>
    <row r="791" ht="15.75" customHeight="1">
      <c r="A791" s="4" t="s">
        <v>3264</v>
      </c>
      <c r="B791" s="11" t="s">
        <v>3265</v>
      </c>
      <c r="C791" s="4" t="s">
        <v>1464</v>
      </c>
      <c r="D791" s="12" t="s">
        <v>126</v>
      </c>
      <c r="E791" s="13" t="s">
        <v>2235</v>
      </c>
      <c r="F791" s="5" t="s">
        <v>127</v>
      </c>
      <c r="G791" s="5" t="b">
        <v>0</v>
      </c>
      <c r="I791" s="5">
        <v>1.0</v>
      </c>
      <c r="J791" s="5">
        <v>0.0</v>
      </c>
      <c r="K791" s="5">
        <v>0.0</v>
      </c>
    </row>
    <row r="792" ht="15.75" customHeight="1">
      <c r="A792" s="4" t="s">
        <v>3266</v>
      </c>
      <c r="B792" s="11" t="s">
        <v>3267</v>
      </c>
      <c r="C792" s="4" t="s">
        <v>1754</v>
      </c>
      <c r="D792" s="12" t="s">
        <v>84</v>
      </c>
      <c r="E792" s="13" t="s">
        <v>2235</v>
      </c>
      <c r="F792" s="5" t="s">
        <v>85</v>
      </c>
      <c r="G792" s="5" t="b">
        <v>0</v>
      </c>
      <c r="I792" s="5">
        <v>1.0</v>
      </c>
      <c r="J792" s="5">
        <v>0.0</v>
      </c>
      <c r="K792" s="5">
        <v>1.0</v>
      </c>
    </row>
    <row r="793" ht="15.75" customHeight="1">
      <c r="A793" s="4" t="s">
        <v>3268</v>
      </c>
      <c r="B793" s="11" t="s">
        <v>3269</v>
      </c>
      <c r="C793" s="4" t="s">
        <v>1556</v>
      </c>
      <c r="D793" s="12" t="s">
        <v>126</v>
      </c>
      <c r="E793" s="13" t="s">
        <v>30</v>
      </c>
      <c r="F793" s="5" t="s">
        <v>127</v>
      </c>
      <c r="G793" s="5" t="b">
        <v>0</v>
      </c>
      <c r="H793" s="5" t="s">
        <v>3270</v>
      </c>
      <c r="I793" s="5">
        <v>1.0</v>
      </c>
      <c r="J793" s="5">
        <v>0.0</v>
      </c>
      <c r="K793" s="5">
        <v>1.0</v>
      </c>
    </row>
    <row r="794" ht="15.75" customHeight="1">
      <c r="A794" s="4" t="s">
        <v>3271</v>
      </c>
      <c r="B794" s="11" t="s">
        <v>3272</v>
      </c>
      <c r="C794" s="4" t="s">
        <v>1095</v>
      </c>
      <c r="D794" s="12" t="s">
        <v>261</v>
      </c>
      <c r="E794" s="13" t="s">
        <v>93</v>
      </c>
      <c r="F794" s="5" t="s">
        <v>263</v>
      </c>
      <c r="G794" s="5" t="b">
        <v>0</v>
      </c>
      <c r="I794" s="5">
        <v>1.0</v>
      </c>
      <c r="J794" s="5">
        <v>0.0</v>
      </c>
      <c r="K794" s="5">
        <v>2.0</v>
      </c>
    </row>
    <row r="795" ht="15.75" customHeight="1">
      <c r="A795" s="4" t="s">
        <v>3273</v>
      </c>
      <c r="B795" s="11" t="s">
        <v>3274</v>
      </c>
      <c r="C795" s="4" t="s">
        <v>1095</v>
      </c>
      <c r="D795" s="12" t="s">
        <v>261</v>
      </c>
      <c r="E795" s="13" t="s">
        <v>93</v>
      </c>
      <c r="F795" s="5" t="s">
        <v>263</v>
      </c>
      <c r="G795" s="5" t="b">
        <v>0</v>
      </c>
      <c r="I795" s="5">
        <v>1.0</v>
      </c>
      <c r="J795" s="5">
        <v>0.0</v>
      </c>
      <c r="K795" s="5">
        <v>2.0</v>
      </c>
    </row>
    <row r="796" ht="15.75" customHeight="1">
      <c r="A796" s="4" t="s">
        <v>3275</v>
      </c>
      <c r="B796" s="11" t="s">
        <v>3276</v>
      </c>
      <c r="C796" s="4" t="s">
        <v>1095</v>
      </c>
      <c r="D796" s="12" t="s">
        <v>261</v>
      </c>
      <c r="E796" s="13" t="s">
        <v>93</v>
      </c>
      <c r="F796" s="5" t="s">
        <v>263</v>
      </c>
      <c r="G796" s="5" t="b">
        <v>0</v>
      </c>
      <c r="I796" s="5">
        <v>1.0</v>
      </c>
      <c r="J796" s="5">
        <v>0.0</v>
      </c>
      <c r="K796" s="5">
        <v>2.0</v>
      </c>
    </row>
    <row r="797" ht="15.75" customHeight="1">
      <c r="A797" s="4" t="s">
        <v>3277</v>
      </c>
      <c r="B797" s="11" t="s">
        <v>3278</v>
      </c>
      <c r="C797" s="4" t="s">
        <v>1562</v>
      </c>
      <c r="D797" s="12" t="s">
        <v>126</v>
      </c>
      <c r="E797" s="13" t="s">
        <v>53</v>
      </c>
      <c r="F797" s="5" t="s">
        <v>127</v>
      </c>
      <c r="G797" s="5" t="b">
        <v>0</v>
      </c>
      <c r="H797" s="5" t="s">
        <v>396</v>
      </c>
      <c r="I797" s="5">
        <v>1.0</v>
      </c>
      <c r="J797" s="5">
        <v>0.0</v>
      </c>
      <c r="K797" s="5">
        <v>0.0</v>
      </c>
    </row>
    <row r="798" ht="15.75" customHeight="1">
      <c r="A798" s="4" t="s">
        <v>3279</v>
      </c>
      <c r="B798" s="11" t="s">
        <v>3280</v>
      </c>
      <c r="C798" s="4" t="s">
        <v>1565</v>
      </c>
      <c r="D798" s="12" t="s">
        <v>126</v>
      </c>
      <c r="E798" s="13" t="s">
        <v>53</v>
      </c>
      <c r="F798" s="5" t="s">
        <v>127</v>
      </c>
      <c r="G798" s="5" t="b">
        <v>0</v>
      </c>
      <c r="H798" s="5" t="s">
        <v>396</v>
      </c>
      <c r="I798" s="5">
        <v>1.0</v>
      </c>
      <c r="J798" s="5">
        <v>0.0</v>
      </c>
      <c r="K798" s="5">
        <v>0.0</v>
      </c>
    </row>
    <row r="799" ht="15.75" customHeight="1">
      <c r="A799" s="4" t="s">
        <v>3281</v>
      </c>
      <c r="B799" s="11" t="s">
        <v>3282</v>
      </c>
      <c r="C799" s="4" t="s">
        <v>1569</v>
      </c>
      <c r="D799" s="12" t="s">
        <v>670</v>
      </c>
      <c r="E799" s="13" t="s">
        <v>53</v>
      </c>
      <c r="F799" s="5" t="s">
        <v>671</v>
      </c>
      <c r="G799" s="5" t="b">
        <v>0</v>
      </c>
      <c r="H799" s="5" t="s">
        <v>639</v>
      </c>
      <c r="I799" s="5">
        <v>1.0</v>
      </c>
      <c r="J799" s="5">
        <v>0.0</v>
      </c>
      <c r="K799" s="5">
        <v>0.0</v>
      </c>
    </row>
    <row r="800" ht="15.75" customHeight="1">
      <c r="A800" s="4" t="s">
        <v>3283</v>
      </c>
      <c r="B800" s="11" t="s">
        <v>3284</v>
      </c>
      <c r="C800" s="4" t="s">
        <v>1256</v>
      </c>
      <c r="D800" s="12" t="s">
        <v>467</v>
      </c>
      <c r="E800" s="13" t="s">
        <v>53</v>
      </c>
      <c r="F800" s="5" t="s">
        <v>469</v>
      </c>
      <c r="G800" s="5" t="b">
        <v>0</v>
      </c>
      <c r="I800" s="5">
        <v>1.0</v>
      </c>
      <c r="J800" s="5">
        <v>0.0</v>
      </c>
      <c r="K800" s="5">
        <v>1.0</v>
      </c>
    </row>
    <row r="801" ht="15.75" customHeight="1">
      <c r="A801" s="4" t="s">
        <v>3285</v>
      </c>
      <c r="B801" s="11" t="s">
        <v>3284</v>
      </c>
      <c r="C801" s="4" t="s">
        <v>1256</v>
      </c>
      <c r="D801" s="12" t="s">
        <v>126</v>
      </c>
      <c r="E801" s="13" t="s">
        <v>53</v>
      </c>
      <c r="F801" s="5" t="s">
        <v>127</v>
      </c>
      <c r="G801" s="5" t="b">
        <v>0</v>
      </c>
      <c r="I801" s="5">
        <v>1.0</v>
      </c>
      <c r="J801" s="5">
        <v>0.0</v>
      </c>
      <c r="K801" s="5">
        <v>0.0</v>
      </c>
    </row>
    <row r="802" ht="15.75" customHeight="1">
      <c r="A802" s="4" t="s">
        <v>3286</v>
      </c>
      <c r="B802" s="11" t="s">
        <v>3287</v>
      </c>
      <c r="C802" s="4" t="s">
        <v>1572</v>
      </c>
      <c r="D802" s="12" t="s">
        <v>29</v>
      </c>
      <c r="E802" s="13" t="s">
        <v>53</v>
      </c>
      <c r="F802" s="5" t="s">
        <v>31</v>
      </c>
      <c r="G802" s="5" t="b">
        <v>0</v>
      </c>
      <c r="H802" s="5" t="s">
        <v>3288</v>
      </c>
      <c r="I802" s="5">
        <v>1.0</v>
      </c>
      <c r="J802" s="5">
        <v>0.0</v>
      </c>
      <c r="K802" s="5">
        <v>0.0</v>
      </c>
    </row>
    <row r="803" ht="15.75" customHeight="1">
      <c r="A803" s="4" t="s">
        <v>3289</v>
      </c>
      <c r="B803" s="11" t="s">
        <v>3290</v>
      </c>
      <c r="C803" s="4" t="s">
        <v>1577</v>
      </c>
      <c r="D803" s="12" t="s">
        <v>670</v>
      </c>
      <c r="E803" s="13" t="s">
        <v>53</v>
      </c>
      <c r="F803" s="5" t="s">
        <v>671</v>
      </c>
      <c r="G803" s="5" t="b">
        <v>0</v>
      </c>
      <c r="I803" s="5">
        <v>1.0</v>
      </c>
      <c r="J803" s="5">
        <v>0.0</v>
      </c>
      <c r="K803" s="5">
        <v>0.0</v>
      </c>
    </row>
    <row r="804" ht="15.75" customHeight="1">
      <c r="A804" s="4" t="s">
        <v>3291</v>
      </c>
      <c r="B804" s="11" t="s">
        <v>3292</v>
      </c>
      <c r="C804" s="4" t="s">
        <v>1580</v>
      </c>
      <c r="D804" s="12" t="s">
        <v>467</v>
      </c>
      <c r="E804" s="13" t="s">
        <v>53</v>
      </c>
      <c r="F804" s="5" t="s">
        <v>469</v>
      </c>
      <c r="G804" s="5" t="b">
        <v>0</v>
      </c>
      <c r="I804" s="5">
        <v>1.0</v>
      </c>
      <c r="J804" s="5">
        <v>0.0</v>
      </c>
      <c r="K804" s="5">
        <v>0.0</v>
      </c>
    </row>
    <row r="805" ht="15.75" customHeight="1">
      <c r="A805" s="4" t="s">
        <v>3293</v>
      </c>
      <c r="B805" s="11" t="s">
        <v>3294</v>
      </c>
      <c r="C805" s="4" t="s">
        <v>1583</v>
      </c>
      <c r="D805" s="12" t="s">
        <v>29</v>
      </c>
      <c r="E805" s="13" t="s">
        <v>53</v>
      </c>
      <c r="F805" s="5" t="s">
        <v>31</v>
      </c>
      <c r="G805" s="5" t="b">
        <v>0</v>
      </c>
      <c r="I805" s="5">
        <v>1.0</v>
      </c>
      <c r="J805" s="5">
        <v>0.0</v>
      </c>
      <c r="K805" s="5">
        <v>0.0</v>
      </c>
    </row>
    <row r="806" ht="15.75" customHeight="1">
      <c r="A806" s="4" t="s">
        <v>3295</v>
      </c>
      <c r="B806" s="11" t="s">
        <v>3296</v>
      </c>
      <c r="C806" s="4" t="s">
        <v>1001</v>
      </c>
      <c r="D806" s="12" t="s">
        <v>29</v>
      </c>
      <c r="E806" s="13" t="s">
        <v>2235</v>
      </c>
      <c r="F806" s="5" t="s">
        <v>31</v>
      </c>
      <c r="G806" s="5" t="b">
        <v>0</v>
      </c>
      <c r="H806" s="5" t="s">
        <v>1002</v>
      </c>
      <c r="I806" s="5">
        <v>1.0</v>
      </c>
      <c r="J806" s="5">
        <v>0.0</v>
      </c>
      <c r="K806" s="5">
        <v>0.0</v>
      </c>
    </row>
    <row r="807" ht="15.75" customHeight="1">
      <c r="A807" s="4" t="s">
        <v>3297</v>
      </c>
      <c r="B807" s="11" t="s">
        <v>3298</v>
      </c>
      <c r="C807" s="4" t="s">
        <v>1585</v>
      </c>
      <c r="D807" s="12" t="s">
        <v>670</v>
      </c>
      <c r="E807" s="13" t="s">
        <v>53</v>
      </c>
      <c r="F807" s="5" t="s">
        <v>671</v>
      </c>
      <c r="G807" s="5" t="b">
        <v>0</v>
      </c>
      <c r="I807" s="5">
        <v>1.0</v>
      </c>
      <c r="J807" s="5">
        <v>0.0</v>
      </c>
      <c r="K807" s="5">
        <v>1.0</v>
      </c>
    </row>
    <row r="808" ht="15.75" customHeight="1">
      <c r="A808" s="4" t="s">
        <v>3299</v>
      </c>
      <c r="B808" s="11" t="s">
        <v>3300</v>
      </c>
      <c r="C808" s="4" t="s">
        <v>1588</v>
      </c>
      <c r="D808" s="12" t="s">
        <v>467</v>
      </c>
      <c r="E808" s="13" t="s">
        <v>53</v>
      </c>
      <c r="F808" s="5" t="s">
        <v>469</v>
      </c>
      <c r="G808" s="5" t="b">
        <v>0</v>
      </c>
      <c r="I808" s="5">
        <v>1.0</v>
      </c>
      <c r="J808" s="5">
        <v>0.0</v>
      </c>
      <c r="K808" s="5">
        <v>2.0</v>
      </c>
    </row>
    <row r="809" ht="15.75" customHeight="1">
      <c r="A809" s="4" t="s">
        <v>3301</v>
      </c>
      <c r="B809" s="11" t="s">
        <v>3302</v>
      </c>
      <c r="C809" s="5" t="s">
        <v>810</v>
      </c>
      <c r="D809" s="12" t="s">
        <v>126</v>
      </c>
      <c r="E809" s="13" t="s">
        <v>30</v>
      </c>
      <c r="F809" s="5" t="s">
        <v>127</v>
      </c>
      <c r="G809" s="5" t="b">
        <v>0</v>
      </c>
      <c r="H809" s="5" t="s">
        <v>2198</v>
      </c>
      <c r="I809" s="5">
        <v>1.0</v>
      </c>
      <c r="J809" s="5">
        <v>0.0</v>
      </c>
      <c r="K809" s="5">
        <v>1.0</v>
      </c>
    </row>
    <row r="810" ht="15.75" customHeight="1">
      <c r="A810" s="4" t="s">
        <v>3303</v>
      </c>
      <c r="B810" s="11" t="s">
        <v>3304</v>
      </c>
      <c r="C810" s="5" t="s">
        <v>810</v>
      </c>
      <c r="D810" s="12" t="s">
        <v>126</v>
      </c>
      <c r="E810" s="13" t="s">
        <v>30</v>
      </c>
      <c r="F810" s="5" t="s">
        <v>127</v>
      </c>
      <c r="G810" s="5" t="b">
        <v>0</v>
      </c>
      <c r="H810" s="5" t="s">
        <v>811</v>
      </c>
      <c r="I810" s="5">
        <v>1.0</v>
      </c>
      <c r="J810" s="5">
        <v>0.0</v>
      </c>
      <c r="K810" s="5">
        <v>1.0</v>
      </c>
    </row>
    <row r="811" ht="15.75" customHeight="1">
      <c r="A811" s="4" t="s">
        <v>3305</v>
      </c>
      <c r="B811" s="11" t="s">
        <v>3306</v>
      </c>
      <c r="C811" s="4" t="s">
        <v>1591</v>
      </c>
      <c r="D811" s="12" t="s">
        <v>126</v>
      </c>
      <c r="E811" s="13" t="s">
        <v>53</v>
      </c>
      <c r="F811" s="5" t="s">
        <v>127</v>
      </c>
      <c r="G811" s="5" t="b">
        <v>0</v>
      </c>
      <c r="H811" s="5" t="s">
        <v>952</v>
      </c>
      <c r="I811" s="5">
        <v>1.0</v>
      </c>
      <c r="J811" s="5">
        <v>0.0</v>
      </c>
      <c r="K811" s="5">
        <v>0.0</v>
      </c>
    </row>
    <row r="812" ht="15.75" customHeight="1">
      <c r="A812" s="4" t="s">
        <v>3307</v>
      </c>
      <c r="B812" s="11" t="s">
        <v>3308</v>
      </c>
      <c r="C812" s="4" t="s">
        <v>1593</v>
      </c>
      <c r="D812" s="12" t="s">
        <v>29</v>
      </c>
      <c r="E812" s="13" t="s">
        <v>53</v>
      </c>
      <c r="F812" s="5" t="s">
        <v>31</v>
      </c>
      <c r="G812" s="5" t="b">
        <v>0</v>
      </c>
      <c r="H812" s="5" t="s">
        <v>1595</v>
      </c>
      <c r="I812" s="5">
        <v>1.0</v>
      </c>
      <c r="J812" s="5">
        <v>0.0</v>
      </c>
      <c r="K812" s="5">
        <v>0.0</v>
      </c>
    </row>
    <row r="813" ht="15.75" customHeight="1">
      <c r="A813" s="4" t="s">
        <v>3309</v>
      </c>
      <c r="B813" s="11" t="s">
        <v>3310</v>
      </c>
      <c r="C813" s="4" t="s">
        <v>1597</v>
      </c>
      <c r="D813" s="12" t="s">
        <v>84</v>
      </c>
      <c r="E813" s="13" t="s">
        <v>53</v>
      </c>
      <c r="F813" s="5" t="s">
        <v>85</v>
      </c>
      <c r="G813" s="5" t="b">
        <v>0</v>
      </c>
      <c r="H813" s="5" t="s">
        <v>3311</v>
      </c>
      <c r="I813" s="5">
        <v>1.0</v>
      </c>
      <c r="J813" s="5">
        <v>0.0</v>
      </c>
      <c r="K813" s="5">
        <v>0.0</v>
      </c>
    </row>
    <row r="814" ht="15.75" customHeight="1">
      <c r="A814" s="4" t="s">
        <v>3312</v>
      </c>
      <c r="B814" s="11" t="s">
        <v>3313</v>
      </c>
      <c r="C814" s="4" t="s">
        <v>1601</v>
      </c>
      <c r="D814" s="12" t="s">
        <v>29</v>
      </c>
      <c r="E814" s="13" t="s">
        <v>53</v>
      </c>
      <c r="F814" s="5" t="s">
        <v>31</v>
      </c>
      <c r="G814" s="5" t="b">
        <v>0</v>
      </c>
      <c r="H814" s="5" t="s">
        <v>3314</v>
      </c>
      <c r="I814" s="5">
        <v>1.0</v>
      </c>
      <c r="J814" s="5">
        <v>0.0</v>
      </c>
      <c r="K814" s="5">
        <v>0.0</v>
      </c>
    </row>
    <row r="815" ht="15.75" customHeight="1">
      <c r="A815" s="4" t="s">
        <v>3315</v>
      </c>
      <c r="B815" s="11" t="s">
        <v>3316</v>
      </c>
      <c r="C815" s="4" t="s">
        <v>533</v>
      </c>
      <c r="D815" s="12" t="s">
        <v>29</v>
      </c>
      <c r="E815" s="13" t="s">
        <v>30</v>
      </c>
      <c r="F815" s="5" t="s">
        <v>31</v>
      </c>
      <c r="G815" s="5" t="b">
        <v>0</v>
      </c>
      <c r="H815" s="5" t="s">
        <v>3317</v>
      </c>
      <c r="I815" s="5">
        <v>1.0</v>
      </c>
      <c r="J815" s="5">
        <v>0.0</v>
      </c>
      <c r="K815" s="5">
        <v>0.0</v>
      </c>
    </row>
    <row r="816" ht="15.75" customHeight="1">
      <c r="A816" s="4" t="s">
        <v>3318</v>
      </c>
      <c r="B816" s="11" t="s">
        <v>3319</v>
      </c>
      <c r="C816" s="4" t="s">
        <v>533</v>
      </c>
      <c r="D816" s="12" t="s">
        <v>29</v>
      </c>
      <c r="E816" s="13" t="s">
        <v>30</v>
      </c>
      <c r="F816" s="5" t="s">
        <v>31</v>
      </c>
      <c r="G816" s="5" t="b">
        <v>0</v>
      </c>
      <c r="H816" s="5" t="s">
        <v>3320</v>
      </c>
      <c r="I816" s="5">
        <v>1.0</v>
      </c>
      <c r="J816" s="5">
        <v>0.0</v>
      </c>
      <c r="K816" s="5">
        <v>0.0</v>
      </c>
    </row>
    <row r="817" ht="15.75" customHeight="1">
      <c r="A817" s="4" t="s">
        <v>3321</v>
      </c>
      <c r="B817" s="11" t="s">
        <v>3322</v>
      </c>
      <c r="C817" s="4" t="s">
        <v>1605</v>
      </c>
      <c r="D817" s="12" t="s">
        <v>467</v>
      </c>
      <c r="E817" s="13" t="s">
        <v>678</v>
      </c>
      <c r="F817" s="5" t="s">
        <v>469</v>
      </c>
      <c r="G817" s="5" t="b">
        <v>0</v>
      </c>
      <c r="H817" s="5" t="s">
        <v>1607</v>
      </c>
      <c r="I817" s="5">
        <v>1.0</v>
      </c>
      <c r="J817" s="5">
        <v>0.0</v>
      </c>
      <c r="K817" s="5">
        <v>0.0</v>
      </c>
    </row>
    <row r="818" ht="15.75" customHeight="1">
      <c r="A818" s="4" t="s">
        <v>3323</v>
      </c>
      <c r="B818" s="13"/>
      <c r="C818" s="4" t="s">
        <v>1608</v>
      </c>
      <c r="D818" s="12" t="s">
        <v>84</v>
      </c>
      <c r="E818" s="13" t="s">
        <v>678</v>
      </c>
      <c r="F818" s="5" t="s">
        <v>85</v>
      </c>
      <c r="H818" s="5" t="s">
        <v>233</v>
      </c>
      <c r="I818" s="5">
        <v>1.0</v>
      </c>
      <c r="J818" s="5">
        <v>0.0</v>
      </c>
      <c r="K818" s="5">
        <v>0.0</v>
      </c>
    </row>
    <row r="819" ht="15.75" customHeight="1">
      <c r="A819" s="4" t="s">
        <v>3324</v>
      </c>
      <c r="B819" s="11" t="s">
        <v>3325</v>
      </c>
      <c r="C819" s="4" t="s">
        <v>1611</v>
      </c>
      <c r="D819" s="12" t="s">
        <v>126</v>
      </c>
      <c r="E819" s="13" t="s">
        <v>84</v>
      </c>
      <c r="F819" s="5" t="s">
        <v>127</v>
      </c>
      <c r="G819" s="5" t="b">
        <v>0</v>
      </c>
      <c r="H819" s="5" t="s">
        <v>1613</v>
      </c>
      <c r="I819" s="5">
        <v>1.0</v>
      </c>
      <c r="J819" s="5">
        <v>0.0</v>
      </c>
      <c r="K819" s="5">
        <v>1.0</v>
      </c>
    </row>
    <row r="820" ht="15.75" customHeight="1">
      <c r="A820" s="4" t="s">
        <v>3326</v>
      </c>
      <c r="B820" s="11" t="s">
        <v>3327</v>
      </c>
      <c r="C820" s="5" t="s">
        <v>39</v>
      </c>
      <c r="D820" s="12" t="s">
        <v>467</v>
      </c>
      <c r="E820" s="13" t="s">
        <v>30</v>
      </c>
      <c r="F820" s="5" t="s">
        <v>469</v>
      </c>
      <c r="G820" s="5" t="b">
        <v>0</v>
      </c>
      <c r="H820" s="5" t="s">
        <v>3328</v>
      </c>
      <c r="I820" s="5">
        <v>1.0</v>
      </c>
      <c r="J820" s="5">
        <v>0.0</v>
      </c>
      <c r="K820" s="5">
        <v>0.0</v>
      </c>
    </row>
    <row r="821" ht="15.75" customHeight="1">
      <c r="A821" s="4" t="s">
        <v>3329</v>
      </c>
      <c r="B821" s="11" t="s">
        <v>3330</v>
      </c>
      <c r="C821" s="5" t="s">
        <v>39</v>
      </c>
      <c r="D821" s="12" t="s">
        <v>126</v>
      </c>
      <c r="E821" s="13" t="s">
        <v>30</v>
      </c>
      <c r="F821" s="5" t="s">
        <v>127</v>
      </c>
      <c r="G821" s="5" t="b">
        <v>0</v>
      </c>
      <c r="H821" s="5" t="s">
        <v>2304</v>
      </c>
      <c r="I821" s="5">
        <v>1.0</v>
      </c>
      <c r="J821" s="5">
        <v>0.0</v>
      </c>
      <c r="K821" s="5">
        <v>0.0</v>
      </c>
    </row>
    <row r="822" ht="15.75" customHeight="1">
      <c r="A822" s="4" t="s">
        <v>3331</v>
      </c>
      <c r="B822" s="11" t="s">
        <v>3332</v>
      </c>
      <c r="C822" s="4" t="s">
        <v>445</v>
      </c>
      <c r="D822" s="12" t="s">
        <v>126</v>
      </c>
      <c r="E822" s="13" t="s">
        <v>53</v>
      </c>
      <c r="F822" s="5" t="s">
        <v>127</v>
      </c>
      <c r="G822" s="5" t="b">
        <v>0</v>
      </c>
      <c r="H822" s="5" t="s">
        <v>2156</v>
      </c>
      <c r="I822" s="5">
        <v>1.0</v>
      </c>
      <c r="J822" s="5">
        <v>0.0</v>
      </c>
      <c r="K822" s="5">
        <v>1.0</v>
      </c>
    </row>
    <row r="823" ht="15.75" customHeight="1">
      <c r="A823" s="4" t="s">
        <v>3333</v>
      </c>
      <c r="B823" s="11" t="s">
        <v>3334</v>
      </c>
      <c r="C823" s="4" t="s">
        <v>1614</v>
      </c>
      <c r="D823" s="12" t="s">
        <v>29</v>
      </c>
      <c r="E823" s="13" t="s">
        <v>53</v>
      </c>
      <c r="F823" s="5" t="s">
        <v>31</v>
      </c>
      <c r="G823" s="5" t="b">
        <v>0</v>
      </c>
      <c r="H823" s="5" t="s">
        <v>3335</v>
      </c>
      <c r="I823" s="5">
        <v>1.0</v>
      </c>
      <c r="J823" s="5">
        <v>0.0</v>
      </c>
      <c r="K823" s="5">
        <v>0.0</v>
      </c>
    </row>
    <row r="824" ht="15.75" customHeight="1">
      <c r="A824" s="4" t="s">
        <v>3336</v>
      </c>
      <c r="B824" s="11" t="s">
        <v>3337</v>
      </c>
      <c r="C824" s="4" t="s">
        <v>1616</v>
      </c>
      <c r="D824" s="12" t="s">
        <v>29</v>
      </c>
      <c r="E824" s="13" t="s">
        <v>53</v>
      </c>
      <c r="F824" s="5" t="s">
        <v>31</v>
      </c>
      <c r="G824" s="5" t="b">
        <v>0</v>
      </c>
      <c r="H824" s="5" t="s">
        <v>3338</v>
      </c>
      <c r="I824" s="5">
        <v>1.0</v>
      </c>
      <c r="J824" s="5">
        <v>0.0</v>
      </c>
      <c r="K824" s="5">
        <v>0.0</v>
      </c>
    </row>
    <row r="825" ht="15.75" customHeight="1">
      <c r="A825" s="4" t="s">
        <v>3339</v>
      </c>
      <c r="B825" s="11" t="s">
        <v>3340</v>
      </c>
      <c r="C825" s="4" t="s">
        <v>195</v>
      </c>
      <c r="D825" s="12" t="s">
        <v>29</v>
      </c>
      <c r="E825" s="13" t="s">
        <v>30</v>
      </c>
      <c r="F825" s="5" t="s">
        <v>31</v>
      </c>
      <c r="G825" s="5" t="b">
        <v>0</v>
      </c>
      <c r="H825" s="5" t="s">
        <v>3341</v>
      </c>
      <c r="I825" s="5">
        <v>1.0</v>
      </c>
      <c r="J825" s="5">
        <v>0.0</v>
      </c>
      <c r="K825" s="5">
        <v>0.0</v>
      </c>
    </row>
    <row r="826" ht="15.75" customHeight="1">
      <c r="A826" s="4" t="s">
        <v>3342</v>
      </c>
      <c r="B826" s="11" t="s">
        <v>3343</v>
      </c>
      <c r="C826" s="4" t="s">
        <v>1620</v>
      </c>
      <c r="D826" s="12" t="s">
        <v>670</v>
      </c>
      <c r="E826" s="13" t="s">
        <v>53</v>
      </c>
      <c r="F826" s="5" t="s">
        <v>671</v>
      </c>
      <c r="G826" s="5" t="b">
        <v>0</v>
      </c>
      <c r="I826" s="5">
        <v>1.0</v>
      </c>
      <c r="J826" s="5">
        <v>0.0</v>
      </c>
      <c r="K826" s="5">
        <v>0.0</v>
      </c>
    </row>
    <row r="827" ht="15.75" customHeight="1">
      <c r="A827" s="4" t="s">
        <v>3344</v>
      </c>
      <c r="B827" s="11" t="s">
        <v>3345</v>
      </c>
      <c r="C827" s="4" t="s">
        <v>1622</v>
      </c>
      <c r="D827" s="12" t="s">
        <v>126</v>
      </c>
      <c r="E827" s="13" t="s">
        <v>53</v>
      </c>
      <c r="F827" s="5" t="s">
        <v>127</v>
      </c>
      <c r="G827" s="5" t="b">
        <v>0</v>
      </c>
      <c r="I827" s="5">
        <v>1.0</v>
      </c>
      <c r="J827" s="5">
        <v>0.0</v>
      </c>
      <c r="K827" s="5">
        <v>2.0</v>
      </c>
    </row>
    <row r="828" ht="15.75" customHeight="1">
      <c r="A828" s="4" t="s">
        <v>3346</v>
      </c>
      <c r="B828" s="11" t="s">
        <v>3347</v>
      </c>
      <c r="C828" s="4" t="s">
        <v>1626</v>
      </c>
      <c r="D828" s="12" t="s">
        <v>29</v>
      </c>
      <c r="E828" s="13" t="s">
        <v>53</v>
      </c>
      <c r="F828" s="5" t="s">
        <v>31</v>
      </c>
      <c r="G828" s="5" t="b">
        <v>0</v>
      </c>
      <c r="H828" s="5" t="s">
        <v>3348</v>
      </c>
      <c r="I828" s="5">
        <v>1.0</v>
      </c>
      <c r="J828" s="5">
        <v>0.0</v>
      </c>
      <c r="K828" s="5">
        <v>1.0</v>
      </c>
    </row>
    <row r="829" ht="15.75" customHeight="1">
      <c r="A829" s="4" t="s">
        <v>3349</v>
      </c>
      <c r="B829" s="11" t="s">
        <v>3350</v>
      </c>
      <c r="C829" s="4" t="s">
        <v>1205</v>
      </c>
      <c r="D829" s="12" t="s">
        <v>467</v>
      </c>
      <c r="E829" s="13" t="s">
        <v>30</v>
      </c>
      <c r="F829" s="5" t="s">
        <v>469</v>
      </c>
      <c r="G829" s="5" t="b">
        <v>0</v>
      </c>
      <c r="H829" s="5" t="s">
        <v>3351</v>
      </c>
      <c r="I829" s="5">
        <v>1.0</v>
      </c>
      <c r="J829" s="5">
        <v>0.0</v>
      </c>
      <c r="K829" s="5">
        <v>1.0</v>
      </c>
    </row>
    <row r="830" ht="15.75" customHeight="1">
      <c r="A830" s="4" t="s">
        <v>3352</v>
      </c>
      <c r="B830" s="11" t="s">
        <v>3353</v>
      </c>
      <c r="C830" s="4" t="s">
        <v>1205</v>
      </c>
      <c r="D830" s="12" t="s">
        <v>84</v>
      </c>
      <c r="E830" s="13" t="s">
        <v>30</v>
      </c>
      <c r="F830" s="5" t="s">
        <v>85</v>
      </c>
      <c r="G830" s="5" t="b">
        <v>0</v>
      </c>
      <c r="H830" s="5" t="s">
        <v>3354</v>
      </c>
      <c r="I830" s="5">
        <v>1.0</v>
      </c>
      <c r="J830" s="5">
        <v>0.0</v>
      </c>
      <c r="K830" s="5">
        <v>1.0</v>
      </c>
    </row>
    <row r="831" ht="15.75" customHeight="1">
      <c r="A831" s="4" t="s">
        <v>3355</v>
      </c>
      <c r="B831" s="11" t="s">
        <v>3356</v>
      </c>
      <c r="C831" s="4" t="s">
        <v>1630</v>
      </c>
      <c r="D831" s="12" t="s">
        <v>29</v>
      </c>
      <c r="E831" s="13" t="s">
        <v>53</v>
      </c>
      <c r="F831" s="5" t="s">
        <v>31</v>
      </c>
      <c r="G831" s="5" t="b">
        <v>0</v>
      </c>
      <c r="H831" s="5" t="s">
        <v>3357</v>
      </c>
      <c r="I831" s="5">
        <v>1.0</v>
      </c>
      <c r="J831" s="5">
        <v>0.0</v>
      </c>
      <c r="K831" s="5">
        <v>2.0</v>
      </c>
    </row>
    <row r="832" ht="15.75" customHeight="1">
      <c r="A832" s="4" t="s">
        <v>3358</v>
      </c>
      <c r="B832" s="11" t="s">
        <v>3359</v>
      </c>
      <c r="C832" s="4" t="s">
        <v>1633</v>
      </c>
      <c r="D832" s="12" t="s">
        <v>261</v>
      </c>
      <c r="E832" s="13" t="s">
        <v>53</v>
      </c>
      <c r="F832" s="5" t="s">
        <v>263</v>
      </c>
      <c r="G832" s="5" t="b">
        <v>0</v>
      </c>
      <c r="H832" s="5" t="s">
        <v>396</v>
      </c>
      <c r="I832" s="5">
        <v>1.0</v>
      </c>
      <c r="J832" s="5">
        <v>0.0</v>
      </c>
      <c r="K832" s="5">
        <v>0.0</v>
      </c>
    </row>
    <row r="833" ht="15.75" customHeight="1">
      <c r="A833" s="4" t="s">
        <v>3360</v>
      </c>
      <c r="B833" s="11" t="s">
        <v>3361</v>
      </c>
      <c r="C833" s="4" t="s">
        <v>1636</v>
      </c>
      <c r="D833" s="12" t="s">
        <v>261</v>
      </c>
      <c r="E833" s="13" t="s">
        <v>53</v>
      </c>
      <c r="F833" s="5" t="s">
        <v>263</v>
      </c>
      <c r="G833" s="5" t="b">
        <v>0</v>
      </c>
      <c r="I833" s="5">
        <v>1.0</v>
      </c>
      <c r="J833" s="5">
        <v>0.0</v>
      </c>
      <c r="K833" s="5">
        <v>1.0</v>
      </c>
    </row>
    <row r="834" ht="15.75" customHeight="1">
      <c r="A834" s="4" t="s">
        <v>3362</v>
      </c>
      <c r="B834" s="11" t="s">
        <v>3363</v>
      </c>
      <c r="C834" s="4" t="s">
        <v>1638</v>
      </c>
      <c r="D834" s="12" t="s">
        <v>126</v>
      </c>
      <c r="E834" s="13" t="s">
        <v>53</v>
      </c>
      <c r="F834" s="5" t="s">
        <v>127</v>
      </c>
      <c r="G834" s="5" t="b">
        <v>0</v>
      </c>
      <c r="I834" s="5">
        <v>1.0</v>
      </c>
      <c r="J834" s="5">
        <v>0.0</v>
      </c>
      <c r="K834" s="5">
        <v>0.0</v>
      </c>
    </row>
    <row r="835" ht="15.75" customHeight="1">
      <c r="A835" s="4" t="s">
        <v>3364</v>
      </c>
      <c r="B835" s="11" t="s">
        <v>3365</v>
      </c>
      <c r="C835" s="4" t="s">
        <v>1641</v>
      </c>
      <c r="D835" s="12" t="s">
        <v>29</v>
      </c>
      <c r="E835" s="13" t="s">
        <v>93</v>
      </c>
      <c r="F835" s="5" t="s">
        <v>31</v>
      </c>
      <c r="G835" s="5" t="b">
        <v>0</v>
      </c>
      <c r="H835" s="5" t="s">
        <v>1643</v>
      </c>
      <c r="I835" s="5">
        <v>1.0</v>
      </c>
      <c r="J835" s="5">
        <v>0.0</v>
      </c>
      <c r="K835" s="5">
        <v>0.0</v>
      </c>
    </row>
    <row r="836" ht="15.75" customHeight="1">
      <c r="A836" s="4" t="s">
        <v>3366</v>
      </c>
      <c r="B836" s="11" t="s">
        <v>3367</v>
      </c>
      <c r="C836" s="4" t="s">
        <v>275</v>
      </c>
      <c r="D836" s="12" t="s">
        <v>29</v>
      </c>
      <c r="E836" s="13" t="s">
        <v>53</v>
      </c>
      <c r="F836" s="5" t="s">
        <v>31</v>
      </c>
      <c r="G836" s="5" t="b">
        <v>0</v>
      </c>
      <c r="H836" s="5" t="s">
        <v>799</v>
      </c>
      <c r="I836" s="5">
        <v>1.0</v>
      </c>
      <c r="J836" s="5">
        <v>0.0</v>
      </c>
      <c r="K836" s="5">
        <v>0.0</v>
      </c>
    </row>
    <row r="837" ht="15.75" customHeight="1">
      <c r="A837" s="4" t="s">
        <v>3368</v>
      </c>
      <c r="B837" s="11" t="s">
        <v>3369</v>
      </c>
      <c r="C837" s="4" t="s">
        <v>1644</v>
      </c>
      <c r="D837" s="12" t="s">
        <v>29</v>
      </c>
      <c r="E837" s="13" t="s">
        <v>53</v>
      </c>
      <c r="F837" s="5" t="s">
        <v>31</v>
      </c>
      <c r="G837" s="5" t="b">
        <v>0</v>
      </c>
      <c r="H837" s="5" t="s">
        <v>3370</v>
      </c>
      <c r="I837" s="5">
        <v>1.0</v>
      </c>
      <c r="J837" s="5">
        <v>0.0</v>
      </c>
      <c r="K837" s="5">
        <v>0.0</v>
      </c>
    </row>
    <row r="838" ht="15.75" customHeight="1">
      <c r="A838" s="4" t="s">
        <v>3371</v>
      </c>
      <c r="B838" s="11" t="s">
        <v>3372</v>
      </c>
      <c r="C838" s="4" t="s">
        <v>1647</v>
      </c>
      <c r="D838" s="12" t="s">
        <v>126</v>
      </c>
      <c r="E838" s="13" t="s">
        <v>2235</v>
      </c>
      <c r="F838" s="5" t="s">
        <v>127</v>
      </c>
      <c r="G838" s="5" t="b">
        <v>0</v>
      </c>
      <c r="H838" s="5" t="s">
        <v>1648</v>
      </c>
      <c r="I838" s="5">
        <v>1.0</v>
      </c>
      <c r="J838" s="5">
        <v>0.0</v>
      </c>
      <c r="K838" s="5">
        <v>0.0</v>
      </c>
    </row>
    <row r="839" ht="15.75" customHeight="1">
      <c r="A839" s="4" t="s">
        <v>3373</v>
      </c>
      <c r="B839" s="11" t="s">
        <v>3374</v>
      </c>
      <c r="C839" s="4" t="s">
        <v>1649</v>
      </c>
      <c r="D839" s="12" t="s">
        <v>29</v>
      </c>
      <c r="E839" s="13" t="s">
        <v>53</v>
      </c>
      <c r="F839" s="5" t="s">
        <v>31</v>
      </c>
      <c r="G839" s="5" t="b">
        <v>0</v>
      </c>
      <c r="H839" s="5" t="s">
        <v>2988</v>
      </c>
      <c r="I839" s="5">
        <v>1.0</v>
      </c>
      <c r="J839" s="5">
        <v>0.0</v>
      </c>
      <c r="K839" s="5">
        <v>0.0</v>
      </c>
    </row>
    <row r="840" ht="15.75" customHeight="1">
      <c r="A840" s="4" t="s">
        <v>3375</v>
      </c>
      <c r="B840" s="11" t="s">
        <v>3376</v>
      </c>
      <c r="C840" s="4" t="s">
        <v>1651</v>
      </c>
      <c r="D840" s="12" t="s">
        <v>29</v>
      </c>
      <c r="E840" s="13" t="s">
        <v>81</v>
      </c>
      <c r="F840" s="5" t="s">
        <v>31</v>
      </c>
      <c r="G840" s="5" t="b">
        <v>0</v>
      </c>
      <c r="H840" s="5" t="s">
        <v>1652</v>
      </c>
      <c r="I840" s="5">
        <v>1.0</v>
      </c>
      <c r="J840" s="5">
        <v>0.0</v>
      </c>
      <c r="K840" s="5">
        <v>0.0</v>
      </c>
    </row>
    <row r="841" ht="15.75" customHeight="1">
      <c r="A841" s="4" t="s">
        <v>3377</v>
      </c>
      <c r="B841" s="11" t="s">
        <v>3378</v>
      </c>
      <c r="C841" s="4" t="s">
        <v>412</v>
      </c>
      <c r="D841" s="12" t="s">
        <v>126</v>
      </c>
      <c r="E841" s="13" t="s">
        <v>30</v>
      </c>
      <c r="F841" s="5" t="s">
        <v>127</v>
      </c>
      <c r="G841" s="5" t="b">
        <v>0</v>
      </c>
      <c r="H841" s="5" t="s">
        <v>3379</v>
      </c>
      <c r="I841" s="5">
        <v>1.0</v>
      </c>
      <c r="J841" s="5">
        <v>0.0</v>
      </c>
      <c r="K841" s="5">
        <v>1.0</v>
      </c>
    </row>
    <row r="842" ht="15.75" customHeight="1">
      <c r="A842" s="4" t="s">
        <v>3380</v>
      </c>
      <c r="B842" s="11" t="s">
        <v>3381</v>
      </c>
      <c r="C842" s="4" t="s">
        <v>1489</v>
      </c>
      <c r="D842" s="12" t="s">
        <v>261</v>
      </c>
      <c r="E842" s="13" t="s">
        <v>53</v>
      </c>
      <c r="F842" s="5" t="s">
        <v>263</v>
      </c>
      <c r="G842" s="5" t="b">
        <v>0</v>
      </c>
      <c r="H842" s="5" t="s">
        <v>399</v>
      </c>
      <c r="I842" s="5">
        <v>1.0</v>
      </c>
      <c r="J842" s="5">
        <v>0.0</v>
      </c>
      <c r="K842" s="5">
        <v>0.0</v>
      </c>
    </row>
    <row r="843" ht="15.75" customHeight="1">
      <c r="A843" s="4" t="s">
        <v>3382</v>
      </c>
      <c r="B843" s="11" t="s">
        <v>716</v>
      </c>
      <c r="C843" s="4" t="s">
        <v>92</v>
      </c>
      <c r="D843" s="12" t="s">
        <v>261</v>
      </c>
      <c r="E843" s="13" t="s">
        <v>84</v>
      </c>
      <c r="F843" s="5" t="s">
        <v>263</v>
      </c>
      <c r="G843" s="5" t="b">
        <v>0</v>
      </c>
      <c r="I843" s="5">
        <v>1.0</v>
      </c>
      <c r="J843" s="5">
        <v>0.0</v>
      </c>
      <c r="K843" s="5">
        <v>0.0</v>
      </c>
    </row>
    <row r="844" ht="15.75" customHeight="1">
      <c r="A844" s="4" t="s">
        <v>3383</v>
      </c>
      <c r="B844" s="11" t="s">
        <v>3384</v>
      </c>
      <c r="C844" s="4" t="s">
        <v>2375</v>
      </c>
      <c r="D844" s="12" t="s">
        <v>126</v>
      </c>
      <c r="E844" s="13" t="s">
        <v>93</v>
      </c>
      <c r="F844" s="5" t="s">
        <v>127</v>
      </c>
      <c r="G844" s="5" t="b">
        <v>0</v>
      </c>
      <c r="H844" s="5" t="s">
        <v>1586</v>
      </c>
      <c r="I844" s="5">
        <v>1.0</v>
      </c>
      <c r="J844" s="5">
        <v>0.0</v>
      </c>
      <c r="K844" s="5">
        <v>0.0</v>
      </c>
    </row>
    <row r="845" ht="15.75" customHeight="1">
      <c r="A845" s="4" t="s">
        <v>3385</v>
      </c>
      <c r="B845" s="11" t="s">
        <v>3386</v>
      </c>
      <c r="C845" s="4" t="s">
        <v>860</v>
      </c>
      <c r="D845" s="12" t="s">
        <v>261</v>
      </c>
      <c r="E845" s="13" t="s">
        <v>678</v>
      </c>
      <c r="F845" s="5" t="s">
        <v>263</v>
      </c>
      <c r="G845" s="5" t="b">
        <v>0</v>
      </c>
      <c r="H845" s="5" t="s">
        <v>3387</v>
      </c>
      <c r="I845" s="5">
        <v>1.0</v>
      </c>
      <c r="J845" s="5">
        <v>0.0</v>
      </c>
      <c r="K845" s="5">
        <v>3.0</v>
      </c>
    </row>
    <row r="846" ht="15.75" customHeight="1">
      <c r="A846" s="4" t="s">
        <v>3388</v>
      </c>
      <c r="B846" s="11" t="s">
        <v>3389</v>
      </c>
      <c r="C846" s="4" t="s">
        <v>860</v>
      </c>
      <c r="D846" s="12" t="s">
        <v>261</v>
      </c>
      <c r="E846" s="13" t="s">
        <v>678</v>
      </c>
      <c r="F846" s="5" t="s">
        <v>263</v>
      </c>
      <c r="G846" s="5" t="b">
        <v>0</v>
      </c>
      <c r="I846" s="5">
        <v>1.0</v>
      </c>
      <c r="J846" s="5">
        <v>0.0</v>
      </c>
      <c r="K846" s="5">
        <v>2.0</v>
      </c>
    </row>
    <row r="847" ht="15.75" customHeight="1">
      <c r="A847" s="4" t="s">
        <v>3390</v>
      </c>
      <c r="B847" s="11" t="s">
        <v>3391</v>
      </c>
      <c r="C847" s="4" t="s">
        <v>1654</v>
      </c>
      <c r="D847" s="12" t="s">
        <v>52</v>
      </c>
      <c r="E847" s="13" t="s">
        <v>678</v>
      </c>
      <c r="F847" s="5" t="s">
        <v>54</v>
      </c>
      <c r="G847" s="5" t="b">
        <v>1</v>
      </c>
      <c r="H847" s="5" t="s">
        <v>3392</v>
      </c>
      <c r="I847" s="5">
        <v>1.0</v>
      </c>
      <c r="J847" s="5">
        <v>0.0</v>
      </c>
      <c r="K847" s="5">
        <v>0.0</v>
      </c>
    </row>
    <row r="848" ht="15.75" customHeight="1">
      <c r="A848" s="4" t="s">
        <v>3393</v>
      </c>
      <c r="B848" s="11" t="s">
        <v>3394</v>
      </c>
      <c r="C848" s="4" t="s">
        <v>1658</v>
      </c>
      <c r="D848" s="12" t="s">
        <v>29</v>
      </c>
      <c r="E848" s="13" t="s">
        <v>2235</v>
      </c>
      <c r="F848" s="5" t="s">
        <v>31</v>
      </c>
      <c r="G848" s="5" t="b">
        <v>0</v>
      </c>
      <c r="H848" s="5" t="s">
        <v>3395</v>
      </c>
      <c r="I848" s="5">
        <v>1.0</v>
      </c>
      <c r="J848" s="5">
        <v>0.0</v>
      </c>
      <c r="K848" s="5">
        <v>1.0</v>
      </c>
    </row>
    <row r="849" ht="15.75" customHeight="1">
      <c r="A849" s="4" t="s">
        <v>3396</v>
      </c>
      <c r="B849" s="11" t="s">
        <v>3397</v>
      </c>
      <c r="C849" s="4" t="s">
        <v>1663</v>
      </c>
      <c r="D849" s="12" t="s">
        <v>29</v>
      </c>
      <c r="E849" s="13" t="s">
        <v>53</v>
      </c>
      <c r="F849" s="5" t="s">
        <v>31</v>
      </c>
      <c r="G849" s="5" t="b">
        <v>0</v>
      </c>
      <c r="H849" s="5" t="s">
        <v>3398</v>
      </c>
      <c r="I849" s="5">
        <v>1.0</v>
      </c>
      <c r="J849" s="5">
        <v>0.0</v>
      </c>
      <c r="K849" s="5">
        <v>0.0</v>
      </c>
    </row>
    <row r="850" ht="15.75" customHeight="1">
      <c r="A850" s="4" t="s">
        <v>3399</v>
      </c>
      <c r="B850" s="11" t="s">
        <v>3400</v>
      </c>
      <c r="C850" s="4" t="s">
        <v>1666</v>
      </c>
      <c r="D850" s="12" t="s">
        <v>297</v>
      </c>
      <c r="E850" s="13" t="s">
        <v>53</v>
      </c>
      <c r="F850" s="5" t="s">
        <v>298</v>
      </c>
      <c r="G850" s="5" t="b">
        <v>0</v>
      </c>
      <c r="H850" s="5" t="s">
        <v>3401</v>
      </c>
      <c r="I850" s="5">
        <v>1.0</v>
      </c>
      <c r="J850" s="5">
        <v>0.0</v>
      </c>
      <c r="K850" s="5">
        <v>0.0</v>
      </c>
    </row>
    <row r="851" ht="15.75" customHeight="1">
      <c r="A851" s="4" t="s">
        <v>3402</v>
      </c>
      <c r="B851" s="11" t="s">
        <v>3403</v>
      </c>
      <c r="C851" s="4" t="s">
        <v>1669</v>
      </c>
      <c r="D851" s="12" t="s">
        <v>29</v>
      </c>
      <c r="E851" s="13" t="s">
        <v>93</v>
      </c>
      <c r="F851" s="5" t="s">
        <v>31</v>
      </c>
      <c r="G851" s="5" t="b">
        <v>0</v>
      </c>
      <c r="H851" s="5" t="s">
        <v>3404</v>
      </c>
      <c r="I851" s="5">
        <v>1.0</v>
      </c>
      <c r="J851" s="5">
        <v>0.0</v>
      </c>
      <c r="K851" s="5">
        <v>0.0</v>
      </c>
    </row>
    <row r="852" ht="15.75" customHeight="1">
      <c r="A852" s="4" t="s">
        <v>3405</v>
      </c>
      <c r="B852" s="11" t="s">
        <v>3406</v>
      </c>
      <c r="C852" s="4" t="s">
        <v>1673</v>
      </c>
      <c r="D852" s="12" t="s">
        <v>467</v>
      </c>
      <c r="E852" s="13" t="s">
        <v>53</v>
      </c>
      <c r="F852" s="5" t="s">
        <v>469</v>
      </c>
      <c r="G852" s="5" t="b">
        <v>0</v>
      </c>
      <c r="H852" s="5" t="s">
        <v>1674</v>
      </c>
      <c r="I852" s="5">
        <v>1.0</v>
      </c>
      <c r="J852" s="5">
        <v>0.0</v>
      </c>
      <c r="K852" s="5">
        <v>1.0</v>
      </c>
    </row>
    <row r="853" ht="15.75" customHeight="1">
      <c r="A853" s="4" t="s">
        <v>3407</v>
      </c>
      <c r="B853" s="11" t="s">
        <v>3408</v>
      </c>
      <c r="C853" s="4" t="s">
        <v>1675</v>
      </c>
      <c r="D853" s="12" t="s">
        <v>84</v>
      </c>
      <c r="E853" s="13" t="s">
        <v>53</v>
      </c>
      <c r="F853" s="5" t="s">
        <v>85</v>
      </c>
      <c r="G853" s="5" t="b">
        <v>0</v>
      </c>
      <c r="I853" s="5">
        <v>1.0</v>
      </c>
      <c r="J853" s="5">
        <v>0.0</v>
      </c>
      <c r="K853" s="5">
        <v>1.0</v>
      </c>
    </row>
    <row r="854" ht="15.75" customHeight="1">
      <c r="A854" s="4" t="s">
        <v>3409</v>
      </c>
      <c r="B854" s="11" t="s">
        <v>3410</v>
      </c>
      <c r="C854" s="4" t="s">
        <v>1677</v>
      </c>
      <c r="D854" s="12" t="s">
        <v>297</v>
      </c>
      <c r="E854" s="13" t="s">
        <v>53</v>
      </c>
      <c r="F854" s="5" t="s">
        <v>298</v>
      </c>
      <c r="G854" s="5" t="b">
        <v>0</v>
      </c>
      <c r="H854" s="5" t="s">
        <v>396</v>
      </c>
      <c r="I854" s="5">
        <v>1.0</v>
      </c>
      <c r="J854" s="5">
        <v>0.0</v>
      </c>
      <c r="K854" s="5">
        <v>0.0</v>
      </c>
    </row>
    <row r="855" ht="15.75" customHeight="1">
      <c r="A855" s="4" t="s">
        <v>3411</v>
      </c>
      <c r="B855" s="11" t="s">
        <v>3412</v>
      </c>
      <c r="C855" s="4" t="s">
        <v>1679</v>
      </c>
      <c r="D855" s="12" t="s">
        <v>467</v>
      </c>
      <c r="E855" s="13" t="s">
        <v>53</v>
      </c>
      <c r="F855" s="5" t="s">
        <v>469</v>
      </c>
      <c r="G855" s="5" t="b">
        <v>0</v>
      </c>
      <c r="H855" s="5" t="s">
        <v>1681</v>
      </c>
      <c r="I855" s="5">
        <v>1.0</v>
      </c>
      <c r="J855" s="5">
        <v>0.0</v>
      </c>
      <c r="K855" s="5">
        <v>1.0</v>
      </c>
    </row>
    <row r="856" ht="15.75" customHeight="1">
      <c r="A856" s="4" t="s">
        <v>3413</v>
      </c>
      <c r="B856" s="11" t="s">
        <v>3414</v>
      </c>
      <c r="C856" s="4" t="s">
        <v>1682</v>
      </c>
      <c r="D856" s="12" t="s">
        <v>126</v>
      </c>
      <c r="E856" s="13" t="s">
        <v>53</v>
      </c>
      <c r="F856" s="5" t="s">
        <v>127</v>
      </c>
      <c r="G856" s="5" t="b">
        <v>0</v>
      </c>
      <c r="I856" s="5">
        <v>1.0</v>
      </c>
      <c r="J856" s="5">
        <v>0.0</v>
      </c>
      <c r="K856" s="5">
        <v>0.0</v>
      </c>
    </row>
    <row r="857" ht="15.75" customHeight="1">
      <c r="A857" s="4" t="s">
        <v>3415</v>
      </c>
      <c r="B857" s="11" t="s">
        <v>3416</v>
      </c>
      <c r="C857" s="4" t="s">
        <v>1684</v>
      </c>
      <c r="D857" s="12" t="s">
        <v>467</v>
      </c>
      <c r="E857" s="13" t="s">
        <v>53</v>
      </c>
      <c r="F857" s="5" t="s">
        <v>469</v>
      </c>
      <c r="G857" s="5" t="b">
        <v>0</v>
      </c>
      <c r="I857" s="5">
        <v>1.0</v>
      </c>
      <c r="J857" s="5">
        <v>0.0</v>
      </c>
      <c r="K857" s="5">
        <v>0.0</v>
      </c>
    </row>
    <row r="858" ht="15.75" customHeight="1">
      <c r="A858" s="4" t="s">
        <v>3417</v>
      </c>
      <c r="B858" s="11" t="s">
        <v>3418</v>
      </c>
      <c r="C858" s="4" t="s">
        <v>929</v>
      </c>
      <c r="D858" s="12" t="s">
        <v>467</v>
      </c>
      <c r="E858" s="13" t="s">
        <v>53</v>
      </c>
      <c r="F858" s="5" t="s">
        <v>469</v>
      </c>
      <c r="G858" s="5" t="b">
        <v>0</v>
      </c>
      <c r="I858" s="5">
        <v>1.0</v>
      </c>
      <c r="J858" s="5">
        <v>0.0</v>
      </c>
      <c r="K858" s="5">
        <v>2.0</v>
      </c>
    </row>
    <row r="859" ht="15.75" customHeight="1">
      <c r="A859" s="4" t="s">
        <v>3419</v>
      </c>
      <c r="B859" s="11" t="s">
        <v>3420</v>
      </c>
      <c r="C859" s="4" t="s">
        <v>1004</v>
      </c>
      <c r="D859" s="12" t="s">
        <v>467</v>
      </c>
      <c r="E859" s="13" t="s">
        <v>30</v>
      </c>
      <c r="F859" s="5" t="s">
        <v>469</v>
      </c>
      <c r="G859" s="5" t="b">
        <v>0</v>
      </c>
      <c r="H859" s="5" t="s">
        <v>3421</v>
      </c>
      <c r="I859" s="5">
        <v>1.0</v>
      </c>
      <c r="J859" s="5">
        <v>0.0</v>
      </c>
      <c r="K859" s="5">
        <v>2.0</v>
      </c>
    </row>
    <row r="860" ht="15.75" customHeight="1">
      <c r="A860" s="4" t="s">
        <v>3422</v>
      </c>
      <c r="B860" s="11" t="s">
        <v>3423</v>
      </c>
      <c r="C860" s="4" t="s">
        <v>1004</v>
      </c>
      <c r="D860" s="12" t="s">
        <v>29</v>
      </c>
      <c r="E860" s="13" t="s">
        <v>30</v>
      </c>
      <c r="F860" s="5" t="s">
        <v>31</v>
      </c>
      <c r="G860" s="5" t="b">
        <v>0</v>
      </c>
      <c r="H860" s="5" t="s">
        <v>3424</v>
      </c>
      <c r="I860" s="5">
        <v>1.0</v>
      </c>
      <c r="J860" s="5">
        <v>0.0</v>
      </c>
      <c r="K860" s="5">
        <v>0.0</v>
      </c>
    </row>
    <row r="861" ht="15.75" customHeight="1">
      <c r="A861" s="4" t="s">
        <v>3425</v>
      </c>
      <c r="B861" s="11" t="s">
        <v>3426</v>
      </c>
      <c r="C861" s="4" t="s">
        <v>1685</v>
      </c>
      <c r="D861" s="12" t="s">
        <v>126</v>
      </c>
      <c r="E861" s="13" t="s">
        <v>53</v>
      </c>
      <c r="F861" s="5" t="s">
        <v>127</v>
      </c>
      <c r="G861" s="5" t="b">
        <v>0</v>
      </c>
      <c r="H861" s="5" t="s">
        <v>396</v>
      </c>
      <c r="I861" s="5">
        <v>1.0</v>
      </c>
      <c r="J861" s="5">
        <v>0.0</v>
      </c>
      <c r="K861" s="5">
        <v>1.0</v>
      </c>
    </row>
    <row r="862" ht="15.75" customHeight="1">
      <c r="A862" s="4" t="s">
        <v>3427</v>
      </c>
      <c r="B862" s="11" t="s">
        <v>3428</v>
      </c>
      <c r="C862" s="4" t="s">
        <v>438</v>
      </c>
      <c r="D862" s="12" t="s">
        <v>670</v>
      </c>
      <c r="E862" s="13" t="s">
        <v>53</v>
      </c>
      <c r="F862" s="5" t="s">
        <v>671</v>
      </c>
      <c r="G862" s="5" t="b">
        <v>0</v>
      </c>
      <c r="I862" s="5">
        <v>1.0</v>
      </c>
      <c r="J862" s="5">
        <v>0.0</v>
      </c>
      <c r="K862" s="5">
        <v>0.0</v>
      </c>
    </row>
    <row r="863" ht="15.75" customHeight="1">
      <c r="A863" s="4" t="s">
        <v>3429</v>
      </c>
      <c r="B863" s="11" t="s">
        <v>3430</v>
      </c>
      <c r="C863" s="4" t="s">
        <v>438</v>
      </c>
      <c r="D863" s="12" t="s">
        <v>29</v>
      </c>
      <c r="E863" s="13" t="s">
        <v>53</v>
      </c>
      <c r="F863" s="5" t="s">
        <v>31</v>
      </c>
      <c r="G863" s="5" t="b">
        <v>0</v>
      </c>
      <c r="H863" s="5" t="s">
        <v>247</v>
      </c>
      <c r="I863" s="5">
        <v>1.0</v>
      </c>
      <c r="J863" s="5">
        <v>0.0</v>
      </c>
      <c r="K863" s="5">
        <v>1.0</v>
      </c>
    </row>
    <row r="864" ht="15.75" customHeight="1">
      <c r="A864" s="4" t="s">
        <v>3431</v>
      </c>
      <c r="B864" s="11" t="s">
        <v>3432</v>
      </c>
      <c r="C864" s="4" t="s">
        <v>438</v>
      </c>
      <c r="D864" s="12" t="s">
        <v>29</v>
      </c>
      <c r="E864" s="13" t="s">
        <v>53</v>
      </c>
      <c r="F864" s="5" t="s">
        <v>31</v>
      </c>
      <c r="G864" s="5" t="b">
        <v>0</v>
      </c>
      <c r="H864" s="5" t="s">
        <v>399</v>
      </c>
      <c r="I864" s="5">
        <v>1.0</v>
      </c>
      <c r="J864" s="5">
        <v>0.0</v>
      </c>
      <c r="K864" s="5">
        <v>0.0</v>
      </c>
    </row>
    <row r="865" ht="15.75" customHeight="1">
      <c r="A865" s="4" t="s">
        <v>3433</v>
      </c>
      <c r="B865" s="11" t="s">
        <v>3434</v>
      </c>
      <c r="C865" s="4" t="s">
        <v>438</v>
      </c>
      <c r="D865" s="12" t="s">
        <v>29</v>
      </c>
      <c r="E865" s="13" t="s">
        <v>53</v>
      </c>
      <c r="F865" s="5" t="s">
        <v>31</v>
      </c>
      <c r="G865" s="5" t="b">
        <v>0</v>
      </c>
      <c r="H865" s="5" t="s">
        <v>952</v>
      </c>
      <c r="I865" s="5">
        <v>1.0</v>
      </c>
      <c r="J865" s="5">
        <v>0.0</v>
      </c>
      <c r="K865" s="5">
        <v>0.0</v>
      </c>
    </row>
    <row r="866" ht="15.75" customHeight="1">
      <c r="A866" s="4" t="s">
        <v>3435</v>
      </c>
      <c r="B866" s="11" t="s">
        <v>3436</v>
      </c>
      <c r="C866" s="4" t="s">
        <v>438</v>
      </c>
      <c r="D866" s="12" t="s">
        <v>29</v>
      </c>
      <c r="E866" s="13" t="s">
        <v>53</v>
      </c>
      <c r="F866" s="5" t="s">
        <v>31</v>
      </c>
      <c r="G866" s="5" t="b">
        <v>0</v>
      </c>
      <c r="I866" s="5">
        <v>1.0</v>
      </c>
      <c r="J866" s="5">
        <v>0.0</v>
      </c>
      <c r="K866" s="5">
        <v>0.0</v>
      </c>
    </row>
    <row r="867" ht="15.75" customHeight="1">
      <c r="A867" s="4" t="s">
        <v>3437</v>
      </c>
      <c r="B867" s="11" t="s">
        <v>3438</v>
      </c>
      <c r="C867" s="4" t="s">
        <v>438</v>
      </c>
      <c r="D867" s="12" t="s">
        <v>29</v>
      </c>
      <c r="E867" s="13" t="s">
        <v>53</v>
      </c>
      <c r="F867" s="5" t="s">
        <v>31</v>
      </c>
      <c r="G867" s="5" t="b">
        <v>0</v>
      </c>
      <c r="H867" s="5" t="s">
        <v>3439</v>
      </c>
      <c r="I867" s="5">
        <v>1.0</v>
      </c>
      <c r="J867" s="5">
        <v>0.0</v>
      </c>
      <c r="K867" s="5">
        <v>0.0</v>
      </c>
    </row>
    <row r="868" ht="15.75" customHeight="1">
      <c r="A868" s="4" t="s">
        <v>3440</v>
      </c>
      <c r="B868" s="11" t="s">
        <v>3441</v>
      </c>
      <c r="C868" s="4" t="s">
        <v>47</v>
      </c>
      <c r="D868" s="12" t="s">
        <v>29</v>
      </c>
      <c r="E868" s="13" t="s">
        <v>30</v>
      </c>
      <c r="F868" s="5" t="s">
        <v>31</v>
      </c>
      <c r="G868" s="5" t="b">
        <v>0</v>
      </c>
      <c r="H868" s="5" t="s">
        <v>3442</v>
      </c>
      <c r="I868" s="5">
        <v>1.0</v>
      </c>
      <c r="J868" s="5">
        <v>0.0</v>
      </c>
      <c r="K868" s="5">
        <v>1.0</v>
      </c>
    </row>
    <row r="869" ht="15.75" customHeight="1">
      <c r="A869" s="4" t="s">
        <v>3443</v>
      </c>
      <c r="B869" s="11" t="s">
        <v>3444</v>
      </c>
      <c r="C869" s="4" t="s">
        <v>47</v>
      </c>
      <c r="D869" s="12" t="s">
        <v>126</v>
      </c>
      <c r="E869" s="13" t="s">
        <v>30</v>
      </c>
      <c r="F869" s="5" t="s">
        <v>127</v>
      </c>
      <c r="G869" s="5" t="b">
        <v>0</v>
      </c>
      <c r="H869" s="5" t="s">
        <v>182</v>
      </c>
      <c r="I869" s="5">
        <v>1.0</v>
      </c>
      <c r="J869" s="5">
        <v>0.0</v>
      </c>
      <c r="K869" s="5">
        <v>0.0</v>
      </c>
    </row>
    <row r="870" ht="15.75" customHeight="1">
      <c r="A870" s="4" t="s">
        <v>3445</v>
      </c>
      <c r="B870" s="11" t="s">
        <v>3446</v>
      </c>
      <c r="C870" s="4" t="s">
        <v>47</v>
      </c>
      <c r="D870" s="12" t="s">
        <v>126</v>
      </c>
      <c r="E870" s="13" t="s">
        <v>30</v>
      </c>
      <c r="F870" s="5" t="s">
        <v>127</v>
      </c>
      <c r="G870" s="5" t="b">
        <v>0</v>
      </c>
      <c r="H870" s="5" t="s">
        <v>3447</v>
      </c>
      <c r="I870" s="5">
        <v>1.0</v>
      </c>
      <c r="J870" s="5">
        <v>0.0</v>
      </c>
      <c r="K870" s="5">
        <v>1.0</v>
      </c>
    </row>
    <row r="871" ht="15.75" customHeight="1">
      <c r="A871" s="4" t="s">
        <v>3448</v>
      </c>
      <c r="B871" s="11" t="s">
        <v>3449</v>
      </c>
      <c r="C871" s="4" t="s">
        <v>47</v>
      </c>
      <c r="D871" s="12" t="s">
        <v>29</v>
      </c>
      <c r="E871" s="13" t="s">
        <v>30</v>
      </c>
      <c r="F871" s="5" t="s">
        <v>31</v>
      </c>
      <c r="G871" s="5" t="b">
        <v>0</v>
      </c>
      <c r="H871" s="5" t="s">
        <v>182</v>
      </c>
      <c r="I871" s="5">
        <v>1.0</v>
      </c>
      <c r="J871" s="5">
        <v>0.0</v>
      </c>
      <c r="K871" s="5">
        <v>1.0</v>
      </c>
    </row>
    <row r="872" ht="15.75" customHeight="1">
      <c r="A872" s="4" t="s">
        <v>3450</v>
      </c>
      <c r="B872" s="11" t="s">
        <v>3451</v>
      </c>
      <c r="C872" s="4" t="s">
        <v>47</v>
      </c>
      <c r="D872" s="12" t="s">
        <v>29</v>
      </c>
      <c r="E872" s="13" t="s">
        <v>30</v>
      </c>
      <c r="F872" s="5" t="s">
        <v>31</v>
      </c>
      <c r="G872" s="5" t="b">
        <v>0</v>
      </c>
      <c r="H872" s="5" t="s">
        <v>3452</v>
      </c>
      <c r="I872" s="5">
        <v>1.0</v>
      </c>
      <c r="J872" s="5">
        <v>0.0</v>
      </c>
      <c r="K872" s="5">
        <v>1.0</v>
      </c>
    </row>
    <row r="873" ht="15.75" customHeight="1">
      <c r="A873" s="4" t="s">
        <v>3453</v>
      </c>
      <c r="B873" s="11" t="s">
        <v>3454</v>
      </c>
      <c r="C873" s="4" t="s">
        <v>1687</v>
      </c>
      <c r="D873" s="12" t="s">
        <v>29</v>
      </c>
      <c r="E873" s="13" t="s">
        <v>53</v>
      </c>
      <c r="F873" s="5" t="s">
        <v>31</v>
      </c>
      <c r="G873" s="5" t="b">
        <v>0</v>
      </c>
      <c r="H873" s="5" t="s">
        <v>3455</v>
      </c>
      <c r="I873" s="5">
        <v>1.0</v>
      </c>
      <c r="J873" s="5">
        <v>0.0</v>
      </c>
      <c r="K873" s="5">
        <v>0.0</v>
      </c>
    </row>
    <row r="874" ht="15.75" customHeight="1">
      <c r="A874" s="4" t="s">
        <v>3456</v>
      </c>
      <c r="B874" s="11" t="s">
        <v>3457</v>
      </c>
      <c r="C874" s="4" t="s">
        <v>1689</v>
      </c>
      <c r="D874" s="12" t="s">
        <v>52</v>
      </c>
      <c r="E874" s="13" t="s">
        <v>53</v>
      </c>
      <c r="F874" s="5" t="s">
        <v>54</v>
      </c>
      <c r="G874" s="5" t="b">
        <v>0</v>
      </c>
      <c r="H874" s="5" t="s">
        <v>1691</v>
      </c>
      <c r="I874" s="5">
        <v>1.0</v>
      </c>
      <c r="J874" s="5">
        <v>0.0</v>
      </c>
      <c r="K874" s="5">
        <v>0.0</v>
      </c>
    </row>
    <row r="875" ht="15.75" customHeight="1">
      <c r="A875" s="4" t="s">
        <v>3458</v>
      </c>
      <c r="B875" s="11" t="s">
        <v>3459</v>
      </c>
      <c r="C875" s="4" t="s">
        <v>18</v>
      </c>
      <c r="D875" s="12" t="s">
        <v>52</v>
      </c>
      <c r="E875" s="13" t="s">
        <v>53</v>
      </c>
      <c r="F875" s="5" t="s">
        <v>54</v>
      </c>
      <c r="G875" s="5" t="b">
        <v>0</v>
      </c>
      <c r="H875" s="5" t="s">
        <v>3460</v>
      </c>
      <c r="I875" s="5">
        <v>1.0</v>
      </c>
      <c r="J875" s="5">
        <v>0.0</v>
      </c>
      <c r="K875" s="5">
        <v>0.0</v>
      </c>
    </row>
    <row r="876" ht="15.75" customHeight="1">
      <c r="A876" s="4" t="s">
        <v>3461</v>
      </c>
      <c r="B876" s="11" t="s">
        <v>3462</v>
      </c>
      <c r="C876" s="4" t="s">
        <v>18</v>
      </c>
      <c r="D876" s="12" t="s">
        <v>52</v>
      </c>
      <c r="E876" s="13" t="s">
        <v>53</v>
      </c>
      <c r="F876" s="5" t="s">
        <v>54</v>
      </c>
      <c r="G876" s="5" t="b">
        <v>0</v>
      </c>
      <c r="H876" s="5" t="s">
        <v>3463</v>
      </c>
      <c r="I876" s="5">
        <v>1.0</v>
      </c>
      <c r="J876" s="5">
        <v>0.0</v>
      </c>
      <c r="K876" s="5">
        <v>0.0</v>
      </c>
    </row>
    <row r="877" ht="15.75" customHeight="1">
      <c r="A877" s="4" t="s">
        <v>3464</v>
      </c>
      <c r="B877" s="11" t="s">
        <v>3465</v>
      </c>
      <c r="C877" s="4" t="s">
        <v>18</v>
      </c>
      <c r="D877" s="12" t="s">
        <v>52</v>
      </c>
      <c r="E877" s="13" t="s">
        <v>53</v>
      </c>
      <c r="F877" s="5" t="s">
        <v>54</v>
      </c>
      <c r="G877" s="5" t="b">
        <v>0</v>
      </c>
      <c r="H877" s="5" t="s">
        <v>3466</v>
      </c>
      <c r="I877" s="5">
        <v>1.0</v>
      </c>
      <c r="J877" s="5">
        <v>0.0</v>
      </c>
      <c r="K877" s="5">
        <v>2.0</v>
      </c>
    </row>
    <row r="878" ht="15.75" customHeight="1">
      <c r="A878" s="4" t="s">
        <v>3467</v>
      </c>
      <c r="B878" s="11" t="s">
        <v>3468</v>
      </c>
      <c r="C878" s="4" t="s">
        <v>18</v>
      </c>
      <c r="D878" s="12" t="s">
        <v>52</v>
      </c>
      <c r="E878" s="13" t="s">
        <v>53</v>
      </c>
      <c r="F878" s="5" t="s">
        <v>54</v>
      </c>
      <c r="G878" s="5" t="b">
        <v>0</v>
      </c>
      <c r="H878" s="5" t="s">
        <v>3469</v>
      </c>
      <c r="I878" s="5">
        <v>1.0</v>
      </c>
      <c r="J878" s="5">
        <v>0.0</v>
      </c>
      <c r="K878" s="5">
        <v>1.0</v>
      </c>
    </row>
    <row r="879" ht="15.75" customHeight="1">
      <c r="A879" s="4" t="s">
        <v>3470</v>
      </c>
      <c r="B879" s="11" t="s">
        <v>3471</v>
      </c>
      <c r="C879" s="4" t="s">
        <v>18</v>
      </c>
      <c r="D879" s="12" t="s">
        <v>52</v>
      </c>
      <c r="E879" s="13" t="s">
        <v>53</v>
      </c>
      <c r="F879" s="5" t="s">
        <v>54</v>
      </c>
      <c r="G879" s="5" t="b">
        <v>0</v>
      </c>
      <c r="H879" s="5" t="s">
        <v>396</v>
      </c>
      <c r="I879" s="5">
        <v>1.0</v>
      </c>
      <c r="J879" s="5">
        <v>0.0</v>
      </c>
      <c r="K879" s="5">
        <v>0.0</v>
      </c>
    </row>
    <row r="880" ht="15.75" customHeight="1">
      <c r="A880" s="4" t="s">
        <v>3472</v>
      </c>
      <c r="B880" s="11" t="s">
        <v>3473</v>
      </c>
      <c r="C880" s="4" t="s">
        <v>18</v>
      </c>
      <c r="D880" s="12" t="s">
        <v>29</v>
      </c>
      <c r="E880" s="13" t="s">
        <v>53</v>
      </c>
      <c r="F880" s="5" t="s">
        <v>31</v>
      </c>
      <c r="G880" s="5" t="b">
        <v>0</v>
      </c>
      <c r="H880" s="5" t="s">
        <v>3474</v>
      </c>
      <c r="I880" s="5">
        <v>1.0</v>
      </c>
      <c r="J880" s="5">
        <v>0.0</v>
      </c>
      <c r="K880" s="5">
        <v>0.0</v>
      </c>
    </row>
    <row r="881" ht="15.75" customHeight="1">
      <c r="A881" s="4" t="s">
        <v>3475</v>
      </c>
      <c r="B881" s="11" t="s">
        <v>2010</v>
      </c>
      <c r="C881" s="4" t="s">
        <v>18</v>
      </c>
      <c r="D881" s="12" t="s">
        <v>297</v>
      </c>
      <c r="E881" s="13" t="s">
        <v>53</v>
      </c>
      <c r="F881" s="5" t="s">
        <v>298</v>
      </c>
      <c r="G881" s="5" t="b">
        <v>0</v>
      </c>
      <c r="H881" s="5" t="s">
        <v>3476</v>
      </c>
      <c r="I881" s="5">
        <v>1.0</v>
      </c>
      <c r="J881" s="5">
        <v>0.0</v>
      </c>
      <c r="K881" s="5">
        <v>0.0</v>
      </c>
    </row>
    <row r="882" ht="15.75" customHeight="1">
      <c r="A882" s="4" t="s">
        <v>3477</v>
      </c>
      <c r="B882" s="11" t="s">
        <v>3478</v>
      </c>
      <c r="C882" s="4" t="s">
        <v>18</v>
      </c>
      <c r="D882" s="12" t="s">
        <v>52</v>
      </c>
      <c r="E882" s="13" t="s">
        <v>53</v>
      </c>
      <c r="F882" s="5" t="s">
        <v>54</v>
      </c>
      <c r="G882" s="5" t="b">
        <v>0</v>
      </c>
      <c r="H882" s="5" t="s">
        <v>3479</v>
      </c>
      <c r="I882" s="5">
        <v>1.0</v>
      </c>
      <c r="J882" s="5">
        <v>0.0</v>
      </c>
      <c r="K882" s="5">
        <v>0.0</v>
      </c>
    </row>
    <row r="883" ht="15.75" customHeight="1">
      <c r="A883" s="4" t="s">
        <v>3480</v>
      </c>
      <c r="B883" s="11" t="s">
        <v>3481</v>
      </c>
      <c r="C883" s="4" t="s">
        <v>18</v>
      </c>
      <c r="D883" s="12" t="s">
        <v>52</v>
      </c>
      <c r="E883" s="13" t="s">
        <v>53</v>
      </c>
      <c r="F883" s="5" t="s">
        <v>54</v>
      </c>
      <c r="G883" s="5" t="b">
        <v>0</v>
      </c>
      <c r="H883" s="5" t="s">
        <v>3482</v>
      </c>
      <c r="I883" s="5">
        <v>1.0</v>
      </c>
      <c r="J883" s="5">
        <v>0.0</v>
      </c>
      <c r="K883" s="5">
        <v>2.0</v>
      </c>
    </row>
    <row r="884" ht="15.75" customHeight="1">
      <c r="A884" s="4" t="s">
        <v>3483</v>
      </c>
      <c r="B884" s="11" t="s">
        <v>3484</v>
      </c>
      <c r="C884" s="4" t="s">
        <v>18</v>
      </c>
      <c r="D884" s="12" t="s">
        <v>84</v>
      </c>
      <c r="E884" s="13" t="s">
        <v>53</v>
      </c>
      <c r="F884" s="5" t="s">
        <v>85</v>
      </c>
      <c r="G884" s="5" t="b">
        <v>0</v>
      </c>
      <c r="H884" s="5" t="s">
        <v>3485</v>
      </c>
      <c r="I884" s="5">
        <v>1.0</v>
      </c>
      <c r="J884" s="5">
        <v>0.0</v>
      </c>
      <c r="K884" s="5">
        <v>0.0</v>
      </c>
    </row>
    <row r="885" ht="15.75" customHeight="1">
      <c r="A885" s="4" t="s">
        <v>3486</v>
      </c>
      <c r="B885" s="11" t="s">
        <v>3487</v>
      </c>
      <c r="C885" s="4" t="s">
        <v>18</v>
      </c>
      <c r="D885" s="12" t="s">
        <v>52</v>
      </c>
      <c r="E885" s="13" t="s">
        <v>53</v>
      </c>
      <c r="F885" s="5" t="s">
        <v>54</v>
      </c>
      <c r="G885" s="5" t="b">
        <v>0</v>
      </c>
      <c r="H885" s="5" t="s">
        <v>1539</v>
      </c>
      <c r="I885" s="5">
        <v>1.0</v>
      </c>
      <c r="J885" s="5">
        <v>0.0</v>
      </c>
      <c r="K885" s="5">
        <v>0.0</v>
      </c>
    </row>
    <row r="886" ht="15.75" customHeight="1">
      <c r="A886" s="4" t="s">
        <v>3488</v>
      </c>
      <c r="B886" s="11" t="s">
        <v>3489</v>
      </c>
      <c r="C886" s="4" t="s">
        <v>18</v>
      </c>
      <c r="D886" s="12" t="s">
        <v>52</v>
      </c>
      <c r="E886" s="13" t="s">
        <v>53</v>
      </c>
      <c r="F886" s="5" t="s">
        <v>54</v>
      </c>
      <c r="G886" s="5" t="b">
        <v>0</v>
      </c>
      <c r="H886" s="5" t="s">
        <v>3490</v>
      </c>
      <c r="I886" s="5">
        <v>1.0</v>
      </c>
      <c r="J886" s="5">
        <v>0.0</v>
      </c>
      <c r="K886" s="5">
        <v>2.0</v>
      </c>
    </row>
    <row r="887" ht="15.75" customHeight="1">
      <c r="A887" s="4" t="s">
        <v>3491</v>
      </c>
      <c r="B887" s="11" t="s">
        <v>3492</v>
      </c>
      <c r="C887" s="4" t="s">
        <v>18</v>
      </c>
      <c r="D887" s="12" t="s">
        <v>52</v>
      </c>
      <c r="E887" s="13" t="s">
        <v>53</v>
      </c>
      <c r="F887" s="5" t="s">
        <v>54</v>
      </c>
      <c r="G887" s="5" t="b">
        <v>0</v>
      </c>
      <c r="H887" s="5" t="s">
        <v>3493</v>
      </c>
      <c r="I887" s="5">
        <v>1.0</v>
      </c>
      <c r="J887" s="5">
        <v>0.0</v>
      </c>
      <c r="K887" s="5">
        <v>1.0</v>
      </c>
    </row>
    <row r="888" ht="15.75" customHeight="1">
      <c r="A888" s="4" t="s">
        <v>3494</v>
      </c>
      <c r="B888" s="11" t="s">
        <v>3495</v>
      </c>
      <c r="C888" s="4" t="s">
        <v>18</v>
      </c>
      <c r="D888" s="12" t="s">
        <v>52</v>
      </c>
      <c r="E888" s="13" t="s">
        <v>53</v>
      </c>
      <c r="F888" s="5" t="s">
        <v>54</v>
      </c>
      <c r="G888" s="5" t="b">
        <v>0</v>
      </c>
      <c r="H888" s="5" t="s">
        <v>819</v>
      </c>
      <c r="I888" s="5">
        <v>1.0</v>
      </c>
      <c r="J888" s="5">
        <v>0.0</v>
      </c>
      <c r="K888" s="5">
        <v>1.0</v>
      </c>
    </row>
    <row r="889" ht="15.75" customHeight="1">
      <c r="A889" s="4" t="s">
        <v>3496</v>
      </c>
      <c r="B889" s="11" t="s">
        <v>3497</v>
      </c>
      <c r="C889" s="4" t="s">
        <v>18</v>
      </c>
      <c r="D889" s="12" t="s">
        <v>52</v>
      </c>
      <c r="E889" s="13" t="s">
        <v>53</v>
      </c>
      <c r="F889" s="5" t="s">
        <v>54</v>
      </c>
      <c r="G889" s="5" t="b">
        <v>0</v>
      </c>
      <c r="H889" s="5" t="s">
        <v>3498</v>
      </c>
      <c r="I889" s="5">
        <v>1.0</v>
      </c>
      <c r="J889" s="5">
        <v>0.0</v>
      </c>
      <c r="K889" s="5">
        <v>1.0</v>
      </c>
    </row>
    <row r="890" ht="15.75" customHeight="1">
      <c r="A890" s="4" t="s">
        <v>3499</v>
      </c>
      <c r="B890" s="11" t="s">
        <v>3500</v>
      </c>
      <c r="C890" s="4" t="s">
        <v>1693</v>
      </c>
      <c r="D890" s="12" t="s">
        <v>29</v>
      </c>
      <c r="E890" s="13" t="s">
        <v>53</v>
      </c>
      <c r="F890" s="5" t="s">
        <v>31</v>
      </c>
      <c r="G890" s="5" t="b">
        <v>0</v>
      </c>
      <c r="H890" s="5" t="s">
        <v>3501</v>
      </c>
      <c r="I890" s="5">
        <v>1.0</v>
      </c>
      <c r="J890" s="5">
        <v>0.0</v>
      </c>
      <c r="K890" s="5">
        <v>0.0</v>
      </c>
    </row>
    <row r="891" ht="15.75" customHeight="1">
      <c r="A891" s="4" t="s">
        <v>3502</v>
      </c>
      <c r="B891" s="11" t="s">
        <v>3503</v>
      </c>
      <c r="C891" s="4" t="s">
        <v>140</v>
      </c>
      <c r="D891" s="12" t="s">
        <v>29</v>
      </c>
      <c r="E891" s="13" t="s">
        <v>30</v>
      </c>
      <c r="F891" s="5" t="s">
        <v>31</v>
      </c>
      <c r="G891" s="5" t="b">
        <v>0</v>
      </c>
      <c r="H891" s="5" t="s">
        <v>824</v>
      </c>
      <c r="I891" s="5">
        <v>1.0</v>
      </c>
      <c r="J891" s="5">
        <v>0.0</v>
      </c>
      <c r="K891" s="5">
        <v>2.0</v>
      </c>
    </row>
    <row r="892" ht="15.75" customHeight="1">
      <c r="A892" s="4" t="s">
        <v>3504</v>
      </c>
      <c r="B892" s="11" t="s">
        <v>3505</v>
      </c>
      <c r="C892" s="4" t="s">
        <v>140</v>
      </c>
      <c r="D892" s="12" t="s">
        <v>29</v>
      </c>
      <c r="E892" s="13" t="s">
        <v>30</v>
      </c>
      <c r="F892" s="5" t="s">
        <v>31</v>
      </c>
      <c r="G892" s="5" t="b">
        <v>0</v>
      </c>
      <c r="H892" s="5" t="s">
        <v>3506</v>
      </c>
      <c r="I892" s="5">
        <v>1.0</v>
      </c>
      <c r="J892" s="5">
        <v>0.0</v>
      </c>
      <c r="K892" s="5">
        <v>0.0</v>
      </c>
    </row>
    <row r="893" ht="15.75" customHeight="1">
      <c r="A893" s="4" t="s">
        <v>3507</v>
      </c>
      <c r="B893" s="11" t="s">
        <v>3508</v>
      </c>
      <c r="C893" s="4" t="s">
        <v>140</v>
      </c>
      <c r="D893" s="12" t="s">
        <v>29</v>
      </c>
      <c r="E893" s="13" t="s">
        <v>30</v>
      </c>
      <c r="F893" s="5" t="s">
        <v>31</v>
      </c>
      <c r="G893" s="5" t="b">
        <v>0</v>
      </c>
      <c r="H893" s="5" t="s">
        <v>824</v>
      </c>
      <c r="I893" s="5">
        <v>1.0</v>
      </c>
      <c r="J893" s="5">
        <v>0.0</v>
      </c>
      <c r="K893" s="5">
        <v>1.0</v>
      </c>
    </row>
    <row r="894" ht="15.75" customHeight="1">
      <c r="A894" s="4" t="s">
        <v>3509</v>
      </c>
      <c r="B894" s="11" t="s">
        <v>3510</v>
      </c>
      <c r="C894" s="4" t="s">
        <v>140</v>
      </c>
      <c r="D894" s="12" t="s">
        <v>29</v>
      </c>
      <c r="E894" s="13" t="s">
        <v>30</v>
      </c>
      <c r="F894" s="5" t="s">
        <v>31</v>
      </c>
      <c r="G894" s="5" t="b">
        <v>0</v>
      </c>
      <c r="H894" s="5" t="s">
        <v>824</v>
      </c>
      <c r="I894" s="5">
        <v>1.0</v>
      </c>
      <c r="J894" s="5">
        <v>0.0</v>
      </c>
      <c r="K894" s="5">
        <v>0.0</v>
      </c>
    </row>
    <row r="895" ht="15.75" customHeight="1">
      <c r="A895" s="4" t="s">
        <v>3511</v>
      </c>
      <c r="B895" s="11" t="s">
        <v>3512</v>
      </c>
      <c r="C895" s="4" t="s">
        <v>140</v>
      </c>
      <c r="D895" s="12" t="s">
        <v>29</v>
      </c>
      <c r="E895" s="13" t="s">
        <v>30</v>
      </c>
      <c r="F895" s="5" t="s">
        <v>31</v>
      </c>
      <c r="G895" s="5" t="b">
        <v>0</v>
      </c>
      <c r="H895" s="5" t="s">
        <v>3513</v>
      </c>
      <c r="I895" s="5">
        <v>1.0</v>
      </c>
      <c r="J895" s="5">
        <v>0.0</v>
      </c>
      <c r="K895" s="5">
        <v>1.0</v>
      </c>
    </row>
    <row r="896" ht="15.75" customHeight="1">
      <c r="A896" s="4" t="s">
        <v>3514</v>
      </c>
      <c r="B896" s="11" t="s">
        <v>3515</v>
      </c>
      <c r="C896" s="4" t="s">
        <v>140</v>
      </c>
      <c r="D896" s="12" t="s">
        <v>29</v>
      </c>
      <c r="E896" s="13" t="s">
        <v>30</v>
      </c>
      <c r="F896" s="5" t="s">
        <v>31</v>
      </c>
      <c r="G896" s="5" t="b">
        <v>0</v>
      </c>
      <c r="H896" s="5" t="s">
        <v>3516</v>
      </c>
      <c r="I896" s="5">
        <v>1.0</v>
      </c>
      <c r="J896" s="5">
        <v>0.0</v>
      </c>
      <c r="K896" s="5">
        <v>1.0</v>
      </c>
    </row>
    <row r="897" ht="15.75" customHeight="1">
      <c r="A897" s="4" t="s">
        <v>3517</v>
      </c>
      <c r="B897" s="11" t="s">
        <v>3518</v>
      </c>
      <c r="C897" s="4" t="s">
        <v>140</v>
      </c>
      <c r="D897" s="12" t="s">
        <v>29</v>
      </c>
      <c r="E897" s="13" t="s">
        <v>30</v>
      </c>
      <c r="F897" s="5" t="s">
        <v>31</v>
      </c>
      <c r="G897" s="5" t="b">
        <v>0</v>
      </c>
      <c r="H897" s="5" t="s">
        <v>824</v>
      </c>
      <c r="I897" s="5">
        <v>1.0</v>
      </c>
      <c r="J897" s="5">
        <v>0.0</v>
      </c>
      <c r="K897" s="5">
        <v>1.0</v>
      </c>
    </row>
    <row r="898" ht="15.75" customHeight="1">
      <c r="A898" s="4" t="s">
        <v>3519</v>
      </c>
      <c r="B898" s="11" t="s">
        <v>3520</v>
      </c>
      <c r="C898" s="4" t="s">
        <v>140</v>
      </c>
      <c r="D898" s="12" t="s">
        <v>261</v>
      </c>
      <c r="E898" s="13" t="s">
        <v>30</v>
      </c>
      <c r="F898" s="5" t="s">
        <v>263</v>
      </c>
      <c r="G898" s="5" t="b">
        <v>0</v>
      </c>
      <c r="H898" s="5" t="s">
        <v>3521</v>
      </c>
      <c r="I898" s="5">
        <v>1.0</v>
      </c>
      <c r="J898" s="5">
        <v>0.0</v>
      </c>
      <c r="K898" s="5">
        <v>0.0</v>
      </c>
    </row>
    <row r="899" ht="15.75" customHeight="1">
      <c r="A899" s="4" t="s">
        <v>3522</v>
      </c>
      <c r="B899" s="11" t="s">
        <v>3523</v>
      </c>
      <c r="C899" s="4" t="s">
        <v>140</v>
      </c>
      <c r="D899" s="12" t="s">
        <v>29</v>
      </c>
      <c r="E899" s="13" t="s">
        <v>30</v>
      </c>
      <c r="F899" s="5" t="s">
        <v>31</v>
      </c>
      <c r="G899" s="5" t="b">
        <v>0</v>
      </c>
      <c r="H899" s="5" t="s">
        <v>3524</v>
      </c>
      <c r="I899" s="5">
        <v>1.0</v>
      </c>
      <c r="J899" s="5">
        <v>0.0</v>
      </c>
      <c r="K899" s="5">
        <v>0.0</v>
      </c>
    </row>
    <row r="900" ht="15.75" customHeight="1">
      <c r="A900" s="4" t="s">
        <v>3525</v>
      </c>
      <c r="B900" s="11" t="s">
        <v>3526</v>
      </c>
      <c r="C900" s="4" t="s">
        <v>140</v>
      </c>
      <c r="D900" s="12" t="s">
        <v>29</v>
      </c>
      <c r="E900" s="13" t="s">
        <v>30</v>
      </c>
      <c r="F900" s="5" t="s">
        <v>31</v>
      </c>
      <c r="G900" s="5" t="b">
        <v>0</v>
      </c>
      <c r="H900" s="5" t="s">
        <v>3506</v>
      </c>
      <c r="I900" s="5">
        <v>1.0</v>
      </c>
      <c r="J900" s="5">
        <v>0.0</v>
      </c>
      <c r="K900" s="5">
        <v>0.0</v>
      </c>
    </row>
    <row r="901" ht="15.75" customHeight="1">
      <c r="A901" s="4" t="s">
        <v>3527</v>
      </c>
      <c r="B901" s="11" t="s">
        <v>3528</v>
      </c>
      <c r="C901" s="5" t="s">
        <v>1696</v>
      </c>
      <c r="D901" s="12" t="s">
        <v>29</v>
      </c>
      <c r="E901" s="13" t="s">
        <v>93</v>
      </c>
      <c r="F901" s="5" t="s">
        <v>31</v>
      </c>
      <c r="G901" s="5" t="b">
        <v>0</v>
      </c>
      <c r="H901" s="5" t="s">
        <v>3529</v>
      </c>
      <c r="I901" s="5">
        <v>1.0</v>
      </c>
      <c r="J901" s="5">
        <v>0.0</v>
      </c>
      <c r="K901" s="5">
        <v>3.0</v>
      </c>
    </row>
    <row r="902" ht="15.75" customHeight="1">
      <c r="A902" s="4" t="s">
        <v>3530</v>
      </c>
      <c r="B902" s="13"/>
      <c r="C902" s="4" t="s">
        <v>282</v>
      </c>
      <c r="D902" s="12" t="s">
        <v>84</v>
      </c>
      <c r="E902" s="13" t="s">
        <v>53</v>
      </c>
      <c r="F902" s="5" t="s">
        <v>85</v>
      </c>
      <c r="H902" s="5" t="s">
        <v>233</v>
      </c>
      <c r="I902" s="5">
        <v>1.0</v>
      </c>
      <c r="J902" s="5">
        <v>0.0</v>
      </c>
      <c r="K902" s="5">
        <v>0.0</v>
      </c>
    </row>
    <row r="903" ht="15.75" customHeight="1">
      <c r="A903" s="4" t="s">
        <v>3531</v>
      </c>
      <c r="B903" s="11" t="s">
        <v>3532</v>
      </c>
      <c r="C903" s="4" t="s">
        <v>1699</v>
      </c>
      <c r="D903" s="12" t="s">
        <v>126</v>
      </c>
      <c r="E903" s="13" t="s">
        <v>53</v>
      </c>
      <c r="F903" s="5" t="s">
        <v>127</v>
      </c>
      <c r="G903" s="5" t="b">
        <v>0</v>
      </c>
      <c r="I903" s="5">
        <v>1.0</v>
      </c>
      <c r="J903" s="5">
        <v>0.0</v>
      </c>
      <c r="K903" s="5">
        <v>0.0</v>
      </c>
    </row>
    <row r="904" ht="15.75" customHeight="1">
      <c r="A904" s="4" t="s">
        <v>3533</v>
      </c>
      <c r="B904" s="11" t="s">
        <v>3534</v>
      </c>
      <c r="C904" s="5" t="s">
        <v>1702</v>
      </c>
      <c r="D904" s="12" t="s">
        <v>261</v>
      </c>
      <c r="E904" s="13" t="s">
        <v>93</v>
      </c>
      <c r="F904" s="5" t="s">
        <v>263</v>
      </c>
      <c r="G904" s="5" t="b">
        <v>0</v>
      </c>
      <c r="H904" s="5" t="s">
        <v>3535</v>
      </c>
      <c r="I904" s="5">
        <v>1.0</v>
      </c>
      <c r="J904" s="5">
        <v>0.0</v>
      </c>
      <c r="K904" s="5">
        <v>1.0</v>
      </c>
    </row>
    <row r="905" ht="15.75" customHeight="1">
      <c r="A905" s="4" t="s">
        <v>3536</v>
      </c>
      <c r="B905" s="11" t="s">
        <v>3537</v>
      </c>
      <c r="C905" s="4" t="s">
        <v>464</v>
      </c>
      <c r="D905" s="12" t="s">
        <v>84</v>
      </c>
      <c r="E905" s="13" t="s">
        <v>93</v>
      </c>
      <c r="F905" s="5" t="s">
        <v>85</v>
      </c>
      <c r="G905" s="5" t="b">
        <v>0</v>
      </c>
      <c r="H905" s="5" t="s">
        <v>3538</v>
      </c>
      <c r="I905" s="5">
        <v>1.0</v>
      </c>
      <c r="J905" s="5">
        <v>0.0</v>
      </c>
      <c r="K905" s="5">
        <v>1.0</v>
      </c>
    </row>
    <row r="906" ht="15.75" customHeight="1">
      <c r="A906" s="4" t="s">
        <v>3539</v>
      </c>
      <c r="B906" s="11" t="s">
        <v>3540</v>
      </c>
      <c r="C906" s="4" t="s">
        <v>464</v>
      </c>
      <c r="D906" s="12" t="s">
        <v>52</v>
      </c>
      <c r="E906" s="13" t="s">
        <v>93</v>
      </c>
      <c r="F906" s="5" t="s">
        <v>54</v>
      </c>
      <c r="G906" s="5" t="b">
        <v>0</v>
      </c>
      <c r="H906" s="5" t="s">
        <v>396</v>
      </c>
      <c r="I906" s="5">
        <v>1.0</v>
      </c>
      <c r="J906" s="5">
        <v>0.0</v>
      </c>
      <c r="K906" s="5">
        <v>0.0</v>
      </c>
    </row>
    <row r="907" ht="15.75" customHeight="1">
      <c r="A907" s="4" t="s">
        <v>3541</v>
      </c>
      <c r="B907" s="11" t="s">
        <v>3542</v>
      </c>
      <c r="C907" s="4" t="s">
        <v>495</v>
      </c>
      <c r="D907" s="12" t="s">
        <v>29</v>
      </c>
      <c r="E907" s="13" t="s">
        <v>53</v>
      </c>
      <c r="F907" s="5" t="s">
        <v>31</v>
      </c>
      <c r="G907" s="5" t="b">
        <v>0</v>
      </c>
      <c r="H907" s="5" t="s">
        <v>3543</v>
      </c>
      <c r="I907" s="5">
        <v>1.0</v>
      </c>
      <c r="J907" s="5">
        <v>0.0</v>
      </c>
      <c r="K907" s="5">
        <v>0.0</v>
      </c>
    </row>
    <row r="908" ht="15.75" customHeight="1">
      <c r="A908" s="4" t="s">
        <v>3544</v>
      </c>
      <c r="B908" s="11" t="s">
        <v>3545</v>
      </c>
      <c r="C908" s="4" t="s">
        <v>1704</v>
      </c>
      <c r="D908" s="12" t="s">
        <v>84</v>
      </c>
      <c r="E908" s="13" t="s">
        <v>53</v>
      </c>
      <c r="F908" s="5" t="s">
        <v>85</v>
      </c>
      <c r="G908" s="5" t="b">
        <v>0</v>
      </c>
      <c r="I908" s="5">
        <v>1.0</v>
      </c>
      <c r="J908" s="5">
        <v>0.0</v>
      </c>
      <c r="K908" s="5">
        <v>0.0</v>
      </c>
    </row>
    <row r="909" ht="15.75" customHeight="1">
      <c r="A909" s="4" t="s">
        <v>3546</v>
      </c>
      <c r="B909" s="11" t="s">
        <v>3547</v>
      </c>
      <c r="C909" s="4" t="s">
        <v>567</v>
      </c>
      <c r="D909" s="12" t="s">
        <v>29</v>
      </c>
      <c r="E909" s="13" t="s">
        <v>53</v>
      </c>
      <c r="F909" s="5" t="s">
        <v>31</v>
      </c>
      <c r="G909" s="5" t="b">
        <v>0</v>
      </c>
      <c r="H909" s="5" t="s">
        <v>3548</v>
      </c>
      <c r="I909" s="5">
        <v>1.0</v>
      </c>
      <c r="J909" s="5">
        <v>0.0</v>
      </c>
      <c r="K909" s="5">
        <v>0.0</v>
      </c>
    </row>
    <row r="910" ht="15.75" customHeight="1">
      <c r="A910" s="4" t="s">
        <v>3549</v>
      </c>
      <c r="B910" s="11" t="s">
        <v>3550</v>
      </c>
      <c r="C910" s="4" t="s">
        <v>567</v>
      </c>
      <c r="D910" s="12" t="s">
        <v>29</v>
      </c>
      <c r="E910" s="13" t="s">
        <v>53</v>
      </c>
      <c r="F910" s="5" t="s">
        <v>31</v>
      </c>
      <c r="G910" s="5" t="b">
        <v>0</v>
      </c>
      <c r="H910" s="5" t="s">
        <v>3551</v>
      </c>
      <c r="I910" s="5">
        <v>1.0</v>
      </c>
      <c r="J910" s="5">
        <v>0.0</v>
      </c>
      <c r="K910" s="5">
        <v>0.0</v>
      </c>
    </row>
    <row r="911" ht="15.75" customHeight="1">
      <c r="A911" s="4" t="s">
        <v>3552</v>
      </c>
      <c r="B911" s="11" t="s">
        <v>3553</v>
      </c>
      <c r="C911" s="4" t="s">
        <v>1707</v>
      </c>
      <c r="D911" s="12" t="s">
        <v>126</v>
      </c>
      <c r="E911" s="13" t="s">
        <v>53</v>
      </c>
      <c r="F911" s="5" t="s">
        <v>127</v>
      </c>
      <c r="G911" s="5" t="b">
        <v>0</v>
      </c>
      <c r="I911" s="5">
        <v>1.0</v>
      </c>
      <c r="J911" s="5">
        <v>0.0</v>
      </c>
      <c r="K911" s="5">
        <v>0.0</v>
      </c>
    </row>
    <row r="912" ht="15.75" customHeight="1">
      <c r="A912" s="4" t="s">
        <v>3554</v>
      </c>
      <c r="B912" s="13"/>
      <c r="C912" s="4" t="s">
        <v>1710</v>
      </c>
      <c r="D912" s="12" t="s">
        <v>84</v>
      </c>
      <c r="E912" s="13" t="s">
        <v>53</v>
      </c>
      <c r="F912" s="5" t="s">
        <v>85</v>
      </c>
      <c r="H912" s="5" t="s">
        <v>233</v>
      </c>
      <c r="I912" s="5">
        <v>1.0</v>
      </c>
      <c r="J912" s="5">
        <v>0.0</v>
      </c>
      <c r="K912" s="5">
        <v>0.0</v>
      </c>
    </row>
    <row r="913" ht="15.75" customHeight="1">
      <c r="A913" s="4" t="s">
        <v>3555</v>
      </c>
      <c r="B913" s="11" t="s">
        <v>3556</v>
      </c>
      <c r="C913" s="4" t="s">
        <v>487</v>
      </c>
      <c r="D913" s="12" t="s">
        <v>467</v>
      </c>
      <c r="E913" s="13" t="s">
        <v>53</v>
      </c>
      <c r="F913" s="5" t="s">
        <v>469</v>
      </c>
      <c r="G913" s="5" t="b">
        <v>0</v>
      </c>
      <c r="H913" s="5" t="s">
        <v>3557</v>
      </c>
      <c r="I913" s="5">
        <v>1.0</v>
      </c>
      <c r="J913" s="5">
        <v>0.0</v>
      </c>
      <c r="K913" s="5">
        <v>0.0</v>
      </c>
    </row>
    <row r="914" ht="15.75" customHeight="1">
      <c r="A914" s="4" t="s">
        <v>3558</v>
      </c>
      <c r="B914" s="11" t="s">
        <v>3559</v>
      </c>
      <c r="C914" s="4" t="s">
        <v>487</v>
      </c>
      <c r="D914" s="12" t="s">
        <v>297</v>
      </c>
      <c r="E914" s="13" t="s">
        <v>53</v>
      </c>
      <c r="F914" s="5" t="s">
        <v>298</v>
      </c>
      <c r="G914" s="5" t="b">
        <v>0</v>
      </c>
      <c r="I914" s="5">
        <v>1.0</v>
      </c>
      <c r="J914" s="5">
        <v>0.0</v>
      </c>
      <c r="K914" s="5">
        <v>0.0</v>
      </c>
    </row>
    <row r="915" ht="15.75" customHeight="1">
      <c r="A915" s="4" t="s">
        <v>3560</v>
      </c>
      <c r="B915" s="11" t="s">
        <v>3561</v>
      </c>
      <c r="C915" s="5" t="s">
        <v>1712</v>
      </c>
      <c r="D915" s="12" t="s">
        <v>29</v>
      </c>
      <c r="E915" s="13" t="s">
        <v>53</v>
      </c>
      <c r="F915" s="5" t="s">
        <v>31</v>
      </c>
      <c r="G915" s="5" t="b">
        <v>0</v>
      </c>
      <c r="H915" s="5" t="s">
        <v>1713</v>
      </c>
      <c r="I915" s="5">
        <v>1.0</v>
      </c>
      <c r="J915" s="5">
        <v>0.0</v>
      </c>
      <c r="K915" s="5">
        <v>0.0</v>
      </c>
    </row>
    <row r="916" ht="15.75" customHeight="1">
      <c r="A916" s="4" t="s">
        <v>3562</v>
      </c>
      <c r="B916" s="11" t="s">
        <v>3563</v>
      </c>
      <c r="C916" s="4" t="s">
        <v>380</v>
      </c>
      <c r="D916" s="12" t="s">
        <v>467</v>
      </c>
      <c r="E916" s="13" t="s">
        <v>53</v>
      </c>
      <c r="F916" s="5" t="s">
        <v>469</v>
      </c>
      <c r="G916" s="5" t="b">
        <v>0</v>
      </c>
      <c r="I916" s="5">
        <v>1.0</v>
      </c>
      <c r="J916" s="5">
        <v>0.0</v>
      </c>
      <c r="K916" s="5">
        <v>2.0</v>
      </c>
    </row>
    <row r="917" ht="15.75" customHeight="1">
      <c r="A917" s="4" t="s">
        <v>3564</v>
      </c>
      <c r="B917" s="11" t="s">
        <v>3565</v>
      </c>
      <c r="C917" s="4" t="s">
        <v>380</v>
      </c>
      <c r="D917" s="12" t="s">
        <v>29</v>
      </c>
      <c r="E917" s="13" t="s">
        <v>53</v>
      </c>
      <c r="F917" s="5" t="s">
        <v>31</v>
      </c>
      <c r="G917" s="5" t="b">
        <v>0</v>
      </c>
      <c r="I917" s="5">
        <v>1.0</v>
      </c>
      <c r="J917" s="5">
        <v>0.0</v>
      </c>
      <c r="K917" s="5">
        <v>1.0</v>
      </c>
    </row>
    <row r="918" ht="15.75" customHeight="1">
      <c r="A918" s="4" t="s">
        <v>3566</v>
      </c>
      <c r="B918" s="11" t="s">
        <v>3567</v>
      </c>
      <c r="C918" s="4" t="s">
        <v>1715</v>
      </c>
      <c r="D918" s="12" t="s">
        <v>52</v>
      </c>
      <c r="E918" s="13" t="s">
        <v>53</v>
      </c>
      <c r="F918" s="5" t="s">
        <v>54</v>
      </c>
      <c r="G918" s="5" t="b">
        <v>0</v>
      </c>
      <c r="H918" s="5" t="s">
        <v>3568</v>
      </c>
      <c r="I918" s="5">
        <v>1.0</v>
      </c>
      <c r="J918" s="5">
        <v>0.0</v>
      </c>
      <c r="K918" s="5">
        <v>1.0</v>
      </c>
    </row>
    <row r="919" ht="15.75" customHeight="1">
      <c r="A919" s="4" t="s">
        <v>3569</v>
      </c>
      <c r="B919" s="11" t="s">
        <v>3570</v>
      </c>
      <c r="C919" s="4" t="s">
        <v>1070</v>
      </c>
      <c r="D919" s="12" t="s">
        <v>467</v>
      </c>
      <c r="E919" s="13" t="s">
        <v>30</v>
      </c>
      <c r="F919" s="5" t="s">
        <v>469</v>
      </c>
      <c r="G919" s="5" t="b">
        <v>0</v>
      </c>
      <c r="H919" s="5" t="s">
        <v>2805</v>
      </c>
      <c r="I919" s="5">
        <v>1.0</v>
      </c>
      <c r="J919" s="5">
        <v>0.0</v>
      </c>
      <c r="K919" s="5">
        <v>1.0</v>
      </c>
    </row>
    <row r="920" ht="15.75" customHeight="1">
      <c r="A920" s="4" t="s">
        <v>3571</v>
      </c>
      <c r="B920" s="11" t="s">
        <v>3572</v>
      </c>
      <c r="C920" s="4" t="s">
        <v>1070</v>
      </c>
      <c r="D920" s="12" t="s">
        <v>126</v>
      </c>
      <c r="E920" s="13" t="s">
        <v>30</v>
      </c>
      <c r="F920" s="5" t="s">
        <v>127</v>
      </c>
      <c r="G920" s="5" t="b">
        <v>0</v>
      </c>
      <c r="H920" s="5" t="s">
        <v>3573</v>
      </c>
      <c r="I920" s="5">
        <v>1.0</v>
      </c>
      <c r="J920" s="5">
        <v>0.0</v>
      </c>
      <c r="K920" s="5">
        <v>1.0</v>
      </c>
    </row>
    <row r="921" ht="15.75" customHeight="1">
      <c r="A921" s="4" t="s">
        <v>3574</v>
      </c>
      <c r="B921" s="11" t="s">
        <v>3575</v>
      </c>
      <c r="C921" s="4" t="s">
        <v>1070</v>
      </c>
      <c r="D921" s="12" t="s">
        <v>261</v>
      </c>
      <c r="E921" s="13" t="s">
        <v>30</v>
      </c>
      <c r="F921" s="5" t="s">
        <v>263</v>
      </c>
      <c r="G921" s="5" t="b">
        <v>0</v>
      </c>
      <c r="H921" s="5" t="s">
        <v>3576</v>
      </c>
      <c r="I921" s="5">
        <v>1.0</v>
      </c>
      <c r="J921" s="5">
        <v>0.0</v>
      </c>
      <c r="K921" s="5">
        <v>1.0</v>
      </c>
    </row>
    <row r="922" ht="15.75" customHeight="1">
      <c r="A922" s="4" t="s">
        <v>3577</v>
      </c>
      <c r="B922" s="13"/>
      <c r="C922" s="4" t="s">
        <v>35</v>
      </c>
      <c r="D922" s="12" t="s">
        <v>84</v>
      </c>
      <c r="E922" s="13" t="s">
        <v>84</v>
      </c>
      <c r="F922" s="5" t="s">
        <v>85</v>
      </c>
      <c r="H922" s="5" t="s">
        <v>233</v>
      </c>
      <c r="I922" s="5">
        <v>1.0</v>
      </c>
      <c r="J922" s="5">
        <v>0.0</v>
      </c>
      <c r="K922" s="5">
        <v>0.0</v>
      </c>
    </row>
    <row r="923" ht="15.75" customHeight="1">
      <c r="A923" s="4" t="s">
        <v>3578</v>
      </c>
      <c r="B923" s="11" t="s">
        <v>3579</v>
      </c>
      <c r="C923" s="4" t="s">
        <v>1720</v>
      </c>
      <c r="D923" s="12" t="s">
        <v>467</v>
      </c>
      <c r="E923" s="13" t="s">
        <v>53</v>
      </c>
      <c r="F923" s="5" t="s">
        <v>469</v>
      </c>
      <c r="G923" s="5" t="b">
        <v>0</v>
      </c>
      <c r="I923" s="5">
        <v>1.0</v>
      </c>
      <c r="J923" s="5">
        <v>0.0</v>
      </c>
      <c r="K923" s="5">
        <v>1.0</v>
      </c>
    </row>
    <row r="924" ht="15.75" customHeight="1">
      <c r="A924" s="4" t="s">
        <v>3580</v>
      </c>
      <c r="B924" s="11" t="s">
        <v>3581</v>
      </c>
      <c r="C924" s="4" t="s">
        <v>1722</v>
      </c>
      <c r="D924" s="12" t="s">
        <v>29</v>
      </c>
      <c r="E924" s="13" t="s">
        <v>30</v>
      </c>
      <c r="F924" s="5" t="s">
        <v>31</v>
      </c>
      <c r="G924" s="5" t="b">
        <v>0</v>
      </c>
      <c r="H924" s="5" t="s">
        <v>3582</v>
      </c>
      <c r="I924" s="5">
        <v>1.0</v>
      </c>
      <c r="J924" s="5">
        <v>0.0</v>
      </c>
      <c r="K924" s="5">
        <v>1.0</v>
      </c>
    </row>
    <row r="925" ht="15.75" customHeight="1">
      <c r="A925" s="4" t="s">
        <v>3583</v>
      </c>
      <c r="B925" s="11" t="s">
        <v>3584</v>
      </c>
      <c r="C925" s="4" t="s">
        <v>1725</v>
      </c>
      <c r="D925" s="12" t="s">
        <v>29</v>
      </c>
      <c r="E925" s="13" t="s">
        <v>53</v>
      </c>
      <c r="F925" s="5" t="s">
        <v>31</v>
      </c>
      <c r="G925" s="5" t="b">
        <v>0</v>
      </c>
      <c r="H925" s="5" t="s">
        <v>3585</v>
      </c>
      <c r="I925" s="5">
        <v>1.0</v>
      </c>
      <c r="J925" s="5">
        <v>0.0</v>
      </c>
      <c r="K925" s="5">
        <v>0.0</v>
      </c>
    </row>
    <row r="926" ht="15.75" customHeight="1">
      <c r="A926" s="4" t="s">
        <v>3586</v>
      </c>
      <c r="B926" s="11" t="s">
        <v>3587</v>
      </c>
      <c r="C926" s="4" t="s">
        <v>1730</v>
      </c>
      <c r="D926" s="12" t="s">
        <v>29</v>
      </c>
      <c r="E926" s="13" t="s">
        <v>53</v>
      </c>
      <c r="F926" s="5" t="s">
        <v>31</v>
      </c>
      <c r="G926" s="5" t="b">
        <v>0</v>
      </c>
      <c r="H926" s="5" t="s">
        <v>3588</v>
      </c>
      <c r="I926" s="5">
        <v>1.0</v>
      </c>
      <c r="J926" s="5">
        <v>0.0</v>
      </c>
      <c r="K926" s="5">
        <v>0.0</v>
      </c>
    </row>
    <row r="927" ht="15.75" customHeight="1">
      <c r="A927" s="4" t="s">
        <v>3589</v>
      </c>
      <c r="B927" s="11" t="s">
        <v>3590</v>
      </c>
      <c r="C927" s="5" t="s">
        <v>1733</v>
      </c>
      <c r="D927" s="12" t="s">
        <v>297</v>
      </c>
      <c r="E927" s="13" t="s">
        <v>53</v>
      </c>
      <c r="F927" s="5" t="s">
        <v>298</v>
      </c>
      <c r="G927" s="5" t="b">
        <v>0</v>
      </c>
      <c r="H927" s="5" t="s">
        <v>952</v>
      </c>
      <c r="I927" s="5">
        <v>1.0</v>
      </c>
      <c r="J927" s="5">
        <v>0.0</v>
      </c>
      <c r="K927" s="5">
        <v>0.0</v>
      </c>
    </row>
    <row r="928" ht="15.75" customHeight="1">
      <c r="A928" s="4" t="s">
        <v>3591</v>
      </c>
      <c r="B928" s="11" t="s">
        <v>3592</v>
      </c>
      <c r="C928" s="4" t="s">
        <v>1734</v>
      </c>
      <c r="D928" s="12" t="s">
        <v>126</v>
      </c>
      <c r="E928" s="13" t="s">
        <v>53</v>
      </c>
      <c r="F928" s="5" t="s">
        <v>127</v>
      </c>
      <c r="G928" s="5" t="b">
        <v>0</v>
      </c>
      <c r="H928" s="5" t="s">
        <v>247</v>
      </c>
      <c r="I928" s="5">
        <v>1.0</v>
      </c>
      <c r="J928" s="5">
        <v>0.0</v>
      </c>
      <c r="K928" s="5">
        <v>3.0</v>
      </c>
    </row>
    <row r="929" ht="15.75" customHeight="1">
      <c r="A929" s="4" t="s">
        <v>3593</v>
      </c>
      <c r="B929" s="13"/>
      <c r="C929" s="4" t="s">
        <v>1736</v>
      </c>
      <c r="D929" s="12" t="s">
        <v>84</v>
      </c>
      <c r="E929" s="13" t="s">
        <v>53</v>
      </c>
      <c r="F929" s="5" t="s">
        <v>85</v>
      </c>
      <c r="H929" s="5" t="s">
        <v>233</v>
      </c>
      <c r="I929" s="5">
        <v>1.0</v>
      </c>
      <c r="J929" s="5">
        <v>0.0</v>
      </c>
      <c r="K929" s="5">
        <v>0.0</v>
      </c>
    </row>
    <row r="930" ht="15.75" customHeight="1">
      <c r="A930" s="4" t="s">
        <v>3594</v>
      </c>
      <c r="B930" s="11" t="s">
        <v>3595</v>
      </c>
      <c r="C930" s="4" t="s">
        <v>1074</v>
      </c>
      <c r="D930" s="12" t="s">
        <v>84</v>
      </c>
      <c r="E930" s="13" t="s">
        <v>53</v>
      </c>
      <c r="F930" s="5" t="s">
        <v>85</v>
      </c>
      <c r="G930" s="5" t="b">
        <v>0</v>
      </c>
      <c r="I930" s="5">
        <v>1.0</v>
      </c>
      <c r="J930" s="5">
        <v>0.0</v>
      </c>
      <c r="K930" s="5">
        <v>3.0</v>
      </c>
    </row>
    <row r="931" ht="15.75" customHeight="1">
      <c r="A931" s="4" t="s">
        <v>3596</v>
      </c>
      <c r="B931" s="11" t="s">
        <v>3597</v>
      </c>
      <c r="C931" s="4" t="s">
        <v>1738</v>
      </c>
      <c r="D931" s="12" t="s">
        <v>29</v>
      </c>
      <c r="E931" s="13" t="s">
        <v>53</v>
      </c>
      <c r="F931" s="5" t="s">
        <v>31</v>
      </c>
      <c r="G931" s="5" t="b">
        <v>0</v>
      </c>
      <c r="I931" s="5">
        <v>1.0</v>
      </c>
      <c r="J931" s="5">
        <v>0.0</v>
      </c>
      <c r="K931" s="5">
        <v>1.0</v>
      </c>
    </row>
    <row r="932" ht="15.75" customHeight="1">
      <c r="A932" s="4" t="s">
        <v>3598</v>
      </c>
      <c r="B932" s="11" t="s">
        <v>3599</v>
      </c>
      <c r="C932" s="5" t="s">
        <v>346</v>
      </c>
      <c r="D932" s="12" t="s">
        <v>29</v>
      </c>
      <c r="E932" s="13" t="s">
        <v>53</v>
      </c>
      <c r="F932" s="5" t="s">
        <v>31</v>
      </c>
      <c r="G932" s="5" t="b">
        <v>0</v>
      </c>
      <c r="H932" s="5" t="s">
        <v>3600</v>
      </c>
      <c r="I932" s="5">
        <v>1.0</v>
      </c>
      <c r="J932" s="5">
        <v>0.0</v>
      </c>
      <c r="K932" s="5">
        <v>1.0</v>
      </c>
    </row>
    <row r="933" ht="15.75" customHeight="1">
      <c r="A933" s="4" t="s">
        <v>3601</v>
      </c>
      <c r="B933" s="11" t="s">
        <v>3602</v>
      </c>
      <c r="C933" s="4" t="s">
        <v>1740</v>
      </c>
      <c r="D933" s="12" t="s">
        <v>29</v>
      </c>
      <c r="E933" s="13" t="s">
        <v>53</v>
      </c>
      <c r="F933" s="5" t="s">
        <v>31</v>
      </c>
      <c r="G933" s="5" t="b">
        <v>0</v>
      </c>
      <c r="H933" s="5" t="s">
        <v>1741</v>
      </c>
      <c r="I933" s="5">
        <v>1.0</v>
      </c>
      <c r="J933" s="5">
        <v>0.0</v>
      </c>
      <c r="K933" s="5">
        <v>1.0</v>
      </c>
    </row>
    <row r="934" ht="15.75" customHeight="1">
      <c r="A934" s="4" t="s">
        <v>3603</v>
      </c>
      <c r="B934" s="11" t="s">
        <v>3604</v>
      </c>
      <c r="C934" s="4" t="s">
        <v>559</v>
      </c>
      <c r="D934" s="12" t="s">
        <v>467</v>
      </c>
      <c r="E934" s="13" t="s">
        <v>30</v>
      </c>
      <c r="F934" s="5" t="s">
        <v>469</v>
      </c>
      <c r="G934" s="5" t="b">
        <v>0</v>
      </c>
      <c r="H934" s="5" t="s">
        <v>2585</v>
      </c>
      <c r="I934" s="5">
        <v>1.0</v>
      </c>
      <c r="J934" s="5">
        <v>0.0</v>
      </c>
      <c r="K934" s="5">
        <v>3.0</v>
      </c>
    </row>
    <row r="935" ht="15.75" customHeight="1">
      <c r="A935" s="4" t="s">
        <v>3605</v>
      </c>
      <c r="B935" s="11" t="s">
        <v>2582</v>
      </c>
      <c r="C935" s="4" t="s">
        <v>559</v>
      </c>
      <c r="D935" s="12" t="s">
        <v>84</v>
      </c>
      <c r="E935" s="13" t="s">
        <v>30</v>
      </c>
      <c r="F935" s="5" t="s">
        <v>85</v>
      </c>
      <c r="G935" s="5" t="b">
        <v>0</v>
      </c>
      <c r="H935" s="5" t="s">
        <v>560</v>
      </c>
      <c r="I935" s="5">
        <v>1.0</v>
      </c>
      <c r="J935" s="5">
        <v>0.0</v>
      </c>
      <c r="K935" s="5">
        <v>2.0</v>
      </c>
    </row>
    <row r="936" ht="15.75" customHeight="1">
      <c r="A936" s="4" t="s">
        <v>3606</v>
      </c>
      <c r="B936" s="11" t="s">
        <v>3607</v>
      </c>
      <c r="C936" s="4" t="s">
        <v>1743</v>
      </c>
      <c r="D936" s="12" t="s">
        <v>29</v>
      </c>
      <c r="E936" s="13" t="s">
        <v>53</v>
      </c>
      <c r="F936" s="5" t="s">
        <v>31</v>
      </c>
      <c r="G936" s="5" t="b">
        <v>0</v>
      </c>
      <c r="H936" s="5" t="s">
        <v>3608</v>
      </c>
      <c r="I936" s="5">
        <v>1.0</v>
      </c>
      <c r="J936" s="5">
        <v>0.0</v>
      </c>
      <c r="K936" s="5">
        <v>0.0</v>
      </c>
    </row>
    <row r="937" ht="15.75" customHeight="1">
      <c r="A937" s="4" t="s">
        <v>3609</v>
      </c>
      <c r="B937" s="11" t="s">
        <v>3610</v>
      </c>
      <c r="C937" s="4" t="s">
        <v>97</v>
      </c>
      <c r="D937" s="12" t="s">
        <v>52</v>
      </c>
      <c r="E937" s="13" t="s">
        <v>53</v>
      </c>
      <c r="F937" s="5" t="s">
        <v>54</v>
      </c>
      <c r="G937" s="5" t="b">
        <v>0</v>
      </c>
      <c r="H937" s="5" t="s">
        <v>3611</v>
      </c>
      <c r="I937" s="5">
        <v>1.0</v>
      </c>
      <c r="J937" s="5">
        <v>0.0</v>
      </c>
      <c r="K937" s="5">
        <v>0.0</v>
      </c>
    </row>
    <row r="938" ht="15.75" customHeight="1">
      <c r="A938" s="4" t="s">
        <v>3612</v>
      </c>
      <c r="B938" s="11" t="s">
        <v>3613</v>
      </c>
      <c r="C938" s="4" t="s">
        <v>97</v>
      </c>
      <c r="D938" s="12" t="s">
        <v>29</v>
      </c>
      <c r="E938" s="13" t="s">
        <v>53</v>
      </c>
      <c r="F938" s="5" t="s">
        <v>31</v>
      </c>
      <c r="G938" s="5" t="b">
        <v>0</v>
      </c>
      <c r="H938" s="5" t="s">
        <v>3614</v>
      </c>
      <c r="I938" s="5">
        <v>1.0</v>
      </c>
      <c r="J938" s="5">
        <v>0.0</v>
      </c>
      <c r="K938" s="5">
        <v>0.0</v>
      </c>
    </row>
    <row r="939" ht="15.75" customHeight="1">
      <c r="A939" s="4" t="s">
        <v>3615</v>
      </c>
      <c r="B939" s="11" t="s">
        <v>3616</v>
      </c>
      <c r="C939" s="4" t="s">
        <v>97</v>
      </c>
      <c r="D939" s="12" t="s">
        <v>297</v>
      </c>
      <c r="E939" s="13" t="s">
        <v>53</v>
      </c>
      <c r="F939" s="5" t="s">
        <v>298</v>
      </c>
      <c r="G939" s="5" t="b">
        <v>0</v>
      </c>
      <c r="H939" s="5" t="s">
        <v>3617</v>
      </c>
      <c r="I939" s="5">
        <v>1.0</v>
      </c>
      <c r="J939" s="5">
        <v>0.0</v>
      </c>
      <c r="K939" s="5">
        <v>1.0</v>
      </c>
    </row>
    <row r="940" ht="15.75" customHeight="1">
      <c r="A940" s="4" t="s">
        <v>3618</v>
      </c>
      <c r="B940" s="11" t="s">
        <v>3619</v>
      </c>
      <c r="C940" s="4" t="s">
        <v>1746</v>
      </c>
      <c r="D940" s="12" t="s">
        <v>29</v>
      </c>
      <c r="E940" s="13" t="s">
        <v>2235</v>
      </c>
      <c r="F940" s="5" t="s">
        <v>31</v>
      </c>
      <c r="G940" s="5" t="b">
        <v>0</v>
      </c>
      <c r="H940" s="5" t="s">
        <v>2879</v>
      </c>
      <c r="I940" s="5">
        <v>1.0</v>
      </c>
      <c r="J940" s="5">
        <v>0.0</v>
      </c>
      <c r="K940" s="5">
        <v>1.0</v>
      </c>
    </row>
    <row r="941" ht="15.75" customHeight="1">
      <c r="A941" s="4" t="s">
        <v>3620</v>
      </c>
      <c r="B941" s="11" t="s">
        <v>3621</v>
      </c>
      <c r="C941" s="4" t="s">
        <v>1749</v>
      </c>
      <c r="D941" s="12" t="s">
        <v>29</v>
      </c>
      <c r="E941" s="13" t="s">
        <v>53</v>
      </c>
      <c r="F941" s="5" t="s">
        <v>31</v>
      </c>
      <c r="G941" s="5" t="b">
        <v>0</v>
      </c>
      <c r="H941" s="5" t="s">
        <v>247</v>
      </c>
      <c r="I941" s="5">
        <v>1.0</v>
      </c>
      <c r="J941" s="5">
        <v>0.0</v>
      </c>
      <c r="K941" s="5">
        <v>1.0</v>
      </c>
    </row>
    <row r="942" ht="15.75" customHeight="1">
      <c r="A942" s="4" t="s">
        <v>3622</v>
      </c>
      <c r="B942" s="11" t="s">
        <v>3623</v>
      </c>
      <c r="C942" s="4" t="s">
        <v>1751</v>
      </c>
      <c r="D942" s="12" t="s">
        <v>467</v>
      </c>
      <c r="E942" s="13" t="s">
        <v>53</v>
      </c>
      <c r="F942" s="5" t="s">
        <v>469</v>
      </c>
      <c r="G942" s="5" t="b">
        <v>0</v>
      </c>
      <c r="H942" s="5" t="s">
        <v>639</v>
      </c>
      <c r="I942" s="5">
        <v>1.0</v>
      </c>
      <c r="J942" s="5">
        <v>0.0</v>
      </c>
      <c r="K942" s="5">
        <v>1.0</v>
      </c>
    </row>
    <row r="943" ht="15.75" customHeight="1">
      <c r="A943" s="4" t="s">
        <v>3624</v>
      </c>
      <c r="B943" s="11" t="s">
        <v>3625</v>
      </c>
      <c r="C943" s="4" t="s">
        <v>28</v>
      </c>
      <c r="D943" s="12" t="s">
        <v>52</v>
      </c>
      <c r="E943" s="13" t="s">
        <v>93</v>
      </c>
      <c r="F943" s="5" t="s">
        <v>54</v>
      </c>
      <c r="G943" s="5" t="b">
        <v>0</v>
      </c>
      <c r="H943" s="5" t="s">
        <v>3626</v>
      </c>
      <c r="I943" s="5">
        <v>1.0</v>
      </c>
      <c r="J943" s="5">
        <v>0.0</v>
      </c>
      <c r="K943" s="5">
        <v>0.0</v>
      </c>
    </row>
    <row r="944" ht="15.75" customHeight="1">
      <c r="A944" s="4" t="s">
        <v>3627</v>
      </c>
      <c r="B944" s="11" t="s">
        <v>3628</v>
      </c>
      <c r="C944" s="4" t="s">
        <v>28</v>
      </c>
      <c r="D944" s="12" t="s">
        <v>297</v>
      </c>
      <c r="E944" s="13" t="s">
        <v>93</v>
      </c>
      <c r="F944" s="5" t="s">
        <v>298</v>
      </c>
      <c r="G944" s="5" t="b">
        <v>0</v>
      </c>
      <c r="H944" s="5" t="s">
        <v>3629</v>
      </c>
      <c r="I944" s="5">
        <v>1.0</v>
      </c>
      <c r="J944" s="5">
        <v>0.0</v>
      </c>
      <c r="K944" s="5">
        <v>0.0</v>
      </c>
    </row>
    <row r="945" ht="15.75" customHeight="1">
      <c r="A945" s="4" t="s">
        <v>3630</v>
      </c>
      <c r="B945" s="11" t="s">
        <v>3631</v>
      </c>
      <c r="C945" s="4" t="s">
        <v>28</v>
      </c>
      <c r="D945" s="12" t="s">
        <v>297</v>
      </c>
      <c r="E945" s="13" t="s">
        <v>93</v>
      </c>
      <c r="F945" s="5" t="s">
        <v>298</v>
      </c>
      <c r="G945" s="5" t="b">
        <v>0</v>
      </c>
      <c r="H945" s="5" t="s">
        <v>3632</v>
      </c>
      <c r="I945" s="5">
        <v>1.0</v>
      </c>
      <c r="J945" s="5">
        <v>0.0</v>
      </c>
      <c r="K945" s="5">
        <v>0.0</v>
      </c>
    </row>
    <row r="946" ht="15.75" customHeight="1">
      <c r="A946" s="4" t="s">
        <v>3633</v>
      </c>
      <c r="B946" s="11" t="s">
        <v>3634</v>
      </c>
      <c r="C946" s="4" t="s">
        <v>28</v>
      </c>
      <c r="D946" s="12" t="s">
        <v>261</v>
      </c>
      <c r="E946" s="13" t="s">
        <v>93</v>
      </c>
      <c r="F946" s="5" t="s">
        <v>263</v>
      </c>
      <c r="G946" s="5" t="b">
        <v>0</v>
      </c>
      <c r="H946" s="5" t="s">
        <v>3635</v>
      </c>
      <c r="I946" s="5">
        <v>1.0</v>
      </c>
      <c r="J946" s="5">
        <v>0.0</v>
      </c>
      <c r="K946" s="5">
        <v>0.0</v>
      </c>
    </row>
    <row r="947" ht="15.75" customHeight="1">
      <c r="A947" s="4" t="s">
        <v>3636</v>
      </c>
      <c r="B947" s="11" t="s">
        <v>3637</v>
      </c>
      <c r="C947" s="4" t="s">
        <v>1758</v>
      </c>
      <c r="D947" s="12" t="s">
        <v>670</v>
      </c>
      <c r="E947" s="13" t="s">
        <v>53</v>
      </c>
      <c r="F947" s="5" t="s">
        <v>671</v>
      </c>
      <c r="G947" s="5" t="b">
        <v>0</v>
      </c>
      <c r="H947" s="5" t="s">
        <v>3638</v>
      </c>
      <c r="I947" s="5">
        <v>1.0</v>
      </c>
      <c r="J947" s="5">
        <v>0.0</v>
      </c>
      <c r="K947" s="5">
        <v>1.0</v>
      </c>
    </row>
    <row r="948" ht="15.75" customHeight="1">
      <c r="A948" s="4" t="s">
        <v>3639</v>
      </c>
      <c r="B948" s="11" t="s">
        <v>3640</v>
      </c>
      <c r="C948" s="4" t="s">
        <v>161</v>
      </c>
      <c r="D948" s="12" t="s">
        <v>29</v>
      </c>
      <c r="E948" s="13" t="s">
        <v>53</v>
      </c>
      <c r="F948" s="5" t="s">
        <v>31</v>
      </c>
      <c r="G948" s="5" t="b">
        <v>0</v>
      </c>
      <c r="H948" s="5" t="s">
        <v>3641</v>
      </c>
      <c r="I948" s="5">
        <v>1.0</v>
      </c>
      <c r="J948" s="5">
        <v>0.0</v>
      </c>
      <c r="K948" s="5">
        <v>1.0</v>
      </c>
    </row>
    <row r="949" ht="15.75" customHeight="1">
      <c r="A949" s="4" t="s">
        <v>3642</v>
      </c>
      <c r="B949" s="13"/>
      <c r="C949" s="4" t="s">
        <v>1762</v>
      </c>
      <c r="D949" s="12" t="s">
        <v>467</v>
      </c>
      <c r="E949" s="13" t="s">
        <v>53</v>
      </c>
      <c r="F949" s="5" t="s">
        <v>469</v>
      </c>
      <c r="H949" s="5" t="s">
        <v>233</v>
      </c>
      <c r="I949" s="5">
        <v>1.0</v>
      </c>
      <c r="J949" s="5">
        <v>0.0</v>
      </c>
      <c r="K949" s="5">
        <v>0.0</v>
      </c>
    </row>
    <row r="950" ht="15.75" customHeight="1">
      <c r="A950" s="4" t="s">
        <v>3643</v>
      </c>
      <c r="B950" s="11" t="s">
        <v>3644</v>
      </c>
      <c r="C950" s="4" t="s">
        <v>1118</v>
      </c>
      <c r="D950" s="12" t="s">
        <v>84</v>
      </c>
      <c r="E950" s="13" t="s">
        <v>53</v>
      </c>
      <c r="F950" s="5" t="s">
        <v>85</v>
      </c>
      <c r="G950" s="5" t="b">
        <v>0</v>
      </c>
      <c r="H950" s="5" t="s">
        <v>3645</v>
      </c>
      <c r="I950" s="5">
        <v>1.0</v>
      </c>
      <c r="J950" s="5">
        <v>0.0</v>
      </c>
      <c r="K950" s="5">
        <v>6.0</v>
      </c>
    </row>
    <row r="951" ht="15.75" customHeight="1">
      <c r="A951" s="4" t="s">
        <v>3646</v>
      </c>
      <c r="B951" s="11" t="s">
        <v>3647</v>
      </c>
      <c r="C951" s="4" t="s">
        <v>305</v>
      </c>
      <c r="D951" s="12" t="s">
        <v>29</v>
      </c>
      <c r="E951" s="13" t="s">
        <v>81</v>
      </c>
      <c r="F951" s="5" t="s">
        <v>31</v>
      </c>
      <c r="G951" s="5" t="b">
        <v>0</v>
      </c>
      <c r="H951" s="5" t="s">
        <v>399</v>
      </c>
      <c r="I951" s="5">
        <v>1.0</v>
      </c>
      <c r="J951" s="5">
        <v>0.0</v>
      </c>
      <c r="K951" s="5">
        <v>0.0</v>
      </c>
    </row>
    <row r="952" ht="15.75" customHeight="1">
      <c r="A952" s="4" t="s">
        <v>3648</v>
      </c>
      <c r="B952" s="11" t="s">
        <v>3649</v>
      </c>
      <c r="C952" s="4" t="s">
        <v>151</v>
      </c>
      <c r="D952" s="12" t="s">
        <v>29</v>
      </c>
      <c r="E952" s="13" t="s">
        <v>30</v>
      </c>
      <c r="F952" s="5" t="s">
        <v>31</v>
      </c>
      <c r="G952" s="5" t="b">
        <v>0</v>
      </c>
      <c r="H952" s="5" t="s">
        <v>3650</v>
      </c>
      <c r="I952" s="5">
        <v>1.0</v>
      </c>
      <c r="J952" s="5">
        <v>0.0</v>
      </c>
      <c r="K952" s="5">
        <v>0.0</v>
      </c>
    </row>
    <row r="953" ht="15.75" customHeight="1">
      <c r="A953" s="4" t="s">
        <v>3651</v>
      </c>
      <c r="B953" s="11" t="s">
        <v>2837</v>
      </c>
      <c r="C953" s="4" t="s">
        <v>151</v>
      </c>
      <c r="D953" s="12" t="s">
        <v>29</v>
      </c>
      <c r="E953" s="13" t="s">
        <v>30</v>
      </c>
      <c r="F953" s="5" t="s">
        <v>31</v>
      </c>
      <c r="G953" s="5" t="b">
        <v>0</v>
      </c>
      <c r="H953" s="5" t="s">
        <v>2838</v>
      </c>
      <c r="I953" s="5">
        <v>1.0</v>
      </c>
      <c r="J953" s="5">
        <v>0.0</v>
      </c>
      <c r="K953" s="5">
        <v>0.0</v>
      </c>
    </row>
    <row r="954" ht="15.75" customHeight="1">
      <c r="A954" s="4" t="s">
        <v>3652</v>
      </c>
      <c r="B954" s="11" t="s">
        <v>2255</v>
      </c>
      <c r="C954" s="4" t="s">
        <v>151</v>
      </c>
      <c r="D954" s="12" t="s">
        <v>29</v>
      </c>
      <c r="E954" s="13" t="s">
        <v>30</v>
      </c>
      <c r="F954" s="5" t="s">
        <v>31</v>
      </c>
      <c r="G954" s="5" t="b">
        <v>0</v>
      </c>
      <c r="H954" s="5" t="s">
        <v>2257</v>
      </c>
      <c r="I954" s="5">
        <v>1.0</v>
      </c>
      <c r="J954" s="5">
        <v>0.0</v>
      </c>
      <c r="K954" s="5">
        <v>0.0</v>
      </c>
    </row>
    <row r="955" ht="15.75" customHeight="1">
      <c r="A955" s="4" t="s">
        <v>3653</v>
      </c>
      <c r="B955" s="11" t="s">
        <v>3654</v>
      </c>
      <c r="C955" s="4" t="s">
        <v>151</v>
      </c>
      <c r="D955" s="12" t="s">
        <v>29</v>
      </c>
      <c r="E955" s="13" t="s">
        <v>30</v>
      </c>
      <c r="F955" s="5" t="s">
        <v>31</v>
      </c>
      <c r="G955" s="5" t="b">
        <v>0</v>
      </c>
      <c r="H955" s="5" t="s">
        <v>3655</v>
      </c>
      <c r="I955" s="5">
        <v>1.0</v>
      </c>
      <c r="J955" s="5">
        <v>0.0</v>
      </c>
      <c r="K955" s="5">
        <v>2.0</v>
      </c>
    </row>
    <row r="956" ht="15.75" customHeight="1">
      <c r="A956" s="4" t="s">
        <v>3656</v>
      </c>
      <c r="B956" s="11" t="s">
        <v>3657</v>
      </c>
      <c r="C956" s="4" t="s">
        <v>1765</v>
      </c>
      <c r="D956" s="12" t="s">
        <v>29</v>
      </c>
      <c r="E956" s="13" t="s">
        <v>30</v>
      </c>
      <c r="F956" s="5" t="s">
        <v>31</v>
      </c>
      <c r="G956" s="5" t="b">
        <v>0</v>
      </c>
      <c r="H956" s="5" t="s">
        <v>3658</v>
      </c>
      <c r="I956" s="5">
        <v>1.0</v>
      </c>
      <c r="J956" s="5">
        <v>0.0</v>
      </c>
      <c r="K956" s="5">
        <v>0.0</v>
      </c>
    </row>
    <row r="957" ht="15.75" customHeight="1">
      <c r="A957" s="4" t="s">
        <v>3659</v>
      </c>
      <c r="B957" s="11" t="s">
        <v>3660</v>
      </c>
      <c r="C957" s="4" t="s">
        <v>1769</v>
      </c>
      <c r="D957" s="12" t="s">
        <v>467</v>
      </c>
      <c r="E957" s="13" t="s">
        <v>53</v>
      </c>
      <c r="F957" s="5" t="s">
        <v>469</v>
      </c>
      <c r="G957" s="5" t="b">
        <v>0</v>
      </c>
      <c r="H957" s="5" t="s">
        <v>3661</v>
      </c>
      <c r="I957" s="5">
        <v>1.0</v>
      </c>
      <c r="J957" s="5">
        <v>0.0</v>
      </c>
      <c r="K957" s="5">
        <v>0.0</v>
      </c>
    </row>
    <row r="958" ht="15.75" customHeight="1">
      <c r="A958" s="4" t="s">
        <v>3662</v>
      </c>
      <c r="B958" s="11" t="s">
        <v>3663</v>
      </c>
      <c r="C958" s="4" t="s">
        <v>1773</v>
      </c>
      <c r="D958" s="12" t="s">
        <v>29</v>
      </c>
      <c r="E958" s="13" t="s">
        <v>53</v>
      </c>
      <c r="F958" s="5" t="s">
        <v>31</v>
      </c>
      <c r="G958" s="5" t="b">
        <v>0</v>
      </c>
      <c r="H958" s="5" t="s">
        <v>3664</v>
      </c>
      <c r="I958" s="5">
        <v>1.0</v>
      </c>
      <c r="J958" s="5">
        <v>0.0</v>
      </c>
      <c r="K958" s="5">
        <v>0.0</v>
      </c>
    </row>
    <row r="959" ht="15.75" customHeight="1">
      <c r="A959" s="4" t="s">
        <v>3665</v>
      </c>
      <c r="B959" s="11" t="s">
        <v>3666</v>
      </c>
      <c r="C959" s="4" t="s">
        <v>1776</v>
      </c>
      <c r="D959" s="12" t="s">
        <v>29</v>
      </c>
      <c r="E959" s="13" t="s">
        <v>53</v>
      </c>
      <c r="F959" s="5" t="s">
        <v>31</v>
      </c>
      <c r="G959" s="5" t="b">
        <v>0</v>
      </c>
      <c r="H959" s="5" t="s">
        <v>399</v>
      </c>
      <c r="I959" s="5">
        <v>1.0</v>
      </c>
      <c r="J959" s="5">
        <v>0.0</v>
      </c>
      <c r="K959" s="5">
        <v>0.0</v>
      </c>
    </row>
    <row r="960" ht="15.75" customHeight="1">
      <c r="A960" s="4" t="s">
        <v>3667</v>
      </c>
      <c r="B960" s="11" t="s">
        <v>3668</v>
      </c>
      <c r="C960" s="4" t="s">
        <v>1451</v>
      </c>
      <c r="D960" s="12" t="s">
        <v>126</v>
      </c>
      <c r="E960" s="13" t="s">
        <v>53</v>
      </c>
      <c r="F960" s="5" t="s">
        <v>127</v>
      </c>
      <c r="G960" s="5" t="b">
        <v>0</v>
      </c>
      <c r="I960" s="5">
        <v>1.0</v>
      </c>
      <c r="J960" s="5">
        <v>0.0</v>
      </c>
      <c r="K960" s="5">
        <v>3.0</v>
      </c>
    </row>
    <row r="961" ht="15.75" customHeight="1">
      <c r="A961" s="4" t="s">
        <v>3669</v>
      </c>
      <c r="B961" s="11" t="s">
        <v>3670</v>
      </c>
      <c r="C961" s="4" t="s">
        <v>1451</v>
      </c>
      <c r="D961" s="12" t="s">
        <v>126</v>
      </c>
      <c r="E961" s="13" t="s">
        <v>53</v>
      </c>
      <c r="F961" s="5" t="s">
        <v>127</v>
      </c>
      <c r="G961" s="5" t="b">
        <v>0</v>
      </c>
      <c r="H961" s="5" t="s">
        <v>3671</v>
      </c>
      <c r="I961" s="5">
        <v>1.0</v>
      </c>
      <c r="J961" s="5">
        <v>0.0</v>
      </c>
      <c r="K961" s="5">
        <v>0.0</v>
      </c>
    </row>
    <row r="962" ht="15.75" customHeight="1">
      <c r="A962" s="4" t="s">
        <v>3672</v>
      </c>
      <c r="B962" s="11" t="s">
        <v>3673</v>
      </c>
      <c r="C962" s="4" t="s">
        <v>384</v>
      </c>
      <c r="D962" s="12" t="s">
        <v>29</v>
      </c>
      <c r="E962" s="13" t="s">
        <v>53</v>
      </c>
      <c r="F962" s="5" t="s">
        <v>31</v>
      </c>
      <c r="G962" s="5" t="b">
        <v>0</v>
      </c>
      <c r="H962" s="5" t="s">
        <v>3674</v>
      </c>
      <c r="I962" s="5">
        <v>1.0</v>
      </c>
      <c r="J962" s="5">
        <v>0.0</v>
      </c>
      <c r="K962" s="5">
        <v>2.0</v>
      </c>
    </row>
    <row r="963" ht="15.75" customHeight="1">
      <c r="A963" s="4" t="s">
        <v>3675</v>
      </c>
      <c r="B963" s="11" t="s">
        <v>3676</v>
      </c>
      <c r="C963" s="4" t="s">
        <v>384</v>
      </c>
      <c r="D963" s="12" t="s">
        <v>29</v>
      </c>
      <c r="E963" s="13" t="s">
        <v>53</v>
      </c>
      <c r="F963" s="5" t="s">
        <v>31</v>
      </c>
      <c r="G963" s="5" t="b">
        <v>0</v>
      </c>
      <c r="H963" s="5" t="s">
        <v>3677</v>
      </c>
      <c r="I963" s="5">
        <v>1.0</v>
      </c>
      <c r="J963" s="5">
        <v>0.0</v>
      </c>
      <c r="K963" s="5">
        <v>0.0</v>
      </c>
    </row>
    <row r="964" ht="15.75" customHeight="1">
      <c r="A964" s="4" t="s">
        <v>3678</v>
      </c>
      <c r="B964" s="11" t="s">
        <v>3679</v>
      </c>
      <c r="C964" s="4" t="s">
        <v>384</v>
      </c>
      <c r="D964" s="12" t="s">
        <v>29</v>
      </c>
      <c r="E964" s="13" t="s">
        <v>53</v>
      </c>
      <c r="F964" s="5" t="s">
        <v>31</v>
      </c>
      <c r="G964" s="5" t="b">
        <v>0</v>
      </c>
      <c r="H964" s="5" t="s">
        <v>3680</v>
      </c>
      <c r="I964" s="5">
        <v>1.0</v>
      </c>
      <c r="J964" s="5">
        <v>0.0</v>
      </c>
      <c r="K964" s="5">
        <v>1.0</v>
      </c>
    </row>
    <row r="965" ht="15.75" customHeight="1">
      <c r="A965" s="4" t="s">
        <v>3681</v>
      </c>
      <c r="B965" s="11" t="s">
        <v>3682</v>
      </c>
      <c r="C965" s="4" t="s">
        <v>1892</v>
      </c>
      <c r="D965" s="12" t="s">
        <v>52</v>
      </c>
      <c r="E965" s="13" t="s">
        <v>53</v>
      </c>
      <c r="F965" s="5" t="s">
        <v>54</v>
      </c>
      <c r="G965" s="5" t="b">
        <v>0</v>
      </c>
      <c r="H965" s="5" t="s">
        <v>3683</v>
      </c>
      <c r="I965" s="5">
        <v>1.0</v>
      </c>
      <c r="J965" s="5">
        <v>0.0</v>
      </c>
      <c r="K965" s="5">
        <v>1.0</v>
      </c>
    </row>
    <row r="966" ht="15.75" customHeight="1">
      <c r="A966" s="4" t="s">
        <v>3684</v>
      </c>
      <c r="B966" s="11" t="s">
        <v>3685</v>
      </c>
      <c r="C966" s="4" t="s">
        <v>1781</v>
      </c>
      <c r="D966" s="12" t="s">
        <v>467</v>
      </c>
      <c r="E966" s="13" t="s">
        <v>53</v>
      </c>
      <c r="F966" s="5" t="s">
        <v>469</v>
      </c>
      <c r="G966" s="5" t="b">
        <v>0</v>
      </c>
      <c r="I966" s="5">
        <v>1.0</v>
      </c>
      <c r="J966" s="5">
        <v>0.0</v>
      </c>
      <c r="K966" s="5">
        <v>0.0</v>
      </c>
    </row>
    <row r="967" ht="15.75" customHeight="1">
      <c r="A967" s="4" t="s">
        <v>3686</v>
      </c>
      <c r="B967" s="11" t="s">
        <v>3687</v>
      </c>
      <c r="C967" s="4" t="s">
        <v>1783</v>
      </c>
      <c r="D967" s="12" t="s">
        <v>467</v>
      </c>
      <c r="E967" s="13" t="s">
        <v>53</v>
      </c>
      <c r="F967" s="5" t="s">
        <v>469</v>
      </c>
      <c r="G967" s="5" t="b">
        <v>0</v>
      </c>
      <c r="I967" s="5">
        <v>1.0</v>
      </c>
      <c r="J967" s="5">
        <v>0.0</v>
      </c>
      <c r="K967" s="5">
        <v>0.0</v>
      </c>
    </row>
    <row r="968" ht="15.75" customHeight="1">
      <c r="A968" s="4" t="s">
        <v>3688</v>
      </c>
      <c r="B968" s="11" t="s">
        <v>3689</v>
      </c>
      <c r="C968" s="4" t="s">
        <v>1785</v>
      </c>
      <c r="D968" s="12" t="s">
        <v>467</v>
      </c>
      <c r="E968" s="13" t="s">
        <v>53</v>
      </c>
      <c r="F968" s="5" t="s">
        <v>469</v>
      </c>
      <c r="G968" s="5" t="b">
        <v>0</v>
      </c>
      <c r="I968" s="5">
        <v>1.0</v>
      </c>
      <c r="J968" s="5">
        <v>0.0</v>
      </c>
      <c r="K968" s="5">
        <v>2.0</v>
      </c>
    </row>
    <row r="969" ht="15.75" customHeight="1">
      <c r="A969" s="4" t="s">
        <v>3690</v>
      </c>
      <c r="B969" s="11" t="s">
        <v>3691</v>
      </c>
      <c r="C969" s="4" t="s">
        <v>1011</v>
      </c>
      <c r="D969" s="12" t="s">
        <v>467</v>
      </c>
      <c r="E969" s="13" t="s">
        <v>30</v>
      </c>
      <c r="F969" s="5" t="s">
        <v>469</v>
      </c>
      <c r="G969" s="5" t="b">
        <v>0</v>
      </c>
      <c r="H969" s="5" t="s">
        <v>3692</v>
      </c>
      <c r="I969" s="5">
        <v>1.0</v>
      </c>
      <c r="J969" s="5">
        <v>0.0</v>
      </c>
      <c r="K969" s="5">
        <v>1.0</v>
      </c>
    </row>
    <row r="970" ht="15.75" customHeight="1">
      <c r="A970" s="4" t="s">
        <v>3693</v>
      </c>
      <c r="B970" s="11" t="s">
        <v>3694</v>
      </c>
      <c r="C970" s="4" t="s">
        <v>1011</v>
      </c>
      <c r="D970" s="12" t="s">
        <v>261</v>
      </c>
      <c r="E970" s="13" t="s">
        <v>30</v>
      </c>
      <c r="F970" s="5" t="s">
        <v>263</v>
      </c>
      <c r="G970" s="5" t="b">
        <v>0</v>
      </c>
      <c r="H970" s="5" t="s">
        <v>3695</v>
      </c>
      <c r="I970" s="5">
        <v>1.0</v>
      </c>
      <c r="J970" s="5">
        <v>0.0</v>
      </c>
      <c r="K970" s="5">
        <v>1.0</v>
      </c>
    </row>
    <row r="971" ht="15.75" customHeight="1">
      <c r="A971" s="4" t="s">
        <v>3696</v>
      </c>
      <c r="B971" s="11" t="s">
        <v>3697</v>
      </c>
      <c r="C971" s="4" t="s">
        <v>1787</v>
      </c>
      <c r="D971" s="12" t="s">
        <v>261</v>
      </c>
      <c r="E971" s="13" t="s">
        <v>678</v>
      </c>
      <c r="F971" s="5" t="s">
        <v>263</v>
      </c>
      <c r="G971" s="5" t="b">
        <v>0</v>
      </c>
      <c r="H971" s="5" t="s">
        <v>3698</v>
      </c>
      <c r="I971" s="5">
        <v>1.0</v>
      </c>
      <c r="J971" s="5">
        <v>0.0</v>
      </c>
      <c r="K971" s="5">
        <v>0.0</v>
      </c>
    </row>
    <row r="972" ht="15.75" customHeight="1">
      <c r="A972" s="4" t="s">
        <v>3699</v>
      </c>
      <c r="B972" s="11" t="s">
        <v>3700</v>
      </c>
      <c r="C972" s="4" t="s">
        <v>1426</v>
      </c>
      <c r="D972" s="12" t="s">
        <v>52</v>
      </c>
      <c r="E972" s="13" t="s">
        <v>93</v>
      </c>
      <c r="F972" s="5" t="s">
        <v>54</v>
      </c>
      <c r="G972" s="5" t="b">
        <v>0</v>
      </c>
      <c r="H972" s="5" t="s">
        <v>3701</v>
      </c>
      <c r="I972" s="5">
        <v>1.0</v>
      </c>
      <c r="J972" s="5">
        <v>0.0</v>
      </c>
      <c r="K972" s="5">
        <v>1.0</v>
      </c>
    </row>
    <row r="973" ht="15.75" customHeight="1">
      <c r="A973" s="4" t="s">
        <v>3702</v>
      </c>
      <c r="B973" s="11" t="s">
        <v>3703</v>
      </c>
      <c r="C973" s="4" t="s">
        <v>1426</v>
      </c>
      <c r="D973" s="12" t="s">
        <v>261</v>
      </c>
      <c r="E973" s="13" t="s">
        <v>93</v>
      </c>
      <c r="F973" s="5" t="s">
        <v>263</v>
      </c>
      <c r="G973" s="5" t="b">
        <v>0</v>
      </c>
      <c r="H973" s="5" t="s">
        <v>3704</v>
      </c>
      <c r="I973" s="5">
        <v>1.0</v>
      </c>
      <c r="J973" s="5">
        <v>0.0</v>
      </c>
      <c r="K973" s="5">
        <v>0.0</v>
      </c>
    </row>
    <row r="974" ht="15.75" customHeight="1">
      <c r="A974" s="4" t="s">
        <v>3705</v>
      </c>
      <c r="B974" s="11" t="s">
        <v>3706</v>
      </c>
      <c r="C974" s="4" t="s">
        <v>1791</v>
      </c>
      <c r="D974" s="12" t="s">
        <v>261</v>
      </c>
      <c r="E974" s="13" t="s">
        <v>53</v>
      </c>
      <c r="F974" s="5" t="s">
        <v>263</v>
      </c>
      <c r="G974" s="5" t="b">
        <v>0</v>
      </c>
      <c r="I974" s="5">
        <v>1.0</v>
      </c>
      <c r="J974" s="5">
        <v>0.0</v>
      </c>
      <c r="K974" s="5">
        <v>0.0</v>
      </c>
    </row>
    <row r="975" ht="15.75" customHeight="1">
      <c r="A975" s="4" t="s">
        <v>3707</v>
      </c>
      <c r="B975" s="11" t="s">
        <v>3708</v>
      </c>
      <c r="C975" s="4" t="s">
        <v>224</v>
      </c>
      <c r="D975" s="12" t="s">
        <v>52</v>
      </c>
      <c r="E975" s="13" t="s">
        <v>84</v>
      </c>
      <c r="F975" s="5" t="s">
        <v>54</v>
      </c>
      <c r="G975" s="5" t="b">
        <v>0</v>
      </c>
      <c r="I975" s="5">
        <v>1.0</v>
      </c>
      <c r="J975" s="5">
        <v>0.0</v>
      </c>
      <c r="K975" s="5">
        <v>0.0</v>
      </c>
    </row>
    <row r="976" ht="15.75" customHeight="1">
      <c r="A976" s="4" t="s">
        <v>3709</v>
      </c>
      <c r="B976" s="11" t="s">
        <v>3710</v>
      </c>
      <c r="C976" s="4" t="s">
        <v>224</v>
      </c>
      <c r="D976" s="12" t="s">
        <v>84</v>
      </c>
      <c r="E976" s="13" t="s">
        <v>84</v>
      </c>
      <c r="F976" s="5" t="s">
        <v>85</v>
      </c>
      <c r="G976" s="5" t="b">
        <v>0</v>
      </c>
      <c r="I976" s="5">
        <v>1.0</v>
      </c>
      <c r="J976" s="5">
        <v>0.0</v>
      </c>
      <c r="K976" s="5">
        <v>1.0</v>
      </c>
    </row>
    <row r="977" ht="15.75" customHeight="1">
      <c r="A977" s="4" t="s">
        <v>3711</v>
      </c>
      <c r="B977" s="11" t="s">
        <v>3712</v>
      </c>
      <c r="C977" s="4" t="s">
        <v>224</v>
      </c>
      <c r="D977" s="12" t="s">
        <v>52</v>
      </c>
      <c r="E977" s="13" t="s">
        <v>84</v>
      </c>
      <c r="F977" s="5" t="s">
        <v>54</v>
      </c>
      <c r="G977" s="5" t="b">
        <v>0</v>
      </c>
      <c r="I977" s="5">
        <v>1.0</v>
      </c>
      <c r="J977" s="5">
        <v>0.0</v>
      </c>
      <c r="K977" s="5">
        <v>2.0</v>
      </c>
    </row>
    <row r="978" ht="15.75" customHeight="1">
      <c r="A978" s="4" t="s">
        <v>3713</v>
      </c>
      <c r="B978" s="11" t="s">
        <v>3714</v>
      </c>
      <c r="C978" s="5" t="s">
        <v>868</v>
      </c>
      <c r="D978" s="12" t="s">
        <v>52</v>
      </c>
      <c r="E978" s="13" t="s">
        <v>53</v>
      </c>
      <c r="F978" s="5" t="s">
        <v>54</v>
      </c>
      <c r="G978" s="5" t="b">
        <v>1</v>
      </c>
      <c r="H978" s="5" t="s">
        <v>3715</v>
      </c>
      <c r="I978" s="5">
        <v>1.0</v>
      </c>
      <c r="J978" s="5">
        <v>0.0</v>
      </c>
      <c r="K978" s="5">
        <v>0.0</v>
      </c>
    </row>
    <row r="979" ht="15.75" customHeight="1">
      <c r="A979" s="4" t="s">
        <v>3716</v>
      </c>
      <c r="B979" s="11" t="s">
        <v>3717</v>
      </c>
      <c r="C979" s="4" t="s">
        <v>1793</v>
      </c>
      <c r="D979" s="12" t="s">
        <v>29</v>
      </c>
      <c r="E979" s="13" t="s">
        <v>53</v>
      </c>
      <c r="F979" s="5" t="s">
        <v>31</v>
      </c>
      <c r="G979" s="5" t="b">
        <v>0</v>
      </c>
      <c r="I979" s="5">
        <v>1.0</v>
      </c>
      <c r="J979" s="5">
        <v>0.0</v>
      </c>
      <c r="K979" s="5">
        <v>0.0</v>
      </c>
    </row>
    <row r="980" ht="15.75" customHeight="1">
      <c r="A980" s="4" t="s">
        <v>3718</v>
      </c>
      <c r="B980" s="11" t="s">
        <v>3719</v>
      </c>
      <c r="C980" s="4" t="s">
        <v>1795</v>
      </c>
      <c r="D980" s="12" t="s">
        <v>261</v>
      </c>
      <c r="E980" s="13" t="s">
        <v>678</v>
      </c>
      <c r="F980" s="5" t="s">
        <v>263</v>
      </c>
      <c r="G980" s="5" t="b">
        <v>0</v>
      </c>
      <c r="I980" s="5">
        <v>1.0</v>
      </c>
      <c r="J980" s="5">
        <v>0.0</v>
      </c>
      <c r="K980" s="5">
        <v>1.0</v>
      </c>
    </row>
    <row r="981" ht="15.75" customHeight="1">
      <c r="A981" s="4" t="s">
        <v>3720</v>
      </c>
      <c r="B981" s="11" t="s">
        <v>3721</v>
      </c>
      <c r="C981" s="4" t="s">
        <v>942</v>
      </c>
      <c r="D981" s="12" t="s">
        <v>261</v>
      </c>
      <c r="E981" s="13" t="s">
        <v>53</v>
      </c>
      <c r="F981" s="5" t="s">
        <v>263</v>
      </c>
      <c r="G981" s="5" t="b">
        <v>0</v>
      </c>
      <c r="I981" s="5">
        <v>1.0</v>
      </c>
      <c r="J981" s="5">
        <v>0.0</v>
      </c>
      <c r="K981" s="5">
        <v>1.0</v>
      </c>
    </row>
    <row r="982" ht="15.75" customHeight="1">
      <c r="A982" s="4" t="s">
        <v>3722</v>
      </c>
      <c r="B982" s="11" t="s">
        <v>3723</v>
      </c>
      <c r="C982" s="4" t="s">
        <v>1797</v>
      </c>
      <c r="D982" s="12" t="s">
        <v>29</v>
      </c>
      <c r="E982" s="13" t="s">
        <v>30</v>
      </c>
      <c r="F982" s="5" t="s">
        <v>31</v>
      </c>
      <c r="G982" s="5" t="b">
        <v>0</v>
      </c>
      <c r="H982" s="5" t="s">
        <v>3724</v>
      </c>
      <c r="I982" s="5">
        <v>1.0</v>
      </c>
      <c r="J982" s="5">
        <v>0.0</v>
      </c>
      <c r="K982" s="5">
        <v>1.0</v>
      </c>
    </row>
    <row r="983" ht="15.75" customHeight="1">
      <c r="A983" s="4" t="s">
        <v>3725</v>
      </c>
      <c r="B983" s="11" t="s">
        <v>3726</v>
      </c>
      <c r="C983" s="4" t="s">
        <v>1800</v>
      </c>
      <c r="D983" s="12" t="s">
        <v>467</v>
      </c>
      <c r="E983" s="13" t="s">
        <v>53</v>
      </c>
      <c r="F983" s="5" t="s">
        <v>469</v>
      </c>
      <c r="G983" s="5" t="b">
        <v>0</v>
      </c>
      <c r="H983" s="5" t="s">
        <v>396</v>
      </c>
      <c r="I983" s="5">
        <v>1.0</v>
      </c>
      <c r="J983" s="5">
        <v>0.0</v>
      </c>
      <c r="K983" s="5">
        <v>0.0</v>
      </c>
    </row>
    <row r="984" ht="15.75" customHeight="1">
      <c r="A984" s="4" t="s">
        <v>3727</v>
      </c>
      <c r="B984" s="11" t="s">
        <v>3728</v>
      </c>
      <c r="C984" s="4" t="s">
        <v>1803</v>
      </c>
      <c r="D984" s="12" t="s">
        <v>29</v>
      </c>
      <c r="E984" s="13" t="s">
        <v>53</v>
      </c>
      <c r="F984" s="5" t="s">
        <v>31</v>
      </c>
      <c r="G984" s="5" t="b">
        <v>0</v>
      </c>
      <c r="H984" s="5" t="s">
        <v>3729</v>
      </c>
      <c r="I984" s="5">
        <v>1.0</v>
      </c>
      <c r="J984" s="5">
        <v>0.0</v>
      </c>
      <c r="K984" s="5">
        <v>0.0</v>
      </c>
    </row>
    <row r="985" ht="15.75" customHeight="1">
      <c r="A985" s="4" t="s">
        <v>3730</v>
      </c>
      <c r="B985" s="11" t="s">
        <v>3731</v>
      </c>
      <c r="C985" s="4" t="s">
        <v>1806</v>
      </c>
      <c r="D985" s="12" t="s">
        <v>84</v>
      </c>
      <c r="E985" s="13" t="s">
        <v>81</v>
      </c>
      <c r="F985" s="5" t="s">
        <v>85</v>
      </c>
      <c r="G985" s="5" t="b">
        <v>0</v>
      </c>
      <c r="H985" s="5" t="s">
        <v>399</v>
      </c>
      <c r="I985" s="5">
        <v>1.0</v>
      </c>
      <c r="J985" s="5">
        <v>0.0</v>
      </c>
      <c r="K985" s="5">
        <v>0.0</v>
      </c>
    </row>
    <row r="986" ht="15.75" customHeight="1">
      <c r="A986" s="4" t="s">
        <v>3732</v>
      </c>
      <c r="B986" s="11" t="s">
        <v>3733</v>
      </c>
      <c r="C986" s="4" t="s">
        <v>574</v>
      </c>
      <c r="D986" s="12" t="s">
        <v>29</v>
      </c>
      <c r="E986" s="13" t="s">
        <v>53</v>
      </c>
      <c r="F986" s="5" t="s">
        <v>31</v>
      </c>
      <c r="G986" s="5" t="b">
        <v>0</v>
      </c>
      <c r="H986" s="5" t="s">
        <v>3734</v>
      </c>
      <c r="I986" s="5">
        <v>1.0</v>
      </c>
      <c r="J986" s="5">
        <v>0.0</v>
      </c>
      <c r="K986" s="5">
        <v>1.0</v>
      </c>
    </row>
    <row r="987" ht="15.75" customHeight="1">
      <c r="A987" s="4" t="s">
        <v>3735</v>
      </c>
      <c r="B987" s="11" t="s">
        <v>3736</v>
      </c>
      <c r="C987" s="4" t="s">
        <v>1809</v>
      </c>
      <c r="D987" s="12" t="s">
        <v>29</v>
      </c>
      <c r="E987" s="13" t="s">
        <v>84</v>
      </c>
      <c r="F987" s="5" t="s">
        <v>31</v>
      </c>
      <c r="G987" s="5" t="b">
        <v>0</v>
      </c>
      <c r="H987" s="5" t="s">
        <v>3737</v>
      </c>
      <c r="I987" s="5">
        <v>1.0</v>
      </c>
      <c r="J987" s="5">
        <v>0.0</v>
      </c>
      <c r="K987" s="5">
        <v>0.0</v>
      </c>
    </row>
    <row r="988" ht="15.75" customHeight="1">
      <c r="A988" s="4" t="s">
        <v>3738</v>
      </c>
      <c r="B988" s="11" t="s">
        <v>3739</v>
      </c>
      <c r="C988" s="4" t="s">
        <v>1812</v>
      </c>
      <c r="D988" s="12" t="s">
        <v>29</v>
      </c>
      <c r="E988" s="13" t="s">
        <v>53</v>
      </c>
      <c r="F988" s="5" t="s">
        <v>31</v>
      </c>
      <c r="G988" s="5" t="b">
        <v>0</v>
      </c>
      <c r="I988" s="5">
        <v>1.0</v>
      </c>
      <c r="J988" s="5">
        <v>0.0</v>
      </c>
      <c r="K988" s="5">
        <v>0.0</v>
      </c>
    </row>
    <row r="989" ht="15.75" customHeight="1">
      <c r="A989" s="4" t="s">
        <v>3740</v>
      </c>
      <c r="B989" s="11" t="s">
        <v>3741</v>
      </c>
      <c r="C989" s="5" t="s">
        <v>943</v>
      </c>
      <c r="D989" s="12" t="s">
        <v>29</v>
      </c>
      <c r="E989" s="13" t="s">
        <v>53</v>
      </c>
      <c r="F989" s="5" t="s">
        <v>31</v>
      </c>
      <c r="G989" s="5" t="b">
        <v>0</v>
      </c>
      <c r="H989" s="5" t="s">
        <v>3742</v>
      </c>
      <c r="I989" s="5">
        <v>1.0</v>
      </c>
      <c r="J989" s="5">
        <v>0.0</v>
      </c>
      <c r="K989" s="5">
        <v>2.0</v>
      </c>
    </row>
    <row r="990" ht="15.75" customHeight="1">
      <c r="A990" s="4" t="s">
        <v>3743</v>
      </c>
      <c r="B990" s="11" t="s">
        <v>3744</v>
      </c>
      <c r="C990" s="4" t="s">
        <v>1814</v>
      </c>
      <c r="D990" s="12" t="s">
        <v>670</v>
      </c>
      <c r="E990" s="13" t="s">
        <v>53</v>
      </c>
      <c r="F990" s="5" t="s">
        <v>671</v>
      </c>
      <c r="G990" s="5" t="b">
        <v>0</v>
      </c>
      <c r="H990" s="5" t="s">
        <v>396</v>
      </c>
      <c r="I990" s="5">
        <v>1.0</v>
      </c>
      <c r="J990" s="5">
        <v>0.0</v>
      </c>
      <c r="K990" s="5">
        <v>2.0</v>
      </c>
    </row>
    <row r="991" ht="15.75" customHeight="1">
      <c r="A991" s="4" t="s">
        <v>3745</v>
      </c>
      <c r="B991" s="11" t="s">
        <v>3746</v>
      </c>
      <c r="C991" s="4" t="s">
        <v>1816</v>
      </c>
      <c r="D991" s="12" t="s">
        <v>126</v>
      </c>
      <c r="E991" s="13" t="s">
        <v>53</v>
      </c>
      <c r="F991" s="5" t="s">
        <v>127</v>
      </c>
      <c r="G991" s="5" t="b">
        <v>0</v>
      </c>
      <c r="H991" s="5" t="s">
        <v>342</v>
      </c>
      <c r="I991" s="5">
        <v>1.0</v>
      </c>
      <c r="J991" s="5">
        <v>0.0</v>
      </c>
      <c r="K991" s="5">
        <v>1.0</v>
      </c>
    </row>
    <row r="992" ht="15.75" customHeight="1">
      <c r="A992" s="4" t="s">
        <v>3747</v>
      </c>
      <c r="B992" s="11" t="s">
        <v>3748</v>
      </c>
      <c r="C992" s="4" t="s">
        <v>199</v>
      </c>
      <c r="D992" s="12" t="s">
        <v>126</v>
      </c>
      <c r="E992" s="13" t="s">
        <v>30</v>
      </c>
      <c r="F992" s="5" t="s">
        <v>127</v>
      </c>
      <c r="G992" s="5" t="b">
        <v>0</v>
      </c>
      <c r="H992" s="5" t="s">
        <v>3749</v>
      </c>
      <c r="I992" s="5">
        <v>1.0</v>
      </c>
      <c r="J992" s="5">
        <v>0.0</v>
      </c>
      <c r="K992" s="5">
        <v>0.0</v>
      </c>
    </row>
    <row r="993" ht="15.75" customHeight="1">
      <c r="A993" s="4" t="s">
        <v>3750</v>
      </c>
      <c r="B993" s="11" t="s">
        <v>3751</v>
      </c>
      <c r="C993" s="4" t="s">
        <v>199</v>
      </c>
      <c r="D993" s="12" t="s">
        <v>29</v>
      </c>
      <c r="E993" s="13" t="s">
        <v>30</v>
      </c>
      <c r="F993" s="5" t="s">
        <v>31</v>
      </c>
      <c r="G993" s="5" t="b">
        <v>0</v>
      </c>
      <c r="H993" s="5" t="s">
        <v>3752</v>
      </c>
      <c r="I993" s="5">
        <v>1.0</v>
      </c>
      <c r="J993" s="5">
        <v>0.0</v>
      </c>
      <c r="K993" s="5">
        <v>0.0</v>
      </c>
    </row>
    <row r="994" ht="15.75" customHeight="1">
      <c r="A994" s="4" t="s">
        <v>3753</v>
      </c>
      <c r="B994" s="11" t="s">
        <v>3754</v>
      </c>
      <c r="C994" s="4" t="s">
        <v>1123</v>
      </c>
      <c r="D994" s="12" t="s">
        <v>29</v>
      </c>
      <c r="E994" s="13" t="s">
        <v>53</v>
      </c>
      <c r="F994" s="5" t="s">
        <v>31</v>
      </c>
      <c r="G994" s="5" t="b">
        <v>0</v>
      </c>
      <c r="H994" s="5" t="s">
        <v>3755</v>
      </c>
      <c r="I994" s="5">
        <v>1.0</v>
      </c>
      <c r="J994" s="5">
        <v>0.0</v>
      </c>
      <c r="K994" s="5">
        <v>0.0</v>
      </c>
    </row>
    <row r="995" ht="15.75" customHeight="1">
      <c r="A995" s="4" t="s">
        <v>3756</v>
      </c>
      <c r="B995" s="11" t="s">
        <v>3757</v>
      </c>
      <c r="C995" s="4" t="s">
        <v>1123</v>
      </c>
      <c r="D995" s="12" t="s">
        <v>29</v>
      </c>
      <c r="E995" s="13" t="s">
        <v>53</v>
      </c>
      <c r="F995" s="5" t="s">
        <v>31</v>
      </c>
      <c r="G995" s="5" t="b">
        <v>0</v>
      </c>
      <c r="I995" s="5">
        <v>1.0</v>
      </c>
      <c r="J995" s="5">
        <v>0.0</v>
      </c>
      <c r="K995" s="5">
        <v>0.0</v>
      </c>
    </row>
    <row r="996" ht="15.75" customHeight="1">
      <c r="A996" s="4" t="s">
        <v>3758</v>
      </c>
      <c r="B996" s="11" t="s">
        <v>3759</v>
      </c>
      <c r="C996" s="4" t="s">
        <v>1123</v>
      </c>
      <c r="D996" s="12" t="s">
        <v>29</v>
      </c>
      <c r="E996" s="13" t="s">
        <v>53</v>
      </c>
      <c r="F996" s="5" t="s">
        <v>31</v>
      </c>
      <c r="G996" s="5" t="b">
        <v>0</v>
      </c>
      <c r="H996" s="5" t="s">
        <v>3760</v>
      </c>
      <c r="I996" s="5">
        <v>1.0</v>
      </c>
      <c r="J996" s="5">
        <v>0.0</v>
      </c>
      <c r="K996" s="5">
        <v>1.0</v>
      </c>
    </row>
    <row r="997">
      <c r="A997" s="4" t="s">
        <v>3761</v>
      </c>
      <c r="B997" s="11" t="s">
        <v>3762</v>
      </c>
      <c r="C997" s="4" t="s">
        <v>1454</v>
      </c>
      <c r="D997" s="12" t="s">
        <v>29</v>
      </c>
      <c r="E997" s="13" t="s">
        <v>53</v>
      </c>
      <c r="F997" s="5" t="s">
        <v>31</v>
      </c>
      <c r="G997" s="5" t="b">
        <v>0</v>
      </c>
      <c r="I997" s="5">
        <v>1.0</v>
      </c>
      <c r="J997" s="5">
        <v>0.0</v>
      </c>
      <c r="K997" s="5">
        <v>0.0</v>
      </c>
    </row>
    <row r="998">
      <c r="A998" s="4" t="s">
        <v>3763</v>
      </c>
      <c r="B998" s="11" t="s">
        <v>3764</v>
      </c>
      <c r="C998" s="4" t="s">
        <v>1454</v>
      </c>
      <c r="D998" s="12" t="s">
        <v>29</v>
      </c>
      <c r="E998" s="13" t="s">
        <v>53</v>
      </c>
      <c r="F998" s="5" t="s">
        <v>31</v>
      </c>
      <c r="G998" s="5" t="b">
        <v>0</v>
      </c>
      <c r="H998" s="5" t="s">
        <v>399</v>
      </c>
      <c r="I998" s="5">
        <v>1.0</v>
      </c>
      <c r="J998" s="5">
        <v>0.0</v>
      </c>
      <c r="K998" s="5">
        <v>0.0</v>
      </c>
    </row>
    <row r="999">
      <c r="A999" s="4" t="s">
        <v>3765</v>
      </c>
      <c r="B999" s="11" t="s">
        <v>3766</v>
      </c>
      <c r="C999" s="4" t="s">
        <v>1819</v>
      </c>
      <c r="D999" s="12" t="s">
        <v>29</v>
      </c>
      <c r="E999" s="13" t="s">
        <v>53</v>
      </c>
      <c r="F999" s="5" t="s">
        <v>31</v>
      </c>
      <c r="G999" s="5" t="b">
        <v>0</v>
      </c>
      <c r="H999" s="5" t="s">
        <v>3767</v>
      </c>
      <c r="I999" s="5">
        <v>1.0</v>
      </c>
      <c r="J999" s="5">
        <v>0.0</v>
      </c>
      <c r="K999" s="5">
        <v>0.0</v>
      </c>
    </row>
    <row r="1000">
      <c r="A1000" s="4" t="s">
        <v>3768</v>
      </c>
      <c r="B1000" s="11" t="s">
        <v>3769</v>
      </c>
      <c r="C1000" s="4" t="s">
        <v>1822</v>
      </c>
      <c r="D1000" s="12" t="s">
        <v>29</v>
      </c>
      <c r="E1000" s="13" t="s">
        <v>53</v>
      </c>
      <c r="F1000" s="5" t="s">
        <v>31</v>
      </c>
      <c r="G1000" s="5" t="b">
        <v>0</v>
      </c>
      <c r="H1000" s="5" t="s">
        <v>3770</v>
      </c>
      <c r="I1000" s="5">
        <v>1.0</v>
      </c>
      <c r="J1000" s="5">
        <v>0.0</v>
      </c>
      <c r="K1000" s="5">
        <v>0.0</v>
      </c>
    </row>
    <row r="1001">
      <c r="A1001" s="4" t="s">
        <v>3771</v>
      </c>
      <c r="B1001" s="11" t="s">
        <v>3772</v>
      </c>
      <c r="C1001" s="4" t="s">
        <v>988</v>
      </c>
      <c r="D1001" s="12" t="s">
        <v>84</v>
      </c>
      <c r="E1001" s="13" t="s">
        <v>53</v>
      </c>
      <c r="F1001" s="5" t="s">
        <v>85</v>
      </c>
      <c r="G1001" s="5" t="b">
        <v>0</v>
      </c>
      <c r="I1001" s="5">
        <v>1.0</v>
      </c>
      <c r="J1001" s="5">
        <v>0.0</v>
      </c>
      <c r="K1001" s="5">
        <v>3.0</v>
      </c>
    </row>
    <row r="1002">
      <c r="A1002" s="4" t="s">
        <v>3773</v>
      </c>
      <c r="B1002" s="11" t="s">
        <v>3774</v>
      </c>
      <c r="C1002" s="4" t="s">
        <v>1826</v>
      </c>
      <c r="D1002" s="12" t="s">
        <v>261</v>
      </c>
      <c r="E1002" s="13" t="s">
        <v>53</v>
      </c>
      <c r="F1002" s="5" t="s">
        <v>263</v>
      </c>
      <c r="G1002" s="5" t="b">
        <v>0</v>
      </c>
      <c r="H1002" s="5" t="s">
        <v>639</v>
      </c>
      <c r="I1002" s="5">
        <v>1.0</v>
      </c>
      <c r="J1002" s="5">
        <v>0.0</v>
      </c>
      <c r="K1002" s="5">
        <v>0.0</v>
      </c>
    </row>
    <row r="1003">
      <c r="A1003" s="4" t="s">
        <v>3775</v>
      </c>
      <c r="B1003" s="11" t="s">
        <v>3776</v>
      </c>
      <c r="C1003" s="4" t="s">
        <v>50</v>
      </c>
      <c r="D1003" s="12" t="s">
        <v>29</v>
      </c>
      <c r="E1003" s="13" t="s">
        <v>53</v>
      </c>
      <c r="F1003" s="5" t="s">
        <v>31</v>
      </c>
      <c r="G1003" s="5" t="b">
        <v>0</v>
      </c>
      <c r="H1003" s="5" t="s">
        <v>3777</v>
      </c>
      <c r="I1003" s="5">
        <v>1.0</v>
      </c>
      <c r="J1003" s="5">
        <v>0.0</v>
      </c>
      <c r="K1003" s="5">
        <v>1.0</v>
      </c>
    </row>
    <row r="1004">
      <c r="A1004" s="4" t="s">
        <v>3778</v>
      </c>
      <c r="B1004" s="11" t="s">
        <v>3779</v>
      </c>
      <c r="C1004" s="4" t="s">
        <v>50</v>
      </c>
      <c r="D1004" s="12" t="s">
        <v>126</v>
      </c>
      <c r="E1004" s="13" t="s">
        <v>53</v>
      </c>
      <c r="F1004" s="5" t="s">
        <v>127</v>
      </c>
      <c r="G1004" s="5" t="b">
        <v>0</v>
      </c>
      <c r="H1004" s="5" t="s">
        <v>1163</v>
      </c>
      <c r="I1004" s="5">
        <v>1.0</v>
      </c>
      <c r="J1004" s="5">
        <v>0.0</v>
      </c>
      <c r="K1004" s="5">
        <v>1.0</v>
      </c>
    </row>
    <row r="1005">
      <c r="A1005" s="4" t="s">
        <v>3780</v>
      </c>
      <c r="B1005" s="11" t="s">
        <v>3781</v>
      </c>
      <c r="C1005" s="4" t="s">
        <v>50</v>
      </c>
      <c r="D1005" s="12" t="s">
        <v>126</v>
      </c>
      <c r="E1005" s="13" t="s">
        <v>53</v>
      </c>
      <c r="F1005" s="5" t="s">
        <v>127</v>
      </c>
      <c r="G1005" s="5" t="b">
        <v>0</v>
      </c>
      <c r="H1005" s="5" t="s">
        <v>396</v>
      </c>
      <c r="I1005" s="5">
        <v>1.0</v>
      </c>
      <c r="J1005" s="5">
        <v>0.0</v>
      </c>
      <c r="K1005" s="5">
        <v>0.0</v>
      </c>
    </row>
    <row r="1006">
      <c r="A1006" s="4" t="s">
        <v>3782</v>
      </c>
      <c r="B1006" s="11" t="s">
        <v>3783</v>
      </c>
      <c r="C1006" s="4" t="s">
        <v>50</v>
      </c>
      <c r="D1006" s="12" t="s">
        <v>126</v>
      </c>
      <c r="E1006" s="13" t="s">
        <v>53</v>
      </c>
      <c r="F1006" s="5" t="s">
        <v>127</v>
      </c>
      <c r="G1006" s="5" t="b">
        <v>0</v>
      </c>
      <c r="H1006" s="5" t="s">
        <v>396</v>
      </c>
      <c r="I1006" s="5">
        <v>1.0</v>
      </c>
      <c r="J1006" s="5">
        <v>0.0</v>
      </c>
      <c r="K1006" s="5">
        <v>2.0</v>
      </c>
    </row>
    <row r="1007">
      <c r="A1007" s="4" t="s">
        <v>3784</v>
      </c>
      <c r="B1007" s="11" t="s">
        <v>3785</v>
      </c>
      <c r="C1007" s="4" t="s">
        <v>1828</v>
      </c>
      <c r="D1007" s="12" t="s">
        <v>126</v>
      </c>
      <c r="E1007" s="13" t="s">
        <v>53</v>
      </c>
      <c r="F1007" s="5" t="s">
        <v>127</v>
      </c>
      <c r="G1007" s="5" t="b">
        <v>0</v>
      </c>
      <c r="I1007" s="5">
        <v>1.0</v>
      </c>
      <c r="J1007" s="5">
        <v>0.0</v>
      </c>
      <c r="K1007" s="5">
        <v>0.0</v>
      </c>
    </row>
    <row r="1008">
      <c r="A1008" s="4" t="s">
        <v>3786</v>
      </c>
      <c r="B1008" s="11" t="s">
        <v>3787</v>
      </c>
      <c r="C1008" s="4" t="s">
        <v>1831</v>
      </c>
      <c r="D1008" s="12" t="s">
        <v>433</v>
      </c>
      <c r="E1008" s="13" t="s">
        <v>53</v>
      </c>
      <c r="F1008" s="5" t="s">
        <v>434</v>
      </c>
      <c r="G1008" s="5" t="b">
        <v>0</v>
      </c>
      <c r="I1008" s="5">
        <v>1.0</v>
      </c>
      <c r="J1008" s="5">
        <v>0.0</v>
      </c>
      <c r="K1008" s="5">
        <v>1.0</v>
      </c>
    </row>
    <row r="1009">
      <c r="A1009" s="4" t="s">
        <v>3788</v>
      </c>
      <c r="B1009" s="11" t="s">
        <v>3789</v>
      </c>
      <c r="C1009" s="4" t="s">
        <v>1834</v>
      </c>
      <c r="D1009" s="12" t="s">
        <v>467</v>
      </c>
      <c r="E1009" s="13" t="s">
        <v>53</v>
      </c>
      <c r="F1009" s="5" t="s">
        <v>469</v>
      </c>
      <c r="G1009" s="5" t="b">
        <v>0</v>
      </c>
      <c r="H1009" s="5" t="s">
        <v>396</v>
      </c>
      <c r="I1009" s="5">
        <v>1.0</v>
      </c>
      <c r="J1009" s="5">
        <v>0.0</v>
      </c>
      <c r="K1009" s="5">
        <v>0.0</v>
      </c>
    </row>
    <row r="1010">
      <c r="A1010" s="4" t="s">
        <v>3790</v>
      </c>
      <c r="B1010" s="11" t="s">
        <v>3791</v>
      </c>
      <c r="C1010" s="4" t="s">
        <v>1836</v>
      </c>
      <c r="D1010" s="12" t="s">
        <v>29</v>
      </c>
      <c r="E1010" s="13" t="s">
        <v>81</v>
      </c>
      <c r="F1010" s="5" t="s">
        <v>31</v>
      </c>
      <c r="G1010" s="5" t="b">
        <v>0</v>
      </c>
      <c r="H1010" s="5" t="s">
        <v>3792</v>
      </c>
      <c r="I1010" s="5">
        <v>1.0</v>
      </c>
      <c r="J1010" s="5">
        <v>0.0</v>
      </c>
      <c r="K1010" s="5">
        <v>0.0</v>
      </c>
    </row>
    <row r="1011">
      <c r="A1011" s="4" t="s">
        <v>3793</v>
      </c>
      <c r="B1011" s="11" t="s">
        <v>3794</v>
      </c>
      <c r="C1011" s="4" t="s">
        <v>1296</v>
      </c>
      <c r="D1011" s="12" t="s">
        <v>261</v>
      </c>
      <c r="E1011" s="13" t="s">
        <v>53</v>
      </c>
      <c r="F1011" s="5" t="s">
        <v>263</v>
      </c>
      <c r="G1011" s="5" t="b">
        <v>0</v>
      </c>
      <c r="H1011" s="5" t="s">
        <v>649</v>
      </c>
      <c r="I1011" s="5">
        <v>1.0</v>
      </c>
      <c r="J1011" s="5">
        <v>0.0</v>
      </c>
      <c r="K1011" s="5">
        <v>1.0</v>
      </c>
    </row>
    <row r="1012">
      <c r="A1012" s="4" t="s">
        <v>3795</v>
      </c>
      <c r="B1012" s="11" t="s">
        <v>3796</v>
      </c>
      <c r="C1012" s="4" t="s">
        <v>1296</v>
      </c>
      <c r="D1012" s="12" t="s">
        <v>29</v>
      </c>
      <c r="E1012" s="13" t="s">
        <v>53</v>
      </c>
      <c r="F1012" s="5" t="s">
        <v>31</v>
      </c>
      <c r="G1012" s="5" t="b">
        <v>0</v>
      </c>
      <c r="H1012" s="5" t="s">
        <v>3797</v>
      </c>
      <c r="I1012" s="5">
        <v>1.0</v>
      </c>
      <c r="J1012" s="5">
        <v>0.0</v>
      </c>
      <c r="K1012" s="5">
        <v>0.0</v>
      </c>
    </row>
    <row r="1013">
      <c r="A1013" s="4" t="s">
        <v>3798</v>
      </c>
      <c r="B1013" s="11" t="s">
        <v>3799</v>
      </c>
      <c r="C1013" s="4" t="s">
        <v>1840</v>
      </c>
      <c r="D1013" s="12" t="s">
        <v>467</v>
      </c>
      <c r="E1013" s="13" t="s">
        <v>53</v>
      </c>
      <c r="F1013" s="5" t="s">
        <v>469</v>
      </c>
      <c r="G1013" s="5" t="b">
        <v>0</v>
      </c>
      <c r="H1013" s="5" t="s">
        <v>3800</v>
      </c>
      <c r="I1013" s="5">
        <v>1.0</v>
      </c>
      <c r="J1013" s="5">
        <v>0.0</v>
      </c>
      <c r="K1013" s="5">
        <v>0.0</v>
      </c>
    </row>
    <row r="1014">
      <c r="A1014" s="4" t="s">
        <v>3801</v>
      </c>
      <c r="B1014" s="11" t="s">
        <v>3802</v>
      </c>
      <c r="C1014" s="5" t="s">
        <v>1844</v>
      </c>
      <c r="D1014" s="12" t="s">
        <v>467</v>
      </c>
      <c r="E1014" s="13" t="s">
        <v>53</v>
      </c>
      <c r="F1014" s="5" t="s">
        <v>469</v>
      </c>
      <c r="G1014" s="5" t="b">
        <v>0</v>
      </c>
      <c r="H1014" s="5" t="s">
        <v>877</v>
      </c>
      <c r="I1014" s="5">
        <v>1.0</v>
      </c>
      <c r="J1014" s="5">
        <v>0.0</v>
      </c>
      <c r="K1014" s="5">
        <v>2.0</v>
      </c>
    </row>
    <row r="1015">
      <c r="A1015" s="4" t="s">
        <v>3803</v>
      </c>
      <c r="B1015" s="11" t="s">
        <v>3804</v>
      </c>
      <c r="C1015" s="4" t="s">
        <v>1845</v>
      </c>
      <c r="D1015" s="12" t="s">
        <v>467</v>
      </c>
      <c r="E1015" s="13" t="s">
        <v>30</v>
      </c>
      <c r="F1015" s="5" t="s">
        <v>469</v>
      </c>
      <c r="G1015" s="5" t="b">
        <v>0</v>
      </c>
      <c r="H1015" s="5" t="s">
        <v>1848</v>
      </c>
      <c r="I1015" s="5">
        <v>1.0</v>
      </c>
      <c r="J1015" s="5">
        <v>0.0</v>
      </c>
      <c r="K1015" s="5">
        <v>1.0</v>
      </c>
    </row>
    <row r="1016">
      <c r="A1016" s="4" t="s">
        <v>3805</v>
      </c>
      <c r="B1016" s="11" t="s">
        <v>3806</v>
      </c>
      <c r="C1016" s="4" t="s">
        <v>520</v>
      </c>
      <c r="D1016" s="12" t="s">
        <v>29</v>
      </c>
      <c r="E1016" s="13" t="s">
        <v>53</v>
      </c>
      <c r="F1016" s="5" t="s">
        <v>31</v>
      </c>
      <c r="G1016" s="5" t="b">
        <v>0</v>
      </c>
      <c r="H1016" s="5" t="s">
        <v>3807</v>
      </c>
      <c r="I1016" s="5">
        <v>1.0</v>
      </c>
      <c r="J1016" s="5">
        <v>0.0</v>
      </c>
      <c r="K1016" s="5">
        <v>0.0</v>
      </c>
    </row>
    <row r="1017">
      <c r="A1017" s="4" t="s">
        <v>3808</v>
      </c>
      <c r="B1017" s="11" t="s">
        <v>3809</v>
      </c>
      <c r="C1017" s="4" t="s">
        <v>520</v>
      </c>
      <c r="D1017" s="12" t="s">
        <v>126</v>
      </c>
      <c r="E1017" s="13" t="s">
        <v>53</v>
      </c>
      <c r="F1017" s="5" t="s">
        <v>127</v>
      </c>
      <c r="G1017" s="5" t="b">
        <v>0</v>
      </c>
      <c r="I1017" s="5">
        <v>1.0</v>
      </c>
      <c r="J1017" s="5">
        <v>0.0</v>
      </c>
      <c r="K1017" s="5">
        <v>1.0</v>
      </c>
    </row>
    <row r="1018">
      <c r="A1018" s="4" t="s">
        <v>3810</v>
      </c>
      <c r="B1018" s="11" t="s">
        <v>3811</v>
      </c>
      <c r="C1018" s="4" t="s">
        <v>483</v>
      </c>
      <c r="D1018" s="12" t="s">
        <v>297</v>
      </c>
      <c r="E1018" s="13" t="s">
        <v>53</v>
      </c>
      <c r="F1018" s="5" t="s">
        <v>298</v>
      </c>
      <c r="G1018" s="5" t="b">
        <v>0</v>
      </c>
      <c r="H1018" s="5" t="s">
        <v>3812</v>
      </c>
      <c r="I1018" s="5">
        <v>1.0</v>
      </c>
      <c r="J1018" s="5">
        <v>0.0</v>
      </c>
      <c r="K1018" s="5">
        <v>1.0</v>
      </c>
    </row>
    <row r="1019">
      <c r="A1019" s="4" t="s">
        <v>3813</v>
      </c>
      <c r="B1019" s="11" t="s">
        <v>3814</v>
      </c>
      <c r="C1019" s="4" t="s">
        <v>483</v>
      </c>
      <c r="D1019" s="12" t="s">
        <v>3815</v>
      </c>
      <c r="E1019" s="13" t="s">
        <v>53</v>
      </c>
      <c r="F1019" s="5" t="s">
        <v>3816</v>
      </c>
      <c r="G1019" s="5" t="b">
        <v>0</v>
      </c>
      <c r="H1019" s="5" t="s">
        <v>3817</v>
      </c>
      <c r="I1019" s="5">
        <v>1.0</v>
      </c>
      <c r="J1019" s="5">
        <v>0.0</v>
      </c>
      <c r="K1019" s="5">
        <v>5.0</v>
      </c>
    </row>
    <row r="1020">
      <c r="A1020" s="4" t="s">
        <v>3818</v>
      </c>
      <c r="B1020" s="11" t="s">
        <v>3819</v>
      </c>
      <c r="C1020" s="4" t="s">
        <v>483</v>
      </c>
      <c r="D1020" s="12" t="s">
        <v>297</v>
      </c>
      <c r="E1020" s="13" t="s">
        <v>53</v>
      </c>
      <c r="F1020" s="5" t="s">
        <v>298</v>
      </c>
      <c r="G1020" s="5" t="b">
        <v>0</v>
      </c>
      <c r="H1020" s="5" t="s">
        <v>3820</v>
      </c>
      <c r="I1020" s="5">
        <v>1.0</v>
      </c>
      <c r="J1020" s="5">
        <v>0.0</v>
      </c>
      <c r="K1020" s="5">
        <v>0.0</v>
      </c>
    </row>
    <row r="1021">
      <c r="A1021" s="4" t="s">
        <v>3821</v>
      </c>
      <c r="B1021" s="11" t="s">
        <v>3822</v>
      </c>
      <c r="C1021" s="4" t="s">
        <v>483</v>
      </c>
      <c r="D1021" s="12" t="s">
        <v>3815</v>
      </c>
      <c r="E1021" s="13" t="s">
        <v>53</v>
      </c>
      <c r="F1021" s="5" t="s">
        <v>3816</v>
      </c>
      <c r="G1021" s="5" t="b">
        <v>0</v>
      </c>
      <c r="H1021" s="5" t="s">
        <v>3823</v>
      </c>
      <c r="I1021" s="5">
        <v>1.0</v>
      </c>
      <c r="J1021" s="5">
        <v>0.0</v>
      </c>
      <c r="K1021" s="5">
        <v>0.0</v>
      </c>
    </row>
    <row r="1022">
      <c r="A1022" s="4" t="s">
        <v>3824</v>
      </c>
      <c r="B1022" s="11" t="s">
        <v>3825</v>
      </c>
      <c r="C1022" s="4" t="s">
        <v>1849</v>
      </c>
      <c r="D1022" s="12" t="s">
        <v>29</v>
      </c>
      <c r="E1022" s="13" t="s">
        <v>53</v>
      </c>
      <c r="F1022" s="5" t="s">
        <v>31</v>
      </c>
      <c r="G1022" s="5" t="b">
        <v>0</v>
      </c>
      <c r="H1022" s="5" t="s">
        <v>3826</v>
      </c>
      <c r="I1022" s="5">
        <v>1.0</v>
      </c>
      <c r="J1022" s="5">
        <v>0.0</v>
      </c>
      <c r="K1022" s="5">
        <v>0.0</v>
      </c>
    </row>
    <row r="1023">
      <c r="A1023" s="4" t="s">
        <v>3827</v>
      </c>
      <c r="B1023" s="11" t="s">
        <v>3828</v>
      </c>
      <c r="C1023" s="4" t="s">
        <v>154</v>
      </c>
      <c r="D1023" s="12" t="s">
        <v>84</v>
      </c>
      <c r="E1023" s="13" t="s">
        <v>84</v>
      </c>
      <c r="F1023" s="5" t="s">
        <v>85</v>
      </c>
      <c r="G1023" s="5" t="b">
        <v>0</v>
      </c>
      <c r="H1023" s="5" t="s">
        <v>3829</v>
      </c>
      <c r="I1023" s="5">
        <v>1.0</v>
      </c>
      <c r="J1023" s="5">
        <v>0.0</v>
      </c>
      <c r="K1023" s="5">
        <v>0.0</v>
      </c>
    </row>
    <row r="1024">
      <c r="A1024" s="4" t="s">
        <v>3830</v>
      </c>
      <c r="B1024" s="11" t="s">
        <v>3831</v>
      </c>
      <c r="C1024" s="4" t="s">
        <v>1853</v>
      </c>
      <c r="D1024" s="12" t="s">
        <v>126</v>
      </c>
      <c r="E1024" s="13" t="s">
        <v>53</v>
      </c>
      <c r="F1024" s="5" t="s">
        <v>127</v>
      </c>
      <c r="G1024" s="5" t="b">
        <v>0</v>
      </c>
      <c r="H1024" s="5" t="s">
        <v>396</v>
      </c>
      <c r="I1024" s="5">
        <v>1.0</v>
      </c>
      <c r="J1024" s="5">
        <v>0.0</v>
      </c>
      <c r="K1024" s="5">
        <v>1.0</v>
      </c>
    </row>
    <row r="1025">
      <c r="A1025" s="4" t="s">
        <v>3832</v>
      </c>
      <c r="B1025" s="11" t="s">
        <v>3833</v>
      </c>
      <c r="C1025" s="4" t="s">
        <v>640</v>
      </c>
      <c r="D1025" s="12" t="s">
        <v>467</v>
      </c>
      <c r="E1025" s="13" t="s">
        <v>53</v>
      </c>
      <c r="F1025" s="5" t="s">
        <v>469</v>
      </c>
      <c r="G1025" s="5" t="b">
        <v>0</v>
      </c>
      <c r="H1025" s="5" t="s">
        <v>643</v>
      </c>
      <c r="I1025" s="5">
        <v>1.0</v>
      </c>
      <c r="J1025" s="5">
        <v>0.0</v>
      </c>
      <c r="K1025" s="5">
        <v>0.0</v>
      </c>
    </row>
    <row r="1026">
      <c r="A1026" s="4" t="s">
        <v>3834</v>
      </c>
      <c r="B1026" s="11" t="s">
        <v>3835</v>
      </c>
      <c r="C1026" s="4" t="s">
        <v>1855</v>
      </c>
      <c r="D1026" s="12" t="s">
        <v>467</v>
      </c>
      <c r="E1026" s="13" t="s">
        <v>53</v>
      </c>
      <c r="F1026" s="5" t="s">
        <v>469</v>
      </c>
      <c r="G1026" s="5" t="b">
        <v>0</v>
      </c>
      <c r="I1026" s="5">
        <v>1.0</v>
      </c>
      <c r="J1026" s="5">
        <v>0.0</v>
      </c>
      <c r="K1026" s="5">
        <v>1.0</v>
      </c>
    </row>
    <row r="1027">
      <c r="A1027" s="4" t="s">
        <v>3836</v>
      </c>
      <c r="B1027" s="11" t="s">
        <v>3837</v>
      </c>
      <c r="C1027" s="4" t="s">
        <v>1857</v>
      </c>
      <c r="D1027" s="12" t="s">
        <v>29</v>
      </c>
      <c r="E1027" s="13" t="s">
        <v>53</v>
      </c>
      <c r="F1027" s="5" t="s">
        <v>31</v>
      </c>
      <c r="G1027" s="5" t="b">
        <v>0</v>
      </c>
      <c r="I1027" s="5">
        <v>1.0</v>
      </c>
      <c r="J1027" s="5">
        <v>0.0</v>
      </c>
      <c r="K1027" s="5">
        <v>0.0</v>
      </c>
    </row>
    <row r="1028">
      <c r="A1028" s="4" t="s">
        <v>3838</v>
      </c>
      <c r="B1028" s="11" t="s">
        <v>3839</v>
      </c>
      <c r="C1028" s="4" t="s">
        <v>1860</v>
      </c>
      <c r="D1028" s="12" t="s">
        <v>29</v>
      </c>
      <c r="E1028" s="13" t="s">
        <v>53</v>
      </c>
      <c r="F1028" s="5" t="s">
        <v>31</v>
      </c>
      <c r="G1028" s="5" t="b">
        <v>0</v>
      </c>
      <c r="I1028" s="5">
        <v>1.0</v>
      </c>
      <c r="J1028" s="5">
        <v>0.0</v>
      </c>
      <c r="K1028" s="5">
        <v>0.0</v>
      </c>
    </row>
    <row r="1029">
      <c r="A1029" s="4" t="s">
        <v>3840</v>
      </c>
      <c r="B1029" s="11" t="s">
        <v>3841</v>
      </c>
      <c r="C1029" s="4" t="s">
        <v>1863</v>
      </c>
      <c r="D1029" s="12" t="s">
        <v>670</v>
      </c>
      <c r="E1029" s="13" t="s">
        <v>53</v>
      </c>
      <c r="F1029" s="5" t="s">
        <v>671</v>
      </c>
      <c r="G1029" s="5" t="b">
        <v>0</v>
      </c>
      <c r="I1029" s="5">
        <v>1.0</v>
      </c>
      <c r="J1029" s="5">
        <v>0.0</v>
      </c>
      <c r="K1029" s="5">
        <v>1.0</v>
      </c>
    </row>
    <row r="1030">
      <c r="A1030" s="4" t="s">
        <v>3842</v>
      </c>
      <c r="B1030" s="11" t="s">
        <v>3843</v>
      </c>
      <c r="C1030" s="4" t="s">
        <v>187</v>
      </c>
      <c r="D1030" s="12" t="s">
        <v>297</v>
      </c>
      <c r="E1030" s="13" t="s">
        <v>81</v>
      </c>
      <c r="F1030" s="5" t="s">
        <v>298</v>
      </c>
      <c r="G1030" s="5" t="b">
        <v>0</v>
      </c>
      <c r="H1030" s="5" t="s">
        <v>3844</v>
      </c>
      <c r="I1030" s="5">
        <v>1.0</v>
      </c>
      <c r="J1030" s="5">
        <v>0.0</v>
      </c>
      <c r="K1030" s="5">
        <v>0.0</v>
      </c>
    </row>
    <row r="1031">
      <c r="A1031" s="4" t="s">
        <v>3845</v>
      </c>
      <c r="B1031" s="11" t="s">
        <v>2279</v>
      </c>
      <c r="C1031" s="4" t="s">
        <v>187</v>
      </c>
      <c r="D1031" s="12" t="s">
        <v>297</v>
      </c>
      <c r="E1031" s="13" t="s">
        <v>81</v>
      </c>
      <c r="F1031" s="5" t="s">
        <v>298</v>
      </c>
      <c r="G1031" s="5" t="b">
        <v>0</v>
      </c>
      <c r="H1031" s="5" t="s">
        <v>1586</v>
      </c>
      <c r="I1031" s="5">
        <v>1.0</v>
      </c>
      <c r="J1031" s="5">
        <v>0.0</v>
      </c>
      <c r="K1031" s="5">
        <v>0.0</v>
      </c>
    </row>
    <row r="1032">
      <c r="A1032" s="4" t="s">
        <v>3846</v>
      </c>
      <c r="B1032" s="11" t="s">
        <v>3847</v>
      </c>
      <c r="C1032" s="4" t="s">
        <v>187</v>
      </c>
      <c r="D1032" s="12" t="s">
        <v>52</v>
      </c>
      <c r="E1032" s="13" t="s">
        <v>81</v>
      </c>
      <c r="F1032" s="5" t="s">
        <v>54</v>
      </c>
      <c r="G1032" s="5" t="b">
        <v>0</v>
      </c>
      <c r="H1032" s="5" t="s">
        <v>3848</v>
      </c>
      <c r="I1032" s="5">
        <v>1.0</v>
      </c>
      <c r="J1032" s="5">
        <v>0.0</v>
      </c>
      <c r="K1032" s="5">
        <v>0.0</v>
      </c>
    </row>
    <row r="1033">
      <c r="A1033" s="4" t="s">
        <v>3849</v>
      </c>
      <c r="B1033" s="11" t="s">
        <v>3850</v>
      </c>
      <c r="C1033" s="4" t="s">
        <v>187</v>
      </c>
      <c r="D1033" s="12" t="s">
        <v>84</v>
      </c>
      <c r="E1033" s="13" t="s">
        <v>81</v>
      </c>
      <c r="F1033" s="5" t="s">
        <v>85</v>
      </c>
      <c r="G1033" s="5" t="b">
        <v>0</v>
      </c>
      <c r="H1033" s="5" t="s">
        <v>2876</v>
      </c>
      <c r="I1033" s="5">
        <v>1.0</v>
      </c>
      <c r="J1033" s="5">
        <v>0.0</v>
      </c>
      <c r="K1033" s="5">
        <v>0.0</v>
      </c>
    </row>
    <row r="1034">
      <c r="A1034" s="4" t="s">
        <v>3851</v>
      </c>
      <c r="B1034" s="11" t="s">
        <v>2283</v>
      </c>
      <c r="C1034" s="4" t="s">
        <v>187</v>
      </c>
      <c r="D1034" s="12" t="s">
        <v>84</v>
      </c>
      <c r="E1034" s="13" t="s">
        <v>81</v>
      </c>
      <c r="F1034" s="5" t="s">
        <v>85</v>
      </c>
      <c r="G1034" s="5" t="b">
        <v>0</v>
      </c>
      <c r="H1034" s="5" t="s">
        <v>3852</v>
      </c>
      <c r="I1034" s="5">
        <v>1.0</v>
      </c>
      <c r="J1034" s="5">
        <v>0.0</v>
      </c>
      <c r="K1034" s="5">
        <v>0.0</v>
      </c>
    </row>
    <row r="1035">
      <c r="A1035" s="4" t="s">
        <v>3853</v>
      </c>
      <c r="B1035" s="11" t="s">
        <v>666</v>
      </c>
      <c r="C1035" s="4" t="s">
        <v>187</v>
      </c>
      <c r="D1035" s="12" t="s">
        <v>84</v>
      </c>
      <c r="E1035" s="13" t="s">
        <v>81</v>
      </c>
      <c r="F1035" s="5" t="s">
        <v>85</v>
      </c>
      <c r="G1035" s="5" t="b">
        <v>0</v>
      </c>
      <c r="H1035" s="5" t="s">
        <v>3854</v>
      </c>
      <c r="I1035" s="5">
        <v>1.0</v>
      </c>
      <c r="J1035" s="5">
        <v>0.0</v>
      </c>
      <c r="K1035" s="5">
        <v>0.0</v>
      </c>
    </row>
    <row r="1036">
      <c r="A1036" s="4" t="s">
        <v>3855</v>
      </c>
      <c r="B1036" s="11" t="s">
        <v>3856</v>
      </c>
      <c r="C1036" s="4" t="s">
        <v>187</v>
      </c>
      <c r="D1036" s="12" t="s">
        <v>84</v>
      </c>
      <c r="E1036" s="13" t="s">
        <v>81</v>
      </c>
      <c r="F1036" s="5" t="s">
        <v>85</v>
      </c>
      <c r="G1036" s="5" t="b">
        <v>0</v>
      </c>
      <c r="H1036" s="5" t="s">
        <v>3857</v>
      </c>
      <c r="I1036" s="5">
        <v>1.0</v>
      </c>
      <c r="J1036" s="5">
        <v>0.0</v>
      </c>
      <c r="K1036" s="5">
        <v>0.0</v>
      </c>
    </row>
    <row r="1037">
      <c r="A1037" s="4" t="s">
        <v>3858</v>
      </c>
      <c r="B1037" s="11" t="s">
        <v>3859</v>
      </c>
      <c r="C1037" s="4" t="s">
        <v>1559</v>
      </c>
      <c r="D1037" s="12" t="s">
        <v>84</v>
      </c>
      <c r="E1037" s="13" t="s">
        <v>53</v>
      </c>
      <c r="F1037" s="5" t="s">
        <v>85</v>
      </c>
      <c r="G1037" s="5" t="b">
        <v>0</v>
      </c>
      <c r="I1037" s="5">
        <v>1.0</v>
      </c>
      <c r="J1037" s="5">
        <v>0.0</v>
      </c>
      <c r="K1037" s="5">
        <v>1.0</v>
      </c>
    </row>
    <row r="1038">
      <c r="A1038" s="4" t="s">
        <v>3860</v>
      </c>
      <c r="B1038" s="13"/>
      <c r="C1038" s="4" t="s">
        <v>481</v>
      </c>
      <c r="D1038" s="12" t="s">
        <v>84</v>
      </c>
      <c r="E1038" s="13" t="s">
        <v>84</v>
      </c>
      <c r="F1038" s="5" t="s">
        <v>85</v>
      </c>
      <c r="H1038" s="5" t="s">
        <v>233</v>
      </c>
      <c r="I1038" s="5">
        <v>1.0</v>
      </c>
      <c r="J1038" s="5">
        <v>0.0</v>
      </c>
      <c r="K1038" s="5">
        <v>0.0</v>
      </c>
    </row>
    <row r="1039">
      <c r="A1039" s="4" t="s">
        <v>3861</v>
      </c>
      <c r="B1039" s="13"/>
      <c r="C1039" s="4" t="s">
        <v>92</v>
      </c>
      <c r="D1039" s="12" t="s">
        <v>84</v>
      </c>
      <c r="E1039" s="13" t="s">
        <v>84</v>
      </c>
      <c r="F1039" s="5" t="s">
        <v>85</v>
      </c>
      <c r="H1039" s="5" t="s">
        <v>233</v>
      </c>
      <c r="I1039" s="5">
        <v>1.0</v>
      </c>
      <c r="J1039" s="5">
        <v>0.0</v>
      </c>
      <c r="K1039" s="5">
        <v>0.0</v>
      </c>
    </row>
    <row r="1040">
      <c r="A1040" s="4" t="s">
        <v>3862</v>
      </c>
      <c r="B1040" s="13"/>
      <c r="C1040" s="4" t="s">
        <v>92</v>
      </c>
      <c r="D1040" s="12" t="s">
        <v>84</v>
      </c>
      <c r="E1040" s="13" t="s">
        <v>84</v>
      </c>
      <c r="F1040" s="5" t="s">
        <v>85</v>
      </c>
      <c r="H1040" s="5" t="s">
        <v>233</v>
      </c>
      <c r="I1040" s="5">
        <v>1.0</v>
      </c>
      <c r="J1040" s="5">
        <v>0.0</v>
      </c>
      <c r="K1040" s="5">
        <v>1.0</v>
      </c>
    </row>
    <row r="1041">
      <c r="A1041" s="4" t="s">
        <v>3863</v>
      </c>
      <c r="B1041" s="13"/>
      <c r="C1041" s="4" t="s">
        <v>92</v>
      </c>
      <c r="D1041" s="12" t="s">
        <v>84</v>
      </c>
      <c r="E1041" s="13" t="s">
        <v>84</v>
      </c>
      <c r="F1041" s="5" t="s">
        <v>85</v>
      </c>
      <c r="H1041" s="5" t="s">
        <v>233</v>
      </c>
      <c r="I1041" s="5">
        <v>1.0</v>
      </c>
      <c r="J1041" s="5">
        <v>0.0</v>
      </c>
      <c r="K1041" s="5">
        <v>0.0</v>
      </c>
    </row>
    <row r="1042">
      <c r="A1042" s="4" t="s">
        <v>3864</v>
      </c>
      <c r="B1042" s="13"/>
      <c r="C1042" s="4" t="s">
        <v>92</v>
      </c>
      <c r="D1042" s="12" t="s">
        <v>84</v>
      </c>
      <c r="E1042" s="13" t="s">
        <v>84</v>
      </c>
      <c r="F1042" s="5" t="s">
        <v>85</v>
      </c>
      <c r="H1042" s="5" t="s">
        <v>233</v>
      </c>
      <c r="I1042" s="5">
        <v>1.0</v>
      </c>
      <c r="J1042" s="5">
        <v>0.0</v>
      </c>
      <c r="K1042" s="5">
        <v>0.0</v>
      </c>
    </row>
    <row r="1043">
      <c r="A1043" s="4" t="s">
        <v>3865</v>
      </c>
      <c r="B1043" s="13"/>
      <c r="C1043" s="4" t="s">
        <v>92</v>
      </c>
      <c r="D1043" s="12" t="s">
        <v>84</v>
      </c>
      <c r="E1043" s="13" t="s">
        <v>84</v>
      </c>
      <c r="F1043" s="5" t="s">
        <v>85</v>
      </c>
      <c r="H1043" s="5" t="s">
        <v>233</v>
      </c>
      <c r="I1043" s="5">
        <v>1.0</v>
      </c>
      <c r="J1043" s="5">
        <v>0.0</v>
      </c>
      <c r="K1043" s="5">
        <v>0.0</v>
      </c>
    </row>
    <row r="1044">
      <c r="A1044" s="4" t="s">
        <v>3866</v>
      </c>
      <c r="B1044" s="13"/>
      <c r="C1044" s="4" t="s">
        <v>92</v>
      </c>
      <c r="D1044" s="12" t="s">
        <v>84</v>
      </c>
      <c r="E1044" s="13" t="s">
        <v>84</v>
      </c>
      <c r="F1044" s="5" t="s">
        <v>85</v>
      </c>
      <c r="H1044" s="5" t="s">
        <v>233</v>
      </c>
      <c r="I1044" s="5">
        <v>1.0</v>
      </c>
      <c r="J1044" s="5">
        <v>0.0</v>
      </c>
      <c r="K1044" s="5">
        <v>0.0</v>
      </c>
    </row>
    <row r="1045">
      <c r="A1045" s="4" t="s">
        <v>3867</v>
      </c>
      <c r="B1045" s="13"/>
      <c r="C1045" s="4" t="s">
        <v>92</v>
      </c>
      <c r="D1045" s="12" t="s">
        <v>84</v>
      </c>
      <c r="E1045" s="13" t="s">
        <v>84</v>
      </c>
      <c r="F1045" s="5" t="s">
        <v>85</v>
      </c>
      <c r="H1045" s="5" t="s">
        <v>233</v>
      </c>
      <c r="I1045" s="5">
        <v>1.0</v>
      </c>
      <c r="J1045" s="5">
        <v>0.0</v>
      </c>
      <c r="K1045" s="5">
        <v>0.0</v>
      </c>
    </row>
    <row r="1046">
      <c r="A1046" s="4" t="s">
        <v>3868</v>
      </c>
      <c r="B1046" s="13"/>
      <c r="C1046" s="4" t="s">
        <v>92</v>
      </c>
      <c r="D1046" s="12" t="s">
        <v>84</v>
      </c>
      <c r="E1046" s="13" t="s">
        <v>84</v>
      </c>
      <c r="F1046" s="5" t="s">
        <v>85</v>
      </c>
      <c r="H1046" s="5" t="s">
        <v>233</v>
      </c>
      <c r="I1046" s="5">
        <v>1.0</v>
      </c>
      <c r="J1046" s="5">
        <v>0.0</v>
      </c>
      <c r="K1046" s="5">
        <v>0.0</v>
      </c>
    </row>
    <row r="1047">
      <c r="A1047" s="4" t="s">
        <v>3869</v>
      </c>
      <c r="B1047" s="13"/>
      <c r="C1047" s="4" t="s">
        <v>92</v>
      </c>
      <c r="D1047" s="12" t="s">
        <v>84</v>
      </c>
      <c r="E1047" s="13" t="s">
        <v>84</v>
      </c>
      <c r="F1047" s="5" t="s">
        <v>85</v>
      </c>
      <c r="H1047" s="5" t="s">
        <v>233</v>
      </c>
      <c r="I1047" s="5">
        <v>1.0</v>
      </c>
      <c r="J1047" s="5">
        <v>0.0</v>
      </c>
      <c r="K1047" s="5">
        <v>0.0</v>
      </c>
    </row>
    <row r="1048">
      <c r="A1048" s="4" t="s">
        <v>3870</v>
      </c>
      <c r="B1048" s="13"/>
      <c r="C1048" s="4" t="s">
        <v>92</v>
      </c>
      <c r="D1048" s="12" t="s">
        <v>84</v>
      </c>
      <c r="E1048" s="13" t="s">
        <v>84</v>
      </c>
      <c r="F1048" s="5" t="s">
        <v>85</v>
      </c>
      <c r="H1048" s="5" t="s">
        <v>233</v>
      </c>
      <c r="I1048" s="5">
        <v>1.0</v>
      </c>
      <c r="J1048" s="5">
        <v>0.0</v>
      </c>
      <c r="K1048" s="5">
        <v>0.0</v>
      </c>
    </row>
    <row r="1049">
      <c r="A1049" s="4" t="s">
        <v>3871</v>
      </c>
      <c r="B1049" s="13"/>
      <c r="C1049" s="4" t="s">
        <v>92</v>
      </c>
      <c r="D1049" s="12" t="s">
        <v>84</v>
      </c>
      <c r="E1049" s="13" t="s">
        <v>84</v>
      </c>
      <c r="F1049" s="5" t="s">
        <v>85</v>
      </c>
      <c r="H1049" s="5" t="s">
        <v>233</v>
      </c>
      <c r="I1049" s="5">
        <v>1.0</v>
      </c>
      <c r="J1049" s="5">
        <v>0.0</v>
      </c>
      <c r="K1049" s="5">
        <v>0.0</v>
      </c>
    </row>
    <row r="1050">
      <c r="A1050" s="4" t="s">
        <v>3872</v>
      </c>
      <c r="B1050" s="13"/>
      <c r="C1050" s="4" t="s">
        <v>92</v>
      </c>
      <c r="D1050" s="12" t="s">
        <v>84</v>
      </c>
      <c r="E1050" s="13" t="s">
        <v>84</v>
      </c>
      <c r="F1050" s="5" t="s">
        <v>85</v>
      </c>
      <c r="H1050" s="5" t="s">
        <v>233</v>
      </c>
      <c r="I1050" s="5">
        <v>1.0</v>
      </c>
      <c r="J1050" s="5">
        <v>0.0</v>
      </c>
      <c r="K1050" s="5">
        <v>0.0</v>
      </c>
    </row>
    <row r="1051">
      <c r="A1051" s="4" t="s">
        <v>3873</v>
      </c>
      <c r="B1051" s="13"/>
      <c r="C1051" s="4" t="s">
        <v>92</v>
      </c>
      <c r="D1051" s="12" t="s">
        <v>84</v>
      </c>
      <c r="E1051" s="13" t="s">
        <v>84</v>
      </c>
      <c r="F1051" s="5" t="s">
        <v>85</v>
      </c>
      <c r="H1051" s="5" t="s">
        <v>233</v>
      </c>
      <c r="I1051" s="5">
        <v>1.0</v>
      </c>
      <c r="J1051" s="5">
        <v>0.0</v>
      </c>
      <c r="K1051" s="5">
        <v>0.0</v>
      </c>
    </row>
    <row r="1052">
      <c r="A1052" s="4" t="s">
        <v>3874</v>
      </c>
      <c r="B1052" s="13"/>
      <c r="C1052" s="4" t="s">
        <v>92</v>
      </c>
      <c r="D1052" s="12" t="s">
        <v>84</v>
      </c>
      <c r="E1052" s="13" t="s">
        <v>84</v>
      </c>
      <c r="F1052" s="5" t="s">
        <v>85</v>
      </c>
      <c r="H1052" s="5" t="s">
        <v>233</v>
      </c>
      <c r="I1052" s="5">
        <v>1.0</v>
      </c>
      <c r="J1052" s="5">
        <v>0.0</v>
      </c>
      <c r="K1052" s="5">
        <v>0.0</v>
      </c>
    </row>
    <row r="1053">
      <c r="A1053" s="4" t="s">
        <v>3875</v>
      </c>
      <c r="B1053" s="13"/>
      <c r="C1053" s="4" t="s">
        <v>92</v>
      </c>
      <c r="D1053" s="12" t="s">
        <v>84</v>
      </c>
      <c r="E1053" s="13" t="s">
        <v>84</v>
      </c>
      <c r="F1053" s="5" t="s">
        <v>85</v>
      </c>
      <c r="H1053" s="5" t="s">
        <v>233</v>
      </c>
      <c r="I1053" s="5">
        <v>1.0</v>
      </c>
      <c r="J1053" s="5">
        <v>0.0</v>
      </c>
      <c r="K1053" s="5">
        <v>0.0</v>
      </c>
    </row>
    <row r="1054">
      <c r="A1054" s="4" t="s">
        <v>3876</v>
      </c>
      <c r="B1054" s="13"/>
      <c r="C1054" s="4" t="s">
        <v>92</v>
      </c>
      <c r="D1054" s="12" t="s">
        <v>84</v>
      </c>
      <c r="E1054" s="13" t="s">
        <v>84</v>
      </c>
      <c r="F1054" s="5" t="s">
        <v>85</v>
      </c>
      <c r="H1054" s="5" t="s">
        <v>233</v>
      </c>
      <c r="I1054" s="5">
        <v>1.0</v>
      </c>
      <c r="J1054" s="5">
        <v>0.0</v>
      </c>
      <c r="K1054" s="5">
        <v>0.0</v>
      </c>
    </row>
    <row r="1055">
      <c r="A1055" s="4" t="s">
        <v>3877</v>
      </c>
      <c r="B1055" s="13"/>
      <c r="C1055" s="4" t="s">
        <v>92</v>
      </c>
      <c r="D1055" s="12" t="s">
        <v>84</v>
      </c>
      <c r="E1055" s="13" t="s">
        <v>84</v>
      </c>
      <c r="F1055" s="5" t="s">
        <v>85</v>
      </c>
      <c r="H1055" s="5" t="s">
        <v>233</v>
      </c>
      <c r="I1055" s="5">
        <v>1.0</v>
      </c>
      <c r="J1055" s="5">
        <v>0.0</v>
      </c>
      <c r="K1055" s="5">
        <v>0.0</v>
      </c>
    </row>
    <row r="1056">
      <c r="A1056" s="4" t="s">
        <v>3878</v>
      </c>
      <c r="B1056" s="13"/>
      <c r="C1056" s="4" t="s">
        <v>92</v>
      </c>
      <c r="D1056" s="12" t="s">
        <v>84</v>
      </c>
      <c r="E1056" s="13" t="s">
        <v>84</v>
      </c>
      <c r="F1056" s="5" t="s">
        <v>85</v>
      </c>
      <c r="H1056" s="5" t="s">
        <v>233</v>
      </c>
      <c r="I1056" s="5">
        <v>1.0</v>
      </c>
      <c r="J1056" s="5">
        <v>0.0</v>
      </c>
      <c r="K1056" s="5">
        <v>0.0</v>
      </c>
    </row>
    <row r="1057">
      <c r="A1057" s="4" t="s">
        <v>3879</v>
      </c>
      <c r="B1057" s="13"/>
      <c r="C1057" s="4" t="s">
        <v>92</v>
      </c>
      <c r="D1057" s="12" t="s">
        <v>84</v>
      </c>
      <c r="E1057" s="13" t="s">
        <v>84</v>
      </c>
      <c r="F1057" s="5" t="s">
        <v>85</v>
      </c>
      <c r="H1057" s="5" t="s">
        <v>233</v>
      </c>
      <c r="I1057" s="5">
        <v>1.0</v>
      </c>
      <c r="J1057" s="5">
        <v>0.0</v>
      </c>
      <c r="K1057" s="5">
        <v>0.0</v>
      </c>
    </row>
    <row r="1058">
      <c r="A1058" s="4" t="s">
        <v>3880</v>
      </c>
      <c r="B1058" s="13"/>
      <c r="C1058" s="4" t="s">
        <v>92</v>
      </c>
      <c r="D1058" s="12" t="s">
        <v>84</v>
      </c>
      <c r="E1058" s="13" t="s">
        <v>84</v>
      </c>
      <c r="F1058" s="5" t="s">
        <v>85</v>
      </c>
      <c r="H1058" s="5" t="s">
        <v>233</v>
      </c>
      <c r="I1058" s="5">
        <v>1.0</v>
      </c>
      <c r="J1058" s="5">
        <v>0.0</v>
      </c>
      <c r="K1058" s="5">
        <v>0.0</v>
      </c>
    </row>
    <row r="1059">
      <c r="A1059" s="4" t="s">
        <v>3881</v>
      </c>
      <c r="B1059" s="13"/>
      <c r="C1059" s="4" t="s">
        <v>92</v>
      </c>
      <c r="D1059" s="12" t="s">
        <v>84</v>
      </c>
      <c r="E1059" s="13" t="s">
        <v>84</v>
      </c>
      <c r="F1059" s="5" t="s">
        <v>85</v>
      </c>
      <c r="H1059" s="5" t="s">
        <v>233</v>
      </c>
      <c r="I1059" s="5">
        <v>1.0</v>
      </c>
      <c r="J1059" s="5">
        <v>0.0</v>
      </c>
      <c r="K1059" s="5">
        <v>0.0</v>
      </c>
    </row>
    <row r="1060">
      <c r="A1060" s="4" t="s">
        <v>3882</v>
      </c>
      <c r="B1060" s="13"/>
      <c r="C1060" s="4" t="s">
        <v>92</v>
      </c>
      <c r="D1060" s="12" t="s">
        <v>84</v>
      </c>
      <c r="E1060" s="13" t="s">
        <v>84</v>
      </c>
      <c r="F1060" s="5" t="s">
        <v>85</v>
      </c>
      <c r="H1060" s="5" t="s">
        <v>233</v>
      </c>
      <c r="I1060" s="5">
        <v>1.0</v>
      </c>
      <c r="J1060" s="5">
        <v>0.0</v>
      </c>
      <c r="K1060" s="5">
        <v>0.0</v>
      </c>
    </row>
    <row r="1061">
      <c r="A1061" s="4" t="s">
        <v>3883</v>
      </c>
      <c r="B1061" s="13"/>
      <c r="C1061" s="4" t="s">
        <v>92</v>
      </c>
      <c r="D1061" s="12" t="s">
        <v>84</v>
      </c>
      <c r="E1061" s="13" t="s">
        <v>84</v>
      </c>
      <c r="F1061" s="5" t="s">
        <v>85</v>
      </c>
      <c r="H1061" s="5" t="s">
        <v>233</v>
      </c>
      <c r="I1061" s="5">
        <v>1.0</v>
      </c>
      <c r="J1061" s="5">
        <v>0.0</v>
      </c>
      <c r="K1061" s="5">
        <v>1.0</v>
      </c>
    </row>
    <row r="1062">
      <c r="A1062" s="4" t="s">
        <v>3884</v>
      </c>
      <c r="B1062" s="13"/>
      <c r="C1062" s="4" t="s">
        <v>92</v>
      </c>
      <c r="D1062" s="12" t="s">
        <v>84</v>
      </c>
      <c r="E1062" s="13" t="s">
        <v>84</v>
      </c>
      <c r="F1062" s="5" t="s">
        <v>85</v>
      </c>
      <c r="H1062" s="5" t="s">
        <v>233</v>
      </c>
      <c r="I1062" s="5">
        <v>1.0</v>
      </c>
      <c r="J1062" s="5">
        <v>0.0</v>
      </c>
      <c r="K1062" s="5">
        <v>0.0</v>
      </c>
    </row>
    <row r="1063">
      <c r="A1063" s="4" t="s">
        <v>3885</v>
      </c>
      <c r="B1063" s="13"/>
      <c r="C1063" s="4" t="s">
        <v>92</v>
      </c>
      <c r="D1063" s="12" t="s">
        <v>84</v>
      </c>
      <c r="E1063" s="13" t="s">
        <v>84</v>
      </c>
      <c r="F1063" s="5" t="s">
        <v>85</v>
      </c>
      <c r="H1063" s="5" t="s">
        <v>233</v>
      </c>
      <c r="I1063" s="5">
        <v>1.0</v>
      </c>
      <c r="J1063" s="5">
        <v>0.0</v>
      </c>
      <c r="K1063" s="5">
        <v>1.0</v>
      </c>
    </row>
    <row r="1064">
      <c r="A1064" s="4" t="s">
        <v>3886</v>
      </c>
      <c r="B1064" s="13"/>
      <c r="C1064" s="4" t="s">
        <v>92</v>
      </c>
      <c r="D1064" s="12" t="s">
        <v>84</v>
      </c>
      <c r="E1064" s="13" t="s">
        <v>84</v>
      </c>
      <c r="F1064" s="5" t="s">
        <v>85</v>
      </c>
      <c r="H1064" s="5" t="s">
        <v>233</v>
      </c>
      <c r="I1064" s="5">
        <v>1.0</v>
      </c>
      <c r="J1064" s="5">
        <v>0.0</v>
      </c>
      <c r="K1064" s="5">
        <v>0.0</v>
      </c>
    </row>
    <row r="1065">
      <c r="A1065" s="4" t="s">
        <v>3887</v>
      </c>
      <c r="B1065" s="13"/>
      <c r="C1065" s="4" t="s">
        <v>92</v>
      </c>
      <c r="D1065" s="12" t="s">
        <v>84</v>
      </c>
      <c r="E1065" s="13" t="s">
        <v>84</v>
      </c>
      <c r="F1065" s="5" t="s">
        <v>85</v>
      </c>
      <c r="H1065" s="5" t="s">
        <v>233</v>
      </c>
      <c r="I1065" s="5">
        <v>1.0</v>
      </c>
      <c r="J1065" s="5">
        <v>0.0</v>
      </c>
      <c r="K1065" s="5">
        <v>1.0</v>
      </c>
    </row>
    <row r="1066">
      <c r="A1066" s="4" t="s">
        <v>3888</v>
      </c>
      <c r="B1066" s="13"/>
      <c r="C1066" s="4" t="s">
        <v>92</v>
      </c>
      <c r="D1066" s="12" t="s">
        <v>84</v>
      </c>
      <c r="E1066" s="13" t="s">
        <v>84</v>
      </c>
      <c r="F1066" s="5" t="s">
        <v>85</v>
      </c>
      <c r="H1066" s="5" t="s">
        <v>233</v>
      </c>
      <c r="I1066" s="5">
        <v>1.0</v>
      </c>
      <c r="J1066" s="5">
        <v>0.0</v>
      </c>
      <c r="K1066" s="5">
        <v>0.0</v>
      </c>
    </row>
    <row r="1067">
      <c r="A1067" s="4" t="s">
        <v>3889</v>
      </c>
      <c r="B1067" s="13"/>
      <c r="C1067" s="4" t="s">
        <v>92</v>
      </c>
      <c r="D1067" s="12" t="s">
        <v>84</v>
      </c>
      <c r="E1067" s="13" t="s">
        <v>84</v>
      </c>
      <c r="F1067" s="5" t="s">
        <v>85</v>
      </c>
      <c r="H1067" s="5" t="s">
        <v>233</v>
      </c>
      <c r="I1067" s="5">
        <v>1.0</v>
      </c>
      <c r="J1067" s="5">
        <v>0.0</v>
      </c>
      <c r="K1067" s="5">
        <v>0.0</v>
      </c>
    </row>
    <row r="1068">
      <c r="A1068" s="4" t="s">
        <v>3890</v>
      </c>
      <c r="B1068" s="13"/>
      <c r="C1068" s="4" t="s">
        <v>92</v>
      </c>
      <c r="D1068" s="12" t="s">
        <v>84</v>
      </c>
      <c r="E1068" s="13" t="s">
        <v>84</v>
      </c>
      <c r="F1068" s="5" t="s">
        <v>85</v>
      </c>
      <c r="H1068" s="5" t="s">
        <v>233</v>
      </c>
      <c r="I1068" s="5">
        <v>1.0</v>
      </c>
      <c r="J1068" s="5">
        <v>0.0</v>
      </c>
      <c r="K1068" s="5">
        <v>0.0</v>
      </c>
    </row>
    <row r="1069">
      <c r="A1069" s="4" t="s">
        <v>3891</v>
      </c>
      <c r="B1069" s="13"/>
      <c r="C1069" s="4" t="s">
        <v>92</v>
      </c>
      <c r="D1069" s="12" t="s">
        <v>84</v>
      </c>
      <c r="E1069" s="13" t="s">
        <v>84</v>
      </c>
      <c r="F1069" s="5" t="s">
        <v>85</v>
      </c>
      <c r="H1069" s="5" t="s">
        <v>233</v>
      </c>
      <c r="I1069" s="5">
        <v>1.0</v>
      </c>
      <c r="J1069" s="5">
        <v>0.0</v>
      </c>
      <c r="K1069" s="5">
        <v>0.0</v>
      </c>
    </row>
    <row r="1070">
      <c r="A1070" s="4" t="s">
        <v>3892</v>
      </c>
      <c r="B1070" s="13"/>
      <c r="C1070" s="4" t="s">
        <v>92</v>
      </c>
      <c r="D1070" s="12" t="s">
        <v>84</v>
      </c>
      <c r="E1070" s="13" t="s">
        <v>84</v>
      </c>
      <c r="F1070" s="5" t="s">
        <v>85</v>
      </c>
      <c r="H1070" s="5" t="s">
        <v>233</v>
      </c>
      <c r="I1070" s="5">
        <v>1.0</v>
      </c>
      <c r="J1070" s="5">
        <v>0.0</v>
      </c>
      <c r="K1070" s="5">
        <v>0.0</v>
      </c>
    </row>
    <row r="1071">
      <c r="A1071" s="4" t="s">
        <v>3893</v>
      </c>
      <c r="B1071" s="13"/>
      <c r="C1071" s="4" t="s">
        <v>92</v>
      </c>
      <c r="D1071" s="12" t="s">
        <v>84</v>
      </c>
      <c r="E1071" s="13" t="s">
        <v>84</v>
      </c>
      <c r="F1071" s="5" t="s">
        <v>85</v>
      </c>
      <c r="H1071" s="5" t="s">
        <v>233</v>
      </c>
      <c r="I1071" s="5">
        <v>1.0</v>
      </c>
      <c r="J1071" s="5">
        <v>0.0</v>
      </c>
      <c r="K1071" s="5">
        <v>0.0</v>
      </c>
    </row>
    <row r="1072">
      <c r="A1072" s="4" t="s">
        <v>3894</v>
      </c>
      <c r="B1072" s="13"/>
      <c r="C1072" s="4" t="s">
        <v>92</v>
      </c>
      <c r="D1072" s="12" t="s">
        <v>84</v>
      </c>
      <c r="E1072" s="13" t="s">
        <v>84</v>
      </c>
      <c r="F1072" s="5" t="s">
        <v>85</v>
      </c>
      <c r="H1072" s="5" t="s">
        <v>233</v>
      </c>
      <c r="I1072" s="5">
        <v>1.0</v>
      </c>
      <c r="J1072" s="5">
        <v>0.0</v>
      </c>
      <c r="K1072" s="5">
        <v>0.0</v>
      </c>
    </row>
    <row r="1073">
      <c r="A1073" s="4" t="s">
        <v>3895</v>
      </c>
      <c r="B1073" s="13"/>
      <c r="C1073" s="4" t="s">
        <v>92</v>
      </c>
      <c r="D1073" s="12" t="s">
        <v>84</v>
      </c>
      <c r="E1073" s="13" t="s">
        <v>84</v>
      </c>
      <c r="F1073" s="5" t="s">
        <v>85</v>
      </c>
      <c r="H1073" s="5" t="s">
        <v>233</v>
      </c>
      <c r="I1073" s="5">
        <v>1.0</v>
      </c>
      <c r="J1073" s="5">
        <v>0.0</v>
      </c>
      <c r="K1073" s="5">
        <v>0.0</v>
      </c>
    </row>
    <row r="1074">
      <c r="A1074" s="4" t="s">
        <v>3896</v>
      </c>
      <c r="B1074" s="13"/>
      <c r="C1074" s="4" t="s">
        <v>92</v>
      </c>
      <c r="D1074" s="12" t="s">
        <v>84</v>
      </c>
      <c r="E1074" s="13" t="s">
        <v>84</v>
      </c>
      <c r="F1074" s="5" t="s">
        <v>85</v>
      </c>
      <c r="H1074" s="5" t="s">
        <v>233</v>
      </c>
      <c r="I1074" s="5">
        <v>1.0</v>
      </c>
      <c r="J1074" s="5">
        <v>0.0</v>
      </c>
      <c r="K1074" s="5">
        <v>0.0</v>
      </c>
    </row>
    <row r="1075">
      <c r="A1075" s="4" t="s">
        <v>3897</v>
      </c>
      <c r="B1075" s="13"/>
      <c r="C1075" s="4" t="s">
        <v>92</v>
      </c>
      <c r="D1075" s="12" t="s">
        <v>84</v>
      </c>
      <c r="E1075" s="13" t="s">
        <v>84</v>
      </c>
      <c r="F1075" s="5" t="s">
        <v>85</v>
      </c>
      <c r="H1075" s="5" t="s">
        <v>233</v>
      </c>
      <c r="I1075" s="5">
        <v>1.0</v>
      </c>
      <c r="J1075" s="5">
        <v>0.0</v>
      </c>
      <c r="K1075" s="5">
        <v>0.0</v>
      </c>
    </row>
    <row r="1076">
      <c r="A1076" s="4" t="s">
        <v>3898</v>
      </c>
      <c r="B1076" s="13"/>
      <c r="C1076" s="4" t="s">
        <v>92</v>
      </c>
      <c r="D1076" s="12" t="s">
        <v>84</v>
      </c>
      <c r="E1076" s="13" t="s">
        <v>84</v>
      </c>
      <c r="F1076" s="5" t="s">
        <v>85</v>
      </c>
      <c r="H1076" s="5" t="s">
        <v>233</v>
      </c>
      <c r="I1076" s="5">
        <v>1.0</v>
      </c>
      <c r="J1076" s="5">
        <v>0.0</v>
      </c>
      <c r="K1076" s="5">
        <v>0.0</v>
      </c>
    </row>
    <row r="1077">
      <c r="A1077" s="4" t="s">
        <v>3899</v>
      </c>
      <c r="B1077" s="13"/>
      <c r="C1077" s="4" t="s">
        <v>92</v>
      </c>
      <c r="D1077" s="12" t="s">
        <v>84</v>
      </c>
      <c r="E1077" s="13" t="s">
        <v>84</v>
      </c>
      <c r="F1077" s="5" t="s">
        <v>85</v>
      </c>
      <c r="H1077" s="5" t="s">
        <v>233</v>
      </c>
      <c r="I1077" s="5">
        <v>1.0</v>
      </c>
      <c r="J1077" s="5">
        <v>0.0</v>
      </c>
      <c r="K1077" s="5">
        <v>0.0</v>
      </c>
    </row>
    <row r="1078">
      <c r="A1078" s="4" t="s">
        <v>3900</v>
      </c>
      <c r="B1078" s="13"/>
      <c r="C1078" s="4" t="s">
        <v>92</v>
      </c>
      <c r="D1078" s="12" t="s">
        <v>84</v>
      </c>
      <c r="E1078" s="13" t="s">
        <v>84</v>
      </c>
      <c r="F1078" s="5" t="s">
        <v>85</v>
      </c>
      <c r="H1078" s="5" t="s">
        <v>233</v>
      </c>
      <c r="I1078" s="5">
        <v>1.0</v>
      </c>
      <c r="J1078" s="5">
        <v>0.0</v>
      </c>
      <c r="K1078" s="5">
        <v>0.0</v>
      </c>
    </row>
    <row r="1079">
      <c r="A1079" s="4" t="s">
        <v>3901</v>
      </c>
      <c r="B1079" s="11" t="s">
        <v>3902</v>
      </c>
      <c r="C1079" s="4" t="s">
        <v>1865</v>
      </c>
      <c r="D1079" s="12" t="s">
        <v>467</v>
      </c>
      <c r="E1079" s="13" t="s">
        <v>53</v>
      </c>
      <c r="F1079" s="5" t="s">
        <v>469</v>
      </c>
      <c r="G1079" s="5" t="b">
        <v>0</v>
      </c>
      <c r="H1079" s="5" t="s">
        <v>2923</v>
      </c>
      <c r="I1079" s="5">
        <v>1.0</v>
      </c>
      <c r="J1079" s="5">
        <v>0.0</v>
      </c>
      <c r="K1079" s="5">
        <v>2.0</v>
      </c>
    </row>
    <row r="1080">
      <c r="A1080" s="4" t="s">
        <v>3903</v>
      </c>
      <c r="B1080" s="11" t="s">
        <v>3904</v>
      </c>
      <c r="C1080" s="5" t="s">
        <v>1868</v>
      </c>
      <c r="D1080" s="12" t="s">
        <v>297</v>
      </c>
      <c r="E1080" s="13" t="s">
        <v>53</v>
      </c>
      <c r="F1080" s="5" t="s">
        <v>298</v>
      </c>
      <c r="G1080" s="5" t="b">
        <v>0</v>
      </c>
      <c r="I1080" s="5">
        <v>1.0</v>
      </c>
      <c r="J1080" s="5">
        <v>0.0</v>
      </c>
      <c r="K1080" s="5">
        <v>1.0</v>
      </c>
    </row>
    <row r="1081">
      <c r="A1081" s="4" t="s">
        <v>3905</v>
      </c>
      <c r="B1081" s="11" t="s">
        <v>3906</v>
      </c>
      <c r="C1081" s="4" t="s">
        <v>523</v>
      </c>
      <c r="D1081" s="12" t="s">
        <v>52</v>
      </c>
      <c r="E1081" s="13" t="s">
        <v>93</v>
      </c>
      <c r="F1081" s="5" t="s">
        <v>54</v>
      </c>
      <c r="G1081" s="5" t="b">
        <v>0</v>
      </c>
      <c r="H1081" s="5" t="s">
        <v>1220</v>
      </c>
      <c r="I1081" s="5">
        <v>1.0</v>
      </c>
      <c r="J1081" s="5">
        <v>0.0</v>
      </c>
      <c r="K1081" s="5">
        <v>0.0</v>
      </c>
    </row>
    <row r="1082">
      <c r="A1082" s="4" t="s">
        <v>3907</v>
      </c>
      <c r="B1082" s="11" t="s">
        <v>3908</v>
      </c>
      <c r="C1082" s="4" t="s">
        <v>203</v>
      </c>
      <c r="D1082" s="12" t="s">
        <v>29</v>
      </c>
      <c r="E1082" s="13" t="s">
        <v>84</v>
      </c>
      <c r="F1082" s="5" t="s">
        <v>31</v>
      </c>
      <c r="G1082" s="5" t="b">
        <v>0</v>
      </c>
      <c r="H1082" s="5" t="s">
        <v>3909</v>
      </c>
      <c r="I1082" s="5">
        <v>1.0</v>
      </c>
      <c r="J1082" s="5">
        <v>0.0</v>
      </c>
      <c r="K1082" s="5">
        <v>1.0</v>
      </c>
    </row>
    <row r="1083">
      <c r="A1083" s="4" t="s">
        <v>3910</v>
      </c>
      <c r="B1083" s="11" t="s">
        <v>3911</v>
      </c>
      <c r="C1083" s="4" t="s">
        <v>1018</v>
      </c>
      <c r="D1083" s="12" t="s">
        <v>29</v>
      </c>
      <c r="E1083" s="13" t="s">
        <v>53</v>
      </c>
      <c r="F1083" s="5" t="s">
        <v>31</v>
      </c>
      <c r="G1083" s="5" t="b">
        <v>0</v>
      </c>
      <c r="H1083" s="5" t="s">
        <v>3912</v>
      </c>
      <c r="I1083" s="5">
        <v>1.0</v>
      </c>
      <c r="J1083" s="5">
        <v>0.0</v>
      </c>
      <c r="K1083" s="5">
        <v>1.0</v>
      </c>
    </row>
    <row r="1084">
      <c r="A1084" s="4" t="s">
        <v>3913</v>
      </c>
      <c r="B1084" s="11" t="s">
        <v>3914</v>
      </c>
      <c r="C1084" s="4" t="s">
        <v>1870</v>
      </c>
      <c r="D1084" s="12" t="s">
        <v>670</v>
      </c>
      <c r="E1084" s="13" t="s">
        <v>53</v>
      </c>
      <c r="F1084" s="5" t="s">
        <v>671</v>
      </c>
      <c r="G1084" s="5" t="b">
        <v>0</v>
      </c>
      <c r="I1084" s="5">
        <v>1.0</v>
      </c>
      <c r="J1084" s="5">
        <v>0.0</v>
      </c>
      <c r="K1084" s="5">
        <v>0.0</v>
      </c>
    </row>
    <row r="1085">
      <c r="A1085" s="4" t="s">
        <v>3915</v>
      </c>
      <c r="B1085" s="11" t="s">
        <v>3916</v>
      </c>
      <c r="C1085" s="4" t="s">
        <v>1871</v>
      </c>
      <c r="D1085" s="12" t="s">
        <v>29</v>
      </c>
      <c r="E1085" s="13" t="s">
        <v>53</v>
      </c>
      <c r="F1085" s="5" t="s">
        <v>31</v>
      </c>
      <c r="G1085" s="5" t="b">
        <v>0</v>
      </c>
      <c r="H1085" s="5" t="s">
        <v>3917</v>
      </c>
      <c r="I1085" s="5">
        <v>1.0</v>
      </c>
      <c r="J1085" s="5">
        <v>0.0</v>
      </c>
      <c r="K1085" s="5">
        <v>1.0</v>
      </c>
    </row>
    <row r="1086">
      <c r="A1086" s="4" t="s">
        <v>3918</v>
      </c>
      <c r="B1086" s="11" t="s">
        <v>3919</v>
      </c>
      <c r="C1086" s="4" t="s">
        <v>1875</v>
      </c>
      <c r="D1086" s="12" t="s">
        <v>126</v>
      </c>
      <c r="E1086" s="13" t="s">
        <v>53</v>
      </c>
      <c r="F1086" s="5" t="s">
        <v>127</v>
      </c>
      <c r="G1086" s="5" t="b">
        <v>0</v>
      </c>
      <c r="H1086" s="5" t="s">
        <v>1163</v>
      </c>
      <c r="I1086" s="5">
        <v>1.0</v>
      </c>
      <c r="J1086" s="5">
        <v>0.0</v>
      </c>
      <c r="K1086" s="5">
        <v>1.0</v>
      </c>
    </row>
    <row r="1087">
      <c r="A1087" s="4" t="s">
        <v>3920</v>
      </c>
      <c r="B1087" s="11" t="s">
        <v>3921</v>
      </c>
      <c r="C1087" s="4" t="s">
        <v>1877</v>
      </c>
      <c r="D1087" s="12" t="s">
        <v>29</v>
      </c>
      <c r="E1087" s="13" t="s">
        <v>53</v>
      </c>
      <c r="F1087" s="5" t="s">
        <v>31</v>
      </c>
      <c r="G1087" s="5" t="b">
        <v>0</v>
      </c>
      <c r="H1087" s="5" t="s">
        <v>952</v>
      </c>
      <c r="I1087" s="5">
        <v>1.0</v>
      </c>
      <c r="J1087" s="5">
        <v>0.0</v>
      </c>
      <c r="K1087" s="5">
        <v>0.0</v>
      </c>
    </row>
    <row r="1088">
      <c r="A1088" s="4" t="s">
        <v>3922</v>
      </c>
      <c r="B1088" s="11" t="s">
        <v>3923</v>
      </c>
      <c r="C1088" s="4" t="s">
        <v>1879</v>
      </c>
      <c r="D1088" s="12" t="s">
        <v>29</v>
      </c>
      <c r="E1088" s="13" t="s">
        <v>53</v>
      </c>
      <c r="F1088" s="5" t="s">
        <v>31</v>
      </c>
      <c r="G1088" s="5" t="b">
        <v>0</v>
      </c>
      <c r="H1088" s="5" t="s">
        <v>3924</v>
      </c>
      <c r="I1088" s="5">
        <v>1.0</v>
      </c>
      <c r="J1088" s="5">
        <v>0.0</v>
      </c>
      <c r="K1088" s="5">
        <v>1.0</v>
      </c>
    </row>
    <row r="1089">
      <c r="A1089" s="4" t="s">
        <v>3925</v>
      </c>
      <c r="B1089" s="11" t="s">
        <v>3926</v>
      </c>
      <c r="C1089" s="5" t="s">
        <v>511</v>
      </c>
      <c r="D1089" s="12" t="s">
        <v>467</v>
      </c>
      <c r="E1089" s="13" t="s">
        <v>30</v>
      </c>
      <c r="F1089" s="5" t="s">
        <v>469</v>
      </c>
      <c r="G1089" s="5" t="b">
        <v>0</v>
      </c>
      <c r="H1089" s="5" t="s">
        <v>925</v>
      </c>
      <c r="I1089" s="5">
        <v>1.0</v>
      </c>
      <c r="J1089" s="5">
        <v>0.0</v>
      </c>
      <c r="K1089" s="5">
        <v>1.0</v>
      </c>
    </row>
    <row r="1090">
      <c r="A1090" s="4" t="s">
        <v>3927</v>
      </c>
      <c r="B1090" s="11" t="s">
        <v>3928</v>
      </c>
      <c r="C1090" s="5" t="s">
        <v>511</v>
      </c>
      <c r="D1090" s="12" t="s">
        <v>126</v>
      </c>
      <c r="E1090" s="13" t="s">
        <v>30</v>
      </c>
      <c r="F1090" s="5" t="s">
        <v>127</v>
      </c>
      <c r="G1090" s="5" t="b">
        <v>0</v>
      </c>
      <c r="H1090" s="5" t="s">
        <v>3929</v>
      </c>
      <c r="I1090" s="5">
        <v>1.0</v>
      </c>
      <c r="J1090" s="5">
        <v>0.0</v>
      </c>
      <c r="K1090" s="5">
        <v>1.0</v>
      </c>
    </row>
    <row r="1091">
      <c r="A1091" s="4" t="s">
        <v>3930</v>
      </c>
      <c r="B1091" s="11" t="s">
        <v>3931</v>
      </c>
      <c r="C1091" s="5" t="s">
        <v>511</v>
      </c>
      <c r="D1091" s="12" t="s">
        <v>84</v>
      </c>
      <c r="E1091" s="13" t="s">
        <v>30</v>
      </c>
      <c r="F1091" s="5" t="s">
        <v>85</v>
      </c>
      <c r="G1091" s="5" t="b">
        <v>0</v>
      </c>
      <c r="H1091" s="5" t="s">
        <v>1574</v>
      </c>
      <c r="I1091" s="5">
        <v>1.0</v>
      </c>
      <c r="J1091" s="5">
        <v>0.0</v>
      </c>
      <c r="K1091" s="5">
        <v>1.0</v>
      </c>
    </row>
    <row r="1092">
      <c r="A1092" s="4" t="s">
        <v>3932</v>
      </c>
      <c r="B1092" s="11" t="s">
        <v>3933</v>
      </c>
      <c r="C1092" s="5" t="s">
        <v>511</v>
      </c>
      <c r="D1092" s="12" t="s">
        <v>126</v>
      </c>
      <c r="E1092" s="13" t="s">
        <v>30</v>
      </c>
      <c r="F1092" s="5" t="s">
        <v>127</v>
      </c>
      <c r="G1092" s="5" t="b">
        <v>0</v>
      </c>
      <c r="H1092" s="5" t="s">
        <v>1574</v>
      </c>
      <c r="I1092" s="5">
        <v>1.0</v>
      </c>
      <c r="J1092" s="5">
        <v>0.0</v>
      </c>
      <c r="K1092" s="5">
        <v>0.0</v>
      </c>
    </row>
    <row r="1093">
      <c r="A1093" s="4" t="s">
        <v>3934</v>
      </c>
      <c r="B1093" s="11" t="s">
        <v>3935</v>
      </c>
      <c r="C1093" s="4" t="s">
        <v>1022</v>
      </c>
      <c r="D1093" s="12" t="s">
        <v>84</v>
      </c>
      <c r="E1093" s="13" t="s">
        <v>53</v>
      </c>
      <c r="F1093" s="5" t="s">
        <v>85</v>
      </c>
      <c r="G1093" s="5" t="b">
        <v>0</v>
      </c>
      <c r="H1093" s="5" t="s">
        <v>3936</v>
      </c>
      <c r="I1093" s="5">
        <v>1.0</v>
      </c>
      <c r="J1093" s="5">
        <v>0.0</v>
      </c>
      <c r="K1093" s="5">
        <v>1.0</v>
      </c>
    </row>
    <row r="1094">
      <c r="A1094" s="4" t="s">
        <v>3937</v>
      </c>
      <c r="B1094" s="11" t="s">
        <v>3938</v>
      </c>
      <c r="C1094" s="4" t="s">
        <v>1882</v>
      </c>
      <c r="D1094" s="12" t="s">
        <v>29</v>
      </c>
      <c r="E1094" s="13" t="s">
        <v>53</v>
      </c>
      <c r="F1094" s="5" t="s">
        <v>31</v>
      </c>
      <c r="G1094" s="5" t="b">
        <v>0</v>
      </c>
      <c r="H1094" s="5" t="s">
        <v>3939</v>
      </c>
      <c r="I1094" s="5">
        <v>1.0</v>
      </c>
      <c r="J1094" s="5">
        <v>0.0</v>
      </c>
      <c r="K1094" s="5">
        <v>1.0</v>
      </c>
    </row>
    <row r="1095">
      <c r="A1095" s="4" t="s">
        <v>3940</v>
      </c>
      <c r="B1095" s="11" t="s">
        <v>3941</v>
      </c>
      <c r="C1095" s="4" t="s">
        <v>158</v>
      </c>
      <c r="D1095" s="12" t="s">
        <v>84</v>
      </c>
      <c r="E1095" s="13" t="s">
        <v>30</v>
      </c>
      <c r="F1095" s="5" t="s">
        <v>85</v>
      </c>
      <c r="G1095" s="5" t="b">
        <v>0</v>
      </c>
      <c r="H1095" s="5" t="s">
        <v>159</v>
      </c>
      <c r="I1095" s="5">
        <v>1.0</v>
      </c>
      <c r="J1095" s="5">
        <v>0.0</v>
      </c>
      <c r="K1095" s="5">
        <v>0.0</v>
      </c>
    </row>
    <row r="1096">
      <c r="A1096" s="4" t="s">
        <v>3942</v>
      </c>
      <c r="B1096" s="11" t="s">
        <v>3943</v>
      </c>
      <c r="C1096" s="4" t="s">
        <v>158</v>
      </c>
      <c r="D1096" s="12" t="s">
        <v>126</v>
      </c>
      <c r="E1096" s="13" t="s">
        <v>30</v>
      </c>
      <c r="F1096" s="5" t="s">
        <v>127</v>
      </c>
      <c r="G1096" s="5" t="b">
        <v>0</v>
      </c>
      <c r="H1096" s="5" t="s">
        <v>159</v>
      </c>
      <c r="I1096" s="5">
        <v>1.0</v>
      </c>
      <c r="J1096" s="5">
        <v>0.0</v>
      </c>
      <c r="K1096" s="5">
        <v>0.0</v>
      </c>
    </row>
    <row r="1097">
      <c r="A1097" s="4" t="s">
        <v>3944</v>
      </c>
      <c r="B1097" s="11" t="s">
        <v>3945</v>
      </c>
      <c r="C1097" s="4" t="s">
        <v>1885</v>
      </c>
      <c r="D1097" s="12" t="s">
        <v>29</v>
      </c>
      <c r="E1097" s="13" t="s">
        <v>53</v>
      </c>
      <c r="F1097" s="5" t="s">
        <v>31</v>
      </c>
      <c r="G1097" s="5" t="b">
        <v>0</v>
      </c>
      <c r="H1097" s="5" t="s">
        <v>3946</v>
      </c>
      <c r="I1097" s="5">
        <v>1.0</v>
      </c>
      <c r="J1097" s="5">
        <v>0.0</v>
      </c>
      <c r="K1097" s="5">
        <v>0.0</v>
      </c>
    </row>
    <row r="1098">
      <c r="A1098" s="4" t="s">
        <v>3947</v>
      </c>
      <c r="B1098" s="11" t="s">
        <v>3948</v>
      </c>
      <c r="C1098" s="4" t="s">
        <v>320</v>
      </c>
      <c r="D1098" s="12" t="s">
        <v>84</v>
      </c>
      <c r="E1098" s="13" t="s">
        <v>53</v>
      </c>
      <c r="F1098" s="5" t="s">
        <v>85</v>
      </c>
      <c r="G1098" s="5" t="b">
        <v>0</v>
      </c>
      <c r="H1098" s="5" t="s">
        <v>1104</v>
      </c>
      <c r="I1098" s="5">
        <v>1.0</v>
      </c>
      <c r="J1098" s="5">
        <v>0.0</v>
      </c>
      <c r="K1098" s="5">
        <v>0.0</v>
      </c>
    </row>
    <row r="1099">
      <c r="A1099" s="4" t="s">
        <v>3949</v>
      </c>
      <c r="B1099" s="11" t="s">
        <v>3950</v>
      </c>
      <c r="C1099" s="4" t="s">
        <v>320</v>
      </c>
      <c r="D1099" s="12" t="s">
        <v>29</v>
      </c>
      <c r="E1099" s="13" t="s">
        <v>53</v>
      </c>
      <c r="F1099" s="5" t="s">
        <v>31</v>
      </c>
      <c r="G1099" s="5" t="b">
        <v>0</v>
      </c>
      <c r="H1099" s="5" t="s">
        <v>1045</v>
      </c>
      <c r="I1099" s="5">
        <v>1.0</v>
      </c>
      <c r="J1099" s="5">
        <v>0.0</v>
      </c>
      <c r="K1099" s="5">
        <v>1.0</v>
      </c>
    </row>
    <row r="1100">
      <c r="A1100" s="4" t="s">
        <v>3951</v>
      </c>
      <c r="B1100" s="11" t="s">
        <v>3952</v>
      </c>
      <c r="C1100" s="4" t="s">
        <v>1887</v>
      </c>
      <c r="D1100" s="12" t="s">
        <v>467</v>
      </c>
      <c r="E1100" s="13" t="s">
        <v>53</v>
      </c>
      <c r="F1100" s="5" t="s">
        <v>469</v>
      </c>
      <c r="G1100" s="5" t="b">
        <v>0</v>
      </c>
      <c r="H1100" s="5" t="s">
        <v>1220</v>
      </c>
      <c r="I1100" s="5">
        <v>1.0</v>
      </c>
      <c r="J1100" s="5">
        <v>0.0</v>
      </c>
      <c r="K1100" s="5">
        <v>0.0</v>
      </c>
    </row>
    <row r="1101">
      <c r="A1101" s="4" t="s">
        <v>3953</v>
      </c>
      <c r="B1101" s="11" t="s">
        <v>3954</v>
      </c>
      <c r="C1101" s="4" t="s">
        <v>1890</v>
      </c>
      <c r="D1101" s="12" t="s">
        <v>29</v>
      </c>
      <c r="E1101" s="13" t="s">
        <v>53</v>
      </c>
      <c r="F1101" s="5" t="s">
        <v>31</v>
      </c>
      <c r="G1101" s="5" t="b">
        <v>0</v>
      </c>
      <c r="H1101" s="5" t="s">
        <v>3955</v>
      </c>
      <c r="I1101" s="5">
        <v>1.0</v>
      </c>
      <c r="J1101" s="5">
        <v>0.0</v>
      </c>
      <c r="K1101" s="5">
        <v>0.0</v>
      </c>
    </row>
    <row r="1102">
      <c r="A1102" s="4" t="s">
        <v>3956</v>
      </c>
      <c r="B1102" s="11" t="s">
        <v>3957</v>
      </c>
      <c r="C1102" s="4" t="s">
        <v>537</v>
      </c>
      <c r="D1102" s="12" t="s">
        <v>29</v>
      </c>
      <c r="E1102" s="13" t="s">
        <v>53</v>
      </c>
      <c r="F1102" s="5" t="s">
        <v>31</v>
      </c>
      <c r="G1102" s="5" t="b">
        <v>0</v>
      </c>
      <c r="H1102" s="5" t="s">
        <v>3958</v>
      </c>
      <c r="I1102" s="5">
        <v>1.0</v>
      </c>
      <c r="J1102" s="5">
        <v>0.0</v>
      </c>
      <c r="K1102" s="5">
        <v>0.0</v>
      </c>
    </row>
    <row r="1103">
      <c r="A1103" s="4" t="s">
        <v>3959</v>
      </c>
      <c r="B1103" s="11" t="s">
        <v>3960</v>
      </c>
      <c r="C1103" s="4" t="s">
        <v>580</v>
      </c>
      <c r="D1103" s="12" t="s">
        <v>670</v>
      </c>
      <c r="E1103" s="13" t="s">
        <v>53</v>
      </c>
      <c r="F1103" s="5" t="s">
        <v>671</v>
      </c>
      <c r="G1103" s="5" t="b">
        <v>0</v>
      </c>
      <c r="H1103" s="5" t="s">
        <v>396</v>
      </c>
      <c r="I1103" s="5">
        <v>1.0</v>
      </c>
      <c r="J1103" s="5">
        <v>0.0</v>
      </c>
      <c r="K1103" s="5">
        <v>0.0</v>
      </c>
    </row>
    <row r="1104">
      <c r="A1104" s="4" t="s">
        <v>3961</v>
      </c>
      <c r="B1104" s="11" t="s">
        <v>3962</v>
      </c>
      <c r="C1104" s="5" t="s">
        <v>1895</v>
      </c>
      <c r="D1104" s="12" t="s">
        <v>29</v>
      </c>
      <c r="E1104" s="13" t="s">
        <v>53</v>
      </c>
      <c r="F1104" s="5" t="s">
        <v>31</v>
      </c>
      <c r="G1104" s="5" t="b">
        <v>0</v>
      </c>
      <c r="I1104" s="5">
        <v>1.0</v>
      </c>
      <c r="J1104" s="5">
        <v>0.0</v>
      </c>
      <c r="K1104" s="5">
        <v>0.0</v>
      </c>
    </row>
    <row r="1105">
      <c r="A1105" s="4" t="s">
        <v>3963</v>
      </c>
      <c r="B1105" s="11" t="s">
        <v>3964</v>
      </c>
      <c r="C1105" s="4" t="s">
        <v>1897</v>
      </c>
      <c r="D1105" s="12" t="s">
        <v>670</v>
      </c>
      <c r="E1105" s="13" t="s">
        <v>53</v>
      </c>
      <c r="F1105" s="5" t="s">
        <v>671</v>
      </c>
      <c r="G1105" s="5" t="b">
        <v>0</v>
      </c>
      <c r="I1105" s="5">
        <v>1.0</v>
      </c>
      <c r="J1105" s="5">
        <v>0.0</v>
      </c>
      <c r="K1105" s="5">
        <v>0.0</v>
      </c>
    </row>
    <row r="1106">
      <c r="A1106" s="4" t="s">
        <v>3965</v>
      </c>
      <c r="B1106" s="11" t="s">
        <v>3966</v>
      </c>
      <c r="C1106" s="4" t="s">
        <v>1315</v>
      </c>
      <c r="D1106" s="12" t="s">
        <v>261</v>
      </c>
      <c r="E1106" s="13" t="s">
        <v>53</v>
      </c>
      <c r="F1106" s="5" t="s">
        <v>263</v>
      </c>
      <c r="G1106" s="5" t="b">
        <v>0</v>
      </c>
      <c r="H1106" s="5" t="s">
        <v>399</v>
      </c>
      <c r="I1106" s="5">
        <v>1.0</v>
      </c>
      <c r="J1106" s="5">
        <v>0.0</v>
      </c>
      <c r="K1106" s="5">
        <v>0.0</v>
      </c>
    </row>
    <row r="1107">
      <c r="A1107" s="4" t="s">
        <v>3967</v>
      </c>
      <c r="B1107" s="11" t="s">
        <v>3968</v>
      </c>
      <c r="C1107" s="4" t="s">
        <v>1315</v>
      </c>
      <c r="D1107" s="12" t="s">
        <v>433</v>
      </c>
      <c r="E1107" s="13" t="s">
        <v>53</v>
      </c>
      <c r="F1107" s="5" t="s">
        <v>434</v>
      </c>
      <c r="G1107" s="5" t="b">
        <v>0</v>
      </c>
      <c r="H1107" s="5" t="s">
        <v>3969</v>
      </c>
      <c r="I1107" s="5">
        <v>1.0</v>
      </c>
      <c r="J1107" s="5">
        <v>0.0</v>
      </c>
      <c r="K1107" s="5">
        <v>2.0</v>
      </c>
    </row>
    <row r="1108">
      <c r="A1108" s="4" t="s">
        <v>3970</v>
      </c>
      <c r="B1108" s="11" t="s">
        <v>3971</v>
      </c>
      <c r="C1108" s="5" t="s">
        <v>63</v>
      </c>
      <c r="D1108" s="12" t="s">
        <v>29</v>
      </c>
      <c r="E1108" s="13" t="s">
        <v>30</v>
      </c>
      <c r="F1108" s="5" t="s">
        <v>31</v>
      </c>
      <c r="G1108" s="5" t="b">
        <v>0</v>
      </c>
      <c r="H1108" s="5" t="s">
        <v>3972</v>
      </c>
      <c r="I1108" s="5">
        <v>1.0</v>
      </c>
      <c r="J1108" s="5">
        <v>0.0</v>
      </c>
      <c r="K1108" s="5">
        <v>1.0</v>
      </c>
    </row>
    <row r="1109">
      <c r="A1109" s="4" t="s">
        <v>3973</v>
      </c>
      <c r="B1109" s="11" t="s">
        <v>3974</v>
      </c>
      <c r="C1109" s="5" t="s">
        <v>63</v>
      </c>
      <c r="D1109" s="12" t="s">
        <v>29</v>
      </c>
      <c r="E1109" s="13" t="s">
        <v>30</v>
      </c>
      <c r="F1109" s="5" t="s">
        <v>31</v>
      </c>
      <c r="G1109" s="5" t="b">
        <v>0</v>
      </c>
      <c r="H1109" s="5" t="s">
        <v>3975</v>
      </c>
      <c r="I1109" s="5">
        <v>1.0</v>
      </c>
      <c r="J1109" s="5">
        <v>0.0</v>
      </c>
      <c r="K1109" s="5">
        <v>0.0</v>
      </c>
    </row>
    <row r="1110">
      <c r="A1110" s="4" t="s">
        <v>3976</v>
      </c>
      <c r="B1110" s="11" t="s">
        <v>3977</v>
      </c>
      <c r="C1110" s="5" t="s">
        <v>63</v>
      </c>
      <c r="D1110" s="12" t="s">
        <v>29</v>
      </c>
      <c r="E1110" s="13" t="s">
        <v>30</v>
      </c>
      <c r="F1110" s="5" t="s">
        <v>31</v>
      </c>
      <c r="G1110" s="5" t="b">
        <v>0</v>
      </c>
      <c r="H1110" s="5" t="s">
        <v>3978</v>
      </c>
      <c r="I1110" s="5">
        <v>1.0</v>
      </c>
      <c r="J1110" s="5">
        <v>0.0</v>
      </c>
      <c r="K1110" s="5">
        <v>0.0</v>
      </c>
    </row>
    <row r="1111">
      <c r="A1111" s="4" t="s">
        <v>3979</v>
      </c>
      <c r="B1111" s="11" t="s">
        <v>3980</v>
      </c>
      <c r="C1111" s="4" t="s">
        <v>146</v>
      </c>
      <c r="D1111" s="12" t="s">
        <v>29</v>
      </c>
      <c r="E1111" s="13" t="s">
        <v>53</v>
      </c>
      <c r="F1111" s="5" t="s">
        <v>31</v>
      </c>
      <c r="G1111" s="5" t="b">
        <v>0</v>
      </c>
      <c r="H1111" s="5" t="s">
        <v>3981</v>
      </c>
      <c r="I1111" s="5">
        <v>1.0</v>
      </c>
      <c r="J1111" s="5">
        <v>0.0</v>
      </c>
      <c r="K1111" s="5">
        <v>0.0</v>
      </c>
    </row>
    <row r="1112">
      <c r="A1112" s="4" t="s">
        <v>3982</v>
      </c>
      <c r="B1112" s="11" t="s">
        <v>3983</v>
      </c>
      <c r="C1112" s="4" t="s">
        <v>1026</v>
      </c>
      <c r="D1112" s="12" t="s">
        <v>29</v>
      </c>
      <c r="E1112" s="13" t="s">
        <v>93</v>
      </c>
      <c r="F1112" s="5" t="s">
        <v>31</v>
      </c>
      <c r="G1112" s="5" t="b">
        <v>0</v>
      </c>
      <c r="H1112" s="5" t="s">
        <v>3984</v>
      </c>
      <c r="I1112" s="5">
        <v>1.0</v>
      </c>
      <c r="J1112" s="5">
        <v>0.0</v>
      </c>
      <c r="K1112" s="5">
        <v>3.0</v>
      </c>
    </row>
    <row r="1113">
      <c r="A1113" s="4" t="s">
        <v>3985</v>
      </c>
      <c r="B1113" s="11" t="s">
        <v>3986</v>
      </c>
      <c r="C1113" s="4" t="s">
        <v>1026</v>
      </c>
      <c r="D1113" s="12" t="s">
        <v>29</v>
      </c>
      <c r="E1113" s="13" t="s">
        <v>93</v>
      </c>
      <c r="F1113" s="5" t="s">
        <v>31</v>
      </c>
      <c r="G1113" s="5" t="b">
        <v>1</v>
      </c>
      <c r="H1113" s="5" t="s">
        <v>3987</v>
      </c>
      <c r="I1113" s="5">
        <v>1.0</v>
      </c>
      <c r="J1113" s="5">
        <v>0.0</v>
      </c>
      <c r="K1113" s="5">
        <v>0.0</v>
      </c>
    </row>
    <row r="1114">
      <c r="A1114" s="4" t="s">
        <v>3988</v>
      </c>
      <c r="B1114" s="11" t="s">
        <v>3989</v>
      </c>
      <c r="C1114" s="4" t="s">
        <v>1326</v>
      </c>
      <c r="D1114" s="12" t="s">
        <v>84</v>
      </c>
      <c r="E1114" s="13" t="s">
        <v>53</v>
      </c>
      <c r="F1114" s="5" t="s">
        <v>85</v>
      </c>
      <c r="G1114" s="5" t="b">
        <v>0</v>
      </c>
      <c r="H1114" s="5" t="s">
        <v>649</v>
      </c>
      <c r="I1114" s="5">
        <v>1.0</v>
      </c>
      <c r="J1114" s="5">
        <v>0.0</v>
      </c>
      <c r="K1114" s="5">
        <v>1.0</v>
      </c>
    </row>
    <row r="1115">
      <c r="A1115" s="4" t="s">
        <v>3990</v>
      </c>
      <c r="B1115" s="11" t="s">
        <v>3991</v>
      </c>
      <c r="C1115" s="4" t="s">
        <v>1326</v>
      </c>
      <c r="D1115" s="12" t="s">
        <v>126</v>
      </c>
      <c r="E1115" s="13" t="s">
        <v>53</v>
      </c>
      <c r="F1115" s="5" t="s">
        <v>127</v>
      </c>
      <c r="G1115" s="5" t="b">
        <v>0</v>
      </c>
      <c r="H1115" s="5" t="s">
        <v>952</v>
      </c>
      <c r="I1115" s="5">
        <v>1.0</v>
      </c>
      <c r="J1115" s="5">
        <v>0.0</v>
      </c>
      <c r="K1115" s="5">
        <v>0.0</v>
      </c>
    </row>
    <row r="1116">
      <c r="A1116" s="4" t="s">
        <v>3992</v>
      </c>
      <c r="B1116" s="11" t="s">
        <v>3993</v>
      </c>
      <c r="C1116" s="4" t="s">
        <v>1898</v>
      </c>
      <c r="D1116" s="12" t="s">
        <v>29</v>
      </c>
      <c r="E1116" s="13" t="s">
        <v>53</v>
      </c>
      <c r="F1116" s="5" t="s">
        <v>31</v>
      </c>
      <c r="G1116" s="5" t="b">
        <v>0</v>
      </c>
      <c r="H1116" s="5" t="s">
        <v>1900</v>
      </c>
      <c r="I1116" s="5">
        <v>1.0</v>
      </c>
      <c r="J1116" s="5">
        <v>0.0</v>
      </c>
      <c r="K1116" s="5">
        <v>1.0</v>
      </c>
    </row>
    <row r="1117">
      <c r="A1117" s="4" t="s">
        <v>3994</v>
      </c>
      <c r="B1117" s="11" t="s">
        <v>3995</v>
      </c>
      <c r="C1117" s="4" t="s">
        <v>1902</v>
      </c>
      <c r="D1117" s="12" t="s">
        <v>467</v>
      </c>
      <c r="E1117" s="13" t="s">
        <v>53</v>
      </c>
      <c r="F1117" s="5" t="s">
        <v>469</v>
      </c>
      <c r="G1117" s="5" t="b">
        <v>0</v>
      </c>
      <c r="I1117" s="5">
        <v>1.0</v>
      </c>
      <c r="J1117" s="5">
        <v>0.0</v>
      </c>
      <c r="K1117" s="5">
        <v>0.0</v>
      </c>
    </row>
    <row r="1118">
      <c r="A1118" s="4" t="s">
        <v>3996</v>
      </c>
      <c r="B1118" s="11" t="s">
        <v>3997</v>
      </c>
      <c r="C1118" s="4" t="s">
        <v>1567</v>
      </c>
      <c r="D1118" s="12" t="s">
        <v>433</v>
      </c>
      <c r="E1118" s="13" t="s">
        <v>53</v>
      </c>
      <c r="F1118" s="5" t="s">
        <v>434</v>
      </c>
      <c r="G1118" s="5" t="b">
        <v>0</v>
      </c>
      <c r="I1118" s="5">
        <v>1.0</v>
      </c>
      <c r="J1118" s="5">
        <v>0.0</v>
      </c>
      <c r="K1118" s="5">
        <v>0.0</v>
      </c>
    </row>
    <row r="1119">
      <c r="A1119" s="4" t="s">
        <v>3998</v>
      </c>
      <c r="B1119" s="11" t="s">
        <v>3999</v>
      </c>
      <c r="C1119" s="4" t="s">
        <v>1903</v>
      </c>
      <c r="D1119" s="12" t="s">
        <v>29</v>
      </c>
      <c r="E1119" s="13" t="s">
        <v>81</v>
      </c>
      <c r="F1119" s="5" t="s">
        <v>31</v>
      </c>
      <c r="G1119" s="5" t="b">
        <v>0</v>
      </c>
      <c r="I1119" s="5">
        <v>1.0</v>
      </c>
      <c r="J1119" s="5">
        <v>0.0</v>
      </c>
      <c r="K1119" s="5">
        <v>0.0</v>
      </c>
    </row>
    <row r="1120">
      <c r="A1120" s="4" t="s">
        <v>4000</v>
      </c>
      <c r="B1120" s="11" t="s">
        <v>4001</v>
      </c>
      <c r="C1120" s="4" t="s">
        <v>1905</v>
      </c>
      <c r="D1120" s="12" t="s">
        <v>261</v>
      </c>
      <c r="E1120" s="13" t="s">
        <v>2235</v>
      </c>
      <c r="F1120" s="5" t="s">
        <v>263</v>
      </c>
      <c r="G1120" s="5" t="b">
        <v>0</v>
      </c>
      <c r="I1120" s="5">
        <v>1.0</v>
      </c>
      <c r="J1120" s="5">
        <v>0.0</v>
      </c>
      <c r="K1120" s="5">
        <v>0.0</v>
      </c>
    </row>
    <row r="1121">
      <c r="A1121" s="4" t="s">
        <v>4002</v>
      </c>
      <c r="B1121" s="11" t="s">
        <v>4003</v>
      </c>
      <c r="C1121" s="4" t="s">
        <v>1907</v>
      </c>
      <c r="D1121" s="12" t="s">
        <v>126</v>
      </c>
      <c r="E1121" s="13" t="s">
        <v>53</v>
      </c>
      <c r="F1121" s="5" t="s">
        <v>127</v>
      </c>
      <c r="G1121" s="5" t="b">
        <v>0</v>
      </c>
      <c r="H1121" s="5" t="s">
        <v>1267</v>
      </c>
      <c r="I1121" s="5">
        <v>1.0</v>
      </c>
      <c r="J1121" s="5">
        <v>0.0</v>
      </c>
      <c r="K1121" s="5">
        <v>0.0</v>
      </c>
    </row>
    <row r="1122">
      <c r="A1122" s="4" t="s">
        <v>4004</v>
      </c>
      <c r="B1122" s="11" t="s">
        <v>4005</v>
      </c>
      <c r="C1122" s="4" t="s">
        <v>1135</v>
      </c>
      <c r="D1122" s="12" t="s">
        <v>29</v>
      </c>
      <c r="E1122" s="13" t="s">
        <v>93</v>
      </c>
      <c r="F1122" s="5" t="s">
        <v>31</v>
      </c>
      <c r="G1122" s="5" t="b">
        <v>0</v>
      </c>
      <c r="H1122" s="5" t="s">
        <v>1282</v>
      </c>
      <c r="I1122" s="5">
        <v>1.0</v>
      </c>
      <c r="J1122" s="5">
        <v>0.0</v>
      </c>
      <c r="K1122" s="5">
        <v>0.0</v>
      </c>
    </row>
    <row r="1123">
      <c r="A1123" s="4" t="s">
        <v>4006</v>
      </c>
      <c r="B1123" s="11" t="s">
        <v>4007</v>
      </c>
      <c r="C1123" s="4" t="s">
        <v>1909</v>
      </c>
      <c r="D1123" s="12" t="s">
        <v>29</v>
      </c>
      <c r="E1123" s="13" t="s">
        <v>53</v>
      </c>
      <c r="F1123" s="5" t="s">
        <v>31</v>
      </c>
      <c r="G1123" s="5" t="b">
        <v>0</v>
      </c>
      <c r="H1123" s="5" t="s">
        <v>4008</v>
      </c>
      <c r="I1123" s="5">
        <v>1.0</v>
      </c>
      <c r="J1123" s="5">
        <v>0.0</v>
      </c>
      <c r="K1123" s="5">
        <v>1.0</v>
      </c>
    </row>
    <row r="1124">
      <c r="A1124" s="4" t="s">
        <v>4009</v>
      </c>
      <c r="B1124" s="11" t="s">
        <v>4010</v>
      </c>
      <c r="C1124" s="4" t="s">
        <v>1912</v>
      </c>
      <c r="D1124" s="12" t="s">
        <v>467</v>
      </c>
      <c r="E1124" s="13" t="s">
        <v>53</v>
      </c>
      <c r="F1124" s="5" t="s">
        <v>469</v>
      </c>
      <c r="G1124" s="5" t="b">
        <v>0</v>
      </c>
      <c r="H1124" s="5" t="s">
        <v>649</v>
      </c>
      <c r="I1124" s="5">
        <v>1.0</v>
      </c>
      <c r="J1124" s="5">
        <v>0.0</v>
      </c>
      <c r="K1124" s="5">
        <v>0.0</v>
      </c>
    </row>
    <row r="1125">
      <c r="A1125" s="4" t="s">
        <v>4011</v>
      </c>
      <c r="B1125" s="13"/>
      <c r="C1125" s="4" t="s">
        <v>1915</v>
      </c>
      <c r="D1125" s="12" t="s">
        <v>84</v>
      </c>
      <c r="E1125" s="13" t="s">
        <v>30</v>
      </c>
      <c r="F1125" s="5" t="s">
        <v>85</v>
      </c>
      <c r="H1125" s="5" t="s">
        <v>233</v>
      </c>
      <c r="I1125" s="5">
        <v>1.0</v>
      </c>
      <c r="J1125" s="5">
        <v>0.0</v>
      </c>
      <c r="K1125" s="5">
        <v>0.0</v>
      </c>
    </row>
    <row r="1126">
      <c r="A1126" s="4" t="s">
        <v>4012</v>
      </c>
      <c r="B1126" s="11" t="s">
        <v>4013</v>
      </c>
      <c r="C1126" s="4" t="s">
        <v>906</v>
      </c>
      <c r="D1126" s="12" t="s">
        <v>84</v>
      </c>
      <c r="E1126" s="13" t="s">
        <v>30</v>
      </c>
      <c r="F1126" s="5" t="s">
        <v>85</v>
      </c>
      <c r="G1126" s="5" t="b">
        <v>0</v>
      </c>
      <c r="H1126" s="5" t="s">
        <v>4014</v>
      </c>
      <c r="I1126" s="5">
        <v>1.0</v>
      </c>
      <c r="J1126" s="5">
        <v>0.0</v>
      </c>
      <c r="K1126" s="5">
        <v>1.0</v>
      </c>
    </row>
    <row r="1127">
      <c r="A1127" s="4" t="s">
        <v>4015</v>
      </c>
      <c r="B1127" s="11" t="s">
        <v>4016</v>
      </c>
      <c r="C1127" s="4" t="s">
        <v>1916</v>
      </c>
      <c r="D1127" s="12" t="s">
        <v>29</v>
      </c>
      <c r="E1127" s="13" t="s">
        <v>53</v>
      </c>
      <c r="F1127" s="5" t="s">
        <v>31</v>
      </c>
      <c r="G1127" s="5" t="b">
        <v>0</v>
      </c>
      <c r="H1127" s="5" t="s">
        <v>4017</v>
      </c>
      <c r="I1127" s="5">
        <v>1.0</v>
      </c>
      <c r="J1127" s="5">
        <v>0.0</v>
      </c>
      <c r="K1127" s="5">
        <v>0.0</v>
      </c>
    </row>
    <row r="1128">
      <c r="A1128" s="4" t="s">
        <v>4018</v>
      </c>
      <c r="B1128" s="11" t="s">
        <v>4019</v>
      </c>
      <c r="C1128" s="4" t="s">
        <v>1919</v>
      </c>
      <c r="D1128" s="12" t="s">
        <v>29</v>
      </c>
      <c r="E1128" s="13" t="s">
        <v>53</v>
      </c>
      <c r="F1128" s="5" t="s">
        <v>31</v>
      </c>
      <c r="G1128" s="5" t="b">
        <v>0</v>
      </c>
      <c r="H1128" s="5" t="s">
        <v>4020</v>
      </c>
      <c r="I1128" s="5">
        <v>1.0</v>
      </c>
      <c r="J1128" s="5">
        <v>0.0</v>
      </c>
      <c r="K1128" s="5">
        <v>1.0</v>
      </c>
    </row>
    <row r="1129">
      <c r="A1129" s="4" t="s">
        <v>4021</v>
      </c>
      <c r="B1129" s="11" t="s">
        <v>4022</v>
      </c>
      <c r="C1129" s="4" t="s">
        <v>1923</v>
      </c>
      <c r="D1129" s="12" t="s">
        <v>126</v>
      </c>
      <c r="E1129" s="13" t="s">
        <v>53</v>
      </c>
      <c r="F1129" s="5" t="s">
        <v>127</v>
      </c>
      <c r="G1129" s="5" t="b">
        <v>0</v>
      </c>
      <c r="H1129" s="5" t="s">
        <v>4023</v>
      </c>
      <c r="I1129" s="5">
        <v>1.0</v>
      </c>
      <c r="J1129" s="5">
        <v>0.0</v>
      </c>
      <c r="K1129" s="5">
        <v>0.0</v>
      </c>
    </row>
    <row r="1130">
      <c r="A1130" s="4" t="s">
        <v>4024</v>
      </c>
      <c r="B1130" s="11" t="s">
        <v>4025</v>
      </c>
      <c r="C1130" s="4" t="s">
        <v>1926</v>
      </c>
      <c r="D1130" s="12" t="s">
        <v>29</v>
      </c>
      <c r="E1130" s="13" t="s">
        <v>53</v>
      </c>
      <c r="F1130" s="5" t="s">
        <v>31</v>
      </c>
      <c r="G1130" s="5" t="b">
        <v>0</v>
      </c>
      <c r="H1130" s="5" t="s">
        <v>4026</v>
      </c>
      <c r="I1130" s="5">
        <v>1.0</v>
      </c>
      <c r="J1130" s="5">
        <v>0.0</v>
      </c>
      <c r="K1130" s="5">
        <v>0.0</v>
      </c>
    </row>
    <row r="1131">
      <c r="A1131" s="4" t="s">
        <v>4027</v>
      </c>
      <c r="B1131" s="13"/>
      <c r="C1131" s="4" t="s">
        <v>1929</v>
      </c>
      <c r="D1131" s="12" t="s">
        <v>297</v>
      </c>
      <c r="E1131" s="13" t="s">
        <v>93</v>
      </c>
      <c r="F1131" s="5" t="s">
        <v>298</v>
      </c>
      <c r="G1131" s="5" t="b">
        <v>0</v>
      </c>
      <c r="H1131" s="5" t="s">
        <v>1931</v>
      </c>
      <c r="I1131" s="5">
        <v>1.0</v>
      </c>
      <c r="J1131" s="5">
        <v>0.0</v>
      </c>
      <c r="K1131" s="5">
        <v>0.0</v>
      </c>
    </row>
    <row r="1132">
      <c r="A1132" s="4" t="s">
        <v>4028</v>
      </c>
      <c r="B1132" s="11" t="s">
        <v>4029</v>
      </c>
      <c r="C1132" s="4" t="s">
        <v>1933</v>
      </c>
      <c r="D1132" s="12" t="s">
        <v>467</v>
      </c>
      <c r="E1132" s="13" t="s">
        <v>53</v>
      </c>
      <c r="F1132" s="5" t="s">
        <v>469</v>
      </c>
      <c r="G1132" s="5" t="b">
        <v>0</v>
      </c>
      <c r="I1132" s="5">
        <v>1.0</v>
      </c>
      <c r="J1132" s="5">
        <v>0.0</v>
      </c>
      <c r="K1132" s="5">
        <v>0.0</v>
      </c>
    </row>
    <row r="1133">
      <c r="A1133" s="4" t="s">
        <v>4030</v>
      </c>
      <c r="B1133" s="11" t="s">
        <v>4031</v>
      </c>
      <c r="C1133" s="4" t="s">
        <v>1935</v>
      </c>
      <c r="D1133" s="12" t="s">
        <v>84</v>
      </c>
      <c r="E1133" s="13" t="s">
        <v>53</v>
      </c>
      <c r="F1133" s="5" t="s">
        <v>85</v>
      </c>
      <c r="G1133" s="5" t="b">
        <v>0</v>
      </c>
      <c r="H1133" s="5" t="s">
        <v>952</v>
      </c>
      <c r="I1133" s="5">
        <v>1.0</v>
      </c>
      <c r="J1133" s="5">
        <v>0.0</v>
      </c>
      <c r="K1133" s="5">
        <v>0.0</v>
      </c>
    </row>
    <row r="1134">
      <c r="A1134" s="4" t="s">
        <v>4032</v>
      </c>
      <c r="B1134" s="11" t="s">
        <v>4033</v>
      </c>
      <c r="C1134" s="4" t="s">
        <v>336</v>
      </c>
      <c r="D1134" s="12" t="s">
        <v>29</v>
      </c>
      <c r="E1134" s="13" t="s">
        <v>53</v>
      </c>
      <c r="F1134" s="5" t="s">
        <v>31</v>
      </c>
      <c r="G1134" s="5" t="b">
        <v>0</v>
      </c>
      <c r="H1134" s="5" t="s">
        <v>3208</v>
      </c>
      <c r="I1134" s="5">
        <v>1.0</v>
      </c>
      <c r="J1134" s="5">
        <v>0.0</v>
      </c>
      <c r="K1134" s="5">
        <v>1.0</v>
      </c>
    </row>
    <row r="1135">
      <c r="A1135" s="4" t="s">
        <v>4034</v>
      </c>
      <c r="B1135" s="11" t="s">
        <v>4035</v>
      </c>
      <c r="C1135" s="4" t="s">
        <v>1938</v>
      </c>
      <c r="D1135" s="12" t="s">
        <v>467</v>
      </c>
      <c r="E1135" s="13" t="s">
        <v>53</v>
      </c>
      <c r="F1135" s="5" t="s">
        <v>469</v>
      </c>
      <c r="G1135" s="5" t="b">
        <v>0</v>
      </c>
      <c r="H1135" s="5" t="s">
        <v>4036</v>
      </c>
      <c r="I1135" s="5">
        <v>1.0</v>
      </c>
      <c r="J1135" s="5">
        <v>0.0</v>
      </c>
      <c r="K1135" s="5">
        <v>0.0</v>
      </c>
    </row>
    <row r="1136">
      <c r="A1136" s="4" t="s">
        <v>4037</v>
      </c>
      <c r="B1136" s="11" t="s">
        <v>4038</v>
      </c>
      <c r="C1136" s="4" t="s">
        <v>362</v>
      </c>
      <c r="D1136" s="12" t="s">
        <v>29</v>
      </c>
      <c r="E1136" s="13" t="s">
        <v>53</v>
      </c>
      <c r="F1136" s="5" t="s">
        <v>31</v>
      </c>
      <c r="G1136" s="5" t="b">
        <v>0</v>
      </c>
      <c r="H1136" s="5" t="s">
        <v>4039</v>
      </c>
      <c r="I1136" s="5">
        <v>1.0</v>
      </c>
      <c r="J1136" s="5">
        <v>0.0</v>
      </c>
      <c r="K1136" s="5">
        <v>1.0</v>
      </c>
    </row>
    <row r="1137">
      <c r="A1137" s="4" t="s">
        <v>4040</v>
      </c>
      <c r="B1137" s="11" t="s">
        <v>4041</v>
      </c>
      <c r="C1137" s="4" t="s">
        <v>1942</v>
      </c>
      <c r="D1137" s="12" t="s">
        <v>467</v>
      </c>
      <c r="E1137" s="13" t="s">
        <v>53</v>
      </c>
      <c r="F1137" s="5" t="s">
        <v>469</v>
      </c>
      <c r="G1137" s="5" t="b">
        <v>0</v>
      </c>
      <c r="I1137" s="5">
        <v>1.0</v>
      </c>
      <c r="J1137" s="5">
        <v>0.0</v>
      </c>
      <c r="K1137" s="5">
        <v>0.0</v>
      </c>
    </row>
    <row r="1138">
      <c r="A1138" s="4" t="s">
        <v>4042</v>
      </c>
      <c r="B1138" s="11" t="s">
        <v>4043</v>
      </c>
      <c r="C1138" s="4" t="s">
        <v>343</v>
      </c>
      <c r="D1138" s="12" t="s">
        <v>261</v>
      </c>
      <c r="E1138" s="13" t="s">
        <v>81</v>
      </c>
      <c r="F1138" s="5" t="s">
        <v>263</v>
      </c>
      <c r="G1138" s="5" t="b">
        <v>0</v>
      </c>
      <c r="H1138" s="5" t="s">
        <v>4044</v>
      </c>
      <c r="I1138" s="5">
        <v>1.0</v>
      </c>
      <c r="J1138" s="5">
        <v>0.0</v>
      </c>
      <c r="K1138" s="5">
        <v>0.0</v>
      </c>
    </row>
    <row r="1139">
      <c r="A1139" s="4" t="s">
        <v>4045</v>
      </c>
      <c r="B1139" s="11" t="s">
        <v>4046</v>
      </c>
      <c r="C1139" s="4" t="s">
        <v>343</v>
      </c>
      <c r="D1139" s="12" t="s">
        <v>29</v>
      </c>
      <c r="E1139" s="13" t="s">
        <v>81</v>
      </c>
      <c r="F1139" s="5" t="s">
        <v>31</v>
      </c>
      <c r="G1139" s="5" t="b">
        <v>0</v>
      </c>
      <c r="H1139" s="5" t="s">
        <v>4047</v>
      </c>
      <c r="I1139" s="5">
        <v>1.0</v>
      </c>
      <c r="J1139" s="5">
        <v>0.0</v>
      </c>
      <c r="K1139" s="5">
        <v>0.0</v>
      </c>
    </row>
    <row r="1140">
      <c r="A1140" s="4" t="s">
        <v>4048</v>
      </c>
      <c r="B1140" s="11" t="s">
        <v>4049</v>
      </c>
      <c r="C1140" s="4" t="s">
        <v>168</v>
      </c>
      <c r="D1140" s="12" t="s">
        <v>126</v>
      </c>
      <c r="E1140" s="13" t="s">
        <v>53</v>
      </c>
      <c r="F1140" s="5" t="s">
        <v>127</v>
      </c>
      <c r="G1140" s="5" t="b">
        <v>0</v>
      </c>
      <c r="H1140" s="5" t="s">
        <v>4050</v>
      </c>
      <c r="I1140" s="5">
        <v>1.0</v>
      </c>
      <c r="J1140" s="5">
        <v>0.0</v>
      </c>
      <c r="K1140" s="5">
        <v>0.0</v>
      </c>
    </row>
    <row r="1141">
      <c r="A1141" s="4" t="s">
        <v>4051</v>
      </c>
      <c r="B1141" s="11" t="s">
        <v>4052</v>
      </c>
      <c r="C1141" s="4" t="s">
        <v>1944</v>
      </c>
      <c r="D1141" s="12" t="s">
        <v>126</v>
      </c>
      <c r="E1141" s="13" t="s">
        <v>53</v>
      </c>
      <c r="F1141" s="5" t="s">
        <v>127</v>
      </c>
      <c r="G1141" s="5" t="b">
        <v>0</v>
      </c>
      <c r="I1141" s="5">
        <v>1.0</v>
      </c>
      <c r="J1141" s="5">
        <v>0.0</v>
      </c>
      <c r="K1141" s="5">
        <v>0.0</v>
      </c>
    </row>
    <row r="1142">
      <c r="A1142" s="4" t="s">
        <v>4053</v>
      </c>
      <c r="B1142" s="11" t="s">
        <v>4054</v>
      </c>
      <c r="C1142" s="4" t="s">
        <v>790</v>
      </c>
      <c r="D1142" s="12" t="s">
        <v>29</v>
      </c>
      <c r="E1142" s="13" t="s">
        <v>53</v>
      </c>
      <c r="F1142" s="5" t="s">
        <v>31</v>
      </c>
      <c r="G1142" s="5" t="b">
        <v>0</v>
      </c>
      <c r="H1142" s="5" t="s">
        <v>4055</v>
      </c>
      <c r="I1142" s="5">
        <v>1.0</v>
      </c>
      <c r="J1142" s="5">
        <v>0.0</v>
      </c>
      <c r="K1142" s="5">
        <v>1.0</v>
      </c>
    </row>
    <row r="1143">
      <c r="A1143" s="4" t="s">
        <v>4056</v>
      </c>
      <c r="B1143" s="11" t="s">
        <v>4057</v>
      </c>
      <c r="C1143" s="4" t="s">
        <v>1948</v>
      </c>
      <c r="D1143" s="12" t="s">
        <v>29</v>
      </c>
      <c r="E1143" s="13" t="s">
        <v>53</v>
      </c>
      <c r="F1143" s="5" t="s">
        <v>31</v>
      </c>
      <c r="G1143" s="5" t="b">
        <v>0</v>
      </c>
      <c r="H1143" s="5" t="s">
        <v>342</v>
      </c>
      <c r="I1143" s="5">
        <v>1.0</v>
      </c>
      <c r="J1143" s="5">
        <v>0.0</v>
      </c>
      <c r="K1143" s="5">
        <v>2.0</v>
      </c>
    </row>
    <row r="1144">
      <c r="A1144" s="4" t="s">
        <v>4058</v>
      </c>
      <c r="B1144" s="11" t="s">
        <v>4059</v>
      </c>
      <c r="C1144" s="4" t="s">
        <v>508</v>
      </c>
      <c r="D1144" s="12" t="s">
        <v>84</v>
      </c>
      <c r="E1144" s="13" t="s">
        <v>53</v>
      </c>
      <c r="F1144" s="5" t="s">
        <v>85</v>
      </c>
      <c r="G1144" s="5" t="b">
        <v>0</v>
      </c>
      <c r="I1144" s="5">
        <v>1.0</v>
      </c>
      <c r="J1144" s="5">
        <v>0.0</v>
      </c>
      <c r="K1144" s="5">
        <v>1.0</v>
      </c>
    </row>
    <row r="1145">
      <c r="A1145" s="4" t="s">
        <v>4060</v>
      </c>
      <c r="B1145" s="11" t="s">
        <v>4061</v>
      </c>
      <c r="C1145" s="4" t="s">
        <v>508</v>
      </c>
      <c r="D1145" s="12" t="s">
        <v>126</v>
      </c>
      <c r="E1145" s="13" t="s">
        <v>53</v>
      </c>
      <c r="F1145" s="5" t="s">
        <v>127</v>
      </c>
      <c r="G1145" s="5" t="b">
        <v>0</v>
      </c>
      <c r="H1145" s="5" t="s">
        <v>342</v>
      </c>
      <c r="I1145" s="5">
        <v>1.0</v>
      </c>
      <c r="J1145" s="5">
        <v>0.0</v>
      </c>
      <c r="K1145" s="5">
        <v>0.0</v>
      </c>
    </row>
    <row r="1146">
      <c r="A1146" s="4" t="s">
        <v>4062</v>
      </c>
      <c r="B1146" s="11" t="s">
        <v>4063</v>
      </c>
      <c r="C1146" s="4" t="s">
        <v>1778</v>
      </c>
      <c r="D1146" s="12" t="s">
        <v>261</v>
      </c>
      <c r="E1146" s="13" t="s">
        <v>678</v>
      </c>
      <c r="F1146" s="5" t="s">
        <v>263</v>
      </c>
      <c r="G1146" s="5" t="b">
        <v>0</v>
      </c>
      <c r="H1146" s="5" t="s">
        <v>4064</v>
      </c>
      <c r="I1146" s="5">
        <v>1.0</v>
      </c>
      <c r="J1146" s="5">
        <v>0.0</v>
      </c>
      <c r="K1146" s="5">
        <v>2.0</v>
      </c>
    </row>
    <row r="1147">
      <c r="A1147" s="4" t="s">
        <v>4065</v>
      </c>
      <c r="B1147" s="11" t="s">
        <v>4066</v>
      </c>
      <c r="C1147" s="4" t="s">
        <v>1146</v>
      </c>
      <c r="D1147" s="12" t="s">
        <v>29</v>
      </c>
      <c r="E1147" s="13" t="s">
        <v>53</v>
      </c>
      <c r="F1147" s="5" t="s">
        <v>31</v>
      </c>
      <c r="G1147" s="5" t="b">
        <v>0</v>
      </c>
      <c r="H1147" s="5" t="s">
        <v>4067</v>
      </c>
      <c r="I1147" s="5">
        <v>1.0</v>
      </c>
      <c r="J1147" s="5">
        <v>0.0</v>
      </c>
      <c r="K1147" s="5">
        <v>0.0</v>
      </c>
    </row>
    <row r="1148">
      <c r="A1148" s="4" t="s">
        <v>4068</v>
      </c>
      <c r="B1148" s="11" t="s">
        <v>4069</v>
      </c>
      <c r="C1148" s="4" t="s">
        <v>1950</v>
      </c>
      <c r="D1148" s="12" t="s">
        <v>467</v>
      </c>
      <c r="E1148" s="13" t="s">
        <v>53</v>
      </c>
      <c r="F1148" s="5" t="s">
        <v>469</v>
      </c>
      <c r="G1148" s="5" t="b">
        <v>0</v>
      </c>
      <c r="H1148" s="5" t="s">
        <v>649</v>
      </c>
      <c r="I1148" s="5">
        <v>1.0</v>
      </c>
      <c r="J1148" s="5">
        <v>0.0</v>
      </c>
      <c r="K1148" s="5">
        <v>1.0</v>
      </c>
    </row>
    <row r="1149">
      <c r="A1149" s="4" t="s">
        <v>4070</v>
      </c>
      <c r="B1149" s="11" t="s">
        <v>4071</v>
      </c>
      <c r="C1149" s="4" t="s">
        <v>293</v>
      </c>
      <c r="D1149" s="12" t="s">
        <v>126</v>
      </c>
      <c r="E1149" s="13" t="s">
        <v>53</v>
      </c>
      <c r="F1149" s="5" t="s">
        <v>127</v>
      </c>
      <c r="G1149" s="5" t="b">
        <v>0</v>
      </c>
      <c r="H1149" s="5" t="s">
        <v>396</v>
      </c>
      <c r="I1149" s="5">
        <v>1.0</v>
      </c>
      <c r="J1149" s="5">
        <v>0.0</v>
      </c>
      <c r="K1149" s="5">
        <v>0.0</v>
      </c>
    </row>
    <row r="1150">
      <c r="A1150" s="4" t="s">
        <v>4072</v>
      </c>
      <c r="B1150" s="11" t="s">
        <v>4073</v>
      </c>
      <c r="C1150" s="4" t="s">
        <v>1953</v>
      </c>
      <c r="D1150" s="12" t="s">
        <v>29</v>
      </c>
      <c r="E1150" s="13" t="s">
        <v>53</v>
      </c>
      <c r="F1150" s="5" t="s">
        <v>31</v>
      </c>
      <c r="G1150" s="5" t="b">
        <v>0</v>
      </c>
      <c r="H1150" s="5" t="s">
        <v>4074</v>
      </c>
      <c r="I1150" s="5">
        <v>1.0</v>
      </c>
      <c r="J1150" s="5">
        <v>0.0</v>
      </c>
      <c r="K1150" s="5">
        <v>1.0</v>
      </c>
    </row>
    <row r="1151">
      <c r="A1151" s="4" t="s">
        <v>4075</v>
      </c>
      <c r="B1151" s="11" t="s">
        <v>4076</v>
      </c>
      <c r="C1151" s="4" t="s">
        <v>1965</v>
      </c>
      <c r="D1151" s="12" t="s">
        <v>29</v>
      </c>
      <c r="E1151" s="13" t="s">
        <v>678</v>
      </c>
      <c r="F1151" s="5" t="s">
        <v>31</v>
      </c>
      <c r="G1151" s="5" t="b">
        <v>0</v>
      </c>
      <c r="H1151" s="5" t="s">
        <v>1968</v>
      </c>
      <c r="I1151" s="5">
        <v>1.0</v>
      </c>
      <c r="J1151" s="5">
        <v>0.0</v>
      </c>
      <c r="K1151" s="5">
        <v>0.0</v>
      </c>
    </row>
    <row r="1152">
      <c r="A1152" s="4" t="s">
        <v>4077</v>
      </c>
      <c r="B1152" s="11" t="s">
        <v>4078</v>
      </c>
      <c r="C1152" s="4" t="s">
        <v>217</v>
      </c>
      <c r="D1152" s="12" t="s">
        <v>467</v>
      </c>
      <c r="E1152" s="13" t="s">
        <v>81</v>
      </c>
      <c r="F1152" s="5" t="s">
        <v>469</v>
      </c>
      <c r="G1152" s="5" t="b">
        <v>0</v>
      </c>
      <c r="H1152" s="5" t="s">
        <v>4079</v>
      </c>
      <c r="I1152" s="5">
        <v>1.0</v>
      </c>
      <c r="J1152" s="5">
        <v>0.0</v>
      </c>
      <c r="K1152" s="5">
        <v>0.0</v>
      </c>
    </row>
    <row r="1153">
      <c r="A1153" s="4" t="s">
        <v>4080</v>
      </c>
      <c r="B1153" s="11" t="s">
        <v>4081</v>
      </c>
      <c r="C1153" s="4" t="s">
        <v>217</v>
      </c>
      <c r="D1153" s="12" t="s">
        <v>297</v>
      </c>
      <c r="E1153" s="13" t="s">
        <v>81</v>
      </c>
      <c r="F1153" s="5" t="s">
        <v>298</v>
      </c>
      <c r="G1153" s="5" t="b">
        <v>0</v>
      </c>
      <c r="H1153" s="5" t="s">
        <v>4082</v>
      </c>
      <c r="I1153" s="5">
        <v>1.0</v>
      </c>
      <c r="J1153" s="5">
        <v>0.0</v>
      </c>
      <c r="K1153" s="5">
        <v>2.0</v>
      </c>
    </row>
    <row r="1154">
      <c r="A1154" s="4" t="s">
        <v>4083</v>
      </c>
      <c r="B1154" s="11" t="s">
        <v>4084</v>
      </c>
      <c r="C1154" s="4" t="s">
        <v>1337</v>
      </c>
      <c r="D1154" s="12" t="s">
        <v>467</v>
      </c>
      <c r="E1154" s="13" t="s">
        <v>53</v>
      </c>
      <c r="F1154" s="5" t="s">
        <v>469</v>
      </c>
      <c r="G1154" s="5" t="b">
        <v>0</v>
      </c>
      <c r="H1154" s="5" t="s">
        <v>4085</v>
      </c>
      <c r="I1154" s="5">
        <v>1.0</v>
      </c>
      <c r="J1154" s="5">
        <v>0.0</v>
      </c>
      <c r="K1154" s="5">
        <v>2.0</v>
      </c>
    </row>
    <row r="1155">
      <c r="A1155" s="4" t="s">
        <v>4086</v>
      </c>
      <c r="B1155" s="11" t="s">
        <v>4087</v>
      </c>
      <c r="C1155" s="4" t="s">
        <v>1337</v>
      </c>
      <c r="D1155" s="12" t="s">
        <v>84</v>
      </c>
      <c r="E1155" s="13" t="s">
        <v>53</v>
      </c>
      <c r="F1155" s="5" t="s">
        <v>85</v>
      </c>
      <c r="G1155" s="5" t="b">
        <v>0</v>
      </c>
      <c r="H1155" s="5" t="s">
        <v>1339</v>
      </c>
      <c r="I1155" s="5">
        <v>1.0</v>
      </c>
      <c r="J1155" s="5">
        <v>0.0</v>
      </c>
      <c r="K1155" s="5">
        <v>1.0</v>
      </c>
    </row>
    <row r="1156">
      <c r="A1156" s="4" t="s">
        <v>4088</v>
      </c>
      <c r="B1156" s="13"/>
      <c r="C1156" s="4" t="s">
        <v>92</v>
      </c>
      <c r="D1156" s="12" t="s">
        <v>84</v>
      </c>
      <c r="E1156" s="13" t="s">
        <v>84</v>
      </c>
      <c r="F1156" s="5" t="s">
        <v>85</v>
      </c>
      <c r="H1156" s="5" t="s">
        <v>233</v>
      </c>
      <c r="I1156" s="5">
        <v>1.0</v>
      </c>
      <c r="J1156" s="5">
        <v>0.0</v>
      </c>
      <c r="K1156" s="5">
        <v>3.0</v>
      </c>
    </row>
    <row r="1157">
      <c r="A1157" s="4" t="s">
        <v>4089</v>
      </c>
      <c r="B1157" s="11" t="s">
        <v>4090</v>
      </c>
      <c r="C1157" s="4" t="s">
        <v>420</v>
      </c>
      <c r="D1157" s="12" t="s">
        <v>29</v>
      </c>
      <c r="E1157" s="13" t="s">
        <v>53</v>
      </c>
      <c r="F1157" s="5" t="s">
        <v>31</v>
      </c>
      <c r="G1157" s="5" t="b">
        <v>0</v>
      </c>
      <c r="H1157" s="5" t="s">
        <v>4091</v>
      </c>
      <c r="I1157" s="5">
        <v>1.0</v>
      </c>
      <c r="J1157" s="5">
        <v>0.0</v>
      </c>
      <c r="K1157" s="5">
        <v>0.0</v>
      </c>
    </row>
    <row r="1158">
      <c r="A1158" s="4" t="s">
        <v>4092</v>
      </c>
      <c r="B1158" s="11" t="s">
        <v>4093</v>
      </c>
      <c r="C1158" s="4" t="s">
        <v>1955</v>
      </c>
      <c r="D1158" s="12" t="s">
        <v>261</v>
      </c>
      <c r="E1158" s="13" t="s">
        <v>678</v>
      </c>
      <c r="F1158" s="5" t="s">
        <v>263</v>
      </c>
      <c r="G1158" s="5" t="b">
        <v>0</v>
      </c>
      <c r="H1158" s="5" t="s">
        <v>4094</v>
      </c>
      <c r="I1158" s="5">
        <v>1.0</v>
      </c>
      <c r="J1158" s="5">
        <v>0.0</v>
      </c>
      <c r="K1158" s="5">
        <v>1.0</v>
      </c>
    </row>
    <row r="1159">
      <c r="A1159" s="4" t="s">
        <v>4095</v>
      </c>
      <c r="B1159" s="11" t="s">
        <v>4096</v>
      </c>
      <c r="C1159" s="4" t="s">
        <v>1958</v>
      </c>
      <c r="D1159" s="12" t="s">
        <v>126</v>
      </c>
      <c r="E1159" s="13" t="s">
        <v>53</v>
      </c>
      <c r="F1159" s="5" t="s">
        <v>127</v>
      </c>
      <c r="G1159" s="5" t="b">
        <v>0</v>
      </c>
      <c r="H1159" s="5" t="s">
        <v>1960</v>
      </c>
      <c r="I1159" s="5">
        <v>1.0</v>
      </c>
      <c r="J1159" s="5">
        <v>0.0</v>
      </c>
      <c r="K1159" s="5">
        <v>0.0</v>
      </c>
    </row>
    <row r="1160">
      <c r="A1160" s="4" t="s">
        <v>4097</v>
      </c>
      <c r="B1160" s="11" t="s">
        <v>4098</v>
      </c>
      <c r="C1160" s="4" t="s">
        <v>1961</v>
      </c>
      <c r="D1160" s="12" t="s">
        <v>29</v>
      </c>
      <c r="E1160" s="13" t="s">
        <v>53</v>
      </c>
      <c r="F1160" s="5" t="s">
        <v>31</v>
      </c>
      <c r="G1160" s="5" t="b">
        <v>0</v>
      </c>
      <c r="H1160" s="5" t="s">
        <v>4099</v>
      </c>
      <c r="I1160" s="5">
        <v>1.0</v>
      </c>
      <c r="J1160" s="5">
        <v>0.0</v>
      </c>
      <c r="K1160" s="5">
        <v>1.0</v>
      </c>
    </row>
    <row r="1161">
      <c r="A1161" s="4" t="s">
        <v>4100</v>
      </c>
      <c r="B1161" s="11" t="s">
        <v>4101</v>
      </c>
      <c r="C1161" s="4" t="s">
        <v>1456</v>
      </c>
      <c r="D1161" s="12" t="s">
        <v>84</v>
      </c>
      <c r="E1161" s="13" t="s">
        <v>53</v>
      </c>
      <c r="F1161" s="5" t="s">
        <v>85</v>
      </c>
      <c r="G1161" s="5" t="b">
        <v>0</v>
      </c>
      <c r="I1161" s="5">
        <v>1.0</v>
      </c>
      <c r="J1161" s="5">
        <v>0.0</v>
      </c>
      <c r="K1161" s="5">
        <v>2.0</v>
      </c>
    </row>
    <row r="1162">
      <c r="A1162" s="4" t="s">
        <v>4102</v>
      </c>
      <c r="B1162" s="11" t="s">
        <v>4103</v>
      </c>
      <c r="C1162" s="4" t="s">
        <v>1970</v>
      </c>
      <c r="D1162" s="12" t="s">
        <v>670</v>
      </c>
      <c r="E1162" s="13" t="s">
        <v>2235</v>
      </c>
      <c r="F1162" s="5" t="s">
        <v>671</v>
      </c>
      <c r="G1162" s="5" t="b">
        <v>0</v>
      </c>
      <c r="H1162" s="5" t="s">
        <v>977</v>
      </c>
      <c r="I1162" s="5">
        <v>1.0</v>
      </c>
      <c r="J1162" s="5">
        <v>0.0</v>
      </c>
      <c r="K1162" s="5">
        <v>0.0</v>
      </c>
    </row>
    <row r="1163">
      <c r="A1163" s="4" t="s">
        <v>4104</v>
      </c>
      <c r="B1163" s="11" t="s">
        <v>4105</v>
      </c>
      <c r="C1163" s="4" t="s">
        <v>1342</v>
      </c>
      <c r="D1163" s="12" t="s">
        <v>297</v>
      </c>
      <c r="E1163" s="13" t="s">
        <v>53</v>
      </c>
      <c r="F1163" s="5" t="s">
        <v>298</v>
      </c>
      <c r="G1163" s="5" t="b">
        <v>0</v>
      </c>
      <c r="I1163" s="5">
        <v>1.0</v>
      </c>
      <c r="J1163" s="5">
        <v>0.0</v>
      </c>
      <c r="K1163" s="5">
        <v>1.0</v>
      </c>
    </row>
    <row r="1164">
      <c r="A1164" s="4" t="s">
        <v>4106</v>
      </c>
      <c r="B1164" s="11" t="s">
        <v>4107</v>
      </c>
      <c r="C1164" s="4" t="s">
        <v>1342</v>
      </c>
      <c r="D1164" s="12" t="s">
        <v>126</v>
      </c>
      <c r="E1164" s="13" t="s">
        <v>53</v>
      </c>
      <c r="F1164" s="5" t="s">
        <v>127</v>
      </c>
      <c r="G1164" s="5" t="b">
        <v>0</v>
      </c>
      <c r="I1164" s="5">
        <v>1.0</v>
      </c>
      <c r="J1164" s="5">
        <v>0.0</v>
      </c>
      <c r="K1164" s="5">
        <v>3.0</v>
      </c>
    </row>
    <row r="1165">
      <c r="A1165" s="4" t="s">
        <v>4108</v>
      </c>
      <c r="B1165" s="11" t="s">
        <v>4109</v>
      </c>
      <c r="C1165" s="4" t="s">
        <v>104</v>
      </c>
      <c r="D1165" s="12" t="s">
        <v>261</v>
      </c>
      <c r="E1165" s="13" t="s">
        <v>30</v>
      </c>
      <c r="F1165" s="5" t="s">
        <v>263</v>
      </c>
      <c r="G1165" s="5" t="b">
        <v>0</v>
      </c>
      <c r="H1165" s="5" t="s">
        <v>2133</v>
      </c>
      <c r="I1165" s="5">
        <v>1.0</v>
      </c>
      <c r="J1165" s="5">
        <v>0.0</v>
      </c>
      <c r="K1165" s="5">
        <v>1.0</v>
      </c>
    </row>
    <row r="1166">
      <c r="A1166" s="4" t="s">
        <v>4110</v>
      </c>
      <c r="B1166" s="11" t="s">
        <v>4111</v>
      </c>
      <c r="C1166" s="4" t="s">
        <v>104</v>
      </c>
      <c r="D1166" s="12" t="s">
        <v>84</v>
      </c>
      <c r="E1166" s="13" t="s">
        <v>30</v>
      </c>
      <c r="F1166" s="5" t="s">
        <v>85</v>
      </c>
      <c r="G1166" s="5" t="b">
        <v>0</v>
      </c>
      <c r="H1166" s="5" t="s">
        <v>4112</v>
      </c>
      <c r="I1166" s="5">
        <v>1.0</v>
      </c>
      <c r="J1166" s="5">
        <v>0.0</v>
      </c>
      <c r="K1166" s="5">
        <v>2.0</v>
      </c>
    </row>
    <row r="1167">
      <c r="A1167" s="4" t="s">
        <v>4113</v>
      </c>
      <c r="B1167" s="11" t="s">
        <v>4114</v>
      </c>
      <c r="C1167" s="4" t="s">
        <v>104</v>
      </c>
      <c r="D1167" s="12" t="s">
        <v>261</v>
      </c>
      <c r="E1167" s="13" t="s">
        <v>30</v>
      </c>
      <c r="F1167" s="5" t="s">
        <v>263</v>
      </c>
      <c r="G1167" s="5" t="b">
        <v>0</v>
      </c>
      <c r="H1167" s="5" t="s">
        <v>342</v>
      </c>
      <c r="I1167" s="5">
        <v>1.0</v>
      </c>
      <c r="J1167" s="5">
        <v>0.0</v>
      </c>
      <c r="K1167" s="5">
        <v>1.0</v>
      </c>
    </row>
    <row r="1168">
      <c r="A1168" s="4" t="s">
        <v>4115</v>
      </c>
      <c r="B1168" s="11" t="s">
        <v>4116</v>
      </c>
      <c r="C1168" s="4" t="s">
        <v>1971</v>
      </c>
      <c r="D1168" s="12" t="s">
        <v>467</v>
      </c>
      <c r="E1168" s="13" t="s">
        <v>53</v>
      </c>
      <c r="F1168" s="5" t="s">
        <v>469</v>
      </c>
      <c r="G1168" s="5" t="b">
        <v>0</v>
      </c>
      <c r="I1168" s="5">
        <v>1.0</v>
      </c>
      <c r="J1168" s="5">
        <v>0.0</v>
      </c>
      <c r="K1168" s="5">
        <v>2.0</v>
      </c>
    </row>
    <row r="1169">
      <c r="A1169" s="4" t="s">
        <v>4117</v>
      </c>
      <c r="B1169" s="11" t="s">
        <v>4118</v>
      </c>
      <c r="C1169" s="4" t="s">
        <v>1973</v>
      </c>
      <c r="D1169" s="12" t="s">
        <v>467</v>
      </c>
      <c r="E1169" s="13" t="s">
        <v>53</v>
      </c>
      <c r="F1169" s="5" t="s">
        <v>469</v>
      </c>
      <c r="G1169" s="5" t="b">
        <v>0</v>
      </c>
      <c r="H1169" s="5" t="s">
        <v>247</v>
      </c>
      <c r="I1169" s="5">
        <v>1.0</v>
      </c>
      <c r="J1169" s="5">
        <v>0.0</v>
      </c>
      <c r="K1169" s="5">
        <v>0.0</v>
      </c>
    </row>
    <row r="1170">
      <c r="A1170" s="4" t="s">
        <v>4119</v>
      </c>
      <c r="B1170" s="11" t="s">
        <v>4120</v>
      </c>
      <c r="C1170" s="4" t="s">
        <v>1345</v>
      </c>
      <c r="D1170" s="12" t="s">
        <v>29</v>
      </c>
      <c r="E1170" s="13" t="s">
        <v>84</v>
      </c>
      <c r="F1170" s="5" t="s">
        <v>31</v>
      </c>
      <c r="G1170" s="5" t="b">
        <v>0</v>
      </c>
      <c r="H1170" s="5" t="s">
        <v>4121</v>
      </c>
      <c r="I1170" s="5">
        <v>1.0</v>
      </c>
      <c r="J1170" s="5">
        <v>0.0</v>
      </c>
      <c r="K1170" s="5">
        <v>0.0</v>
      </c>
    </row>
    <row r="1171">
      <c r="A1171" s="4" t="s">
        <v>4122</v>
      </c>
      <c r="B1171" s="11" t="s">
        <v>4123</v>
      </c>
      <c r="C1171" s="4" t="s">
        <v>1345</v>
      </c>
      <c r="D1171" s="12" t="s">
        <v>433</v>
      </c>
      <c r="E1171" s="13" t="s">
        <v>84</v>
      </c>
      <c r="F1171" s="5" t="s">
        <v>434</v>
      </c>
      <c r="G1171" s="5" t="b">
        <v>0</v>
      </c>
      <c r="H1171" s="5" t="s">
        <v>2557</v>
      </c>
      <c r="I1171" s="5">
        <v>1.0</v>
      </c>
      <c r="J1171" s="5">
        <v>0.0</v>
      </c>
      <c r="K1171" s="5">
        <v>1.0</v>
      </c>
    </row>
    <row r="1172">
      <c r="A1172" s="4" t="s">
        <v>4124</v>
      </c>
      <c r="B1172" s="11" t="s">
        <v>4125</v>
      </c>
      <c r="C1172" s="4" t="s">
        <v>1349</v>
      </c>
      <c r="D1172" s="12" t="s">
        <v>126</v>
      </c>
      <c r="E1172" s="13" t="s">
        <v>53</v>
      </c>
      <c r="F1172" s="5" t="s">
        <v>127</v>
      </c>
      <c r="G1172" s="5" t="b">
        <v>0</v>
      </c>
      <c r="I1172" s="5">
        <v>1.0</v>
      </c>
      <c r="J1172" s="5">
        <v>0.0</v>
      </c>
      <c r="K1172" s="5">
        <v>0.0</v>
      </c>
    </row>
    <row r="1173">
      <c r="A1173" s="4" t="s">
        <v>4126</v>
      </c>
      <c r="B1173" s="11" t="s">
        <v>4127</v>
      </c>
      <c r="C1173" s="4" t="s">
        <v>1349</v>
      </c>
      <c r="D1173" s="12" t="s">
        <v>126</v>
      </c>
      <c r="E1173" s="13" t="s">
        <v>53</v>
      </c>
      <c r="F1173" s="5" t="s">
        <v>127</v>
      </c>
      <c r="G1173" s="5" t="b">
        <v>0</v>
      </c>
      <c r="H1173" s="5" t="s">
        <v>342</v>
      </c>
      <c r="I1173" s="5">
        <v>1.0</v>
      </c>
      <c r="J1173" s="5">
        <v>0.0</v>
      </c>
      <c r="K1173" s="5">
        <v>1.0</v>
      </c>
    </row>
    <row r="1174">
      <c r="A1174" s="4" t="s">
        <v>4128</v>
      </c>
      <c r="B1174" s="11" t="s">
        <v>4129</v>
      </c>
      <c r="C1174" s="4" t="s">
        <v>1976</v>
      </c>
      <c r="D1174" s="12" t="s">
        <v>29</v>
      </c>
      <c r="E1174" s="13" t="s">
        <v>53</v>
      </c>
      <c r="F1174" s="5" t="s">
        <v>31</v>
      </c>
      <c r="G1174" s="5" t="b">
        <v>0</v>
      </c>
      <c r="H1174" s="5" t="s">
        <v>1613</v>
      </c>
      <c r="I1174" s="5">
        <v>1.0</v>
      </c>
      <c r="J1174" s="5">
        <v>0.0</v>
      </c>
      <c r="K1174" s="5">
        <v>1.0</v>
      </c>
    </row>
    <row r="1175">
      <c r="A1175" s="4" t="s">
        <v>4130</v>
      </c>
      <c r="B1175" s="11" t="s">
        <v>4131</v>
      </c>
      <c r="C1175" s="4" t="s">
        <v>1979</v>
      </c>
      <c r="D1175" s="12" t="s">
        <v>29</v>
      </c>
      <c r="E1175" s="13" t="s">
        <v>53</v>
      </c>
      <c r="F1175" s="5" t="s">
        <v>31</v>
      </c>
      <c r="G1175" s="5" t="b">
        <v>0</v>
      </c>
      <c r="H1175" s="5" t="s">
        <v>4132</v>
      </c>
      <c r="I1175" s="5">
        <v>1.0</v>
      </c>
      <c r="J1175" s="5">
        <v>0.0</v>
      </c>
      <c r="K1175" s="5">
        <v>1.0</v>
      </c>
    </row>
    <row r="1176">
      <c r="A1176" s="4" t="s">
        <v>4133</v>
      </c>
      <c r="B1176" s="11" t="s">
        <v>4134</v>
      </c>
      <c r="C1176" s="4" t="s">
        <v>1985</v>
      </c>
      <c r="D1176" s="12" t="s">
        <v>126</v>
      </c>
      <c r="E1176" s="13" t="s">
        <v>53</v>
      </c>
      <c r="F1176" s="5" t="s">
        <v>127</v>
      </c>
      <c r="G1176" s="5" t="b">
        <v>0</v>
      </c>
      <c r="I1176" s="5">
        <v>1.0</v>
      </c>
      <c r="J1176" s="5">
        <v>0.0</v>
      </c>
      <c r="K1176" s="5">
        <v>1.0</v>
      </c>
    </row>
    <row r="1177">
      <c r="A1177" s="4" t="s">
        <v>4135</v>
      </c>
      <c r="B1177" s="11" t="s">
        <v>4136</v>
      </c>
      <c r="C1177" s="4" t="s">
        <v>1987</v>
      </c>
      <c r="D1177" s="12" t="s">
        <v>29</v>
      </c>
      <c r="E1177" s="13" t="s">
        <v>53</v>
      </c>
      <c r="F1177" s="5" t="s">
        <v>31</v>
      </c>
      <c r="G1177" s="5" t="b">
        <v>0</v>
      </c>
      <c r="H1177" s="5" t="s">
        <v>4137</v>
      </c>
      <c r="I1177" s="5">
        <v>1.0</v>
      </c>
      <c r="J1177" s="5">
        <v>0.0</v>
      </c>
      <c r="K1177" s="5">
        <v>1.0</v>
      </c>
    </row>
    <row r="1178">
      <c r="A1178" s="4" t="s">
        <v>4138</v>
      </c>
      <c r="B1178" s="11" t="s">
        <v>4139</v>
      </c>
      <c r="C1178" s="4" t="s">
        <v>1989</v>
      </c>
      <c r="D1178" s="12" t="s">
        <v>126</v>
      </c>
      <c r="E1178" s="13" t="s">
        <v>53</v>
      </c>
      <c r="F1178" s="5" t="s">
        <v>127</v>
      </c>
      <c r="G1178" s="5" t="b">
        <v>0</v>
      </c>
      <c r="H1178" s="5" t="s">
        <v>342</v>
      </c>
      <c r="I1178" s="5">
        <v>1.0</v>
      </c>
      <c r="J1178" s="5">
        <v>0.0</v>
      </c>
      <c r="K1178" s="5">
        <v>1.0</v>
      </c>
    </row>
    <row r="1179">
      <c r="A1179" s="4" t="s">
        <v>4140</v>
      </c>
      <c r="B1179" s="11" t="s">
        <v>4141</v>
      </c>
      <c r="C1179" s="4" t="s">
        <v>1990</v>
      </c>
      <c r="D1179" s="12" t="s">
        <v>297</v>
      </c>
      <c r="E1179" s="13" t="s">
        <v>678</v>
      </c>
      <c r="F1179" s="5" t="s">
        <v>298</v>
      </c>
      <c r="G1179" s="5" t="b">
        <v>0</v>
      </c>
      <c r="H1179" s="5" t="s">
        <v>4142</v>
      </c>
      <c r="I1179" s="5">
        <v>1.0</v>
      </c>
      <c r="J1179" s="5">
        <v>0.0</v>
      </c>
      <c r="K1179" s="5">
        <v>0.0</v>
      </c>
    </row>
    <row r="1180">
      <c r="A1180" s="4" t="s">
        <v>4143</v>
      </c>
      <c r="B1180" s="11" t="s">
        <v>4144</v>
      </c>
      <c r="C1180" s="4" t="s">
        <v>1458</v>
      </c>
      <c r="D1180" s="12" t="s">
        <v>297</v>
      </c>
      <c r="E1180" s="13" t="s">
        <v>30</v>
      </c>
      <c r="F1180" s="5" t="s">
        <v>298</v>
      </c>
      <c r="G1180" s="5" t="b">
        <v>0</v>
      </c>
      <c r="H1180" s="5" t="s">
        <v>4145</v>
      </c>
      <c r="I1180" s="5">
        <v>1.0</v>
      </c>
      <c r="J1180" s="5">
        <v>0.0</v>
      </c>
      <c r="K1180" s="5">
        <v>2.0</v>
      </c>
    </row>
    <row r="1181">
      <c r="A1181" s="4" t="s">
        <v>4146</v>
      </c>
      <c r="B1181" s="11" t="s">
        <v>4147</v>
      </c>
      <c r="C1181" s="4" t="s">
        <v>1458</v>
      </c>
      <c r="D1181" s="12" t="s">
        <v>126</v>
      </c>
      <c r="E1181" s="13" t="s">
        <v>30</v>
      </c>
      <c r="F1181" s="5" t="s">
        <v>127</v>
      </c>
      <c r="G1181" s="5" t="b">
        <v>0</v>
      </c>
      <c r="H1181" s="5" t="s">
        <v>4148</v>
      </c>
      <c r="I1181" s="5">
        <v>1.0</v>
      </c>
      <c r="J1181" s="5">
        <v>0.0</v>
      </c>
      <c r="K1181" s="5">
        <v>0.0</v>
      </c>
    </row>
    <row r="1182">
      <c r="A1182" s="4" t="s">
        <v>4149</v>
      </c>
      <c r="B1182" s="11" t="s">
        <v>4150</v>
      </c>
      <c r="C1182" s="4" t="s">
        <v>1993</v>
      </c>
      <c r="D1182" s="12" t="s">
        <v>84</v>
      </c>
      <c r="E1182" s="13" t="s">
        <v>53</v>
      </c>
      <c r="F1182" s="5" t="s">
        <v>85</v>
      </c>
      <c r="G1182" s="5" t="b">
        <v>0</v>
      </c>
      <c r="I1182" s="5">
        <v>1.0</v>
      </c>
      <c r="J1182" s="5">
        <v>0.0</v>
      </c>
      <c r="K1182" s="5">
        <v>0.0</v>
      </c>
    </row>
    <row r="1183">
      <c r="A1183" s="4" t="s">
        <v>4151</v>
      </c>
      <c r="B1183" s="11" t="s">
        <v>4152</v>
      </c>
      <c r="C1183" s="5" t="s">
        <v>1996</v>
      </c>
      <c r="D1183" s="12" t="s">
        <v>126</v>
      </c>
      <c r="E1183" s="13" t="s">
        <v>53</v>
      </c>
      <c r="F1183" s="5" t="s">
        <v>127</v>
      </c>
      <c r="G1183" s="5" t="b">
        <v>0</v>
      </c>
      <c r="I1183" s="5">
        <v>1.0</v>
      </c>
      <c r="J1183" s="5">
        <v>0.0</v>
      </c>
      <c r="K1183" s="5">
        <v>1.0</v>
      </c>
    </row>
    <row r="1184">
      <c r="A1184" s="4" t="s">
        <v>4153</v>
      </c>
      <c r="B1184" s="11" t="s">
        <v>4154</v>
      </c>
      <c r="C1184" s="5" t="s">
        <v>73</v>
      </c>
      <c r="D1184" s="12" t="s">
        <v>29</v>
      </c>
      <c r="E1184" s="13" t="s">
        <v>53</v>
      </c>
      <c r="F1184" s="5" t="s">
        <v>31</v>
      </c>
      <c r="G1184" s="5" t="b">
        <v>0</v>
      </c>
      <c r="H1184" s="5" t="s">
        <v>4155</v>
      </c>
      <c r="I1184" s="5">
        <v>1.0</v>
      </c>
      <c r="J1184" s="5">
        <v>0.0</v>
      </c>
      <c r="K1184" s="5">
        <v>0.0</v>
      </c>
    </row>
    <row r="1185">
      <c r="A1185" s="4" t="s">
        <v>4156</v>
      </c>
      <c r="B1185" s="11" t="s">
        <v>4157</v>
      </c>
      <c r="C1185" s="5" t="s">
        <v>73</v>
      </c>
      <c r="D1185" s="12" t="s">
        <v>29</v>
      </c>
      <c r="E1185" s="13" t="s">
        <v>53</v>
      </c>
      <c r="F1185" s="5" t="s">
        <v>31</v>
      </c>
      <c r="G1185" s="5" t="b">
        <v>0</v>
      </c>
      <c r="H1185" s="5" t="s">
        <v>4158</v>
      </c>
      <c r="I1185" s="5">
        <v>1.0</v>
      </c>
      <c r="J1185" s="5">
        <v>0.0</v>
      </c>
      <c r="K1185" s="5">
        <v>1.0</v>
      </c>
    </row>
    <row r="1186">
      <c r="A1186" s="4" t="s">
        <v>4159</v>
      </c>
      <c r="B1186" s="11" t="s">
        <v>4160</v>
      </c>
      <c r="C1186" s="5" t="s">
        <v>73</v>
      </c>
      <c r="D1186" s="12" t="s">
        <v>29</v>
      </c>
      <c r="E1186" s="13" t="s">
        <v>53</v>
      </c>
      <c r="F1186" s="5" t="s">
        <v>31</v>
      </c>
      <c r="G1186" s="5" t="b">
        <v>0</v>
      </c>
      <c r="H1186" s="5" t="s">
        <v>4161</v>
      </c>
      <c r="I1186" s="5">
        <v>1.0</v>
      </c>
      <c r="J1186" s="5">
        <v>0.0</v>
      </c>
      <c r="K1186" s="5">
        <v>1.0</v>
      </c>
    </row>
    <row r="1187">
      <c r="A1187" s="4" t="s">
        <v>4162</v>
      </c>
      <c r="B1187" s="11" t="s">
        <v>839</v>
      </c>
      <c r="C1187" s="5" t="s">
        <v>73</v>
      </c>
      <c r="D1187" s="12" t="s">
        <v>29</v>
      </c>
      <c r="E1187" s="13" t="s">
        <v>53</v>
      </c>
      <c r="F1187" s="5" t="s">
        <v>31</v>
      </c>
      <c r="G1187" s="5" t="b">
        <v>0</v>
      </c>
      <c r="H1187" s="5" t="s">
        <v>841</v>
      </c>
      <c r="I1187" s="5">
        <v>1.0</v>
      </c>
      <c r="J1187" s="5">
        <v>0.0</v>
      </c>
      <c r="K1187" s="5">
        <v>0.0</v>
      </c>
    </row>
    <row r="1188">
      <c r="A1188" s="4" t="s">
        <v>4163</v>
      </c>
      <c r="B1188" s="11" t="s">
        <v>4164</v>
      </c>
      <c r="C1188" s="5" t="s">
        <v>73</v>
      </c>
      <c r="D1188" s="12" t="s">
        <v>29</v>
      </c>
      <c r="E1188" s="13" t="s">
        <v>53</v>
      </c>
      <c r="F1188" s="5" t="s">
        <v>31</v>
      </c>
      <c r="G1188" s="5" t="b">
        <v>0</v>
      </c>
      <c r="H1188" s="5" t="s">
        <v>4165</v>
      </c>
      <c r="I1188" s="5">
        <v>1.0</v>
      </c>
      <c r="J1188" s="5">
        <v>0.0</v>
      </c>
      <c r="K1188" s="5">
        <v>1.0</v>
      </c>
    </row>
    <row r="1189">
      <c r="A1189" s="4" t="s">
        <v>4166</v>
      </c>
      <c r="B1189" s="11" t="s">
        <v>4167</v>
      </c>
      <c r="C1189" s="4" t="s">
        <v>1998</v>
      </c>
      <c r="D1189" s="12" t="s">
        <v>670</v>
      </c>
      <c r="E1189" s="13" t="s">
        <v>81</v>
      </c>
      <c r="F1189" s="5" t="s">
        <v>671</v>
      </c>
      <c r="G1189" s="5" t="b">
        <v>0</v>
      </c>
      <c r="I1189" s="5">
        <v>1.0</v>
      </c>
      <c r="J1189" s="5">
        <v>0.0</v>
      </c>
      <c r="K1189" s="5">
        <v>1.0</v>
      </c>
    </row>
    <row r="1190">
      <c r="A1190" s="4" t="s">
        <v>4168</v>
      </c>
      <c r="B1190" s="11" t="s">
        <v>4169</v>
      </c>
      <c r="C1190" s="4" t="s">
        <v>2000</v>
      </c>
      <c r="D1190" s="12" t="s">
        <v>29</v>
      </c>
      <c r="E1190" s="13" t="s">
        <v>53</v>
      </c>
      <c r="F1190" s="5" t="s">
        <v>31</v>
      </c>
      <c r="G1190" s="5" t="b">
        <v>0</v>
      </c>
      <c r="H1190" s="5" t="s">
        <v>4170</v>
      </c>
      <c r="I1190" s="5">
        <v>1.0</v>
      </c>
      <c r="J1190" s="5">
        <v>0.0</v>
      </c>
      <c r="K1190" s="5">
        <v>1.0</v>
      </c>
    </row>
    <row r="1191">
      <c r="A1191" s="4" t="s">
        <v>4171</v>
      </c>
      <c r="B1191" s="11" t="s">
        <v>4172</v>
      </c>
      <c r="C1191" s="4" t="s">
        <v>2004</v>
      </c>
      <c r="D1191" s="12" t="s">
        <v>29</v>
      </c>
      <c r="E1191" s="13" t="s">
        <v>53</v>
      </c>
      <c r="F1191" s="5" t="s">
        <v>31</v>
      </c>
      <c r="G1191" s="5" t="b">
        <v>0</v>
      </c>
      <c r="H1191" s="5" t="s">
        <v>4173</v>
      </c>
      <c r="I1191" s="5">
        <v>1.0</v>
      </c>
      <c r="J1191" s="5">
        <v>0.0</v>
      </c>
      <c r="K1191" s="5">
        <v>0.0</v>
      </c>
    </row>
    <row r="1192">
      <c r="A1192" s="4" t="s">
        <v>4174</v>
      </c>
      <c r="B1192" s="11" t="s">
        <v>4175</v>
      </c>
      <c r="C1192" s="4" t="s">
        <v>542</v>
      </c>
      <c r="D1192" s="12" t="s">
        <v>84</v>
      </c>
      <c r="E1192" s="13" t="s">
        <v>53</v>
      </c>
      <c r="F1192" s="5" t="s">
        <v>85</v>
      </c>
      <c r="G1192" s="5" t="b">
        <v>0</v>
      </c>
      <c r="I1192" s="5">
        <v>1.0</v>
      </c>
      <c r="J1192" s="5">
        <v>0.0</v>
      </c>
      <c r="K1192" s="5">
        <v>1.0</v>
      </c>
    </row>
    <row r="1193">
      <c r="A1193" s="4" t="s">
        <v>4176</v>
      </c>
      <c r="B1193" s="11" t="s">
        <v>4177</v>
      </c>
      <c r="C1193" s="4" t="s">
        <v>354</v>
      </c>
      <c r="D1193" s="12" t="s">
        <v>297</v>
      </c>
      <c r="E1193" s="13" t="s">
        <v>81</v>
      </c>
      <c r="F1193" s="5" t="s">
        <v>298</v>
      </c>
      <c r="G1193" s="5" t="b">
        <v>0</v>
      </c>
      <c r="H1193" s="5" t="s">
        <v>2114</v>
      </c>
      <c r="I1193" s="5">
        <v>1.0</v>
      </c>
      <c r="J1193" s="5">
        <v>0.0</v>
      </c>
      <c r="K1193" s="5">
        <v>0.0</v>
      </c>
    </row>
    <row r="1194">
      <c r="A1194" s="4" t="s">
        <v>4178</v>
      </c>
      <c r="B1194" s="11" t="s">
        <v>4179</v>
      </c>
      <c r="C1194" s="4" t="s">
        <v>354</v>
      </c>
      <c r="D1194" s="12" t="s">
        <v>126</v>
      </c>
      <c r="E1194" s="13" t="s">
        <v>81</v>
      </c>
      <c r="F1194" s="5" t="s">
        <v>127</v>
      </c>
      <c r="G1194" s="5" t="b">
        <v>0</v>
      </c>
      <c r="H1194" s="5" t="s">
        <v>4180</v>
      </c>
      <c r="I1194" s="5">
        <v>1.0</v>
      </c>
      <c r="J1194" s="5">
        <v>0.0</v>
      </c>
      <c r="K1194" s="5">
        <v>0.0</v>
      </c>
    </row>
    <row r="1195">
      <c r="A1195" s="4" t="s">
        <v>4181</v>
      </c>
      <c r="B1195" s="11" t="s">
        <v>4182</v>
      </c>
      <c r="C1195" s="4" t="s">
        <v>354</v>
      </c>
      <c r="D1195" s="12" t="s">
        <v>433</v>
      </c>
      <c r="E1195" s="13" t="s">
        <v>81</v>
      </c>
      <c r="F1195" s="5" t="s">
        <v>434</v>
      </c>
      <c r="G1195" s="5" t="b">
        <v>0</v>
      </c>
      <c r="H1195" s="5" t="s">
        <v>4183</v>
      </c>
      <c r="I1195" s="5">
        <v>1.0</v>
      </c>
      <c r="J1195" s="5">
        <v>0.0</v>
      </c>
      <c r="K1195" s="5">
        <v>0.0</v>
      </c>
    </row>
    <row r="1196">
      <c r="A1196" s="4" t="s">
        <v>4184</v>
      </c>
      <c r="B1196" s="11" t="s">
        <v>4185</v>
      </c>
      <c r="C1196" s="4" t="s">
        <v>2006</v>
      </c>
      <c r="D1196" s="12" t="s">
        <v>126</v>
      </c>
      <c r="E1196" s="13" t="s">
        <v>53</v>
      </c>
      <c r="F1196" s="5" t="s">
        <v>127</v>
      </c>
      <c r="G1196" s="5" t="b">
        <v>0</v>
      </c>
      <c r="I1196" s="5">
        <v>1.0</v>
      </c>
      <c r="J1196" s="5">
        <v>0.0</v>
      </c>
      <c r="K1196" s="5">
        <v>5.0</v>
      </c>
    </row>
    <row r="1197">
      <c r="A1197" s="4" t="s">
        <v>4186</v>
      </c>
      <c r="B1197" s="11" t="s">
        <v>4187</v>
      </c>
      <c r="C1197" s="4" t="s">
        <v>2009</v>
      </c>
      <c r="D1197" s="12" t="s">
        <v>29</v>
      </c>
      <c r="E1197" s="13" t="s">
        <v>53</v>
      </c>
      <c r="F1197" s="5" t="s">
        <v>31</v>
      </c>
      <c r="G1197" s="5" t="b">
        <v>0</v>
      </c>
      <c r="H1197" s="5" t="s">
        <v>396</v>
      </c>
      <c r="I1197" s="5">
        <v>1.0</v>
      </c>
      <c r="J1197" s="5">
        <v>0.0</v>
      </c>
      <c r="K1197" s="5">
        <v>1.0</v>
      </c>
    </row>
    <row r="1198">
      <c r="A1198" s="4" t="s">
        <v>4188</v>
      </c>
      <c r="B1198" s="11" t="s">
        <v>4189</v>
      </c>
      <c r="C1198" s="4" t="s">
        <v>886</v>
      </c>
      <c r="D1198" s="12" t="s">
        <v>29</v>
      </c>
      <c r="E1198" s="13" t="s">
        <v>30</v>
      </c>
      <c r="F1198" s="5" t="s">
        <v>31</v>
      </c>
      <c r="G1198" s="5" t="b">
        <v>0</v>
      </c>
      <c r="H1198" s="5" t="s">
        <v>3076</v>
      </c>
      <c r="I1198" s="5">
        <v>1.0</v>
      </c>
      <c r="J1198" s="5">
        <v>0.0</v>
      </c>
      <c r="K1198" s="5">
        <v>0.0</v>
      </c>
    </row>
    <row r="1199">
      <c r="A1199" s="4" t="s">
        <v>4190</v>
      </c>
      <c r="B1199" s="11" t="s">
        <v>4191</v>
      </c>
      <c r="C1199" s="4" t="s">
        <v>2013</v>
      </c>
      <c r="D1199" s="12" t="s">
        <v>29</v>
      </c>
      <c r="E1199" s="13" t="s">
        <v>53</v>
      </c>
      <c r="F1199" s="5" t="s">
        <v>31</v>
      </c>
      <c r="G1199" s="5" t="b">
        <v>0</v>
      </c>
      <c r="I1199" s="5">
        <v>1.0</v>
      </c>
      <c r="J1199" s="5">
        <v>0.0</v>
      </c>
      <c r="K1199" s="5">
        <v>0.0</v>
      </c>
    </row>
    <row r="1200">
      <c r="A1200" s="4" t="s">
        <v>4192</v>
      </c>
      <c r="B1200" s="11" t="s">
        <v>4193</v>
      </c>
      <c r="C1200" s="4" t="s">
        <v>2015</v>
      </c>
      <c r="D1200" s="12" t="s">
        <v>29</v>
      </c>
      <c r="E1200" s="13" t="s">
        <v>53</v>
      </c>
      <c r="F1200" s="5" t="s">
        <v>31</v>
      </c>
      <c r="G1200" s="5" t="b">
        <v>0</v>
      </c>
      <c r="H1200" s="5" t="s">
        <v>4194</v>
      </c>
      <c r="I1200" s="5">
        <v>1.0</v>
      </c>
      <c r="J1200" s="5">
        <v>0.0</v>
      </c>
      <c r="K1200" s="5">
        <v>0.0</v>
      </c>
    </row>
    <row r="1201">
      <c r="A1201" s="4" t="s">
        <v>4195</v>
      </c>
      <c r="B1201" s="11" t="s">
        <v>4196</v>
      </c>
      <c r="C1201" s="4" t="s">
        <v>2019</v>
      </c>
      <c r="D1201" s="12" t="s">
        <v>261</v>
      </c>
      <c r="E1201" s="13" t="s">
        <v>53</v>
      </c>
      <c r="F1201" s="5" t="s">
        <v>263</v>
      </c>
      <c r="G1201" s="5" t="b">
        <v>0</v>
      </c>
      <c r="H1201" s="5" t="s">
        <v>2020</v>
      </c>
      <c r="I1201" s="5">
        <v>1.0</v>
      </c>
      <c r="J1201" s="5">
        <v>0.0</v>
      </c>
      <c r="K1201" s="5">
        <v>1.0</v>
      </c>
    </row>
    <row r="1202">
      <c r="A1202" s="4" t="s">
        <v>4197</v>
      </c>
      <c r="B1202" s="11" t="s">
        <v>4198</v>
      </c>
      <c r="C1202" s="4" t="s">
        <v>2021</v>
      </c>
      <c r="D1202" s="12" t="s">
        <v>29</v>
      </c>
      <c r="E1202" s="13" t="s">
        <v>53</v>
      </c>
      <c r="F1202" s="5" t="s">
        <v>31</v>
      </c>
      <c r="G1202" s="5" t="b">
        <v>0</v>
      </c>
      <c r="H1202" s="5" t="s">
        <v>4199</v>
      </c>
      <c r="I1202" s="5">
        <v>1.0</v>
      </c>
      <c r="J1202" s="5">
        <v>0.0</v>
      </c>
      <c r="K1202" s="5">
        <v>0.0</v>
      </c>
    </row>
    <row r="1203">
      <c r="A1203" s="4" t="s">
        <v>4200</v>
      </c>
      <c r="B1203" s="11" t="s">
        <v>4201</v>
      </c>
      <c r="C1203" s="4" t="s">
        <v>2024</v>
      </c>
      <c r="D1203" s="12" t="s">
        <v>433</v>
      </c>
      <c r="E1203" s="13" t="s">
        <v>53</v>
      </c>
      <c r="F1203" s="5" t="s">
        <v>434</v>
      </c>
      <c r="G1203" s="5" t="b">
        <v>0</v>
      </c>
      <c r="H1203" s="5" t="s">
        <v>4202</v>
      </c>
      <c r="I1203" s="5">
        <v>1.0</v>
      </c>
      <c r="J1203" s="5">
        <v>0.0</v>
      </c>
      <c r="K1203" s="5">
        <v>1.0</v>
      </c>
    </row>
    <row r="1204">
      <c r="A1204" s="4" t="s">
        <v>4203</v>
      </c>
      <c r="B1204" s="11" t="s">
        <v>4204</v>
      </c>
      <c r="C1204" s="4" t="s">
        <v>2028</v>
      </c>
      <c r="D1204" s="12" t="s">
        <v>29</v>
      </c>
      <c r="E1204" s="13" t="s">
        <v>53</v>
      </c>
      <c r="F1204" s="5" t="s">
        <v>31</v>
      </c>
      <c r="G1204" s="5" t="b">
        <v>0</v>
      </c>
      <c r="H1204" s="5" t="s">
        <v>4205</v>
      </c>
      <c r="I1204" s="5">
        <v>1.0</v>
      </c>
      <c r="J1204" s="5">
        <v>0.0</v>
      </c>
      <c r="K1204" s="5">
        <v>0.0</v>
      </c>
    </row>
    <row r="1205">
      <c r="A1205" s="4" t="s">
        <v>4206</v>
      </c>
      <c r="B1205" s="11" t="s">
        <v>4207</v>
      </c>
      <c r="C1205" s="4" t="s">
        <v>2031</v>
      </c>
      <c r="D1205" s="12" t="s">
        <v>297</v>
      </c>
      <c r="E1205" s="13" t="s">
        <v>30</v>
      </c>
      <c r="F1205" s="5" t="s">
        <v>298</v>
      </c>
      <c r="G1205" s="5" t="b">
        <v>0</v>
      </c>
      <c r="H1205" s="5" t="s">
        <v>4208</v>
      </c>
      <c r="I1205" s="5">
        <v>1.0</v>
      </c>
      <c r="J1205" s="5">
        <v>0.0</v>
      </c>
      <c r="K1205" s="5">
        <v>0.0</v>
      </c>
    </row>
    <row r="1206">
      <c r="A1206" s="4" t="s">
        <v>4209</v>
      </c>
      <c r="B1206" s="11" t="s">
        <v>4210</v>
      </c>
      <c r="C1206" s="4" t="s">
        <v>2035</v>
      </c>
      <c r="D1206" s="12" t="s">
        <v>29</v>
      </c>
      <c r="E1206" s="13" t="s">
        <v>53</v>
      </c>
      <c r="F1206" s="5" t="s">
        <v>31</v>
      </c>
      <c r="G1206" s="5" t="b">
        <v>0</v>
      </c>
      <c r="H1206" s="5" t="s">
        <v>4211</v>
      </c>
      <c r="I1206" s="5">
        <v>1.0</v>
      </c>
      <c r="J1206" s="5">
        <v>0.0</v>
      </c>
      <c r="K1206" s="5">
        <v>0.0</v>
      </c>
    </row>
    <row r="1207">
      <c r="A1207" s="4" t="s">
        <v>4212</v>
      </c>
      <c r="B1207" s="11" t="s">
        <v>4213</v>
      </c>
      <c r="C1207" s="4" t="s">
        <v>2038</v>
      </c>
      <c r="D1207" s="12" t="s">
        <v>261</v>
      </c>
      <c r="E1207" s="13" t="s">
        <v>53</v>
      </c>
      <c r="F1207" s="5" t="s">
        <v>263</v>
      </c>
      <c r="G1207" s="5" t="b">
        <v>0</v>
      </c>
      <c r="H1207" s="5" t="s">
        <v>2040</v>
      </c>
      <c r="I1207" s="5">
        <v>1.0</v>
      </c>
      <c r="J1207" s="5">
        <v>0.0</v>
      </c>
      <c r="K1207" s="5">
        <v>1.0</v>
      </c>
    </row>
    <row r="1208">
      <c r="A1208" s="4" t="s">
        <v>4214</v>
      </c>
      <c r="B1208" s="13"/>
      <c r="C1208" s="4" t="s">
        <v>2041</v>
      </c>
      <c r="D1208" s="12" t="s">
        <v>84</v>
      </c>
      <c r="E1208" s="13" t="s">
        <v>84</v>
      </c>
      <c r="F1208" s="5" t="s">
        <v>85</v>
      </c>
      <c r="H1208" s="5" t="s">
        <v>233</v>
      </c>
      <c r="I1208" s="5">
        <v>1.0</v>
      </c>
      <c r="J1208" s="5">
        <v>0.0</v>
      </c>
      <c r="K1208" s="5">
        <v>0.0</v>
      </c>
    </row>
    <row r="1209">
      <c r="A1209" s="4" t="s">
        <v>4215</v>
      </c>
      <c r="B1209" s="11" t="s">
        <v>4216</v>
      </c>
      <c r="C1209" s="4" t="s">
        <v>2043</v>
      </c>
      <c r="D1209" s="12" t="s">
        <v>29</v>
      </c>
      <c r="E1209" s="13" t="s">
        <v>53</v>
      </c>
      <c r="F1209" s="5" t="s">
        <v>31</v>
      </c>
      <c r="G1209" s="5" t="b">
        <v>0</v>
      </c>
      <c r="H1209" s="5" t="s">
        <v>4217</v>
      </c>
      <c r="I1209" s="5">
        <v>1.0</v>
      </c>
      <c r="J1209" s="5">
        <v>0.0</v>
      </c>
      <c r="K1209" s="5">
        <v>0.0</v>
      </c>
    </row>
    <row r="1210">
      <c r="A1210" s="4" t="s">
        <v>4218</v>
      </c>
      <c r="B1210" s="11" t="s">
        <v>4219</v>
      </c>
      <c r="C1210" s="4" t="s">
        <v>2046</v>
      </c>
      <c r="D1210" s="12" t="s">
        <v>29</v>
      </c>
      <c r="E1210" s="13" t="s">
        <v>53</v>
      </c>
      <c r="F1210" s="5" t="s">
        <v>31</v>
      </c>
      <c r="G1210" s="5" t="b">
        <v>0</v>
      </c>
      <c r="I1210" s="5">
        <v>1.0</v>
      </c>
      <c r="J1210" s="5">
        <v>0.0</v>
      </c>
      <c r="K1210" s="5">
        <v>0.0</v>
      </c>
    </row>
    <row r="1211">
      <c r="A1211" s="4" t="s">
        <v>4220</v>
      </c>
      <c r="B1211" s="11" t="s">
        <v>4221</v>
      </c>
      <c r="C1211" s="5" t="s">
        <v>2048</v>
      </c>
      <c r="D1211" s="12" t="s">
        <v>126</v>
      </c>
      <c r="E1211" s="13" t="s">
        <v>53</v>
      </c>
      <c r="F1211" s="5" t="s">
        <v>127</v>
      </c>
      <c r="G1211" s="5" t="b">
        <v>0</v>
      </c>
      <c r="I1211" s="5">
        <v>1.0</v>
      </c>
      <c r="J1211" s="5">
        <v>0.0</v>
      </c>
      <c r="K1211" s="5">
        <v>3.0</v>
      </c>
    </row>
    <row r="1212">
      <c r="A1212" s="4" t="s">
        <v>4222</v>
      </c>
      <c r="B1212" s="11" t="s">
        <v>4223</v>
      </c>
      <c r="C1212" s="4" t="s">
        <v>2049</v>
      </c>
      <c r="D1212" s="12" t="s">
        <v>467</v>
      </c>
      <c r="E1212" s="13" t="s">
        <v>53</v>
      </c>
      <c r="F1212" s="5" t="s">
        <v>469</v>
      </c>
      <c r="G1212" s="5" t="b">
        <v>0</v>
      </c>
      <c r="I1212" s="5">
        <v>1.0</v>
      </c>
      <c r="J1212" s="5">
        <v>0.0</v>
      </c>
      <c r="K1212" s="5">
        <v>0.0</v>
      </c>
    </row>
    <row r="1213">
      <c r="A1213" s="4" t="s">
        <v>4224</v>
      </c>
      <c r="B1213" s="11" t="s">
        <v>4225</v>
      </c>
      <c r="C1213" s="4" t="s">
        <v>2051</v>
      </c>
      <c r="D1213" s="12" t="s">
        <v>126</v>
      </c>
      <c r="E1213" s="13" t="s">
        <v>53</v>
      </c>
      <c r="F1213" s="5" t="s">
        <v>127</v>
      </c>
      <c r="G1213" s="5" t="b">
        <v>0</v>
      </c>
      <c r="H1213" s="5" t="s">
        <v>396</v>
      </c>
      <c r="I1213" s="5">
        <v>1.0</v>
      </c>
      <c r="J1213" s="5">
        <v>0.0</v>
      </c>
      <c r="K1213" s="5">
        <v>0.0</v>
      </c>
    </row>
    <row r="1214">
      <c r="A1214" s="4" t="s">
        <v>4226</v>
      </c>
      <c r="B1214" s="11" t="s">
        <v>4227</v>
      </c>
      <c r="C1214" s="4" t="s">
        <v>2053</v>
      </c>
      <c r="D1214" s="12" t="s">
        <v>467</v>
      </c>
      <c r="E1214" s="13" t="s">
        <v>53</v>
      </c>
      <c r="F1214" s="5" t="s">
        <v>469</v>
      </c>
      <c r="G1214" s="5" t="b">
        <v>0</v>
      </c>
      <c r="I1214" s="5">
        <v>1.0</v>
      </c>
      <c r="J1214" s="5">
        <v>0.0</v>
      </c>
      <c r="K1214" s="5">
        <v>0.0</v>
      </c>
    </row>
    <row r="1215">
      <c r="A1215" s="4" t="s">
        <v>4228</v>
      </c>
      <c r="B1215" s="11" t="s">
        <v>4229</v>
      </c>
      <c r="C1215" s="5" t="s">
        <v>100</v>
      </c>
      <c r="D1215" s="12" t="s">
        <v>29</v>
      </c>
      <c r="E1215" s="13" t="s">
        <v>84</v>
      </c>
      <c r="F1215" s="5" t="s">
        <v>31</v>
      </c>
      <c r="G1215" s="5" t="b">
        <v>0</v>
      </c>
      <c r="H1215" s="5" t="s">
        <v>4230</v>
      </c>
      <c r="I1215" s="5">
        <v>1.0</v>
      </c>
      <c r="J1215" s="5">
        <v>0.0</v>
      </c>
      <c r="K1215" s="5">
        <v>2.0</v>
      </c>
    </row>
    <row r="1216">
      <c r="A1216" s="4" t="s">
        <v>4231</v>
      </c>
      <c r="B1216" s="11" t="s">
        <v>4232</v>
      </c>
      <c r="C1216" s="4" t="s">
        <v>2056</v>
      </c>
      <c r="D1216" s="12" t="s">
        <v>670</v>
      </c>
      <c r="E1216" s="13" t="s">
        <v>53</v>
      </c>
      <c r="F1216" s="5" t="s">
        <v>671</v>
      </c>
      <c r="G1216" s="5" t="b">
        <v>0</v>
      </c>
      <c r="H1216" s="5" t="s">
        <v>4233</v>
      </c>
      <c r="I1216" s="5">
        <v>1.0</v>
      </c>
      <c r="J1216" s="5">
        <v>0.0</v>
      </c>
      <c r="K1216" s="5">
        <v>2.0</v>
      </c>
    </row>
    <row r="1217">
      <c r="A1217" s="4" t="s">
        <v>4234</v>
      </c>
      <c r="B1217" s="11" t="s">
        <v>4235</v>
      </c>
      <c r="C1217" s="4" t="s">
        <v>2060</v>
      </c>
      <c r="D1217" s="12" t="s">
        <v>126</v>
      </c>
      <c r="E1217" s="13" t="s">
        <v>53</v>
      </c>
      <c r="F1217" s="5" t="s">
        <v>127</v>
      </c>
      <c r="G1217" s="5" t="b">
        <v>0</v>
      </c>
      <c r="I1217" s="5">
        <v>1.0</v>
      </c>
      <c r="J1217" s="5">
        <v>0.0</v>
      </c>
      <c r="K1217" s="5">
        <v>0.0</v>
      </c>
    </row>
    <row r="1218">
      <c r="A1218" s="4" t="s">
        <v>4236</v>
      </c>
      <c r="B1218" s="11" t="s">
        <v>4237</v>
      </c>
      <c r="C1218" s="4" t="s">
        <v>2062</v>
      </c>
      <c r="D1218" s="12" t="s">
        <v>29</v>
      </c>
      <c r="E1218" s="13" t="s">
        <v>53</v>
      </c>
      <c r="F1218" s="5" t="s">
        <v>31</v>
      </c>
      <c r="G1218" s="5" t="b">
        <v>0</v>
      </c>
      <c r="H1218" s="5" t="s">
        <v>4238</v>
      </c>
      <c r="I1218" s="5">
        <v>1.0</v>
      </c>
      <c r="J1218" s="5">
        <v>0.0</v>
      </c>
      <c r="K1218" s="5">
        <v>1.0</v>
      </c>
    </row>
    <row r="1219">
      <c r="A1219" s="4" t="s">
        <v>4239</v>
      </c>
      <c r="B1219" s="11" t="s">
        <v>4240</v>
      </c>
      <c r="C1219" s="4" t="s">
        <v>2064</v>
      </c>
      <c r="D1219" s="12" t="s">
        <v>126</v>
      </c>
      <c r="E1219" s="13" t="s">
        <v>53</v>
      </c>
      <c r="F1219" s="5" t="s">
        <v>127</v>
      </c>
      <c r="G1219" s="5" t="b">
        <v>0</v>
      </c>
      <c r="H1219" s="5" t="s">
        <v>396</v>
      </c>
      <c r="I1219" s="5">
        <v>1.0</v>
      </c>
      <c r="J1219" s="5">
        <v>0.0</v>
      </c>
      <c r="K1219" s="5">
        <v>0.0</v>
      </c>
    </row>
    <row r="1220">
      <c r="A1220" s="4" t="s">
        <v>4241</v>
      </c>
      <c r="B1220" s="11" t="s">
        <v>4242</v>
      </c>
      <c r="C1220" s="4" t="s">
        <v>377</v>
      </c>
      <c r="D1220" s="12" t="s">
        <v>126</v>
      </c>
      <c r="E1220" s="13" t="s">
        <v>53</v>
      </c>
      <c r="F1220" s="5" t="s">
        <v>127</v>
      </c>
      <c r="G1220" s="5" t="b">
        <v>0</v>
      </c>
      <c r="H1220" s="5" t="s">
        <v>770</v>
      </c>
      <c r="I1220" s="5">
        <v>1.0</v>
      </c>
      <c r="J1220" s="5">
        <v>0.0</v>
      </c>
      <c r="K1220" s="5">
        <v>0.0</v>
      </c>
    </row>
    <row r="1221">
      <c r="A1221" s="4" t="s">
        <v>4243</v>
      </c>
      <c r="B1221" s="11" t="s">
        <v>4244</v>
      </c>
      <c r="C1221" s="4" t="s">
        <v>377</v>
      </c>
      <c r="D1221" s="12" t="s">
        <v>126</v>
      </c>
      <c r="E1221" s="13" t="s">
        <v>53</v>
      </c>
      <c r="F1221" s="5" t="s">
        <v>127</v>
      </c>
      <c r="G1221" s="5" t="b">
        <v>0</v>
      </c>
      <c r="H1221" s="5" t="s">
        <v>4245</v>
      </c>
      <c r="I1221" s="5">
        <v>1.0</v>
      </c>
      <c r="J1221" s="5">
        <v>0.0</v>
      </c>
      <c r="K1221" s="5">
        <v>1.0</v>
      </c>
    </row>
    <row r="1222">
      <c r="A1222" s="4" t="s">
        <v>4246</v>
      </c>
      <c r="B1222" s="13"/>
      <c r="C1222" s="5" t="s">
        <v>2067</v>
      </c>
      <c r="D1222" s="12" t="s">
        <v>467</v>
      </c>
      <c r="E1222" s="13" t="s">
        <v>53</v>
      </c>
      <c r="F1222" s="5" t="s">
        <v>469</v>
      </c>
      <c r="H1222" s="5" t="s">
        <v>233</v>
      </c>
      <c r="I1222" s="5">
        <v>1.0</v>
      </c>
      <c r="J1222" s="5">
        <v>0.0</v>
      </c>
      <c r="K1222" s="5">
        <v>0.0</v>
      </c>
    </row>
    <row r="1223">
      <c r="A1223" s="4" t="s">
        <v>4247</v>
      </c>
      <c r="B1223" s="13"/>
      <c r="C1223" s="4" t="s">
        <v>282</v>
      </c>
      <c r="D1223" s="12" t="s">
        <v>84</v>
      </c>
      <c r="E1223" s="13" t="s">
        <v>84</v>
      </c>
      <c r="F1223" s="5" t="s">
        <v>85</v>
      </c>
      <c r="H1223" s="5" t="s">
        <v>233</v>
      </c>
      <c r="I1223" s="5">
        <v>1.0</v>
      </c>
      <c r="J1223" s="5">
        <v>0.0</v>
      </c>
      <c r="K1223" s="5">
        <v>0.0</v>
      </c>
    </row>
    <row r="1224">
      <c r="A1224" s="4" t="s">
        <v>4248</v>
      </c>
      <c r="B1224" s="13"/>
      <c r="C1224" s="4" t="s">
        <v>282</v>
      </c>
      <c r="D1224" s="12" t="s">
        <v>84</v>
      </c>
      <c r="E1224" s="13" t="s">
        <v>53</v>
      </c>
      <c r="F1224" s="5" t="s">
        <v>85</v>
      </c>
      <c r="H1224" s="5" t="s">
        <v>233</v>
      </c>
      <c r="I1224" s="5">
        <v>1.0</v>
      </c>
      <c r="J1224" s="5">
        <v>0.0</v>
      </c>
      <c r="K1224" s="5">
        <v>0.0</v>
      </c>
    </row>
    <row r="1225">
      <c r="A1225" s="4" t="s">
        <v>4249</v>
      </c>
      <c r="B1225" s="13"/>
      <c r="C1225" s="4" t="s">
        <v>282</v>
      </c>
      <c r="D1225" s="12" t="s">
        <v>84</v>
      </c>
      <c r="E1225" s="13" t="s">
        <v>53</v>
      </c>
      <c r="F1225" s="5" t="s">
        <v>85</v>
      </c>
      <c r="H1225" s="5" t="s">
        <v>233</v>
      </c>
      <c r="I1225" s="5">
        <v>1.0</v>
      </c>
      <c r="J1225" s="5">
        <v>0.0</v>
      </c>
      <c r="K1225" s="5">
        <v>0.0</v>
      </c>
    </row>
    <row r="1226">
      <c r="A1226" s="4" t="s">
        <v>4250</v>
      </c>
      <c r="B1226" s="11" t="s">
        <v>4251</v>
      </c>
      <c r="C1226" s="5" t="s">
        <v>232</v>
      </c>
      <c r="D1226" s="12" t="s">
        <v>467</v>
      </c>
      <c r="E1226" s="13" t="s">
        <v>30</v>
      </c>
      <c r="F1226" s="5" t="s">
        <v>469</v>
      </c>
      <c r="G1226" s="5" t="b">
        <v>0</v>
      </c>
      <c r="H1226" s="5" t="s">
        <v>4252</v>
      </c>
      <c r="I1226" s="5">
        <v>1.0</v>
      </c>
      <c r="J1226" s="5">
        <v>0.0</v>
      </c>
      <c r="K1226" s="5">
        <v>2.0</v>
      </c>
    </row>
    <row r="1227">
      <c r="A1227" s="4" t="s">
        <v>4253</v>
      </c>
      <c r="B1227" s="11" t="s">
        <v>4254</v>
      </c>
      <c r="C1227" s="4" t="s">
        <v>514</v>
      </c>
      <c r="D1227" s="12" t="s">
        <v>29</v>
      </c>
      <c r="E1227" s="13" t="s">
        <v>53</v>
      </c>
      <c r="F1227" s="5" t="s">
        <v>31</v>
      </c>
      <c r="G1227" s="5" t="b">
        <v>0</v>
      </c>
      <c r="H1227" s="5" t="s">
        <v>4255</v>
      </c>
      <c r="I1227" s="5">
        <v>1.0</v>
      </c>
      <c r="J1227" s="5">
        <v>0.0</v>
      </c>
      <c r="K1227" s="5">
        <v>1.0</v>
      </c>
    </row>
    <row r="1228">
      <c r="A1228" s="4" t="s">
        <v>4256</v>
      </c>
      <c r="B1228" s="11" t="s">
        <v>4257</v>
      </c>
      <c r="C1228" s="4" t="s">
        <v>2068</v>
      </c>
      <c r="D1228" s="12" t="s">
        <v>126</v>
      </c>
      <c r="E1228" s="13" t="s">
        <v>53</v>
      </c>
      <c r="F1228" s="5" t="s">
        <v>127</v>
      </c>
      <c r="G1228" s="5" t="b">
        <v>0</v>
      </c>
      <c r="I1228" s="5">
        <v>1.0</v>
      </c>
      <c r="J1228" s="5">
        <v>0.0</v>
      </c>
      <c r="K1228" s="5">
        <v>1.0</v>
      </c>
    </row>
    <row r="1229">
      <c r="A1229" s="4" t="s">
        <v>4258</v>
      </c>
      <c r="B1229" s="11" t="s">
        <v>4259</v>
      </c>
      <c r="C1229" s="4" t="s">
        <v>2070</v>
      </c>
      <c r="D1229" s="12" t="s">
        <v>29</v>
      </c>
      <c r="E1229" s="13" t="s">
        <v>53</v>
      </c>
      <c r="F1229" s="5" t="s">
        <v>31</v>
      </c>
      <c r="G1229" s="5" t="b">
        <v>0</v>
      </c>
      <c r="H1229" s="5" t="s">
        <v>4260</v>
      </c>
      <c r="I1229" s="5">
        <v>1.0</v>
      </c>
      <c r="J1229" s="5">
        <v>0.0</v>
      </c>
      <c r="K1229" s="5">
        <v>1.0</v>
      </c>
    </row>
    <row r="1230">
      <c r="A1230" s="4" t="s">
        <v>4261</v>
      </c>
      <c r="B1230" s="11" t="s">
        <v>4262</v>
      </c>
      <c r="C1230" s="4" t="s">
        <v>2073</v>
      </c>
      <c r="D1230" s="12" t="s">
        <v>29</v>
      </c>
      <c r="E1230" s="13" t="s">
        <v>53</v>
      </c>
      <c r="F1230" s="5" t="s">
        <v>31</v>
      </c>
      <c r="G1230" s="5" t="b">
        <v>0</v>
      </c>
      <c r="H1230" s="5" t="s">
        <v>4263</v>
      </c>
      <c r="I1230" s="5">
        <v>1.0</v>
      </c>
      <c r="J1230" s="5">
        <v>0.0</v>
      </c>
      <c r="K1230" s="5">
        <v>0.0</v>
      </c>
    </row>
    <row r="1231">
      <c r="A1231" s="4" t="s">
        <v>4264</v>
      </c>
      <c r="B1231" s="13"/>
      <c r="C1231" s="4" t="s">
        <v>2076</v>
      </c>
      <c r="D1231" s="12" t="s">
        <v>467</v>
      </c>
      <c r="E1231" s="13" t="s">
        <v>53</v>
      </c>
      <c r="F1231" s="5" t="s">
        <v>469</v>
      </c>
      <c r="H1231" s="5" t="s">
        <v>233</v>
      </c>
      <c r="I1231" s="5">
        <v>1.0</v>
      </c>
      <c r="J1231" s="5">
        <v>0.0</v>
      </c>
      <c r="K1231" s="5">
        <v>0.0</v>
      </c>
    </row>
    <row r="1232">
      <c r="A1232" s="4" t="s">
        <v>4265</v>
      </c>
      <c r="B1232" s="11" t="s">
        <v>4266</v>
      </c>
      <c r="C1232" s="4" t="s">
        <v>547</v>
      </c>
      <c r="D1232" s="12" t="s">
        <v>29</v>
      </c>
      <c r="E1232" s="13" t="s">
        <v>53</v>
      </c>
      <c r="F1232" s="5" t="s">
        <v>31</v>
      </c>
      <c r="G1232" s="5" t="b">
        <v>0</v>
      </c>
      <c r="H1232" s="5" t="s">
        <v>4267</v>
      </c>
      <c r="I1232" s="5">
        <v>1.0</v>
      </c>
      <c r="J1232" s="5">
        <v>0.0</v>
      </c>
      <c r="K1232" s="5">
        <v>0.0</v>
      </c>
    </row>
    <row r="1233">
      <c r="A1233" s="4" t="s">
        <v>4268</v>
      </c>
      <c r="B1233" s="11" t="s">
        <v>4269</v>
      </c>
      <c r="C1233" s="5" t="s">
        <v>77</v>
      </c>
      <c r="D1233" s="12" t="s">
        <v>467</v>
      </c>
      <c r="E1233" s="13" t="s">
        <v>30</v>
      </c>
      <c r="F1233" s="5" t="s">
        <v>469</v>
      </c>
      <c r="G1233" s="5" t="b">
        <v>0</v>
      </c>
      <c r="H1233" s="5" t="s">
        <v>4270</v>
      </c>
      <c r="I1233" s="5">
        <v>1.0</v>
      </c>
      <c r="J1233" s="5">
        <v>0.0</v>
      </c>
      <c r="K1233" s="5">
        <v>0.0</v>
      </c>
    </row>
    <row r="1234">
      <c r="A1234" s="4" t="s">
        <v>4271</v>
      </c>
      <c r="B1234" s="11" t="s">
        <v>4272</v>
      </c>
      <c r="C1234" s="5" t="s">
        <v>77</v>
      </c>
      <c r="D1234" s="12" t="s">
        <v>297</v>
      </c>
      <c r="E1234" s="13" t="s">
        <v>30</v>
      </c>
      <c r="F1234" s="5" t="s">
        <v>298</v>
      </c>
      <c r="G1234" s="5" t="b">
        <v>0</v>
      </c>
      <c r="H1234" s="5" t="s">
        <v>4273</v>
      </c>
      <c r="I1234" s="5">
        <v>1.0</v>
      </c>
      <c r="J1234" s="5">
        <v>0.0</v>
      </c>
      <c r="K1234" s="5">
        <v>0.0</v>
      </c>
    </row>
    <row r="1235">
      <c r="A1235" s="4" t="s">
        <v>4274</v>
      </c>
      <c r="B1235" s="11" t="s">
        <v>4275</v>
      </c>
      <c r="C1235" s="5" t="s">
        <v>77</v>
      </c>
      <c r="D1235" s="12" t="s">
        <v>29</v>
      </c>
      <c r="E1235" s="13" t="s">
        <v>30</v>
      </c>
      <c r="F1235" s="5" t="s">
        <v>31</v>
      </c>
      <c r="G1235" s="5" t="b">
        <v>0</v>
      </c>
      <c r="H1235" s="5" t="s">
        <v>4276</v>
      </c>
      <c r="I1235" s="5">
        <v>1.0</v>
      </c>
      <c r="J1235" s="5">
        <v>0.0</v>
      </c>
      <c r="K1235" s="5">
        <v>1.0</v>
      </c>
    </row>
    <row r="1236">
      <c r="A1236" s="4" t="s">
        <v>4277</v>
      </c>
      <c r="B1236" s="11" t="s">
        <v>4278</v>
      </c>
      <c r="C1236" s="5" t="s">
        <v>77</v>
      </c>
      <c r="D1236" s="12" t="s">
        <v>29</v>
      </c>
      <c r="E1236" s="13" t="s">
        <v>30</v>
      </c>
      <c r="F1236" s="5" t="s">
        <v>31</v>
      </c>
      <c r="G1236" s="5" t="b">
        <v>0</v>
      </c>
      <c r="H1236" s="5" t="s">
        <v>4279</v>
      </c>
      <c r="I1236" s="5">
        <v>1.0</v>
      </c>
      <c r="J1236" s="5">
        <v>0.0</v>
      </c>
      <c r="K1236" s="5">
        <v>1.0</v>
      </c>
    </row>
    <row r="1237">
      <c r="A1237" s="4" t="s">
        <v>4280</v>
      </c>
      <c r="B1237" s="11" t="s">
        <v>4281</v>
      </c>
      <c r="C1237" s="5" t="s">
        <v>77</v>
      </c>
      <c r="D1237" s="12" t="s">
        <v>29</v>
      </c>
      <c r="E1237" s="13" t="s">
        <v>30</v>
      </c>
      <c r="F1237" s="5" t="s">
        <v>31</v>
      </c>
      <c r="G1237" s="5" t="b">
        <v>0</v>
      </c>
      <c r="H1237" s="5" t="s">
        <v>4282</v>
      </c>
      <c r="I1237" s="5">
        <v>1.0</v>
      </c>
      <c r="J1237" s="5">
        <v>0.0</v>
      </c>
      <c r="K1237" s="5">
        <v>1.0</v>
      </c>
    </row>
    <row r="1238">
      <c r="A1238" s="4" t="s">
        <v>4283</v>
      </c>
      <c r="B1238" s="11" t="s">
        <v>4284</v>
      </c>
      <c r="C1238" s="4" t="s">
        <v>2386</v>
      </c>
      <c r="D1238" s="12" t="s">
        <v>29</v>
      </c>
      <c r="E1238" s="13" t="s">
        <v>53</v>
      </c>
      <c r="F1238" s="5" t="s">
        <v>31</v>
      </c>
      <c r="G1238" s="5" t="b">
        <v>0</v>
      </c>
      <c r="H1238" s="5" t="s">
        <v>1163</v>
      </c>
      <c r="I1238" s="5">
        <v>1.0</v>
      </c>
      <c r="J1238" s="5">
        <v>0.0</v>
      </c>
      <c r="K1238" s="5">
        <v>0.0</v>
      </c>
    </row>
    <row r="1239">
      <c r="A1239" s="4" t="s">
        <v>4285</v>
      </c>
      <c r="B1239" s="11" t="s">
        <v>4286</v>
      </c>
      <c r="C1239" s="4" t="s">
        <v>2077</v>
      </c>
      <c r="D1239" s="12" t="s">
        <v>29</v>
      </c>
      <c r="E1239" s="13" t="s">
        <v>53</v>
      </c>
      <c r="F1239" s="5" t="s">
        <v>31</v>
      </c>
      <c r="G1239" s="5" t="b">
        <v>0</v>
      </c>
      <c r="H1239" s="5" t="s">
        <v>2079</v>
      </c>
      <c r="I1239" s="5">
        <v>1.0</v>
      </c>
      <c r="J1239" s="5">
        <v>0.0</v>
      </c>
      <c r="K1239" s="5">
        <v>0.0</v>
      </c>
    </row>
    <row r="1240">
      <c r="A1240" s="4" t="s">
        <v>4287</v>
      </c>
      <c r="B1240" s="11" t="s">
        <v>4288</v>
      </c>
      <c r="C1240" s="4" t="s">
        <v>2081</v>
      </c>
      <c r="D1240" s="12" t="s">
        <v>84</v>
      </c>
      <c r="E1240" s="13" t="s">
        <v>53</v>
      </c>
      <c r="F1240" s="5" t="s">
        <v>85</v>
      </c>
      <c r="G1240" s="5" t="b">
        <v>0</v>
      </c>
      <c r="I1240" s="5">
        <v>1.0</v>
      </c>
      <c r="J1240" s="5">
        <v>0.0</v>
      </c>
      <c r="K1240" s="5">
        <v>0.0</v>
      </c>
    </row>
    <row r="1241">
      <c r="A1241" s="4" t="s">
        <v>4289</v>
      </c>
      <c r="B1241" s="11" t="s">
        <v>4290</v>
      </c>
      <c r="C1241" s="4" t="s">
        <v>44</v>
      </c>
      <c r="D1241" s="12" t="s">
        <v>126</v>
      </c>
      <c r="E1241" s="13" t="s">
        <v>30</v>
      </c>
      <c r="F1241" s="5" t="s">
        <v>127</v>
      </c>
      <c r="G1241" s="5" t="b">
        <v>0</v>
      </c>
      <c r="H1241" s="5" t="s">
        <v>4291</v>
      </c>
      <c r="I1241" s="5">
        <v>1.0</v>
      </c>
      <c r="J1241" s="5">
        <v>0.0</v>
      </c>
      <c r="K1241" s="5">
        <v>2.0</v>
      </c>
    </row>
    <row r="1242">
      <c r="A1242" s="4" t="s">
        <v>4292</v>
      </c>
      <c r="B1242" s="11" t="s">
        <v>4293</v>
      </c>
      <c r="C1242" s="4" t="s">
        <v>44</v>
      </c>
      <c r="D1242" s="12" t="s">
        <v>29</v>
      </c>
      <c r="E1242" s="13" t="s">
        <v>30</v>
      </c>
      <c r="F1242" s="5" t="s">
        <v>31</v>
      </c>
      <c r="G1242" s="5" t="b">
        <v>0</v>
      </c>
      <c r="H1242" s="5" t="s">
        <v>4294</v>
      </c>
      <c r="I1242" s="5">
        <v>1.0</v>
      </c>
      <c r="J1242" s="5">
        <v>0.0</v>
      </c>
      <c r="K1242" s="5">
        <v>0.0</v>
      </c>
    </row>
    <row r="1243">
      <c r="A1243" s="4" t="s">
        <v>4295</v>
      </c>
      <c r="B1243" s="11" t="s">
        <v>4296</v>
      </c>
      <c r="C1243" s="5" t="s">
        <v>2083</v>
      </c>
      <c r="D1243" s="12" t="s">
        <v>29</v>
      </c>
      <c r="E1243" s="13" t="s">
        <v>53</v>
      </c>
      <c r="F1243" s="5" t="s">
        <v>31</v>
      </c>
      <c r="G1243" s="5" t="b">
        <v>0</v>
      </c>
      <c r="H1243" s="5" t="s">
        <v>2085</v>
      </c>
      <c r="I1243" s="5">
        <v>1.0</v>
      </c>
      <c r="J1243" s="5">
        <v>0.0</v>
      </c>
      <c r="K1243" s="5">
        <v>0.0</v>
      </c>
    </row>
    <row r="1244">
      <c r="A1244" s="4" t="s">
        <v>4297</v>
      </c>
      <c r="B1244" s="11" t="s">
        <v>4298</v>
      </c>
      <c r="C1244" s="4" t="s">
        <v>296</v>
      </c>
      <c r="D1244" s="12" t="s">
        <v>126</v>
      </c>
      <c r="E1244" s="13" t="s">
        <v>30</v>
      </c>
      <c r="F1244" s="5" t="s">
        <v>127</v>
      </c>
      <c r="G1244" s="5" t="b">
        <v>0</v>
      </c>
      <c r="H1244" s="5" t="s">
        <v>4299</v>
      </c>
      <c r="I1244" s="5">
        <v>1.0</v>
      </c>
      <c r="J1244" s="5">
        <v>0.0</v>
      </c>
      <c r="K1244" s="5">
        <v>1.0</v>
      </c>
    </row>
    <row r="1245">
      <c r="A1245" s="4" t="s">
        <v>4300</v>
      </c>
      <c r="B1245" s="11" t="s">
        <v>4301</v>
      </c>
      <c r="C1245" s="4" t="s">
        <v>2086</v>
      </c>
      <c r="D1245" s="12" t="s">
        <v>467</v>
      </c>
      <c r="E1245" s="13" t="s">
        <v>53</v>
      </c>
      <c r="F1245" s="5" t="s">
        <v>469</v>
      </c>
      <c r="G1245" s="5" t="b">
        <v>0</v>
      </c>
      <c r="I1245" s="5">
        <v>1.0</v>
      </c>
      <c r="J1245" s="5">
        <v>0.0</v>
      </c>
      <c r="K1245" s="5">
        <v>0.0</v>
      </c>
    </row>
    <row r="1246">
      <c r="A1246" s="4" t="s">
        <v>4302</v>
      </c>
      <c r="B1246" s="11" t="s">
        <v>4303</v>
      </c>
      <c r="C1246" s="4" t="s">
        <v>2089</v>
      </c>
      <c r="D1246" s="12" t="s">
        <v>29</v>
      </c>
      <c r="E1246" s="13" t="s">
        <v>53</v>
      </c>
      <c r="F1246" s="5" t="s">
        <v>31</v>
      </c>
      <c r="G1246" s="5" t="b">
        <v>0</v>
      </c>
      <c r="H1246" s="5" t="s">
        <v>4304</v>
      </c>
      <c r="I1246" s="5">
        <v>1.0</v>
      </c>
      <c r="J1246" s="5">
        <v>0.0</v>
      </c>
      <c r="K1246" s="5">
        <v>0.0</v>
      </c>
    </row>
    <row r="1247">
      <c r="A1247" s="4" t="s">
        <v>4305</v>
      </c>
      <c r="B1247" s="11" t="s">
        <v>4306</v>
      </c>
      <c r="C1247" s="4" t="s">
        <v>2092</v>
      </c>
      <c r="D1247" s="12" t="s">
        <v>433</v>
      </c>
      <c r="E1247" s="13" t="s">
        <v>53</v>
      </c>
      <c r="F1247" s="5" t="s">
        <v>434</v>
      </c>
      <c r="G1247" s="5" t="b">
        <v>0</v>
      </c>
      <c r="H1247" s="5" t="s">
        <v>599</v>
      </c>
      <c r="I1247" s="5">
        <v>1.0</v>
      </c>
      <c r="J1247" s="5">
        <v>0.0</v>
      </c>
      <c r="K1247" s="5">
        <v>0.0</v>
      </c>
    </row>
    <row r="1248">
      <c r="A1248" s="4" t="s">
        <v>4307</v>
      </c>
      <c r="B1248" s="11" t="s">
        <v>4308</v>
      </c>
      <c r="C1248" s="4" t="s">
        <v>2094</v>
      </c>
      <c r="D1248" s="12" t="s">
        <v>84</v>
      </c>
      <c r="E1248" s="13" t="s">
        <v>53</v>
      </c>
      <c r="F1248" s="5" t="s">
        <v>85</v>
      </c>
      <c r="G1248" s="5" t="b">
        <v>0</v>
      </c>
      <c r="H1248" s="5" t="s">
        <v>396</v>
      </c>
      <c r="I1248" s="5">
        <v>1.0</v>
      </c>
      <c r="J1248" s="5">
        <v>0.0</v>
      </c>
      <c r="K1248" s="5">
        <v>1.0</v>
      </c>
    </row>
    <row r="1249">
      <c r="A1249" s="4" t="s">
        <v>4309</v>
      </c>
      <c r="B1249" s="11" t="s">
        <v>3034</v>
      </c>
      <c r="C1249" s="4" t="s">
        <v>1164</v>
      </c>
      <c r="D1249" s="12" t="s">
        <v>126</v>
      </c>
      <c r="E1249" s="13" t="s">
        <v>53</v>
      </c>
      <c r="F1249" s="5" t="s">
        <v>127</v>
      </c>
      <c r="G1249" s="5" t="b">
        <v>0</v>
      </c>
      <c r="H1249" s="5" t="s">
        <v>396</v>
      </c>
      <c r="I1249" s="5">
        <v>1.0</v>
      </c>
      <c r="J1249" s="5">
        <v>0.0</v>
      </c>
      <c r="K1249" s="5">
        <v>0.0</v>
      </c>
    </row>
    <row r="1250">
      <c r="A1250" s="4" t="s">
        <v>4310</v>
      </c>
      <c r="B1250" s="11" t="s">
        <v>4311</v>
      </c>
      <c r="C1250" s="4" t="s">
        <v>2096</v>
      </c>
      <c r="D1250" s="12" t="s">
        <v>84</v>
      </c>
      <c r="E1250" s="13" t="s">
        <v>678</v>
      </c>
      <c r="F1250" s="5" t="s">
        <v>85</v>
      </c>
      <c r="G1250" s="5" t="b">
        <v>0</v>
      </c>
      <c r="H1250" s="5" t="s">
        <v>2098</v>
      </c>
      <c r="I1250" s="5">
        <v>1.0</v>
      </c>
      <c r="J1250" s="5">
        <v>0.0</v>
      </c>
      <c r="K1250" s="5">
        <v>1.0</v>
      </c>
    </row>
    <row r="1251">
      <c r="A1251" s="4" t="s">
        <v>4312</v>
      </c>
      <c r="B1251" s="11" t="s">
        <v>4313</v>
      </c>
      <c r="C1251" s="4" t="s">
        <v>2099</v>
      </c>
      <c r="D1251" s="12" t="s">
        <v>29</v>
      </c>
      <c r="E1251" s="13" t="s">
        <v>53</v>
      </c>
      <c r="F1251" s="5" t="s">
        <v>31</v>
      </c>
      <c r="G1251" s="5" t="b">
        <v>0</v>
      </c>
      <c r="H1251" s="5" t="s">
        <v>4314</v>
      </c>
      <c r="I1251" s="5">
        <v>1.0</v>
      </c>
      <c r="J1251" s="5">
        <v>0.0</v>
      </c>
      <c r="K1251" s="5">
        <v>1.0</v>
      </c>
    </row>
    <row r="1252">
      <c r="A1252" s="4" t="s">
        <v>4315</v>
      </c>
      <c r="B1252" s="11" t="s">
        <v>4316</v>
      </c>
      <c r="C1252" s="4" t="s">
        <v>2102</v>
      </c>
      <c r="D1252" s="12" t="s">
        <v>670</v>
      </c>
      <c r="E1252" s="13" t="s">
        <v>53</v>
      </c>
      <c r="F1252" s="5" t="s">
        <v>671</v>
      </c>
      <c r="G1252" s="5" t="b">
        <v>0</v>
      </c>
      <c r="H1252" s="5" t="s">
        <v>1488</v>
      </c>
      <c r="I1252" s="5">
        <v>1.0</v>
      </c>
      <c r="J1252" s="5">
        <v>0.0</v>
      </c>
      <c r="K1252" s="5">
        <v>0.0</v>
      </c>
    </row>
    <row r="1253">
      <c r="A1253" s="4" t="s">
        <v>4317</v>
      </c>
      <c r="B1253" s="11" t="s">
        <v>4318</v>
      </c>
      <c r="C1253" s="4" t="s">
        <v>1718</v>
      </c>
      <c r="D1253" s="12" t="s">
        <v>84</v>
      </c>
      <c r="E1253" s="13" t="s">
        <v>53</v>
      </c>
      <c r="F1253" s="5" t="s">
        <v>85</v>
      </c>
      <c r="G1253" s="5" t="b">
        <v>0</v>
      </c>
      <c r="I1253" s="5">
        <v>1.0</v>
      </c>
      <c r="J1253" s="5">
        <v>0.0</v>
      </c>
      <c r="K1253" s="5">
        <v>0.0</v>
      </c>
    </row>
    <row r="1254">
      <c r="A1254" s="4" t="s">
        <v>4319</v>
      </c>
      <c r="B1254" s="11" t="s">
        <v>4320</v>
      </c>
      <c r="C1254" s="4" t="s">
        <v>289</v>
      </c>
      <c r="D1254" s="12" t="s">
        <v>126</v>
      </c>
      <c r="E1254" s="13" t="s">
        <v>53</v>
      </c>
      <c r="F1254" s="5" t="s">
        <v>127</v>
      </c>
      <c r="G1254" s="5" t="b">
        <v>0</v>
      </c>
      <c r="H1254" s="5" t="s">
        <v>4321</v>
      </c>
      <c r="I1254" s="5">
        <v>1.0</v>
      </c>
      <c r="J1254" s="5">
        <v>0.0</v>
      </c>
      <c r="K1254" s="5">
        <v>1.0</v>
      </c>
    </row>
    <row r="1255">
      <c r="A1255" s="4" t="s">
        <v>4322</v>
      </c>
      <c r="B1255" s="13"/>
      <c r="C1255" s="4" t="s">
        <v>1214</v>
      </c>
      <c r="D1255" s="12" t="s">
        <v>29</v>
      </c>
      <c r="E1255" s="13" t="s">
        <v>53</v>
      </c>
      <c r="F1255" s="5" t="s">
        <v>31</v>
      </c>
      <c r="G1255" s="5" t="b">
        <v>0</v>
      </c>
      <c r="H1255" s="5" t="s">
        <v>4323</v>
      </c>
      <c r="I1255" s="5">
        <v>1.0</v>
      </c>
      <c r="J1255" s="5">
        <v>0.0</v>
      </c>
      <c r="K1255" s="5">
        <v>0.0</v>
      </c>
    </row>
    <row r="1256">
      <c r="A1256" s="4" t="s">
        <v>4324</v>
      </c>
      <c r="B1256" s="13"/>
      <c r="C1256" s="4" t="s">
        <v>1214</v>
      </c>
      <c r="D1256" s="12" t="s">
        <v>297</v>
      </c>
      <c r="E1256" s="13" t="s">
        <v>53</v>
      </c>
      <c r="F1256" s="5" t="s">
        <v>298</v>
      </c>
      <c r="G1256" s="5" t="b">
        <v>0</v>
      </c>
      <c r="H1256" s="5" t="s">
        <v>4325</v>
      </c>
      <c r="I1256" s="5">
        <v>1.0</v>
      </c>
      <c r="J1256" s="5">
        <v>0.0</v>
      </c>
      <c r="K1256" s="5">
        <v>2.0</v>
      </c>
    </row>
    <row r="1257">
      <c r="A1257" s="4" t="s">
        <v>4326</v>
      </c>
      <c r="B1257" s="13"/>
      <c r="C1257" s="4" t="s">
        <v>1214</v>
      </c>
      <c r="D1257" s="12" t="s">
        <v>297</v>
      </c>
      <c r="E1257" s="13" t="s">
        <v>53</v>
      </c>
      <c r="F1257" s="5" t="s">
        <v>298</v>
      </c>
      <c r="G1257" s="5" t="b">
        <v>0</v>
      </c>
      <c r="H1257" s="5" t="s">
        <v>4327</v>
      </c>
      <c r="I1257" s="5">
        <v>1.0</v>
      </c>
      <c r="J1257" s="5">
        <v>0.0</v>
      </c>
      <c r="K1257" s="5">
        <v>0.0</v>
      </c>
    </row>
    <row r="1258">
      <c r="A1258" s="4" t="s">
        <v>4328</v>
      </c>
      <c r="B1258" s="11" t="s">
        <v>4329</v>
      </c>
      <c r="C1258" s="4" t="s">
        <v>2105</v>
      </c>
      <c r="D1258" s="12" t="s">
        <v>297</v>
      </c>
      <c r="E1258" s="13" t="s">
        <v>30</v>
      </c>
      <c r="F1258" s="5" t="s">
        <v>298</v>
      </c>
      <c r="G1258" s="5" t="b">
        <v>0</v>
      </c>
      <c r="H1258" s="5" t="s">
        <v>797</v>
      </c>
      <c r="I1258" s="5">
        <v>1.0</v>
      </c>
      <c r="J1258" s="5">
        <v>0.0</v>
      </c>
      <c r="K1258" s="5">
        <v>2.0</v>
      </c>
    </row>
    <row r="1259">
      <c r="A1259" s="4" t="s">
        <v>4330</v>
      </c>
      <c r="B1259" s="11" t="s">
        <v>4331</v>
      </c>
      <c r="C1259" s="4" t="s">
        <v>21</v>
      </c>
      <c r="D1259" s="12" t="s">
        <v>84</v>
      </c>
      <c r="E1259" s="13" t="s">
        <v>30</v>
      </c>
      <c r="F1259" s="5" t="s">
        <v>85</v>
      </c>
      <c r="G1259" s="5" t="b">
        <v>0</v>
      </c>
      <c r="H1259" s="5" t="s">
        <v>1756</v>
      </c>
      <c r="I1259" s="5">
        <v>1.0</v>
      </c>
      <c r="J1259" s="5">
        <v>0.0</v>
      </c>
      <c r="K1259" s="5">
        <v>0.0</v>
      </c>
    </row>
    <row r="1260">
      <c r="A1260" s="4" t="s">
        <v>4332</v>
      </c>
      <c r="B1260" s="11" t="s">
        <v>4333</v>
      </c>
      <c r="C1260" s="4" t="s">
        <v>21</v>
      </c>
      <c r="D1260" s="12" t="s">
        <v>29</v>
      </c>
      <c r="E1260" s="13" t="s">
        <v>30</v>
      </c>
      <c r="F1260" s="5" t="s">
        <v>31</v>
      </c>
      <c r="G1260" s="5" t="b">
        <v>0</v>
      </c>
      <c r="H1260" s="5" t="s">
        <v>62</v>
      </c>
      <c r="I1260" s="5">
        <v>1.0</v>
      </c>
      <c r="J1260" s="5">
        <v>0.0</v>
      </c>
      <c r="K1260" s="5">
        <v>0.0</v>
      </c>
    </row>
    <row r="1261">
      <c r="A1261" s="4" t="s">
        <v>4334</v>
      </c>
      <c r="B1261" s="11" t="s">
        <v>4335</v>
      </c>
      <c r="C1261" s="4" t="s">
        <v>21</v>
      </c>
      <c r="D1261" s="12" t="s">
        <v>29</v>
      </c>
      <c r="E1261" s="13" t="s">
        <v>30</v>
      </c>
      <c r="F1261" s="5" t="s">
        <v>31</v>
      </c>
      <c r="G1261" s="5" t="b">
        <v>0</v>
      </c>
      <c r="H1261" s="5" t="s">
        <v>4336</v>
      </c>
      <c r="I1261" s="5">
        <v>1.0</v>
      </c>
      <c r="J1261" s="5">
        <v>0.0</v>
      </c>
      <c r="K1261" s="5">
        <v>1.0</v>
      </c>
    </row>
    <row r="1262">
      <c r="A1262" s="4" t="s">
        <v>4337</v>
      </c>
      <c r="B1262" s="11" t="s">
        <v>4338</v>
      </c>
      <c r="C1262" s="4" t="s">
        <v>21</v>
      </c>
      <c r="D1262" s="12" t="s">
        <v>126</v>
      </c>
      <c r="E1262" s="13" t="s">
        <v>30</v>
      </c>
      <c r="F1262" s="5" t="s">
        <v>127</v>
      </c>
      <c r="G1262" s="5" t="b">
        <v>0</v>
      </c>
      <c r="H1262" s="5" t="s">
        <v>1756</v>
      </c>
      <c r="I1262" s="5">
        <v>1.0</v>
      </c>
      <c r="J1262" s="5">
        <v>0.0</v>
      </c>
      <c r="K1262" s="5">
        <v>1.0</v>
      </c>
    </row>
    <row r="1263">
      <c r="A1263" s="4" t="s">
        <v>4339</v>
      </c>
      <c r="B1263" s="11" t="s">
        <v>4340</v>
      </c>
      <c r="C1263" s="4" t="s">
        <v>2106</v>
      </c>
      <c r="D1263" s="12" t="s">
        <v>126</v>
      </c>
      <c r="E1263" s="13" t="s">
        <v>53</v>
      </c>
      <c r="F1263" s="5" t="s">
        <v>127</v>
      </c>
      <c r="G1263" s="5" t="b">
        <v>0</v>
      </c>
      <c r="I1263" s="5">
        <v>1.0</v>
      </c>
      <c r="J1263" s="5">
        <v>0.0</v>
      </c>
      <c r="K1263" s="5">
        <v>0.0</v>
      </c>
    </row>
    <row r="1264">
      <c r="A1264" s="4" t="s">
        <v>4341</v>
      </c>
      <c r="B1264" s="11" t="s">
        <v>4342</v>
      </c>
      <c r="C1264" s="4" t="s">
        <v>1080</v>
      </c>
      <c r="D1264" s="12" t="s">
        <v>467</v>
      </c>
      <c r="E1264" s="13" t="s">
        <v>30</v>
      </c>
      <c r="F1264" s="5" t="s">
        <v>469</v>
      </c>
      <c r="G1264" s="5" t="b">
        <v>0</v>
      </c>
      <c r="H1264" s="5" t="s">
        <v>4343</v>
      </c>
      <c r="I1264" s="5">
        <v>1.0</v>
      </c>
      <c r="J1264" s="5">
        <v>0.0</v>
      </c>
      <c r="K1264" s="5">
        <v>1.0</v>
      </c>
    </row>
    <row r="1265">
      <c r="A1265" s="4" t="s">
        <v>4344</v>
      </c>
      <c r="B1265" s="11" t="s">
        <v>4345</v>
      </c>
      <c r="C1265" s="4" t="s">
        <v>1080</v>
      </c>
      <c r="D1265" s="12" t="s">
        <v>297</v>
      </c>
      <c r="E1265" s="13" t="s">
        <v>30</v>
      </c>
      <c r="F1265" s="5" t="s">
        <v>298</v>
      </c>
      <c r="G1265" s="5" t="b">
        <v>0</v>
      </c>
      <c r="H1265" s="5" t="s">
        <v>4346</v>
      </c>
      <c r="I1265" s="5">
        <v>1.0</v>
      </c>
      <c r="J1265" s="5">
        <v>0.0</v>
      </c>
      <c r="K1265" s="5">
        <v>1.0</v>
      </c>
    </row>
    <row r="1266">
      <c r="A1266" s="4" t="s">
        <v>4347</v>
      </c>
      <c r="B1266" s="11" t="s">
        <v>4348</v>
      </c>
      <c r="C1266" s="4" t="s">
        <v>1080</v>
      </c>
      <c r="D1266" s="12" t="s">
        <v>126</v>
      </c>
      <c r="E1266" s="13" t="s">
        <v>30</v>
      </c>
      <c r="F1266" s="5" t="s">
        <v>127</v>
      </c>
      <c r="G1266" s="5" t="b">
        <v>0</v>
      </c>
      <c r="H1266" s="5" t="s">
        <v>1292</v>
      </c>
      <c r="I1266" s="5">
        <v>1.0</v>
      </c>
      <c r="J1266" s="5">
        <v>0.0</v>
      </c>
      <c r="K1266" s="5">
        <v>1.0</v>
      </c>
    </row>
    <row r="1267">
      <c r="A1267" s="4" t="s">
        <v>4349</v>
      </c>
      <c r="B1267" s="11" t="s">
        <v>4350</v>
      </c>
      <c r="C1267" s="4" t="s">
        <v>1080</v>
      </c>
      <c r="D1267" s="12" t="s">
        <v>261</v>
      </c>
      <c r="E1267" s="13" t="s">
        <v>30</v>
      </c>
      <c r="F1267" s="5" t="s">
        <v>263</v>
      </c>
      <c r="G1267" s="5" t="b">
        <v>0</v>
      </c>
      <c r="H1267" s="5" t="s">
        <v>4351</v>
      </c>
      <c r="I1267" s="5">
        <v>1.0</v>
      </c>
      <c r="J1267" s="5">
        <v>0.0</v>
      </c>
      <c r="K1267" s="5">
        <v>1.0</v>
      </c>
    </row>
    <row r="1268">
      <c r="A1268" s="4" t="s">
        <v>4352</v>
      </c>
      <c r="B1268" s="11" t="s">
        <v>4353</v>
      </c>
      <c r="C1268" s="4" t="s">
        <v>2108</v>
      </c>
      <c r="D1268" s="12" t="s">
        <v>29</v>
      </c>
      <c r="E1268" s="13" t="s">
        <v>53</v>
      </c>
      <c r="F1268" s="5" t="s">
        <v>31</v>
      </c>
      <c r="G1268" s="5" t="b">
        <v>0</v>
      </c>
      <c r="H1268" s="5" t="s">
        <v>2110</v>
      </c>
      <c r="I1268" s="5">
        <v>1.0</v>
      </c>
      <c r="J1268" s="5">
        <v>0.0</v>
      </c>
      <c r="K1268" s="5">
        <v>0.0</v>
      </c>
    </row>
    <row r="1269">
      <c r="A1269" s="4" t="s">
        <v>4354</v>
      </c>
      <c r="B1269" s="11" t="s">
        <v>4355</v>
      </c>
      <c r="C1269" s="4" t="s">
        <v>2112</v>
      </c>
      <c r="D1269" s="12" t="s">
        <v>29</v>
      </c>
      <c r="E1269" s="13" t="s">
        <v>53</v>
      </c>
      <c r="F1269" s="5" t="s">
        <v>31</v>
      </c>
      <c r="G1269" s="5" t="b">
        <v>0</v>
      </c>
      <c r="H1269" s="5" t="s">
        <v>2114</v>
      </c>
      <c r="I1269" s="5">
        <v>1.0</v>
      </c>
      <c r="J1269" s="5">
        <v>0.0</v>
      </c>
      <c r="K1269" s="5">
        <v>1.0</v>
      </c>
    </row>
    <row r="1270">
      <c r="A1270" s="4" t="s">
        <v>4356</v>
      </c>
      <c r="B1270" s="11" t="s">
        <v>4357</v>
      </c>
      <c r="C1270" s="4" t="s">
        <v>70</v>
      </c>
      <c r="D1270" s="12" t="s">
        <v>433</v>
      </c>
      <c r="E1270" s="13" t="s">
        <v>30</v>
      </c>
      <c r="F1270" s="5" t="s">
        <v>434</v>
      </c>
      <c r="G1270" s="5" t="b">
        <v>0</v>
      </c>
      <c r="H1270" s="5" t="s">
        <v>4358</v>
      </c>
      <c r="I1270" s="5">
        <v>1.0</v>
      </c>
      <c r="J1270" s="5">
        <v>0.0</v>
      </c>
      <c r="K1270" s="5">
        <v>4.0</v>
      </c>
    </row>
    <row r="1271">
      <c r="A1271" s="4" t="s">
        <v>4359</v>
      </c>
      <c r="B1271" s="11" t="s">
        <v>4360</v>
      </c>
      <c r="C1271" s="4" t="s">
        <v>70</v>
      </c>
      <c r="D1271" s="12" t="s">
        <v>433</v>
      </c>
      <c r="E1271" s="13" t="s">
        <v>30</v>
      </c>
      <c r="F1271" s="5" t="s">
        <v>434</v>
      </c>
      <c r="G1271" s="5" t="b">
        <v>0</v>
      </c>
      <c r="H1271" s="5" t="s">
        <v>4361</v>
      </c>
      <c r="I1271" s="5">
        <v>1.0</v>
      </c>
      <c r="J1271" s="5">
        <v>0.0</v>
      </c>
      <c r="K1271" s="5">
        <v>0.0</v>
      </c>
    </row>
    <row r="1272">
      <c r="A1272" s="4" t="s">
        <v>4362</v>
      </c>
      <c r="B1272" s="11" t="s">
        <v>4363</v>
      </c>
      <c r="C1272" s="4" t="s">
        <v>70</v>
      </c>
      <c r="D1272" s="12" t="s">
        <v>29</v>
      </c>
      <c r="E1272" s="13" t="s">
        <v>30</v>
      </c>
      <c r="F1272" s="5" t="s">
        <v>31</v>
      </c>
      <c r="G1272" s="5" t="b">
        <v>0</v>
      </c>
      <c r="H1272" s="5" t="s">
        <v>858</v>
      </c>
      <c r="I1272" s="5">
        <v>1.0</v>
      </c>
      <c r="J1272" s="5">
        <v>0.0</v>
      </c>
      <c r="K1272" s="5">
        <v>3.0</v>
      </c>
    </row>
    <row r="1273">
      <c r="A1273" s="4" t="s">
        <v>4364</v>
      </c>
      <c r="B1273" s="11" t="s">
        <v>4365</v>
      </c>
      <c r="C1273" s="4" t="s">
        <v>262</v>
      </c>
      <c r="D1273" s="12" t="s">
        <v>29</v>
      </c>
      <c r="E1273" s="13" t="s">
        <v>84</v>
      </c>
      <c r="F1273" s="5" t="s">
        <v>31</v>
      </c>
      <c r="G1273" s="5" t="b">
        <v>0</v>
      </c>
      <c r="H1273" s="5" t="s">
        <v>4366</v>
      </c>
      <c r="I1273" s="5">
        <v>1.0</v>
      </c>
      <c r="J1273" s="5">
        <v>0.0</v>
      </c>
      <c r="K1273" s="5">
        <v>2.0</v>
      </c>
    </row>
    <row r="1274">
      <c r="A1274" s="4" t="s">
        <v>4367</v>
      </c>
      <c r="B1274" s="11" t="s">
        <v>4368</v>
      </c>
      <c r="C1274" s="4" t="s">
        <v>2115</v>
      </c>
      <c r="D1274" s="12" t="s">
        <v>84</v>
      </c>
      <c r="E1274" s="13" t="s">
        <v>53</v>
      </c>
      <c r="F1274" s="5" t="s">
        <v>85</v>
      </c>
      <c r="G1274" s="5" t="b">
        <v>0</v>
      </c>
      <c r="I1274" s="5">
        <v>1.0</v>
      </c>
      <c r="J1274" s="5">
        <v>0.0</v>
      </c>
      <c r="K1274" s="5">
        <v>0.0</v>
      </c>
    </row>
    <row r="1275">
      <c r="A1275" s="4" t="s">
        <v>4369</v>
      </c>
      <c r="B1275" s="11" t="s">
        <v>4370</v>
      </c>
      <c r="C1275" s="4" t="s">
        <v>79</v>
      </c>
      <c r="D1275" s="12" t="s">
        <v>996</v>
      </c>
      <c r="E1275" s="13" t="s">
        <v>81</v>
      </c>
      <c r="F1275" s="5" t="s">
        <v>997</v>
      </c>
      <c r="G1275" s="5" t="b">
        <v>0</v>
      </c>
      <c r="H1275" s="5" t="s">
        <v>4371</v>
      </c>
      <c r="I1275" s="5">
        <v>1.0</v>
      </c>
      <c r="J1275" s="5">
        <v>0.0</v>
      </c>
      <c r="K1275" s="5">
        <v>2.0</v>
      </c>
    </row>
    <row r="1276">
      <c r="A1276" s="4" t="s">
        <v>4372</v>
      </c>
      <c r="B1276" s="11" t="s">
        <v>4373</v>
      </c>
      <c r="C1276" s="4" t="s">
        <v>79</v>
      </c>
      <c r="D1276" s="12" t="s">
        <v>996</v>
      </c>
      <c r="E1276" s="13" t="s">
        <v>81</v>
      </c>
      <c r="F1276" s="5" t="s">
        <v>997</v>
      </c>
      <c r="G1276" s="5" t="b">
        <v>0</v>
      </c>
      <c r="H1276" s="5" t="s">
        <v>2923</v>
      </c>
      <c r="I1276" s="5">
        <v>1.0</v>
      </c>
      <c r="J1276" s="5">
        <v>0.0</v>
      </c>
      <c r="K1276" s="5">
        <v>2.0</v>
      </c>
    </row>
    <row r="1277">
      <c r="A1277" s="4" t="s">
        <v>4374</v>
      </c>
      <c r="B1277" s="11" t="s">
        <v>4375</v>
      </c>
      <c r="C1277" s="4" t="s">
        <v>79</v>
      </c>
      <c r="D1277" s="12" t="s">
        <v>996</v>
      </c>
      <c r="E1277" s="13" t="s">
        <v>81</v>
      </c>
      <c r="F1277" s="5" t="s">
        <v>997</v>
      </c>
      <c r="G1277" s="5" t="b">
        <v>0</v>
      </c>
      <c r="H1277" s="5" t="s">
        <v>4376</v>
      </c>
      <c r="I1277" s="5">
        <v>1.0</v>
      </c>
      <c r="J1277" s="5">
        <v>0.0</v>
      </c>
      <c r="K1277" s="5">
        <v>3.0</v>
      </c>
    </row>
    <row r="1278">
      <c r="A1278" s="4" t="s">
        <v>4377</v>
      </c>
      <c r="B1278" s="11" t="s">
        <v>4378</v>
      </c>
      <c r="C1278" s="4" t="s">
        <v>79</v>
      </c>
      <c r="D1278" s="12" t="s">
        <v>996</v>
      </c>
      <c r="E1278" s="13" t="s">
        <v>81</v>
      </c>
      <c r="F1278" s="5" t="s">
        <v>997</v>
      </c>
      <c r="G1278" s="5" t="b">
        <v>0</v>
      </c>
      <c r="H1278" s="5" t="s">
        <v>649</v>
      </c>
      <c r="I1278" s="5">
        <v>1.0</v>
      </c>
      <c r="J1278" s="5">
        <v>0.0</v>
      </c>
      <c r="K1278" s="5">
        <v>2.0</v>
      </c>
    </row>
    <row r="1279">
      <c r="A1279" s="4" t="s">
        <v>4379</v>
      </c>
      <c r="B1279" s="11" t="s">
        <v>4380</v>
      </c>
      <c r="C1279" s="4" t="s">
        <v>79</v>
      </c>
      <c r="D1279" s="12" t="s">
        <v>996</v>
      </c>
      <c r="E1279" s="13" t="s">
        <v>81</v>
      </c>
      <c r="F1279" s="5" t="s">
        <v>997</v>
      </c>
      <c r="G1279" s="5" t="b">
        <v>0</v>
      </c>
      <c r="H1279" s="5" t="s">
        <v>1285</v>
      </c>
      <c r="I1279" s="5">
        <v>1.0</v>
      </c>
      <c r="J1279" s="5">
        <v>0.0</v>
      </c>
      <c r="K1279" s="5">
        <v>0.0</v>
      </c>
    </row>
    <row r="1280">
      <c r="A1280" s="4" t="s">
        <v>4381</v>
      </c>
      <c r="B1280" s="11" t="s">
        <v>4382</v>
      </c>
      <c r="C1280" s="4" t="s">
        <v>79</v>
      </c>
      <c r="D1280" s="12" t="s">
        <v>996</v>
      </c>
      <c r="E1280" s="13" t="s">
        <v>81</v>
      </c>
      <c r="F1280" s="5" t="s">
        <v>997</v>
      </c>
      <c r="G1280" s="5" t="b">
        <v>0</v>
      </c>
      <c r="I1280" s="5">
        <v>1.0</v>
      </c>
      <c r="J1280" s="5">
        <v>0.0</v>
      </c>
      <c r="K1280" s="5">
        <v>2.0</v>
      </c>
    </row>
    <row r="1281">
      <c r="A1281" s="4" t="s">
        <v>4383</v>
      </c>
      <c r="B1281" s="11" t="s">
        <v>4384</v>
      </c>
      <c r="C1281" s="4" t="s">
        <v>79</v>
      </c>
      <c r="D1281" s="12" t="s">
        <v>996</v>
      </c>
      <c r="E1281" s="13" t="s">
        <v>81</v>
      </c>
      <c r="F1281" s="5" t="s">
        <v>997</v>
      </c>
      <c r="G1281" s="5" t="b">
        <v>0</v>
      </c>
      <c r="H1281" s="5" t="s">
        <v>1285</v>
      </c>
      <c r="I1281" s="5">
        <v>1.0</v>
      </c>
      <c r="J1281" s="5">
        <v>0.0</v>
      </c>
      <c r="K1281" s="5">
        <v>2.0</v>
      </c>
    </row>
    <row r="1282">
      <c r="A1282" s="4" t="s">
        <v>4385</v>
      </c>
      <c r="B1282" s="11" t="s">
        <v>4386</v>
      </c>
      <c r="C1282" s="4" t="s">
        <v>79</v>
      </c>
      <c r="D1282" s="12" t="s">
        <v>996</v>
      </c>
      <c r="E1282" s="13" t="s">
        <v>81</v>
      </c>
      <c r="F1282" s="5" t="s">
        <v>997</v>
      </c>
      <c r="G1282" s="5" t="b">
        <v>0</v>
      </c>
      <c r="H1282" s="5" t="s">
        <v>4387</v>
      </c>
      <c r="I1282" s="5">
        <v>1.0</v>
      </c>
      <c r="J1282" s="5">
        <v>0.0</v>
      </c>
      <c r="K1282" s="5">
        <v>1.0</v>
      </c>
    </row>
    <row r="1283">
      <c r="A1283" s="4" t="s">
        <v>4388</v>
      </c>
      <c r="B1283" s="11" t="s">
        <v>4389</v>
      </c>
      <c r="C1283" s="4" t="s">
        <v>79</v>
      </c>
      <c r="D1283" s="12" t="s">
        <v>996</v>
      </c>
      <c r="E1283" s="13" t="s">
        <v>81</v>
      </c>
      <c r="F1283" s="5" t="s">
        <v>997</v>
      </c>
      <c r="G1283" s="5" t="b">
        <v>0</v>
      </c>
      <c r="I1283" s="5">
        <v>1.0</v>
      </c>
      <c r="J1283" s="5">
        <v>0.0</v>
      </c>
      <c r="K1283" s="5">
        <v>1.0</v>
      </c>
    </row>
    <row r="1284">
      <c r="A1284" s="4" t="s">
        <v>4390</v>
      </c>
      <c r="B1284" s="11" t="s">
        <v>4391</v>
      </c>
      <c r="C1284" s="4" t="s">
        <v>79</v>
      </c>
      <c r="D1284" s="12" t="s">
        <v>996</v>
      </c>
      <c r="E1284" s="13" t="s">
        <v>81</v>
      </c>
      <c r="F1284" s="5" t="s">
        <v>997</v>
      </c>
      <c r="G1284" s="5" t="b">
        <v>0</v>
      </c>
      <c r="H1284" s="5" t="s">
        <v>1226</v>
      </c>
      <c r="I1284" s="5">
        <v>1.0</v>
      </c>
      <c r="J1284" s="5">
        <v>0.0</v>
      </c>
      <c r="K1284" s="5">
        <v>2.0</v>
      </c>
    </row>
    <row r="1285">
      <c r="A1285" s="4" t="s">
        <v>4392</v>
      </c>
      <c r="B1285" s="11" t="s">
        <v>4393</v>
      </c>
      <c r="C1285" s="4" t="s">
        <v>2117</v>
      </c>
      <c r="D1285" s="12" t="s">
        <v>126</v>
      </c>
      <c r="E1285" s="13" t="s">
        <v>53</v>
      </c>
      <c r="F1285" s="5" t="s">
        <v>127</v>
      </c>
      <c r="G1285" s="5" t="b">
        <v>0</v>
      </c>
      <c r="H1285" s="5" t="s">
        <v>649</v>
      </c>
      <c r="I1285" s="5">
        <v>1.0</v>
      </c>
      <c r="J1285" s="5">
        <v>0.0</v>
      </c>
      <c r="K1285" s="5">
        <v>0.0</v>
      </c>
    </row>
    <row r="1286">
      <c r="A1286" s="4" t="s">
        <v>4394</v>
      </c>
      <c r="B1286" s="11" t="s">
        <v>4395</v>
      </c>
      <c r="C1286" s="4" t="s">
        <v>2119</v>
      </c>
      <c r="D1286" s="12" t="s">
        <v>126</v>
      </c>
      <c r="E1286" s="13" t="s">
        <v>53</v>
      </c>
      <c r="F1286" s="5" t="s">
        <v>127</v>
      </c>
      <c r="G1286" s="5" t="b">
        <v>0</v>
      </c>
      <c r="I1286" s="5">
        <v>1.0</v>
      </c>
      <c r="J1286" s="5">
        <v>0.0</v>
      </c>
      <c r="K1286" s="5">
        <v>0.0</v>
      </c>
    </row>
    <row r="1287">
      <c r="A1287" s="4" t="s">
        <v>4396</v>
      </c>
      <c r="B1287" s="11" t="s">
        <v>4397</v>
      </c>
      <c r="C1287" s="4" t="s">
        <v>2121</v>
      </c>
      <c r="D1287" s="12" t="s">
        <v>670</v>
      </c>
      <c r="E1287" s="13" t="s">
        <v>53</v>
      </c>
      <c r="F1287" s="5" t="s">
        <v>671</v>
      </c>
      <c r="G1287" s="5" t="b">
        <v>0</v>
      </c>
      <c r="H1287" s="5" t="s">
        <v>2123</v>
      </c>
      <c r="I1287" s="5">
        <v>1.0</v>
      </c>
      <c r="J1287" s="5">
        <v>0.0</v>
      </c>
      <c r="K1287" s="5">
        <v>0.0</v>
      </c>
    </row>
    <row r="1288">
      <c r="A1288" s="4" t="s">
        <v>4398</v>
      </c>
      <c r="B1288" s="11" t="s">
        <v>4399</v>
      </c>
      <c r="C1288" s="4" t="s">
        <v>2124</v>
      </c>
      <c r="D1288" s="12" t="s">
        <v>29</v>
      </c>
      <c r="E1288" s="13" t="s">
        <v>53</v>
      </c>
      <c r="F1288" s="5" t="s">
        <v>31</v>
      </c>
      <c r="G1288" s="5" t="b">
        <v>0</v>
      </c>
      <c r="H1288" s="5" t="s">
        <v>4400</v>
      </c>
      <c r="I1288" s="5">
        <v>1.0</v>
      </c>
      <c r="J1288" s="5">
        <v>0.0</v>
      </c>
      <c r="K1288" s="5">
        <v>1.0</v>
      </c>
    </row>
    <row r="1289">
      <c r="A1289" s="4" t="s">
        <v>4401</v>
      </c>
      <c r="B1289" s="11" t="s">
        <v>4402</v>
      </c>
      <c r="C1289" s="4" t="s">
        <v>2129</v>
      </c>
      <c r="D1289" s="12" t="s">
        <v>29</v>
      </c>
      <c r="E1289" s="13" t="s">
        <v>84</v>
      </c>
      <c r="F1289" s="5" t="s">
        <v>31</v>
      </c>
      <c r="G1289" s="5" t="b">
        <v>0</v>
      </c>
      <c r="H1289" s="5" t="s">
        <v>4403</v>
      </c>
      <c r="I1289" s="5">
        <v>1.0</v>
      </c>
      <c r="J1289" s="5">
        <v>0.0</v>
      </c>
      <c r="K1289" s="5">
        <v>1.0</v>
      </c>
    </row>
    <row r="1290">
      <c r="A1290" s="4" t="s">
        <v>4404</v>
      </c>
      <c r="B1290" s="11" t="s">
        <v>4405</v>
      </c>
      <c r="C1290" s="4" t="s">
        <v>2132</v>
      </c>
      <c r="D1290" s="12" t="s">
        <v>670</v>
      </c>
      <c r="E1290" s="13" t="s">
        <v>53</v>
      </c>
      <c r="F1290" s="5" t="s">
        <v>671</v>
      </c>
      <c r="G1290" s="5" t="b">
        <v>0</v>
      </c>
      <c r="H1290" s="5" t="s">
        <v>2114</v>
      </c>
      <c r="I1290" s="5">
        <v>1.0</v>
      </c>
      <c r="J1290" s="5">
        <v>0.0</v>
      </c>
      <c r="K1290" s="5">
        <v>0.0</v>
      </c>
    </row>
    <row r="1291">
      <c r="A1291" s="4" t="s">
        <v>4406</v>
      </c>
      <c r="B1291" s="11" t="s">
        <v>4407</v>
      </c>
      <c r="C1291" s="4" t="s">
        <v>2135</v>
      </c>
      <c r="D1291" s="12" t="s">
        <v>126</v>
      </c>
      <c r="E1291" s="13" t="s">
        <v>30</v>
      </c>
      <c r="F1291" s="5" t="s">
        <v>127</v>
      </c>
      <c r="G1291" s="5" t="b">
        <v>0</v>
      </c>
      <c r="H1291" s="5" t="s">
        <v>2137</v>
      </c>
      <c r="I1291" s="5">
        <v>1.0</v>
      </c>
      <c r="J1291" s="5">
        <v>0.0</v>
      </c>
      <c r="K1291" s="5">
        <v>5.0</v>
      </c>
    </row>
    <row r="1292">
      <c r="A1292" s="4" t="s">
        <v>4408</v>
      </c>
      <c r="B1292" s="11" t="s">
        <v>4409</v>
      </c>
      <c r="C1292" s="4" t="s">
        <v>892</v>
      </c>
      <c r="D1292" s="12" t="s">
        <v>29</v>
      </c>
      <c r="E1292" s="13" t="s">
        <v>30</v>
      </c>
      <c r="F1292" s="5" t="s">
        <v>31</v>
      </c>
      <c r="G1292" s="5" t="b">
        <v>0</v>
      </c>
      <c r="H1292" s="5" t="s">
        <v>4410</v>
      </c>
      <c r="I1292" s="5">
        <v>1.0</v>
      </c>
      <c r="J1292" s="5">
        <v>0.0</v>
      </c>
      <c r="K1292" s="5">
        <v>0.0</v>
      </c>
    </row>
    <row r="1293">
      <c r="A1293" s="4" t="s">
        <v>4411</v>
      </c>
      <c r="B1293" s="11" t="s">
        <v>4412</v>
      </c>
      <c r="C1293" s="4" t="s">
        <v>645</v>
      </c>
      <c r="D1293" s="12" t="s">
        <v>297</v>
      </c>
      <c r="E1293" s="13" t="s">
        <v>53</v>
      </c>
      <c r="F1293" s="5" t="s">
        <v>298</v>
      </c>
      <c r="G1293" s="5" t="b">
        <v>0</v>
      </c>
      <c r="H1293" s="5" t="s">
        <v>4413</v>
      </c>
      <c r="I1293" s="5">
        <v>1.0</v>
      </c>
      <c r="J1293" s="5">
        <v>0.0</v>
      </c>
      <c r="K1293" s="5">
        <v>1.0</v>
      </c>
    </row>
    <row r="1294">
      <c r="A1294" s="4" t="s">
        <v>4414</v>
      </c>
      <c r="B1294" s="11" t="s">
        <v>4415</v>
      </c>
      <c r="C1294" s="4" t="s">
        <v>2138</v>
      </c>
      <c r="D1294" s="12" t="s">
        <v>297</v>
      </c>
      <c r="E1294" s="13" t="s">
        <v>53</v>
      </c>
      <c r="F1294" s="5" t="s">
        <v>298</v>
      </c>
      <c r="G1294" s="5" t="b">
        <v>0</v>
      </c>
      <c r="H1294" s="5" t="s">
        <v>4416</v>
      </c>
      <c r="I1294" s="5">
        <v>1.0</v>
      </c>
      <c r="J1294" s="5">
        <v>0.0</v>
      </c>
      <c r="K1294" s="5">
        <v>0.0</v>
      </c>
    </row>
    <row r="1295">
      <c r="A1295" s="4" t="s">
        <v>4417</v>
      </c>
      <c r="B1295" s="11" t="s">
        <v>4418</v>
      </c>
      <c r="C1295" s="4" t="s">
        <v>2141</v>
      </c>
      <c r="D1295" s="12" t="s">
        <v>126</v>
      </c>
      <c r="E1295" s="13" t="s">
        <v>53</v>
      </c>
      <c r="F1295" s="5" t="s">
        <v>127</v>
      </c>
      <c r="G1295" s="5" t="b">
        <v>0</v>
      </c>
      <c r="I1295" s="5">
        <v>1.0</v>
      </c>
      <c r="J1295" s="5">
        <v>0.0</v>
      </c>
      <c r="K1295" s="5">
        <v>0.0</v>
      </c>
    </row>
    <row r="1296">
      <c r="A1296" s="4" t="s">
        <v>4419</v>
      </c>
      <c r="B1296" s="11" t="s">
        <v>4420</v>
      </c>
      <c r="C1296" s="4" t="s">
        <v>2143</v>
      </c>
      <c r="D1296" s="12" t="s">
        <v>261</v>
      </c>
      <c r="E1296" s="13" t="s">
        <v>53</v>
      </c>
      <c r="F1296" s="5" t="s">
        <v>263</v>
      </c>
      <c r="G1296" s="5" t="b">
        <v>0</v>
      </c>
      <c r="H1296" s="5" t="s">
        <v>247</v>
      </c>
      <c r="I1296" s="5">
        <v>1.0</v>
      </c>
      <c r="J1296" s="5">
        <v>0.0</v>
      </c>
      <c r="K1296" s="5">
        <v>0.0</v>
      </c>
    </row>
    <row r="1297">
      <c r="A1297" s="4" t="s">
        <v>4421</v>
      </c>
      <c r="B1297" s="11" t="s">
        <v>4422</v>
      </c>
      <c r="C1297" s="4" t="s">
        <v>2147</v>
      </c>
      <c r="D1297" s="12" t="s">
        <v>29</v>
      </c>
      <c r="E1297" s="13" t="s">
        <v>53</v>
      </c>
      <c r="F1297" s="5" t="s">
        <v>31</v>
      </c>
      <c r="G1297" s="5" t="b">
        <v>0</v>
      </c>
      <c r="H1297" s="5" t="s">
        <v>4423</v>
      </c>
      <c r="I1297" s="5">
        <v>1.0</v>
      </c>
      <c r="J1297" s="5">
        <v>0.0</v>
      </c>
      <c r="K1297" s="5">
        <v>0.0</v>
      </c>
    </row>
    <row r="1298">
      <c r="A1298" s="4" t="s">
        <v>4424</v>
      </c>
      <c r="B1298" s="11" t="s">
        <v>4425</v>
      </c>
      <c r="C1298" s="4" t="s">
        <v>1461</v>
      </c>
      <c r="D1298" s="12" t="s">
        <v>84</v>
      </c>
      <c r="E1298" s="13" t="s">
        <v>84</v>
      </c>
      <c r="F1298" s="5" t="s">
        <v>85</v>
      </c>
      <c r="G1298" s="5" t="b">
        <v>0</v>
      </c>
      <c r="H1298" s="5" t="s">
        <v>1463</v>
      </c>
      <c r="I1298" s="5">
        <v>1.0</v>
      </c>
      <c r="J1298" s="5">
        <v>0.0</v>
      </c>
      <c r="K1298" s="5">
        <v>2.0</v>
      </c>
    </row>
    <row r="1299">
      <c r="A1299" s="4" t="s">
        <v>4426</v>
      </c>
      <c r="B1299" s="11" t="s">
        <v>4427</v>
      </c>
      <c r="C1299" s="4" t="s">
        <v>965</v>
      </c>
      <c r="D1299" s="12" t="s">
        <v>52</v>
      </c>
      <c r="E1299" s="13" t="s">
        <v>53</v>
      </c>
      <c r="F1299" s="5" t="s">
        <v>54</v>
      </c>
      <c r="G1299" s="5" t="b">
        <v>0</v>
      </c>
      <c r="H1299" s="5" t="s">
        <v>2482</v>
      </c>
      <c r="I1299" s="5">
        <v>1.0</v>
      </c>
      <c r="J1299" s="5">
        <v>0.0</v>
      </c>
      <c r="K1299" s="5">
        <v>0.0</v>
      </c>
    </row>
    <row r="1300">
      <c r="A1300" s="4" t="s">
        <v>4428</v>
      </c>
      <c r="B1300" s="11" t="s">
        <v>4429</v>
      </c>
      <c r="C1300" s="4" t="s">
        <v>965</v>
      </c>
      <c r="D1300" s="12" t="s">
        <v>52</v>
      </c>
      <c r="E1300" s="13" t="s">
        <v>53</v>
      </c>
      <c r="F1300" s="5" t="s">
        <v>54</v>
      </c>
      <c r="G1300" s="5" t="b">
        <v>0</v>
      </c>
      <c r="H1300" s="5" t="s">
        <v>247</v>
      </c>
      <c r="I1300" s="5">
        <v>1.0</v>
      </c>
      <c r="J1300" s="5">
        <v>0.0</v>
      </c>
      <c r="K1300" s="5">
        <v>1.0</v>
      </c>
    </row>
    <row r="1301">
      <c r="A1301" s="4" t="s">
        <v>4430</v>
      </c>
      <c r="B1301" s="11" t="s">
        <v>4431</v>
      </c>
      <c r="C1301" s="4" t="s">
        <v>965</v>
      </c>
      <c r="D1301" s="12" t="s">
        <v>84</v>
      </c>
      <c r="E1301" s="13" t="s">
        <v>53</v>
      </c>
      <c r="F1301" s="5" t="s">
        <v>85</v>
      </c>
      <c r="G1301" s="5" t="b">
        <v>0</v>
      </c>
      <c r="H1301" s="5" t="s">
        <v>4432</v>
      </c>
      <c r="I1301" s="5">
        <v>1.0</v>
      </c>
      <c r="J1301" s="5">
        <v>0.0</v>
      </c>
      <c r="K1301" s="5">
        <v>0.0</v>
      </c>
    </row>
    <row r="1302">
      <c r="A1302" s="4" t="s">
        <v>4433</v>
      </c>
      <c r="B1302" s="11" t="s">
        <v>4434</v>
      </c>
      <c r="C1302" s="4" t="s">
        <v>2150</v>
      </c>
      <c r="D1302" s="12" t="s">
        <v>467</v>
      </c>
      <c r="E1302" s="13" t="s">
        <v>53</v>
      </c>
      <c r="F1302" s="5" t="s">
        <v>469</v>
      </c>
      <c r="G1302" s="5" t="b">
        <v>0</v>
      </c>
      <c r="I1302" s="5">
        <v>1.0</v>
      </c>
      <c r="J1302" s="5">
        <v>0.0</v>
      </c>
      <c r="K1302" s="5">
        <v>1.0</v>
      </c>
    </row>
    <row r="1303">
      <c r="A1303" s="4" t="s">
        <v>4435</v>
      </c>
      <c r="B1303" s="11" t="s">
        <v>4436</v>
      </c>
      <c r="C1303" s="4" t="s">
        <v>2152</v>
      </c>
      <c r="D1303" s="12" t="s">
        <v>29</v>
      </c>
      <c r="E1303" s="13" t="s">
        <v>53</v>
      </c>
      <c r="F1303" s="5" t="s">
        <v>31</v>
      </c>
      <c r="G1303" s="5" t="b">
        <v>0</v>
      </c>
      <c r="H1303" s="5" t="s">
        <v>4437</v>
      </c>
      <c r="I1303" s="5">
        <v>1.0</v>
      </c>
      <c r="J1303" s="5">
        <v>0.0</v>
      </c>
      <c r="K1303" s="5">
        <v>4.0</v>
      </c>
    </row>
    <row r="1304">
      <c r="A1304" s="4" t="s">
        <v>4438</v>
      </c>
      <c r="B1304" s="11" t="s">
        <v>4439</v>
      </c>
      <c r="C1304" s="4" t="s">
        <v>1438</v>
      </c>
      <c r="D1304" s="12" t="s">
        <v>29</v>
      </c>
      <c r="E1304" s="13" t="s">
        <v>678</v>
      </c>
      <c r="F1304" s="5" t="s">
        <v>31</v>
      </c>
      <c r="G1304" s="5" t="b">
        <v>0</v>
      </c>
      <c r="H1304" s="5" t="s">
        <v>4440</v>
      </c>
      <c r="I1304" s="5">
        <v>1.0</v>
      </c>
      <c r="J1304" s="5">
        <v>0.0</v>
      </c>
      <c r="K1304" s="5">
        <v>4.0</v>
      </c>
    </row>
    <row r="1305">
      <c r="A1305" s="4" t="s">
        <v>4441</v>
      </c>
      <c r="B1305" s="11" t="s">
        <v>4442</v>
      </c>
      <c r="C1305" s="4" t="s">
        <v>254</v>
      </c>
      <c r="D1305" s="12" t="s">
        <v>29</v>
      </c>
      <c r="E1305" s="13" t="s">
        <v>30</v>
      </c>
      <c r="F1305" s="5" t="s">
        <v>31</v>
      </c>
      <c r="G1305" s="5" t="b">
        <v>0</v>
      </c>
      <c r="H1305" s="5" t="s">
        <v>4443</v>
      </c>
      <c r="I1305" s="5">
        <v>1.0</v>
      </c>
      <c r="J1305" s="5">
        <v>0.0</v>
      </c>
      <c r="K1305" s="5">
        <v>0.0</v>
      </c>
    </row>
    <row r="1306">
      <c r="A1306" s="4" t="s">
        <v>4444</v>
      </c>
      <c r="B1306" s="11" t="s">
        <v>4445</v>
      </c>
      <c r="C1306" s="4" t="s">
        <v>254</v>
      </c>
      <c r="D1306" s="12" t="s">
        <v>3815</v>
      </c>
      <c r="E1306" s="13" t="s">
        <v>30</v>
      </c>
      <c r="F1306" s="5" t="s">
        <v>3816</v>
      </c>
      <c r="G1306" s="5" t="b">
        <v>0</v>
      </c>
      <c r="H1306" s="5" t="s">
        <v>4446</v>
      </c>
      <c r="I1306" s="5">
        <v>1.0</v>
      </c>
      <c r="J1306" s="5">
        <v>0.0</v>
      </c>
      <c r="K1306" s="5">
        <v>0.0</v>
      </c>
    </row>
    <row r="1307">
      <c r="A1307" s="4" t="s">
        <v>4447</v>
      </c>
      <c r="B1307" s="11" t="s">
        <v>4448</v>
      </c>
      <c r="C1307" s="4" t="s">
        <v>213</v>
      </c>
      <c r="D1307" s="12" t="s">
        <v>670</v>
      </c>
      <c r="E1307" s="13" t="s">
        <v>30</v>
      </c>
      <c r="F1307" s="5" t="s">
        <v>671</v>
      </c>
      <c r="G1307" s="5" t="b">
        <v>0</v>
      </c>
      <c r="H1307" s="5" t="s">
        <v>4449</v>
      </c>
      <c r="I1307" s="5">
        <v>1.0</v>
      </c>
      <c r="J1307" s="5">
        <v>0.0</v>
      </c>
      <c r="K1307" s="5">
        <v>0.0</v>
      </c>
    </row>
    <row r="1308">
      <c r="A1308" s="4" t="s">
        <v>4450</v>
      </c>
      <c r="B1308" s="11" t="s">
        <v>4451</v>
      </c>
      <c r="C1308" s="4" t="s">
        <v>2155</v>
      </c>
      <c r="D1308" s="12" t="s">
        <v>84</v>
      </c>
      <c r="E1308" s="13" t="s">
        <v>93</v>
      </c>
      <c r="F1308" s="5" t="s">
        <v>85</v>
      </c>
      <c r="G1308" s="5" t="b">
        <v>0</v>
      </c>
      <c r="H1308" s="5" t="s">
        <v>2156</v>
      </c>
      <c r="I1308" s="5">
        <v>1.0</v>
      </c>
      <c r="J1308" s="5">
        <v>0.0</v>
      </c>
      <c r="K1308" s="5">
        <v>0.0</v>
      </c>
    </row>
    <row r="1309">
      <c r="A1309" s="4" t="s">
        <v>4452</v>
      </c>
      <c r="B1309" s="11" t="s">
        <v>4453</v>
      </c>
      <c r="C1309" s="4" t="s">
        <v>2158</v>
      </c>
      <c r="D1309" s="12" t="s">
        <v>52</v>
      </c>
      <c r="E1309" s="13" t="s">
        <v>53</v>
      </c>
      <c r="F1309" s="5" t="s">
        <v>54</v>
      </c>
      <c r="G1309" s="5" t="b">
        <v>0</v>
      </c>
      <c r="H1309" s="5" t="s">
        <v>4454</v>
      </c>
      <c r="I1309" s="5">
        <v>1.0</v>
      </c>
      <c r="J1309" s="5">
        <v>0.0</v>
      </c>
      <c r="K1309" s="5">
        <v>1.0</v>
      </c>
    </row>
    <row r="1310">
      <c r="A1310" s="4" t="s">
        <v>4455</v>
      </c>
      <c r="B1310" s="11" t="s">
        <v>4456</v>
      </c>
      <c r="C1310" s="4" t="s">
        <v>2161</v>
      </c>
      <c r="D1310" s="12" t="s">
        <v>29</v>
      </c>
      <c r="E1310" s="13" t="s">
        <v>53</v>
      </c>
      <c r="F1310" s="5" t="s">
        <v>31</v>
      </c>
      <c r="G1310" s="5" t="b">
        <v>0</v>
      </c>
      <c r="H1310" s="5" t="s">
        <v>4457</v>
      </c>
      <c r="I1310" s="5">
        <v>1.0</v>
      </c>
      <c r="J1310" s="5">
        <v>0.0</v>
      </c>
      <c r="K1310" s="5">
        <v>1.0</v>
      </c>
    </row>
    <row r="1311">
      <c r="A1311" s="4" t="s">
        <v>4458</v>
      </c>
      <c r="B1311" s="11" t="s">
        <v>4459</v>
      </c>
      <c r="C1311" s="4" t="s">
        <v>2164</v>
      </c>
      <c r="D1311" s="12" t="s">
        <v>467</v>
      </c>
      <c r="E1311" s="13" t="s">
        <v>30</v>
      </c>
      <c r="F1311" s="5" t="s">
        <v>469</v>
      </c>
      <c r="G1311" s="5" t="b">
        <v>0</v>
      </c>
      <c r="H1311" s="5" t="s">
        <v>4460</v>
      </c>
      <c r="I1311" s="5">
        <v>1.0</v>
      </c>
      <c r="J1311" s="5">
        <v>0.0</v>
      </c>
      <c r="K1311" s="5">
        <v>1.0</v>
      </c>
    </row>
    <row r="1312">
      <c r="A1312" s="4" t="s">
        <v>4461</v>
      </c>
      <c r="B1312" s="11" t="s">
        <v>4462</v>
      </c>
      <c r="C1312" s="4" t="s">
        <v>2166</v>
      </c>
      <c r="D1312" s="12" t="s">
        <v>29</v>
      </c>
      <c r="E1312" s="13" t="s">
        <v>53</v>
      </c>
      <c r="F1312" s="5" t="s">
        <v>31</v>
      </c>
      <c r="G1312" s="5" t="b">
        <v>0</v>
      </c>
      <c r="H1312" s="5" t="s">
        <v>4463</v>
      </c>
      <c r="I1312" s="5">
        <v>1.0</v>
      </c>
      <c r="J1312" s="5">
        <v>0.0</v>
      </c>
      <c r="K1312" s="5">
        <v>1.0</v>
      </c>
    </row>
    <row r="1313">
      <c r="A1313" s="4" t="s">
        <v>4464</v>
      </c>
      <c r="B1313" s="11" t="s">
        <v>4465</v>
      </c>
      <c r="C1313" s="4" t="s">
        <v>2169</v>
      </c>
      <c r="D1313" s="12" t="s">
        <v>261</v>
      </c>
      <c r="E1313" s="13" t="s">
        <v>53</v>
      </c>
      <c r="F1313" s="5" t="s">
        <v>263</v>
      </c>
      <c r="G1313" s="5" t="b">
        <v>0</v>
      </c>
      <c r="I1313" s="5">
        <v>1.0</v>
      </c>
      <c r="J1313" s="5">
        <v>0.0</v>
      </c>
      <c r="K1313" s="5">
        <v>1.0</v>
      </c>
    </row>
    <row r="1314">
      <c r="A1314" s="4" t="s">
        <v>4466</v>
      </c>
      <c r="B1314" s="11" t="s">
        <v>4467</v>
      </c>
      <c r="C1314" s="4" t="s">
        <v>2171</v>
      </c>
      <c r="D1314" s="12" t="s">
        <v>29</v>
      </c>
      <c r="E1314" s="13" t="s">
        <v>30</v>
      </c>
      <c r="F1314" s="5" t="s">
        <v>31</v>
      </c>
      <c r="G1314" s="5" t="b">
        <v>0</v>
      </c>
      <c r="H1314" s="5" t="s">
        <v>4468</v>
      </c>
      <c r="I1314" s="5">
        <v>1.0</v>
      </c>
      <c r="J1314" s="5">
        <v>0.0</v>
      </c>
      <c r="K1314" s="5">
        <v>0.0</v>
      </c>
    </row>
    <row r="1315">
      <c r="A1315" s="4" t="s">
        <v>4469</v>
      </c>
      <c r="B1315" s="11" t="s">
        <v>4470</v>
      </c>
      <c r="C1315" s="4" t="s">
        <v>2174</v>
      </c>
      <c r="D1315" s="12" t="s">
        <v>297</v>
      </c>
      <c r="E1315" s="13" t="s">
        <v>53</v>
      </c>
      <c r="F1315" s="5" t="s">
        <v>298</v>
      </c>
      <c r="G1315" s="5" t="b">
        <v>0</v>
      </c>
      <c r="I1315" s="5">
        <v>1.0</v>
      </c>
      <c r="J1315" s="5">
        <v>0.0</v>
      </c>
      <c r="K1315" s="5">
        <v>0.0</v>
      </c>
    </row>
    <row r="1316">
      <c r="A1316" s="4" t="s">
        <v>4471</v>
      </c>
      <c r="B1316" s="11" t="s">
        <v>4472</v>
      </c>
      <c r="C1316" s="4" t="s">
        <v>2176</v>
      </c>
      <c r="D1316" s="12" t="s">
        <v>467</v>
      </c>
      <c r="E1316" s="13" t="s">
        <v>53</v>
      </c>
      <c r="F1316" s="5" t="s">
        <v>469</v>
      </c>
      <c r="G1316" s="5" t="b">
        <v>0</v>
      </c>
      <c r="I1316" s="5">
        <v>1.0</v>
      </c>
      <c r="J1316" s="5">
        <v>0.0</v>
      </c>
      <c r="K1316" s="5">
        <v>0.0</v>
      </c>
    </row>
    <row r="1317">
      <c r="A1317" s="4" t="s">
        <v>4473</v>
      </c>
      <c r="B1317" s="11" t="s">
        <v>4474</v>
      </c>
      <c r="C1317" s="4" t="s">
        <v>2178</v>
      </c>
      <c r="D1317" s="12" t="s">
        <v>467</v>
      </c>
      <c r="E1317" s="13" t="s">
        <v>53</v>
      </c>
      <c r="F1317" s="5" t="s">
        <v>469</v>
      </c>
      <c r="G1317" s="5" t="b">
        <v>0</v>
      </c>
      <c r="H1317" s="5" t="s">
        <v>649</v>
      </c>
      <c r="I1317" s="5">
        <v>1.0</v>
      </c>
      <c r="J1317" s="5">
        <v>0.0</v>
      </c>
      <c r="K1317" s="5">
        <v>1.0</v>
      </c>
    </row>
    <row r="1318">
      <c r="A1318" s="4" t="s">
        <v>4475</v>
      </c>
      <c r="B1318" s="11" t="s">
        <v>4476</v>
      </c>
      <c r="C1318" s="4" t="s">
        <v>848</v>
      </c>
      <c r="D1318" s="12" t="s">
        <v>29</v>
      </c>
      <c r="E1318" s="13" t="s">
        <v>53</v>
      </c>
      <c r="F1318" s="5" t="s">
        <v>31</v>
      </c>
      <c r="G1318" s="5" t="b">
        <v>0</v>
      </c>
      <c r="H1318" s="5" t="s">
        <v>4477</v>
      </c>
      <c r="I1318" s="5">
        <v>1.0</v>
      </c>
      <c r="J1318" s="5">
        <v>0.0</v>
      </c>
      <c r="K1318" s="5">
        <v>1.0</v>
      </c>
    </row>
    <row r="1319">
      <c r="A1319" s="4" t="s">
        <v>4478</v>
      </c>
      <c r="B1319" s="11" t="s">
        <v>4479</v>
      </c>
      <c r="C1319" s="4" t="s">
        <v>1178</v>
      </c>
      <c r="D1319" s="12" t="s">
        <v>29</v>
      </c>
      <c r="E1319" s="13" t="s">
        <v>53</v>
      </c>
      <c r="F1319" s="5" t="s">
        <v>31</v>
      </c>
      <c r="G1319" s="5" t="b">
        <v>0</v>
      </c>
      <c r="H1319" s="5" t="s">
        <v>4480</v>
      </c>
      <c r="I1319" s="5">
        <v>1.0</v>
      </c>
      <c r="J1319" s="5">
        <v>0.0</v>
      </c>
      <c r="K1319" s="5">
        <v>1.0</v>
      </c>
    </row>
    <row r="1320">
      <c r="A1320" s="4" t="s">
        <v>4481</v>
      </c>
      <c r="B1320" s="11" t="s">
        <v>4482</v>
      </c>
      <c r="C1320" s="4" t="s">
        <v>1178</v>
      </c>
      <c r="D1320" s="12" t="s">
        <v>29</v>
      </c>
      <c r="E1320" s="13" t="s">
        <v>53</v>
      </c>
      <c r="F1320" s="5" t="s">
        <v>31</v>
      </c>
      <c r="G1320" s="5" t="b">
        <v>0</v>
      </c>
      <c r="H1320" s="5" t="s">
        <v>4483</v>
      </c>
      <c r="I1320" s="5">
        <v>1.0</v>
      </c>
      <c r="J1320" s="5">
        <v>0.0</v>
      </c>
      <c r="K1320" s="5">
        <v>0.0</v>
      </c>
    </row>
    <row r="1321">
      <c r="A1321" s="4" t="s">
        <v>4484</v>
      </c>
      <c r="B1321" s="11" t="s">
        <v>4485</v>
      </c>
      <c r="C1321" s="4" t="s">
        <v>1178</v>
      </c>
      <c r="D1321" s="12" t="s">
        <v>467</v>
      </c>
      <c r="E1321" s="13" t="s">
        <v>53</v>
      </c>
      <c r="F1321" s="5" t="s">
        <v>469</v>
      </c>
      <c r="G1321" s="5" t="b">
        <v>0</v>
      </c>
      <c r="H1321" s="5" t="s">
        <v>4486</v>
      </c>
      <c r="I1321" s="5">
        <v>1.0</v>
      </c>
      <c r="J1321" s="5">
        <v>0.0</v>
      </c>
      <c r="K1321" s="5">
        <v>1.0</v>
      </c>
    </row>
    <row r="1322">
      <c r="A1322" s="4" t="s">
        <v>4487</v>
      </c>
      <c r="B1322" s="11" t="s">
        <v>4488</v>
      </c>
      <c r="C1322" s="4" t="s">
        <v>2180</v>
      </c>
      <c r="D1322" s="12" t="s">
        <v>52</v>
      </c>
      <c r="E1322" s="13" t="s">
        <v>93</v>
      </c>
      <c r="F1322" s="5" t="s">
        <v>54</v>
      </c>
      <c r="G1322" s="5" t="b">
        <v>0</v>
      </c>
      <c r="I1322" s="5">
        <v>1.0</v>
      </c>
      <c r="J1322" s="5">
        <v>0.0</v>
      </c>
      <c r="K1322" s="5">
        <v>0.0</v>
      </c>
    </row>
    <row r="1323">
      <c r="A1323" s="4" t="s">
        <v>4489</v>
      </c>
      <c r="B1323" s="11" t="s">
        <v>4490</v>
      </c>
      <c r="C1323" s="4" t="s">
        <v>2183</v>
      </c>
      <c r="D1323" s="12" t="s">
        <v>29</v>
      </c>
      <c r="E1323" s="13" t="s">
        <v>53</v>
      </c>
      <c r="F1323" s="5" t="s">
        <v>31</v>
      </c>
      <c r="G1323" s="5" t="b">
        <v>0</v>
      </c>
      <c r="H1323" s="5" t="s">
        <v>4491</v>
      </c>
      <c r="I1323" s="5">
        <v>1.0</v>
      </c>
      <c r="J1323" s="5">
        <v>0.0</v>
      </c>
      <c r="K1323" s="5">
        <v>1.0</v>
      </c>
    </row>
    <row r="1324">
      <c r="A1324" s="4" t="s">
        <v>4492</v>
      </c>
      <c r="B1324" s="11" t="s">
        <v>4493</v>
      </c>
      <c r="C1324" s="4" t="s">
        <v>1467</v>
      </c>
      <c r="D1324" s="12" t="s">
        <v>467</v>
      </c>
      <c r="E1324" s="13" t="s">
        <v>53</v>
      </c>
      <c r="F1324" s="5" t="s">
        <v>469</v>
      </c>
      <c r="G1324" s="5" t="b">
        <v>0</v>
      </c>
      <c r="H1324" s="5" t="s">
        <v>4494</v>
      </c>
      <c r="I1324" s="5">
        <v>1.0</v>
      </c>
      <c r="J1324" s="5">
        <v>0.0</v>
      </c>
      <c r="K1324" s="5">
        <v>1.0</v>
      </c>
    </row>
    <row r="1325">
      <c r="A1325" s="4" t="s">
        <v>4495</v>
      </c>
      <c r="B1325" s="11" t="s">
        <v>4496</v>
      </c>
      <c r="C1325" s="4" t="s">
        <v>1467</v>
      </c>
      <c r="D1325" s="12" t="s">
        <v>126</v>
      </c>
      <c r="E1325" s="13" t="s">
        <v>53</v>
      </c>
      <c r="F1325" s="5" t="s">
        <v>127</v>
      </c>
      <c r="G1325" s="5" t="b">
        <v>0</v>
      </c>
      <c r="H1325" s="5" t="s">
        <v>399</v>
      </c>
      <c r="I1325" s="5">
        <v>1.0</v>
      </c>
      <c r="J1325" s="5">
        <v>0.0</v>
      </c>
      <c r="K1325" s="5">
        <v>1.0</v>
      </c>
    </row>
    <row r="1326">
      <c r="A1326" s="4" t="s">
        <v>4497</v>
      </c>
      <c r="B1326" s="11" t="s">
        <v>4498</v>
      </c>
      <c r="C1326" s="4" t="s">
        <v>10</v>
      </c>
      <c r="D1326" s="12" t="s">
        <v>297</v>
      </c>
      <c r="E1326" s="13" t="s">
        <v>93</v>
      </c>
      <c r="F1326" s="5" t="s">
        <v>298</v>
      </c>
      <c r="G1326" s="5" t="b">
        <v>0</v>
      </c>
      <c r="H1326" s="5" t="s">
        <v>4499</v>
      </c>
      <c r="I1326" s="5">
        <v>1.0</v>
      </c>
      <c r="J1326" s="5">
        <v>0.0</v>
      </c>
      <c r="K1326" s="5">
        <v>1.0</v>
      </c>
    </row>
    <row r="1327">
      <c r="A1327" s="4" t="s">
        <v>4500</v>
      </c>
      <c r="B1327" s="11" t="s">
        <v>4501</v>
      </c>
      <c r="C1327" s="4" t="s">
        <v>10</v>
      </c>
      <c r="D1327" s="12" t="s">
        <v>52</v>
      </c>
      <c r="E1327" s="13" t="s">
        <v>93</v>
      </c>
      <c r="F1327" s="5" t="s">
        <v>54</v>
      </c>
      <c r="G1327" s="5" t="b">
        <v>0</v>
      </c>
      <c r="H1327" s="5" t="s">
        <v>877</v>
      </c>
      <c r="I1327" s="5">
        <v>1.0</v>
      </c>
      <c r="J1327" s="5">
        <v>0.0</v>
      </c>
      <c r="K1327" s="5">
        <v>0.0</v>
      </c>
    </row>
    <row r="1328">
      <c r="A1328" s="4" t="s">
        <v>4502</v>
      </c>
      <c r="B1328" s="11" t="s">
        <v>775</v>
      </c>
      <c r="C1328" s="4" t="s">
        <v>10</v>
      </c>
      <c r="D1328" s="12" t="s">
        <v>52</v>
      </c>
      <c r="E1328" s="13" t="s">
        <v>93</v>
      </c>
      <c r="F1328" s="5" t="s">
        <v>54</v>
      </c>
      <c r="G1328" s="5" t="b">
        <v>0</v>
      </c>
      <c r="H1328" s="5" t="s">
        <v>776</v>
      </c>
      <c r="I1328" s="5">
        <v>1.0</v>
      </c>
      <c r="J1328" s="5">
        <v>0.0</v>
      </c>
      <c r="K1328" s="5">
        <v>0.0</v>
      </c>
    </row>
    <row r="1329">
      <c r="A1329" s="4" t="s">
        <v>4503</v>
      </c>
      <c r="B1329" s="11" t="s">
        <v>4504</v>
      </c>
      <c r="C1329" s="4" t="s">
        <v>10</v>
      </c>
      <c r="D1329" s="12" t="s">
        <v>52</v>
      </c>
      <c r="E1329" s="13" t="s">
        <v>93</v>
      </c>
      <c r="F1329" s="5" t="s">
        <v>54</v>
      </c>
      <c r="G1329" s="5" t="b">
        <v>0</v>
      </c>
      <c r="H1329" s="5" t="s">
        <v>4505</v>
      </c>
      <c r="I1329" s="5">
        <v>1.0</v>
      </c>
      <c r="J1329" s="5">
        <v>0.0</v>
      </c>
      <c r="K1329" s="5">
        <v>0.0</v>
      </c>
    </row>
    <row r="1330">
      <c r="A1330" s="4" t="s">
        <v>4506</v>
      </c>
      <c r="B1330" s="11" t="s">
        <v>4507</v>
      </c>
      <c r="C1330" s="4" t="s">
        <v>10</v>
      </c>
      <c r="D1330" s="12" t="s">
        <v>52</v>
      </c>
      <c r="E1330" s="13" t="s">
        <v>93</v>
      </c>
      <c r="F1330" s="5" t="s">
        <v>54</v>
      </c>
      <c r="G1330" s="5" t="b">
        <v>0</v>
      </c>
      <c r="H1330" s="5" t="s">
        <v>4508</v>
      </c>
      <c r="I1330" s="5">
        <v>1.0</v>
      </c>
      <c r="J1330" s="5">
        <v>0.0</v>
      </c>
      <c r="K1330" s="5">
        <v>0.0</v>
      </c>
    </row>
    <row r="1331">
      <c r="A1331" s="4" t="s">
        <v>4509</v>
      </c>
      <c r="B1331" s="11" t="s">
        <v>4510</v>
      </c>
      <c r="C1331" s="4" t="s">
        <v>10</v>
      </c>
      <c r="D1331" s="12" t="s">
        <v>52</v>
      </c>
      <c r="E1331" s="13" t="s">
        <v>93</v>
      </c>
      <c r="F1331" s="5" t="s">
        <v>54</v>
      </c>
      <c r="G1331" s="5" t="b">
        <v>0</v>
      </c>
      <c r="H1331" s="5" t="s">
        <v>4511</v>
      </c>
      <c r="I1331" s="5">
        <v>1.0</v>
      </c>
      <c r="J1331" s="5">
        <v>0.0</v>
      </c>
      <c r="K1331" s="5">
        <v>0.0</v>
      </c>
    </row>
    <row r="1332">
      <c r="A1332" s="4" t="s">
        <v>4512</v>
      </c>
      <c r="B1332" s="11" t="s">
        <v>4513</v>
      </c>
      <c r="C1332" s="4" t="s">
        <v>10</v>
      </c>
      <c r="D1332" s="12" t="s">
        <v>52</v>
      </c>
      <c r="E1332" s="13" t="s">
        <v>93</v>
      </c>
      <c r="F1332" s="5" t="s">
        <v>54</v>
      </c>
      <c r="G1332" s="5" t="b">
        <v>0</v>
      </c>
      <c r="H1332" s="5" t="s">
        <v>4514</v>
      </c>
      <c r="I1332" s="5">
        <v>1.0</v>
      </c>
      <c r="J1332" s="5">
        <v>0.0</v>
      </c>
      <c r="K1332" s="5">
        <v>0.0</v>
      </c>
    </row>
    <row r="1333">
      <c r="A1333" s="4" t="s">
        <v>4515</v>
      </c>
      <c r="B1333" s="11" t="s">
        <v>4516</v>
      </c>
      <c r="C1333" s="4" t="s">
        <v>10</v>
      </c>
      <c r="D1333" s="12" t="s">
        <v>29</v>
      </c>
      <c r="E1333" s="13" t="s">
        <v>93</v>
      </c>
      <c r="F1333" s="5" t="s">
        <v>31</v>
      </c>
      <c r="G1333" s="5" t="b">
        <v>0</v>
      </c>
      <c r="H1333" s="5" t="s">
        <v>4511</v>
      </c>
      <c r="I1333" s="5">
        <v>1.0</v>
      </c>
      <c r="J1333" s="5">
        <v>0.0</v>
      </c>
      <c r="K1333" s="5">
        <v>1.0</v>
      </c>
    </row>
    <row r="1334">
      <c r="A1334" s="4" t="s">
        <v>4517</v>
      </c>
      <c r="B1334" s="11" t="s">
        <v>4518</v>
      </c>
      <c r="C1334" s="4" t="s">
        <v>10</v>
      </c>
      <c r="D1334" s="12" t="s">
        <v>52</v>
      </c>
      <c r="E1334" s="13" t="s">
        <v>93</v>
      </c>
      <c r="F1334" s="5" t="s">
        <v>54</v>
      </c>
      <c r="G1334" s="5" t="b">
        <v>0</v>
      </c>
      <c r="H1334" s="5" t="s">
        <v>4519</v>
      </c>
      <c r="I1334" s="5">
        <v>1.0</v>
      </c>
      <c r="J1334" s="5">
        <v>0.0</v>
      </c>
      <c r="K1334" s="5">
        <v>0.0</v>
      </c>
    </row>
    <row r="1335">
      <c r="A1335" s="4" t="s">
        <v>4520</v>
      </c>
      <c r="B1335" s="13"/>
      <c r="C1335" s="4" t="s">
        <v>10</v>
      </c>
      <c r="D1335" s="12" t="s">
        <v>84</v>
      </c>
      <c r="E1335" s="13" t="s">
        <v>84</v>
      </c>
      <c r="F1335" s="5" t="s">
        <v>85</v>
      </c>
      <c r="H1335" s="5" t="s">
        <v>233</v>
      </c>
      <c r="I1335" s="5">
        <v>1.0</v>
      </c>
      <c r="J1335" s="5">
        <v>0.0</v>
      </c>
      <c r="K1335" s="5">
        <v>0.0</v>
      </c>
    </row>
    <row r="1336">
      <c r="A1336" s="4" t="s">
        <v>4521</v>
      </c>
      <c r="B1336" s="11" t="s">
        <v>4522</v>
      </c>
      <c r="C1336" s="4" t="s">
        <v>10</v>
      </c>
      <c r="D1336" s="12" t="s">
        <v>52</v>
      </c>
      <c r="E1336" s="13" t="s">
        <v>93</v>
      </c>
      <c r="F1336" s="5" t="s">
        <v>54</v>
      </c>
      <c r="G1336" s="5" t="b">
        <v>0</v>
      </c>
      <c r="H1336" s="5" t="s">
        <v>4523</v>
      </c>
      <c r="I1336" s="5">
        <v>1.0</v>
      </c>
      <c r="J1336" s="5">
        <v>0.0</v>
      </c>
      <c r="K1336" s="5">
        <v>0.0</v>
      </c>
    </row>
    <row r="1337">
      <c r="A1337" s="4" t="s">
        <v>4524</v>
      </c>
      <c r="B1337" s="11" t="s">
        <v>4525</v>
      </c>
      <c r="C1337" s="4" t="s">
        <v>10</v>
      </c>
      <c r="D1337" s="12" t="s">
        <v>52</v>
      </c>
      <c r="E1337" s="13" t="s">
        <v>93</v>
      </c>
      <c r="F1337" s="5" t="s">
        <v>54</v>
      </c>
      <c r="G1337" s="5" t="b">
        <v>0</v>
      </c>
      <c r="H1337" s="5" t="s">
        <v>4519</v>
      </c>
      <c r="I1337" s="5">
        <v>1.0</v>
      </c>
      <c r="J1337" s="5">
        <v>0.0</v>
      </c>
      <c r="K1337" s="5">
        <v>0.0</v>
      </c>
    </row>
    <row r="1338">
      <c r="A1338" s="4" t="s">
        <v>4526</v>
      </c>
      <c r="B1338" s="11" t="s">
        <v>4527</v>
      </c>
      <c r="C1338" s="4" t="s">
        <v>10</v>
      </c>
      <c r="D1338" s="12" t="s">
        <v>52</v>
      </c>
      <c r="E1338" s="13" t="s">
        <v>93</v>
      </c>
      <c r="F1338" s="5" t="s">
        <v>54</v>
      </c>
      <c r="G1338" s="5" t="b">
        <v>0</v>
      </c>
      <c r="H1338" s="5" t="s">
        <v>4528</v>
      </c>
      <c r="I1338" s="5">
        <v>1.0</v>
      </c>
      <c r="J1338" s="5">
        <v>0.0</v>
      </c>
      <c r="K1338" s="5">
        <v>0.0</v>
      </c>
    </row>
    <row r="1339">
      <c r="A1339" s="4" t="s">
        <v>4529</v>
      </c>
      <c r="B1339" s="11" t="s">
        <v>4530</v>
      </c>
      <c r="C1339" s="4" t="s">
        <v>10</v>
      </c>
      <c r="D1339" s="12" t="s">
        <v>52</v>
      </c>
      <c r="E1339" s="13" t="s">
        <v>93</v>
      </c>
      <c r="F1339" s="5" t="s">
        <v>54</v>
      </c>
      <c r="G1339" s="5" t="b">
        <v>0</v>
      </c>
      <c r="H1339" s="5" t="s">
        <v>4531</v>
      </c>
      <c r="I1339" s="5">
        <v>1.0</v>
      </c>
      <c r="J1339" s="5">
        <v>0.0</v>
      </c>
      <c r="K1339" s="5">
        <v>1.0</v>
      </c>
    </row>
    <row r="1340">
      <c r="A1340" s="4" t="s">
        <v>4532</v>
      </c>
      <c r="B1340" s="11" t="s">
        <v>4533</v>
      </c>
      <c r="C1340" s="4" t="s">
        <v>10</v>
      </c>
      <c r="D1340" s="12" t="s">
        <v>52</v>
      </c>
      <c r="E1340" s="13" t="s">
        <v>93</v>
      </c>
      <c r="F1340" s="5" t="s">
        <v>54</v>
      </c>
      <c r="G1340" s="5" t="b">
        <v>0</v>
      </c>
      <c r="H1340" s="5" t="s">
        <v>4534</v>
      </c>
      <c r="I1340" s="5">
        <v>1.0</v>
      </c>
      <c r="J1340" s="5">
        <v>0.0</v>
      </c>
      <c r="K1340" s="5">
        <v>0.0</v>
      </c>
    </row>
    <row r="1341">
      <c r="A1341" s="4" t="s">
        <v>4535</v>
      </c>
      <c r="B1341" s="11" t="s">
        <v>4536</v>
      </c>
      <c r="C1341" s="4" t="s">
        <v>323</v>
      </c>
      <c r="D1341" s="12" t="s">
        <v>52</v>
      </c>
      <c r="E1341" s="13" t="s">
        <v>53</v>
      </c>
      <c r="F1341" s="5" t="s">
        <v>54</v>
      </c>
      <c r="G1341" s="5" t="b">
        <v>0</v>
      </c>
      <c r="H1341" s="5" t="s">
        <v>4537</v>
      </c>
      <c r="I1341" s="5">
        <v>1.0</v>
      </c>
      <c r="J1341" s="5">
        <v>0.0</v>
      </c>
      <c r="K1341" s="5">
        <v>1.0</v>
      </c>
    </row>
    <row r="1342">
      <c r="A1342" s="4" t="s">
        <v>4538</v>
      </c>
      <c r="B1342" s="11" t="s">
        <v>4539</v>
      </c>
      <c r="C1342" s="4" t="s">
        <v>323</v>
      </c>
      <c r="D1342" s="12" t="s">
        <v>52</v>
      </c>
      <c r="E1342" s="13" t="s">
        <v>53</v>
      </c>
      <c r="F1342" s="5" t="s">
        <v>54</v>
      </c>
      <c r="G1342" s="5" t="b">
        <v>0</v>
      </c>
      <c r="H1342" s="5" t="s">
        <v>399</v>
      </c>
      <c r="I1342" s="5">
        <v>1.0</v>
      </c>
      <c r="J1342" s="5">
        <v>0.0</v>
      </c>
      <c r="K1342" s="5">
        <v>1.0</v>
      </c>
    </row>
    <row r="1343">
      <c r="A1343" s="4" t="s">
        <v>4540</v>
      </c>
      <c r="B1343" s="11" t="s">
        <v>4541</v>
      </c>
      <c r="C1343" s="4" t="s">
        <v>323</v>
      </c>
      <c r="D1343" s="12" t="s">
        <v>52</v>
      </c>
      <c r="E1343" s="13" t="s">
        <v>53</v>
      </c>
      <c r="F1343" s="5" t="s">
        <v>54</v>
      </c>
      <c r="G1343" s="5" t="b">
        <v>0</v>
      </c>
      <c r="H1343" s="5" t="s">
        <v>4542</v>
      </c>
      <c r="I1343" s="5">
        <v>1.0</v>
      </c>
      <c r="J1343" s="5">
        <v>0.0</v>
      </c>
      <c r="K1343" s="5">
        <v>0.0</v>
      </c>
    </row>
    <row r="1344">
      <c r="A1344" s="4" t="s">
        <v>4543</v>
      </c>
      <c r="B1344" s="11" t="s">
        <v>4544</v>
      </c>
      <c r="C1344" s="4" t="s">
        <v>323</v>
      </c>
      <c r="D1344" s="12" t="s">
        <v>52</v>
      </c>
      <c r="E1344" s="13" t="s">
        <v>53</v>
      </c>
      <c r="F1344" s="5" t="s">
        <v>54</v>
      </c>
      <c r="G1344" s="5" t="b">
        <v>0</v>
      </c>
      <c r="I1344" s="5">
        <v>1.0</v>
      </c>
      <c r="J1344" s="5">
        <v>0.0</v>
      </c>
      <c r="K1344" s="5">
        <v>0.0</v>
      </c>
    </row>
    <row r="1345">
      <c r="A1345" s="4" t="s">
        <v>4545</v>
      </c>
      <c r="B1345" s="11" t="s">
        <v>4546</v>
      </c>
      <c r="C1345" s="4" t="s">
        <v>2186</v>
      </c>
      <c r="D1345" s="12" t="s">
        <v>126</v>
      </c>
      <c r="E1345" s="13" t="s">
        <v>53</v>
      </c>
      <c r="F1345" s="5" t="s">
        <v>127</v>
      </c>
      <c r="G1345" s="5" t="b">
        <v>0</v>
      </c>
      <c r="H1345" s="5" t="s">
        <v>1057</v>
      </c>
      <c r="I1345" s="5">
        <v>1.0</v>
      </c>
      <c r="J1345" s="5">
        <v>0.0</v>
      </c>
      <c r="K1345" s="5">
        <v>0.0</v>
      </c>
    </row>
    <row r="1346">
      <c r="A1346" s="4" t="s">
        <v>4547</v>
      </c>
      <c r="B1346" s="11" t="s">
        <v>4548</v>
      </c>
      <c r="C1346" s="4" t="s">
        <v>2189</v>
      </c>
      <c r="D1346" s="12" t="s">
        <v>467</v>
      </c>
      <c r="E1346" s="13" t="s">
        <v>53</v>
      </c>
      <c r="F1346" s="5" t="s">
        <v>469</v>
      </c>
      <c r="G1346" s="5" t="b">
        <v>0</v>
      </c>
      <c r="I1346" s="5">
        <v>1.0</v>
      </c>
      <c r="J1346" s="5">
        <v>0.0</v>
      </c>
      <c r="K1346" s="5">
        <v>0.0</v>
      </c>
    </row>
    <row r="1347">
      <c r="A1347" s="4" t="s">
        <v>4549</v>
      </c>
      <c r="B1347" s="11" t="s">
        <v>4550</v>
      </c>
      <c r="C1347" s="4" t="s">
        <v>2191</v>
      </c>
      <c r="D1347" s="12" t="s">
        <v>126</v>
      </c>
      <c r="E1347" s="13" t="s">
        <v>53</v>
      </c>
      <c r="F1347" s="5" t="s">
        <v>127</v>
      </c>
      <c r="G1347" s="5" t="b">
        <v>0</v>
      </c>
      <c r="H1347" s="5" t="s">
        <v>639</v>
      </c>
      <c r="I1347" s="5">
        <v>1.0</v>
      </c>
      <c r="J1347" s="5">
        <v>0.0</v>
      </c>
      <c r="K1347" s="5">
        <v>1.0</v>
      </c>
    </row>
    <row r="1348">
      <c r="A1348" s="4" t="s">
        <v>4551</v>
      </c>
      <c r="B1348" s="11" t="s">
        <v>4552</v>
      </c>
      <c r="C1348" s="4" t="s">
        <v>2193</v>
      </c>
      <c r="D1348" s="12" t="s">
        <v>670</v>
      </c>
      <c r="E1348" s="13" t="s">
        <v>53</v>
      </c>
      <c r="F1348" s="5" t="s">
        <v>671</v>
      </c>
      <c r="G1348" s="5" t="b">
        <v>0</v>
      </c>
      <c r="H1348" s="5" t="s">
        <v>1163</v>
      </c>
      <c r="I1348" s="5">
        <v>1.0</v>
      </c>
      <c r="J1348" s="5">
        <v>0.0</v>
      </c>
      <c r="K1348" s="5">
        <v>1.0</v>
      </c>
    </row>
    <row r="1349">
      <c r="A1349" s="4" t="s">
        <v>4553</v>
      </c>
      <c r="B1349" s="13"/>
      <c r="C1349" s="4" t="s">
        <v>508</v>
      </c>
      <c r="D1349" s="12" t="s">
        <v>84</v>
      </c>
      <c r="E1349" s="13" t="s">
        <v>84</v>
      </c>
      <c r="F1349" s="5" t="s">
        <v>85</v>
      </c>
      <c r="H1349" s="5" t="s">
        <v>233</v>
      </c>
      <c r="I1349" s="5">
        <v>1.0</v>
      </c>
      <c r="J1349" s="5">
        <v>0.0</v>
      </c>
      <c r="K1349" s="5">
        <v>1.0</v>
      </c>
    </row>
    <row r="1350">
      <c r="A1350" s="4" t="s">
        <v>4554</v>
      </c>
      <c r="B1350" s="11" t="s">
        <v>4555</v>
      </c>
      <c r="C1350" s="5" t="s">
        <v>2195</v>
      </c>
      <c r="D1350" s="12" t="s">
        <v>467</v>
      </c>
      <c r="E1350" s="13" t="s">
        <v>53</v>
      </c>
      <c r="F1350" s="5" t="s">
        <v>469</v>
      </c>
      <c r="G1350" s="5" t="b">
        <v>0</v>
      </c>
      <c r="I1350" s="5">
        <v>1.0</v>
      </c>
      <c r="J1350" s="5">
        <v>0.0</v>
      </c>
      <c r="K1350" s="5">
        <v>2.0</v>
      </c>
    </row>
    <row r="1351">
      <c r="A1351" s="4" t="s">
        <v>4556</v>
      </c>
      <c r="B1351" s="11" t="s">
        <v>4557</v>
      </c>
      <c r="C1351" s="4" t="s">
        <v>2197</v>
      </c>
      <c r="D1351" s="12" t="s">
        <v>29</v>
      </c>
      <c r="E1351" s="13" t="s">
        <v>53</v>
      </c>
      <c r="F1351" s="5" t="s">
        <v>31</v>
      </c>
      <c r="G1351" s="5" t="b">
        <v>0</v>
      </c>
      <c r="H1351" s="5" t="s">
        <v>4558</v>
      </c>
      <c r="I1351" s="5">
        <v>1.0</v>
      </c>
      <c r="J1351" s="5">
        <v>0.0</v>
      </c>
      <c r="K1351" s="5">
        <v>1.0</v>
      </c>
    </row>
    <row r="1352">
      <c r="A1352" s="4" t="s">
        <v>4559</v>
      </c>
      <c r="B1352" s="11" t="s">
        <v>4560</v>
      </c>
      <c r="C1352" s="4" t="s">
        <v>2201</v>
      </c>
      <c r="D1352" s="12" t="s">
        <v>297</v>
      </c>
      <c r="E1352" s="13" t="s">
        <v>53</v>
      </c>
      <c r="F1352" s="5" t="s">
        <v>298</v>
      </c>
      <c r="G1352" s="5" t="b">
        <v>0</v>
      </c>
      <c r="I1352" s="5">
        <v>1.0</v>
      </c>
      <c r="J1352" s="5">
        <v>0.0</v>
      </c>
      <c r="K1352" s="5">
        <v>1.0</v>
      </c>
    </row>
    <row r="1353">
      <c r="A1353" s="4" t="s">
        <v>4561</v>
      </c>
      <c r="B1353" s="11" t="s">
        <v>4562</v>
      </c>
      <c r="C1353" s="4" t="s">
        <v>143</v>
      </c>
      <c r="D1353" s="12" t="s">
        <v>29</v>
      </c>
      <c r="E1353" s="13" t="s">
        <v>53</v>
      </c>
      <c r="F1353" s="5" t="s">
        <v>31</v>
      </c>
      <c r="G1353" s="5" t="b">
        <v>0</v>
      </c>
      <c r="H1353" s="5" t="s">
        <v>2923</v>
      </c>
      <c r="I1353" s="5">
        <v>1.0</v>
      </c>
      <c r="J1353" s="5">
        <v>0.0</v>
      </c>
      <c r="K1353" s="5">
        <v>1.0</v>
      </c>
    </row>
    <row r="1354">
      <c r="A1354" s="4" t="s">
        <v>4563</v>
      </c>
      <c r="B1354" s="11" t="s">
        <v>4564</v>
      </c>
      <c r="C1354" s="4" t="s">
        <v>405</v>
      </c>
      <c r="D1354" s="12" t="s">
        <v>467</v>
      </c>
      <c r="E1354" s="13" t="s">
        <v>30</v>
      </c>
      <c r="F1354" s="5" t="s">
        <v>469</v>
      </c>
      <c r="G1354" s="5" t="b">
        <v>0</v>
      </c>
      <c r="H1354" s="5" t="s">
        <v>4565</v>
      </c>
      <c r="I1354" s="5">
        <v>1.0</v>
      </c>
      <c r="J1354" s="5">
        <v>0.0</v>
      </c>
      <c r="K1354" s="5">
        <v>1.0</v>
      </c>
    </row>
    <row r="1355">
      <c r="A1355" s="4" t="s">
        <v>4566</v>
      </c>
      <c r="B1355" s="11" t="s">
        <v>4567</v>
      </c>
      <c r="C1355" s="4" t="s">
        <v>405</v>
      </c>
      <c r="D1355" s="12" t="s">
        <v>29</v>
      </c>
      <c r="E1355" s="13" t="s">
        <v>30</v>
      </c>
      <c r="F1355" s="5" t="s">
        <v>31</v>
      </c>
      <c r="G1355" s="5" t="b">
        <v>0</v>
      </c>
      <c r="H1355" s="5" t="s">
        <v>4568</v>
      </c>
      <c r="I1355" s="5">
        <v>1.0</v>
      </c>
      <c r="J1355" s="5">
        <v>0.0</v>
      </c>
      <c r="K1355" s="5">
        <v>1.0</v>
      </c>
    </row>
    <row r="1356">
      <c r="A1356" s="4" t="s">
        <v>4569</v>
      </c>
      <c r="B1356" s="11" t="s">
        <v>4570</v>
      </c>
      <c r="C1356" s="4" t="s">
        <v>405</v>
      </c>
      <c r="D1356" s="12" t="s">
        <v>29</v>
      </c>
      <c r="E1356" s="13" t="s">
        <v>30</v>
      </c>
      <c r="F1356" s="5" t="s">
        <v>31</v>
      </c>
      <c r="G1356" s="5" t="b">
        <v>0</v>
      </c>
      <c r="H1356" s="5" t="s">
        <v>4571</v>
      </c>
      <c r="I1356" s="5">
        <v>1.0</v>
      </c>
      <c r="J1356" s="5">
        <v>0.0</v>
      </c>
      <c r="K1356" s="5">
        <v>1.0</v>
      </c>
    </row>
    <row r="1357">
      <c r="A1357" s="4" t="s">
        <v>4572</v>
      </c>
      <c r="B1357" s="11" t="s">
        <v>4573</v>
      </c>
      <c r="C1357" s="4" t="s">
        <v>405</v>
      </c>
      <c r="D1357" s="12" t="s">
        <v>261</v>
      </c>
      <c r="E1357" s="13" t="s">
        <v>30</v>
      </c>
      <c r="F1357" s="5" t="s">
        <v>263</v>
      </c>
      <c r="G1357" s="5" t="b">
        <v>0</v>
      </c>
      <c r="H1357" s="5" t="s">
        <v>4574</v>
      </c>
      <c r="I1357" s="5">
        <v>1.0</v>
      </c>
      <c r="J1357" s="5">
        <v>0.0</v>
      </c>
      <c r="K1357" s="5">
        <v>1.0</v>
      </c>
    </row>
    <row r="1358">
      <c r="A1358" s="4" t="s">
        <v>4575</v>
      </c>
      <c r="B1358" s="11" t="s">
        <v>4576</v>
      </c>
      <c r="C1358" s="4" t="s">
        <v>405</v>
      </c>
      <c r="D1358" s="12" t="s">
        <v>29</v>
      </c>
      <c r="E1358" s="13" t="s">
        <v>30</v>
      </c>
      <c r="F1358" s="5" t="s">
        <v>31</v>
      </c>
      <c r="G1358" s="5" t="b">
        <v>0</v>
      </c>
      <c r="H1358" s="5" t="s">
        <v>4577</v>
      </c>
      <c r="I1358" s="5">
        <v>1.0</v>
      </c>
      <c r="J1358" s="5">
        <v>0.0</v>
      </c>
      <c r="K1358" s="5">
        <v>0.0</v>
      </c>
    </row>
    <row r="1359">
      <c r="A1359" s="4" t="s">
        <v>4578</v>
      </c>
      <c r="B1359" s="11" t="s">
        <v>684</v>
      </c>
      <c r="C1359" s="4" t="s">
        <v>92</v>
      </c>
      <c r="D1359" s="12" t="s">
        <v>84</v>
      </c>
      <c r="E1359" s="13" t="s">
        <v>84</v>
      </c>
      <c r="F1359" s="5" t="s">
        <v>85</v>
      </c>
      <c r="G1359" s="5" t="b">
        <v>0</v>
      </c>
      <c r="I1359" s="5">
        <v>1.0</v>
      </c>
      <c r="J1359" s="5">
        <v>0.0</v>
      </c>
      <c r="K1359" s="5">
        <v>0.0</v>
      </c>
    </row>
    <row r="1360">
      <c r="A1360" s="4" t="s">
        <v>4579</v>
      </c>
      <c r="B1360" s="13"/>
      <c r="C1360" s="4" t="s">
        <v>92</v>
      </c>
      <c r="D1360" s="12" t="s">
        <v>84</v>
      </c>
      <c r="E1360" s="13" t="s">
        <v>84</v>
      </c>
      <c r="F1360" s="5" t="s">
        <v>85</v>
      </c>
      <c r="H1360" s="5" t="s">
        <v>233</v>
      </c>
      <c r="I1360" s="5">
        <v>1.0</v>
      </c>
      <c r="J1360" s="5">
        <v>0.0</v>
      </c>
      <c r="K1360" s="5">
        <v>0.0</v>
      </c>
    </row>
    <row r="1361">
      <c r="A1361" s="4" t="s">
        <v>4580</v>
      </c>
      <c r="B1361" s="11" t="s">
        <v>4581</v>
      </c>
      <c r="C1361" s="4" t="s">
        <v>92</v>
      </c>
      <c r="D1361" s="12" t="s">
        <v>52</v>
      </c>
      <c r="E1361" s="13" t="s">
        <v>84</v>
      </c>
      <c r="F1361" s="5" t="s">
        <v>54</v>
      </c>
      <c r="G1361" s="5" t="b">
        <v>0</v>
      </c>
      <c r="H1361" s="5" t="s">
        <v>4582</v>
      </c>
      <c r="I1361" s="5">
        <v>1.0</v>
      </c>
      <c r="J1361" s="5">
        <v>0.0</v>
      </c>
      <c r="K1361" s="5">
        <v>0.0</v>
      </c>
    </row>
    <row r="1362">
      <c r="A1362" s="4" t="s">
        <v>4583</v>
      </c>
      <c r="B1362" s="11" t="s">
        <v>4584</v>
      </c>
      <c r="C1362" s="4" t="s">
        <v>92</v>
      </c>
      <c r="D1362" s="12" t="s">
        <v>670</v>
      </c>
      <c r="E1362" s="13" t="s">
        <v>84</v>
      </c>
      <c r="F1362" s="5" t="s">
        <v>671</v>
      </c>
      <c r="G1362" s="5" t="b">
        <v>0</v>
      </c>
      <c r="H1362" s="5" t="s">
        <v>342</v>
      </c>
      <c r="I1362" s="5">
        <v>1.0</v>
      </c>
      <c r="J1362" s="5">
        <v>0.0</v>
      </c>
      <c r="K1362" s="5">
        <v>0.0</v>
      </c>
    </row>
    <row r="1363">
      <c r="A1363" s="4" t="s">
        <v>4585</v>
      </c>
      <c r="B1363" s="11" t="s">
        <v>1827</v>
      </c>
      <c r="C1363" s="4" t="s">
        <v>92</v>
      </c>
      <c r="D1363" s="12" t="s">
        <v>84</v>
      </c>
      <c r="E1363" s="13" t="s">
        <v>84</v>
      </c>
      <c r="F1363" s="5" t="s">
        <v>85</v>
      </c>
      <c r="G1363" s="5" t="b">
        <v>0</v>
      </c>
      <c r="I1363" s="5">
        <v>1.0</v>
      </c>
      <c r="J1363" s="5">
        <v>0.0</v>
      </c>
      <c r="K1363" s="5">
        <v>0.0</v>
      </c>
    </row>
    <row r="1364">
      <c r="A1364" s="4" t="s">
        <v>4586</v>
      </c>
      <c r="B1364" s="11" t="s">
        <v>4587</v>
      </c>
      <c r="C1364" s="4" t="s">
        <v>2203</v>
      </c>
      <c r="D1364" s="12" t="s">
        <v>29</v>
      </c>
      <c r="E1364" s="13" t="s">
        <v>53</v>
      </c>
      <c r="F1364" s="5" t="s">
        <v>31</v>
      </c>
      <c r="G1364" s="5" t="b">
        <v>0</v>
      </c>
      <c r="H1364" s="5" t="s">
        <v>4588</v>
      </c>
      <c r="I1364" s="5">
        <v>1.0</v>
      </c>
      <c r="J1364" s="5">
        <v>0.0</v>
      </c>
      <c r="K1364" s="5">
        <v>2.0</v>
      </c>
    </row>
    <row r="1365">
      <c r="A1365" s="4" t="s">
        <v>4589</v>
      </c>
      <c r="B1365" s="11" t="s">
        <v>4590</v>
      </c>
      <c r="C1365" s="5" t="s">
        <v>2205</v>
      </c>
      <c r="D1365" s="12" t="s">
        <v>126</v>
      </c>
      <c r="E1365" s="13" t="s">
        <v>53</v>
      </c>
      <c r="F1365" s="5" t="s">
        <v>127</v>
      </c>
      <c r="G1365" s="5" t="b">
        <v>0</v>
      </c>
      <c r="I1365" s="5">
        <v>1.0</v>
      </c>
      <c r="J1365" s="5">
        <v>0.0</v>
      </c>
      <c r="K1365" s="5">
        <v>3.0</v>
      </c>
    </row>
    <row r="1366">
      <c r="A1366" s="4" t="s">
        <v>4591</v>
      </c>
      <c r="B1366" s="11" t="s">
        <v>4592</v>
      </c>
      <c r="C1366" s="4" t="s">
        <v>2207</v>
      </c>
      <c r="D1366" s="12" t="s">
        <v>29</v>
      </c>
      <c r="E1366" s="13" t="s">
        <v>53</v>
      </c>
      <c r="F1366" s="5" t="s">
        <v>31</v>
      </c>
      <c r="G1366" s="5" t="b">
        <v>0</v>
      </c>
      <c r="H1366" s="5" t="s">
        <v>2208</v>
      </c>
      <c r="I1366" s="5">
        <v>1.0</v>
      </c>
      <c r="J1366" s="5">
        <v>0.0</v>
      </c>
      <c r="K1366" s="5">
        <v>0.0</v>
      </c>
    </row>
    <row r="1367">
      <c r="A1367" s="4" t="s">
        <v>4593</v>
      </c>
      <c r="B1367" s="11" t="s">
        <v>4594</v>
      </c>
      <c r="C1367" s="4" t="s">
        <v>2210</v>
      </c>
      <c r="D1367" s="12" t="s">
        <v>29</v>
      </c>
      <c r="E1367" s="13" t="s">
        <v>53</v>
      </c>
      <c r="F1367" s="5" t="s">
        <v>31</v>
      </c>
      <c r="G1367" s="5" t="b">
        <v>0</v>
      </c>
      <c r="H1367" s="5" t="s">
        <v>4595</v>
      </c>
      <c r="I1367" s="5">
        <v>1.0</v>
      </c>
      <c r="J1367" s="5">
        <v>0.0</v>
      </c>
      <c r="K1367" s="5">
        <v>0.0</v>
      </c>
    </row>
    <row r="1368">
      <c r="A1368" s="4" t="s">
        <v>4596</v>
      </c>
      <c r="B1368" s="11" t="s">
        <v>4597</v>
      </c>
      <c r="C1368" s="5" t="s">
        <v>2213</v>
      </c>
      <c r="D1368" s="12" t="s">
        <v>670</v>
      </c>
      <c r="E1368" s="13" t="s">
        <v>53</v>
      </c>
      <c r="F1368" s="5" t="s">
        <v>671</v>
      </c>
      <c r="G1368" s="5" t="b">
        <v>0</v>
      </c>
      <c r="I1368" s="5">
        <v>1.0</v>
      </c>
      <c r="J1368" s="5">
        <v>0.0</v>
      </c>
      <c r="K1368" s="5">
        <v>1.0</v>
      </c>
    </row>
    <row r="1369">
      <c r="A1369" s="4" t="s">
        <v>4598</v>
      </c>
      <c r="B1369" s="11" t="s">
        <v>4599</v>
      </c>
      <c r="C1369" s="4" t="s">
        <v>2214</v>
      </c>
      <c r="D1369" s="12" t="s">
        <v>467</v>
      </c>
      <c r="E1369" s="13" t="s">
        <v>53</v>
      </c>
      <c r="F1369" s="5" t="s">
        <v>469</v>
      </c>
      <c r="G1369" s="5" t="b">
        <v>0</v>
      </c>
      <c r="I1369" s="5">
        <v>1.0</v>
      </c>
      <c r="J1369" s="5">
        <v>0.0</v>
      </c>
      <c r="K1369" s="5">
        <v>0.0</v>
      </c>
    </row>
    <row r="1370">
      <c r="A1370" s="4" t="s">
        <v>4600</v>
      </c>
      <c r="B1370" s="11" t="s">
        <v>4601</v>
      </c>
      <c r="C1370" s="4" t="s">
        <v>2216</v>
      </c>
      <c r="D1370" s="12" t="s">
        <v>126</v>
      </c>
      <c r="E1370" s="13" t="s">
        <v>53</v>
      </c>
      <c r="F1370" s="5" t="s">
        <v>127</v>
      </c>
      <c r="G1370" s="5" t="b">
        <v>0</v>
      </c>
      <c r="H1370" s="5" t="s">
        <v>649</v>
      </c>
      <c r="I1370" s="5">
        <v>1.0</v>
      </c>
      <c r="J1370" s="5">
        <v>0.0</v>
      </c>
      <c r="K1370" s="5">
        <v>0.0</v>
      </c>
    </row>
    <row r="1371">
      <c r="A1371" s="4" t="s">
        <v>4602</v>
      </c>
      <c r="B1371" s="11" t="s">
        <v>4603</v>
      </c>
      <c r="C1371" s="4" t="s">
        <v>2219</v>
      </c>
      <c r="D1371" s="12" t="s">
        <v>29</v>
      </c>
      <c r="E1371" s="13" t="s">
        <v>53</v>
      </c>
      <c r="F1371" s="5" t="s">
        <v>31</v>
      </c>
      <c r="G1371" s="5" t="b">
        <v>0</v>
      </c>
      <c r="H1371" s="5" t="s">
        <v>2341</v>
      </c>
      <c r="I1371" s="5">
        <v>1.0</v>
      </c>
      <c r="J1371" s="5">
        <v>0.0</v>
      </c>
      <c r="K1371" s="5">
        <v>0.0</v>
      </c>
    </row>
    <row r="1372">
      <c r="A1372" s="4" t="s">
        <v>4604</v>
      </c>
      <c r="B1372" s="11" t="s">
        <v>4605</v>
      </c>
      <c r="C1372" s="4" t="s">
        <v>239</v>
      </c>
      <c r="D1372" s="12" t="s">
        <v>297</v>
      </c>
      <c r="E1372" s="13" t="s">
        <v>93</v>
      </c>
      <c r="F1372" s="5" t="s">
        <v>298</v>
      </c>
      <c r="G1372" s="5" t="b">
        <v>0</v>
      </c>
      <c r="H1372" s="5" t="s">
        <v>4606</v>
      </c>
      <c r="I1372" s="5">
        <v>1.0</v>
      </c>
      <c r="J1372" s="5">
        <v>0.0</v>
      </c>
      <c r="K1372" s="5">
        <v>1.0</v>
      </c>
    </row>
    <row r="1373">
      <c r="A1373" s="4" t="s">
        <v>4607</v>
      </c>
      <c r="B1373" s="11" t="s">
        <v>4608</v>
      </c>
      <c r="C1373" s="4" t="s">
        <v>2222</v>
      </c>
      <c r="D1373" s="12" t="s">
        <v>126</v>
      </c>
      <c r="E1373" s="13" t="s">
        <v>53</v>
      </c>
      <c r="F1373" s="5" t="s">
        <v>127</v>
      </c>
      <c r="G1373" s="5" t="b">
        <v>0</v>
      </c>
      <c r="I1373" s="5">
        <v>1.0</v>
      </c>
      <c r="J1373" s="5">
        <v>0.0</v>
      </c>
      <c r="K1373" s="5">
        <v>0.0</v>
      </c>
    </row>
    <row r="1374">
      <c r="A1374" s="4" t="s">
        <v>4609</v>
      </c>
      <c r="B1374" s="11" t="s">
        <v>4610</v>
      </c>
      <c r="C1374" s="4" t="s">
        <v>315</v>
      </c>
      <c r="D1374" s="12" t="s">
        <v>261</v>
      </c>
      <c r="E1374" s="13" t="s">
        <v>678</v>
      </c>
      <c r="F1374" s="5" t="s">
        <v>263</v>
      </c>
      <c r="G1374" s="5" t="b">
        <v>0</v>
      </c>
      <c r="H1374" s="5" t="s">
        <v>1159</v>
      </c>
      <c r="I1374" s="5">
        <v>1.0</v>
      </c>
      <c r="J1374" s="5">
        <v>0.0</v>
      </c>
      <c r="K1374" s="5">
        <v>2.0</v>
      </c>
    </row>
    <row r="1375">
      <c r="A1375" s="4" t="s">
        <v>4611</v>
      </c>
      <c r="B1375" s="11" t="s">
        <v>4612</v>
      </c>
      <c r="C1375" s="4" t="s">
        <v>315</v>
      </c>
      <c r="D1375" s="12" t="s">
        <v>261</v>
      </c>
      <c r="E1375" s="13" t="s">
        <v>678</v>
      </c>
      <c r="F1375" s="5" t="s">
        <v>263</v>
      </c>
      <c r="G1375" s="5" t="b">
        <v>0</v>
      </c>
      <c r="I1375" s="5">
        <v>1.0</v>
      </c>
      <c r="J1375" s="5">
        <v>0.0</v>
      </c>
      <c r="K1375" s="5">
        <v>2.0</v>
      </c>
    </row>
    <row r="1376">
      <c r="A1376" s="4" t="s">
        <v>4613</v>
      </c>
      <c r="B1376" s="11" t="s">
        <v>4614</v>
      </c>
      <c r="C1376" s="4" t="s">
        <v>315</v>
      </c>
      <c r="D1376" s="12" t="s">
        <v>261</v>
      </c>
      <c r="E1376" s="13" t="s">
        <v>678</v>
      </c>
      <c r="F1376" s="5" t="s">
        <v>263</v>
      </c>
      <c r="G1376" s="5" t="b">
        <v>0</v>
      </c>
      <c r="H1376" s="5" t="s">
        <v>1017</v>
      </c>
      <c r="I1376" s="5">
        <v>1.0</v>
      </c>
      <c r="J1376" s="5">
        <v>0.0</v>
      </c>
      <c r="K1376" s="5">
        <v>2.0</v>
      </c>
    </row>
    <row r="1377">
      <c r="A1377" s="4" t="s">
        <v>4615</v>
      </c>
      <c r="B1377" s="11" t="s">
        <v>4616</v>
      </c>
      <c r="C1377" s="4" t="s">
        <v>315</v>
      </c>
      <c r="D1377" s="12" t="s">
        <v>261</v>
      </c>
      <c r="E1377" s="13" t="s">
        <v>678</v>
      </c>
      <c r="F1377" s="5" t="s">
        <v>263</v>
      </c>
      <c r="G1377" s="5" t="b">
        <v>0</v>
      </c>
      <c r="H1377" s="5" t="s">
        <v>396</v>
      </c>
      <c r="I1377" s="5">
        <v>1.0</v>
      </c>
      <c r="J1377" s="5">
        <v>0.0</v>
      </c>
      <c r="K1377" s="5">
        <v>2.0</v>
      </c>
    </row>
    <row r="1378">
      <c r="A1378" s="4" t="s">
        <v>4617</v>
      </c>
      <c r="B1378" s="11" t="s">
        <v>4618</v>
      </c>
      <c r="C1378" s="4" t="s">
        <v>2224</v>
      </c>
      <c r="D1378" s="12" t="s">
        <v>467</v>
      </c>
      <c r="E1378" s="13" t="s">
        <v>53</v>
      </c>
      <c r="F1378" s="5" t="s">
        <v>469</v>
      </c>
      <c r="G1378" s="5" t="b">
        <v>0</v>
      </c>
      <c r="H1378" s="5" t="s">
        <v>2923</v>
      </c>
      <c r="I1378" s="5">
        <v>1.0</v>
      </c>
      <c r="J1378" s="5">
        <v>0.0</v>
      </c>
      <c r="K1378" s="5">
        <v>0.0</v>
      </c>
    </row>
    <row r="1379">
      <c r="A1379" s="4" t="s">
        <v>4619</v>
      </c>
      <c r="B1379" s="11" t="s">
        <v>4620</v>
      </c>
      <c r="C1379" s="4" t="s">
        <v>2227</v>
      </c>
      <c r="D1379" s="12" t="s">
        <v>297</v>
      </c>
      <c r="E1379" s="13" t="s">
        <v>93</v>
      </c>
      <c r="F1379" s="5" t="s">
        <v>298</v>
      </c>
      <c r="G1379" s="5" t="b">
        <v>0</v>
      </c>
      <c r="H1379" s="5" t="s">
        <v>4621</v>
      </c>
      <c r="I1379" s="5">
        <v>1.0</v>
      </c>
      <c r="J1379" s="5">
        <v>0.0</v>
      </c>
      <c r="K1379" s="5">
        <v>2.0</v>
      </c>
    </row>
    <row r="1380">
      <c r="A1380" s="4" t="s">
        <v>4622</v>
      </c>
      <c r="B1380" s="11" t="s">
        <v>4623</v>
      </c>
      <c r="C1380" s="4" t="s">
        <v>1410</v>
      </c>
      <c r="D1380" s="12" t="s">
        <v>261</v>
      </c>
      <c r="E1380" s="13" t="s">
        <v>678</v>
      </c>
      <c r="F1380" s="5" t="s">
        <v>263</v>
      </c>
      <c r="G1380" s="5" t="b">
        <v>0</v>
      </c>
      <c r="I1380" s="5">
        <v>1.0</v>
      </c>
      <c r="J1380" s="5">
        <v>0.0</v>
      </c>
      <c r="K1380" s="5">
        <v>2.0</v>
      </c>
    </row>
    <row r="1381">
      <c r="A1381" s="4" t="s">
        <v>4624</v>
      </c>
      <c r="B1381" s="11" t="s">
        <v>4625</v>
      </c>
      <c r="C1381" s="4" t="s">
        <v>1410</v>
      </c>
      <c r="D1381" s="12" t="s">
        <v>261</v>
      </c>
      <c r="E1381" s="13" t="s">
        <v>678</v>
      </c>
      <c r="F1381" s="5" t="s">
        <v>263</v>
      </c>
      <c r="G1381" s="5" t="b">
        <v>0</v>
      </c>
      <c r="H1381" s="5" t="s">
        <v>4626</v>
      </c>
      <c r="I1381" s="5">
        <v>1.0</v>
      </c>
      <c r="J1381" s="5">
        <v>0.0</v>
      </c>
      <c r="K1381" s="5">
        <v>3.0</v>
      </c>
    </row>
    <row r="1382">
      <c r="A1382" s="4" t="s">
        <v>4627</v>
      </c>
      <c r="B1382" s="11" t="s">
        <v>4628</v>
      </c>
      <c r="C1382" s="4" t="s">
        <v>2231</v>
      </c>
      <c r="D1382" s="12" t="s">
        <v>29</v>
      </c>
      <c r="E1382" s="13" t="s">
        <v>678</v>
      </c>
      <c r="F1382" s="5" t="s">
        <v>31</v>
      </c>
      <c r="G1382" s="5" t="b">
        <v>0</v>
      </c>
      <c r="H1382" s="5" t="s">
        <v>4629</v>
      </c>
      <c r="I1382" s="5">
        <v>1.0</v>
      </c>
      <c r="J1382" s="5">
        <v>0.0</v>
      </c>
      <c r="K1382" s="5">
        <v>1.0</v>
      </c>
    </row>
    <row r="1383">
      <c r="A1383" s="4" t="s">
        <v>4630</v>
      </c>
      <c r="B1383" s="11" t="s">
        <v>4631</v>
      </c>
      <c r="C1383" s="4" t="s">
        <v>2234</v>
      </c>
      <c r="D1383" s="12" t="s">
        <v>29</v>
      </c>
      <c r="E1383" s="13" t="s">
        <v>84</v>
      </c>
      <c r="F1383" s="5" t="s">
        <v>31</v>
      </c>
      <c r="G1383" s="5" t="b">
        <v>0</v>
      </c>
      <c r="H1383" s="5" t="s">
        <v>4632</v>
      </c>
      <c r="I1383" s="5">
        <v>1.0</v>
      </c>
      <c r="J1383" s="5">
        <v>0.0</v>
      </c>
      <c r="K1383" s="5">
        <v>0.0</v>
      </c>
    </row>
    <row r="1384">
      <c r="A1384" s="4" t="s">
        <v>4633</v>
      </c>
      <c r="B1384" s="11" t="s">
        <v>4634</v>
      </c>
      <c r="C1384" s="4" t="s">
        <v>2239</v>
      </c>
      <c r="D1384" s="12" t="s">
        <v>52</v>
      </c>
      <c r="E1384" s="13" t="s">
        <v>84</v>
      </c>
      <c r="F1384" s="5" t="s">
        <v>54</v>
      </c>
      <c r="G1384" s="5" t="b">
        <v>0</v>
      </c>
      <c r="H1384" s="5" t="s">
        <v>2240</v>
      </c>
      <c r="I1384" s="5">
        <v>1.0</v>
      </c>
      <c r="J1384" s="5">
        <v>0.0</v>
      </c>
      <c r="K1384" s="5">
        <v>0.0</v>
      </c>
    </row>
    <row r="1385">
      <c r="A1385" s="4" t="s">
        <v>4635</v>
      </c>
      <c r="B1385" s="11" t="s">
        <v>4636</v>
      </c>
      <c r="C1385" s="4" t="s">
        <v>2242</v>
      </c>
      <c r="D1385" s="12" t="s">
        <v>29</v>
      </c>
      <c r="E1385" s="13" t="s">
        <v>53</v>
      </c>
      <c r="F1385" s="5" t="s">
        <v>31</v>
      </c>
      <c r="G1385" s="5" t="b">
        <v>0</v>
      </c>
      <c r="H1385" s="5" t="s">
        <v>2244</v>
      </c>
      <c r="I1385" s="5">
        <v>1.0</v>
      </c>
      <c r="J1385" s="5">
        <v>0.0</v>
      </c>
      <c r="K1385" s="5">
        <v>0.0</v>
      </c>
    </row>
    <row r="1386">
      <c r="A1386" s="4" t="s">
        <v>4637</v>
      </c>
      <c r="B1386" s="11" t="s">
        <v>3096</v>
      </c>
      <c r="C1386" s="4" t="s">
        <v>357</v>
      </c>
      <c r="D1386" s="12" t="s">
        <v>29</v>
      </c>
      <c r="E1386" s="13" t="s">
        <v>678</v>
      </c>
      <c r="F1386" s="5" t="s">
        <v>31</v>
      </c>
      <c r="G1386" s="5" t="b">
        <v>0</v>
      </c>
      <c r="H1386" s="5" t="s">
        <v>3097</v>
      </c>
      <c r="I1386" s="5">
        <v>1.0</v>
      </c>
      <c r="J1386" s="5">
        <v>0.0</v>
      </c>
      <c r="K1386" s="5">
        <v>0.0</v>
      </c>
    </row>
    <row r="1387">
      <c r="A1387" s="4" t="s">
        <v>4638</v>
      </c>
      <c r="B1387" s="11" t="s">
        <v>4639</v>
      </c>
      <c r="C1387" s="4" t="s">
        <v>357</v>
      </c>
      <c r="D1387" s="12" t="s">
        <v>84</v>
      </c>
      <c r="E1387" s="13" t="s">
        <v>678</v>
      </c>
      <c r="F1387" s="5" t="s">
        <v>85</v>
      </c>
      <c r="G1387" s="5" t="b">
        <v>0</v>
      </c>
      <c r="H1387" s="5" t="s">
        <v>4640</v>
      </c>
      <c r="I1387" s="5">
        <v>1.0</v>
      </c>
      <c r="J1387" s="5">
        <v>0.0</v>
      </c>
      <c r="K1387" s="5">
        <v>0.0</v>
      </c>
    </row>
    <row r="1388">
      <c r="A1388" s="4" t="s">
        <v>4641</v>
      </c>
      <c r="B1388" s="11" t="s">
        <v>4642</v>
      </c>
      <c r="C1388" s="4" t="s">
        <v>357</v>
      </c>
      <c r="D1388" s="12" t="s">
        <v>29</v>
      </c>
      <c r="E1388" s="13" t="s">
        <v>678</v>
      </c>
      <c r="F1388" s="5" t="s">
        <v>31</v>
      </c>
      <c r="G1388" s="5" t="b">
        <v>0</v>
      </c>
      <c r="H1388" s="5" t="s">
        <v>4643</v>
      </c>
      <c r="I1388" s="5">
        <v>1.0</v>
      </c>
      <c r="J1388" s="5">
        <v>0.0</v>
      </c>
      <c r="K1388" s="5">
        <v>0.0</v>
      </c>
    </row>
    <row r="1389">
      <c r="A1389" s="4" t="s">
        <v>4644</v>
      </c>
      <c r="B1389" s="11" t="s">
        <v>4645</v>
      </c>
      <c r="C1389" s="4" t="s">
        <v>357</v>
      </c>
      <c r="D1389" s="12" t="s">
        <v>29</v>
      </c>
      <c r="E1389" s="13" t="s">
        <v>678</v>
      </c>
      <c r="F1389" s="5" t="s">
        <v>31</v>
      </c>
      <c r="G1389" s="5" t="b">
        <v>0</v>
      </c>
      <c r="H1389" s="5" t="s">
        <v>4646</v>
      </c>
      <c r="I1389" s="5">
        <v>1.0</v>
      </c>
      <c r="J1389" s="5">
        <v>0.0</v>
      </c>
      <c r="K1389" s="5">
        <v>0.0</v>
      </c>
    </row>
    <row r="1390">
      <c r="A1390" s="4" t="s">
        <v>4647</v>
      </c>
      <c r="B1390" s="11" t="s">
        <v>4648</v>
      </c>
      <c r="C1390" s="4" t="s">
        <v>357</v>
      </c>
      <c r="D1390" s="12" t="s">
        <v>29</v>
      </c>
      <c r="E1390" s="13" t="s">
        <v>678</v>
      </c>
      <c r="F1390" s="5" t="s">
        <v>31</v>
      </c>
      <c r="G1390" s="5" t="b">
        <v>0</v>
      </c>
      <c r="H1390" s="5" t="s">
        <v>4649</v>
      </c>
      <c r="I1390" s="5">
        <v>1.0</v>
      </c>
      <c r="J1390" s="5">
        <v>0.0</v>
      </c>
      <c r="K1390" s="5">
        <v>0.0</v>
      </c>
    </row>
    <row r="1391">
      <c r="A1391" s="4" t="s">
        <v>4650</v>
      </c>
      <c r="B1391" s="11" t="s">
        <v>4651</v>
      </c>
      <c r="C1391" s="4" t="s">
        <v>357</v>
      </c>
      <c r="D1391" s="12" t="s">
        <v>84</v>
      </c>
      <c r="E1391" s="13" t="s">
        <v>678</v>
      </c>
      <c r="F1391" s="5" t="s">
        <v>85</v>
      </c>
      <c r="G1391" s="5" t="b">
        <v>0</v>
      </c>
      <c r="I1391" s="5">
        <v>1.0</v>
      </c>
      <c r="J1391" s="5">
        <v>0.0</v>
      </c>
      <c r="K1391" s="5">
        <v>0.0</v>
      </c>
    </row>
    <row r="1392">
      <c r="A1392" s="4" t="s">
        <v>4652</v>
      </c>
      <c r="B1392" s="11" t="s">
        <v>4653</v>
      </c>
      <c r="C1392" s="4" t="s">
        <v>902</v>
      </c>
      <c r="D1392" s="12" t="s">
        <v>29</v>
      </c>
      <c r="E1392" s="13" t="s">
        <v>53</v>
      </c>
      <c r="F1392" s="5" t="s">
        <v>31</v>
      </c>
      <c r="G1392" s="5" t="b">
        <v>0</v>
      </c>
      <c r="H1392" s="5" t="s">
        <v>4654</v>
      </c>
      <c r="I1392" s="5">
        <v>1.0</v>
      </c>
      <c r="J1392" s="5">
        <v>0.0</v>
      </c>
      <c r="K1392" s="5">
        <v>0.0</v>
      </c>
    </row>
    <row r="1393">
      <c r="A1393" s="4" t="s">
        <v>4655</v>
      </c>
      <c r="B1393" s="11" t="s">
        <v>4656</v>
      </c>
      <c r="C1393" s="4" t="s">
        <v>2246</v>
      </c>
      <c r="D1393" s="12" t="s">
        <v>261</v>
      </c>
      <c r="E1393" s="13" t="s">
        <v>678</v>
      </c>
      <c r="F1393" s="5" t="s">
        <v>263</v>
      </c>
      <c r="G1393" s="5" t="b">
        <v>0</v>
      </c>
      <c r="H1393" s="5" t="s">
        <v>4657</v>
      </c>
      <c r="I1393" s="5">
        <v>1.0</v>
      </c>
      <c r="J1393" s="5">
        <v>0.0</v>
      </c>
      <c r="K1393" s="5">
        <v>2.0</v>
      </c>
    </row>
    <row r="1394">
      <c r="A1394" s="4" t="s">
        <v>4658</v>
      </c>
      <c r="B1394" s="11" t="s">
        <v>4659</v>
      </c>
      <c r="C1394" s="4" t="s">
        <v>2248</v>
      </c>
      <c r="D1394" s="12" t="s">
        <v>29</v>
      </c>
      <c r="E1394" s="13" t="s">
        <v>678</v>
      </c>
      <c r="F1394" s="5" t="s">
        <v>31</v>
      </c>
      <c r="G1394" s="5" t="b">
        <v>0</v>
      </c>
      <c r="H1394" s="5" t="s">
        <v>4660</v>
      </c>
      <c r="I1394" s="5">
        <v>1.0</v>
      </c>
      <c r="J1394" s="5">
        <v>0.0</v>
      </c>
      <c r="K1394" s="5">
        <v>1.0</v>
      </c>
    </row>
    <row r="1395">
      <c r="A1395" s="4" t="s">
        <v>4661</v>
      </c>
      <c r="B1395" s="11" t="s">
        <v>4662</v>
      </c>
      <c r="C1395" s="4" t="s">
        <v>2251</v>
      </c>
      <c r="D1395" s="12" t="s">
        <v>126</v>
      </c>
      <c r="E1395" s="13" t="s">
        <v>53</v>
      </c>
      <c r="F1395" s="5" t="s">
        <v>127</v>
      </c>
      <c r="G1395" s="5" t="b">
        <v>0</v>
      </c>
      <c r="I1395" s="5">
        <v>1.0</v>
      </c>
      <c r="J1395" s="5">
        <v>0.0</v>
      </c>
      <c r="K1395" s="5">
        <v>1.0</v>
      </c>
    </row>
    <row r="1396">
      <c r="A1396" s="4" t="s">
        <v>4663</v>
      </c>
      <c r="B1396" s="11" t="s">
        <v>4664</v>
      </c>
      <c r="C1396" s="4" t="s">
        <v>2254</v>
      </c>
      <c r="D1396" s="12" t="s">
        <v>29</v>
      </c>
      <c r="E1396" s="13" t="s">
        <v>53</v>
      </c>
      <c r="F1396" s="5" t="s">
        <v>31</v>
      </c>
      <c r="G1396" s="5" t="b">
        <v>0</v>
      </c>
      <c r="H1396" s="5" t="s">
        <v>399</v>
      </c>
      <c r="I1396" s="5">
        <v>1.0</v>
      </c>
      <c r="J1396" s="5">
        <v>0.0</v>
      </c>
      <c r="K1396" s="5">
        <v>3.0</v>
      </c>
    </row>
    <row r="1397">
      <c r="A1397" s="4" t="s">
        <v>4665</v>
      </c>
      <c r="B1397" s="11" t="s">
        <v>3102</v>
      </c>
      <c r="C1397" s="4" t="s">
        <v>449</v>
      </c>
      <c r="D1397" s="12" t="s">
        <v>84</v>
      </c>
      <c r="E1397" s="13" t="s">
        <v>93</v>
      </c>
      <c r="F1397" s="5" t="s">
        <v>85</v>
      </c>
      <c r="G1397" s="5" t="b">
        <v>0</v>
      </c>
      <c r="I1397" s="5">
        <v>1.0</v>
      </c>
      <c r="J1397" s="5">
        <v>0.0</v>
      </c>
      <c r="K1397" s="5">
        <v>0.0</v>
      </c>
    </row>
    <row r="1398">
      <c r="A1398" s="4" t="s">
        <v>4666</v>
      </c>
      <c r="B1398" s="11" t="s">
        <v>4667</v>
      </c>
      <c r="C1398" s="4" t="s">
        <v>2256</v>
      </c>
      <c r="D1398" s="12" t="s">
        <v>297</v>
      </c>
      <c r="E1398" s="13" t="s">
        <v>53</v>
      </c>
      <c r="F1398" s="5" t="s">
        <v>298</v>
      </c>
      <c r="G1398" s="5" t="b">
        <v>0</v>
      </c>
      <c r="H1398" s="5" t="s">
        <v>1648</v>
      </c>
      <c r="I1398" s="5">
        <v>1.0</v>
      </c>
      <c r="J1398" s="5">
        <v>0.0</v>
      </c>
      <c r="K1398" s="5">
        <v>1.0</v>
      </c>
    </row>
    <row r="1399">
      <c r="A1399" s="4" t="s">
        <v>4668</v>
      </c>
      <c r="B1399" s="11" t="s">
        <v>4669</v>
      </c>
      <c r="C1399" s="4" t="s">
        <v>2259</v>
      </c>
      <c r="D1399" s="12" t="s">
        <v>467</v>
      </c>
      <c r="E1399" s="13" t="s">
        <v>53</v>
      </c>
      <c r="F1399" s="5" t="s">
        <v>469</v>
      </c>
      <c r="G1399" s="5" t="b">
        <v>0</v>
      </c>
      <c r="I1399" s="5">
        <v>1.0</v>
      </c>
      <c r="J1399" s="5">
        <v>0.0</v>
      </c>
      <c r="K1399" s="5">
        <v>1.0</v>
      </c>
    </row>
    <row r="1400">
      <c r="A1400" s="4" t="s">
        <v>4670</v>
      </c>
      <c r="B1400" s="11" t="s">
        <v>4671</v>
      </c>
      <c r="C1400" s="4" t="s">
        <v>56</v>
      </c>
      <c r="D1400" s="12" t="s">
        <v>29</v>
      </c>
      <c r="E1400" s="13" t="s">
        <v>30</v>
      </c>
      <c r="F1400" s="5" t="s">
        <v>31</v>
      </c>
      <c r="G1400" s="5" t="b">
        <v>0</v>
      </c>
      <c r="H1400" s="5" t="s">
        <v>4672</v>
      </c>
      <c r="I1400" s="5">
        <v>1.0</v>
      </c>
      <c r="J1400" s="5">
        <v>0.0</v>
      </c>
      <c r="K1400" s="5">
        <v>2.0</v>
      </c>
    </row>
    <row r="1401">
      <c r="A1401" s="4" t="s">
        <v>4673</v>
      </c>
      <c r="B1401" s="11" t="s">
        <v>4674</v>
      </c>
      <c r="C1401" s="4" t="s">
        <v>1066</v>
      </c>
      <c r="D1401" s="12" t="s">
        <v>261</v>
      </c>
      <c r="E1401" s="13" t="s">
        <v>678</v>
      </c>
      <c r="F1401" s="5" t="s">
        <v>263</v>
      </c>
      <c r="G1401" s="5" t="b">
        <v>0</v>
      </c>
      <c r="I1401" s="5">
        <v>1.0</v>
      </c>
      <c r="J1401" s="5">
        <v>0.0</v>
      </c>
      <c r="K1401" s="5">
        <v>2.0</v>
      </c>
    </row>
    <row r="1402">
      <c r="A1402" s="4" t="s">
        <v>4675</v>
      </c>
      <c r="B1402" s="11" t="s">
        <v>4676</v>
      </c>
      <c r="C1402" s="4" t="s">
        <v>1066</v>
      </c>
      <c r="D1402" s="12" t="s">
        <v>433</v>
      </c>
      <c r="E1402" s="13" t="s">
        <v>678</v>
      </c>
      <c r="F1402" s="5" t="s">
        <v>434</v>
      </c>
      <c r="G1402" s="5" t="b">
        <v>0</v>
      </c>
      <c r="H1402" s="5" t="s">
        <v>1339</v>
      </c>
      <c r="I1402" s="5">
        <v>1.0</v>
      </c>
      <c r="J1402" s="5">
        <v>0.0</v>
      </c>
      <c r="K1402" s="5">
        <v>1.0</v>
      </c>
    </row>
    <row r="1403">
      <c r="A1403" s="4" t="s">
        <v>4677</v>
      </c>
      <c r="B1403" s="11" t="s">
        <v>4678</v>
      </c>
      <c r="C1403" s="4" t="s">
        <v>2262</v>
      </c>
      <c r="D1403" s="12" t="s">
        <v>261</v>
      </c>
      <c r="E1403" s="13" t="s">
        <v>53</v>
      </c>
      <c r="F1403" s="5" t="s">
        <v>263</v>
      </c>
      <c r="G1403" s="5" t="b">
        <v>0</v>
      </c>
      <c r="I1403" s="5">
        <v>1.0</v>
      </c>
      <c r="J1403" s="5">
        <v>0.0</v>
      </c>
      <c r="K1403" s="5">
        <v>1.0</v>
      </c>
    </row>
    <row r="1404">
      <c r="A1404" s="4" t="s">
        <v>4679</v>
      </c>
      <c r="B1404" s="11" t="s">
        <v>4680</v>
      </c>
      <c r="C1404" s="4" t="s">
        <v>1190</v>
      </c>
      <c r="D1404" s="12" t="s">
        <v>261</v>
      </c>
      <c r="E1404" s="13" t="s">
        <v>678</v>
      </c>
      <c r="F1404" s="5" t="s">
        <v>263</v>
      </c>
      <c r="G1404" s="5" t="b">
        <v>0</v>
      </c>
      <c r="H1404" s="5" t="s">
        <v>4681</v>
      </c>
      <c r="I1404" s="5">
        <v>1.0</v>
      </c>
      <c r="J1404" s="5">
        <v>0.0</v>
      </c>
      <c r="K1404" s="5">
        <v>2.0</v>
      </c>
    </row>
    <row r="1405">
      <c r="A1405" s="4" t="s">
        <v>4682</v>
      </c>
      <c r="B1405" s="11" t="s">
        <v>4683</v>
      </c>
      <c r="C1405" s="4" t="s">
        <v>2264</v>
      </c>
      <c r="D1405" s="12" t="s">
        <v>29</v>
      </c>
      <c r="E1405" s="13" t="s">
        <v>53</v>
      </c>
      <c r="F1405" s="5" t="s">
        <v>31</v>
      </c>
      <c r="G1405" s="5" t="b">
        <v>0</v>
      </c>
      <c r="H1405" s="5" t="s">
        <v>4684</v>
      </c>
      <c r="I1405" s="5">
        <v>1.0</v>
      </c>
      <c r="J1405" s="5">
        <v>0.0</v>
      </c>
      <c r="K1405" s="5">
        <v>0.0</v>
      </c>
    </row>
    <row r="1406">
      <c r="A1406" s="4" t="s">
        <v>4685</v>
      </c>
      <c r="B1406" s="11" t="s">
        <v>4686</v>
      </c>
      <c r="C1406" s="4" t="s">
        <v>2268</v>
      </c>
      <c r="D1406" s="12" t="s">
        <v>29</v>
      </c>
      <c r="E1406" s="13" t="s">
        <v>678</v>
      </c>
      <c r="F1406" s="5" t="s">
        <v>31</v>
      </c>
      <c r="G1406" s="5" t="b">
        <v>0</v>
      </c>
      <c r="H1406" s="5" t="s">
        <v>399</v>
      </c>
      <c r="I1406" s="5">
        <v>1.0</v>
      </c>
      <c r="J1406" s="5">
        <v>0.0</v>
      </c>
      <c r="K1406" s="5">
        <v>0.0</v>
      </c>
    </row>
    <row r="1407">
      <c r="A1407" s="4" t="s">
        <v>4687</v>
      </c>
      <c r="B1407" s="11" t="s">
        <v>4688</v>
      </c>
      <c r="C1407" s="4" t="s">
        <v>2271</v>
      </c>
      <c r="D1407" s="12" t="s">
        <v>126</v>
      </c>
      <c r="E1407" s="13" t="s">
        <v>53</v>
      </c>
      <c r="F1407" s="5" t="s">
        <v>127</v>
      </c>
      <c r="G1407" s="5" t="b">
        <v>0</v>
      </c>
      <c r="I1407" s="5">
        <v>1.0</v>
      </c>
      <c r="J1407" s="5">
        <v>0.0</v>
      </c>
      <c r="K1407" s="5">
        <v>1.0</v>
      </c>
    </row>
    <row r="1408">
      <c r="A1408" s="4" t="s">
        <v>4689</v>
      </c>
      <c r="B1408" s="11" t="s">
        <v>4690</v>
      </c>
      <c r="C1408" s="4" t="s">
        <v>60</v>
      </c>
      <c r="D1408" s="12" t="s">
        <v>467</v>
      </c>
      <c r="E1408" s="13" t="s">
        <v>30</v>
      </c>
      <c r="F1408" s="5" t="s">
        <v>469</v>
      </c>
      <c r="G1408" s="5" t="b">
        <v>0</v>
      </c>
      <c r="H1408" s="5" t="s">
        <v>4691</v>
      </c>
      <c r="I1408" s="5">
        <v>1.0</v>
      </c>
      <c r="J1408" s="5">
        <v>0.0</v>
      </c>
      <c r="K1408" s="5">
        <v>0.0</v>
      </c>
    </row>
    <row r="1409">
      <c r="A1409" s="4" t="s">
        <v>4692</v>
      </c>
      <c r="B1409" s="11" t="s">
        <v>4693</v>
      </c>
      <c r="C1409" s="4" t="s">
        <v>60</v>
      </c>
      <c r="D1409" s="12" t="s">
        <v>433</v>
      </c>
      <c r="E1409" s="13" t="s">
        <v>30</v>
      </c>
      <c r="F1409" s="5" t="s">
        <v>434</v>
      </c>
      <c r="G1409" s="5" t="b">
        <v>0</v>
      </c>
      <c r="H1409" s="5" t="s">
        <v>4694</v>
      </c>
      <c r="I1409" s="5">
        <v>1.0</v>
      </c>
      <c r="J1409" s="5">
        <v>0.0</v>
      </c>
      <c r="K1409" s="5">
        <v>1.0</v>
      </c>
    </row>
    <row r="1410">
      <c r="A1410" s="4" t="s">
        <v>4695</v>
      </c>
      <c r="B1410" s="11" t="s">
        <v>4696</v>
      </c>
      <c r="C1410" s="4" t="s">
        <v>60</v>
      </c>
      <c r="D1410" s="12" t="s">
        <v>670</v>
      </c>
      <c r="E1410" s="13" t="s">
        <v>30</v>
      </c>
      <c r="F1410" s="5" t="s">
        <v>671</v>
      </c>
      <c r="G1410" s="5" t="b">
        <v>0</v>
      </c>
      <c r="H1410" s="5" t="s">
        <v>4697</v>
      </c>
      <c r="I1410" s="5">
        <v>1.0</v>
      </c>
      <c r="J1410" s="5">
        <v>0.0</v>
      </c>
      <c r="K1410" s="5">
        <v>0.0</v>
      </c>
    </row>
    <row r="1411">
      <c r="A1411" s="4" t="s">
        <v>4698</v>
      </c>
      <c r="B1411" s="11" t="s">
        <v>4699</v>
      </c>
      <c r="C1411" s="4" t="s">
        <v>2273</v>
      </c>
      <c r="D1411" s="12" t="s">
        <v>126</v>
      </c>
      <c r="E1411" s="13" t="s">
        <v>53</v>
      </c>
      <c r="F1411" s="5" t="s">
        <v>127</v>
      </c>
      <c r="G1411" s="5" t="b">
        <v>0</v>
      </c>
      <c r="H1411" s="5" t="s">
        <v>649</v>
      </c>
      <c r="I1411" s="5">
        <v>1.0</v>
      </c>
      <c r="J1411" s="5">
        <v>0.0</v>
      </c>
      <c r="K1411" s="5">
        <v>0.0</v>
      </c>
    </row>
    <row r="1412">
      <c r="A1412" s="4" t="s">
        <v>4700</v>
      </c>
      <c r="B1412" s="11" t="s">
        <v>4701</v>
      </c>
      <c r="C1412" s="4" t="s">
        <v>2275</v>
      </c>
      <c r="D1412" s="12" t="s">
        <v>261</v>
      </c>
      <c r="E1412" s="13" t="s">
        <v>30</v>
      </c>
      <c r="F1412" s="5" t="s">
        <v>263</v>
      </c>
      <c r="G1412" s="5" t="b">
        <v>0</v>
      </c>
      <c r="H1412" s="5" t="s">
        <v>2277</v>
      </c>
      <c r="I1412" s="5">
        <v>1.0</v>
      </c>
      <c r="J1412" s="5">
        <v>0.0</v>
      </c>
      <c r="K1412" s="5">
        <v>1.0</v>
      </c>
    </row>
    <row r="1413">
      <c r="A1413" s="4" t="s">
        <v>4702</v>
      </c>
      <c r="B1413" s="11" t="s">
        <v>4703</v>
      </c>
      <c r="C1413" s="4" t="s">
        <v>2278</v>
      </c>
      <c r="D1413" s="12" t="s">
        <v>467</v>
      </c>
      <c r="E1413" s="13" t="s">
        <v>53</v>
      </c>
      <c r="F1413" s="5" t="s">
        <v>469</v>
      </c>
      <c r="G1413" s="5" t="b">
        <v>0</v>
      </c>
      <c r="H1413" s="5" t="s">
        <v>639</v>
      </c>
      <c r="I1413" s="5">
        <v>1.0</v>
      </c>
      <c r="J1413" s="5">
        <v>0.0</v>
      </c>
      <c r="K1413" s="5">
        <v>1.0</v>
      </c>
    </row>
    <row r="1414">
      <c r="A1414" s="4" t="s">
        <v>4704</v>
      </c>
      <c r="B1414" s="11" t="s">
        <v>4705</v>
      </c>
      <c r="C1414" s="4" t="s">
        <v>2282</v>
      </c>
      <c r="D1414" s="12" t="s">
        <v>29</v>
      </c>
      <c r="E1414" s="13" t="s">
        <v>53</v>
      </c>
      <c r="F1414" s="5" t="s">
        <v>31</v>
      </c>
      <c r="G1414" s="5" t="b">
        <v>0</v>
      </c>
      <c r="H1414" s="5" t="s">
        <v>2923</v>
      </c>
      <c r="I1414" s="5">
        <v>1.0</v>
      </c>
      <c r="J1414" s="5">
        <v>0.0</v>
      </c>
      <c r="K1414" s="5">
        <v>0.0</v>
      </c>
    </row>
    <row r="1415">
      <c r="A1415" s="4" t="s">
        <v>4706</v>
      </c>
      <c r="B1415" s="11" t="s">
        <v>4707</v>
      </c>
      <c r="C1415" s="4" t="s">
        <v>2284</v>
      </c>
      <c r="D1415" s="12" t="s">
        <v>467</v>
      </c>
      <c r="E1415" s="13" t="s">
        <v>53</v>
      </c>
      <c r="F1415" s="5" t="s">
        <v>469</v>
      </c>
      <c r="G1415" s="5" t="b">
        <v>0</v>
      </c>
      <c r="H1415" s="5" t="s">
        <v>1473</v>
      </c>
      <c r="I1415" s="5">
        <v>1.0</v>
      </c>
      <c r="J1415" s="5">
        <v>0.0</v>
      </c>
      <c r="K1415" s="5">
        <v>0.0</v>
      </c>
    </row>
    <row r="1416">
      <c r="A1416" s="4" t="s">
        <v>4708</v>
      </c>
      <c r="B1416" s="11" t="s">
        <v>1497</v>
      </c>
      <c r="C1416" s="4" t="s">
        <v>373</v>
      </c>
      <c r="D1416" s="12" t="s">
        <v>29</v>
      </c>
      <c r="E1416" s="13" t="s">
        <v>93</v>
      </c>
      <c r="F1416" s="5" t="s">
        <v>31</v>
      </c>
      <c r="G1416" s="5" t="b">
        <v>0</v>
      </c>
      <c r="H1416" s="5" t="s">
        <v>396</v>
      </c>
      <c r="I1416" s="5">
        <v>1.0</v>
      </c>
      <c r="J1416" s="5">
        <v>0.0</v>
      </c>
      <c r="K1416" s="5">
        <v>0.0</v>
      </c>
    </row>
    <row r="1417">
      <c r="A1417" s="4" t="s">
        <v>4709</v>
      </c>
      <c r="B1417" s="11" t="s">
        <v>4710</v>
      </c>
      <c r="C1417" s="4" t="s">
        <v>1222</v>
      </c>
      <c r="D1417" s="12" t="s">
        <v>84</v>
      </c>
      <c r="E1417" s="13" t="s">
        <v>678</v>
      </c>
      <c r="F1417" s="5" t="s">
        <v>85</v>
      </c>
      <c r="G1417" s="5" t="b">
        <v>0</v>
      </c>
      <c r="I1417" s="5">
        <v>1.0</v>
      </c>
      <c r="J1417" s="5">
        <v>0.0</v>
      </c>
      <c r="K1417" s="5">
        <v>2.0</v>
      </c>
    </row>
    <row r="1418">
      <c r="A1418" s="4" t="s">
        <v>4711</v>
      </c>
      <c r="B1418" s="11" t="s">
        <v>4712</v>
      </c>
      <c r="C1418" s="4" t="s">
        <v>1222</v>
      </c>
      <c r="D1418" s="12" t="s">
        <v>29</v>
      </c>
      <c r="E1418" s="13" t="s">
        <v>678</v>
      </c>
      <c r="F1418" s="5" t="s">
        <v>31</v>
      </c>
      <c r="G1418" s="5" t="b">
        <v>0</v>
      </c>
      <c r="H1418" s="5" t="s">
        <v>342</v>
      </c>
      <c r="I1418" s="5">
        <v>1.0</v>
      </c>
      <c r="J1418" s="5">
        <v>0.0</v>
      </c>
      <c r="K1418" s="5">
        <v>1.0</v>
      </c>
    </row>
    <row r="1419">
      <c r="A1419" s="4" t="s">
        <v>4713</v>
      </c>
      <c r="B1419" s="11" t="s">
        <v>4714</v>
      </c>
      <c r="C1419" s="4" t="s">
        <v>1416</v>
      </c>
      <c r="D1419" s="12" t="s">
        <v>29</v>
      </c>
      <c r="E1419" s="13" t="s">
        <v>53</v>
      </c>
      <c r="F1419" s="5" t="s">
        <v>31</v>
      </c>
      <c r="G1419" s="5" t="b">
        <v>0</v>
      </c>
      <c r="I1419" s="5">
        <v>1.0</v>
      </c>
      <c r="J1419" s="5">
        <v>0.0</v>
      </c>
      <c r="K1419" s="5">
        <v>0.0</v>
      </c>
    </row>
    <row r="1420">
      <c r="A1420" s="4" t="s">
        <v>4715</v>
      </c>
      <c r="B1420" s="11" t="s">
        <v>4716</v>
      </c>
      <c r="C1420" s="4" t="s">
        <v>1416</v>
      </c>
      <c r="D1420" s="12" t="s">
        <v>29</v>
      </c>
      <c r="E1420" s="13" t="s">
        <v>53</v>
      </c>
      <c r="F1420" s="5" t="s">
        <v>31</v>
      </c>
      <c r="G1420" s="5" t="b">
        <v>0</v>
      </c>
      <c r="H1420" s="5" t="s">
        <v>1417</v>
      </c>
      <c r="I1420" s="5">
        <v>1.0</v>
      </c>
      <c r="J1420" s="5">
        <v>0.0</v>
      </c>
      <c r="K1420" s="5">
        <v>0.0</v>
      </c>
    </row>
    <row r="1421">
      <c r="A1421" s="4" t="s">
        <v>4717</v>
      </c>
      <c r="B1421" s="11" t="s">
        <v>4718</v>
      </c>
      <c r="C1421" s="4" t="s">
        <v>2287</v>
      </c>
      <c r="D1421" s="12" t="s">
        <v>29</v>
      </c>
      <c r="E1421" s="13" t="s">
        <v>84</v>
      </c>
      <c r="F1421" s="5" t="s">
        <v>31</v>
      </c>
      <c r="G1421" s="5" t="b">
        <v>0</v>
      </c>
      <c r="H1421" s="5" t="s">
        <v>4719</v>
      </c>
      <c r="I1421" s="5">
        <v>1.0</v>
      </c>
      <c r="J1421" s="5">
        <v>0.0</v>
      </c>
      <c r="K1421" s="5">
        <v>1.0</v>
      </c>
    </row>
    <row r="1422">
      <c r="A1422" s="4" t="s">
        <v>4720</v>
      </c>
      <c r="B1422" s="11" t="s">
        <v>4721</v>
      </c>
      <c r="C1422" s="4" t="s">
        <v>228</v>
      </c>
      <c r="D1422" s="12" t="s">
        <v>261</v>
      </c>
      <c r="E1422" s="13" t="s">
        <v>30</v>
      </c>
      <c r="F1422" s="5" t="s">
        <v>263</v>
      </c>
      <c r="G1422" s="5" t="b">
        <v>0</v>
      </c>
      <c r="H1422" s="5" t="s">
        <v>4722</v>
      </c>
      <c r="I1422" s="5">
        <v>1.0</v>
      </c>
      <c r="J1422" s="5">
        <v>0.0</v>
      </c>
      <c r="K1422" s="5">
        <v>0.0</v>
      </c>
    </row>
    <row r="1423">
      <c r="A1423" s="4" t="s">
        <v>4723</v>
      </c>
      <c r="B1423" s="13"/>
      <c r="C1423" s="4" t="s">
        <v>2292</v>
      </c>
      <c r="D1423" s="12" t="s">
        <v>467</v>
      </c>
      <c r="E1423" s="13" t="s">
        <v>53</v>
      </c>
      <c r="F1423" s="5" t="s">
        <v>469</v>
      </c>
      <c r="H1423" s="5" t="s">
        <v>233</v>
      </c>
      <c r="I1423" s="5">
        <v>1.0</v>
      </c>
      <c r="J1423" s="5">
        <v>0.0</v>
      </c>
      <c r="K1423" s="5">
        <v>0.0</v>
      </c>
    </row>
    <row r="1424">
      <c r="A1424" s="4" t="s">
        <v>4724</v>
      </c>
      <c r="B1424" s="11" t="s">
        <v>4725</v>
      </c>
      <c r="C1424" s="4" t="s">
        <v>343</v>
      </c>
      <c r="D1424" s="12" t="s">
        <v>297</v>
      </c>
      <c r="E1424" s="13" t="s">
        <v>81</v>
      </c>
      <c r="F1424" s="5" t="s">
        <v>298</v>
      </c>
      <c r="G1424" s="5" t="b">
        <v>0</v>
      </c>
      <c r="H1424" s="5" t="s">
        <v>4726</v>
      </c>
      <c r="I1424" s="5">
        <v>1.0</v>
      </c>
      <c r="J1424" s="5">
        <v>0.0</v>
      </c>
      <c r="K1424" s="5">
        <v>0.0</v>
      </c>
    </row>
    <row r="1425">
      <c r="A1425" s="4" t="s">
        <v>4727</v>
      </c>
      <c r="B1425" s="11" t="s">
        <v>4728</v>
      </c>
      <c r="C1425" s="4" t="s">
        <v>343</v>
      </c>
      <c r="D1425" s="12" t="s">
        <v>297</v>
      </c>
      <c r="E1425" s="13" t="s">
        <v>81</v>
      </c>
      <c r="F1425" s="5" t="s">
        <v>298</v>
      </c>
      <c r="G1425" s="5" t="b">
        <v>0</v>
      </c>
      <c r="H1425" s="5" t="s">
        <v>4729</v>
      </c>
      <c r="I1425" s="5">
        <v>1.0</v>
      </c>
      <c r="J1425" s="5">
        <v>0.0</v>
      </c>
      <c r="K1425" s="5">
        <v>1.0</v>
      </c>
    </row>
    <row r="1426">
      <c r="A1426" s="4" t="s">
        <v>4730</v>
      </c>
      <c r="B1426" s="13"/>
      <c r="C1426" s="4" t="s">
        <v>343</v>
      </c>
      <c r="D1426" s="12" t="s">
        <v>84</v>
      </c>
      <c r="E1426" s="13" t="s">
        <v>84</v>
      </c>
      <c r="F1426" s="5" t="s">
        <v>85</v>
      </c>
      <c r="H1426" s="5" t="s">
        <v>233</v>
      </c>
      <c r="I1426" s="5">
        <v>1.0</v>
      </c>
      <c r="J1426" s="5">
        <v>0.0</v>
      </c>
      <c r="K1426" s="5">
        <v>1.0</v>
      </c>
    </row>
    <row r="1427">
      <c r="A1427" s="4" t="s">
        <v>4731</v>
      </c>
      <c r="B1427" s="13"/>
      <c r="C1427" s="4" t="s">
        <v>2290</v>
      </c>
      <c r="D1427" s="12" t="s">
        <v>84</v>
      </c>
      <c r="E1427" s="13" t="s">
        <v>84</v>
      </c>
      <c r="F1427" s="5" t="s">
        <v>85</v>
      </c>
      <c r="H1427" s="5" t="s">
        <v>233</v>
      </c>
      <c r="I1427" s="5">
        <v>1.0</v>
      </c>
      <c r="J1427" s="5">
        <v>0.0</v>
      </c>
      <c r="K1427" s="5">
        <v>0.0</v>
      </c>
    </row>
    <row r="1428">
      <c r="A1428" s="4" t="s">
        <v>4732</v>
      </c>
      <c r="B1428" s="11" t="s">
        <v>4733</v>
      </c>
      <c r="C1428" s="4" t="s">
        <v>2295</v>
      </c>
      <c r="D1428" s="12" t="s">
        <v>52</v>
      </c>
      <c r="E1428" s="13" t="s">
        <v>93</v>
      </c>
      <c r="F1428" s="5" t="s">
        <v>54</v>
      </c>
      <c r="G1428" s="5" t="b">
        <v>0</v>
      </c>
      <c r="I1428" s="5">
        <v>1.0</v>
      </c>
      <c r="J1428" s="5">
        <v>0.0</v>
      </c>
      <c r="K1428" s="5">
        <v>0.0</v>
      </c>
    </row>
    <row r="1429">
      <c r="A1429" s="4" t="s">
        <v>4734</v>
      </c>
      <c r="B1429" s="11" t="s">
        <v>4735</v>
      </c>
      <c r="C1429" s="4" t="s">
        <v>2297</v>
      </c>
      <c r="D1429" s="12" t="s">
        <v>670</v>
      </c>
      <c r="E1429" s="13" t="s">
        <v>53</v>
      </c>
      <c r="F1429" s="5" t="s">
        <v>671</v>
      </c>
      <c r="G1429" s="5" t="b">
        <v>0</v>
      </c>
      <c r="H1429" s="5" t="s">
        <v>1453</v>
      </c>
      <c r="I1429" s="5">
        <v>1.0</v>
      </c>
      <c r="J1429" s="5">
        <v>0.0</v>
      </c>
      <c r="K1429" s="5">
        <v>1.0</v>
      </c>
    </row>
    <row r="1430">
      <c r="A1430" s="4" t="s">
        <v>4736</v>
      </c>
      <c r="B1430" s="11" t="s">
        <v>4737</v>
      </c>
      <c r="C1430" s="4" t="s">
        <v>2300</v>
      </c>
      <c r="D1430" s="12" t="s">
        <v>126</v>
      </c>
      <c r="E1430" s="13" t="s">
        <v>53</v>
      </c>
      <c r="F1430" s="5" t="s">
        <v>127</v>
      </c>
      <c r="G1430" s="5" t="b">
        <v>0</v>
      </c>
      <c r="I1430" s="5">
        <v>1.0</v>
      </c>
      <c r="J1430" s="5">
        <v>0.0</v>
      </c>
      <c r="K1430" s="5">
        <v>1.0</v>
      </c>
    </row>
    <row r="1431">
      <c r="A1431" s="4" t="s">
        <v>4738</v>
      </c>
      <c r="B1431" s="11" t="s">
        <v>4739</v>
      </c>
      <c r="C1431" s="4" t="s">
        <v>2302</v>
      </c>
      <c r="D1431" s="12" t="s">
        <v>29</v>
      </c>
      <c r="E1431" s="13" t="s">
        <v>53</v>
      </c>
      <c r="F1431" s="5" t="s">
        <v>31</v>
      </c>
      <c r="G1431" s="5" t="b">
        <v>0</v>
      </c>
      <c r="H1431" s="5" t="s">
        <v>2304</v>
      </c>
      <c r="I1431" s="5">
        <v>1.0</v>
      </c>
      <c r="J1431" s="5">
        <v>0.0</v>
      </c>
      <c r="K1431" s="5">
        <v>1.0</v>
      </c>
    </row>
    <row r="1432">
      <c r="A1432" s="4" t="s">
        <v>4740</v>
      </c>
      <c r="B1432" s="11" t="s">
        <v>4741</v>
      </c>
      <c r="C1432" s="4" t="s">
        <v>2306</v>
      </c>
      <c r="D1432" s="12" t="s">
        <v>84</v>
      </c>
      <c r="E1432" s="13" t="s">
        <v>53</v>
      </c>
      <c r="F1432" s="5" t="s">
        <v>85</v>
      </c>
      <c r="G1432" s="5" t="b">
        <v>0</v>
      </c>
      <c r="H1432" s="5" t="s">
        <v>4742</v>
      </c>
      <c r="I1432" s="5">
        <v>1.0</v>
      </c>
      <c r="J1432" s="5">
        <v>0.0</v>
      </c>
      <c r="K1432" s="5">
        <v>1.0</v>
      </c>
    </row>
    <row r="1433">
      <c r="A1433" s="4" t="s">
        <v>4743</v>
      </c>
      <c r="B1433" s="11" t="s">
        <v>4744</v>
      </c>
      <c r="C1433" s="4" t="s">
        <v>2309</v>
      </c>
      <c r="D1433" s="12" t="s">
        <v>126</v>
      </c>
      <c r="E1433" s="13" t="s">
        <v>53</v>
      </c>
      <c r="F1433" s="5" t="s">
        <v>127</v>
      </c>
      <c r="G1433" s="5" t="b">
        <v>0</v>
      </c>
      <c r="H1433" s="5" t="s">
        <v>342</v>
      </c>
      <c r="I1433" s="5">
        <v>1.0</v>
      </c>
      <c r="J1433" s="5">
        <v>0.0</v>
      </c>
      <c r="K1433" s="5">
        <v>4.0</v>
      </c>
    </row>
    <row r="1434">
      <c r="A1434" s="4" t="s">
        <v>4745</v>
      </c>
      <c r="B1434" s="11" t="s">
        <v>4746</v>
      </c>
      <c r="C1434" s="4" t="s">
        <v>2311</v>
      </c>
      <c r="D1434" s="12" t="s">
        <v>670</v>
      </c>
      <c r="E1434" s="13" t="s">
        <v>53</v>
      </c>
      <c r="F1434" s="5" t="s">
        <v>671</v>
      </c>
      <c r="G1434" s="5" t="b">
        <v>0</v>
      </c>
      <c r="I1434" s="5">
        <v>1.0</v>
      </c>
      <c r="J1434" s="5">
        <v>0.0</v>
      </c>
      <c r="K1434" s="5">
        <v>0.0</v>
      </c>
    </row>
    <row r="1435">
      <c r="A1435" s="4" t="s">
        <v>4747</v>
      </c>
      <c r="B1435" s="11" t="s">
        <v>4748</v>
      </c>
      <c r="C1435" s="4" t="s">
        <v>1198</v>
      </c>
      <c r="D1435" s="12" t="s">
        <v>84</v>
      </c>
      <c r="E1435" s="13" t="s">
        <v>53</v>
      </c>
      <c r="F1435" s="5" t="s">
        <v>85</v>
      </c>
      <c r="G1435" s="5" t="b">
        <v>0</v>
      </c>
      <c r="I1435" s="5">
        <v>1.0</v>
      </c>
      <c r="J1435" s="5">
        <v>0.0</v>
      </c>
      <c r="K1435" s="5">
        <v>0.0</v>
      </c>
    </row>
    <row r="1436">
      <c r="A1436" s="4" t="s">
        <v>4749</v>
      </c>
      <c r="B1436" s="11" t="s">
        <v>4750</v>
      </c>
      <c r="C1436" s="4" t="s">
        <v>2313</v>
      </c>
      <c r="D1436" s="12" t="s">
        <v>84</v>
      </c>
      <c r="E1436" s="13" t="s">
        <v>53</v>
      </c>
      <c r="F1436" s="5" t="s">
        <v>85</v>
      </c>
      <c r="G1436" s="5" t="b">
        <v>0</v>
      </c>
      <c r="I1436" s="5">
        <v>1.0</v>
      </c>
      <c r="J1436" s="5">
        <v>0.0</v>
      </c>
      <c r="K1436" s="5">
        <v>1.0</v>
      </c>
    </row>
    <row r="1437">
      <c r="A1437" s="4" t="s">
        <v>4751</v>
      </c>
      <c r="B1437" s="11" t="s">
        <v>4752</v>
      </c>
      <c r="C1437" s="4" t="s">
        <v>2315</v>
      </c>
      <c r="D1437" s="12" t="s">
        <v>126</v>
      </c>
      <c r="E1437" s="13" t="s">
        <v>53</v>
      </c>
      <c r="F1437" s="5" t="s">
        <v>127</v>
      </c>
      <c r="G1437" s="5" t="b">
        <v>0</v>
      </c>
      <c r="H1437" s="5" t="s">
        <v>399</v>
      </c>
      <c r="I1437" s="5">
        <v>1.0</v>
      </c>
      <c r="J1437" s="5">
        <v>0.0</v>
      </c>
      <c r="K1437" s="5">
        <v>0.0</v>
      </c>
    </row>
    <row r="1438">
      <c r="A1438" s="4" t="s">
        <v>4753</v>
      </c>
      <c r="B1438" s="11" t="s">
        <v>4754</v>
      </c>
      <c r="C1438" s="4" t="s">
        <v>2317</v>
      </c>
      <c r="D1438" s="12" t="s">
        <v>467</v>
      </c>
      <c r="E1438" s="13" t="s">
        <v>53</v>
      </c>
      <c r="F1438" s="5" t="s">
        <v>469</v>
      </c>
      <c r="G1438" s="5" t="b">
        <v>0</v>
      </c>
      <c r="I1438" s="5">
        <v>1.0</v>
      </c>
      <c r="J1438" s="5">
        <v>0.0</v>
      </c>
      <c r="K1438" s="5">
        <v>0.0</v>
      </c>
    </row>
    <row r="1439">
      <c r="A1439" s="4" t="s">
        <v>4755</v>
      </c>
      <c r="B1439" s="11" t="s">
        <v>4756</v>
      </c>
      <c r="C1439" s="4" t="s">
        <v>2319</v>
      </c>
      <c r="D1439" s="12" t="s">
        <v>29</v>
      </c>
      <c r="E1439" s="13" t="s">
        <v>53</v>
      </c>
      <c r="F1439" s="5" t="s">
        <v>31</v>
      </c>
      <c r="G1439" s="5" t="b">
        <v>0</v>
      </c>
      <c r="H1439" s="5" t="s">
        <v>4757</v>
      </c>
      <c r="I1439" s="5">
        <v>1.0</v>
      </c>
      <c r="J1439" s="5">
        <v>0.0</v>
      </c>
      <c r="K1439" s="5">
        <v>0.0</v>
      </c>
    </row>
    <row r="1440">
      <c r="A1440" s="4" t="s">
        <v>4758</v>
      </c>
      <c r="B1440" s="11" t="s">
        <v>4759</v>
      </c>
      <c r="C1440" s="5" t="s">
        <v>2323</v>
      </c>
      <c r="D1440" s="12" t="s">
        <v>467</v>
      </c>
      <c r="E1440" s="13" t="s">
        <v>53</v>
      </c>
      <c r="F1440" s="5" t="s">
        <v>469</v>
      </c>
      <c r="G1440" s="5" t="b">
        <v>0</v>
      </c>
      <c r="I1440" s="5">
        <v>1.0</v>
      </c>
      <c r="J1440" s="5">
        <v>0.0</v>
      </c>
      <c r="K1440" s="5">
        <v>0.0</v>
      </c>
    </row>
    <row r="1441">
      <c r="A1441" s="4" t="s">
        <v>4760</v>
      </c>
      <c r="B1441" s="11" t="s">
        <v>4761</v>
      </c>
      <c r="C1441" s="4" t="s">
        <v>2324</v>
      </c>
      <c r="D1441" s="12" t="s">
        <v>29</v>
      </c>
      <c r="E1441" s="13" t="s">
        <v>53</v>
      </c>
      <c r="F1441" s="5" t="s">
        <v>31</v>
      </c>
      <c r="G1441" s="5" t="b">
        <v>0</v>
      </c>
      <c r="H1441" s="5" t="s">
        <v>2325</v>
      </c>
      <c r="I1441" s="5">
        <v>1.0</v>
      </c>
      <c r="J1441" s="5">
        <v>0.0</v>
      </c>
      <c r="K1441" s="5">
        <v>0.0</v>
      </c>
    </row>
    <row r="1442">
      <c r="A1442" s="4" t="s">
        <v>4762</v>
      </c>
      <c r="B1442" s="11" t="s">
        <v>4763</v>
      </c>
      <c r="C1442" s="4" t="s">
        <v>985</v>
      </c>
      <c r="D1442" s="12" t="s">
        <v>29</v>
      </c>
      <c r="E1442" s="13" t="s">
        <v>53</v>
      </c>
      <c r="F1442" s="5" t="s">
        <v>31</v>
      </c>
      <c r="G1442" s="5" t="b">
        <v>0</v>
      </c>
      <c r="H1442" s="5" t="s">
        <v>4764</v>
      </c>
      <c r="I1442" s="5">
        <v>1.0</v>
      </c>
      <c r="J1442" s="5">
        <v>0.0</v>
      </c>
      <c r="K1442" s="5">
        <v>0.0</v>
      </c>
    </row>
    <row r="1443">
      <c r="A1443" s="4" t="s">
        <v>4765</v>
      </c>
      <c r="B1443" s="11" t="s">
        <v>4766</v>
      </c>
      <c r="C1443" s="4" t="s">
        <v>2327</v>
      </c>
      <c r="D1443" s="12" t="s">
        <v>29</v>
      </c>
      <c r="E1443" s="13" t="s">
        <v>53</v>
      </c>
      <c r="F1443" s="5" t="s">
        <v>31</v>
      </c>
      <c r="G1443" s="5" t="b">
        <v>0</v>
      </c>
      <c r="H1443" s="5" t="s">
        <v>4767</v>
      </c>
      <c r="I1443" s="5">
        <v>1.0</v>
      </c>
      <c r="J1443" s="5">
        <v>0.0</v>
      </c>
      <c r="K1443" s="5">
        <v>0.0</v>
      </c>
    </row>
    <row r="1444">
      <c r="A1444" s="4" t="s">
        <v>4768</v>
      </c>
      <c r="B1444" s="11" t="s">
        <v>4769</v>
      </c>
      <c r="C1444" s="4" t="s">
        <v>37</v>
      </c>
      <c r="D1444" s="12" t="s">
        <v>467</v>
      </c>
      <c r="E1444" s="13" t="s">
        <v>30</v>
      </c>
      <c r="F1444" s="5" t="s">
        <v>469</v>
      </c>
      <c r="G1444" s="5" t="b">
        <v>0</v>
      </c>
      <c r="H1444" s="5" t="s">
        <v>4770</v>
      </c>
      <c r="I1444" s="5">
        <v>1.0</v>
      </c>
      <c r="J1444" s="5">
        <v>0.0</v>
      </c>
      <c r="K1444" s="5">
        <v>0.0</v>
      </c>
    </row>
    <row r="1445">
      <c r="A1445" s="4" t="s">
        <v>4771</v>
      </c>
      <c r="B1445" s="11" t="s">
        <v>4772</v>
      </c>
      <c r="C1445" s="4" t="s">
        <v>2330</v>
      </c>
      <c r="D1445" s="12" t="s">
        <v>126</v>
      </c>
      <c r="E1445" s="13" t="s">
        <v>84</v>
      </c>
      <c r="F1445" s="5" t="s">
        <v>127</v>
      </c>
      <c r="G1445" s="5" t="b">
        <v>0</v>
      </c>
      <c r="I1445" s="5">
        <v>1.0</v>
      </c>
      <c r="J1445" s="5">
        <v>0.0</v>
      </c>
      <c r="K1445" s="5">
        <v>1.0</v>
      </c>
    </row>
    <row r="1446">
      <c r="A1446" s="4" t="s">
        <v>4773</v>
      </c>
      <c r="B1446" s="11" t="s">
        <v>4774</v>
      </c>
      <c r="C1446" s="4" t="s">
        <v>2332</v>
      </c>
      <c r="D1446" s="12" t="s">
        <v>126</v>
      </c>
      <c r="E1446" s="13" t="s">
        <v>53</v>
      </c>
      <c r="F1446" s="5" t="s">
        <v>127</v>
      </c>
      <c r="G1446" s="5" t="b">
        <v>0</v>
      </c>
      <c r="H1446" s="5" t="s">
        <v>396</v>
      </c>
      <c r="I1446" s="5">
        <v>1.0</v>
      </c>
      <c r="J1446" s="5">
        <v>0.0</v>
      </c>
      <c r="K1446" s="5">
        <v>0.0</v>
      </c>
    </row>
    <row r="1447">
      <c r="A1447" s="4" t="s">
        <v>4775</v>
      </c>
      <c r="B1447" s="11" t="s">
        <v>4776</v>
      </c>
      <c r="C1447" s="4" t="s">
        <v>2334</v>
      </c>
      <c r="D1447" s="12" t="s">
        <v>29</v>
      </c>
      <c r="E1447" s="13" t="s">
        <v>53</v>
      </c>
      <c r="F1447" s="5" t="s">
        <v>31</v>
      </c>
      <c r="G1447" s="5" t="b">
        <v>0</v>
      </c>
      <c r="H1447" s="5" t="s">
        <v>2336</v>
      </c>
      <c r="I1447" s="5">
        <v>1.0</v>
      </c>
      <c r="J1447" s="5">
        <v>0.0</v>
      </c>
      <c r="K1447" s="5">
        <v>1.0</v>
      </c>
    </row>
    <row r="1448">
      <c r="A1448" s="4" t="s">
        <v>4777</v>
      </c>
      <c r="B1448" s="11" t="s">
        <v>4778</v>
      </c>
      <c r="C1448" s="4" t="s">
        <v>25</v>
      </c>
      <c r="D1448" s="12" t="s">
        <v>84</v>
      </c>
      <c r="E1448" s="13" t="s">
        <v>30</v>
      </c>
      <c r="F1448" s="5" t="s">
        <v>85</v>
      </c>
      <c r="G1448" s="5" t="b">
        <v>0</v>
      </c>
      <c r="H1448" s="5" t="s">
        <v>4779</v>
      </c>
      <c r="I1448" s="5">
        <v>1.0</v>
      </c>
      <c r="J1448" s="5">
        <v>0.0</v>
      </c>
      <c r="K1448" s="5">
        <v>2.0</v>
      </c>
    </row>
    <row r="1449">
      <c r="A1449" s="4" t="s">
        <v>4780</v>
      </c>
      <c r="B1449" s="11" t="s">
        <v>4781</v>
      </c>
      <c r="C1449" s="4" t="s">
        <v>2338</v>
      </c>
      <c r="D1449" s="12" t="s">
        <v>29</v>
      </c>
      <c r="E1449" s="13" t="s">
        <v>53</v>
      </c>
      <c r="F1449" s="5" t="s">
        <v>31</v>
      </c>
      <c r="G1449" s="5" t="b">
        <v>0</v>
      </c>
      <c r="I1449" s="5">
        <v>1.0</v>
      </c>
      <c r="J1449" s="5">
        <v>0.0</v>
      </c>
      <c r="K1449" s="5">
        <v>0.0</v>
      </c>
    </row>
    <row r="1450">
      <c r="A1450" s="4" t="s">
        <v>4782</v>
      </c>
      <c r="B1450" s="11" t="s">
        <v>4783</v>
      </c>
      <c r="C1450" s="4" t="s">
        <v>2340</v>
      </c>
      <c r="D1450" s="12" t="s">
        <v>467</v>
      </c>
      <c r="E1450" s="13" t="s">
        <v>53</v>
      </c>
      <c r="F1450" s="5" t="s">
        <v>469</v>
      </c>
      <c r="G1450" s="5" t="b">
        <v>0</v>
      </c>
      <c r="I1450" s="5">
        <v>1.0</v>
      </c>
      <c r="J1450" s="5">
        <v>0.0</v>
      </c>
      <c r="K1450" s="5">
        <v>0.0</v>
      </c>
    </row>
    <row r="1451">
      <c r="A1451" s="4" t="s">
        <v>4784</v>
      </c>
      <c r="B1451" s="13"/>
      <c r="C1451" s="4" t="s">
        <v>2343</v>
      </c>
      <c r="D1451" s="12" t="s">
        <v>467</v>
      </c>
      <c r="E1451" s="13" t="s">
        <v>53</v>
      </c>
      <c r="F1451" s="5" t="s">
        <v>469</v>
      </c>
      <c r="H1451" s="5" t="s">
        <v>233</v>
      </c>
      <c r="I1451" s="5">
        <v>1.0</v>
      </c>
      <c r="J1451" s="5">
        <v>0.0</v>
      </c>
      <c r="K1451" s="5">
        <v>0.0</v>
      </c>
    </row>
    <row r="1452">
      <c r="A1452" s="4" t="s">
        <v>4785</v>
      </c>
      <c r="B1452" s="11" t="s">
        <v>4786</v>
      </c>
      <c r="C1452" s="4" t="s">
        <v>2344</v>
      </c>
      <c r="D1452" s="12" t="s">
        <v>29</v>
      </c>
      <c r="E1452" s="13" t="s">
        <v>53</v>
      </c>
      <c r="F1452" s="5" t="s">
        <v>31</v>
      </c>
      <c r="G1452" s="5" t="b">
        <v>0</v>
      </c>
      <c r="H1452" s="5" t="s">
        <v>4787</v>
      </c>
      <c r="I1452" s="5">
        <v>1.0</v>
      </c>
      <c r="J1452" s="5">
        <v>0.0</v>
      </c>
      <c r="K1452" s="5">
        <v>4.0</v>
      </c>
    </row>
    <row r="1453">
      <c r="A1453" s="4" t="s">
        <v>4788</v>
      </c>
      <c r="B1453" s="11" t="s">
        <v>4789</v>
      </c>
      <c r="C1453" s="4" t="s">
        <v>1445</v>
      </c>
      <c r="D1453" s="12" t="s">
        <v>467</v>
      </c>
      <c r="E1453" s="13" t="s">
        <v>53</v>
      </c>
      <c r="F1453" s="5" t="s">
        <v>469</v>
      </c>
      <c r="G1453" s="5" t="b">
        <v>0</v>
      </c>
      <c r="I1453" s="5">
        <v>1.0</v>
      </c>
      <c r="J1453" s="5">
        <v>0.0</v>
      </c>
      <c r="K1453" s="5">
        <v>3.0</v>
      </c>
    </row>
    <row r="1454">
      <c r="A1454" s="4" t="s">
        <v>4790</v>
      </c>
      <c r="B1454" s="11" t="s">
        <v>4791</v>
      </c>
      <c r="C1454" s="4" t="s">
        <v>133</v>
      </c>
      <c r="D1454" s="12" t="s">
        <v>126</v>
      </c>
      <c r="E1454" s="13" t="s">
        <v>53</v>
      </c>
      <c r="F1454" s="5" t="s">
        <v>127</v>
      </c>
      <c r="G1454" s="5" t="b">
        <v>0</v>
      </c>
      <c r="H1454" s="5" t="s">
        <v>4792</v>
      </c>
      <c r="I1454" s="5">
        <v>1.0</v>
      </c>
      <c r="J1454" s="5">
        <v>0.0</v>
      </c>
      <c r="K1454" s="5">
        <v>0.0</v>
      </c>
    </row>
    <row r="1455">
      <c r="A1455" s="4" t="s">
        <v>4793</v>
      </c>
      <c r="B1455" s="11" t="s">
        <v>459</v>
      </c>
      <c r="C1455" s="4" t="s">
        <v>2347</v>
      </c>
      <c r="D1455" s="12" t="s">
        <v>84</v>
      </c>
      <c r="E1455" s="13" t="s">
        <v>53</v>
      </c>
      <c r="F1455" s="5" t="s">
        <v>85</v>
      </c>
      <c r="G1455" s="5" t="b">
        <v>0</v>
      </c>
      <c r="H1455" s="5" t="s">
        <v>461</v>
      </c>
      <c r="I1455" s="5">
        <v>1.0</v>
      </c>
      <c r="J1455" s="5">
        <v>0.0</v>
      </c>
      <c r="K1455" s="5">
        <v>0.0</v>
      </c>
    </row>
    <row r="1456">
      <c r="A1456" s="4" t="s">
        <v>4794</v>
      </c>
      <c r="B1456" s="11" t="s">
        <v>4795</v>
      </c>
      <c r="C1456" s="4" t="s">
        <v>2349</v>
      </c>
      <c r="D1456" s="12" t="s">
        <v>29</v>
      </c>
      <c r="E1456" s="13" t="s">
        <v>93</v>
      </c>
      <c r="F1456" s="5" t="s">
        <v>31</v>
      </c>
      <c r="G1456" s="5" t="b">
        <v>0</v>
      </c>
      <c r="H1456" s="5" t="s">
        <v>4796</v>
      </c>
      <c r="I1456" s="5">
        <v>1.0</v>
      </c>
      <c r="J1456" s="5">
        <v>0.0</v>
      </c>
      <c r="K1456" s="5">
        <v>0.0</v>
      </c>
    </row>
    <row r="1457">
      <c r="A1457" s="4" t="s">
        <v>4797</v>
      </c>
      <c r="B1457" s="11" t="s">
        <v>4798</v>
      </c>
      <c r="C1457" s="4" t="s">
        <v>2352</v>
      </c>
      <c r="D1457" s="12" t="s">
        <v>29</v>
      </c>
      <c r="E1457" s="13" t="s">
        <v>30</v>
      </c>
      <c r="F1457" s="5" t="s">
        <v>31</v>
      </c>
      <c r="G1457" s="5" t="b">
        <v>0</v>
      </c>
      <c r="H1457" s="5" t="s">
        <v>4799</v>
      </c>
      <c r="I1457" s="5">
        <v>1.0</v>
      </c>
      <c r="J1457" s="5">
        <v>0.0</v>
      </c>
      <c r="K1457" s="5">
        <v>1.0</v>
      </c>
    </row>
    <row r="1458">
      <c r="A1458" s="4" t="s">
        <v>4800</v>
      </c>
      <c r="B1458" s="11" t="s">
        <v>4801</v>
      </c>
      <c r="C1458" s="4" t="s">
        <v>179</v>
      </c>
      <c r="D1458" s="12" t="s">
        <v>29</v>
      </c>
      <c r="E1458" s="13" t="s">
        <v>53</v>
      </c>
      <c r="F1458" s="5" t="s">
        <v>31</v>
      </c>
      <c r="G1458" s="5" t="b">
        <v>0</v>
      </c>
      <c r="H1458" s="5" t="s">
        <v>4802</v>
      </c>
      <c r="I1458" s="5">
        <v>1.0</v>
      </c>
      <c r="J1458" s="5">
        <v>0.0</v>
      </c>
      <c r="K1458" s="5">
        <v>4.0</v>
      </c>
    </row>
    <row r="1459">
      <c r="A1459" s="4" t="s">
        <v>4803</v>
      </c>
      <c r="B1459" s="11" t="s">
        <v>4804</v>
      </c>
      <c r="C1459" s="4" t="s">
        <v>2356</v>
      </c>
      <c r="D1459" s="12" t="s">
        <v>126</v>
      </c>
      <c r="E1459" s="13" t="s">
        <v>53</v>
      </c>
      <c r="F1459" s="5" t="s">
        <v>127</v>
      </c>
      <c r="G1459" s="5" t="b">
        <v>0</v>
      </c>
      <c r="H1459" s="5" t="s">
        <v>2358</v>
      </c>
      <c r="I1459" s="5">
        <v>1.0</v>
      </c>
      <c r="J1459" s="5">
        <v>0.0</v>
      </c>
      <c r="K1459" s="5">
        <v>1.0</v>
      </c>
    </row>
    <row r="1460">
      <c r="A1460" s="4" t="s">
        <v>4805</v>
      </c>
      <c r="B1460" s="11" t="s">
        <v>4806</v>
      </c>
      <c r="C1460" s="4" t="s">
        <v>2360</v>
      </c>
      <c r="D1460" s="12" t="s">
        <v>126</v>
      </c>
      <c r="E1460" s="13" t="s">
        <v>2235</v>
      </c>
      <c r="F1460" s="5" t="s">
        <v>127</v>
      </c>
      <c r="G1460" s="5" t="b">
        <v>0</v>
      </c>
      <c r="I1460" s="5">
        <v>1.0</v>
      </c>
      <c r="J1460" s="5">
        <v>0.0</v>
      </c>
      <c r="K1460" s="5">
        <v>2.0</v>
      </c>
    </row>
    <row r="1461">
      <c r="A1461" s="4" t="s">
        <v>4807</v>
      </c>
      <c r="B1461" s="11" t="s">
        <v>4808</v>
      </c>
      <c r="C1461" s="4" t="s">
        <v>116</v>
      </c>
      <c r="D1461" s="12" t="s">
        <v>261</v>
      </c>
      <c r="E1461" s="13" t="s">
        <v>30</v>
      </c>
      <c r="F1461" s="5" t="s">
        <v>263</v>
      </c>
      <c r="G1461" s="5" t="b">
        <v>0</v>
      </c>
      <c r="H1461" s="5" t="s">
        <v>4809</v>
      </c>
      <c r="I1461" s="5">
        <v>1.0</v>
      </c>
      <c r="J1461" s="5">
        <v>0.0</v>
      </c>
      <c r="K1461" s="5">
        <v>0.0</v>
      </c>
    </row>
    <row r="1462">
      <c r="A1462" s="4" t="s">
        <v>4810</v>
      </c>
      <c r="B1462" s="11" t="s">
        <v>4811</v>
      </c>
      <c r="C1462" s="4" t="s">
        <v>2363</v>
      </c>
      <c r="D1462" s="12" t="s">
        <v>29</v>
      </c>
      <c r="E1462" s="13" t="s">
        <v>53</v>
      </c>
      <c r="F1462" s="5" t="s">
        <v>31</v>
      </c>
      <c r="G1462" s="5" t="b">
        <v>0</v>
      </c>
      <c r="H1462" s="5" t="s">
        <v>4812</v>
      </c>
      <c r="I1462" s="5">
        <v>1.0</v>
      </c>
      <c r="J1462" s="5">
        <v>0.0</v>
      </c>
      <c r="K1462" s="5">
        <v>2.0</v>
      </c>
    </row>
    <row r="1463">
      <c r="A1463" s="4" t="s">
        <v>4813</v>
      </c>
      <c r="B1463" s="11" t="s">
        <v>4814</v>
      </c>
      <c r="C1463" s="4" t="s">
        <v>2365</v>
      </c>
      <c r="D1463" s="12" t="s">
        <v>29</v>
      </c>
      <c r="E1463" s="13" t="s">
        <v>93</v>
      </c>
      <c r="F1463" s="5" t="s">
        <v>31</v>
      </c>
      <c r="G1463" s="5" t="b">
        <v>0</v>
      </c>
      <c r="H1463" s="5" t="s">
        <v>4815</v>
      </c>
      <c r="I1463" s="5">
        <v>1.0</v>
      </c>
      <c r="J1463" s="5">
        <v>0.0</v>
      </c>
      <c r="K1463" s="5">
        <v>3.0</v>
      </c>
    </row>
    <row r="1464">
      <c r="A1464" s="4" t="s">
        <v>4816</v>
      </c>
      <c r="B1464" s="11" t="s">
        <v>1642</v>
      </c>
      <c r="C1464" s="4" t="s">
        <v>602</v>
      </c>
      <c r="D1464" s="12" t="s">
        <v>297</v>
      </c>
      <c r="E1464" s="13" t="s">
        <v>678</v>
      </c>
      <c r="F1464" s="5" t="s">
        <v>298</v>
      </c>
      <c r="G1464" s="5" t="b">
        <v>0</v>
      </c>
      <c r="I1464" s="5">
        <v>1.0</v>
      </c>
      <c r="J1464" s="5">
        <v>0.0</v>
      </c>
      <c r="K1464" s="5">
        <v>2.0</v>
      </c>
    </row>
    <row r="1465">
      <c r="A1465" s="4" t="s">
        <v>4817</v>
      </c>
      <c r="B1465" s="11" t="s">
        <v>4818</v>
      </c>
      <c r="C1465" s="4" t="s">
        <v>2367</v>
      </c>
      <c r="D1465" s="12" t="s">
        <v>467</v>
      </c>
      <c r="E1465" s="13" t="s">
        <v>53</v>
      </c>
      <c r="F1465" s="5" t="s">
        <v>469</v>
      </c>
      <c r="G1465" s="5" t="b">
        <v>0</v>
      </c>
      <c r="I1465" s="5">
        <v>1.0</v>
      </c>
      <c r="J1465" s="5">
        <v>0.0</v>
      </c>
      <c r="K1465" s="5">
        <v>1.0</v>
      </c>
    </row>
    <row r="1466">
      <c r="A1466" s="4" t="s">
        <v>4819</v>
      </c>
      <c r="B1466" s="11" t="s">
        <v>4820</v>
      </c>
      <c r="C1466" s="4" t="s">
        <v>2369</v>
      </c>
      <c r="D1466" s="12" t="s">
        <v>467</v>
      </c>
      <c r="E1466" s="13" t="s">
        <v>53</v>
      </c>
      <c r="F1466" s="5" t="s">
        <v>469</v>
      </c>
      <c r="G1466" s="5" t="b">
        <v>0</v>
      </c>
      <c r="H1466" s="5" t="s">
        <v>342</v>
      </c>
      <c r="I1466" s="5">
        <v>1.0</v>
      </c>
      <c r="J1466" s="5">
        <v>0.0</v>
      </c>
      <c r="K1466" s="5">
        <v>0.0</v>
      </c>
    </row>
    <row r="1467">
      <c r="A1467" s="4" t="s">
        <v>4821</v>
      </c>
      <c r="B1467" s="11" t="s">
        <v>4822</v>
      </c>
      <c r="C1467" s="4" t="s">
        <v>1429</v>
      </c>
      <c r="D1467" s="12" t="s">
        <v>29</v>
      </c>
      <c r="E1467" s="13" t="s">
        <v>93</v>
      </c>
      <c r="F1467" s="5" t="s">
        <v>31</v>
      </c>
      <c r="G1467" s="5" t="b">
        <v>0</v>
      </c>
      <c r="H1467" s="5" t="s">
        <v>4823</v>
      </c>
      <c r="I1467" s="5">
        <v>1.0</v>
      </c>
      <c r="J1467" s="5">
        <v>0.0</v>
      </c>
      <c r="K1467" s="5">
        <v>0.0</v>
      </c>
    </row>
    <row r="1468">
      <c r="A1468" s="4" t="s">
        <v>4824</v>
      </c>
      <c r="B1468" s="11" t="s">
        <v>4825</v>
      </c>
      <c r="C1468" s="4" t="s">
        <v>1429</v>
      </c>
      <c r="D1468" s="12" t="s">
        <v>29</v>
      </c>
      <c r="E1468" s="13" t="s">
        <v>93</v>
      </c>
      <c r="F1468" s="5" t="s">
        <v>31</v>
      </c>
      <c r="G1468" s="5" t="b">
        <v>0</v>
      </c>
      <c r="H1468" s="5" t="s">
        <v>4826</v>
      </c>
      <c r="I1468" s="5">
        <v>1.0</v>
      </c>
      <c r="J1468" s="5">
        <v>0.0</v>
      </c>
      <c r="K1468" s="5">
        <v>2.0</v>
      </c>
    </row>
    <row r="1469">
      <c r="A1469" s="4" t="s">
        <v>4827</v>
      </c>
      <c r="B1469" s="11" t="s">
        <v>4828</v>
      </c>
      <c r="C1469" s="4" t="s">
        <v>1441</v>
      </c>
      <c r="D1469" s="12" t="s">
        <v>297</v>
      </c>
      <c r="E1469" s="13" t="s">
        <v>30</v>
      </c>
      <c r="F1469" s="5" t="s">
        <v>298</v>
      </c>
      <c r="G1469" s="5" t="b">
        <v>0</v>
      </c>
      <c r="H1469" s="5" t="s">
        <v>4829</v>
      </c>
      <c r="I1469" s="5">
        <v>1.0</v>
      </c>
      <c r="J1469" s="5">
        <v>0.0</v>
      </c>
      <c r="K1469" s="5">
        <v>0.0</v>
      </c>
    </row>
    <row r="1470">
      <c r="A1470" s="4" t="s">
        <v>4830</v>
      </c>
      <c r="B1470" s="11" t="s">
        <v>4831</v>
      </c>
      <c r="C1470" s="4" t="s">
        <v>1441</v>
      </c>
      <c r="D1470" s="12" t="s">
        <v>261</v>
      </c>
      <c r="E1470" s="13" t="s">
        <v>30</v>
      </c>
      <c r="F1470" s="5" t="s">
        <v>263</v>
      </c>
      <c r="G1470" s="5" t="b">
        <v>0</v>
      </c>
      <c r="H1470" s="5" t="s">
        <v>4829</v>
      </c>
      <c r="I1470" s="5">
        <v>1.0</v>
      </c>
      <c r="J1470" s="5">
        <v>0.0</v>
      </c>
      <c r="K1470" s="5">
        <v>2.0</v>
      </c>
    </row>
    <row r="1471">
      <c r="A1471" s="4" t="s">
        <v>4832</v>
      </c>
      <c r="B1471" s="11" t="s">
        <v>4833</v>
      </c>
      <c r="C1471" s="4" t="s">
        <v>1441</v>
      </c>
      <c r="D1471" s="12" t="s">
        <v>261</v>
      </c>
      <c r="E1471" s="13" t="s">
        <v>30</v>
      </c>
      <c r="F1471" s="5" t="s">
        <v>263</v>
      </c>
      <c r="G1471" s="5" t="b">
        <v>0</v>
      </c>
      <c r="H1471" s="5" t="s">
        <v>4834</v>
      </c>
      <c r="I1471" s="5">
        <v>1.0</v>
      </c>
      <c r="J1471" s="5">
        <v>0.0</v>
      </c>
      <c r="K1471" s="5">
        <v>0.0</v>
      </c>
    </row>
    <row r="1472">
      <c r="A1472" s="4" t="s">
        <v>4835</v>
      </c>
      <c r="B1472" s="11" t="s">
        <v>4836</v>
      </c>
      <c r="C1472" s="4" t="s">
        <v>1441</v>
      </c>
      <c r="D1472" s="12" t="s">
        <v>297</v>
      </c>
      <c r="E1472" s="13" t="s">
        <v>30</v>
      </c>
      <c r="F1472" s="5" t="s">
        <v>298</v>
      </c>
      <c r="G1472" s="5" t="b">
        <v>0</v>
      </c>
      <c r="H1472" s="5" t="s">
        <v>4829</v>
      </c>
      <c r="I1472" s="5">
        <v>1.0</v>
      </c>
      <c r="J1472" s="5">
        <v>0.0</v>
      </c>
      <c r="K1472" s="5">
        <v>0.0</v>
      </c>
    </row>
    <row r="1473">
      <c r="A1473" s="4" t="s">
        <v>4837</v>
      </c>
      <c r="B1473" s="11" t="s">
        <v>4838</v>
      </c>
      <c r="C1473" s="4" t="s">
        <v>2371</v>
      </c>
      <c r="D1473" s="12" t="s">
        <v>126</v>
      </c>
      <c r="E1473" s="13" t="s">
        <v>53</v>
      </c>
      <c r="F1473" s="5" t="s">
        <v>127</v>
      </c>
      <c r="G1473" s="5" t="b">
        <v>0</v>
      </c>
      <c r="I1473" s="5">
        <v>1.0</v>
      </c>
      <c r="J1473" s="5">
        <v>0.0</v>
      </c>
      <c r="K1473" s="5">
        <v>0.0</v>
      </c>
    </row>
    <row r="1474">
      <c r="A1474" s="4" t="s">
        <v>4839</v>
      </c>
      <c r="B1474" s="11" t="s">
        <v>4840</v>
      </c>
      <c r="C1474" s="4" t="s">
        <v>1578</v>
      </c>
      <c r="D1474" s="12" t="s">
        <v>29</v>
      </c>
      <c r="E1474" s="13" t="s">
        <v>2235</v>
      </c>
      <c r="F1474" s="5" t="s">
        <v>31</v>
      </c>
      <c r="G1474" s="5" t="b">
        <v>0</v>
      </c>
      <c r="I1474" s="5">
        <v>1.0</v>
      </c>
      <c r="J1474" s="5">
        <v>0.0</v>
      </c>
      <c r="K1474" s="5">
        <v>1.0</v>
      </c>
    </row>
    <row r="1475">
      <c r="A1475" s="4" t="s">
        <v>4841</v>
      </c>
      <c r="B1475" s="11" t="s">
        <v>4842</v>
      </c>
      <c r="C1475" s="4" t="s">
        <v>2373</v>
      </c>
      <c r="D1475" s="12" t="s">
        <v>261</v>
      </c>
      <c r="E1475" s="13" t="s">
        <v>53</v>
      </c>
      <c r="F1475" s="5" t="s">
        <v>263</v>
      </c>
      <c r="G1475" s="5" t="b">
        <v>0</v>
      </c>
      <c r="I1475" s="5">
        <v>1.0</v>
      </c>
      <c r="J1475" s="5">
        <v>0.0</v>
      </c>
      <c r="K1475" s="5">
        <v>1.0</v>
      </c>
    </row>
    <row r="1476">
      <c r="A1476" s="4" t="s">
        <v>4843</v>
      </c>
      <c r="B1476" s="11" t="s">
        <v>4844</v>
      </c>
      <c r="C1476" s="4" t="s">
        <v>2376</v>
      </c>
      <c r="D1476" s="12" t="s">
        <v>29</v>
      </c>
      <c r="E1476" s="13" t="s">
        <v>678</v>
      </c>
      <c r="F1476" s="5" t="s">
        <v>31</v>
      </c>
      <c r="G1476" s="5" t="b">
        <v>0</v>
      </c>
      <c r="H1476" s="5" t="s">
        <v>4845</v>
      </c>
      <c r="I1476" s="5">
        <v>1.0</v>
      </c>
      <c r="J1476" s="5">
        <v>0.0</v>
      </c>
      <c r="K1476" s="5">
        <v>1.0</v>
      </c>
    </row>
    <row r="1477">
      <c r="A1477" s="4" t="s">
        <v>4846</v>
      </c>
      <c r="B1477" s="11" t="s">
        <v>4847</v>
      </c>
      <c r="C1477" s="4" t="s">
        <v>476</v>
      </c>
      <c r="D1477" s="12" t="s">
        <v>261</v>
      </c>
      <c r="E1477" s="13" t="s">
        <v>81</v>
      </c>
      <c r="F1477" s="5" t="s">
        <v>263</v>
      </c>
      <c r="G1477" s="5" t="b">
        <v>0</v>
      </c>
      <c r="H1477" s="5" t="s">
        <v>4848</v>
      </c>
      <c r="I1477" s="5">
        <v>1.0</v>
      </c>
      <c r="J1477" s="5">
        <v>0.0</v>
      </c>
      <c r="K1477" s="5">
        <v>2.0</v>
      </c>
    </row>
    <row r="1478">
      <c r="A1478" s="4" t="s">
        <v>4849</v>
      </c>
      <c r="B1478" s="11" t="s">
        <v>4850</v>
      </c>
      <c r="C1478" s="4" t="s">
        <v>476</v>
      </c>
      <c r="D1478" s="12" t="s">
        <v>261</v>
      </c>
      <c r="E1478" s="13" t="s">
        <v>81</v>
      </c>
      <c r="F1478" s="5" t="s">
        <v>263</v>
      </c>
      <c r="G1478" s="5" t="b">
        <v>0</v>
      </c>
      <c r="H1478" s="5" t="s">
        <v>4851</v>
      </c>
      <c r="I1478" s="5">
        <v>1.0</v>
      </c>
      <c r="J1478" s="5">
        <v>0.0</v>
      </c>
      <c r="K1478" s="5">
        <v>0.0</v>
      </c>
    </row>
    <row r="1479">
      <c r="A1479" s="4" t="s">
        <v>4852</v>
      </c>
      <c r="B1479" s="11" t="s">
        <v>4853</v>
      </c>
      <c r="C1479" s="4" t="s">
        <v>476</v>
      </c>
      <c r="D1479" s="12" t="s">
        <v>29</v>
      </c>
      <c r="E1479" s="13" t="s">
        <v>81</v>
      </c>
      <c r="F1479" s="5" t="s">
        <v>31</v>
      </c>
      <c r="G1479" s="5" t="b">
        <v>0</v>
      </c>
      <c r="H1479" s="5" t="s">
        <v>4854</v>
      </c>
      <c r="I1479" s="5">
        <v>1.0</v>
      </c>
      <c r="J1479" s="5">
        <v>0.0</v>
      </c>
      <c r="K1479" s="5">
        <v>1.0</v>
      </c>
    </row>
    <row r="1480">
      <c r="A1480" s="4" t="s">
        <v>4855</v>
      </c>
      <c r="B1480" s="11" t="s">
        <v>4856</v>
      </c>
      <c r="C1480" s="4" t="s">
        <v>476</v>
      </c>
      <c r="D1480" s="12" t="s">
        <v>84</v>
      </c>
      <c r="E1480" s="13" t="s">
        <v>81</v>
      </c>
      <c r="F1480" s="5" t="s">
        <v>85</v>
      </c>
      <c r="G1480" s="5" t="b">
        <v>0</v>
      </c>
      <c r="H1480" s="5" t="s">
        <v>3958</v>
      </c>
      <c r="I1480" s="5">
        <v>1.0</v>
      </c>
      <c r="J1480" s="5">
        <v>0.0</v>
      </c>
      <c r="K1480" s="5">
        <v>1.0</v>
      </c>
    </row>
    <row r="1481">
      <c r="A1481" s="4" t="s">
        <v>4857</v>
      </c>
      <c r="B1481" s="11" t="s">
        <v>4858</v>
      </c>
      <c r="C1481" s="4" t="s">
        <v>476</v>
      </c>
      <c r="D1481" s="12" t="s">
        <v>670</v>
      </c>
      <c r="E1481" s="13" t="s">
        <v>81</v>
      </c>
      <c r="F1481" s="5" t="s">
        <v>671</v>
      </c>
      <c r="G1481" s="5" t="b">
        <v>0</v>
      </c>
      <c r="H1481" s="5" t="s">
        <v>1017</v>
      </c>
      <c r="I1481" s="5">
        <v>1.0</v>
      </c>
      <c r="J1481" s="5">
        <v>0.0</v>
      </c>
      <c r="K1481" s="5">
        <v>1.0</v>
      </c>
    </row>
    <row r="1482">
      <c r="A1482" s="4" t="s">
        <v>4859</v>
      </c>
      <c r="B1482" s="11" t="s">
        <v>4860</v>
      </c>
      <c r="C1482" s="4" t="s">
        <v>476</v>
      </c>
      <c r="D1482" s="12" t="s">
        <v>261</v>
      </c>
      <c r="E1482" s="13" t="s">
        <v>81</v>
      </c>
      <c r="F1482" s="5" t="s">
        <v>263</v>
      </c>
      <c r="G1482" s="5" t="b">
        <v>0</v>
      </c>
      <c r="H1482" s="5" t="s">
        <v>4861</v>
      </c>
      <c r="I1482" s="5">
        <v>1.0</v>
      </c>
      <c r="J1482" s="5">
        <v>0.0</v>
      </c>
      <c r="K1482" s="5">
        <v>0.0</v>
      </c>
    </row>
    <row r="1483">
      <c r="A1483" s="4" t="s">
        <v>4862</v>
      </c>
      <c r="B1483" s="11" t="s">
        <v>4863</v>
      </c>
      <c r="C1483" s="4" t="s">
        <v>476</v>
      </c>
      <c r="D1483" s="12" t="s">
        <v>84</v>
      </c>
      <c r="E1483" s="13" t="s">
        <v>81</v>
      </c>
      <c r="F1483" s="5" t="s">
        <v>85</v>
      </c>
      <c r="G1483" s="5" t="b">
        <v>0</v>
      </c>
      <c r="I1483" s="5">
        <v>1.0</v>
      </c>
      <c r="J1483" s="5">
        <v>0.0</v>
      </c>
      <c r="K1483" s="5">
        <v>1.0</v>
      </c>
    </row>
    <row r="1484">
      <c r="A1484" s="4" t="s">
        <v>4864</v>
      </c>
      <c r="B1484" s="11" t="s">
        <v>4865</v>
      </c>
      <c r="C1484" s="4" t="s">
        <v>476</v>
      </c>
      <c r="D1484" s="12" t="s">
        <v>29</v>
      </c>
      <c r="E1484" s="13" t="s">
        <v>81</v>
      </c>
      <c r="F1484" s="5" t="s">
        <v>31</v>
      </c>
      <c r="G1484" s="5" t="b">
        <v>0</v>
      </c>
      <c r="H1484" s="5" t="s">
        <v>4866</v>
      </c>
      <c r="I1484" s="5">
        <v>1.0</v>
      </c>
      <c r="J1484" s="5">
        <v>0.0</v>
      </c>
      <c r="K1484" s="5">
        <v>1.0</v>
      </c>
    </row>
    <row r="1485">
      <c r="A1485" s="4" t="s">
        <v>4867</v>
      </c>
      <c r="B1485" s="11" t="s">
        <v>4868</v>
      </c>
      <c r="C1485" s="4" t="s">
        <v>2380</v>
      </c>
      <c r="D1485" s="12" t="s">
        <v>467</v>
      </c>
      <c r="E1485" s="13" t="s">
        <v>53</v>
      </c>
      <c r="F1485" s="5" t="s">
        <v>469</v>
      </c>
      <c r="G1485" s="5" t="b">
        <v>0</v>
      </c>
      <c r="I1485" s="5">
        <v>1.0</v>
      </c>
      <c r="J1485" s="5">
        <v>0.0</v>
      </c>
      <c r="K1485" s="5">
        <v>0.0</v>
      </c>
    </row>
    <row r="1486">
      <c r="A1486" s="4" t="s">
        <v>4869</v>
      </c>
      <c r="B1486" s="11" t="s">
        <v>4870</v>
      </c>
      <c r="C1486" s="4" t="s">
        <v>2382</v>
      </c>
      <c r="D1486" s="12" t="s">
        <v>261</v>
      </c>
      <c r="E1486" s="13" t="s">
        <v>53</v>
      </c>
      <c r="F1486" s="5" t="s">
        <v>263</v>
      </c>
      <c r="G1486" s="5" t="b">
        <v>0</v>
      </c>
      <c r="H1486" s="5" t="s">
        <v>4871</v>
      </c>
      <c r="I1486" s="5">
        <v>1.0</v>
      </c>
      <c r="J1486" s="5">
        <v>0.0</v>
      </c>
      <c r="K1486" s="5">
        <v>2.0</v>
      </c>
    </row>
    <row r="1487">
      <c r="A1487" s="4" t="s">
        <v>4872</v>
      </c>
      <c r="B1487" s="11" t="s">
        <v>4873</v>
      </c>
      <c r="C1487" s="4" t="s">
        <v>550</v>
      </c>
      <c r="D1487" s="12" t="s">
        <v>29</v>
      </c>
      <c r="E1487" s="13" t="s">
        <v>93</v>
      </c>
      <c r="F1487" s="5" t="s">
        <v>31</v>
      </c>
      <c r="G1487" s="5" t="b">
        <v>0</v>
      </c>
      <c r="H1487" s="5" t="s">
        <v>4874</v>
      </c>
      <c r="I1487" s="5">
        <v>1.0</v>
      </c>
      <c r="J1487" s="5">
        <v>0.0</v>
      </c>
      <c r="K1487" s="5">
        <v>0.0</v>
      </c>
    </row>
    <row r="1488">
      <c r="A1488" s="4" t="s">
        <v>4875</v>
      </c>
      <c r="B1488" s="11" t="s">
        <v>4876</v>
      </c>
      <c r="C1488" s="4" t="s">
        <v>550</v>
      </c>
      <c r="D1488" s="12" t="s">
        <v>29</v>
      </c>
      <c r="E1488" s="13" t="s">
        <v>93</v>
      </c>
      <c r="F1488" s="5" t="s">
        <v>31</v>
      </c>
      <c r="G1488" s="5" t="b">
        <v>0</v>
      </c>
      <c r="H1488" s="5" t="s">
        <v>4877</v>
      </c>
      <c r="I1488" s="5">
        <v>1.0</v>
      </c>
      <c r="J1488" s="5">
        <v>0.0</v>
      </c>
      <c r="K1488" s="5">
        <v>0.0</v>
      </c>
    </row>
    <row r="1489">
      <c r="A1489" s="4" t="s">
        <v>4878</v>
      </c>
      <c r="B1489" s="11" t="s">
        <v>4879</v>
      </c>
      <c r="C1489" s="4" t="s">
        <v>550</v>
      </c>
      <c r="D1489" s="12" t="s">
        <v>29</v>
      </c>
      <c r="E1489" s="13" t="s">
        <v>93</v>
      </c>
      <c r="F1489" s="5" t="s">
        <v>31</v>
      </c>
      <c r="G1489" s="5" t="b">
        <v>0</v>
      </c>
      <c r="H1489" s="5" t="s">
        <v>4880</v>
      </c>
      <c r="I1489" s="5">
        <v>1.0</v>
      </c>
      <c r="J1489" s="5">
        <v>0.0</v>
      </c>
      <c r="K1489" s="5">
        <v>4.0</v>
      </c>
    </row>
    <row r="1490">
      <c r="A1490" s="4" t="s">
        <v>4881</v>
      </c>
      <c r="B1490" s="11" t="s">
        <v>4882</v>
      </c>
      <c r="C1490" s="4" t="s">
        <v>2388</v>
      </c>
      <c r="D1490" s="12" t="s">
        <v>52</v>
      </c>
      <c r="E1490" s="13" t="s">
        <v>53</v>
      </c>
      <c r="F1490" s="5" t="s">
        <v>54</v>
      </c>
      <c r="G1490" s="5" t="b">
        <v>0</v>
      </c>
      <c r="H1490" s="5" t="s">
        <v>2390</v>
      </c>
      <c r="I1490" s="5">
        <v>1.0</v>
      </c>
      <c r="J1490" s="5">
        <v>0.0</v>
      </c>
      <c r="K1490" s="5">
        <v>0.0</v>
      </c>
    </row>
    <row r="1491">
      <c r="B1491" s="13"/>
      <c r="D1491" s="12"/>
      <c r="E1491" s="13"/>
    </row>
    <row r="1492">
      <c r="B1492" s="13"/>
      <c r="D1492" s="12"/>
      <c r="E1492" s="13"/>
    </row>
    <row r="1493">
      <c r="B1493" s="13"/>
      <c r="D1493" s="12"/>
      <c r="E1493" s="13"/>
    </row>
    <row r="1494">
      <c r="B1494" s="13"/>
      <c r="D1494" s="12"/>
      <c r="E1494" s="13"/>
    </row>
    <row r="1495">
      <c r="B1495" s="13"/>
      <c r="D1495" s="12"/>
      <c r="E1495" s="13"/>
    </row>
    <row r="1496">
      <c r="B1496" s="13"/>
      <c r="D1496" s="12"/>
      <c r="E1496" s="13"/>
    </row>
    <row r="1497">
      <c r="B1497" s="13"/>
      <c r="D1497" s="12"/>
      <c r="E1497" s="13"/>
    </row>
    <row r="1498">
      <c r="B1498" s="13"/>
      <c r="D1498" s="12"/>
      <c r="E1498" s="13"/>
    </row>
    <row r="1499">
      <c r="B1499" s="13"/>
      <c r="D1499" s="12"/>
      <c r="E1499" s="13"/>
    </row>
    <row r="1500">
      <c r="B1500" s="13"/>
      <c r="D1500" s="12"/>
      <c r="E1500" s="13"/>
    </row>
    <row r="1501">
      <c r="B1501" s="13"/>
      <c r="D1501" s="12"/>
      <c r="E1501" s="13"/>
    </row>
    <row r="1502">
      <c r="B1502" s="13"/>
      <c r="D1502" s="12"/>
      <c r="E1502" s="13"/>
    </row>
    <row r="1503">
      <c r="B1503" s="13"/>
      <c r="D1503" s="12"/>
      <c r="E1503" s="13"/>
    </row>
    <row r="1504">
      <c r="B1504" s="13"/>
      <c r="D1504" s="12"/>
      <c r="E1504" s="13"/>
    </row>
    <row r="1505">
      <c r="B1505" s="13"/>
      <c r="D1505" s="12"/>
      <c r="E1505" s="13"/>
    </row>
    <row r="1506">
      <c r="B1506" s="13"/>
      <c r="D1506" s="12"/>
      <c r="E1506" s="13"/>
    </row>
    <row r="1507">
      <c r="B1507" s="13"/>
      <c r="D1507" s="12"/>
      <c r="E1507" s="13"/>
    </row>
    <row r="1508">
      <c r="B1508" s="13"/>
      <c r="D1508" s="12"/>
      <c r="E1508" s="13"/>
    </row>
    <row r="1509">
      <c r="B1509" s="13"/>
      <c r="D1509" s="12"/>
      <c r="E1509" s="13"/>
    </row>
    <row r="1510">
      <c r="B1510" s="13"/>
      <c r="D1510" s="12"/>
      <c r="E1510" s="13"/>
    </row>
    <row r="1511">
      <c r="B1511" s="13"/>
      <c r="D1511" s="12"/>
      <c r="E1511" s="13"/>
    </row>
    <row r="1512">
      <c r="B1512" s="13"/>
      <c r="D1512" s="12"/>
      <c r="E1512" s="13"/>
    </row>
    <row r="1513">
      <c r="B1513" s="13"/>
      <c r="D1513" s="12"/>
      <c r="E1513" s="13"/>
    </row>
    <row r="1514">
      <c r="B1514" s="13"/>
      <c r="D1514" s="12"/>
      <c r="E1514" s="13"/>
    </row>
    <row r="1515">
      <c r="B1515" s="13"/>
      <c r="D1515" s="12"/>
      <c r="E1515" s="13"/>
    </row>
    <row r="1516">
      <c r="B1516" s="13"/>
      <c r="D1516" s="12"/>
      <c r="E1516" s="13"/>
    </row>
    <row r="1517">
      <c r="B1517" s="13"/>
      <c r="D1517" s="12"/>
      <c r="E1517" s="13"/>
    </row>
    <row r="1518">
      <c r="B1518" s="13"/>
      <c r="D1518" s="12"/>
      <c r="E1518" s="13"/>
    </row>
    <row r="1519">
      <c r="B1519" s="13"/>
      <c r="D1519" s="12"/>
      <c r="E1519" s="13"/>
    </row>
    <row r="1520">
      <c r="B1520" s="13"/>
      <c r="D1520" s="12"/>
      <c r="E1520" s="13"/>
    </row>
    <row r="1521">
      <c r="B1521" s="13"/>
      <c r="D1521" s="12"/>
      <c r="E1521" s="13"/>
    </row>
    <row r="1522">
      <c r="B1522" s="13"/>
      <c r="D1522" s="12"/>
      <c r="E1522" s="13"/>
    </row>
    <row r="1523">
      <c r="B1523" s="13"/>
      <c r="D1523" s="12"/>
      <c r="E1523" s="13"/>
    </row>
    <row r="1524">
      <c r="B1524" s="13"/>
      <c r="D1524" s="12"/>
      <c r="E1524" s="13"/>
    </row>
    <row r="1525">
      <c r="B1525" s="13"/>
      <c r="D1525" s="12"/>
      <c r="E1525" s="13"/>
    </row>
    <row r="1526">
      <c r="B1526" s="13"/>
      <c r="D1526" s="12"/>
      <c r="E1526" s="13"/>
    </row>
    <row r="1527">
      <c r="B1527" s="13"/>
      <c r="D1527" s="12"/>
      <c r="E1527" s="13"/>
    </row>
    <row r="1528">
      <c r="B1528" s="13"/>
      <c r="D1528" s="12"/>
      <c r="E1528" s="13"/>
    </row>
    <row r="1529">
      <c r="B1529" s="13"/>
      <c r="D1529" s="12"/>
      <c r="E1529" s="13"/>
    </row>
    <row r="1530">
      <c r="B1530" s="13"/>
      <c r="D1530" s="12"/>
      <c r="E1530" s="13"/>
    </row>
    <row r="1531">
      <c r="B1531" s="13"/>
      <c r="D1531" s="12"/>
      <c r="E1531" s="13"/>
    </row>
    <row r="1532">
      <c r="B1532" s="13"/>
      <c r="D1532" s="12"/>
      <c r="E1532" s="13"/>
    </row>
    <row r="1533">
      <c r="B1533" s="13"/>
      <c r="D1533" s="12"/>
      <c r="E1533" s="13"/>
    </row>
    <row r="1534">
      <c r="B1534" s="13"/>
      <c r="D1534" s="12"/>
      <c r="E1534" s="13"/>
    </row>
    <row r="1535">
      <c r="B1535" s="13"/>
      <c r="D1535" s="12"/>
      <c r="E1535" s="13"/>
    </row>
    <row r="1536">
      <c r="B1536" s="13"/>
      <c r="D1536" s="12"/>
      <c r="E1536" s="13"/>
    </row>
    <row r="1537">
      <c r="B1537" s="13"/>
      <c r="D1537" s="12"/>
      <c r="E1537" s="13"/>
    </row>
    <row r="1538">
      <c r="B1538" s="13"/>
      <c r="D1538" s="12"/>
      <c r="E1538" s="13"/>
    </row>
    <row r="1539">
      <c r="B1539" s="13"/>
      <c r="D1539" s="12"/>
      <c r="E1539" s="13"/>
    </row>
    <row r="1540">
      <c r="B1540" s="13"/>
      <c r="D1540" s="12"/>
      <c r="E1540" s="13"/>
    </row>
    <row r="1541">
      <c r="B1541" s="13"/>
      <c r="D1541" s="12"/>
      <c r="E1541" s="13"/>
    </row>
    <row r="1542">
      <c r="B1542" s="13"/>
      <c r="D1542" s="12"/>
      <c r="E1542" s="13"/>
    </row>
    <row r="1543">
      <c r="B1543" s="13"/>
      <c r="D1543" s="12"/>
      <c r="E1543" s="13"/>
    </row>
    <row r="1544">
      <c r="B1544" s="13"/>
      <c r="D1544" s="12"/>
      <c r="E1544" s="13"/>
    </row>
    <row r="1545">
      <c r="B1545" s="13"/>
      <c r="D1545" s="12"/>
      <c r="E1545" s="13"/>
    </row>
    <row r="1546">
      <c r="B1546" s="13"/>
      <c r="D1546" s="12"/>
      <c r="E1546" s="13"/>
    </row>
    <row r="1547">
      <c r="B1547" s="13"/>
      <c r="D1547" s="12"/>
      <c r="E1547" s="13"/>
    </row>
    <row r="1548">
      <c r="B1548" s="13"/>
      <c r="D1548" s="12"/>
      <c r="E1548" s="13"/>
    </row>
    <row r="1549">
      <c r="B1549" s="13"/>
      <c r="D1549" s="12"/>
      <c r="E1549" s="13"/>
    </row>
    <row r="1550">
      <c r="B1550" s="13"/>
      <c r="D1550" s="12"/>
      <c r="E1550" s="13"/>
    </row>
    <row r="1551">
      <c r="B1551" s="13"/>
      <c r="D1551" s="12"/>
      <c r="E1551" s="13"/>
    </row>
    <row r="1552">
      <c r="B1552" s="13"/>
      <c r="D1552" s="12"/>
      <c r="E1552" s="13"/>
    </row>
    <row r="1553">
      <c r="B1553" s="13"/>
      <c r="D1553" s="12"/>
      <c r="E1553" s="13"/>
    </row>
    <row r="1554">
      <c r="B1554" s="13"/>
      <c r="D1554" s="12"/>
      <c r="E1554" s="13"/>
    </row>
    <row r="1555">
      <c r="B1555" s="13"/>
      <c r="D1555" s="12"/>
      <c r="E1555" s="13"/>
    </row>
    <row r="1556">
      <c r="B1556" s="13"/>
      <c r="D1556" s="12"/>
      <c r="E1556" s="13"/>
    </row>
    <row r="1557">
      <c r="B1557" s="13"/>
      <c r="D1557" s="12"/>
      <c r="E1557" s="13"/>
    </row>
    <row r="1558">
      <c r="B1558" s="13"/>
      <c r="D1558" s="12"/>
      <c r="E1558" s="13"/>
    </row>
    <row r="1559">
      <c r="B1559" s="13"/>
      <c r="D1559" s="12"/>
      <c r="E1559" s="13"/>
    </row>
    <row r="1560">
      <c r="B1560" s="13"/>
      <c r="D1560" s="12"/>
      <c r="E1560" s="13"/>
    </row>
    <row r="1561">
      <c r="B1561" s="13"/>
      <c r="D1561" s="12"/>
      <c r="E1561" s="13"/>
    </row>
    <row r="1562">
      <c r="B1562" s="13"/>
      <c r="D1562" s="12"/>
      <c r="E1562" s="13"/>
    </row>
    <row r="1563">
      <c r="B1563" s="13"/>
      <c r="D1563" s="12"/>
      <c r="E1563" s="13"/>
    </row>
    <row r="1564">
      <c r="B1564" s="13"/>
      <c r="D1564" s="12"/>
      <c r="E1564" s="13"/>
    </row>
    <row r="1565">
      <c r="B1565" s="13"/>
      <c r="D1565" s="12"/>
      <c r="E1565" s="13"/>
    </row>
    <row r="1566">
      <c r="B1566" s="13"/>
      <c r="D1566" s="12"/>
      <c r="E1566" s="13"/>
    </row>
    <row r="1567">
      <c r="B1567" s="13"/>
      <c r="D1567" s="12"/>
      <c r="E1567" s="13"/>
    </row>
    <row r="1568">
      <c r="B1568" s="13"/>
      <c r="D1568" s="12"/>
      <c r="E1568" s="13"/>
    </row>
    <row r="1569">
      <c r="B1569" s="13"/>
      <c r="D1569" s="12"/>
      <c r="E1569" s="13"/>
    </row>
    <row r="1570">
      <c r="B1570" s="13"/>
      <c r="D1570" s="12"/>
      <c r="E1570" s="13"/>
    </row>
    <row r="1571">
      <c r="B1571" s="13"/>
      <c r="D1571" s="12"/>
      <c r="E1571" s="13"/>
    </row>
    <row r="1572">
      <c r="B1572" s="13"/>
      <c r="D1572" s="12"/>
      <c r="E1572" s="13"/>
    </row>
    <row r="1573">
      <c r="B1573" s="13"/>
      <c r="D1573" s="12"/>
      <c r="E1573" s="13"/>
    </row>
    <row r="1574">
      <c r="B1574" s="13"/>
      <c r="D1574" s="12"/>
      <c r="E1574" s="13"/>
    </row>
    <row r="1575">
      <c r="B1575" s="13"/>
      <c r="D1575" s="12"/>
      <c r="E1575" s="13"/>
    </row>
    <row r="1576">
      <c r="B1576" s="13"/>
      <c r="D1576" s="12"/>
      <c r="E1576" s="13"/>
    </row>
    <row r="1577">
      <c r="B1577" s="13"/>
      <c r="D1577" s="12"/>
      <c r="E1577" s="13"/>
    </row>
    <row r="1578">
      <c r="B1578" s="13"/>
      <c r="D1578" s="12"/>
      <c r="E1578" s="13"/>
    </row>
    <row r="1579">
      <c r="B1579" s="13"/>
      <c r="D1579" s="12"/>
      <c r="E1579" s="13"/>
    </row>
    <row r="1580">
      <c r="B1580" s="13"/>
      <c r="D1580" s="12"/>
      <c r="E1580" s="13"/>
    </row>
    <row r="1581">
      <c r="B1581" s="13"/>
      <c r="D1581" s="12"/>
      <c r="E1581" s="13"/>
    </row>
    <row r="1582">
      <c r="B1582" s="13"/>
      <c r="D1582" s="12"/>
      <c r="E1582" s="13"/>
    </row>
    <row r="1583">
      <c r="B1583" s="13"/>
      <c r="D1583" s="12"/>
      <c r="E1583" s="13"/>
    </row>
    <row r="1584">
      <c r="B1584" s="13"/>
      <c r="D1584" s="12"/>
      <c r="E1584" s="13"/>
    </row>
    <row r="1585">
      <c r="B1585" s="13"/>
      <c r="D1585" s="12"/>
      <c r="E1585" s="13"/>
    </row>
    <row r="1586">
      <c r="B1586" s="13"/>
      <c r="D1586" s="12"/>
      <c r="E1586" s="13"/>
    </row>
    <row r="1587">
      <c r="B1587" s="13"/>
      <c r="D1587" s="12"/>
      <c r="E1587" s="13"/>
    </row>
    <row r="1588">
      <c r="B1588" s="13"/>
      <c r="D1588" s="12"/>
      <c r="E1588" s="13"/>
    </row>
    <row r="1589">
      <c r="B1589" s="13"/>
      <c r="D1589" s="12"/>
      <c r="E1589" s="13"/>
    </row>
    <row r="1590">
      <c r="B1590" s="13"/>
      <c r="D1590" s="12"/>
      <c r="E1590" s="13"/>
    </row>
    <row r="1591">
      <c r="B1591" s="13"/>
      <c r="D1591" s="12"/>
      <c r="E1591" s="13"/>
    </row>
    <row r="1592">
      <c r="B1592" s="13"/>
      <c r="D1592" s="12"/>
      <c r="E1592" s="13"/>
    </row>
    <row r="1593">
      <c r="B1593" s="13"/>
      <c r="D1593" s="12"/>
      <c r="E1593" s="13"/>
    </row>
    <row r="1594">
      <c r="B1594" s="13"/>
      <c r="D1594" s="12"/>
      <c r="E1594" s="13"/>
    </row>
    <row r="1595">
      <c r="B1595" s="13"/>
      <c r="D1595" s="12"/>
      <c r="E1595" s="13"/>
    </row>
    <row r="1596">
      <c r="B1596" s="13"/>
      <c r="D1596" s="12"/>
      <c r="E1596" s="13"/>
    </row>
    <row r="1597">
      <c r="B1597" s="13"/>
      <c r="D1597" s="12"/>
      <c r="E1597" s="13"/>
    </row>
    <row r="1598">
      <c r="B1598" s="13"/>
      <c r="D1598" s="12"/>
      <c r="E1598" s="13"/>
    </row>
    <row r="1599">
      <c r="B1599" s="13"/>
      <c r="D1599" s="12"/>
      <c r="E1599" s="13"/>
    </row>
    <row r="1600">
      <c r="B1600" s="13"/>
      <c r="D1600" s="12"/>
      <c r="E1600" s="13"/>
    </row>
    <row r="1601">
      <c r="B1601" s="13"/>
      <c r="D1601" s="12"/>
      <c r="E1601" s="13"/>
    </row>
    <row r="1602">
      <c r="B1602" s="13"/>
      <c r="D1602" s="12"/>
      <c r="E1602" s="13"/>
    </row>
    <row r="1603">
      <c r="B1603" s="13"/>
      <c r="D1603" s="12"/>
      <c r="E1603" s="13"/>
    </row>
    <row r="1604">
      <c r="B1604" s="13"/>
      <c r="D1604" s="12"/>
      <c r="E1604" s="13"/>
    </row>
    <row r="1605">
      <c r="B1605" s="13"/>
      <c r="D1605" s="12"/>
      <c r="E1605" s="13"/>
    </row>
    <row r="1606">
      <c r="B1606" s="13"/>
      <c r="D1606" s="12"/>
      <c r="E1606" s="13"/>
    </row>
    <row r="1607">
      <c r="B1607" s="13"/>
      <c r="D1607" s="12"/>
      <c r="E1607" s="13"/>
    </row>
    <row r="1608">
      <c r="B1608" s="13"/>
      <c r="D1608" s="12"/>
      <c r="E1608" s="13"/>
    </row>
    <row r="1609">
      <c r="B1609" s="13"/>
      <c r="D1609" s="12"/>
      <c r="E1609" s="13"/>
    </row>
    <row r="1610">
      <c r="B1610" s="13"/>
      <c r="D1610" s="12"/>
      <c r="E1610" s="13"/>
    </row>
    <row r="1611">
      <c r="B1611" s="13"/>
      <c r="D1611" s="12"/>
      <c r="E1611" s="13"/>
    </row>
    <row r="1612">
      <c r="B1612" s="13"/>
      <c r="D1612" s="12"/>
      <c r="E1612" s="13"/>
    </row>
    <row r="1613">
      <c r="B1613" s="13"/>
      <c r="D1613" s="12"/>
      <c r="E1613" s="13"/>
    </row>
    <row r="1614">
      <c r="B1614" s="13"/>
      <c r="D1614" s="12"/>
      <c r="E1614" s="13"/>
    </row>
    <row r="1615">
      <c r="B1615" s="13"/>
      <c r="D1615" s="12"/>
      <c r="E1615" s="13"/>
    </row>
    <row r="1616">
      <c r="B1616" s="13"/>
      <c r="D1616" s="12"/>
      <c r="E1616" s="13"/>
    </row>
    <row r="1617">
      <c r="B1617" s="13"/>
      <c r="D1617" s="12"/>
      <c r="E1617" s="13"/>
    </row>
    <row r="1618">
      <c r="B1618" s="13"/>
      <c r="D1618" s="12"/>
      <c r="E1618" s="13"/>
    </row>
    <row r="1619">
      <c r="B1619" s="13"/>
      <c r="D1619" s="12"/>
      <c r="E1619" s="13"/>
    </row>
    <row r="1620">
      <c r="B1620" s="13"/>
      <c r="D1620" s="12"/>
      <c r="E1620" s="13"/>
    </row>
    <row r="1621">
      <c r="B1621" s="13"/>
      <c r="D1621" s="12"/>
      <c r="E1621" s="13"/>
    </row>
    <row r="1622">
      <c r="B1622" s="13"/>
      <c r="D1622" s="12"/>
      <c r="E1622" s="13"/>
    </row>
    <row r="1623">
      <c r="B1623" s="13"/>
      <c r="D1623" s="12"/>
      <c r="E1623" s="13"/>
    </row>
    <row r="1624">
      <c r="B1624" s="13"/>
      <c r="D1624" s="12"/>
      <c r="E1624" s="13"/>
    </row>
    <row r="1625">
      <c r="B1625" s="13"/>
      <c r="D1625" s="12"/>
      <c r="E1625" s="13"/>
    </row>
    <row r="1626">
      <c r="B1626" s="13"/>
      <c r="D1626" s="12"/>
      <c r="E1626" s="13"/>
    </row>
    <row r="1627">
      <c r="B1627" s="13"/>
      <c r="D1627" s="12"/>
      <c r="E1627" s="13"/>
    </row>
    <row r="1628">
      <c r="B1628" s="13"/>
      <c r="D1628" s="12"/>
      <c r="E1628" s="13"/>
    </row>
    <row r="1629">
      <c r="B1629" s="13"/>
      <c r="D1629" s="12"/>
      <c r="E1629" s="13"/>
    </row>
    <row r="1630">
      <c r="B1630" s="13"/>
      <c r="D1630" s="12"/>
      <c r="E1630" s="13"/>
    </row>
    <row r="1631">
      <c r="B1631" s="13"/>
      <c r="D1631" s="12"/>
      <c r="E1631" s="13"/>
    </row>
    <row r="1632">
      <c r="B1632" s="13"/>
      <c r="D1632" s="12"/>
      <c r="E1632" s="13"/>
    </row>
    <row r="1633">
      <c r="B1633" s="13"/>
      <c r="D1633" s="12"/>
      <c r="E1633" s="13"/>
    </row>
    <row r="1634">
      <c r="B1634" s="13"/>
      <c r="D1634" s="12"/>
      <c r="E1634" s="13"/>
    </row>
    <row r="1635">
      <c r="B1635" s="13"/>
      <c r="D1635" s="12"/>
      <c r="E1635" s="13"/>
    </row>
    <row r="1636">
      <c r="B1636" s="13"/>
      <c r="D1636" s="12"/>
      <c r="E1636" s="13"/>
    </row>
    <row r="1637">
      <c r="B1637" s="13"/>
      <c r="D1637" s="12"/>
      <c r="E1637" s="13"/>
    </row>
    <row r="1638">
      <c r="B1638" s="13"/>
      <c r="D1638" s="12"/>
      <c r="E1638" s="13"/>
    </row>
    <row r="1639">
      <c r="B1639" s="13"/>
      <c r="D1639" s="12"/>
      <c r="E1639" s="13"/>
    </row>
    <row r="1640">
      <c r="B1640" s="13"/>
      <c r="D1640" s="12"/>
      <c r="E1640" s="13"/>
    </row>
    <row r="1641">
      <c r="B1641" s="13"/>
      <c r="D1641" s="12"/>
      <c r="E1641" s="13"/>
    </row>
    <row r="1642">
      <c r="B1642" s="13"/>
      <c r="D1642" s="12"/>
      <c r="E1642" s="13"/>
    </row>
    <row r="1643">
      <c r="B1643" s="13"/>
      <c r="D1643" s="12"/>
      <c r="E1643" s="13"/>
    </row>
    <row r="1644">
      <c r="B1644" s="13"/>
      <c r="D1644" s="12"/>
      <c r="E1644" s="13"/>
    </row>
    <row r="1645">
      <c r="B1645" s="13"/>
      <c r="D1645" s="12"/>
      <c r="E1645" s="13"/>
    </row>
    <row r="1646">
      <c r="B1646" s="13"/>
      <c r="D1646" s="12"/>
      <c r="E1646" s="13"/>
    </row>
    <row r="1647">
      <c r="B1647" s="13"/>
      <c r="D1647" s="12"/>
      <c r="E1647" s="13"/>
    </row>
    <row r="1648">
      <c r="B1648" s="13"/>
      <c r="D1648" s="12"/>
      <c r="E1648" s="13"/>
    </row>
    <row r="1649">
      <c r="B1649" s="13"/>
      <c r="D1649" s="12"/>
      <c r="E1649" s="13"/>
    </row>
    <row r="1650">
      <c r="B1650" s="13"/>
      <c r="D1650" s="12"/>
      <c r="E1650" s="13"/>
    </row>
    <row r="1651">
      <c r="B1651" s="13"/>
      <c r="D1651" s="12"/>
      <c r="E1651" s="13"/>
    </row>
    <row r="1652">
      <c r="B1652" s="13"/>
      <c r="D1652" s="12"/>
      <c r="E1652" s="13"/>
    </row>
    <row r="1653">
      <c r="B1653" s="13"/>
      <c r="D1653" s="12"/>
      <c r="E1653" s="13"/>
    </row>
    <row r="1654">
      <c r="B1654" s="13"/>
      <c r="D1654" s="12"/>
      <c r="E1654" s="13"/>
    </row>
    <row r="1655">
      <c r="B1655" s="13"/>
      <c r="D1655" s="12"/>
      <c r="E1655" s="13"/>
    </row>
    <row r="1656">
      <c r="B1656" s="13"/>
      <c r="D1656" s="12"/>
      <c r="E1656" s="13"/>
    </row>
    <row r="1657">
      <c r="B1657" s="13"/>
      <c r="D1657" s="12"/>
      <c r="E1657" s="13"/>
    </row>
    <row r="1658">
      <c r="B1658" s="13"/>
      <c r="D1658" s="12"/>
      <c r="E1658" s="13"/>
    </row>
    <row r="1659">
      <c r="B1659" s="13"/>
      <c r="D1659" s="12"/>
      <c r="E1659" s="13"/>
    </row>
    <row r="1660">
      <c r="B1660" s="13"/>
      <c r="D1660" s="12"/>
      <c r="E1660" s="13"/>
    </row>
    <row r="1661">
      <c r="B1661" s="13"/>
      <c r="D1661" s="12"/>
      <c r="E1661" s="13"/>
    </row>
    <row r="1662">
      <c r="B1662" s="13"/>
      <c r="D1662" s="12"/>
      <c r="E1662" s="13"/>
    </row>
    <row r="1663">
      <c r="B1663" s="13"/>
      <c r="D1663" s="12"/>
      <c r="E1663" s="13"/>
    </row>
    <row r="1664">
      <c r="B1664" s="13"/>
      <c r="D1664" s="12"/>
      <c r="E1664" s="13"/>
    </row>
    <row r="1665">
      <c r="B1665" s="13"/>
      <c r="D1665" s="12"/>
      <c r="E1665" s="13"/>
    </row>
    <row r="1666">
      <c r="B1666" s="13"/>
      <c r="D1666" s="12"/>
      <c r="E1666" s="13"/>
    </row>
    <row r="1667">
      <c r="B1667" s="13"/>
      <c r="D1667" s="12"/>
      <c r="E1667" s="13"/>
    </row>
    <row r="1668">
      <c r="B1668" s="13"/>
      <c r="D1668" s="12"/>
      <c r="E1668" s="13"/>
    </row>
    <row r="1669">
      <c r="B1669" s="13"/>
      <c r="D1669" s="12"/>
      <c r="E1669" s="13"/>
    </row>
    <row r="1670">
      <c r="B1670" s="13"/>
      <c r="D1670" s="12"/>
      <c r="E1670" s="13"/>
    </row>
    <row r="1671">
      <c r="B1671" s="13"/>
      <c r="D1671" s="12"/>
      <c r="E1671" s="13"/>
    </row>
    <row r="1672">
      <c r="B1672" s="13"/>
      <c r="D1672" s="12"/>
      <c r="E1672" s="13"/>
    </row>
    <row r="1673">
      <c r="B1673" s="13"/>
      <c r="D1673" s="12"/>
      <c r="E1673" s="13"/>
    </row>
    <row r="1674">
      <c r="B1674" s="13"/>
      <c r="D1674" s="12"/>
      <c r="E1674" s="13"/>
    </row>
    <row r="1675">
      <c r="B1675" s="13"/>
      <c r="D1675" s="12"/>
      <c r="E1675" s="13"/>
    </row>
    <row r="1676">
      <c r="B1676" s="13"/>
      <c r="D1676" s="12"/>
      <c r="E1676" s="13"/>
    </row>
    <row r="1677">
      <c r="B1677" s="13"/>
      <c r="D1677" s="12"/>
      <c r="E1677" s="13"/>
    </row>
    <row r="1678">
      <c r="B1678" s="13"/>
      <c r="D1678" s="12"/>
      <c r="E1678" s="13"/>
    </row>
    <row r="1679">
      <c r="B1679" s="13"/>
      <c r="D1679" s="12"/>
      <c r="E1679" s="13"/>
    </row>
    <row r="1680">
      <c r="B1680" s="13"/>
      <c r="D1680" s="12"/>
      <c r="E1680" s="13"/>
    </row>
    <row r="1681">
      <c r="B1681" s="13"/>
      <c r="D1681" s="12"/>
      <c r="E1681" s="13"/>
    </row>
    <row r="1682">
      <c r="B1682" s="13"/>
      <c r="D1682" s="12"/>
      <c r="E1682" s="13"/>
    </row>
    <row r="1683">
      <c r="B1683" s="13"/>
      <c r="D1683" s="12"/>
      <c r="E1683" s="13"/>
    </row>
    <row r="1684">
      <c r="B1684" s="13"/>
      <c r="D1684" s="12"/>
      <c r="E1684" s="13"/>
    </row>
    <row r="1685">
      <c r="B1685" s="13"/>
      <c r="D1685" s="12"/>
      <c r="E1685" s="13"/>
    </row>
    <row r="1686">
      <c r="B1686" s="13"/>
      <c r="D1686" s="12"/>
      <c r="E1686" s="13"/>
    </row>
    <row r="1687">
      <c r="B1687" s="13"/>
      <c r="D1687" s="12"/>
      <c r="E1687" s="13"/>
    </row>
    <row r="1688">
      <c r="B1688" s="13"/>
      <c r="D1688" s="12"/>
      <c r="E1688" s="13"/>
    </row>
    <row r="1689">
      <c r="B1689" s="13"/>
      <c r="D1689" s="12"/>
      <c r="E1689" s="13"/>
    </row>
    <row r="1690">
      <c r="B1690" s="13"/>
      <c r="D1690" s="12"/>
      <c r="E1690" s="13"/>
    </row>
    <row r="1691">
      <c r="B1691" s="13"/>
      <c r="D1691" s="12"/>
      <c r="E1691" s="13"/>
    </row>
    <row r="1692">
      <c r="B1692" s="13"/>
      <c r="D1692" s="12"/>
      <c r="E1692" s="13"/>
    </row>
    <row r="1693">
      <c r="B1693" s="13"/>
      <c r="D1693" s="12"/>
      <c r="E1693" s="13"/>
    </row>
    <row r="1694">
      <c r="B1694" s="13"/>
      <c r="D1694" s="12"/>
      <c r="E1694" s="13"/>
    </row>
    <row r="1695">
      <c r="B1695" s="13"/>
      <c r="D1695" s="12"/>
      <c r="E1695" s="13"/>
    </row>
    <row r="1696">
      <c r="B1696" s="13"/>
      <c r="D1696" s="12"/>
      <c r="E1696" s="13"/>
    </row>
    <row r="1697">
      <c r="B1697" s="13"/>
      <c r="D1697" s="12"/>
      <c r="E1697" s="13"/>
    </row>
    <row r="1698">
      <c r="B1698" s="13"/>
      <c r="D1698" s="12"/>
      <c r="E1698" s="13"/>
    </row>
    <row r="1699">
      <c r="B1699" s="13"/>
      <c r="D1699" s="12"/>
      <c r="E1699" s="13"/>
    </row>
    <row r="1700">
      <c r="B1700" s="13"/>
      <c r="D1700" s="12"/>
      <c r="E1700" s="13"/>
    </row>
    <row r="1701">
      <c r="B1701" s="13"/>
      <c r="D1701" s="12"/>
      <c r="E1701" s="13"/>
    </row>
    <row r="1702">
      <c r="B1702" s="13"/>
      <c r="D1702" s="12"/>
      <c r="E1702" s="13"/>
    </row>
    <row r="1703">
      <c r="B1703" s="13"/>
      <c r="D1703" s="12"/>
      <c r="E1703" s="13"/>
    </row>
    <row r="1704">
      <c r="B1704" s="13"/>
      <c r="D1704" s="12"/>
      <c r="E1704" s="13"/>
    </row>
    <row r="1705">
      <c r="B1705" s="13"/>
      <c r="D1705" s="12"/>
      <c r="E1705" s="13"/>
    </row>
    <row r="1706">
      <c r="B1706" s="13"/>
      <c r="D1706" s="12"/>
      <c r="E1706" s="13"/>
    </row>
    <row r="1707">
      <c r="B1707" s="13"/>
      <c r="D1707" s="12"/>
      <c r="E1707" s="13"/>
    </row>
    <row r="1708">
      <c r="B1708" s="13"/>
      <c r="D1708" s="12"/>
      <c r="E1708" s="13"/>
    </row>
    <row r="1709">
      <c r="B1709" s="13"/>
      <c r="D1709" s="12"/>
      <c r="E1709" s="13"/>
    </row>
    <row r="1710">
      <c r="B1710" s="13"/>
      <c r="D1710" s="12"/>
      <c r="E1710" s="13"/>
    </row>
    <row r="1711">
      <c r="B1711" s="13"/>
      <c r="D1711" s="12"/>
      <c r="E1711" s="13"/>
    </row>
    <row r="1712">
      <c r="B1712" s="13"/>
      <c r="D1712" s="12"/>
      <c r="E1712" s="13"/>
    </row>
    <row r="1713">
      <c r="B1713" s="13"/>
      <c r="D1713" s="12"/>
      <c r="E1713" s="13"/>
    </row>
    <row r="1714">
      <c r="B1714" s="13"/>
      <c r="D1714" s="12"/>
      <c r="E1714" s="13"/>
    </row>
    <row r="1715">
      <c r="B1715" s="13"/>
      <c r="D1715" s="12"/>
      <c r="E1715" s="13"/>
    </row>
    <row r="1716">
      <c r="B1716" s="13"/>
      <c r="D1716" s="12"/>
      <c r="E1716" s="13"/>
    </row>
    <row r="1717">
      <c r="B1717" s="13"/>
      <c r="D1717" s="12"/>
      <c r="E1717" s="13"/>
    </row>
    <row r="1718">
      <c r="B1718" s="13"/>
      <c r="D1718" s="12"/>
      <c r="E1718" s="13"/>
    </row>
    <row r="1719">
      <c r="B1719" s="13"/>
      <c r="D1719" s="12"/>
      <c r="E1719" s="13"/>
    </row>
    <row r="1720">
      <c r="B1720" s="13"/>
      <c r="D1720" s="12"/>
      <c r="E1720" s="13"/>
    </row>
    <row r="1721">
      <c r="B1721" s="13"/>
      <c r="D1721" s="12"/>
      <c r="E1721" s="13"/>
    </row>
    <row r="1722">
      <c r="B1722" s="13"/>
      <c r="D1722" s="12"/>
      <c r="E1722" s="13"/>
    </row>
    <row r="1723">
      <c r="B1723" s="13"/>
      <c r="D1723" s="12"/>
      <c r="E1723" s="13"/>
    </row>
    <row r="1724">
      <c r="B1724" s="13"/>
      <c r="D1724" s="12"/>
      <c r="E1724" s="13"/>
    </row>
    <row r="1725">
      <c r="B1725" s="13"/>
      <c r="D1725" s="12"/>
      <c r="E1725" s="13"/>
    </row>
    <row r="1726">
      <c r="B1726" s="13"/>
      <c r="D1726" s="12"/>
      <c r="E1726" s="13"/>
    </row>
    <row r="1727">
      <c r="B1727" s="13"/>
      <c r="D1727" s="12"/>
      <c r="E1727" s="13"/>
    </row>
    <row r="1728">
      <c r="B1728" s="13"/>
      <c r="D1728" s="12"/>
      <c r="E1728" s="13"/>
    </row>
    <row r="1729">
      <c r="B1729" s="13"/>
      <c r="D1729" s="12"/>
      <c r="E1729" s="13"/>
    </row>
    <row r="1730">
      <c r="B1730" s="13"/>
      <c r="D1730" s="12"/>
      <c r="E1730" s="13"/>
    </row>
    <row r="1731">
      <c r="B1731" s="13"/>
      <c r="D1731" s="12"/>
      <c r="E1731" s="13"/>
    </row>
    <row r="1732">
      <c r="B1732" s="13"/>
      <c r="D1732" s="12"/>
      <c r="E1732" s="13"/>
    </row>
    <row r="1733">
      <c r="B1733" s="13"/>
      <c r="D1733" s="12"/>
      <c r="E1733" s="13"/>
    </row>
    <row r="1734">
      <c r="B1734" s="13"/>
      <c r="D1734" s="12"/>
      <c r="E1734" s="13"/>
    </row>
    <row r="1735">
      <c r="B1735" s="13"/>
      <c r="D1735" s="12"/>
      <c r="E1735" s="13"/>
    </row>
    <row r="1736">
      <c r="B1736" s="13"/>
      <c r="D1736" s="12"/>
      <c r="E1736" s="13"/>
    </row>
    <row r="1737">
      <c r="B1737" s="13"/>
      <c r="D1737" s="12"/>
      <c r="E1737" s="13"/>
    </row>
    <row r="1738">
      <c r="B1738" s="13"/>
      <c r="D1738" s="12"/>
      <c r="E1738" s="13"/>
    </row>
    <row r="1739">
      <c r="B1739" s="13"/>
      <c r="D1739" s="12"/>
      <c r="E1739" s="13"/>
    </row>
    <row r="1740">
      <c r="B1740" s="13"/>
      <c r="D1740" s="12"/>
      <c r="E1740" s="13"/>
    </row>
    <row r="1741">
      <c r="B1741" s="13"/>
      <c r="D1741" s="12"/>
      <c r="E1741" s="13"/>
    </row>
    <row r="1742">
      <c r="B1742" s="13"/>
      <c r="D1742" s="12"/>
      <c r="E1742" s="13"/>
    </row>
    <row r="1743">
      <c r="B1743" s="13"/>
      <c r="D1743" s="12"/>
      <c r="E1743" s="13"/>
    </row>
    <row r="1744">
      <c r="B1744" s="13"/>
      <c r="D1744" s="12"/>
      <c r="E1744" s="13"/>
    </row>
    <row r="1745">
      <c r="B1745" s="13"/>
      <c r="D1745" s="12"/>
      <c r="E1745" s="13"/>
    </row>
    <row r="1746">
      <c r="B1746" s="13"/>
      <c r="D1746" s="12"/>
      <c r="E1746" s="13"/>
    </row>
    <row r="1747">
      <c r="B1747" s="13"/>
      <c r="D1747" s="12"/>
      <c r="E1747" s="13"/>
    </row>
    <row r="1748">
      <c r="B1748" s="13"/>
      <c r="D1748" s="12"/>
      <c r="E1748" s="13"/>
    </row>
    <row r="1749">
      <c r="B1749" s="13"/>
      <c r="D1749" s="12"/>
      <c r="E1749" s="13"/>
    </row>
    <row r="1750">
      <c r="B1750" s="13"/>
      <c r="D1750" s="12"/>
      <c r="E1750" s="13"/>
    </row>
    <row r="1751">
      <c r="B1751" s="13"/>
      <c r="D1751" s="12"/>
      <c r="E1751" s="13"/>
    </row>
    <row r="1752">
      <c r="B1752" s="13"/>
      <c r="D1752" s="12"/>
      <c r="E1752" s="13"/>
    </row>
    <row r="1753">
      <c r="B1753" s="13"/>
      <c r="D1753" s="12"/>
      <c r="E1753" s="13"/>
    </row>
    <row r="1754">
      <c r="B1754" s="13"/>
      <c r="D1754" s="12"/>
      <c r="E1754" s="13"/>
    </row>
    <row r="1755">
      <c r="B1755" s="13"/>
      <c r="D1755" s="12"/>
      <c r="E1755" s="13"/>
    </row>
    <row r="1756">
      <c r="B1756" s="13"/>
      <c r="D1756" s="12"/>
      <c r="E1756" s="13"/>
    </row>
    <row r="1757">
      <c r="B1757" s="13"/>
      <c r="D1757" s="12"/>
      <c r="E1757" s="13"/>
    </row>
    <row r="1758">
      <c r="B1758" s="13"/>
      <c r="D1758" s="12"/>
      <c r="E1758" s="13"/>
    </row>
    <row r="1759">
      <c r="B1759" s="13"/>
      <c r="D1759" s="12"/>
      <c r="E1759" s="13"/>
    </row>
    <row r="1760">
      <c r="B1760" s="13"/>
      <c r="D1760" s="12"/>
      <c r="E1760" s="13"/>
    </row>
    <row r="1761">
      <c r="B1761" s="13"/>
      <c r="D1761" s="12"/>
      <c r="E1761" s="13"/>
    </row>
    <row r="1762">
      <c r="B1762" s="13"/>
      <c r="D1762" s="12"/>
      <c r="E1762" s="13"/>
    </row>
    <row r="1763">
      <c r="B1763" s="13"/>
      <c r="D1763" s="12"/>
      <c r="E1763" s="13"/>
    </row>
    <row r="1764">
      <c r="B1764" s="13"/>
      <c r="D1764" s="12"/>
      <c r="E1764" s="13"/>
    </row>
    <row r="1765">
      <c r="B1765" s="13"/>
      <c r="D1765" s="12"/>
      <c r="E1765" s="13"/>
    </row>
    <row r="1766">
      <c r="B1766" s="13"/>
      <c r="D1766" s="12"/>
      <c r="E1766" s="13"/>
    </row>
    <row r="1767">
      <c r="B1767" s="13"/>
      <c r="D1767" s="12"/>
      <c r="E1767" s="13"/>
    </row>
    <row r="1768">
      <c r="B1768" s="13"/>
      <c r="D1768" s="12"/>
      <c r="E1768" s="13"/>
    </row>
    <row r="1769">
      <c r="B1769" s="13"/>
      <c r="D1769" s="12"/>
      <c r="E1769" s="13"/>
    </row>
    <row r="1770">
      <c r="B1770" s="13"/>
      <c r="D1770" s="12"/>
      <c r="E1770" s="13"/>
    </row>
    <row r="1771">
      <c r="B1771" s="13"/>
      <c r="D1771" s="12"/>
      <c r="E1771" s="13"/>
    </row>
    <row r="1772">
      <c r="B1772" s="13"/>
      <c r="D1772" s="12"/>
      <c r="E1772" s="13"/>
    </row>
    <row r="1773">
      <c r="B1773" s="13"/>
      <c r="D1773" s="12"/>
      <c r="E1773" s="13"/>
    </row>
    <row r="1774">
      <c r="B1774" s="13"/>
      <c r="D1774" s="12"/>
      <c r="E1774" s="13"/>
    </row>
    <row r="1775">
      <c r="B1775" s="13"/>
      <c r="D1775" s="12"/>
      <c r="E1775" s="13"/>
    </row>
    <row r="1776">
      <c r="B1776" s="13"/>
      <c r="D1776" s="12"/>
      <c r="E1776" s="13"/>
    </row>
    <row r="1777">
      <c r="B1777" s="13"/>
      <c r="D1777" s="12"/>
      <c r="E1777" s="13"/>
    </row>
    <row r="1778">
      <c r="B1778" s="13"/>
      <c r="D1778" s="12"/>
      <c r="E1778" s="13"/>
    </row>
    <row r="1779">
      <c r="B1779" s="13"/>
      <c r="D1779" s="12"/>
      <c r="E1779" s="13"/>
    </row>
    <row r="1780">
      <c r="B1780" s="13"/>
      <c r="D1780" s="12"/>
      <c r="E1780" s="13"/>
    </row>
    <row r="1781">
      <c r="B1781" s="13"/>
      <c r="D1781" s="12"/>
      <c r="E1781" s="13"/>
    </row>
    <row r="1782">
      <c r="B1782" s="13"/>
      <c r="D1782" s="12"/>
      <c r="E1782" s="13"/>
    </row>
    <row r="1783">
      <c r="B1783" s="13"/>
      <c r="D1783" s="12"/>
      <c r="E1783" s="13"/>
    </row>
    <row r="1784">
      <c r="B1784" s="13"/>
      <c r="D1784" s="12"/>
      <c r="E1784" s="13"/>
    </row>
    <row r="1785">
      <c r="B1785" s="13"/>
      <c r="D1785" s="12"/>
      <c r="E1785" s="13"/>
    </row>
    <row r="1786">
      <c r="B1786" s="13"/>
      <c r="D1786" s="12"/>
      <c r="E1786" s="13"/>
    </row>
    <row r="1787">
      <c r="B1787" s="13"/>
      <c r="D1787" s="12"/>
      <c r="E1787" s="13"/>
    </row>
    <row r="1788">
      <c r="B1788" s="13"/>
      <c r="D1788" s="12"/>
      <c r="E1788" s="13"/>
    </row>
    <row r="1789">
      <c r="B1789" s="13"/>
      <c r="D1789" s="12"/>
      <c r="E1789" s="13"/>
    </row>
    <row r="1790">
      <c r="B1790" s="13"/>
      <c r="D1790" s="12"/>
      <c r="E1790" s="13"/>
    </row>
    <row r="1791">
      <c r="B1791" s="13"/>
      <c r="D1791" s="12"/>
      <c r="E1791" s="13"/>
    </row>
    <row r="1792">
      <c r="B1792" s="13"/>
      <c r="D1792" s="12"/>
      <c r="E1792" s="13"/>
    </row>
    <row r="1793">
      <c r="B1793" s="13"/>
      <c r="D1793" s="12"/>
      <c r="E1793" s="13"/>
    </row>
    <row r="1794">
      <c r="B1794" s="13"/>
      <c r="D1794" s="12"/>
      <c r="E1794" s="13"/>
    </row>
    <row r="1795">
      <c r="B1795" s="13"/>
      <c r="D1795" s="12"/>
      <c r="E1795" s="13"/>
    </row>
    <row r="1796">
      <c r="B1796" s="13"/>
      <c r="D1796" s="12"/>
      <c r="E1796" s="13"/>
    </row>
    <row r="1797">
      <c r="B1797" s="13"/>
      <c r="D1797" s="12"/>
      <c r="E1797" s="13"/>
    </row>
    <row r="1798">
      <c r="B1798" s="13"/>
      <c r="D1798" s="12"/>
      <c r="E1798" s="13"/>
    </row>
    <row r="1799">
      <c r="B1799" s="13"/>
      <c r="D1799" s="12"/>
      <c r="E1799" s="13"/>
    </row>
    <row r="1800">
      <c r="B1800" s="13"/>
      <c r="D1800" s="12"/>
      <c r="E1800" s="13"/>
    </row>
    <row r="1801">
      <c r="B1801" s="13"/>
      <c r="D1801" s="12"/>
      <c r="E1801" s="13"/>
    </row>
    <row r="1802">
      <c r="B1802" s="13"/>
      <c r="D1802" s="12"/>
      <c r="E1802" s="13"/>
    </row>
    <row r="1803">
      <c r="B1803" s="13"/>
      <c r="D1803" s="12"/>
      <c r="E1803" s="13"/>
    </row>
    <row r="1804">
      <c r="B1804" s="13"/>
      <c r="D1804" s="12"/>
      <c r="E1804" s="13"/>
    </row>
    <row r="1805">
      <c r="B1805" s="13"/>
      <c r="D1805" s="12"/>
      <c r="E1805" s="13"/>
    </row>
    <row r="1806">
      <c r="B1806" s="13"/>
      <c r="D1806" s="12"/>
      <c r="E1806" s="13"/>
    </row>
    <row r="1807">
      <c r="B1807" s="13"/>
      <c r="D1807" s="12"/>
      <c r="E1807" s="13"/>
    </row>
    <row r="1808">
      <c r="B1808" s="13"/>
      <c r="D1808" s="12"/>
      <c r="E1808" s="13"/>
    </row>
    <row r="1809">
      <c r="B1809" s="13"/>
      <c r="D1809" s="12"/>
      <c r="E1809" s="13"/>
    </row>
    <row r="1810">
      <c r="B1810" s="13"/>
      <c r="D1810" s="12"/>
      <c r="E1810" s="13"/>
    </row>
    <row r="1811">
      <c r="B1811" s="13"/>
      <c r="D1811" s="12"/>
      <c r="E1811" s="13"/>
    </row>
    <row r="1812">
      <c r="B1812" s="13"/>
      <c r="D1812" s="12"/>
      <c r="E1812" s="13"/>
    </row>
    <row r="1813">
      <c r="B1813" s="13"/>
      <c r="D1813" s="12"/>
      <c r="E1813" s="13"/>
    </row>
    <row r="1814">
      <c r="B1814" s="13"/>
      <c r="D1814" s="12"/>
      <c r="E1814" s="13"/>
    </row>
    <row r="1815">
      <c r="B1815" s="13"/>
      <c r="D1815" s="12"/>
      <c r="E1815" s="13"/>
    </row>
    <row r="1816">
      <c r="B1816" s="13"/>
      <c r="D1816" s="12"/>
      <c r="E1816" s="13"/>
    </row>
    <row r="1817">
      <c r="B1817" s="13"/>
      <c r="D1817" s="12"/>
      <c r="E1817" s="13"/>
    </row>
    <row r="1818">
      <c r="B1818" s="13"/>
      <c r="D1818" s="12"/>
      <c r="E1818" s="13"/>
    </row>
    <row r="1819">
      <c r="B1819" s="13"/>
      <c r="D1819" s="12"/>
      <c r="E1819" s="13"/>
    </row>
    <row r="1820">
      <c r="B1820" s="13"/>
      <c r="D1820" s="12"/>
      <c r="E1820" s="13"/>
    </row>
    <row r="1821">
      <c r="B1821" s="13"/>
      <c r="D1821" s="12"/>
      <c r="E1821" s="13"/>
    </row>
    <row r="1822">
      <c r="B1822" s="13"/>
      <c r="D1822" s="12"/>
      <c r="E1822" s="13"/>
    </row>
    <row r="1823">
      <c r="B1823" s="13"/>
      <c r="D1823" s="12"/>
      <c r="E1823" s="13"/>
    </row>
    <row r="1824">
      <c r="B1824" s="13"/>
      <c r="D1824" s="12"/>
      <c r="E1824" s="13"/>
    </row>
    <row r="1825">
      <c r="B1825" s="13"/>
      <c r="D1825" s="12"/>
      <c r="E1825" s="13"/>
    </row>
    <row r="1826">
      <c r="B1826" s="13"/>
      <c r="D1826" s="12"/>
      <c r="E1826" s="13"/>
    </row>
    <row r="1827">
      <c r="B1827" s="13"/>
      <c r="D1827" s="12"/>
      <c r="E1827" s="13"/>
    </row>
    <row r="1828">
      <c r="B1828" s="13"/>
      <c r="D1828" s="12"/>
      <c r="E1828" s="13"/>
    </row>
    <row r="1829">
      <c r="B1829" s="13"/>
      <c r="D1829" s="12"/>
      <c r="E1829" s="13"/>
    </row>
    <row r="1830">
      <c r="B1830" s="13"/>
      <c r="D1830" s="12"/>
      <c r="E1830" s="13"/>
    </row>
    <row r="1831">
      <c r="B1831" s="13"/>
      <c r="D1831" s="12"/>
      <c r="E1831" s="13"/>
    </row>
    <row r="1832">
      <c r="B1832" s="13"/>
      <c r="D1832" s="12"/>
      <c r="E1832" s="13"/>
    </row>
    <row r="1833">
      <c r="B1833" s="13"/>
      <c r="D1833" s="12"/>
      <c r="E1833" s="13"/>
    </row>
    <row r="1834">
      <c r="B1834" s="13"/>
      <c r="D1834" s="12"/>
      <c r="E1834" s="13"/>
    </row>
    <row r="1835">
      <c r="B1835" s="13"/>
      <c r="D1835" s="12"/>
      <c r="E1835" s="13"/>
    </row>
    <row r="1836">
      <c r="B1836" s="13"/>
      <c r="D1836" s="12"/>
      <c r="E1836" s="13"/>
    </row>
    <row r="1837">
      <c r="B1837" s="13"/>
      <c r="D1837" s="12"/>
      <c r="E1837" s="13"/>
    </row>
    <row r="1838">
      <c r="B1838" s="13"/>
      <c r="D1838" s="12"/>
      <c r="E1838" s="13"/>
    </row>
    <row r="1839">
      <c r="B1839" s="13"/>
      <c r="D1839" s="12"/>
      <c r="E1839" s="13"/>
    </row>
    <row r="1840">
      <c r="B1840" s="13"/>
      <c r="D1840" s="12"/>
      <c r="E1840" s="13"/>
    </row>
    <row r="1841">
      <c r="B1841" s="13"/>
      <c r="D1841" s="12"/>
      <c r="E1841" s="13"/>
    </row>
    <row r="1842">
      <c r="B1842" s="13"/>
      <c r="D1842" s="12"/>
      <c r="E1842" s="13"/>
    </row>
    <row r="1843">
      <c r="B1843" s="13"/>
      <c r="D1843" s="12"/>
      <c r="E1843" s="13"/>
    </row>
    <row r="1844">
      <c r="B1844" s="13"/>
      <c r="D1844" s="12"/>
      <c r="E1844" s="13"/>
    </row>
    <row r="1845">
      <c r="B1845" s="13"/>
      <c r="D1845" s="12"/>
      <c r="E1845" s="13"/>
    </row>
    <row r="1846">
      <c r="B1846" s="13"/>
      <c r="D1846" s="12"/>
      <c r="E1846" s="13"/>
    </row>
    <row r="1847">
      <c r="B1847" s="13"/>
      <c r="D1847" s="12"/>
      <c r="E1847" s="13"/>
    </row>
    <row r="1848">
      <c r="B1848" s="13"/>
      <c r="D1848" s="12"/>
      <c r="E1848" s="13"/>
    </row>
    <row r="1849">
      <c r="B1849" s="13"/>
      <c r="D1849" s="12"/>
      <c r="E1849" s="13"/>
    </row>
    <row r="1850">
      <c r="B1850" s="13"/>
      <c r="D1850" s="12"/>
      <c r="E1850" s="13"/>
    </row>
    <row r="1851">
      <c r="B1851" s="13"/>
      <c r="D1851" s="12"/>
      <c r="E1851" s="13"/>
    </row>
    <row r="1852">
      <c r="B1852" s="13"/>
      <c r="D1852" s="12"/>
      <c r="E1852" s="13"/>
    </row>
    <row r="1853">
      <c r="B1853" s="13"/>
      <c r="D1853" s="12"/>
      <c r="E1853" s="13"/>
    </row>
    <row r="1854">
      <c r="B1854" s="13"/>
      <c r="D1854" s="12"/>
      <c r="E1854" s="13"/>
    </row>
    <row r="1855">
      <c r="B1855" s="13"/>
      <c r="D1855" s="12"/>
      <c r="E1855" s="13"/>
    </row>
    <row r="1856">
      <c r="B1856" s="13"/>
      <c r="D1856" s="13"/>
      <c r="E1856" s="13"/>
    </row>
    <row r="1857">
      <c r="B1857" s="13"/>
      <c r="D1857" s="13"/>
      <c r="E1857" s="13"/>
    </row>
    <row r="1858">
      <c r="B1858" s="13"/>
      <c r="D1858" s="13"/>
      <c r="E1858" s="13"/>
    </row>
    <row r="1859">
      <c r="B1859" s="13"/>
      <c r="D1859" s="13"/>
      <c r="E1859" s="13"/>
    </row>
    <row r="1860">
      <c r="B1860" s="13"/>
      <c r="D1860" s="13"/>
      <c r="E1860" s="13"/>
    </row>
    <row r="1861">
      <c r="B1861" s="13"/>
      <c r="D1861" s="13"/>
      <c r="E1861" s="13"/>
    </row>
    <row r="1862">
      <c r="B1862" s="13"/>
      <c r="D1862" s="13"/>
      <c r="E1862" s="13"/>
    </row>
    <row r="1863">
      <c r="B1863" s="13"/>
      <c r="D1863" s="13"/>
      <c r="E1863" s="13"/>
    </row>
    <row r="1864">
      <c r="B1864" s="13"/>
      <c r="D1864" s="13"/>
      <c r="E1864" s="13"/>
    </row>
    <row r="1865">
      <c r="B1865" s="13"/>
      <c r="D1865" s="13"/>
      <c r="E1865" s="13"/>
    </row>
    <row r="1866">
      <c r="B1866" s="13"/>
      <c r="D1866" s="13"/>
      <c r="E1866" s="13"/>
    </row>
    <row r="1867">
      <c r="B1867" s="13"/>
      <c r="D1867" s="13"/>
      <c r="E1867" s="13"/>
    </row>
    <row r="1868">
      <c r="B1868" s="13"/>
      <c r="D1868" s="13"/>
      <c r="E1868" s="13"/>
    </row>
    <row r="1869">
      <c r="B1869" s="13"/>
      <c r="D1869" s="13"/>
      <c r="E1869" s="13"/>
    </row>
    <row r="1870">
      <c r="B1870" s="13"/>
      <c r="D1870" s="13"/>
      <c r="E1870" s="13"/>
    </row>
    <row r="1871">
      <c r="B1871" s="13"/>
      <c r="D1871" s="13"/>
      <c r="E1871" s="13"/>
    </row>
    <row r="1872">
      <c r="B1872" s="13"/>
      <c r="D1872" s="13"/>
      <c r="E1872" s="13"/>
    </row>
    <row r="1873">
      <c r="B1873" s="13"/>
      <c r="D1873" s="13"/>
      <c r="E1873" s="13"/>
    </row>
    <row r="1874">
      <c r="B1874" s="13"/>
      <c r="D1874" s="13"/>
      <c r="E1874" s="13"/>
    </row>
    <row r="1875">
      <c r="B1875" s="13"/>
      <c r="D1875" s="13"/>
      <c r="E1875" s="13"/>
    </row>
    <row r="1876">
      <c r="B1876" s="13"/>
      <c r="D1876" s="13"/>
      <c r="E1876" s="13"/>
    </row>
    <row r="1877">
      <c r="B1877" s="13"/>
      <c r="D1877" s="13"/>
      <c r="E1877" s="13"/>
    </row>
    <row r="1878">
      <c r="B1878" s="13"/>
      <c r="D1878" s="13"/>
      <c r="E1878" s="13"/>
    </row>
    <row r="1879">
      <c r="B1879" s="13"/>
      <c r="D1879" s="13"/>
      <c r="E1879" s="13"/>
    </row>
    <row r="1880">
      <c r="B1880" s="13"/>
      <c r="D1880" s="13"/>
      <c r="E1880" s="13"/>
    </row>
    <row r="1881">
      <c r="B1881" s="13"/>
      <c r="D1881" s="13"/>
      <c r="E1881" s="13"/>
    </row>
    <row r="1882">
      <c r="B1882" s="13"/>
      <c r="D1882" s="13"/>
      <c r="E1882" s="13"/>
    </row>
    <row r="1883">
      <c r="B1883" s="13"/>
      <c r="D1883" s="13"/>
      <c r="E1883" s="13"/>
    </row>
    <row r="1884">
      <c r="B1884" s="13"/>
      <c r="D1884" s="13"/>
      <c r="E1884" s="13"/>
    </row>
    <row r="1885">
      <c r="B1885" s="13"/>
      <c r="D1885" s="13"/>
      <c r="E1885" s="13"/>
    </row>
    <row r="1886">
      <c r="B1886" s="13"/>
      <c r="D1886" s="13"/>
      <c r="E1886" s="13"/>
    </row>
    <row r="1887">
      <c r="B1887" s="13"/>
      <c r="D1887" s="13"/>
      <c r="E1887" s="13"/>
    </row>
    <row r="1888">
      <c r="B1888" s="13"/>
      <c r="D1888" s="13"/>
      <c r="E1888" s="13"/>
    </row>
    <row r="1889">
      <c r="B1889" s="13"/>
      <c r="D1889" s="13"/>
      <c r="E1889" s="13"/>
    </row>
    <row r="1890">
      <c r="B1890" s="13"/>
      <c r="D1890" s="13"/>
      <c r="E1890" s="13"/>
    </row>
    <row r="1891">
      <c r="B1891" s="13"/>
      <c r="D1891" s="13"/>
      <c r="E1891" s="13"/>
    </row>
    <row r="1892">
      <c r="B1892" s="13"/>
      <c r="D1892" s="13"/>
      <c r="E1892" s="13"/>
    </row>
    <row r="1893">
      <c r="B1893" s="13"/>
      <c r="D1893" s="13"/>
      <c r="E1893" s="13"/>
    </row>
    <row r="1894">
      <c r="B1894" s="13"/>
      <c r="D1894" s="13"/>
      <c r="E1894" s="13"/>
    </row>
    <row r="1895">
      <c r="B1895" s="13"/>
      <c r="D1895" s="13"/>
      <c r="E1895" s="13"/>
    </row>
    <row r="1896">
      <c r="B1896" s="13"/>
      <c r="D1896" s="13"/>
      <c r="E1896" s="13"/>
    </row>
    <row r="1897">
      <c r="B1897" s="13"/>
      <c r="D1897" s="13"/>
      <c r="E1897" s="13"/>
    </row>
    <row r="1898">
      <c r="B1898" s="13"/>
      <c r="D1898" s="13"/>
      <c r="E1898" s="13"/>
    </row>
    <row r="1899">
      <c r="B1899" s="13"/>
      <c r="D1899" s="13"/>
      <c r="E1899" s="13"/>
    </row>
    <row r="1900">
      <c r="B1900" s="13"/>
      <c r="D1900" s="13"/>
      <c r="E1900" s="13"/>
    </row>
    <row r="1901">
      <c r="B1901" s="13"/>
      <c r="D1901" s="13"/>
      <c r="E1901" s="13"/>
    </row>
    <row r="1902">
      <c r="B1902" s="13"/>
      <c r="D1902" s="13"/>
      <c r="E1902" s="13"/>
    </row>
    <row r="1903">
      <c r="B1903" s="13"/>
      <c r="D1903" s="13"/>
      <c r="E1903" s="13"/>
    </row>
    <row r="1904">
      <c r="B1904" s="13"/>
      <c r="D1904" s="13"/>
      <c r="E1904" s="13"/>
    </row>
    <row r="1905">
      <c r="B1905" s="13"/>
      <c r="D1905" s="13"/>
      <c r="E1905" s="13"/>
    </row>
    <row r="1906">
      <c r="B1906" s="13"/>
      <c r="D1906" s="13"/>
      <c r="E1906" s="13"/>
    </row>
    <row r="1907">
      <c r="B1907" s="13"/>
      <c r="D1907" s="13"/>
      <c r="E1907" s="13"/>
    </row>
    <row r="1908">
      <c r="B1908" s="13"/>
      <c r="D1908" s="13"/>
      <c r="E1908" s="13"/>
    </row>
    <row r="1909">
      <c r="B1909" s="13"/>
      <c r="D1909" s="13"/>
      <c r="E1909" s="13"/>
    </row>
    <row r="1910">
      <c r="B1910" s="13"/>
      <c r="D1910" s="13"/>
      <c r="E1910" s="13"/>
    </row>
    <row r="1911">
      <c r="B1911" s="13"/>
      <c r="D1911" s="13"/>
      <c r="E1911" s="13"/>
    </row>
    <row r="1912">
      <c r="B1912" s="13"/>
      <c r="D1912" s="13"/>
      <c r="E1912" s="13"/>
    </row>
    <row r="1913">
      <c r="B1913" s="13"/>
      <c r="D1913" s="13"/>
      <c r="E1913" s="13"/>
    </row>
    <row r="1914">
      <c r="B1914" s="13"/>
      <c r="D1914" s="13"/>
      <c r="E1914" s="13"/>
    </row>
    <row r="1915">
      <c r="B1915" s="13"/>
      <c r="D1915" s="13"/>
      <c r="E1915" s="13"/>
    </row>
    <row r="1916">
      <c r="B1916" s="13"/>
      <c r="D1916" s="13"/>
      <c r="E1916" s="13"/>
    </row>
    <row r="1917">
      <c r="B1917" s="13"/>
      <c r="D1917" s="13"/>
      <c r="E1917" s="13"/>
    </row>
    <row r="1918">
      <c r="B1918" s="13"/>
      <c r="D1918" s="13"/>
      <c r="E1918" s="13"/>
    </row>
    <row r="1919">
      <c r="B1919" s="13"/>
      <c r="D1919" s="13"/>
      <c r="E1919" s="13"/>
    </row>
    <row r="1920">
      <c r="B1920" s="13"/>
      <c r="D1920" s="13"/>
      <c r="E1920" s="13"/>
    </row>
    <row r="1921">
      <c r="B1921" s="13"/>
      <c r="D1921" s="13"/>
      <c r="E1921" s="13"/>
    </row>
    <row r="1922">
      <c r="B1922" s="13"/>
      <c r="D1922" s="13"/>
      <c r="E1922" s="13"/>
    </row>
    <row r="1923">
      <c r="B1923" s="13"/>
      <c r="D1923" s="13"/>
      <c r="E1923" s="13"/>
    </row>
    <row r="1924">
      <c r="B1924" s="13"/>
      <c r="D1924" s="13"/>
      <c r="E1924" s="13"/>
    </row>
    <row r="1925">
      <c r="B1925" s="13"/>
      <c r="D1925" s="13"/>
      <c r="E1925" s="13"/>
    </row>
    <row r="1926">
      <c r="B1926" s="13"/>
      <c r="D1926" s="13"/>
      <c r="E1926" s="13"/>
    </row>
    <row r="1927">
      <c r="B1927" s="13"/>
      <c r="D1927" s="13"/>
      <c r="E1927" s="13"/>
    </row>
    <row r="1928">
      <c r="B1928" s="13"/>
      <c r="D1928" s="13"/>
      <c r="E1928" s="13"/>
    </row>
    <row r="1929">
      <c r="B1929" s="13"/>
      <c r="D1929" s="13"/>
      <c r="E1929" s="13"/>
    </row>
    <row r="1930">
      <c r="B1930" s="13"/>
      <c r="D1930" s="13"/>
      <c r="E1930" s="13"/>
    </row>
    <row r="1931">
      <c r="B1931" s="13"/>
      <c r="D1931" s="13"/>
      <c r="E1931" s="13"/>
    </row>
    <row r="1932">
      <c r="B1932" s="13"/>
      <c r="D1932" s="13"/>
      <c r="E1932" s="13"/>
    </row>
    <row r="1933">
      <c r="B1933" s="13"/>
      <c r="D1933" s="13"/>
      <c r="E1933" s="13"/>
    </row>
    <row r="1934">
      <c r="B1934" s="13"/>
      <c r="D1934" s="13"/>
      <c r="E1934" s="13"/>
    </row>
    <row r="1935">
      <c r="B1935" s="13"/>
      <c r="D1935" s="13"/>
      <c r="E1935" s="13"/>
    </row>
    <row r="1936">
      <c r="B1936" s="13"/>
      <c r="D1936" s="13"/>
      <c r="E1936" s="13"/>
    </row>
    <row r="1937">
      <c r="B1937" s="13"/>
      <c r="D1937" s="13"/>
      <c r="E1937" s="13"/>
    </row>
    <row r="1938">
      <c r="B1938" s="13"/>
      <c r="D1938" s="13"/>
      <c r="E1938" s="13"/>
    </row>
    <row r="1939">
      <c r="B1939" s="13"/>
      <c r="D1939" s="13"/>
      <c r="E1939" s="13"/>
    </row>
    <row r="1940">
      <c r="B1940" s="13"/>
      <c r="D1940" s="13"/>
      <c r="E1940" s="13"/>
    </row>
    <row r="1941">
      <c r="B1941" s="13"/>
      <c r="D1941" s="13"/>
      <c r="E1941" s="13"/>
    </row>
    <row r="1942">
      <c r="B1942" s="13"/>
      <c r="D1942" s="13"/>
      <c r="E1942" s="13"/>
    </row>
    <row r="1943">
      <c r="B1943" s="13"/>
      <c r="D1943" s="13"/>
      <c r="E1943" s="13"/>
    </row>
    <row r="1944">
      <c r="B1944" s="13"/>
      <c r="D1944" s="13"/>
      <c r="E1944" s="13"/>
    </row>
    <row r="1945">
      <c r="B1945" s="13"/>
      <c r="D1945" s="13"/>
      <c r="E1945" s="13"/>
    </row>
    <row r="1946">
      <c r="B1946" s="13"/>
      <c r="D1946" s="13"/>
      <c r="E1946" s="13"/>
    </row>
    <row r="1947">
      <c r="B1947" s="13"/>
      <c r="D1947" s="13"/>
      <c r="E1947" s="13"/>
    </row>
    <row r="1948">
      <c r="B1948" s="13"/>
      <c r="D1948" s="13"/>
      <c r="E1948" s="13"/>
    </row>
    <row r="1949">
      <c r="B1949" s="13"/>
      <c r="D1949" s="13"/>
      <c r="E1949" s="13"/>
    </row>
    <row r="1950">
      <c r="B1950" s="13"/>
      <c r="D1950" s="13"/>
      <c r="E1950" s="13"/>
    </row>
    <row r="1951">
      <c r="B1951" s="13"/>
      <c r="D1951" s="13"/>
      <c r="E1951" s="13"/>
    </row>
    <row r="1952">
      <c r="B1952" s="13"/>
      <c r="D1952" s="13"/>
      <c r="E1952" s="13"/>
    </row>
    <row r="1953">
      <c r="B1953" s="13"/>
      <c r="D1953" s="13"/>
      <c r="E1953" s="13"/>
    </row>
    <row r="1954">
      <c r="B1954" s="13"/>
      <c r="D1954" s="13"/>
      <c r="E1954" s="13"/>
    </row>
    <row r="1955">
      <c r="B1955" s="13"/>
      <c r="D1955" s="13"/>
      <c r="E1955" s="13"/>
    </row>
    <row r="1956">
      <c r="B1956" s="13"/>
      <c r="D1956" s="13"/>
      <c r="E1956" s="13"/>
    </row>
    <row r="1957">
      <c r="B1957" s="13"/>
      <c r="D1957" s="13"/>
      <c r="E1957" s="13"/>
    </row>
    <row r="1958">
      <c r="B1958" s="13"/>
      <c r="D1958" s="13"/>
      <c r="E1958" s="13"/>
    </row>
    <row r="1959">
      <c r="B1959" s="13"/>
      <c r="D1959" s="13"/>
      <c r="E1959" s="13"/>
    </row>
    <row r="1960">
      <c r="B1960" s="13"/>
      <c r="D1960" s="13"/>
      <c r="E1960" s="13"/>
    </row>
    <row r="1961">
      <c r="B1961" s="13"/>
      <c r="D1961" s="13"/>
      <c r="E1961" s="13"/>
    </row>
    <row r="1962">
      <c r="B1962" s="13"/>
      <c r="D1962" s="13"/>
      <c r="E1962" s="13"/>
    </row>
    <row r="1963">
      <c r="B1963" s="13"/>
      <c r="D1963" s="13"/>
      <c r="E1963" s="13"/>
    </row>
    <row r="1964">
      <c r="B1964" s="13"/>
      <c r="D1964" s="13"/>
      <c r="E1964" s="13"/>
    </row>
    <row r="1965">
      <c r="B1965" s="13"/>
      <c r="D1965" s="13"/>
      <c r="E1965" s="13"/>
    </row>
    <row r="1966">
      <c r="B1966" s="13"/>
      <c r="D1966" s="13"/>
      <c r="E1966" s="13"/>
    </row>
    <row r="1967">
      <c r="B1967" s="13"/>
      <c r="D1967" s="13"/>
      <c r="E1967" s="13"/>
    </row>
    <row r="1968">
      <c r="B1968" s="13"/>
      <c r="D1968" s="13"/>
      <c r="E1968" s="13"/>
    </row>
    <row r="1969">
      <c r="B1969" s="13"/>
      <c r="D1969" s="13"/>
      <c r="E1969" s="13"/>
    </row>
    <row r="1970">
      <c r="B1970" s="13"/>
      <c r="D1970" s="13"/>
      <c r="E1970" s="13"/>
    </row>
    <row r="1971">
      <c r="B1971" s="13"/>
      <c r="D1971" s="13"/>
      <c r="E1971" s="13"/>
    </row>
    <row r="1972">
      <c r="B1972" s="13"/>
      <c r="D1972" s="13"/>
      <c r="E1972" s="13"/>
    </row>
    <row r="1973">
      <c r="B1973" s="13"/>
      <c r="D1973" s="13"/>
      <c r="E1973" s="13"/>
    </row>
    <row r="1974">
      <c r="B1974" s="13"/>
      <c r="D1974" s="13"/>
      <c r="E1974" s="13"/>
    </row>
    <row r="1975">
      <c r="B1975" s="13"/>
      <c r="D1975" s="13"/>
      <c r="E1975" s="13"/>
    </row>
    <row r="1976">
      <c r="B1976" s="13"/>
      <c r="D1976" s="13"/>
      <c r="E1976" s="13"/>
    </row>
    <row r="1977">
      <c r="B1977" s="13"/>
      <c r="D1977" s="13"/>
      <c r="E1977" s="13"/>
    </row>
    <row r="1978">
      <c r="B1978" s="13"/>
      <c r="D1978" s="13"/>
      <c r="E1978" s="13"/>
    </row>
    <row r="1979">
      <c r="B1979" s="13"/>
      <c r="D1979" s="13"/>
      <c r="E1979" s="13"/>
    </row>
    <row r="1980">
      <c r="B1980" s="13"/>
      <c r="D1980" s="13"/>
      <c r="E1980" s="13"/>
    </row>
    <row r="1981">
      <c r="B1981" s="13"/>
      <c r="D1981" s="13"/>
      <c r="E1981" s="13"/>
    </row>
    <row r="1982">
      <c r="B1982" s="13"/>
      <c r="D1982" s="13"/>
      <c r="E1982" s="13"/>
    </row>
    <row r="1983">
      <c r="B1983" s="13"/>
      <c r="D1983" s="13"/>
      <c r="E1983" s="13"/>
    </row>
    <row r="1984">
      <c r="B1984" s="13"/>
      <c r="D1984" s="13"/>
      <c r="E1984" s="13"/>
    </row>
    <row r="1985">
      <c r="B1985" s="13"/>
      <c r="D1985" s="13"/>
      <c r="E1985" s="13"/>
    </row>
    <row r="1986">
      <c r="B1986" s="13"/>
      <c r="D1986" s="13"/>
      <c r="E1986" s="13"/>
    </row>
    <row r="1987">
      <c r="B1987" s="13"/>
      <c r="D1987" s="13"/>
      <c r="E1987" s="13"/>
    </row>
    <row r="1988">
      <c r="B1988" s="13"/>
      <c r="D1988" s="13"/>
      <c r="E1988" s="13"/>
    </row>
    <row r="1989">
      <c r="B1989" s="13"/>
      <c r="D1989" s="13"/>
      <c r="E1989" s="13"/>
    </row>
    <row r="1990">
      <c r="B1990" s="13"/>
      <c r="D1990" s="13"/>
      <c r="E1990" s="13"/>
    </row>
    <row r="1991">
      <c r="B1991" s="13"/>
      <c r="D1991" s="13"/>
      <c r="E1991" s="13"/>
    </row>
    <row r="1992">
      <c r="B1992" s="13"/>
      <c r="D1992" s="13"/>
      <c r="E1992" s="13"/>
    </row>
    <row r="1993">
      <c r="B1993" s="13"/>
      <c r="D1993" s="13"/>
      <c r="E1993" s="13"/>
    </row>
    <row r="1994">
      <c r="B1994" s="13"/>
      <c r="D1994" s="13"/>
      <c r="E1994" s="13"/>
    </row>
    <row r="1995">
      <c r="B1995" s="13"/>
      <c r="D1995" s="13"/>
      <c r="E1995" s="13"/>
    </row>
    <row r="1996">
      <c r="B1996" s="13"/>
      <c r="D1996" s="13"/>
      <c r="E1996" s="13"/>
    </row>
    <row r="1997">
      <c r="B1997" s="13"/>
      <c r="D1997" s="13"/>
      <c r="E1997" s="13"/>
    </row>
    <row r="1998">
      <c r="B1998" s="13"/>
      <c r="D1998" s="13"/>
      <c r="E1998" s="13"/>
    </row>
    <row r="1999">
      <c r="B1999" s="13"/>
      <c r="D1999" s="13"/>
      <c r="E1999" s="13"/>
    </row>
    <row r="2000">
      <c r="B2000" s="13"/>
      <c r="D2000" s="13"/>
      <c r="E2000" s="13"/>
    </row>
    <row r="2001">
      <c r="B2001" s="13"/>
      <c r="D2001" s="13"/>
      <c r="E2001" s="13"/>
    </row>
    <row r="2002">
      <c r="B2002" s="13"/>
      <c r="D2002" s="13"/>
      <c r="E2002" s="13"/>
    </row>
    <row r="2003">
      <c r="B2003" s="13"/>
      <c r="D2003" s="13"/>
      <c r="E2003" s="13"/>
    </row>
    <row r="2004">
      <c r="B2004" s="13"/>
      <c r="D2004" s="13"/>
      <c r="E2004" s="13"/>
    </row>
    <row r="2005">
      <c r="B2005" s="13"/>
      <c r="D2005" s="13"/>
      <c r="E2005" s="13"/>
    </row>
    <row r="2006">
      <c r="B2006" s="13"/>
      <c r="D2006" s="13"/>
      <c r="E2006" s="13"/>
    </row>
    <row r="2007">
      <c r="B2007" s="13"/>
      <c r="D2007" s="13"/>
      <c r="E2007" s="13"/>
    </row>
    <row r="2008">
      <c r="B2008" s="13"/>
      <c r="D2008" s="13"/>
      <c r="E2008" s="13"/>
    </row>
    <row r="2009">
      <c r="B2009" s="13"/>
      <c r="D2009" s="13"/>
      <c r="E2009" s="13"/>
    </row>
    <row r="2010">
      <c r="B2010" s="13"/>
      <c r="D2010" s="13"/>
      <c r="E2010" s="13"/>
    </row>
    <row r="2011">
      <c r="B2011" s="13"/>
      <c r="D2011" s="13"/>
      <c r="E2011" s="13"/>
    </row>
    <row r="2012">
      <c r="B2012" s="13"/>
      <c r="D2012" s="13"/>
      <c r="E2012" s="13"/>
    </row>
    <row r="2013">
      <c r="B2013" s="13"/>
      <c r="D2013" s="13"/>
      <c r="E2013" s="13"/>
    </row>
    <row r="2014">
      <c r="B2014" s="13"/>
      <c r="D2014" s="13"/>
      <c r="E2014" s="13"/>
    </row>
    <row r="2015">
      <c r="B2015" s="13"/>
      <c r="D2015" s="13"/>
      <c r="E2015" s="13"/>
    </row>
    <row r="2016">
      <c r="B2016" s="13"/>
      <c r="D2016" s="13"/>
      <c r="E2016" s="13"/>
    </row>
    <row r="2017">
      <c r="B2017" s="13"/>
      <c r="D2017" s="13"/>
      <c r="E2017" s="13"/>
    </row>
    <row r="2018">
      <c r="B2018" s="13"/>
      <c r="D2018" s="13"/>
      <c r="E2018" s="13"/>
    </row>
    <row r="2019">
      <c r="B2019" s="13"/>
      <c r="D2019" s="13"/>
      <c r="E2019" s="13"/>
    </row>
    <row r="2020">
      <c r="B2020" s="13"/>
      <c r="D2020" s="13"/>
      <c r="E2020" s="13"/>
    </row>
    <row r="2021">
      <c r="B2021" s="13"/>
      <c r="D2021" s="13"/>
      <c r="E2021" s="13"/>
    </row>
    <row r="2022">
      <c r="B2022" s="13"/>
      <c r="D2022" s="13"/>
      <c r="E2022" s="13"/>
    </row>
    <row r="2023">
      <c r="B2023" s="13"/>
      <c r="D2023" s="13"/>
      <c r="E2023" s="13"/>
    </row>
    <row r="2024">
      <c r="B2024" s="13"/>
      <c r="D2024" s="13"/>
      <c r="E2024" s="13"/>
    </row>
    <row r="2025">
      <c r="B2025" s="13"/>
      <c r="D2025" s="13"/>
      <c r="E2025" s="13"/>
    </row>
    <row r="2026">
      <c r="B2026" s="13"/>
      <c r="D2026" s="13"/>
      <c r="E2026" s="13"/>
    </row>
    <row r="2027">
      <c r="B2027" s="13"/>
      <c r="D2027" s="13"/>
      <c r="E2027" s="13"/>
    </row>
    <row r="2028">
      <c r="B2028" s="13"/>
      <c r="D2028" s="13"/>
      <c r="E2028" s="13"/>
    </row>
    <row r="2029">
      <c r="B2029" s="13"/>
      <c r="D2029" s="13"/>
      <c r="E2029" s="13"/>
    </row>
    <row r="2030">
      <c r="B2030" s="13"/>
      <c r="D2030" s="13"/>
      <c r="E2030" s="13"/>
    </row>
    <row r="2031">
      <c r="B2031" s="13"/>
      <c r="D2031" s="13"/>
      <c r="E2031" s="13"/>
    </row>
    <row r="2032">
      <c r="B2032" s="13"/>
      <c r="D2032" s="13"/>
      <c r="E2032" s="13"/>
    </row>
    <row r="2033">
      <c r="B2033" s="13"/>
      <c r="D2033" s="13"/>
      <c r="E2033" s="13"/>
    </row>
    <row r="2034">
      <c r="B2034" s="13"/>
      <c r="D2034" s="13"/>
      <c r="E2034" s="13"/>
    </row>
    <row r="2035">
      <c r="B2035" s="13"/>
      <c r="D2035" s="13"/>
      <c r="E2035" s="13"/>
    </row>
    <row r="2036">
      <c r="B2036" s="13"/>
      <c r="D2036" s="13"/>
      <c r="E2036" s="13"/>
    </row>
    <row r="2037">
      <c r="B2037" s="13"/>
      <c r="D2037" s="13"/>
      <c r="E2037" s="13"/>
    </row>
    <row r="2038">
      <c r="B2038" s="13"/>
      <c r="D2038" s="13"/>
      <c r="E2038" s="13"/>
    </row>
    <row r="2039">
      <c r="B2039" s="13"/>
      <c r="D2039" s="13"/>
      <c r="E2039" s="13"/>
    </row>
    <row r="2040">
      <c r="B2040" s="13"/>
      <c r="D2040" s="13"/>
      <c r="E2040" s="13"/>
    </row>
    <row r="2041">
      <c r="B2041" s="13"/>
      <c r="D2041" s="13"/>
      <c r="E2041" s="13"/>
    </row>
    <row r="2042">
      <c r="B2042" s="13"/>
      <c r="D2042" s="13"/>
      <c r="E2042" s="13"/>
    </row>
    <row r="2043">
      <c r="B2043" s="13"/>
      <c r="D2043" s="13"/>
      <c r="E2043" s="13"/>
    </row>
    <row r="2044">
      <c r="B2044" s="13"/>
      <c r="D2044" s="13"/>
      <c r="E2044" s="13"/>
    </row>
    <row r="2045">
      <c r="B2045" s="13"/>
      <c r="D2045" s="13"/>
      <c r="E2045" s="13"/>
    </row>
    <row r="2046">
      <c r="B2046" s="13"/>
      <c r="D2046" s="13"/>
      <c r="E2046" s="13"/>
    </row>
    <row r="2047">
      <c r="B2047" s="13"/>
      <c r="D2047" s="13"/>
      <c r="E2047" s="13"/>
    </row>
    <row r="2048">
      <c r="B2048" s="13"/>
      <c r="D2048" s="13"/>
      <c r="E2048" s="13"/>
    </row>
    <row r="2049">
      <c r="B2049" s="13"/>
      <c r="D2049" s="13"/>
      <c r="E2049" s="13"/>
    </row>
    <row r="2050">
      <c r="B2050" s="13"/>
      <c r="D2050" s="13"/>
      <c r="E2050" s="13"/>
    </row>
    <row r="2051">
      <c r="B2051" s="13"/>
      <c r="D2051" s="13"/>
      <c r="E2051" s="13"/>
    </row>
    <row r="2052">
      <c r="B2052" s="13"/>
      <c r="D2052" s="13"/>
      <c r="E2052" s="13"/>
    </row>
    <row r="2053">
      <c r="B2053" s="13"/>
      <c r="D2053" s="13"/>
      <c r="E2053" s="13"/>
    </row>
    <row r="2054">
      <c r="B2054" s="13"/>
      <c r="D2054" s="13"/>
      <c r="E2054" s="13"/>
    </row>
    <row r="2055">
      <c r="B2055" s="13"/>
      <c r="D2055" s="13"/>
      <c r="E2055" s="13"/>
    </row>
    <row r="2056">
      <c r="B2056" s="13"/>
      <c r="D2056" s="13"/>
      <c r="E2056" s="13"/>
    </row>
    <row r="2057">
      <c r="B2057" s="13"/>
      <c r="D2057" s="13"/>
      <c r="E2057" s="13"/>
    </row>
    <row r="2058">
      <c r="B2058" s="13"/>
      <c r="D2058" s="13"/>
      <c r="E2058" s="13"/>
    </row>
    <row r="2059">
      <c r="B2059" s="13"/>
      <c r="D2059" s="13"/>
      <c r="E2059" s="13"/>
    </row>
    <row r="2060">
      <c r="B2060" s="13"/>
      <c r="D2060" s="13"/>
      <c r="E2060" s="13"/>
    </row>
    <row r="2061">
      <c r="B2061" s="13"/>
      <c r="D2061" s="13"/>
      <c r="E2061" s="13"/>
    </row>
    <row r="2062">
      <c r="B2062" s="13"/>
      <c r="D2062" s="13"/>
      <c r="E2062" s="13"/>
    </row>
    <row r="2063">
      <c r="B2063" s="13"/>
      <c r="D2063" s="13"/>
      <c r="E2063" s="13"/>
    </row>
    <row r="2064">
      <c r="B2064" s="13"/>
      <c r="D2064" s="13"/>
      <c r="E2064" s="13"/>
    </row>
    <row r="2065">
      <c r="B2065" s="13"/>
      <c r="D2065" s="13"/>
      <c r="E2065" s="13"/>
    </row>
    <row r="2066">
      <c r="B2066" s="13"/>
      <c r="D2066" s="13"/>
      <c r="E2066" s="13"/>
    </row>
    <row r="2067">
      <c r="B2067" s="13"/>
      <c r="D2067" s="13"/>
      <c r="E2067" s="13"/>
    </row>
    <row r="2068">
      <c r="B2068" s="13"/>
      <c r="D2068" s="13"/>
      <c r="E2068" s="13"/>
    </row>
    <row r="2069">
      <c r="B2069" s="13"/>
      <c r="D2069" s="13"/>
      <c r="E2069" s="13"/>
    </row>
    <row r="2070">
      <c r="B2070" s="13"/>
      <c r="D2070" s="13"/>
      <c r="E2070" s="13"/>
    </row>
    <row r="2071">
      <c r="B2071" s="13"/>
      <c r="D2071" s="13"/>
      <c r="E2071" s="13"/>
    </row>
    <row r="2072">
      <c r="B2072" s="13"/>
      <c r="D2072" s="13"/>
      <c r="E2072" s="13"/>
    </row>
    <row r="2073">
      <c r="B2073" s="13"/>
      <c r="D2073" s="13"/>
      <c r="E2073" s="13"/>
    </row>
    <row r="2074">
      <c r="B2074" s="13"/>
      <c r="D2074" s="13"/>
      <c r="E2074" s="13"/>
    </row>
    <row r="2075">
      <c r="B2075" s="13"/>
      <c r="D2075" s="13"/>
      <c r="E2075" s="13"/>
    </row>
  </sheetData>
  <autoFilter ref="$A$1:$Z$2075"/>
  <hyperlinks>
    <hyperlink r:id="rId1" ref="A2"/>
    <hyperlink r:id="rId2" ref="C2"/>
    <hyperlink r:id="rId3" ref="A3"/>
    <hyperlink r:id="rId4" ref="C3"/>
    <hyperlink r:id="rId5" ref="A4"/>
    <hyperlink r:id="rId6" ref="C4"/>
    <hyperlink r:id="rId7" ref="A5"/>
    <hyperlink r:id="rId8" ref="C5"/>
    <hyperlink r:id="rId9" ref="A6"/>
    <hyperlink r:id="rId10" ref="A7"/>
    <hyperlink r:id="rId11" ref="C7"/>
    <hyperlink r:id="rId12" location=":~:text=POLARIS%20earns%20the%20top%20position,broad%2Dbased%20organic%20search%20practice.&amp;text=POLARIS%20offers%20AI%20Search%20and,citation%20building%20through%20digital%20PR." ref="A8"/>
    <hyperlink r:id="rId13" ref="C8"/>
    <hyperlink r:id="rId14" ref="A9"/>
    <hyperlink r:id="rId15" ref="C9"/>
    <hyperlink r:id="rId16" ref="A10"/>
    <hyperlink r:id="rId17" ref="A11"/>
    <hyperlink r:id="rId18" ref="C11"/>
    <hyperlink r:id="rId19" location=":~:text=Rank,within%20one%20agile%20operating%20system." ref="A12"/>
    <hyperlink r:id="rId20" ref="A13"/>
    <hyperlink r:id="rId21" ref="C13"/>
    <hyperlink r:id="rId22" ref="A14"/>
    <hyperlink r:id="rId23" ref="C14"/>
    <hyperlink r:id="rId24" ref="A15"/>
    <hyperlink r:id="rId25" ref="C15"/>
    <hyperlink r:id="rId26" ref="A16"/>
    <hyperlink r:id="rId27" ref="C16"/>
    <hyperlink r:id="rId28" ref="A17"/>
    <hyperlink r:id="rId29" ref="C17"/>
    <hyperlink r:id="rId30" ref="A18"/>
    <hyperlink r:id="rId31" ref="C18"/>
    <hyperlink r:id="rId32" ref="A19"/>
    <hyperlink r:id="rId33" ref="C19"/>
    <hyperlink r:id="rId34" ref="A20"/>
    <hyperlink r:id="rId35" ref="C20"/>
    <hyperlink r:id="rId36" ref="A21"/>
    <hyperlink r:id="rId37" ref="C21"/>
    <hyperlink r:id="rId38" ref="A22"/>
    <hyperlink r:id="rId39" ref="C22"/>
    <hyperlink r:id="rId40" ref="A23"/>
    <hyperlink r:id="rId41" ref="C23"/>
    <hyperlink r:id="rId42" ref="A24"/>
    <hyperlink r:id="rId43" ref="A25"/>
    <hyperlink r:id="rId44" ref="C25"/>
    <hyperlink r:id="rId45" ref="A26"/>
    <hyperlink r:id="rId46" ref="C26"/>
    <hyperlink r:id="rId47" location=":~:text=Whether%20you're%20looking%20to,Media%20Group%20local%20news%20sites." ref="A27"/>
    <hyperlink r:id="rId48" ref="C27"/>
    <hyperlink r:id="rId49" ref="A28"/>
    <hyperlink r:id="rId50" ref="C28"/>
    <hyperlink r:id="rId51" ref="A29"/>
    <hyperlink r:id="rId52" ref="C29"/>
    <hyperlink r:id="rId53" location=":~:text=Each%20one%20has%20demonstrated%20excellence,TikTok%20Agency%20Partner" ref="A30"/>
    <hyperlink r:id="rId54" ref="A31"/>
    <hyperlink r:id="rId55" ref="C31"/>
    <hyperlink r:id="rId56" ref="A32"/>
    <hyperlink r:id="rId57" ref="C32"/>
    <hyperlink r:id="rId58" ref="A33"/>
    <hyperlink r:id="rId59" ref="A34"/>
    <hyperlink r:id="rId60" ref="C34"/>
    <hyperlink r:id="rId61" ref="A35"/>
    <hyperlink r:id="rId62" ref="C35"/>
    <hyperlink r:id="rId63" ref="A36"/>
    <hyperlink r:id="rId64" ref="C36"/>
    <hyperlink r:id="rId65" location=":~:text=One%20thing%20and%20one%20thing,no%20paid%20media%2C%20nothing%20else." ref="A37"/>
    <hyperlink r:id="rId66" ref="C37"/>
    <hyperlink r:id="rId67" location=":~:text=Its%20track%20record%20spans%20large,automation%20depth%20and%20consistent%20results." ref="A38"/>
    <hyperlink r:id="rId68" ref="C38"/>
    <hyperlink r:id="rId69" ref="A39"/>
    <hyperlink r:id="rId70" ref="C39"/>
    <hyperlink r:id="rId71" ref="A40"/>
    <hyperlink r:id="rId72" ref="C40"/>
    <hyperlink r:id="rId73" ref="A41"/>
    <hyperlink r:id="rId74" ref="C41"/>
    <hyperlink r:id="rId75" location=":~:text=Google%20Marketing%20Platform%20Partner%20Agency,and%20measure%20in%20one%20place." ref="A42"/>
    <hyperlink r:id="rId76" ref="C42"/>
    <hyperlink r:id="rId77" ref="A43"/>
    <hyperlink r:id="rId78" ref="C43"/>
    <hyperlink r:id="rId79" ref="A44"/>
    <hyperlink r:id="rId80" ref="C44"/>
    <hyperlink r:id="rId81" ref="A45"/>
    <hyperlink r:id="rId82" ref="C45"/>
    <hyperlink r:id="rId83" location=":~:text=B2B%20technology%20sales.-,Impression,Tiles%2C%20and%20Cancer%20Research%20UK." ref="A46"/>
    <hyperlink r:id="rId84" ref="C46"/>
    <hyperlink r:id="rId85" ref="A47"/>
    <hyperlink r:id="rId86" ref="C47"/>
    <hyperlink r:id="rId87" ref="A48"/>
    <hyperlink r:id="rId88" ref="A49"/>
    <hyperlink r:id="rId89" ref="A50"/>
    <hyperlink r:id="rId90" ref="C50"/>
    <hyperlink r:id="rId91" ref="A51"/>
    <hyperlink r:id="rId92" ref="A52"/>
    <hyperlink r:id="rId93" ref="C52"/>
    <hyperlink r:id="rId94" ref="A53"/>
    <hyperlink r:id="rId95" ref="C53"/>
    <hyperlink r:id="rId96" ref="A54"/>
    <hyperlink r:id="rId97" ref="C54"/>
    <hyperlink r:id="rId98" ref="A55"/>
    <hyperlink r:id="rId99" ref="C55"/>
    <hyperlink r:id="rId100" ref="A56"/>
    <hyperlink r:id="rId101" ref="C56"/>
    <hyperlink r:id="rId102" ref="A57"/>
    <hyperlink r:id="rId103" ref="C57"/>
    <hyperlink r:id="rId104" ref="A58"/>
    <hyperlink r:id="rId105" ref="C58"/>
    <hyperlink r:id="rId106" ref="A59"/>
    <hyperlink r:id="rId107" ref="C59"/>
    <hyperlink r:id="rId108" ref="A60"/>
    <hyperlink r:id="rId109" ref="C60"/>
    <hyperlink r:id="rId110" ref="A61"/>
    <hyperlink r:id="rId111" ref="C61"/>
    <hyperlink r:id="rId112" ref="A62"/>
    <hyperlink r:id="rId113" ref="C62"/>
    <hyperlink r:id="rId114" ref="A63"/>
    <hyperlink r:id="rId115" ref="C63"/>
    <hyperlink r:id="rId116" ref="A64"/>
    <hyperlink r:id="rId117" ref="C64"/>
    <hyperlink r:id="rId118" ref="A65"/>
    <hyperlink r:id="rId119" ref="A66"/>
    <hyperlink r:id="rId120" ref="C66"/>
    <hyperlink r:id="rId121" ref="A67"/>
    <hyperlink r:id="rId122" ref="C67"/>
    <hyperlink r:id="rId123" ref="A68"/>
    <hyperlink r:id="rId124" ref="C68"/>
    <hyperlink r:id="rId125" location=":~:text=Buried%20Agency%20is%20a%20UK,Google%20AI%20Overviews%2C%20and%20Perplexity." ref="A69"/>
    <hyperlink r:id="rId126" ref="C69"/>
    <hyperlink r:id="rId127" ref="A70"/>
    <hyperlink r:id="rId128" ref="C70"/>
    <hyperlink r:id="rId129" ref="A71"/>
    <hyperlink r:id="rId130" ref="C71"/>
    <hyperlink r:id="rId131" ref="A72"/>
    <hyperlink r:id="rId132" ref="C72"/>
    <hyperlink r:id="rId133" ref="A73"/>
    <hyperlink r:id="rId134" ref="C73"/>
    <hyperlink r:id="rId135" ref="A74"/>
    <hyperlink r:id="rId136" ref="C74"/>
    <hyperlink r:id="rId137" ref="A75"/>
    <hyperlink r:id="rId138" ref="C75"/>
    <hyperlink r:id="rId139" ref="A76"/>
    <hyperlink r:id="rId140" ref="C76"/>
    <hyperlink r:id="rId141" ref="A77"/>
    <hyperlink r:id="rId142" ref="C77"/>
    <hyperlink r:id="rId143" ref="A78"/>
    <hyperlink r:id="rId144" ref="C78"/>
    <hyperlink r:id="rId145" ref="A79"/>
    <hyperlink r:id="rId146" ref="C79"/>
    <hyperlink r:id="rId147" ref="A80"/>
    <hyperlink r:id="rId148" ref="C80"/>
    <hyperlink r:id="rId149" location=":~:text=Found%20is%20the%20AI%2Dfirst,performance%20across%20every%20searchable%20platform." ref="A81"/>
    <hyperlink r:id="rId150" ref="C81"/>
    <hyperlink r:id="rId151" ref="A82"/>
    <hyperlink r:id="rId152" location=":~:text=Tests%20all%20six%20platforms.,within%20their%20broader%20SEO%20offering." ref="A83"/>
    <hyperlink r:id="rId153" ref="C83"/>
    <hyperlink r:id="rId154" ref="A84"/>
    <hyperlink r:id="rId155" ref="C84"/>
    <hyperlink r:id="rId156" ref="A85"/>
    <hyperlink r:id="rId157" ref="A86"/>
    <hyperlink r:id="rId158" ref="C86"/>
    <hyperlink r:id="rId159" ref="A87"/>
    <hyperlink r:id="rId160" ref="C87"/>
    <hyperlink r:id="rId161" ref="A88"/>
    <hyperlink r:id="rId162" ref="C88"/>
    <hyperlink r:id="rId163" ref="A89"/>
    <hyperlink r:id="rId164" ref="C89"/>
    <hyperlink r:id="rId165" ref="A90"/>
    <hyperlink r:id="rId166" ref="C90"/>
    <hyperlink r:id="rId167" ref="A91"/>
    <hyperlink r:id="rId168" ref="C91"/>
    <hyperlink r:id="rId169" ref="A92"/>
    <hyperlink r:id="rId170" ref="C92"/>
    <hyperlink r:id="rId171" ref="A93"/>
    <hyperlink r:id="rId172" ref="C93"/>
    <hyperlink r:id="rId173" ref="A94"/>
    <hyperlink r:id="rId174" ref="C94"/>
    <hyperlink r:id="rId175" ref="A95"/>
    <hyperlink r:id="rId176" ref="C95"/>
    <hyperlink r:id="rId177" ref="A96"/>
    <hyperlink r:id="rId178" ref="C96"/>
    <hyperlink r:id="rId179" ref="A97"/>
    <hyperlink r:id="rId180" ref="C97"/>
    <hyperlink r:id="rId181" ref="A98"/>
    <hyperlink r:id="rId182" ref="C98"/>
    <hyperlink r:id="rId183" ref="A99"/>
    <hyperlink r:id="rId184" ref="C99"/>
    <hyperlink r:id="rId185" ref="A100"/>
    <hyperlink r:id="rId186" ref="C100"/>
    <hyperlink r:id="rId187" ref="A101"/>
    <hyperlink r:id="rId188" ref="C101"/>
    <hyperlink r:id="rId189" ref="A102"/>
    <hyperlink r:id="rId190" ref="C102"/>
    <hyperlink r:id="rId191" ref="A103"/>
    <hyperlink r:id="rId192" ref="C103"/>
    <hyperlink r:id="rId193" ref="A104"/>
    <hyperlink r:id="rId194" ref="C104"/>
    <hyperlink r:id="rId195" ref="A105"/>
    <hyperlink r:id="rId196" ref="C105"/>
    <hyperlink r:id="rId197" ref="A106"/>
    <hyperlink r:id="rId198" ref="C106"/>
    <hyperlink r:id="rId199" ref="A107"/>
    <hyperlink r:id="rId200" ref="C107"/>
    <hyperlink r:id="rId201" ref="A108"/>
    <hyperlink r:id="rId202" ref="C108"/>
    <hyperlink r:id="rId203" ref="A109"/>
    <hyperlink r:id="rId204" ref="C109"/>
    <hyperlink r:id="rId205" ref="A110"/>
    <hyperlink r:id="rId206" ref="C110"/>
    <hyperlink r:id="rId207" ref="A111"/>
    <hyperlink r:id="rId208" ref="A112"/>
    <hyperlink r:id="rId209" ref="C112"/>
    <hyperlink r:id="rId210" ref="A113"/>
    <hyperlink r:id="rId211" ref="C113"/>
    <hyperlink r:id="rId212" ref="A114"/>
    <hyperlink r:id="rId213" ref="A115"/>
    <hyperlink r:id="rId214" ref="C115"/>
    <hyperlink r:id="rId215" ref="A116"/>
    <hyperlink r:id="rId216" ref="C116"/>
    <hyperlink r:id="rId217" ref="A117"/>
    <hyperlink r:id="rId218" ref="C117"/>
    <hyperlink r:id="rId219" ref="A118"/>
    <hyperlink r:id="rId220" ref="C118"/>
    <hyperlink r:id="rId221" ref="A119"/>
    <hyperlink r:id="rId222" ref="C119"/>
    <hyperlink r:id="rId223" ref="A120"/>
    <hyperlink r:id="rId224" ref="C120"/>
    <hyperlink r:id="rId225" ref="A121"/>
    <hyperlink r:id="rId226" ref="C121"/>
    <hyperlink r:id="rId227" location=":~:text=Based%20in%20the%20UK%20and,genuinely%20full%2Dfunnel%20growth%20model." ref="A122"/>
    <hyperlink r:id="rId228" ref="C122"/>
    <hyperlink r:id="rId229" ref="A123"/>
    <hyperlink r:id="rId230" ref="C123"/>
    <hyperlink r:id="rId231" ref="A124"/>
    <hyperlink r:id="rId232" ref="C124"/>
    <hyperlink r:id="rId233" ref="A125"/>
    <hyperlink r:id="rId234" ref="C125"/>
    <hyperlink r:id="rId235" ref="A126"/>
    <hyperlink r:id="rId236" ref="A127"/>
    <hyperlink r:id="rId237" ref="C127"/>
    <hyperlink r:id="rId238" location=":~:text=They%20believe%20that%20weaving%20stories,Gripped" ref="A128"/>
    <hyperlink r:id="rId239" ref="C128"/>
    <hyperlink r:id="rId240" location=":~:text=This%20gap%20is%20where%20specialist,revenue%2C%20not%20just%20productivity%20metrics." ref="A129"/>
    <hyperlink r:id="rId241" ref="C129"/>
    <hyperlink r:id="rId242" ref="A130"/>
    <hyperlink r:id="rId243" ref="C130"/>
    <hyperlink r:id="rId244" ref="A131"/>
    <hyperlink r:id="rId245" ref="A132"/>
    <hyperlink r:id="rId246" ref="C132"/>
    <hyperlink r:id="rId247" ref="A133"/>
    <hyperlink r:id="rId248" ref="C133"/>
    <hyperlink r:id="rId249" ref="A134"/>
    <hyperlink r:id="rId250" ref="A135"/>
    <hyperlink r:id="rId251" ref="C135"/>
    <hyperlink r:id="rId252" ref="A136"/>
    <hyperlink r:id="rId253" ref="C136"/>
    <hyperlink r:id="rId254" location=":~:text=1.,is%20not%20the%20same%20thing." ref="A137"/>
    <hyperlink r:id="rId255" ref="C137"/>
    <hyperlink r:id="rId256" ref="A138"/>
    <hyperlink r:id="rId257" ref="C138"/>
    <hyperlink r:id="rId258" ref="A139"/>
    <hyperlink r:id="rId259" ref="C139"/>
    <hyperlink r:id="rId260" ref="A140"/>
    <hyperlink r:id="rId261" ref="C140"/>
    <hyperlink r:id="rId262" ref="A141"/>
    <hyperlink r:id="rId263" ref="C141"/>
    <hyperlink r:id="rId264" ref="A142"/>
    <hyperlink r:id="rId265" ref="C142"/>
    <hyperlink r:id="rId266" ref="A143"/>
    <hyperlink r:id="rId267" ref="C143"/>
    <hyperlink r:id="rId268" location=":~:text=Kantar's%20Blueprint%20for%20Brand%20Growth,intelligence%20it%20brings%20to%20clients." ref="A144"/>
    <hyperlink r:id="rId269" ref="C144"/>
    <hyperlink r:id="rId270" ref="A145"/>
    <hyperlink r:id="rId271" ref="C145"/>
    <hyperlink r:id="rId272" ref="A146"/>
    <hyperlink r:id="rId273" ref="C146"/>
    <hyperlink r:id="rId274" ref="A147"/>
    <hyperlink r:id="rId275" ref="C147"/>
    <hyperlink r:id="rId276" ref="A148"/>
    <hyperlink r:id="rId277" ref="C148"/>
    <hyperlink r:id="rId278" ref="A149"/>
    <hyperlink r:id="rId279" ref="C149"/>
    <hyperlink r:id="rId280" ref="A150"/>
    <hyperlink r:id="rId281" ref="C150"/>
    <hyperlink r:id="rId282" ref="A151"/>
    <hyperlink r:id="rId283" ref="A152"/>
    <hyperlink r:id="rId284" ref="C152"/>
    <hyperlink r:id="rId285" ref="A153"/>
    <hyperlink r:id="rId286" ref="C153"/>
    <hyperlink r:id="rId287" ref="A154"/>
    <hyperlink r:id="rId288" ref="C154"/>
    <hyperlink r:id="rId289" ref="A155"/>
    <hyperlink r:id="rId290" ref="C155"/>
    <hyperlink r:id="rId291" ref="A156"/>
    <hyperlink r:id="rId292" ref="C156"/>
    <hyperlink r:id="rId293" ref="A157"/>
    <hyperlink r:id="rId294" ref="C157"/>
    <hyperlink r:id="rId295" ref="A158"/>
    <hyperlink r:id="rId296" ref="C158"/>
    <hyperlink r:id="rId297" ref="A159"/>
    <hyperlink r:id="rId298" ref="C159"/>
    <hyperlink r:id="rId299" ref="A160"/>
    <hyperlink r:id="rId300" ref="C160"/>
    <hyperlink r:id="rId301" ref="A161"/>
    <hyperlink r:id="rId302" ref="C161"/>
    <hyperlink r:id="rId303" ref="A162"/>
    <hyperlink r:id="rId304" ref="C162"/>
    <hyperlink r:id="rId305" ref="A163"/>
    <hyperlink r:id="rId306" ref="C163"/>
    <hyperlink r:id="rId307" ref="A164"/>
    <hyperlink r:id="rId308" ref="C164"/>
    <hyperlink r:id="rId309" ref="A165"/>
    <hyperlink r:id="rId310" ref="C165"/>
    <hyperlink r:id="rId311" ref="A166"/>
    <hyperlink r:id="rId312" ref="C166"/>
    <hyperlink r:id="rId313" ref="A167"/>
    <hyperlink r:id="rId314" ref="C167"/>
    <hyperlink r:id="rId315" ref="A168"/>
    <hyperlink r:id="rId316" ref="C168"/>
    <hyperlink r:id="rId317" ref="A169"/>
    <hyperlink r:id="rId318" ref="C169"/>
    <hyperlink r:id="rId319" ref="A170"/>
    <hyperlink r:id="rId320" ref="C170"/>
    <hyperlink r:id="rId321" ref="A171"/>
    <hyperlink r:id="rId322" ref="C171"/>
    <hyperlink r:id="rId323" ref="A172"/>
    <hyperlink r:id="rId324" ref="C172"/>
    <hyperlink r:id="rId325" ref="A173"/>
    <hyperlink r:id="rId326" ref="C173"/>
    <hyperlink r:id="rId327" ref="A174"/>
    <hyperlink r:id="rId328" ref="C174"/>
    <hyperlink r:id="rId329" ref="A175"/>
    <hyperlink r:id="rId330" ref="C175"/>
    <hyperlink r:id="rId331" ref="A176"/>
    <hyperlink r:id="rId332" ref="C176"/>
    <hyperlink r:id="rId333" ref="A177"/>
    <hyperlink r:id="rId334" ref="C177"/>
    <hyperlink r:id="rId335" ref="A178"/>
    <hyperlink r:id="rId336" ref="C178"/>
    <hyperlink r:id="rId337" ref="A179"/>
    <hyperlink r:id="rId338" ref="C179"/>
    <hyperlink r:id="rId339" ref="A180"/>
    <hyperlink r:id="rId340" ref="C180"/>
    <hyperlink r:id="rId341" ref="A181"/>
    <hyperlink r:id="rId342" ref="C181"/>
    <hyperlink r:id="rId343" ref="A182"/>
    <hyperlink r:id="rId344" ref="C182"/>
    <hyperlink r:id="rId345" ref="A183"/>
    <hyperlink r:id="rId346" ref="C183"/>
    <hyperlink r:id="rId347" ref="A184"/>
    <hyperlink r:id="rId348" ref="C184"/>
    <hyperlink r:id="rId349" ref="A185"/>
    <hyperlink r:id="rId350" ref="C185"/>
    <hyperlink r:id="rId351" ref="A186"/>
    <hyperlink r:id="rId352" ref="C186"/>
    <hyperlink r:id="rId353" ref="A187"/>
    <hyperlink r:id="rId354" ref="C187"/>
    <hyperlink r:id="rId355" ref="A188"/>
    <hyperlink r:id="rId356" ref="C188"/>
    <hyperlink r:id="rId357" ref="A189"/>
    <hyperlink r:id="rId358" ref="C189"/>
    <hyperlink r:id="rId359" ref="A190"/>
    <hyperlink r:id="rId360" ref="C190"/>
    <hyperlink r:id="rId361" ref="A191"/>
    <hyperlink r:id="rId362" ref="C191"/>
    <hyperlink r:id="rId363" ref="A192"/>
    <hyperlink r:id="rId364" ref="C192"/>
    <hyperlink r:id="rId365" ref="A193"/>
    <hyperlink r:id="rId366" ref="C193"/>
    <hyperlink r:id="rId367" ref="A194"/>
    <hyperlink r:id="rId368" ref="C194"/>
    <hyperlink r:id="rId369" ref="A195"/>
    <hyperlink r:id="rId370" location=":~:text=Owned%20by%20Hearst%2C%20iCrossing%20operates,Microsoft%2C%20Google%20Cloud%20and%20Shopify." ref="A196"/>
    <hyperlink r:id="rId371" ref="C196"/>
    <hyperlink r:id="rId372" ref="A197"/>
    <hyperlink r:id="rId373" ref="C197"/>
    <hyperlink r:id="rId374" ref="A198"/>
    <hyperlink r:id="rId375" ref="C198"/>
    <hyperlink r:id="rId376" ref="A199"/>
    <hyperlink r:id="rId377" ref="C199"/>
    <hyperlink r:id="rId378" ref="A200"/>
    <hyperlink r:id="rId379" ref="C200"/>
    <hyperlink r:id="rId380" ref="A201"/>
    <hyperlink r:id="rId381" ref="C201"/>
    <hyperlink r:id="rId382" ref="A202"/>
    <hyperlink r:id="rId383" ref="C202"/>
    <hyperlink r:id="rId384" ref="A203"/>
    <hyperlink r:id="rId385" ref="C203"/>
    <hyperlink r:id="rId386" ref="A204"/>
    <hyperlink r:id="rId387" ref="C204"/>
    <hyperlink r:id="rId388" ref="A205"/>
    <hyperlink r:id="rId389" ref="C205"/>
    <hyperlink r:id="rId390" ref="A206"/>
    <hyperlink r:id="rId391" ref="C206"/>
    <hyperlink r:id="rId392" ref="A207"/>
    <hyperlink r:id="rId393" ref="C207"/>
    <hyperlink r:id="rId394" ref="A208"/>
    <hyperlink r:id="rId395" ref="C208"/>
    <hyperlink r:id="rId396" ref="A209"/>
    <hyperlink r:id="rId397" ref="C209"/>
    <hyperlink r:id="rId398" ref="A210"/>
    <hyperlink r:id="rId399" ref="C210"/>
    <hyperlink r:id="rId400" ref="A211"/>
    <hyperlink r:id="rId401" ref="C211"/>
    <hyperlink r:id="rId402" ref="A212"/>
    <hyperlink r:id="rId403" ref="C212"/>
    <hyperlink r:id="rId404" ref="A213"/>
    <hyperlink r:id="rId405" ref="C213"/>
    <hyperlink r:id="rId406" ref="A214"/>
    <hyperlink r:id="rId407" ref="C214"/>
    <hyperlink r:id="rId408" location=":~:text=Prepare%20your%20marketing%20for%20the,tools%3A%20they%20need%20strong%20foundations." ref="A215"/>
    <hyperlink r:id="rId409" ref="C215"/>
    <hyperlink r:id="rId410" ref="A216"/>
    <hyperlink r:id="rId411" ref="C216"/>
    <hyperlink r:id="rId412" ref="A217"/>
    <hyperlink r:id="rId413" ref="C217"/>
    <hyperlink r:id="rId414" ref="A218"/>
    <hyperlink r:id="rId415" ref="C218"/>
    <hyperlink r:id="rId416" ref="A219"/>
    <hyperlink r:id="rId417" ref="C219"/>
    <hyperlink r:id="rId418" ref="A220"/>
    <hyperlink r:id="rId419" ref="C220"/>
    <hyperlink r:id="rId420" ref="A221"/>
    <hyperlink r:id="rId421" ref="C221"/>
    <hyperlink r:id="rId422" ref="A222"/>
    <hyperlink r:id="rId423" ref="C222"/>
    <hyperlink r:id="rId424" ref="A223"/>
    <hyperlink r:id="rId425" ref="C223"/>
    <hyperlink r:id="rId426" ref="A224"/>
    <hyperlink r:id="rId427" ref="A225"/>
    <hyperlink r:id="rId428" ref="C225"/>
    <hyperlink r:id="rId429" ref="A226"/>
    <hyperlink r:id="rId430" ref="C226"/>
    <hyperlink r:id="rId431" ref="A227"/>
    <hyperlink r:id="rId432" ref="C227"/>
    <hyperlink r:id="rId433" ref="A228"/>
    <hyperlink r:id="rId434" ref="C228"/>
    <hyperlink r:id="rId435" ref="A229"/>
    <hyperlink r:id="rId436" ref="A230"/>
    <hyperlink r:id="rId437" ref="C230"/>
    <hyperlink r:id="rId438" ref="A231"/>
    <hyperlink r:id="rId439" ref="C231"/>
    <hyperlink r:id="rId440" ref="A232"/>
    <hyperlink r:id="rId441" ref="A233"/>
    <hyperlink r:id="rId442" ref="C233"/>
    <hyperlink r:id="rId443" ref="A234"/>
    <hyperlink r:id="rId444" ref="C234"/>
    <hyperlink r:id="rId445" ref="A235"/>
    <hyperlink r:id="rId446" ref="C235"/>
    <hyperlink r:id="rId447" ref="A236"/>
    <hyperlink r:id="rId448" ref="C236"/>
    <hyperlink r:id="rId449" ref="A237"/>
    <hyperlink r:id="rId450" ref="C237"/>
    <hyperlink r:id="rId451" ref="A238"/>
    <hyperlink r:id="rId452" ref="C238"/>
    <hyperlink r:id="rId453" ref="A239"/>
    <hyperlink r:id="rId454" ref="C239"/>
    <hyperlink r:id="rId455" ref="A240"/>
    <hyperlink r:id="rId456" ref="C240"/>
    <hyperlink r:id="rId457" ref="A241"/>
    <hyperlink r:id="rId458" ref="C241"/>
    <hyperlink r:id="rId459" ref="A242"/>
    <hyperlink r:id="rId460" ref="C242"/>
    <hyperlink r:id="rId461" ref="A243"/>
    <hyperlink r:id="rId462" ref="C243"/>
    <hyperlink r:id="rId463" ref="A244"/>
    <hyperlink r:id="rId464" ref="C244"/>
    <hyperlink r:id="rId465" ref="A245"/>
    <hyperlink r:id="rId466" ref="C245"/>
    <hyperlink r:id="rId467" ref="A246"/>
    <hyperlink r:id="rId468" ref="C246"/>
    <hyperlink r:id="rId469" ref="A247"/>
    <hyperlink r:id="rId470" ref="C247"/>
    <hyperlink r:id="rId471" ref="A248"/>
    <hyperlink r:id="rId472" ref="C248"/>
    <hyperlink r:id="rId473" ref="A249"/>
    <hyperlink r:id="rId474" ref="C249"/>
    <hyperlink r:id="rId475" ref="A250"/>
    <hyperlink r:id="rId476" ref="C250"/>
    <hyperlink r:id="rId477" ref="A251"/>
    <hyperlink r:id="rId478" ref="C251"/>
    <hyperlink r:id="rId479" ref="A252"/>
    <hyperlink r:id="rId480" ref="C252"/>
    <hyperlink r:id="rId481" ref="A253"/>
    <hyperlink r:id="rId482" ref="C253"/>
    <hyperlink r:id="rId483" ref="A254"/>
    <hyperlink r:id="rId484" ref="C254"/>
    <hyperlink r:id="rId485" ref="A255"/>
    <hyperlink r:id="rId486" ref="C255"/>
    <hyperlink r:id="rId487" ref="A256"/>
    <hyperlink r:id="rId488" ref="C256"/>
    <hyperlink r:id="rId489" ref="A257"/>
    <hyperlink r:id="rId490" ref="C257"/>
    <hyperlink r:id="rId491" ref="A258"/>
    <hyperlink r:id="rId492" ref="C258"/>
    <hyperlink r:id="rId493" ref="A259"/>
    <hyperlink r:id="rId494" ref="C259"/>
    <hyperlink r:id="rId495" location=":~:text=Yes%E2%80%94this%20is%20Whitehat's%20core,needed%20for%20confident%20board%20conversations." ref="A260"/>
    <hyperlink r:id="rId496" ref="C260"/>
    <hyperlink r:id="rId497" ref="A261"/>
    <hyperlink r:id="rId498" ref="C261"/>
    <hyperlink r:id="rId499" ref="A262"/>
    <hyperlink r:id="rId500" ref="C262"/>
    <hyperlink r:id="rId501" ref="A263"/>
    <hyperlink r:id="rId502" ref="C263"/>
    <hyperlink r:id="rId503" ref="A264"/>
    <hyperlink r:id="rId504" ref="C264"/>
    <hyperlink r:id="rId505" ref="A265"/>
    <hyperlink r:id="rId506" ref="C265"/>
    <hyperlink r:id="rId507" ref="A266"/>
    <hyperlink r:id="rId508" ref="C266"/>
    <hyperlink r:id="rId509" ref="A267"/>
    <hyperlink r:id="rId510" ref="C267"/>
    <hyperlink r:id="rId511" ref="A268"/>
    <hyperlink r:id="rId512" ref="C268"/>
    <hyperlink r:id="rId513" ref="A269"/>
    <hyperlink r:id="rId514" ref="C269"/>
    <hyperlink r:id="rId515" ref="A270"/>
    <hyperlink r:id="rId516" ref="C270"/>
    <hyperlink r:id="rId517" ref="A271"/>
    <hyperlink r:id="rId518" ref="C271"/>
    <hyperlink r:id="rId519" ref="A272"/>
    <hyperlink r:id="rId520" ref="C272"/>
    <hyperlink r:id="rId521" location=":~:text=Google%20Premier%20Partner%20Agency%20%7C%20Hallam,the%20world's%20best%20media%20agencies.&amp;text=We%20use%20exclusive%20technologies%2C%20data,media%20strategies%20for%20your%20brand." ref="A273"/>
    <hyperlink r:id="rId522" ref="A274"/>
    <hyperlink r:id="rId523" ref="C274"/>
    <hyperlink r:id="rId524" ref="A275"/>
    <hyperlink r:id="rId525" ref="C275"/>
    <hyperlink r:id="rId526" ref="A276"/>
    <hyperlink r:id="rId527" ref="C276"/>
    <hyperlink r:id="rId528" ref="A277"/>
    <hyperlink r:id="rId529" ref="C277"/>
    <hyperlink r:id="rId530" ref="A278"/>
    <hyperlink r:id="rId531" ref="C278"/>
    <hyperlink r:id="rId532" ref="A279"/>
    <hyperlink r:id="rId533" ref="C279"/>
    <hyperlink r:id="rId534" ref="A280"/>
    <hyperlink r:id="rId535" ref="C280"/>
    <hyperlink r:id="rId536" ref="A281"/>
    <hyperlink r:id="rId537" ref="C281"/>
    <hyperlink r:id="rId538" ref="A282"/>
    <hyperlink r:id="rId539" ref="C282"/>
    <hyperlink r:id="rId540" location=":~:text=Perfect%20For%20Brands%20With%20Strong,help%20of%20Google%20Display%20Ads." ref="A283"/>
    <hyperlink r:id="rId541" ref="C283"/>
    <hyperlink r:id="rId542" ref="A284"/>
    <hyperlink r:id="rId543" ref="C284"/>
    <hyperlink r:id="rId544" ref="A285"/>
    <hyperlink r:id="rId545" ref="C285"/>
    <hyperlink r:id="rId546" ref="A286"/>
    <hyperlink r:id="rId547" ref="C286"/>
    <hyperlink r:id="rId548" ref="A287"/>
    <hyperlink r:id="rId549" ref="C287"/>
    <hyperlink r:id="rId550" ref="A288"/>
    <hyperlink r:id="rId551" ref="C288"/>
    <hyperlink r:id="rId552" ref="A289"/>
    <hyperlink r:id="rId553" ref="C289"/>
    <hyperlink r:id="rId554" ref="A290"/>
    <hyperlink r:id="rId555" ref="C290"/>
    <hyperlink r:id="rId556" ref="A291"/>
    <hyperlink r:id="rId557" ref="C291"/>
    <hyperlink r:id="rId558" ref="A292"/>
    <hyperlink r:id="rId559" ref="C292"/>
    <hyperlink r:id="rId560" ref="A293"/>
    <hyperlink r:id="rId561" ref="C293"/>
    <hyperlink r:id="rId562" ref="A294"/>
    <hyperlink r:id="rId563" ref="C294"/>
    <hyperlink r:id="rId564" ref="A295"/>
    <hyperlink r:id="rId565" ref="C295"/>
    <hyperlink r:id="rId566" location=":~:text=Powered%20by%20our%20Everysearch%E2%84%A2,strategy%20to%20keep%20you%20ahead." ref="A296"/>
    <hyperlink r:id="rId567" ref="C296"/>
    <hyperlink r:id="rId568" ref="A297"/>
    <hyperlink r:id="rId569" ref="C297"/>
    <hyperlink r:id="rId570" ref="A298"/>
    <hyperlink r:id="rId571" ref="C298"/>
    <hyperlink r:id="rId572" ref="A299"/>
    <hyperlink r:id="rId573" ref="C299"/>
    <hyperlink r:id="rId574" ref="A300"/>
    <hyperlink r:id="rId575" ref="A301"/>
    <hyperlink r:id="rId576" ref="C301"/>
    <hyperlink r:id="rId577" ref="A302"/>
    <hyperlink r:id="rId578" ref="C302"/>
    <hyperlink r:id="rId579" ref="A303"/>
    <hyperlink r:id="rId580" ref="C303"/>
    <hyperlink r:id="rId581" ref="A304"/>
    <hyperlink r:id="rId582" ref="C304"/>
    <hyperlink r:id="rId583" ref="A305"/>
    <hyperlink r:id="rId584" ref="A306"/>
    <hyperlink r:id="rId585" ref="C306"/>
    <hyperlink r:id="rId586" location=":~:text=Leading%20Generative%20Engine%20Optimisation%20agencies,AI%20Search%20Specialist%20Landscape%202026" ref="A307"/>
    <hyperlink r:id="rId587" ref="C307"/>
    <hyperlink r:id="rId588" ref="A308"/>
    <hyperlink r:id="rId589" ref="C308"/>
    <hyperlink r:id="rId590" ref="A309"/>
    <hyperlink r:id="rId591" ref="C309"/>
    <hyperlink r:id="rId592" ref="A310"/>
    <hyperlink r:id="rId593" ref="C310"/>
    <hyperlink r:id="rId594" ref="A311"/>
    <hyperlink r:id="rId595" ref="C311"/>
    <hyperlink r:id="rId596" ref="A312"/>
    <hyperlink r:id="rId597" ref="C312"/>
    <hyperlink r:id="rId598" ref="A313"/>
    <hyperlink r:id="rId599" ref="C313"/>
    <hyperlink r:id="rId600" ref="A314"/>
    <hyperlink r:id="rId601" ref="C314"/>
    <hyperlink r:id="rId602" ref="A315"/>
    <hyperlink r:id="rId603" ref="C315"/>
    <hyperlink r:id="rId604" ref="A316"/>
    <hyperlink r:id="rId605" ref="C316"/>
    <hyperlink r:id="rId606" ref="A317"/>
    <hyperlink r:id="rId607" ref="C317"/>
    <hyperlink r:id="rId608" ref="A318"/>
    <hyperlink r:id="rId609" ref="C318"/>
    <hyperlink r:id="rId610" ref="A319"/>
    <hyperlink r:id="rId611" ref="C319"/>
    <hyperlink r:id="rId612" ref="A320"/>
    <hyperlink r:id="rId613" ref="C320"/>
    <hyperlink r:id="rId614" ref="A321"/>
    <hyperlink r:id="rId615" ref="C321"/>
    <hyperlink r:id="rId616" ref="A322"/>
    <hyperlink r:id="rId617" ref="C322"/>
    <hyperlink r:id="rId618" ref="A323"/>
    <hyperlink r:id="rId619" ref="C323"/>
    <hyperlink r:id="rId620" ref="A324"/>
    <hyperlink r:id="rId621" ref="C324"/>
    <hyperlink r:id="rId622" ref="A325"/>
    <hyperlink r:id="rId623" ref="C325"/>
    <hyperlink r:id="rId624" ref="A326"/>
    <hyperlink r:id="rId625" ref="C326"/>
    <hyperlink r:id="rId626" ref="A327"/>
    <hyperlink r:id="rId627" ref="C327"/>
    <hyperlink r:id="rId628" ref="A328"/>
    <hyperlink r:id="rId629" ref="C328"/>
    <hyperlink r:id="rId630" location=":~:text=Graysen%20Christopher" ref="A329"/>
    <hyperlink r:id="rId631" ref="C329"/>
    <hyperlink r:id="rId632" ref="A330"/>
    <hyperlink r:id="rId633" ref="C330"/>
    <hyperlink r:id="rId634" ref="A331"/>
    <hyperlink r:id="rId635" ref="C331"/>
    <hyperlink r:id="rId636" ref="A332"/>
    <hyperlink r:id="rId637" ref="C332"/>
    <hyperlink r:id="rId638" ref="A333"/>
    <hyperlink r:id="rId639" ref="C333"/>
    <hyperlink r:id="rId640" ref="A334"/>
    <hyperlink r:id="rId641" ref="C334"/>
    <hyperlink r:id="rId642" ref="A335"/>
    <hyperlink r:id="rId643" ref="C335"/>
    <hyperlink r:id="rId644" ref="A336"/>
    <hyperlink r:id="rId645" ref="C336"/>
    <hyperlink r:id="rId646" ref="A337"/>
    <hyperlink r:id="rId647" ref="C337"/>
    <hyperlink r:id="rId648" ref="A338"/>
    <hyperlink r:id="rId649" ref="C338"/>
    <hyperlink r:id="rId650" ref="A339"/>
    <hyperlink r:id="rId651" ref="C339"/>
    <hyperlink r:id="rId652" ref="A340"/>
    <hyperlink r:id="rId653" ref="C340"/>
    <hyperlink r:id="rId654" ref="A341"/>
    <hyperlink r:id="rId655" ref="C341"/>
    <hyperlink r:id="rId656" ref="A342"/>
    <hyperlink r:id="rId657" ref="C342"/>
    <hyperlink r:id="rId658" ref="A343"/>
    <hyperlink r:id="rId659" ref="C343"/>
    <hyperlink r:id="rId660" ref="A344"/>
    <hyperlink r:id="rId661" ref="C344"/>
    <hyperlink r:id="rId662" ref="A345"/>
    <hyperlink r:id="rId663" ref="C345"/>
    <hyperlink r:id="rId664" ref="A346"/>
    <hyperlink r:id="rId665" ref="C346"/>
    <hyperlink r:id="rId666" ref="A347"/>
    <hyperlink r:id="rId667" ref="C347"/>
    <hyperlink r:id="rId668" ref="A348"/>
    <hyperlink r:id="rId669" ref="C348"/>
    <hyperlink r:id="rId670" ref="A349"/>
    <hyperlink r:id="rId671" ref="C349"/>
    <hyperlink r:id="rId672" ref="A350"/>
    <hyperlink r:id="rId673" ref="C350"/>
    <hyperlink r:id="rId674" ref="A351"/>
    <hyperlink r:id="rId675" ref="C351"/>
    <hyperlink r:id="rId676" ref="A352"/>
    <hyperlink r:id="rId677" ref="C352"/>
    <hyperlink r:id="rId678" ref="A353"/>
    <hyperlink r:id="rId679" ref="C353"/>
    <hyperlink r:id="rId680" ref="A354"/>
    <hyperlink r:id="rId681" ref="C354"/>
    <hyperlink r:id="rId682" ref="A355"/>
    <hyperlink r:id="rId683" ref="C355"/>
    <hyperlink r:id="rId684" ref="A356"/>
    <hyperlink r:id="rId685" ref="C356"/>
    <hyperlink r:id="rId686" ref="A357"/>
    <hyperlink r:id="rId687" ref="C357"/>
    <hyperlink r:id="rId688" ref="A358"/>
    <hyperlink r:id="rId689" ref="C358"/>
    <hyperlink r:id="rId690" ref="A359"/>
    <hyperlink r:id="rId691" ref="C359"/>
    <hyperlink r:id="rId692" ref="A360"/>
    <hyperlink r:id="rId693" ref="C360"/>
    <hyperlink r:id="rId694" ref="A361"/>
    <hyperlink r:id="rId695" ref="C361"/>
    <hyperlink r:id="rId696" ref="A362"/>
    <hyperlink r:id="rId697" ref="C362"/>
    <hyperlink r:id="rId698" ref="A363"/>
    <hyperlink r:id="rId699" ref="A364"/>
    <hyperlink r:id="rId700" ref="C364"/>
    <hyperlink r:id="rId701" ref="A365"/>
    <hyperlink r:id="rId702" ref="C365"/>
    <hyperlink r:id="rId703" ref="A366"/>
    <hyperlink r:id="rId704" ref="C366"/>
    <hyperlink r:id="rId705" ref="A367"/>
    <hyperlink r:id="rId706" ref="C367"/>
    <hyperlink r:id="rId707" ref="A368"/>
    <hyperlink r:id="rId708" ref="C368"/>
    <hyperlink r:id="rId709" ref="A369"/>
    <hyperlink r:id="rId710" ref="C369"/>
    <hyperlink r:id="rId711" ref="A370"/>
    <hyperlink r:id="rId712" ref="C370"/>
    <hyperlink r:id="rId713" ref="A371"/>
    <hyperlink r:id="rId714" ref="C371"/>
    <hyperlink r:id="rId715" ref="A372"/>
    <hyperlink r:id="rId716" ref="C372"/>
    <hyperlink r:id="rId717" ref="A373"/>
    <hyperlink r:id="rId718" ref="A374"/>
    <hyperlink r:id="rId719" ref="C374"/>
    <hyperlink r:id="rId720" ref="A375"/>
    <hyperlink r:id="rId721" ref="C375"/>
    <hyperlink r:id="rId722" location=":~:text=In%20the%20UK%2C%20many%20big,enjoy%20the%20outstanding%20training%20programs." ref="A376"/>
    <hyperlink r:id="rId723" ref="C376"/>
    <hyperlink r:id="rId724" ref="A377"/>
    <hyperlink r:id="rId725" ref="C377"/>
    <hyperlink r:id="rId726" ref="A378"/>
    <hyperlink r:id="rId727" ref="C378"/>
    <hyperlink r:id="rId728" ref="A379"/>
    <hyperlink r:id="rId729" ref="C379"/>
    <hyperlink r:id="rId730" ref="A380"/>
    <hyperlink r:id="rId731" ref="C380"/>
    <hyperlink r:id="rId732" ref="A381"/>
    <hyperlink r:id="rId733" ref="C381"/>
    <hyperlink r:id="rId734" ref="A382"/>
    <hyperlink r:id="rId735" ref="C382"/>
    <hyperlink r:id="rId736" ref="A383"/>
    <hyperlink r:id="rId737" ref="C383"/>
    <hyperlink r:id="rId738" ref="A384"/>
    <hyperlink r:id="rId739" ref="C384"/>
    <hyperlink r:id="rId740" ref="A385"/>
    <hyperlink r:id="rId741" ref="C385"/>
    <hyperlink r:id="rId742" ref="A386"/>
    <hyperlink r:id="rId743" ref="C386"/>
    <hyperlink r:id="rId744" ref="A387"/>
    <hyperlink r:id="rId745" ref="C387"/>
    <hyperlink r:id="rId746" ref="A388"/>
    <hyperlink r:id="rId747" ref="C388"/>
    <hyperlink r:id="rId748" ref="A389"/>
    <hyperlink r:id="rId749" ref="A390"/>
    <hyperlink r:id="rId750" ref="C390"/>
    <hyperlink r:id="rId751" ref="A391"/>
    <hyperlink r:id="rId752" ref="C391"/>
    <hyperlink r:id="rId753" ref="A392"/>
    <hyperlink r:id="rId754" ref="C392"/>
    <hyperlink r:id="rId755" ref="A393"/>
    <hyperlink r:id="rId756" ref="C393"/>
    <hyperlink r:id="rId757" ref="A394"/>
    <hyperlink r:id="rId758" ref="C394"/>
    <hyperlink r:id="rId759" ref="A395"/>
    <hyperlink r:id="rId760" ref="C395"/>
    <hyperlink r:id="rId761" ref="A396"/>
    <hyperlink r:id="rId762" ref="C396"/>
    <hyperlink r:id="rId763" ref="A397"/>
    <hyperlink r:id="rId764" ref="C397"/>
    <hyperlink r:id="rId765" ref="A398"/>
    <hyperlink r:id="rId766" ref="C398"/>
    <hyperlink r:id="rId767" ref="A399"/>
    <hyperlink r:id="rId768" ref="C399"/>
    <hyperlink r:id="rId769" ref="A400"/>
    <hyperlink r:id="rId770" ref="C400"/>
    <hyperlink r:id="rId771" ref="A401"/>
    <hyperlink r:id="rId772" ref="A402"/>
    <hyperlink r:id="rId773" ref="C402"/>
    <hyperlink r:id="rId774" ref="A403"/>
    <hyperlink r:id="rId775" ref="C403"/>
    <hyperlink r:id="rId776" ref="A404"/>
    <hyperlink r:id="rId777" ref="C404"/>
    <hyperlink r:id="rId778" ref="A405"/>
    <hyperlink r:id="rId779" ref="C405"/>
    <hyperlink r:id="rId780" ref="A406"/>
    <hyperlink r:id="rId781" ref="C406"/>
    <hyperlink r:id="rId782" ref="A407"/>
    <hyperlink r:id="rId783" ref="C407"/>
    <hyperlink r:id="rId784" ref="A408"/>
    <hyperlink r:id="rId785" ref="C408"/>
    <hyperlink r:id="rId786" location=":~:text=Diagnose,Focus%20where%20it%20matters" ref="A409"/>
    <hyperlink r:id="rId787" ref="C409"/>
    <hyperlink r:id="rId788" ref="A410"/>
    <hyperlink r:id="rId789" ref="C410"/>
    <hyperlink r:id="rId790" ref="A411"/>
    <hyperlink r:id="rId791" ref="C411"/>
    <hyperlink r:id="rId792" ref="A412"/>
    <hyperlink r:id="rId793" ref="C412"/>
    <hyperlink r:id="rId794" ref="A413"/>
    <hyperlink r:id="rId795" ref="C413"/>
    <hyperlink r:id="rId796" ref="A414"/>
    <hyperlink r:id="rId797" ref="C414"/>
    <hyperlink r:id="rId798" ref="A415"/>
    <hyperlink r:id="rId799" ref="C415"/>
    <hyperlink r:id="rId800" ref="A416"/>
    <hyperlink r:id="rId801" ref="C416"/>
    <hyperlink r:id="rId802" ref="A417"/>
    <hyperlink r:id="rId803" ref="C417"/>
    <hyperlink r:id="rId804" ref="A418"/>
    <hyperlink r:id="rId805" ref="C418"/>
    <hyperlink r:id="rId806" ref="A419"/>
    <hyperlink r:id="rId807" ref="C419"/>
    <hyperlink r:id="rId808" ref="A420"/>
    <hyperlink r:id="rId809" ref="C420"/>
    <hyperlink r:id="rId810" ref="A421"/>
    <hyperlink r:id="rId811" ref="C421"/>
    <hyperlink r:id="rId812" ref="A422"/>
    <hyperlink r:id="rId813" ref="C422"/>
    <hyperlink r:id="rId814" ref="A423"/>
    <hyperlink r:id="rId815" ref="C423"/>
    <hyperlink r:id="rId816" ref="A424"/>
    <hyperlink r:id="rId817" ref="C424"/>
    <hyperlink r:id="rId818" ref="A425"/>
    <hyperlink r:id="rId819" ref="C425"/>
    <hyperlink r:id="rId820" ref="A426"/>
    <hyperlink r:id="rId821" ref="C426"/>
    <hyperlink r:id="rId822" ref="A427"/>
    <hyperlink r:id="rId823" ref="C427"/>
    <hyperlink r:id="rId824" ref="A428"/>
    <hyperlink r:id="rId825" ref="C428"/>
    <hyperlink r:id="rId826" ref="A429"/>
    <hyperlink r:id="rId827" location=":~:text=Rise%20at%20Seven%3A%20Best%20for,to%20earn%20national%20press%20coverage." ref="A430"/>
    <hyperlink r:id="rId828" ref="C430"/>
    <hyperlink r:id="rId829" ref="A431"/>
    <hyperlink r:id="rId830" ref="C431"/>
    <hyperlink r:id="rId831" ref="A432"/>
    <hyperlink r:id="rId832" ref="C432"/>
    <hyperlink r:id="rId833" ref="A433"/>
    <hyperlink r:id="rId834" ref="C433"/>
    <hyperlink r:id="rId835" ref="A434"/>
    <hyperlink r:id="rId836" ref="C434"/>
    <hyperlink r:id="rId837" ref="A435"/>
    <hyperlink r:id="rId838" ref="C435"/>
    <hyperlink r:id="rId839" ref="A436"/>
    <hyperlink r:id="rId840" ref="C436"/>
    <hyperlink r:id="rId841" ref="A437"/>
    <hyperlink r:id="rId842" ref="C437"/>
    <hyperlink r:id="rId843" ref="A438"/>
    <hyperlink r:id="rId844" ref="C438"/>
    <hyperlink r:id="rId845" ref="A439"/>
    <hyperlink r:id="rId846" ref="C439"/>
    <hyperlink r:id="rId847" ref="A440"/>
    <hyperlink r:id="rId848" ref="C440"/>
    <hyperlink r:id="rId849" ref="A441"/>
    <hyperlink r:id="rId850" ref="C441"/>
    <hyperlink r:id="rId851" ref="A442"/>
    <hyperlink r:id="rId852" ref="C442"/>
    <hyperlink r:id="rId853" ref="A443"/>
    <hyperlink r:id="rId854" ref="C443"/>
    <hyperlink r:id="rId855" ref="A444"/>
    <hyperlink r:id="rId856" ref="C444"/>
    <hyperlink r:id="rId857" ref="A445"/>
    <hyperlink r:id="rId858" ref="C445"/>
    <hyperlink r:id="rId859" ref="A446"/>
    <hyperlink r:id="rId860" ref="C446"/>
    <hyperlink r:id="rId861" ref="A447"/>
    <hyperlink r:id="rId862" ref="C447"/>
    <hyperlink r:id="rId863" ref="A448"/>
    <hyperlink r:id="rId864" ref="C448"/>
    <hyperlink r:id="rId865" ref="A449"/>
    <hyperlink r:id="rId866" ref="C449"/>
    <hyperlink r:id="rId867" ref="A450"/>
    <hyperlink r:id="rId868" ref="C450"/>
    <hyperlink r:id="rId869" ref="A451"/>
    <hyperlink r:id="rId870" ref="C451"/>
    <hyperlink r:id="rId871" ref="A452"/>
    <hyperlink r:id="rId872" ref="C452"/>
    <hyperlink r:id="rId873" ref="A453"/>
    <hyperlink r:id="rId874" ref="C453"/>
    <hyperlink r:id="rId875" ref="A454"/>
    <hyperlink r:id="rId876" ref="C454"/>
    <hyperlink r:id="rId877" ref="A455"/>
    <hyperlink r:id="rId878" ref="C455"/>
    <hyperlink r:id="rId879" ref="A456"/>
    <hyperlink r:id="rId880" ref="C456"/>
    <hyperlink r:id="rId881" ref="A457"/>
    <hyperlink r:id="rId882" ref="C457"/>
    <hyperlink r:id="rId883" ref="A458"/>
    <hyperlink r:id="rId884" ref="C458"/>
    <hyperlink r:id="rId885" ref="A459"/>
    <hyperlink r:id="rId886" ref="C459"/>
    <hyperlink r:id="rId887" ref="A460"/>
    <hyperlink r:id="rId888" ref="C460"/>
    <hyperlink r:id="rId889" ref="A461"/>
    <hyperlink r:id="rId890" ref="C461"/>
    <hyperlink r:id="rId891" location=":~:text=Make%20sure%20when%20your%20customers%20ask%20a,%E2%9C%93%20Always%2Don%20alignment%3A%20%2D%20%E2%9C%93%20Proven%20performance%3A" ref="A462"/>
    <hyperlink r:id="rId892" ref="A463"/>
    <hyperlink r:id="rId893" ref="A464"/>
    <hyperlink r:id="rId894" ref="C464"/>
    <hyperlink r:id="rId895" ref="A465"/>
    <hyperlink r:id="rId896" ref="C465"/>
    <hyperlink r:id="rId897" ref="A466"/>
    <hyperlink r:id="rId898" ref="C466"/>
    <hyperlink r:id="rId899" ref="A467"/>
    <hyperlink r:id="rId900" location=":~:text=That%20is%20not%20how%20this%20works%20here.,top.%20%2D%20HikeMyTraffic%3A%20Award%2DWinning%20AI%20Digital%20Marketing." ref="A468"/>
    <hyperlink r:id="rId901" ref="C468"/>
    <hyperlink r:id="rId902" ref="A469"/>
    <hyperlink r:id="rId903" ref="C469"/>
    <hyperlink r:id="rId904" ref="A470"/>
    <hyperlink r:id="rId905" ref="C470"/>
    <hyperlink r:id="rId906" ref="A471"/>
    <hyperlink r:id="rId907" ref="C471"/>
    <hyperlink r:id="rId908" ref="A472"/>
    <hyperlink r:id="rId909" ref="C472"/>
    <hyperlink r:id="rId910" location=":~:text=Up%20Analytics%20consist%20of%20a,for%20work%20in%20Attribution%20Marketing" ref="A473"/>
    <hyperlink r:id="rId911" ref="C473"/>
    <hyperlink r:id="rId912" ref="A474"/>
    <hyperlink r:id="rId913" ref="C474"/>
    <hyperlink r:id="rId914" ref="A475"/>
    <hyperlink r:id="rId915" ref="C475"/>
    <hyperlink r:id="rId916" ref="A476"/>
    <hyperlink r:id="rId917" ref="C476"/>
    <hyperlink r:id="rId918" ref="A477"/>
    <hyperlink r:id="rId919" ref="C477"/>
    <hyperlink r:id="rId920" ref="A478"/>
    <hyperlink r:id="rId921" ref="C478"/>
    <hyperlink r:id="rId922" ref="A479"/>
    <hyperlink r:id="rId923" ref="C479"/>
    <hyperlink r:id="rId924" ref="A480"/>
    <hyperlink r:id="rId925" ref="C480"/>
    <hyperlink r:id="rId926" ref="A481"/>
    <hyperlink r:id="rId927" ref="C481"/>
    <hyperlink r:id="rId928" ref="A482"/>
    <hyperlink r:id="rId929" ref="C482"/>
    <hyperlink r:id="rId930" ref="A483"/>
    <hyperlink r:id="rId931" ref="C483"/>
    <hyperlink r:id="rId932" ref="A484"/>
    <hyperlink r:id="rId933" ref="C484"/>
    <hyperlink r:id="rId934" ref="A485"/>
    <hyperlink r:id="rId935" ref="C485"/>
    <hyperlink r:id="rId936" ref="A486"/>
    <hyperlink r:id="rId937" ref="C486"/>
    <hyperlink r:id="rId938" ref="A487"/>
    <hyperlink r:id="rId939" ref="C487"/>
    <hyperlink r:id="rId940" ref="A488"/>
    <hyperlink r:id="rId941" ref="C488"/>
    <hyperlink r:id="rId942" ref="A489"/>
    <hyperlink r:id="rId943" ref="C489"/>
    <hyperlink r:id="rId944" ref="A490"/>
    <hyperlink r:id="rId945" ref="C490"/>
    <hyperlink r:id="rId946" ref="A491"/>
    <hyperlink r:id="rId947" ref="C491"/>
    <hyperlink r:id="rId948" ref="A492"/>
    <hyperlink r:id="rId949" ref="C492"/>
    <hyperlink r:id="rId950" ref="A493"/>
    <hyperlink r:id="rId951" ref="C493"/>
    <hyperlink r:id="rId952" ref="A494"/>
    <hyperlink r:id="rId953" ref="C494"/>
    <hyperlink r:id="rId954" location=":~:text=Adam%26EveDDB%2C%20founded%20in%202008%2C%20is,campaigns%20for%20John%20Lewis%20%26%20Partners." ref="A495"/>
    <hyperlink r:id="rId955" ref="C495"/>
    <hyperlink r:id="rId956" ref="A496"/>
    <hyperlink r:id="rId957" ref="C496"/>
    <hyperlink r:id="rId958" ref="A497"/>
    <hyperlink r:id="rId959" ref="C497"/>
    <hyperlink r:id="rId960" ref="A498"/>
    <hyperlink r:id="rId961" ref="C498"/>
    <hyperlink r:id="rId962" ref="A499"/>
    <hyperlink r:id="rId963" ref="C499"/>
    <hyperlink r:id="rId964" ref="A500"/>
    <hyperlink r:id="rId965" ref="C500"/>
    <hyperlink r:id="rId966" ref="A501"/>
    <hyperlink r:id="rId967" ref="C501"/>
    <hyperlink r:id="rId968" ref="A502"/>
    <hyperlink r:id="rId969" ref="C502"/>
    <hyperlink r:id="rId970" ref="A503"/>
    <hyperlink r:id="rId971" ref="C503"/>
    <hyperlink r:id="rId972" ref="A504"/>
    <hyperlink r:id="rId973" ref="C504"/>
    <hyperlink r:id="rId974" ref="A505"/>
    <hyperlink r:id="rId975" ref="C505"/>
    <hyperlink r:id="rId976" ref="A506"/>
    <hyperlink r:id="rId977" ref="C506"/>
    <hyperlink r:id="rId978" ref="A507"/>
    <hyperlink r:id="rId979" ref="C507"/>
    <hyperlink r:id="rId980" ref="A508"/>
    <hyperlink r:id="rId981" ref="C508"/>
    <hyperlink r:id="rId982" location=":~:text=Showcase%20your%20brand%20with%20Found's,buyers%20and%20building%20brand%20loyalty." ref="A509"/>
    <hyperlink r:id="rId983" ref="C509"/>
    <hyperlink r:id="rId984" ref="A510"/>
    <hyperlink r:id="rId985" ref="C510"/>
    <hyperlink r:id="rId986" ref="A511"/>
    <hyperlink r:id="rId987" ref="C511"/>
    <hyperlink r:id="rId988" ref="A512"/>
    <hyperlink r:id="rId989" ref="C512"/>
    <hyperlink r:id="rId990" ref="A513"/>
    <hyperlink r:id="rId991" ref="C513"/>
    <hyperlink r:id="rId992" location=":~:text=With%20an%20extensive%20and%20diverse,in%20prime%20locations%20and%20more." ref="A514"/>
    <hyperlink r:id="rId993" ref="C514"/>
    <hyperlink r:id="rId994" ref="A515"/>
    <hyperlink r:id="rId995" ref="C515"/>
    <hyperlink r:id="rId996" ref="A516"/>
    <hyperlink r:id="rId997" ref="C516"/>
    <hyperlink r:id="rId998" ref="A517"/>
    <hyperlink r:id="rId999" ref="C517"/>
    <hyperlink r:id="rId1000" ref="A518"/>
    <hyperlink r:id="rId1001" ref="C518"/>
    <hyperlink r:id="rId1002" ref="A519"/>
    <hyperlink r:id="rId1003" ref="C519"/>
    <hyperlink r:id="rId1004" ref="A520"/>
    <hyperlink r:id="rId1005" ref="C520"/>
    <hyperlink r:id="rId1006" ref="A521"/>
    <hyperlink r:id="rId1007" ref="C521"/>
    <hyperlink r:id="rId1008" ref="A522"/>
    <hyperlink r:id="rId1009" ref="C522"/>
    <hyperlink r:id="rId1010" ref="A523"/>
    <hyperlink r:id="rId1011" ref="C523"/>
    <hyperlink r:id="rId1012" ref="A524"/>
    <hyperlink r:id="rId1013" ref="C524"/>
    <hyperlink r:id="rId1014" ref="A525"/>
    <hyperlink r:id="rId1015" ref="C525"/>
    <hyperlink r:id="rId1016" ref="A526"/>
    <hyperlink r:id="rId1017" ref="C526"/>
    <hyperlink r:id="rId1018" ref="A527"/>
    <hyperlink r:id="rId1019" ref="C527"/>
    <hyperlink r:id="rId1020" ref="A528"/>
    <hyperlink r:id="rId1021" ref="C528"/>
    <hyperlink r:id="rId1022" ref="A529"/>
    <hyperlink r:id="rId1023" ref="C529"/>
    <hyperlink r:id="rId1024" ref="A530"/>
    <hyperlink r:id="rId1025" ref="C530"/>
    <hyperlink r:id="rId1026" ref="A531"/>
    <hyperlink r:id="rId1027" ref="A532"/>
    <hyperlink r:id="rId1028" ref="C532"/>
    <hyperlink r:id="rId1029" ref="A533"/>
    <hyperlink r:id="rId1030" ref="C533"/>
    <hyperlink r:id="rId1031" location=":~:text=strategy%20agencies%20worldwide.-,Superside,5x%20faster%20than%20traditional%20agencies." ref="A534"/>
    <hyperlink r:id="rId1032" ref="C534"/>
    <hyperlink r:id="rId1033" ref="A535"/>
    <hyperlink r:id="rId1034" ref="C535"/>
    <hyperlink r:id="rId1035" ref="A536"/>
    <hyperlink r:id="rId1036" ref="C536"/>
    <hyperlink r:id="rId1037" location=":~:text=Data%2Ddriven%20digital%20redesign%20of,for%20over%20half%20a%20century." ref="A537"/>
    <hyperlink r:id="rId1038" ref="C537"/>
    <hyperlink r:id="rId1039" ref="A538"/>
    <hyperlink r:id="rId1040" ref="C538"/>
    <hyperlink r:id="rId1041" ref="A539"/>
    <hyperlink r:id="rId1042" ref="C539"/>
    <hyperlink r:id="rId1043" ref="A540"/>
    <hyperlink r:id="rId1044" ref="C540"/>
    <hyperlink r:id="rId1045" ref="A541"/>
    <hyperlink r:id="rId1046" ref="C541"/>
    <hyperlink r:id="rId1047" ref="A542"/>
    <hyperlink r:id="rId1048" ref="C542"/>
    <hyperlink r:id="rId1049" ref="A543"/>
    <hyperlink r:id="rId1050" ref="C543"/>
    <hyperlink r:id="rId1051" ref="A544"/>
    <hyperlink r:id="rId1052" ref="C544"/>
    <hyperlink r:id="rId1053" ref="A545"/>
    <hyperlink r:id="rId1054" ref="C545"/>
    <hyperlink r:id="rId1055" ref="A546"/>
    <hyperlink r:id="rId1056" ref="C546"/>
    <hyperlink r:id="rId1057" ref="A547"/>
    <hyperlink r:id="rId1058" ref="C547"/>
    <hyperlink r:id="rId1059" ref="A548"/>
    <hyperlink r:id="rId1060" ref="C548"/>
    <hyperlink r:id="rId1061" ref="A549"/>
    <hyperlink r:id="rId1062" ref="C549"/>
    <hyperlink r:id="rId1063" ref="A550"/>
    <hyperlink r:id="rId1064" ref="C550"/>
    <hyperlink r:id="rId1065" ref="A551"/>
    <hyperlink r:id="rId1066" ref="C551"/>
    <hyperlink r:id="rId1067" ref="A552"/>
    <hyperlink r:id="rId1068" ref="C552"/>
    <hyperlink r:id="rId1069" ref="A553"/>
    <hyperlink r:id="rId1070" ref="C553"/>
    <hyperlink r:id="rId1071" ref="A554"/>
    <hyperlink r:id="rId1072" ref="C554"/>
    <hyperlink r:id="rId1073" ref="A555"/>
    <hyperlink r:id="rId1074" ref="C555"/>
    <hyperlink r:id="rId1075" location=":~:text=Why%20Choose%20Vision%20One%20as,%2C%20competitor%20analysis%2C%20and%20forecasting." ref="A556"/>
    <hyperlink r:id="rId1076" ref="C556"/>
    <hyperlink r:id="rId1077" ref="A557"/>
    <hyperlink r:id="rId1078" ref="C557"/>
    <hyperlink r:id="rId1079" ref="A558"/>
    <hyperlink r:id="rId1080" ref="C558"/>
    <hyperlink r:id="rId1081" ref="A559"/>
    <hyperlink r:id="rId1082" ref="C559"/>
    <hyperlink r:id="rId1083" ref="A560"/>
    <hyperlink r:id="rId1084" ref="C560"/>
    <hyperlink r:id="rId1085" ref="A561"/>
    <hyperlink r:id="rId1086" ref="C561"/>
    <hyperlink r:id="rId1087" ref="A562"/>
    <hyperlink r:id="rId1088" ref="C562"/>
    <hyperlink r:id="rId1089" ref="A563"/>
    <hyperlink r:id="rId1090" ref="C563"/>
    <hyperlink r:id="rId1091" ref="A564"/>
    <hyperlink r:id="rId1092" ref="C564"/>
    <hyperlink r:id="rId1093" ref="A565"/>
    <hyperlink r:id="rId1094" ref="C565"/>
    <hyperlink r:id="rId1095" ref="A566"/>
    <hyperlink r:id="rId1096" ref="C566"/>
    <hyperlink r:id="rId1097" ref="A567"/>
    <hyperlink r:id="rId1098" ref="C567"/>
    <hyperlink r:id="rId1099" ref="A568"/>
    <hyperlink r:id="rId1100" ref="C568"/>
    <hyperlink r:id="rId1101" ref="A569"/>
    <hyperlink r:id="rId1102" ref="C569"/>
    <hyperlink r:id="rId1103" ref="A570"/>
    <hyperlink r:id="rId1104" ref="C570"/>
    <hyperlink r:id="rId1105" ref="A571"/>
    <hyperlink r:id="rId1106" ref="C571"/>
    <hyperlink r:id="rId1107" ref="A572"/>
    <hyperlink r:id="rId1108" ref="C572"/>
    <hyperlink r:id="rId1109" ref="A573"/>
    <hyperlink r:id="rId1110" ref="C573"/>
    <hyperlink r:id="rId1111" ref="A574"/>
    <hyperlink r:id="rId1112" ref="C574"/>
    <hyperlink r:id="rId1113" ref="A575"/>
    <hyperlink r:id="rId1114" ref="A576"/>
    <hyperlink r:id="rId1115" ref="C576"/>
    <hyperlink r:id="rId1116" ref="A577"/>
    <hyperlink r:id="rId1117" ref="C577"/>
    <hyperlink r:id="rId1118" ref="A578"/>
    <hyperlink r:id="rId1119" ref="C578"/>
    <hyperlink r:id="rId1120" ref="A579"/>
    <hyperlink r:id="rId1121" ref="C579"/>
    <hyperlink r:id="rId1122" ref="A580"/>
    <hyperlink r:id="rId1123" ref="C580"/>
    <hyperlink r:id="rId1124" ref="A581"/>
    <hyperlink r:id="rId1125" ref="C581"/>
    <hyperlink r:id="rId1126" ref="A582"/>
    <hyperlink r:id="rId1127" ref="C582"/>
    <hyperlink r:id="rId1128" ref="A583"/>
    <hyperlink r:id="rId1129" ref="C583"/>
    <hyperlink r:id="rId1130" ref="A584"/>
    <hyperlink r:id="rId1131" ref="C584"/>
    <hyperlink r:id="rId1132" ref="A585"/>
    <hyperlink r:id="rId1133" ref="C585"/>
    <hyperlink r:id="rId1134" ref="A586"/>
    <hyperlink r:id="rId1135" ref="C586"/>
    <hyperlink r:id="rId1136" ref="A587"/>
    <hyperlink r:id="rId1137" ref="C587"/>
    <hyperlink r:id="rId1138" location=":~:text=For%20optimisation%20we%20use%20SEMrush%2C%20Ahrefs%20and,always%20invest%20in%20the%20very%20best%20software." ref="A588"/>
    <hyperlink r:id="rId1139" ref="C588"/>
    <hyperlink r:id="rId1140" ref="A589"/>
    <hyperlink r:id="rId1141" ref="C589"/>
    <hyperlink r:id="rId1142" ref="A590"/>
    <hyperlink r:id="rId1143" ref="C590"/>
    <hyperlink r:id="rId1144" ref="A591"/>
    <hyperlink r:id="rId1145" ref="C591"/>
    <hyperlink r:id="rId1146" ref="A592"/>
    <hyperlink r:id="rId1147" ref="C592"/>
    <hyperlink r:id="rId1148" ref="A593"/>
    <hyperlink r:id="rId1149" ref="C593"/>
    <hyperlink r:id="rId1150" ref="A594"/>
    <hyperlink r:id="rId1151" ref="C594"/>
    <hyperlink r:id="rId1152" ref="A595"/>
    <hyperlink r:id="rId1153" ref="C595"/>
    <hyperlink r:id="rId1154" ref="A596"/>
    <hyperlink r:id="rId1155" ref="C596"/>
    <hyperlink r:id="rId1156" ref="A597"/>
    <hyperlink r:id="rId1157" ref="C597"/>
    <hyperlink r:id="rId1158" ref="A598"/>
    <hyperlink r:id="rId1159" ref="C598"/>
    <hyperlink r:id="rId1160" ref="A599"/>
    <hyperlink r:id="rId1161" ref="C599"/>
    <hyperlink r:id="rId1162" location=":~:text=The%20MAMM%20framework%20assesses%20everything,Unified%20Measurement" ref="A600"/>
    <hyperlink r:id="rId1163" ref="C600"/>
    <hyperlink r:id="rId1164" ref="A601"/>
    <hyperlink r:id="rId1165" ref="C601"/>
    <hyperlink r:id="rId1166" ref="A602"/>
    <hyperlink r:id="rId1167" ref="C602"/>
    <hyperlink r:id="rId1168" ref="A603"/>
    <hyperlink r:id="rId1169" ref="C603"/>
    <hyperlink r:id="rId1170" ref="A604"/>
    <hyperlink r:id="rId1171" ref="C604"/>
    <hyperlink r:id="rId1172" ref="A605"/>
    <hyperlink r:id="rId1173" ref="C605"/>
    <hyperlink r:id="rId1174" ref="A606"/>
    <hyperlink r:id="rId1175" ref="C606"/>
    <hyperlink r:id="rId1176" ref="A607"/>
    <hyperlink r:id="rId1177" ref="C607"/>
    <hyperlink r:id="rId1178" ref="A608"/>
    <hyperlink r:id="rId1179" ref="C608"/>
    <hyperlink r:id="rId1180" ref="A609"/>
    <hyperlink r:id="rId1181" ref="C609"/>
    <hyperlink r:id="rId1182" ref="A610"/>
    <hyperlink r:id="rId1183" ref="C610"/>
    <hyperlink r:id="rId1184" ref="A611"/>
    <hyperlink r:id="rId1185" ref="C611"/>
    <hyperlink r:id="rId1186" ref="A612"/>
    <hyperlink r:id="rId1187" ref="C612"/>
    <hyperlink r:id="rId1188" ref="A613"/>
    <hyperlink r:id="rId1189" ref="C613"/>
    <hyperlink r:id="rId1190" ref="A614"/>
    <hyperlink r:id="rId1191" ref="C614"/>
    <hyperlink r:id="rId1192" location=":~:text=Most%20global.%20We%20are%20a%20community%20of,local%20relevancy.%20Learn%20more%20about%20our%20people." ref="A615"/>
    <hyperlink r:id="rId1193" ref="C615"/>
    <hyperlink r:id="rId1194" ref="A616"/>
    <hyperlink r:id="rId1195" ref="C616"/>
    <hyperlink r:id="rId1196" ref="A617"/>
    <hyperlink r:id="rId1197" ref="C617"/>
    <hyperlink r:id="rId1198" ref="A618"/>
    <hyperlink r:id="rId1199" ref="C618"/>
    <hyperlink r:id="rId1200" ref="A619"/>
    <hyperlink r:id="rId1201" ref="C619"/>
    <hyperlink r:id="rId1202" ref="A620"/>
    <hyperlink r:id="rId1203" ref="C620"/>
    <hyperlink r:id="rId1204" ref="A621"/>
    <hyperlink r:id="rId1205" location=":~:text=First%20Page%20Sage%20has%20built,%2C%20Alcoa%2C%20and%20U.S.%20Bancorp." ref="A622"/>
    <hyperlink r:id="rId1206" ref="A623"/>
    <hyperlink r:id="rId1207" ref="C623"/>
    <hyperlink r:id="rId1208" ref="A624"/>
    <hyperlink r:id="rId1209" ref="C624"/>
    <hyperlink r:id="rId1210" ref="A625"/>
    <hyperlink r:id="rId1211" ref="C625"/>
    <hyperlink r:id="rId1212" ref="A626"/>
    <hyperlink r:id="rId1213" ref="C626"/>
    <hyperlink r:id="rId1214" ref="A627"/>
    <hyperlink r:id="rId1215" ref="C627"/>
    <hyperlink r:id="rId1216" ref="A628"/>
    <hyperlink r:id="rId1217" ref="C628"/>
    <hyperlink r:id="rId1218" ref="A629"/>
    <hyperlink r:id="rId1219" ref="C629"/>
    <hyperlink r:id="rId1220" ref="A630"/>
    <hyperlink r:id="rId1221" ref="C630"/>
    <hyperlink r:id="rId1222" ref="A631"/>
    <hyperlink r:id="rId1223" ref="C631"/>
    <hyperlink r:id="rId1224" ref="A632"/>
    <hyperlink r:id="rId1225" ref="C632"/>
    <hyperlink r:id="rId1226" ref="A633"/>
    <hyperlink r:id="rId1227" ref="C633"/>
    <hyperlink r:id="rId1228" ref="A634"/>
    <hyperlink r:id="rId1229" ref="C634"/>
    <hyperlink r:id="rId1230" ref="A635"/>
    <hyperlink r:id="rId1231" ref="C635"/>
    <hyperlink r:id="rId1232" ref="A636"/>
    <hyperlink r:id="rId1233" ref="C636"/>
    <hyperlink r:id="rId1234" ref="A637"/>
    <hyperlink r:id="rId1235" ref="A638"/>
    <hyperlink r:id="rId1236" ref="C638"/>
    <hyperlink r:id="rId1237" ref="A639"/>
    <hyperlink r:id="rId1238" ref="A640"/>
    <hyperlink r:id="rId1239" ref="A641"/>
    <hyperlink r:id="rId1240" ref="A642"/>
    <hyperlink r:id="rId1241" ref="C642"/>
    <hyperlink r:id="rId1242" ref="A643"/>
    <hyperlink r:id="rId1243" ref="C643"/>
    <hyperlink r:id="rId1244" ref="A644"/>
    <hyperlink r:id="rId1245" ref="C644"/>
    <hyperlink r:id="rId1246" ref="A645"/>
    <hyperlink r:id="rId1247" ref="C645"/>
    <hyperlink r:id="rId1248" ref="A646"/>
    <hyperlink r:id="rId1249" ref="C646"/>
    <hyperlink r:id="rId1250" ref="A647"/>
    <hyperlink r:id="rId1251" ref="C647"/>
    <hyperlink r:id="rId1252" ref="A648"/>
    <hyperlink r:id="rId1253" ref="C648"/>
    <hyperlink r:id="rId1254" ref="A649"/>
    <hyperlink r:id="rId1255" ref="C649"/>
    <hyperlink r:id="rId1256" ref="A650"/>
    <hyperlink r:id="rId1257" ref="C650"/>
    <hyperlink r:id="rId1258" ref="A651"/>
    <hyperlink r:id="rId1259" ref="C651"/>
    <hyperlink r:id="rId1260" ref="A652"/>
    <hyperlink r:id="rId1261" ref="C652"/>
    <hyperlink r:id="rId1262" ref="A653"/>
    <hyperlink r:id="rId1263" ref="C653"/>
    <hyperlink r:id="rId1264" ref="A654"/>
    <hyperlink r:id="rId1265" ref="C654"/>
    <hyperlink r:id="rId1266" ref="A655"/>
    <hyperlink r:id="rId1267" ref="C655"/>
    <hyperlink r:id="rId1268" ref="A656"/>
    <hyperlink r:id="rId1269" ref="C656"/>
    <hyperlink r:id="rId1270" ref="A657"/>
    <hyperlink r:id="rId1271" ref="C657"/>
    <hyperlink r:id="rId1272" ref="A658"/>
    <hyperlink r:id="rId1273" ref="C658"/>
    <hyperlink r:id="rId1274" ref="A659"/>
    <hyperlink r:id="rId1275" ref="C659"/>
    <hyperlink r:id="rId1276" ref="A660"/>
    <hyperlink r:id="rId1277" ref="C660"/>
    <hyperlink r:id="rId1278" ref="A661"/>
    <hyperlink r:id="rId1279" ref="C661"/>
    <hyperlink r:id="rId1280" ref="A662"/>
    <hyperlink r:id="rId1281" ref="C662"/>
    <hyperlink r:id="rId1282" ref="A663"/>
    <hyperlink r:id="rId1283" ref="C663"/>
    <hyperlink r:id="rId1284" ref="A664"/>
    <hyperlink r:id="rId1285" ref="C664"/>
    <hyperlink r:id="rId1286" ref="A665"/>
    <hyperlink r:id="rId1287" ref="C665"/>
    <hyperlink r:id="rId1288" ref="A666"/>
    <hyperlink r:id="rId1289" ref="C666"/>
    <hyperlink r:id="rId1290" ref="A667"/>
    <hyperlink r:id="rId1291" ref="C667"/>
    <hyperlink r:id="rId1292" ref="A668"/>
    <hyperlink r:id="rId1293" ref="C668"/>
    <hyperlink r:id="rId1294" ref="A669"/>
    <hyperlink r:id="rId1295" ref="C669"/>
    <hyperlink r:id="rId1296" ref="A670"/>
    <hyperlink r:id="rId1297" ref="C670"/>
    <hyperlink r:id="rId1298" ref="A671"/>
    <hyperlink r:id="rId1299" ref="C671"/>
    <hyperlink r:id="rId1300" ref="A672"/>
    <hyperlink r:id="rId1301" ref="A673"/>
    <hyperlink r:id="rId1302" ref="A674"/>
    <hyperlink r:id="rId1303" ref="C674"/>
    <hyperlink r:id="rId1304" ref="A675"/>
    <hyperlink r:id="rId1305" ref="C675"/>
    <hyperlink r:id="rId1306" ref="A676"/>
    <hyperlink r:id="rId1307" ref="C676"/>
    <hyperlink r:id="rId1308" ref="A677"/>
    <hyperlink r:id="rId1309" ref="C677"/>
    <hyperlink r:id="rId1310" ref="A678"/>
    <hyperlink r:id="rId1311" ref="C678"/>
    <hyperlink r:id="rId1312" ref="A679"/>
    <hyperlink r:id="rId1313" ref="C679"/>
    <hyperlink r:id="rId1314" ref="A680"/>
    <hyperlink r:id="rId1315" ref="C680"/>
    <hyperlink r:id="rId1316" ref="A681"/>
    <hyperlink r:id="rId1317" ref="C681"/>
    <hyperlink r:id="rId1318" ref="A682"/>
    <hyperlink r:id="rId1319" ref="A683"/>
    <hyperlink r:id="rId1320" ref="A684"/>
    <hyperlink r:id="rId1321" ref="C684"/>
    <hyperlink r:id="rId1322" ref="A685"/>
    <hyperlink r:id="rId1323" ref="C685"/>
    <hyperlink r:id="rId1324" ref="A686"/>
    <hyperlink r:id="rId1325" ref="C686"/>
    <hyperlink r:id="rId1326" ref="A687"/>
    <hyperlink r:id="rId1327" ref="C687"/>
    <hyperlink r:id="rId1328" ref="A688"/>
    <hyperlink r:id="rId1329" ref="C688"/>
    <hyperlink r:id="rId1330" ref="A689"/>
    <hyperlink r:id="rId1331" ref="A690"/>
    <hyperlink r:id="rId1332" ref="C690"/>
    <hyperlink r:id="rId1333" ref="A691"/>
    <hyperlink r:id="rId1334" ref="C691"/>
    <hyperlink r:id="rId1335" ref="A692"/>
    <hyperlink r:id="rId1336" ref="C692"/>
    <hyperlink r:id="rId1337" ref="A693"/>
    <hyperlink r:id="rId1338" ref="C693"/>
    <hyperlink r:id="rId1339" ref="A694"/>
    <hyperlink r:id="rId1340" ref="C694"/>
    <hyperlink r:id="rId1341" ref="A695"/>
    <hyperlink r:id="rId1342" ref="C695"/>
    <hyperlink r:id="rId1343" location=":~:text=AEO%20Collective%20is%20good%2C%20they,3mo%20ago" ref="A696"/>
    <hyperlink r:id="rId1344" ref="C696"/>
    <hyperlink r:id="rId1345" ref="A697"/>
    <hyperlink r:id="rId1346" ref="C697"/>
    <hyperlink r:id="rId1347" ref="A698"/>
    <hyperlink r:id="rId1348" ref="C698"/>
    <hyperlink r:id="rId1349" ref="A699"/>
    <hyperlink r:id="rId1350" ref="C699"/>
    <hyperlink r:id="rId1351" ref="A700"/>
    <hyperlink r:id="rId1352" ref="C700"/>
    <hyperlink r:id="rId1353" ref="A701"/>
    <hyperlink r:id="rId1354" ref="A702"/>
    <hyperlink r:id="rId1355" ref="C702"/>
    <hyperlink r:id="rId1356" ref="A703"/>
    <hyperlink r:id="rId1357" ref="C703"/>
    <hyperlink r:id="rId1358" ref="A704"/>
    <hyperlink r:id="rId1359" ref="C704"/>
    <hyperlink r:id="rId1360" ref="A705"/>
    <hyperlink r:id="rId1361" ref="C705"/>
    <hyperlink r:id="rId1362" ref="A706"/>
    <hyperlink r:id="rId1363" ref="C706"/>
    <hyperlink r:id="rId1364" ref="A707"/>
    <hyperlink r:id="rId1365" ref="C707"/>
    <hyperlink r:id="rId1366" ref="A708"/>
    <hyperlink r:id="rId1367" ref="C708"/>
    <hyperlink r:id="rId1368" ref="A709"/>
    <hyperlink r:id="rId1369" ref="C709"/>
    <hyperlink r:id="rId1370" ref="A710"/>
    <hyperlink r:id="rId1371" ref="C710"/>
    <hyperlink r:id="rId1372" ref="A711"/>
    <hyperlink r:id="rId1373" ref="C711"/>
    <hyperlink r:id="rId1374" ref="A712"/>
    <hyperlink r:id="rId1375" ref="C712"/>
    <hyperlink r:id="rId1376" ref="A713"/>
    <hyperlink r:id="rId1377" ref="C713"/>
    <hyperlink r:id="rId1378" ref="A714"/>
    <hyperlink r:id="rId1379" ref="C714"/>
    <hyperlink r:id="rId1380" ref="A715"/>
    <hyperlink r:id="rId1381" ref="C715"/>
    <hyperlink r:id="rId1382" ref="A716"/>
    <hyperlink r:id="rId1383" ref="C716"/>
    <hyperlink r:id="rId1384" ref="A717"/>
    <hyperlink r:id="rId1385" ref="C717"/>
    <hyperlink r:id="rId1386" ref="A718"/>
    <hyperlink r:id="rId1387" ref="C718"/>
    <hyperlink r:id="rId1388" ref="A719"/>
    <hyperlink r:id="rId1389" ref="C719"/>
    <hyperlink r:id="rId1390" ref="A720"/>
    <hyperlink r:id="rId1391" ref="C720"/>
    <hyperlink r:id="rId1392" location=":~:text=Avanade's%20assessment%20is%20informed%20by,human%20side%20of%20AI%20adoption." ref="A721"/>
    <hyperlink r:id="rId1393" ref="C721"/>
    <hyperlink r:id="rId1394" ref="A722"/>
    <hyperlink r:id="rId1395" ref="C722"/>
    <hyperlink r:id="rId1396" ref="A723"/>
    <hyperlink r:id="rId1397" ref="C723"/>
    <hyperlink r:id="rId1398" ref="A724"/>
    <hyperlink r:id="rId1399" ref="C724"/>
    <hyperlink r:id="rId1400" ref="A725"/>
    <hyperlink r:id="rId1401" ref="C725"/>
    <hyperlink r:id="rId1402" ref="A726"/>
    <hyperlink r:id="rId1403" ref="C726"/>
    <hyperlink r:id="rId1404" ref="A727"/>
    <hyperlink r:id="rId1405" ref="C727"/>
    <hyperlink r:id="rId1406" ref="A728"/>
    <hyperlink r:id="rId1407" ref="C728"/>
    <hyperlink r:id="rId1408" ref="A729"/>
    <hyperlink r:id="rId1409" ref="C729"/>
    <hyperlink r:id="rId1410" ref="A730"/>
    <hyperlink r:id="rId1411" ref="C730"/>
    <hyperlink r:id="rId1412" location=":~:text=Web%20Analytics%20and%20Product%20Analytics,analytics%20workflows%20like%20software%20engineers" ref="A731"/>
    <hyperlink r:id="rId1413" ref="C731"/>
    <hyperlink r:id="rId1414" ref="A732"/>
    <hyperlink r:id="rId1415" ref="C732"/>
    <hyperlink r:id="rId1416" ref="A733"/>
    <hyperlink r:id="rId1417" ref="C733"/>
    <hyperlink r:id="rId1418" ref="A734"/>
    <hyperlink r:id="rId1419" ref="C734"/>
    <hyperlink r:id="rId1420" ref="A735"/>
    <hyperlink r:id="rId1421" ref="C735"/>
    <hyperlink r:id="rId1422" ref="A736"/>
    <hyperlink r:id="rId1423" ref="C736"/>
    <hyperlink r:id="rId1424" ref="A737"/>
    <hyperlink r:id="rId1425" ref="C737"/>
    <hyperlink r:id="rId1426" ref="A738"/>
    <hyperlink r:id="rId1427" ref="C738"/>
    <hyperlink r:id="rId1428" ref="A739"/>
    <hyperlink r:id="rId1429" ref="A740"/>
    <hyperlink r:id="rId1430" ref="C740"/>
    <hyperlink r:id="rId1431" ref="A741"/>
    <hyperlink r:id="rId1432" ref="A742"/>
    <hyperlink r:id="rId1433" ref="C742"/>
    <hyperlink r:id="rId1434" ref="A743"/>
    <hyperlink r:id="rId1435" ref="A744"/>
    <hyperlink r:id="rId1436" ref="C744"/>
    <hyperlink r:id="rId1437" ref="A745"/>
    <hyperlink r:id="rId1438" ref="C745"/>
    <hyperlink r:id="rId1439" ref="A746"/>
    <hyperlink r:id="rId1440" ref="A747"/>
    <hyperlink r:id="rId1441" ref="C747"/>
    <hyperlink r:id="rId1442" ref="A748"/>
    <hyperlink r:id="rId1443" ref="C748"/>
    <hyperlink r:id="rId1444" ref="A749"/>
    <hyperlink r:id="rId1445" ref="C749"/>
    <hyperlink r:id="rId1446" ref="A750"/>
    <hyperlink r:id="rId1447" ref="C750"/>
    <hyperlink r:id="rId1448" ref="A751"/>
    <hyperlink r:id="rId1449" ref="C751"/>
    <hyperlink r:id="rId1450" ref="A752"/>
    <hyperlink r:id="rId1451" ref="C752"/>
    <hyperlink r:id="rId1452" ref="A753"/>
    <hyperlink r:id="rId1453" ref="C753"/>
    <hyperlink r:id="rId1454" ref="A754"/>
    <hyperlink r:id="rId1455" ref="C754"/>
    <hyperlink r:id="rId1456" ref="A755"/>
    <hyperlink r:id="rId1457" ref="C755"/>
    <hyperlink r:id="rId1458" ref="A756"/>
    <hyperlink r:id="rId1459" ref="C756"/>
    <hyperlink r:id="rId1460" ref="A757"/>
    <hyperlink r:id="rId1461" ref="C757"/>
    <hyperlink r:id="rId1462" ref="A758"/>
    <hyperlink r:id="rId1463" ref="C758"/>
    <hyperlink r:id="rId1464" ref="A759"/>
    <hyperlink r:id="rId1465" ref="C759"/>
    <hyperlink r:id="rId1466" ref="A760"/>
    <hyperlink r:id="rId1467" ref="C760"/>
    <hyperlink r:id="rId1468" ref="A761"/>
    <hyperlink r:id="rId1469" ref="C761"/>
    <hyperlink r:id="rId1470" ref="A762"/>
    <hyperlink r:id="rId1471" ref="C762"/>
    <hyperlink r:id="rId1472" ref="A763"/>
    <hyperlink r:id="rId1473" ref="C763"/>
    <hyperlink r:id="rId1474" ref="A764"/>
    <hyperlink r:id="rId1475" ref="C764"/>
    <hyperlink r:id="rId1476" ref="A765"/>
    <hyperlink r:id="rId1477" ref="C765"/>
    <hyperlink r:id="rId1478" ref="A766"/>
    <hyperlink r:id="rId1479" ref="C766"/>
    <hyperlink r:id="rId1480" ref="A767"/>
    <hyperlink r:id="rId1481" ref="C767"/>
    <hyperlink r:id="rId1482" ref="A768"/>
    <hyperlink r:id="rId1483" ref="C768"/>
    <hyperlink r:id="rId1484" ref="A769"/>
    <hyperlink r:id="rId1485" ref="C769"/>
    <hyperlink r:id="rId1486" ref="A770"/>
    <hyperlink r:id="rId1487" ref="C770"/>
    <hyperlink r:id="rId1488" ref="A771"/>
    <hyperlink r:id="rId1489" ref="C771"/>
    <hyperlink r:id="rId1490" ref="A772"/>
    <hyperlink r:id="rId1491" ref="C772"/>
    <hyperlink r:id="rId1492" ref="A773"/>
    <hyperlink r:id="rId1493" ref="C773"/>
    <hyperlink r:id="rId1494" ref="A774"/>
    <hyperlink r:id="rId1495" ref="C774"/>
    <hyperlink r:id="rId1496" ref="A775"/>
    <hyperlink r:id="rId1497" ref="C775"/>
    <hyperlink r:id="rId1498" ref="A776"/>
    <hyperlink r:id="rId1499" ref="C776"/>
    <hyperlink r:id="rId1500" ref="A777"/>
    <hyperlink r:id="rId1501" ref="C777"/>
    <hyperlink r:id="rId1502" ref="A778"/>
    <hyperlink r:id="rId1503" ref="C778"/>
    <hyperlink r:id="rId1504" ref="A779"/>
    <hyperlink r:id="rId1505" ref="C779"/>
    <hyperlink r:id="rId1506" ref="A780"/>
    <hyperlink r:id="rId1507" ref="C780"/>
    <hyperlink r:id="rId1508" ref="A781"/>
    <hyperlink r:id="rId1509" ref="C781"/>
    <hyperlink r:id="rId1510" ref="A782"/>
    <hyperlink r:id="rId1511" ref="C782"/>
    <hyperlink r:id="rId1512" ref="A783"/>
    <hyperlink r:id="rId1513" ref="C783"/>
    <hyperlink r:id="rId1514" ref="A784"/>
    <hyperlink r:id="rId1515" ref="C784"/>
    <hyperlink r:id="rId1516" ref="A785"/>
    <hyperlink r:id="rId1517" ref="C785"/>
    <hyperlink r:id="rId1518" ref="A786"/>
    <hyperlink r:id="rId1519" ref="C786"/>
    <hyperlink r:id="rId1520" ref="A787"/>
    <hyperlink r:id="rId1521" ref="C787"/>
    <hyperlink r:id="rId1522" ref="A788"/>
    <hyperlink r:id="rId1523" ref="C788"/>
    <hyperlink r:id="rId1524" ref="A789"/>
    <hyperlink r:id="rId1525" ref="C789"/>
    <hyperlink r:id="rId1526" ref="A790"/>
    <hyperlink r:id="rId1527" ref="C790"/>
    <hyperlink r:id="rId1528" ref="A791"/>
    <hyperlink r:id="rId1529" ref="C791"/>
    <hyperlink r:id="rId1530" location=":~:text=AI%20Adoption%20Toolkit%20%2D%20Digital%20Catapult" ref="A792"/>
    <hyperlink r:id="rId1531" ref="C792"/>
    <hyperlink r:id="rId1532" ref="A793"/>
    <hyperlink r:id="rId1533" ref="C793"/>
    <hyperlink r:id="rId1534" ref="A794"/>
    <hyperlink r:id="rId1535" ref="C794"/>
    <hyperlink r:id="rId1536" ref="A795"/>
    <hyperlink r:id="rId1537" ref="C795"/>
    <hyperlink r:id="rId1538" ref="A796"/>
    <hyperlink r:id="rId1539" ref="C796"/>
    <hyperlink r:id="rId1540" ref="A797"/>
    <hyperlink r:id="rId1541" ref="C797"/>
    <hyperlink r:id="rId1542" ref="A798"/>
    <hyperlink r:id="rId1543" ref="C798"/>
    <hyperlink r:id="rId1544" ref="A799"/>
    <hyperlink r:id="rId1545" ref="C799"/>
    <hyperlink r:id="rId1546" location=":~:text=Audigent%20%7C%20The%20Leading%20Data%20Activation,activation%2C%20curation%20and%20identity%20platform." ref="A800"/>
    <hyperlink r:id="rId1547" ref="C800"/>
    <hyperlink r:id="rId1548" ref="A801"/>
    <hyperlink r:id="rId1549" ref="C801"/>
    <hyperlink r:id="rId1550" ref="A802"/>
    <hyperlink r:id="rId1551" ref="C802"/>
    <hyperlink r:id="rId1552" ref="A803"/>
    <hyperlink r:id="rId1553" ref="C803"/>
    <hyperlink r:id="rId1554" ref="A804"/>
    <hyperlink r:id="rId1555" ref="C804"/>
    <hyperlink r:id="rId1556" ref="A805"/>
    <hyperlink r:id="rId1557" ref="C805"/>
    <hyperlink r:id="rId1558" ref="A806"/>
    <hyperlink r:id="rId1559" ref="C806"/>
    <hyperlink r:id="rId1560" ref="A807"/>
    <hyperlink r:id="rId1561" ref="C807"/>
    <hyperlink r:id="rId1562" ref="A808"/>
    <hyperlink r:id="rId1563" ref="C808"/>
    <hyperlink r:id="rId1564" ref="A809"/>
    <hyperlink r:id="rId1565" ref="A810"/>
    <hyperlink r:id="rId1566" ref="A811"/>
    <hyperlink r:id="rId1567" ref="C811"/>
    <hyperlink r:id="rId1568" ref="A812"/>
    <hyperlink r:id="rId1569" ref="C812"/>
    <hyperlink r:id="rId1570" ref="A813"/>
    <hyperlink r:id="rId1571" ref="C813"/>
    <hyperlink r:id="rId1572" ref="A814"/>
    <hyperlink r:id="rId1573" ref="C814"/>
    <hyperlink r:id="rId1574" ref="A815"/>
    <hyperlink r:id="rId1575" ref="C815"/>
    <hyperlink r:id="rId1576" ref="A816"/>
    <hyperlink r:id="rId1577" ref="C816"/>
    <hyperlink r:id="rId1578" ref="A817"/>
    <hyperlink r:id="rId1579" ref="C817"/>
    <hyperlink r:id="rId1580" ref="A818"/>
    <hyperlink r:id="rId1581" ref="C818"/>
    <hyperlink r:id="rId1582" ref="A819"/>
    <hyperlink r:id="rId1583" ref="C819"/>
    <hyperlink r:id="rId1584" ref="A820"/>
    <hyperlink r:id="rId1585" ref="A821"/>
    <hyperlink r:id="rId1586" ref="A822"/>
    <hyperlink r:id="rId1587" ref="C822"/>
    <hyperlink r:id="rId1588" ref="A823"/>
    <hyperlink r:id="rId1589" ref="C823"/>
    <hyperlink r:id="rId1590" ref="A824"/>
    <hyperlink r:id="rId1591" ref="C824"/>
    <hyperlink r:id="rId1592" ref="A825"/>
    <hyperlink r:id="rId1593" ref="C825"/>
    <hyperlink r:id="rId1594" ref="A826"/>
    <hyperlink r:id="rId1595" ref="C826"/>
    <hyperlink r:id="rId1596" ref="A827"/>
    <hyperlink r:id="rId1597" ref="C827"/>
    <hyperlink r:id="rId1598" ref="A828"/>
    <hyperlink r:id="rId1599" ref="C828"/>
    <hyperlink r:id="rId1600" ref="A829"/>
    <hyperlink r:id="rId1601" ref="C829"/>
    <hyperlink r:id="rId1602" ref="A830"/>
    <hyperlink r:id="rId1603" ref="C830"/>
    <hyperlink r:id="rId1604" ref="A831"/>
    <hyperlink r:id="rId1605" ref="C831"/>
    <hyperlink r:id="rId1606" ref="A832"/>
    <hyperlink r:id="rId1607" ref="C832"/>
    <hyperlink r:id="rId1608" ref="A833"/>
    <hyperlink r:id="rId1609" ref="C833"/>
    <hyperlink r:id="rId1610" ref="A834"/>
    <hyperlink r:id="rId1611" ref="C834"/>
    <hyperlink r:id="rId1612" ref="A835"/>
    <hyperlink r:id="rId1613" ref="C835"/>
    <hyperlink r:id="rId1614" ref="A836"/>
    <hyperlink r:id="rId1615" ref="C836"/>
    <hyperlink r:id="rId1616" ref="A837"/>
    <hyperlink r:id="rId1617" ref="C837"/>
    <hyperlink r:id="rId1618" ref="A838"/>
    <hyperlink r:id="rId1619" ref="C838"/>
    <hyperlink r:id="rId1620" ref="A839"/>
    <hyperlink r:id="rId1621" ref="C839"/>
    <hyperlink r:id="rId1622" ref="A840"/>
    <hyperlink r:id="rId1623" ref="C840"/>
    <hyperlink r:id="rId1624" ref="A841"/>
    <hyperlink r:id="rId1625" ref="C841"/>
    <hyperlink r:id="rId1626" ref="A842"/>
    <hyperlink r:id="rId1627" ref="C842"/>
    <hyperlink r:id="rId1628" ref="A843"/>
    <hyperlink r:id="rId1629" ref="C843"/>
    <hyperlink r:id="rId1630" ref="A844"/>
    <hyperlink r:id="rId1631" ref="C844"/>
    <hyperlink r:id="rId1632" ref="A845"/>
    <hyperlink r:id="rId1633" ref="C845"/>
    <hyperlink r:id="rId1634" ref="A846"/>
    <hyperlink r:id="rId1635" ref="C846"/>
    <hyperlink r:id="rId1636" ref="A847"/>
    <hyperlink r:id="rId1637" ref="C847"/>
    <hyperlink r:id="rId1638" ref="A848"/>
    <hyperlink r:id="rId1639" ref="C848"/>
    <hyperlink r:id="rId1640" ref="A849"/>
    <hyperlink r:id="rId1641" ref="C849"/>
    <hyperlink r:id="rId1642" ref="A850"/>
    <hyperlink r:id="rId1643" ref="C850"/>
    <hyperlink r:id="rId1644" ref="A851"/>
    <hyperlink r:id="rId1645" ref="C851"/>
    <hyperlink r:id="rId1646" ref="A852"/>
    <hyperlink r:id="rId1647" ref="C852"/>
    <hyperlink r:id="rId1648" ref="A853"/>
    <hyperlink r:id="rId1649" ref="C853"/>
    <hyperlink r:id="rId1650" ref="A854"/>
    <hyperlink r:id="rId1651" ref="C854"/>
    <hyperlink r:id="rId1652" location=":~:text=As%20a%20Google%20Marketing%20Platform,technology%20investment%20and%20media%20performance." ref="A855"/>
    <hyperlink r:id="rId1653" ref="C855"/>
    <hyperlink r:id="rId1654" ref="A856"/>
    <hyperlink r:id="rId1655" ref="C856"/>
    <hyperlink r:id="rId1656" ref="A857"/>
    <hyperlink r:id="rId1657" ref="C857"/>
    <hyperlink r:id="rId1658" ref="A858"/>
    <hyperlink r:id="rId1659" ref="C858"/>
    <hyperlink r:id="rId1660" ref="A859"/>
    <hyperlink r:id="rId1661" ref="C859"/>
    <hyperlink r:id="rId1662" ref="A860"/>
    <hyperlink r:id="rId1663" ref="C860"/>
    <hyperlink r:id="rId1664" ref="A861"/>
    <hyperlink r:id="rId1665" ref="C861"/>
    <hyperlink r:id="rId1666" ref="A862"/>
    <hyperlink r:id="rId1667" ref="C862"/>
    <hyperlink r:id="rId1668" ref="A863"/>
    <hyperlink r:id="rId1669" ref="C863"/>
    <hyperlink r:id="rId1670" ref="A864"/>
    <hyperlink r:id="rId1671" ref="C864"/>
    <hyperlink r:id="rId1672" ref="A865"/>
    <hyperlink r:id="rId1673" ref="C865"/>
    <hyperlink r:id="rId1674" ref="A866"/>
    <hyperlink r:id="rId1675" ref="C866"/>
    <hyperlink r:id="rId1676" ref="A867"/>
    <hyperlink r:id="rId1677" ref="C867"/>
    <hyperlink r:id="rId1678" ref="A868"/>
    <hyperlink r:id="rId1679" ref="C868"/>
    <hyperlink r:id="rId1680" ref="A869"/>
    <hyperlink r:id="rId1681" ref="C869"/>
    <hyperlink r:id="rId1682" ref="A870"/>
    <hyperlink r:id="rId1683" ref="C870"/>
    <hyperlink r:id="rId1684" ref="A871"/>
    <hyperlink r:id="rId1685" ref="C871"/>
    <hyperlink r:id="rId1686" ref="A872"/>
    <hyperlink r:id="rId1687" ref="C872"/>
    <hyperlink r:id="rId1688" ref="A873"/>
    <hyperlink r:id="rId1689" ref="C873"/>
    <hyperlink r:id="rId1690" ref="A874"/>
    <hyperlink r:id="rId1691" ref="C874"/>
    <hyperlink r:id="rId1692" ref="A875"/>
    <hyperlink r:id="rId1693" ref="C875"/>
    <hyperlink r:id="rId1694" ref="A876"/>
    <hyperlink r:id="rId1695" ref="C876"/>
    <hyperlink r:id="rId1696" location=":~:text=Disruptive%20Advertising%20is%20a%20digital,driven%20approaches%20and%20proactive%20communication." ref="A877"/>
    <hyperlink r:id="rId1697" ref="C877"/>
    <hyperlink r:id="rId1698" ref="A878"/>
    <hyperlink r:id="rId1699" ref="C878"/>
    <hyperlink r:id="rId1700" ref="A879"/>
    <hyperlink r:id="rId1701" ref="C879"/>
    <hyperlink r:id="rId1702" ref="A880"/>
    <hyperlink r:id="rId1703" ref="C880"/>
    <hyperlink r:id="rId1704" ref="A881"/>
    <hyperlink r:id="rId1705" ref="C881"/>
    <hyperlink r:id="rId1706" ref="A882"/>
    <hyperlink r:id="rId1707" ref="C882"/>
    <hyperlink r:id="rId1708" ref="A883"/>
    <hyperlink r:id="rId1709" ref="C883"/>
    <hyperlink r:id="rId1710" ref="A884"/>
    <hyperlink r:id="rId1711" ref="C884"/>
    <hyperlink r:id="rId1712" ref="A885"/>
    <hyperlink r:id="rId1713" ref="C885"/>
    <hyperlink r:id="rId1714" ref="A886"/>
    <hyperlink r:id="rId1715" ref="C886"/>
    <hyperlink r:id="rId1716" ref="A887"/>
    <hyperlink r:id="rId1717" ref="C887"/>
    <hyperlink r:id="rId1718" ref="A888"/>
    <hyperlink r:id="rId1719" ref="C888"/>
    <hyperlink r:id="rId1720" ref="A889"/>
    <hyperlink r:id="rId1721" ref="C889"/>
    <hyperlink r:id="rId1722" ref="A890"/>
    <hyperlink r:id="rId1723" ref="C890"/>
    <hyperlink r:id="rId1724" ref="A891"/>
    <hyperlink r:id="rId1725" ref="C891"/>
    <hyperlink r:id="rId1726" ref="A892"/>
    <hyperlink r:id="rId1727" ref="C892"/>
    <hyperlink r:id="rId1728" ref="A893"/>
    <hyperlink r:id="rId1729" ref="C893"/>
    <hyperlink r:id="rId1730" ref="A894"/>
    <hyperlink r:id="rId1731" ref="C894"/>
    <hyperlink r:id="rId1732" ref="A895"/>
    <hyperlink r:id="rId1733" ref="C895"/>
    <hyperlink r:id="rId1734" ref="A896"/>
    <hyperlink r:id="rId1735" ref="C896"/>
    <hyperlink r:id="rId1736" ref="A897"/>
    <hyperlink r:id="rId1737" ref="C897"/>
    <hyperlink r:id="rId1738" ref="A898"/>
    <hyperlink r:id="rId1739" ref="C898"/>
    <hyperlink r:id="rId1740" ref="A899"/>
    <hyperlink r:id="rId1741" ref="C899"/>
    <hyperlink r:id="rId1742" ref="A900"/>
    <hyperlink r:id="rId1743" ref="C900"/>
    <hyperlink r:id="rId1744" ref="A901"/>
    <hyperlink r:id="rId1745" ref="A902"/>
    <hyperlink r:id="rId1746" ref="C902"/>
    <hyperlink r:id="rId1747" ref="A903"/>
    <hyperlink r:id="rId1748" ref="C903"/>
    <hyperlink r:id="rId1749" ref="A904"/>
    <hyperlink r:id="rId1750" location=":~:text=Simon%2DKucher%20is%20a%20global,Publicis%20Sapient" ref="A905"/>
    <hyperlink r:id="rId1751" ref="C905"/>
    <hyperlink r:id="rId1752" ref="A906"/>
    <hyperlink r:id="rId1753" ref="C906"/>
    <hyperlink r:id="rId1754" ref="A907"/>
    <hyperlink r:id="rId1755" ref="C907"/>
    <hyperlink r:id="rId1756" ref="A908"/>
    <hyperlink r:id="rId1757" ref="C908"/>
    <hyperlink r:id="rId1758" ref="A909"/>
    <hyperlink r:id="rId1759" ref="C909"/>
    <hyperlink r:id="rId1760" ref="A910"/>
    <hyperlink r:id="rId1761" ref="C910"/>
    <hyperlink r:id="rId1762" ref="A911"/>
    <hyperlink r:id="rId1763" ref="C911"/>
    <hyperlink r:id="rId1764" ref="A912"/>
    <hyperlink r:id="rId1765" ref="C912"/>
    <hyperlink r:id="rId1766" ref="A913"/>
    <hyperlink r:id="rId1767" ref="C913"/>
    <hyperlink r:id="rId1768" ref="A914"/>
    <hyperlink r:id="rId1769" ref="C914"/>
    <hyperlink r:id="rId1770" ref="A915"/>
    <hyperlink r:id="rId1771" ref="A916"/>
    <hyperlink r:id="rId1772" ref="C916"/>
    <hyperlink r:id="rId1773" ref="A917"/>
    <hyperlink r:id="rId1774" ref="C917"/>
    <hyperlink r:id="rId1775" ref="A918"/>
    <hyperlink r:id="rId1776" ref="C918"/>
    <hyperlink r:id="rId1777" ref="A919"/>
    <hyperlink r:id="rId1778" ref="C919"/>
    <hyperlink r:id="rId1779" ref="A920"/>
    <hyperlink r:id="rId1780" ref="C920"/>
    <hyperlink r:id="rId1781" ref="A921"/>
    <hyperlink r:id="rId1782" ref="C921"/>
    <hyperlink r:id="rId1783" ref="A922"/>
    <hyperlink r:id="rId1784" ref="C922"/>
    <hyperlink r:id="rId1785" ref="A923"/>
    <hyperlink r:id="rId1786" ref="C923"/>
    <hyperlink r:id="rId1787" ref="A924"/>
    <hyperlink r:id="rId1788" ref="C924"/>
    <hyperlink r:id="rId1789" ref="A925"/>
    <hyperlink r:id="rId1790" ref="C925"/>
    <hyperlink r:id="rId1791" ref="A926"/>
    <hyperlink r:id="rId1792" ref="C926"/>
    <hyperlink r:id="rId1793" ref="A927"/>
    <hyperlink r:id="rId1794" ref="A928"/>
    <hyperlink r:id="rId1795" ref="C928"/>
    <hyperlink r:id="rId1796" ref="A929"/>
    <hyperlink r:id="rId1797" ref="C929"/>
    <hyperlink r:id="rId1798" location=":~:text=Executive%2Dready%20readout%20that%20translates%20performance%20into%20business,clickstream%2Fserver%2Dside%20when%20needed).%203)%20Model%20%26%20validate." ref="A930"/>
    <hyperlink r:id="rId1799" ref="C930"/>
    <hyperlink r:id="rId1800" ref="A931"/>
    <hyperlink r:id="rId1801" ref="C931"/>
    <hyperlink r:id="rId1802" ref="A932"/>
    <hyperlink r:id="rId1803" ref="A933"/>
    <hyperlink r:id="rId1804" ref="C933"/>
    <hyperlink r:id="rId1805" ref="A934"/>
    <hyperlink r:id="rId1806" ref="C934"/>
    <hyperlink r:id="rId1807" ref="A935"/>
    <hyperlink r:id="rId1808" ref="C935"/>
    <hyperlink r:id="rId1809" ref="A936"/>
    <hyperlink r:id="rId1810" ref="C936"/>
    <hyperlink r:id="rId1811" ref="A937"/>
    <hyperlink r:id="rId1812" ref="C937"/>
    <hyperlink r:id="rId1813" ref="A938"/>
    <hyperlink r:id="rId1814" ref="C938"/>
    <hyperlink r:id="rId1815" ref="A939"/>
    <hyperlink r:id="rId1816" ref="C939"/>
    <hyperlink r:id="rId1817" ref="A940"/>
    <hyperlink r:id="rId1818" ref="C940"/>
    <hyperlink r:id="rId1819" ref="A941"/>
    <hyperlink r:id="rId1820" ref="C941"/>
    <hyperlink r:id="rId1821" ref="A942"/>
    <hyperlink r:id="rId1822" ref="C942"/>
    <hyperlink r:id="rId1823" ref="A943"/>
    <hyperlink r:id="rId1824" ref="C943"/>
    <hyperlink r:id="rId1825" ref="A944"/>
    <hyperlink r:id="rId1826" ref="C944"/>
    <hyperlink r:id="rId1827" ref="A945"/>
    <hyperlink r:id="rId1828" ref="C945"/>
    <hyperlink r:id="rId1829" ref="A946"/>
    <hyperlink r:id="rId1830" ref="C946"/>
    <hyperlink r:id="rId1831" ref="A947"/>
    <hyperlink r:id="rId1832" ref="C947"/>
    <hyperlink r:id="rId1833" ref="A948"/>
    <hyperlink r:id="rId1834" ref="C948"/>
    <hyperlink r:id="rId1835" ref="A949"/>
    <hyperlink r:id="rId1836" ref="C949"/>
    <hyperlink r:id="rId1837" ref="A950"/>
    <hyperlink r:id="rId1838" ref="C950"/>
    <hyperlink r:id="rId1839" ref="A951"/>
    <hyperlink r:id="rId1840" ref="C951"/>
    <hyperlink r:id="rId1841" ref="A952"/>
    <hyperlink r:id="rId1842" ref="C952"/>
    <hyperlink r:id="rId1843" ref="A953"/>
    <hyperlink r:id="rId1844" ref="C953"/>
    <hyperlink r:id="rId1845" ref="A954"/>
    <hyperlink r:id="rId1846" ref="C954"/>
    <hyperlink r:id="rId1847" ref="A955"/>
    <hyperlink r:id="rId1848" ref="C955"/>
    <hyperlink r:id="rId1849" ref="A956"/>
    <hyperlink r:id="rId1850" ref="C956"/>
    <hyperlink r:id="rId1851" ref="A957"/>
    <hyperlink r:id="rId1852" ref="C957"/>
    <hyperlink r:id="rId1853" ref="A958"/>
    <hyperlink r:id="rId1854" ref="C958"/>
    <hyperlink r:id="rId1855" ref="A959"/>
    <hyperlink r:id="rId1856" ref="C959"/>
    <hyperlink r:id="rId1857" ref="A960"/>
    <hyperlink r:id="rId1858" ref="C960"/>
    <hyperlink r:id="rId1859" ref="A961"/>
    <hyperlink r:id="rId1860" ref="C961"/>
    <hyperlink r:id="rId1861" ref="A962"/>
    <hyperlink r:id="rId1862" ref="C962"/>
    <hyperlink r:id="rId1863" ref="A963"/>
    <hyperlink r:id="rId1864" ref="C963"/>
    <hyperlink r:id="rId1865" ref="A964"/>
    <hyperlink r:id="rId1866" ref="C964"/>
    <hyperlink r:id="rId1867" ref="A965"/>
    <hyperlink r:id="rId1868" ref="C965"/>
    <hyperlink r:id="rId1869" ref="A966"/>
    <hyperlink r:id="rId1870" ref="C966"/>
    <hyperlink r:id="rId1871" ref="A967"/>
    <hyperlink r:id="rId1872" ref="C967"/>
    <hyperlink r:id="rId1873" ref="A968"/>
    <hyperlink r:id="rId1874" ref="C968"/>
    <hyperlink r:id="rId1875" ref="A969"/>
    <hyperlink r:id="rId1876" ref="C969"/>
    <hyperlink r:id="rId1877" ref="A970"/>
    <hyperlink r:id="rId1878" ref="C970"/>
    <hyperlink r:id="rId1879" ref="A971"/>
    <hyperlink r:id="rId1880" ref="C971"/>
    <hyperlink r:id="rId1881" ref="A972"/>
    <hyperlink r:id="rId1882" ref="C972"/>
    <hyperlink r:id="rId1883" ref="A973"/>
    <hyperlink r:id="rId1884" ref="C973"/>
    <hyperlink r:id="rId1885" ref="A974"/>
    <hyperlink r:id="rId1886" ref="C974"/>
    <hyperlink r:id="rId1887" ref="A975"/>
    <hyperlink r:id="rId1888" ref="C975"/>
    <hyperlink r:id="rId1889" ref="A976"/>
    <hyperlink r:id="rId1890" ref="C976"/>
    <hyperlink r:id="rId1891" ref="A977"/>
    <hyperlink r:id="rId1892" ref="C977"/>
    <hyperlink r:id="rId1893" ref="A978"/>
    <hyperlink r:id="rId1894" ref="A979"/>
    <hyperlink r:id="rId1895" ref="C979"/>
    <hyperlink r:id="rId1896" ref="A980"/>
    <hyperlink r:id="rId1897" ref="C980"/>
    <hyperlink r:id="rId1898" ref="A981"/>
    <hyperlink r:id="rId1899" ref="C981"/>
    <hyperlink r:id="rId1900" ref="A982"/>
    <hyperlink r:id="rId1901" ref="C982"/>
    <hyperlink r:id="rId1902" ref="A983"/>
    <hyperlink r:id="rId1903" ref="C983"/>
    <hyperlink r:id="rId1904" ref="A984"/>
    <hyperlink r:id="rId1905" ref="C984"/>
    <hyperlink r:id="rId1906" ref="A985"/>
    <hyperlink r:id="rId1907" ref="C985"/>
    <hyperlink r:id="rId1908" ref="A986"/>
    <hyperlink r:id="rId1909" ref="C986"/>
    <hyperlink r:id="rId1910" ref="A987"/>
    <hyperlink r:id="rId1911" ref="C987"/>
    <hyperlink r:id="rId1912" ref="A988"/>
    <hyperlink r:id="rId1913" ref="C988"/>
    <hyperlink r:id="rId1914" ref="A989"/>
    <hyperlink r:id="rId1915" ref="A990"/>
    <hyperlink r:id="rId1916" ref="C990"/>
    <hyperlink r:id="rId1917" ref="A991"/>
    <hyperlink r:id="rId1918" ref="C991"/>
    <hyperlink r:id="rId1919" ref="A992"/>
    <hyperlink r:id="rId1920" ref="C992"/>
    <hyperlink r:id="rId1921" ref="A993"/>
    <hyperlink r:id="rId1922" ref="C993"/>
    <hyperlink r:id="rId1923" ref="A994"/>
    <hyperlink r:id="rId1924" ref="C994"/>
    <hyperlink r:id="rId1925" ref="A995"/>
    <hyperlink r:id="rId1926" ref="C995"/>
    <hyperlink r:id="rId1927" ref="A996"/>
    <hyperlink r:id="rId1928" ref="C996"/>
    <hyperlink r:id="rId1929" ref="A997"/>
    <hyperlink r:id="rId1930" ref="C997"/>
    <hyperlink r:id="rId1931" ref="A998"/>
    <hyperlink r:id="rId1932" ref="C998"/>
    <hyperlink r:id="rId1933" ref="A999"/>
    <hyperlink r:id="rId1934" ref="C999"/>
    <hyperlink r:id="rId1935" ref="A1000"/>
    <hyperlink r:id="rId1936" ref="C1000"/>
    <hyperlink r:id="rId1937" ref="A1001"/>
    <hyperlink r:id="rId1938" ref="C1001"/>
    <hyperlink r:id="rId1939" ref="A1002"/>
    <hyperlink r:id="rId1940" ref="C1002"/>
    <hyperlink r:id="rId1941" ref="A1003"/>
    <hyperlink r:id="rId1942" ref="C1003"/>
    <hyperlink r:id="rId1943" ref="A1004"/>
    <hyperlink r:id="rId1944" ref="C1004"/>
    <hyperlink r:id="rId1945" ref="A1005"/>
    <hyperlink r:id="rId1946" ref="C1005"/>
    <hyperlink r:id="rId1947" ref="A1006"/>
    <hyperlink r:id="rId1948" ref="C1006"/>
    <hyperlink r:id="rId1949" ref="A1007"/>
    <hyperlink r:id="rId1950" ref="C1007"/>
    <hyperlink r:id="rId1951" ref="A1008"/>
    <hyperlink r:id="rId1952" ref="C1008"/>
    <hyperlink r:id="rId1953" ref="A1009"/>
    <hyperlink r:id="rId1954" ref="C1009"/>
    <hyperlink r:id="rId1955" ref="A1010"/>
    <hyperlink r:id="rId1956" ref="C1010"/>
    <hyperlink r:id="rId1957" ref="A1011"/>
    <hyperlink r:id="rId1958" ref="C1011"/>
    <hyperlink r:id="rId1959" ref="A1012"/>
    <hyperlink r:id="rId1960" ref="C1012"/>
    <hyperlink r:id="rId1961" ref="A1013"/>
    <hyperlink r:id="rId1962" ref="C1013"/>
    <hyperlink r:id="rId1963" ref="A1014"/>
    <hyperlink r:id="rId1964" location=":~:text=We%20are%20a%20global%20marketing%20effectiveness%20and,named%20a%20Leader%20in%20The%20Forrester%20Wave%E2%84%A2%3A" ref="A1015"/>
    <hyperlink r:id="rId1965" ref="C1015"/>
    <hyperlink r:id="rId1966" ref="A1016"/>
    <hyperlink r:id="rId1967" ref="C1016"/>
    <hyperlink r:id="rId1968" ref="A1017"/>
    <hyperlink r:id="rId1969" ref="C1017"/>
    <hyperlink r:id="rId1970" ref="A1018"/>
    <hyperlink r:id="rId1971" ref="C1018"/>
    <hyperlink r:id="rId1972" ref="A1019"/>
    <hyperlink r:id="rId1973" ref="C1019"/>
    <hyperlink r:id="rId1974" ref="A1020"/>
    <hyperlink r:id="rId1975" ref="C1020"/>
    <hyperlink r:id="rId1976" ref="A1021"/>
    <hyperlink r:id="rId1977" ref="C1021"/>
    <hyperlink r:id="rId1978" ref="A1022"/>
    <hyperlink r:id="rId1979" ref="C1022"/>
    <hyperlink r:id="rId1980" ref="A1023"/>
    <hyperlink r:id="rId1981" ref="C1023"/>
    <hyperlink r:id="rId1982" ref="A1024"/>
    <hyperlink r:id="rId1983" ref="C1024"/>
    <hyperlink r:id="rId1984" ref="A1025"/>
    <hyperlink r:id="rId1985" ref="C1025"/>
    <hyperlink r:id="rId1986" ref="A1026"/>
    <hyperlink r:id="rId1987" ref="C1026"/>
    <hyperlink r:id="rId1988" ref="A1027"/>
    <hyperlink r:id="rId1989" ref="C1027"/>
    <hyperlink r:id="rId1990" ref="A1028"/>
    <hyperlink r:id="rId1991" ref="C1028"/>
    <hyperlink r:id="rId1992" ref="A1029"/>
    <hyperlink r:id="rId1993" ref="C1029"/>
    <hyperlink r:id="rId1994" ref="A1030"/>
    <hyperlink r:id="rId1995" ref="C1030"/>
    <hyperlink r:id="rId1996" ref="A1031"/>
    <hyperlink r:id="rId1997" ref="C1031"/>
    <hyperlink r:id="rId1998" ref="A1032"/>
    <hyperlink r:id="rId1999" ref="C1032"/>
    <hyperlink r:id="rId2000" ref="A1033"/>
    <hyperlink r:id="rId2001" ref="C1033"/>
    <hyperlink r:id="rId2002" ref="A1034"/>
    <hyperlink r:id="rId2003" ref="C1034"/>
    <hyperlink r:id="rId2004" ref="A1035"/>
    <hyperlink r:id="rId2005" ref="C1035"/>
    <hyperlink r:id="rId2006" ref="A1036"/>
    <hyperlink r:id="rId2007" ref="C1036"/>
    <hyperlink r:id="rId2008" location=":~:text=Own%20Your%20Tech.,Access%20Advanced%20Features." ref="A1037"/>
    <hyperlink r:id="rId2009" ref="C1037"/>
    <hyperlink r:id="rId2010" ref="A1038"/>
    <hyperlink r:id="rId2011" ref="C1038"/>
    <hyperlink r:id="rId2012" ref="A1039"/>
    <hyperlink r:id="rId2013" ref="C1039"/>
    <hyperlink r:id="rId2014" ref="A1040"/>
    <hyperlink r:id="rId2015" ref="C1040"/>
    <hyperlink r:id="rId2016" ref="A1041"/>
    <hyperlink r:id="rId2017" ref="C1041"/>
    <hyperlink r:id="rId2018" ref="A1042"/>
    <hyperlink r:id="rId2019" ref="C1042"/>
    <hyperlink r:id="rId2020" ref="A1043"/>
    <hyperlink r:id="rId2021" ref="C1043"/>
    <hyperlink r:id="rId2022" ref="A1044"/>
    <hyperlink r:id="rId2023" ref="C1044"/>
    <hyperlink r:id="rId2024" ref="A1045"/>
    <hyperlink r:id="rId2025" ref="C1045"/>
    <hyperlink r:id="rId2026" ref="A1046"/>
    <hyperlink r:id="rId2027" ref="C1046"/>
    <hyperlink r:id="rId2028" ref="A1047"/>
    <hyperlink r:id="rId2029" ref="C1047"/>
    <hyperlink r:id="rId2030" ref="A1048"/>
    <hyperlink r:id="rId2031" ref="C1048"/>
    <hyperlink r:id="rId2032" ref="A1049"/>
    <hyperlink r:id="rId2033" ref="C1049"/>
    <hyperlink r:id="rId2034" ref="A1050"/>
    <hyperlink r:id="rId2035" ref="C1050"/>
    <hyperlink r:id="rId2036" ref="A1051"/>
    <hyperlink r:id="rId2037" ref="C1051"/>
    <hyperlink r:id="rId2038" ref="A1052"/>
    <hyperlink r:id="rId2039" ref="C1052"/>
    <hyperlink r:id="rId2040" ref="A1053"/>
    <hyperlink r:id="rId2041" ref="C1053"/>
    <hyperlink r:id="rId2042" ref="A1054"/>
    <hyperlink r:id="rId2043" ref="C1054"/>
    <hyperlink r:id="rId2044" ref="A1055"/>
    <hyperlink r:id="rId2045" ref="C1055"/>
    <hyperlink r:id="rId2046" ref="A1056"/>
    <hyperlink r:id="rId2047" ref="C1056"/>
    <hyperlink r:id="rId2048" ref="A1057"/>
    <hyperlink r:id="rId2049" ref="C1057"/>
    <hyperlink r:id="rId2050" ref="A1058"/>
    <hyperlink r:id="rId2051" ref="C1058"/>
    <hyperlink r:id="rId2052" ref="A1059"/>
    <hyperlink r:id="rId2053" ref="C1059"/>
    <hyperlink r:id="rId2054" ref="A1060"/>
    <hyperlink r:id="rId2055" ref="C1060"/>
    <hyperlink r:id="rId2056" ref="A1061"/>
    <hyperlink r:id="rId2057" ref="C1061"/>
    <hyperlink r:id="rId2058" ref="A1062"/>
    <hyperlink r:id="rId2059" ref="C1062"/>
    <hyperlink r:id="rId2060" ref="A1063"/>
    <hyperlink r:id="rId2061" ref="C1063"/>
    <hyperlink r:id="rId2062" ref="A1064"/>
    <hyperlink r:id="rId2063" ref="C1064"/>
    <hyperlink r:id="rId2064" ref="A1065"/>
    <hyperlink r:id="rId2065" ref="C1065"/>
    <hyperlink r:id="rId2066" ref="A1066"/>
    <hyperlink r:id="rId2067" ref="C1066"/>
    <hyperlink r:id="rId2068" ref="A1067"/>
    <hyperlink r:id="rId2069" ref="C1067"/>
    <hyperlink r:id="rId2070" ref="A1068"/>
    <hyperlink r:id="rId2071" ref="C1068"/>
    <hyperlink r:id="rId2072" ref="A1069"/>
    <hyperlink r:id="rId2073" ref="C1069"/>
    <hyperlink r:id="rId2074" ref="A1070"/>
    <hyperlink r:id="rId2075" ref="C1070"/>
    <hyperlink r:id="rId2076" ref="A1071"/>
    <hyperlink r:id="rId2077" ref="C1071"/>
    <hyperlink r:id="rId2078" ref="A1072"/>
    <hyperlink r:id="rId2079" ref="C1072"/>
    <hyperlink r:id="rId2080" ref="A1073"/>
    <hyperlink r:id="rId2081" ref="C1073"/>
    <hyperlink r:id="rId2082" ref="A1074"/>
    <hyperlink r:id="rId2083" ref="C1074"/>
    <hyperlink r:id="rId2084" ref="A1075"/>
    <hyperlink r:id="rId2085" ref="C1075"/>
    <hyperlink r:id="rId2086" ref="A1076"/>
    <hyperlink r:id="rId2087" ref="C1076"/>
    <hyperlink r:id="rId2088" ref="A1077"/>
    <hyperlink r:id="rId2089" ref="C1077"/>
    <hyperlink r:id="rId2090" ref="A1078"/>
    <hyperlink r:id="rId2091" ref="C1078"/>
    <hyperlink r:id="rId2092" ref="A1079"/>
    <hyperlink r:id="rId2093" ref="C1079"/>
    <hyperlink r:id="rId2094" ref="A1080"/>
    <hyperlink r:id="rId2095" ref="A1081"/>
    <hyperlink r:id="rId2096" ref="C1081"/>
    <hyperlink r:id="rId2097" ref="A1082"/>
    <hyperlink r:id="rId2098" ref="C1082"/>
    <hyperlink r:id="rId2099" ref="A1083"/>
    <hyperlink r:id="rId2100" ref="C1083"/>
    <hyperlink r:id="rId2101" ref="A1084"/>
    <hyperlink r:id="rId2102" ref="C1084"/>
    <hyperlink r:id="rId2103" ref="A1085"/>
    <hyperlink r:id="rId2104" ref="C1085"/>
    <hyperlink r:id="rId2105" location=":~:text=Growthcurve%20gives%20you%20a%20complete,more%20shipped%20and%20fewer%20handoffs." ref="A1086"/>
    <hyperlink r:id="rId2106" ref="C1086"/>
    <hyperlink r:id="rId2107" ref="A1087"/>
    <hyperlink r:id="rId2108" ref="C1087"/>
    <hyperlink r:id="rId2109" ref="A1088"/>
    <hyperlink r:id="rId2110" ref="C1088"/>
    <hyperlink r:id="rId2111" ref="A1089"/>
    <hyperlink r:id="rId2112" ref="A1090"/>
    <hyperlink r:id="rId2113" ref="A1091"/>
    <hyperlink r:id="rId2114" ref="A1092"/>
    <hyperlink r:id="rId2115" ref="A1093"/>
    <hyperlink r:id="rId2116" ref="C1093"/>
    <hyperlink r:id="rId2117" ref="A1094"/>
    <hyperlink r:id="rId2118" ref="C1094"/>
    <hyperlink r:id="rId2119" ref="A1095"/>
    <hyperlink r:id="rId2120" ref="C1095"/>
    <hyperlink r:id="rId2121" ref="A1096"/>
    <hyperlink r:id="rId2122" ref="C1096"/>
    <hyperlink r:id="rId2123" ref="A1097"/>
    <hyperlink r:id="rId2124" ref="C1097"/>
    <hyperlink r:id="rId2125" ref="A1098"/>
    <hyperlink r:id="rId2126" ref="C1098"/>
    <hyperlink r:id="rId2127" ref="A1099"/>
    <hyperlink r:id="rId2128" ref="C1099"/>
    <hyperlink r:id="rId2129" ref="A1100"/>
    <hyperlink r:id="rId2130" ref="C1100"/>
    <hyperlink r:id="rId2131" ref="A1101"/>
    <hyperlink r:id="rId2132" ref="C1101"/>
    <hyperlink r:id="rId2133" ref="A1102"/>
    <hyperlink r:id="rId2134" ref="C1102"/>
    <hyperlink r:id="rId2135" ref="A1103"/>
    <hyperlink r:id="rId2136" ref="C1103"/>
    <hyperlink r:id="rId2137" ref="A1104"/>
    <hyperlink r:id="rId2138" ref="A1105"/>
    <hyperlink r:id="rId2139" ref="C1105"/>
    <hyperlink r:id="rId2140" ref="A1106"/>
    <hyperlink r:id="rId2141" ref="C1106"/>
    <hyperlink r:id="rId2142" ref="A1107"/>
    <hyperlink r:id="rId2143" ref="C1107"/>
    <hyperlink r:id="rId2144" ref="A1108"/>
    <hyperlink r:id="rId2145" ref="A1109"/>
    <hyperlink r:id="rId2146" ref="A1110"/>
    <hyperlink r:id="rId2147" ref="A1111"/>
    <hyperlink r:id="rId2148" ref="C1111"/>
    <hyperlink r:id="rId2149" ref="A1112"/>
    <hyperlink r:id="rId2150" ref="C1112"/>
    <hyperlink r:id="rId2151" ref="A1113"/>
    <hyperlink r:id="rId2152" ref="C1113"/>
    <hyperlink r:id="rId2153" ref="A1114"/>
    <hyperlink r:id="rId2154" ref="C1114"/>
    <hyperlink r:id="rId2155" ref="A1115"/>
    <hyperlink r:id="rId2156" ref="C1115"/>
    <hyperlink r:id="rId2157" ref="A1116"/>
    <hyperlink r:id="rId2158" ref="C1116"/>
    <hyperlink r:id="rId2159" ref="A1117"/>
    <hyperlink r:id="rId2160" ref="C1117"/>
    <hyperlink r:id="rId2161" ref="A1118"/>
    <hyperlink r:id="rId2162" ref="C1118"/>
    <hyperlink r:id="rId2163" ref="A1119"/>
    <hyperlink r:id="rId2164" ref="C1119"/>
    <hyperlink r:id="rId2165" ref="A1120"/>
    <hyperlink r:id="rId2166" ref="C1120"/>
    <hyperlink r:id="rId2167" ref="A1121"/>
    <hyperlink r:id="rId2168" ref="C1121"/>
    <hyperlink r:id="rId2169" ref="A1122"/>
    <hyperlink r:id="rId2170" ref="C1122"/>
    <hyperlink r:id="rId2171" ref="A1123"/>
    <hyperlink r:id="rId2172" ref="C1123"/>
    <hyperlink r:id="rId2173" ref="A1124"/>
    <hyperlink r:id="rId2174" ref="C1124"/>
    <hyperlink r:id="rId2175" ref="A1125"/>
    <hyperlink r:id="rId2176" ref="C1125"/>
    <hyperlink r:id="rId2177" location=":~:text=We%20reveal%20how%20your%20audience,Discovery%20is%20no%20longer%20linear." ref="A1126"/>
    <hyperlink r:id="rId2178" ref="C1126"/>
    <hyperlink r:id="rId2179" ref="A1127"/>
    <hyperlink r:id="rId2180" ref="C1127"/>
    <hyperlink r:id="rId2181" ref="A1128"/>
    <hyperlink r:id="rId2182" ref="C1128"/>
    <hyperlink r:id="rId2183" ref="A1129"/>
    <hyperlink r:id="rId2184" ref="C1129"/>
    <hyperlink r:id="rId2185" ref="A1130"/>
    <hyperlink r:id="rId2186" ref="C1130"/>
    <hyperlink r:id="rId2187" ref="A1131"/>
    <hyperlink r:id="rId2188" ref="C1131"/>
    <hyperlink r:id="rId2189" ref="A1132"/>
    <hyperlink r:id="rId2190" ref="C1132"/>
    <hyperlink r:id="rId2191" ref="A1133"/>
    <hyperlink r:id="rId2192" ref="C1133"/>
    <hyperlink r:id="rId2193" ref="A1134"/>
    <hyperlink r:id="rId2194" ref="C1134"/>
    <hyperlink r:id="rId2195" ref="A1135"/>
    <hyperlink r:id="rId2196" ref="C1135"/>
    <hyperlink r:id="rId2197" ref="A1136"/>
    <hyperlink r:id="rId2198" ref="C1136"/>
    <hyperlink r:id="rId2199" ref="A1137"/>
    <hyperlink r:id="rId2200" ref="C1137"/>
    <hyperlink r:id="rId2201" ref="A1138"/>
    <hyperlink r:id="rId2202" ref="C1138"/>
    <hyperlink r:id="rId2203" ref="A1139"/>
    <hyperlink r:id="rId2204" ref="C1139"/>
    <hyperlink r:id="rId2205" ref="A1140"/>
    <hyperlink r:id="rId2206" ref="C1140"/>
    <hyperlink r:id="rId2207" ref="A1141"/>
    <hyperlink r:id="rId2208" ref="C1141"/>
    <hyperlink r:id="rId2209" ref="A1142"/>
    <hyperlink r:id="rId2210" ref="C1142"/>
    <hyperlink r:id="rId2211" ref="A1143"/>
    <hyperlink r:id="rId2212" ref="C1143"/>
    <hyperlink r:id="rId2213" ref="A1144"/>
    <hyperlink r:id="rId2214" ref="C1144"/>
    <hyperlink r:id="rId2215" ref="A1145"/>
    <hyperlink r:id="rId2216" ref="C1145"/>
    <hyperlink r:id="rId2217" ref="A1146"/>
    <hyperlink r:id="rId2218" ref="C1146"/>
    <hyperlink r:id="rId2219" ref="A1147"/>
    <hyperlink r:id="rId2220" ref="C1147"/>
    <hyperlink r:id="rId2221" ref="A1148"/>
    <hyperlink r:id="rId2222" ref="C1148"/>
    <hyperlink r:id="rId2223" ref="A1149"/>
    <hyperlink r:id="rId2224" ref="C1149"/>
    <hyperlink r:id="rId2225" ref="A1150"/>
    <hyperlink r:id="rId2226" ref="C1150"/>
    <hyperlink r:id="rId2227" ref="A1151"/>
    <hyperlink r:id="rId2228" ref="C1151"/>
    <hyperlink r:id="rId2229" ref="A1152"/>
    <hyperlink r:id="rId2230" ref="C1152"/>
    <hyperlink r:id="rId2231" ref="A1153"/>
    <hyperlink r:id="rId2232" ref="C1153"/>
    <hyperlink r:id="rId2233" ref="A1154"/>
    <hyperlink r:id="rId2234" ref="C1154"/>
    <hyperlink r:id="rId2235" ref="A1155"/>
    <hyperlink r:id="rId2236" ref="C1155"/>
    <hyperlink r:id="rId2237" ref="A1156"/>
    <hyperlink r:id="rId2238" ref="C1156"/>
    <hyperlink r:id="rId2239" ref="A1157"/>
    <hyperlink r:id="rId2240" ref="C1157"/>
    <hyperlink r:id="rId2241" ref="A1158"/>
    <hyperlink r:id="rId2242" ref="C1158"/>
    <hyperlink r:id="rId2243" ref="A1159"/>
    <hyperlink r:id="rId2244" ref="C1159"/>
    <hyperlink r:id="rId2245" ref="A1160"/>
    <hyperlink r:id="rId2246" ref="C1160"/>
    <hyperlink r:id="rId2247" location=":~:text=We%20work%20side%2Dby%2Dside%20with%20your%20teams%20to,into%20action%20and%20action%20into%20measurable%20growth." ref="A1161"/>
    <hyperlink r:id="rId2248" ref="C1161"/>
    <hyperlink r:id="rId2249" ref="A1162"/>
    <hyperlink r:id="rId2250" ref="C1162"/>
    <hyperlink r:id="rId2251" location=":~:text=Launched%20in%202006%20as%20one,full%2Dservice%20performance%20media%20agency." ref="A1163"/>
    <hyperlink r:id="rId2252" ref="C1163"/>
    <hyperlink r:id="rId2253" ref="A1164"/>
    <hyperlink r:id="rId2254" ref="C1164"/>
    <hyperlink r:id="rId2255" ref="A1165"/>
    <hyperlink r:id="rId2256" ref="C1165"/>
    <hyperlink r:id="rId2257" location=":~:text=Rating%3A%20(4.1%2F5%20G2%2C%204.0%2F5%20Capterra)%20Best%20For%3A,Sources%20*%20ScanmarQED.%20*%20G2%20ScanmarQED%20Reviews." ref="A1166"/>
    <hyperlink r:id="rId2258" ref="C1166"/>
    <hyperlink r:id="rId2259" ref="A1167"/>
    <hyperlink r:id="rId2260" ref="C1167"/>
    <hyperlink r:id="rId2261" ref="A1168"/>
    <hyperlink r:id="rId2262" ref="C1168"/>
    <hyperlink r:id="rId2263" ref="A1169"/>
    <hyperlink r:id="rId2264" ref="C1169"/>
    <hyperlink r:id="rId2265" ref="A1170"/>
    <hyperlink r:id="rId2266" ref="C1170"/>
    <hyperlink r:id="rId2267" ref="A1171"/>
    <hyperlink r:id="rId2268" ref="C1171"/>
    <hyperlink r:id="rId2269" ref="A1172"/>
    <hyperlink r:id="rId2270" ref="C1172"/>
    <hyperlink r:id="rId2271" ref="A1173"/>
    <hyperlink r:id="rId2272" ref="C1173"/>
    <hyperlink r:id="rId2273" ref="A1174"/>
    <hyperlink r:id="rId2274" ref="C1174"/>
    <hyperlink r:id="rId2275" ref="A1175"/>
    <hyperlink r:id="rId2276" ref="C1175"/>
    <hyperlink r:id="rId2277" ref="A1176"/>
    <hyperlink r:id="rId2278" ref="C1176"/>
    <hyperlink r:id="rId2279" ref="A1177"/>
    <hyperlink r:id="rId2280" ref="C1177"/>
    <hyperlink r:id="rId2281" ref="A1178"/>
    <hyperlink r:id="rId2282" ref="C1178"/>
    <hyperlink r:id="rId2283" ref="A1179"/>
    <hyperlink r:id="rId2284" ref="C1179"/>
    <hyperlink r:id="rId2285" ref="A1180"/>
    <hyperlink r:id="rId2286" ref="C1180"/>
    <hyperlink r:id="rId2287" ref="A1181"/>
    <hyperlink r:id="rId2288" ref="C1181"/>
    <hyperlink r:id="rId2289" ref="A1182"/>
    <hyperlink r:id="rId2290" ref="C1182"/>
    <hyperlink r:id="rId2291" ref="A1183"/>
    <hyperlink r:id="rId2292" ref="A1184"/>
    <hyperlink r:id="rId2293" ref="A1185"/>
    <hyperlink r:id="rId2294" ref="A1186"/>
    <hyperlink r:id="rId2295" ref="A1187"/>
    <hyperlink r:id="rId2296" ref="A1188"/>
    <hyperlink r:id="rId2297" ref="A1189"/>
    <hyperlink r:id="rId2298" ref="C1189"/>
    <hyperlink r:id="rId2299" ref="A1190"/>
    <hyperlink r:id="rId2300" ref="C1190"/>
    <hyperlink r:id="rId2301" ref="A1191"/>
    <hyperlink r:id="rId2302" ref="C1191"/>
    <hyperlink r:id="rId2303" ref="A1192"/>
    <hyperlink r:id="rId2304" ref="C1192"/>
    <hyperlink r:id="rId2305" ref="A1193"/>
    <hyperlink r:id="rId2306" ref="C1193"/>
    <hyperlink r:id="rId2307" ref="A1194"/>
    <hyperlink r:id="rId2308" ref="C1194"/>
    <hyperlink r:id="rId2309" ref="A1195"/>
    <hyperlink r:id="rId2310" ref="C1195"/>
    <hyperlink r:id="rId2311" ref="A1196"/>
    <hyperlink r:id="rId2312" ref="C1196"/>
    <hyperlink r:id="rId2313" ref="A1197"/>
    <hyperlink r:id="rId2314" ref="C1197"/>
    <hyperlink r:id="rId2315" ref="A1198"/>
    <hyperlink r:id="rId2316" ref="C1198"/>
    <hyperlink r:id="rId2317" ref="A1199"/>
    <hyperlink r:id="rId2318" ref="C1199"/>
    <hyperlink r:id="rId2319" ref="A1200"/>
    <hyperlink r:id="rId2320" ref="C1200"/>
    <hyperlink r:id="rId2321" ref="A1201"/>
    <hyperlink r:id="rId2322" ref="C1201"/>
    <hyperlink r:id="rId2323" ref="A1202"/>
    <hyperlink r:id="rId2324" ref="C1202"/>
    <hyperlink r:id="rId2325" ref="A1203"/>
    <hyperlink r:id="rId2326" ref="C1203"/>
    <hyperlink r:id="rId2327" ref="A1204"/>
    <hyperlink r:id="rId2328" ref="C1204"/>
    <hyperlink r:id="rId2329" ref="A1205"/>
    <hyperlink r:id="rId2330" ref="C1205"/>
    <hyperlink r:id="rId2331" ref="A1206"/>
    <hyperlink r:id="rId2332" ref="C1206"/>
    <hyperlink r:id="rId2333" ref="A1207"/>
    <hyperlink r:id="rId2334" ref="C1207"/>
    <hyperlink r:id="rId2335" ref="A1208"/>
    <hyperlink r:id="rId2336" ref="C1208"/>
    <hyperlink r:id="rId2337" ref="A1209"/>
    <hyperlink r:id="rId2338" ref="C1209"/>
    <hyperlink r:id="rId2339" ref="A1210"/>
    <hyperlink r:id="rId2340" ref="C1210"/>
    <hyperlink r:id="rId2341" ref="A1211"/>
    <hyperlink r:id="rId2342" ref="A1212"/>
    <hyperlink r:id="rId2343" ref="C1212"/>
    <hyperlink r:id="rId2344" ref="A1213"/>
    <hyperlink r:id="rId2345" ref="C1213"/>
    <hyperlink r:id="rId2346" ref="A1214"/>
    <hyperlink r:id="rId2347" ref="C1214"/>
    <hyperlink r:id="rId2348" location=":~:text=Brainlabs%20focuses%20on%20scientific%20marketing,rely%20on%20modeling%20and%20testing." ref="A1215"/>
    <hyperlink r:id="rId2349" ref="A1216"/>
    <hyperlink r:id="rId2350" ref="C1216"/>
    <hyperlink r:id="rId2351" ref="A1217"/>
    <hyperlink r:id="rId2352" ref="C1217"/>
    <hyperlink r:id="rId2353" ref="A1218"/>
    <hyperlink r:id="rId2354" ref="C1218"/>
    <hyperlink r:id="rId2355" ref="A1219"/>
    <hyperlink r:id="rId2356" ref="C1219"/>
    <hyperlink r:id="rId2357" ref="A1220"/>
    <hyperlink r:id="rId2358" ref="C1220"/>
    <hyperlink r:id="rId2359" ref="A1221"/>
    <hyperlink r:id="rId2360" ref="C1221"/>
    <hyperlink r:id="rId2361" ref="A1222"/>
    <hyperlink r:id="rId2362" ref="A1223"/>
    <hyperlink r:id="rId2363" ref="C1223"/>
    <hyperlink r:id="rId2364" ref="A1224"/>
    <hyperlink r:id="rId2365" ref="C1224"/>
    <hyperlink r:id="rId2366" ref="A1225"/>
    <hyperlink r:id="rId2367" ref="C1225"/>
    <hyperlink r:id="rId2368" ref="A1226"/>
    <hyperlink r:id="rId2369" ref="A1227"/>
    <hyperlink r:id="rId2370" ref="C1227"/>
    <hyperlink r:id="rId2371" ref="A1228"/>
    <hyperlink r:id="rId2372" ref="C1228"/>
    <hyperlink r:id="rId2373" ref="A1229"/>
    <hyperlink r:id="rId2374" ref="C1229"/>
    <hyperlink r:id="rId2375" ref="A1230"/>
    <hyperlink r:id="rId2376" ref="C1230"/>
    <hyperlink r:id="rId2377" ref="A1231"/>
    <hyperlink r:id="rId2378" ref="C1231"/>
    <hyperlink r:id="rId2379" ref="A1232"/>
    <hyperlink r:id="rId2380" ref="C1232"/>
    <hyperlink r:id="rId2381" ref="A1233"/>
    <hyperlink r:id="rId2382" ref="A1234"/>
    <hyperlink r:id="rId2383" ref="A1235"/>
    <hyperlink r:id="rId2384" ref="A1236"/>
    <hyperlink r:id="rId2385" ref="A1237"/>
    <hyperlink r:id="rId2386" ref="A1238"/>
    <hyperlink r:id="rId2387" ref="C1238"/>
    <hyperlink r:id="rId2388" ref="A1239"/>
    <hyperlink r:id="rId2389" ref="C1239"/>
    <hyperlink r:id="rId2390" ref="A1240"/>
    <hyperlink r:id="rId2391" ref="C1240"/>
    <hyperlink r:id="rId2392" ref="A1241"/>
    <hyperlink r:id="rId2393" ref="C1241"/>
    <hyperlink r:id="rId2394" ref="A1242"/>
    <hyperlink r:id="rId2395" ref="C1242"/>
    <hyperlink r:id="rId2396" ref="A1243"/>
    <hyperlink r:id="rId2397" ref="A1244"/>
    <hyperlink r:id="rId2398" ref="C1244"/>
    <hyperlink r:id="rId2399" ref="A1245"/>
    <hyperlink r:id="rId2400" ref="C1245"/>
    <hyperlink r:id="rId2401" ref="A1246"/>
    <hyperlink r:id="rId2402" ref="C1246"/>
    <hyperlink r:id="rId2403" ref="A1247"/>
    <hyperlink r:id="rId2404" ref="C1247"/>
    <hyperlink r:id="rId2405" ref="A1248"/>
    <hyperlink r:id="rId2406" ref="C1248"/>
    <hyperlink r:id="rId2407" ref="A1249"/>
    <hyperlink r:id="rId2408" ref="C1249"/>
    <hyperlink r:id="rId2409" ref="A1250"/>
    <hyperlink r:id="rId2410" ref="C1250"/>
    <hyperlink r:id="rId2411" ref="A1251"/>
    <hyperlink r:id="rId2412" ref="C1251"/>
    <hyperlink r:id="rId2413" ref="A1252"/>
    <hyperlink r:id="rId2414" ref="C1252"/>
    <hyperlink r:id="rId2415" ref="A1253"/>
    <hyperlink r:id="rId2416" ref="C1253"/>
    <hyperlink r:id="rId2417" ref="A1254"/>
    <hyperlink r:id="rId2418" ref="C1254"/>
    <hyperlink r:id="rId2419" ref="A1255"/>
    <hyperlink r:id="rId2420" ref="C1255"/>
    <hyperlink r:id="rId2421" ref="A1256"/>
    <hyperlink r:id="rId2422" ref="C1256"/>
    <hyperlink r:id="rId2423" ref="A1257"/>
    <hyperlink r:id="rId2424" ref="C1257"/>
    <hyperlink r:id="rId2425" ref="A1258"/>
    <hyperlink r:id="rId2426" ref="C1258"/>
    <hyperlink r:id="rId2427" ref="A1259"/>
    <hyperlink r:id="rId2428" ref="C1259"/>
    <hyperlink r:id="rId2429" ref="A1260"/>
    <hyperlink r:id="rId2430" ref="C1260"/>
    <hyperlink r:id="rId2431" ref="A1261"/>
    <hyperlink r:id="rId2432" ref="C1261"/>
    <hyperlink r:id="rId2433" ref="A1262"/>
    <hyperlink r:id="rId2434" ref="C1262"/>
    <hyperlink r:id="rId2435" ref="A1263"/>
    <hyperlink r:id="rId2436" ref="C1263"/>
    <hyperlink r:id="rId2437" ref="A1264"/>
    <hyperlink r:id="rId2438" ref="C1264"/>
    <hyperlink r:id="rId2439" ref="A1265"/>
    <hyperlink r:id="rId2440" ref="C1265"/>
    <hyperlink r:id="rId2441" ref="A1266"/>
    <hyperlink r:id="rId2442" ref="C1266"/>
    <hyperlink r:id="rId2443" ref="A1267"/>
    <hyperlink r:id="rId2444" ref="C1267"/>
    <hyperlink r:id="rId2445" ref="A1268"/>
    <hyperlink r:id="rId2446" ref="C1268"/>
    <hyperlink r:id="rId2447" ref="A1269"/>
    <hyperlink r:id="rId2448" ref="C1269"/>
    <hyperlink r:id="rId2449" ref="A1270"/>
    <hyperlink r:id="rId2450" ref="C1270"/>
    <hyperlink r:id="rId2451" ref="A1271"/>
    <hyperlink r:id="rId2452" ref="C1271"/>
    <hyperlink r:id="rId2453" ref="A1272"/>
    <hyperlink r:id="rId2454" ref="C1272"/>
    <hyperlink r:id="rId2455" location=":~:text=PMG%20Advertising%20Agency%20is%20a,%2C%20affiliate%20marketing%2C%20and%20SEO." ref="A1273"/>
    <hyperlink r:id="rId2456" ref="C1273"/>
    <hyperlink r:id="rId2457" ref="A1274"/>
    <hyperlink r:id="rId2458" ref="C1274"/>
    <hyperlink r:id="rId2459" ref="A1275"/>
    <hyperlink r:id="rId2460" ref="C1275"/>
    <hyperlink r:id="rId2461" ref="A1276"/>
    <hyperlink r:id="rId2462" ref="C1276"/>
    <hyperlink r:id="rId2463" ref="A1277"/>
    <hyperlink r:id="rId2464" ref="C1277"/>
    <hyperlink r:id="rId2465" ref="A1278"/>
    <hyperlink r:id="rId2466" ref="C1278"/>
    <hyperlink r:id="rId2467" ref="A1279"/>
    <hyperlink r:id="rId2468" ref="C1279"/>
    <hyperlink r:id="rId2469" ref="A1280"/>
    <hyperlink r:id="rId2470" ref="C1280"/>
    <hyperlink r:id="rId2471" ref="A1281"/>
    <hyperlink r:id="rId2472" ref="C1281"/>
    <hyperlink r:id="rId2473" ref="A1282"/>
    <hyperlink r:id="rId2474" ref="C1282"/>
    <hyperlink r:id="rId2475" ref="A1283"/>
    <hyperlink r:id="rId2476" ref="C1283"/>
    <hyperlink r:id="rId2477" ref="A1284"/>
    <hyperlink r:id="rId2478" ref="C1284"/>
    <hyperlink r:id="rId2479" ref="A1285"/>
    <hyperlink r:id="rId2480" ref="C1285"/>
    <hyperlink r:id="rId2481" ref="A1286"/>
    <hyperlink r:id="rId2482" ref="C1286"/>
    <hyperlink r:id="rId2483" ref="A1287"/>
    <hyperlink r:id="rId2484" ref="C1287"/>
    <hyperlink r:id="rId2485" ref="A1288"/>
    <hyperlink r:id="rId2486" ref="C1288"/>
    <hyperlink r:id="rId2487" ref="A1289"/>
    <hyperlink r:id="rId2488" ref="C1289"/>
    <hyperlink r:id="rId2489" ref="A1290"/>
    <hyperlink r:id="rId2490" ref="C1290"/>
    <hyperlink r:id="rId2491" ref="A1291"/>
    <hyperlink r:id="rId2492" ref="C1291"/>
    <hyperlink r:id="rId2493" ref="A1292"/>
    <hyperlink r:id="rId2494" ref="C1292"/>
    <hyperlink r:id="rId2495" ref="A1293"/>
    <hyperlink r:id="rId2496" ref="C1293"/>
    <hyperlink r:id="rId2497" ref="A1294"/>
    <hyperlink r:id="rId2498" ref="C1294"/>
    <hyperlink r:id="rId2499" ref="A1295"/>
    <hyperlink r:id="rId2500" ref="C1295"/>
    <hyperlink r:id="rId2501" ref="A1296"/>
    <hyperlink r:id="rId2502" ref="C1296"/>
    <hyperlink r:id="rId2503" ref="A1297"/>
    <hyperlink r:id="rId2504" ref="C1297"/>
    <hyperlink r:id="rId2505" location=":~:text=Fully%20serviced%2C%20cooperative%2C%20or%20fully%20in%2Dhouse%2C%20the,certified%20and%20GDPR%20compliant.%20Connect%20your%20tools." ref="A1298"/>
    <hyperlink r:id="rId2506" ref="C1298"/>
    <hyperlink r:id="rId2507" ref="A1299"/>
    <hyperlink r:id="rId2508" ref="C1299"/>
    <hyperlink r:id="rId2509" ref="A1300"/>
    <hyperlink r:id="rId2510" ref="C1300"/>
    <hyperlink r:id="rId2511" ref="A1301"/>
    <hyperlink r:id="rId2512" ref="C1301"/>
    <hyperlink r:id="rId2513" ref="A1302"/>
    <hyperlink r:id="rId2514" ref="C1302"/>
    <hyperlink r:id="rId2515" ref="A1303"/>
    <hyperlink r:id="rId2516" ref="C1303"/>
    <hyperlink r:id="rId2517" location=":~:text=B2B%20SaaS%20technical%20SEO%2C%20AI%20search%2C%20LLMO%2C,the%20UK%20market%20for%20enterprise%2Dscale%20SaaS%20organisations." ref="A1304"/>
    <hyperlink r:id="rId2518" ref="C1304"/>
    <hyperlink r:id="rId2519" ref="A1305"/>
    <hyperlink r:id="rId2520" ref="C1305"/>
    <hyperlink r:id="rId2521" ref="A1306"/>
    <hyperlink r:id="rId2522" ref="C1306"/>
    <hyperlink r:id="rId2523" ref="A1307"/>
    <hyperlink r:id="rId2524" ref="C1307"/>
    <hyperlink r:id="rId2525" ref="A1308"/>
    <hyperlink r:id="rId2526" ref="C1308"/>
    <hyperlink r:id="rId2527" ref="A1309"/>
    <hyperlink r:id="rId2528" ref="C1309"/>
    <hyperlink r:id="rId2529" ref="A1310"/>
    <hyperlink r:id="rId2530" ref="C1310"/>
    <hyperlink r:id="rId2531" ref="A1311"/>
    <hyperlink r:id="rId2532" ref="C1311"/>
    <hyperlink r:id="rId2533" ref="A1312"/>
    <hyperlink r:id="rId2534" ref="C1312"/>
    <hyperlink r:id="rId2535" ref="A1313"/>
    <hyperlink r:id="rId2536" ref="C1313"/>
    <hyperlink r:id="rId2537" ref="A1314"/>
    <hyperlink r:id="rId2538" ref="C1314"/>
    <hyperlink r:id="rId2539" ref="A1315"/>
    <hyperlink r:id="rId2540" ref="C1315"/>
    <hyperlink r:id="rId2541" ref="A1316"/>
    <hyperlink r:id="rId2542" ref="C1316"/>
    <hyperlink r:id="rId2543" ref="A1317"/>
    <hyperlink r:id="rId2544" ref="C1317"/>
    <hyperlink r:id="rId2545" ref="A1318"/>
    <hyperlink r:id="rId2546" ref="C1318"/>
    <hyperlink r:id="rId2547" ref="A1319"/>
    <hyperlink r:id="rId2548" ref="C1319"/>
    <hyperlink r:id="rId2549" ref="A1320"/>
    <hyperlink r:id="rId2550" ref="C1320"/>
    <hyperlink r:id="rId2551" ref="A1321"/>
    <hyperlink r:id="rId2552" ref="C1321"/>
    <hyperlink r:id="rId2553" ref="A1322"/>
    <hyperlink r:id="rId2554" ref="C1322"/>
    <hyperlink r:id="rId2555" ref="A1323"/>
    <hyperlink r:id="rId2556" ref="C1323"/>
    <hyperlink r:id="rId2557" ref="A1324"/>
    <hyperlink r:id="rId2558" ref="C1324"/>
    <hyperlink r:id="rId2559" ref="A1325"/>
    <hyperlink r:id="rId2560" ref="C1325"/>
    <hyperlink r:id="rId2561" ref="A1326"/>
    <hyperlink r:id="rId2562" ref="C1326"/>
    <hyperlink r:id="rId2563" ref="A1327"/>
    <hyperlink r:id="rId2564" ref="C1327"/>
    <hyperlink r:id="rId2565" ref="A1328"/>
    <hyperlink r:id="rId2566" ref="C1328"/>
    <hyperlink r:id="rId2567" ref="A1329"/>
    <hyperlink r:id="rId2568" ref="C1329"/>
    <hyperlink r:id="rId2569" ref="A1330"/>
    <hyperlink r:id="rId2570" ref="C1330"/>
    <hyperlink r:id="rId2571" ref="A1331"/>
    <hyperlink r:id="rId2572" ref="C1331"/>
    <hyperlink r:id="rId2573" ref="A1332"/>
    <hyperlink r:id="rId2574" ref="C1332"/>
    <hyperlink r:id="rId2575" ref="A1333"/>
    <hyperlink r:id="rId2576" ref="C1333"/>
    <hyperlink r:id="rId2577" ref="A1334"/>
    <hyperlink r:id="rId2578" ref="C1334"/>
    <hyperlink r:id="rId2579" ref="A1335"/>
    <hyperlink r:id="rId2580" ref="C1335"/>
    <hyperlink r:id="rId2581" ref="A1336"/>
    <hyperlink r:id="rId2582" ref="C1336"/>
    <hyperlink r:id="rId2583" ref="A1337"/>
    <hyperlink r:id="rId2584" ref="C1337"/>
    <hyperlink r:id="rId2585" ref="A1338"/>
    <hyperlink r:id="rId2586" ref="C1338"/>
    <hyperlink r:id="rId2587" ref="A1339"/>
    <hyperlink r:id="rId2588" ref="C1339"/>
    <hyperlink r:id="rId2589" ref="A1340"/>
    <hyperlink r:id="rId2590" ref="C1340"/>
    <hyperlink r:id="rId2591" ref="A1341"/>
    <hyperlink r:id="rId2592" ref="C1341"/>
    <hyperlink r:id="rId2593" ref="A1342"/>
    <hyperlink r:id="rId2594" ref="C1342"/>
    <hyperlink r:id="rId2595" ref="A1343"/>
    <hyperlink r:id="rId2596" ref="C1343"/>
    <hyperlink r:id="rId2597" ref="A1344"/>
    <hyperlink r:id="rId2598" ref="C1344"/>
    <hyperlink r:id="rId2599" ref="A1345"/>
    <hyperlink r:id="rId2600" ref="C1345"/>
    <hyperlink r:id="rId2601" ref="A1346"/>
    <hyperlink r:id="rId2602" ref="C1346"/>
    <hyperlink r:id="rId2603" location=":~:text=Source%20and%20signal%20mapping%3A%20We,video%20content%20in%20technical%20searches." ref="A1347"/>
    <hyperlink r:id="rId2604" ref="C1347"/>
    <hyperlink r:id="rId2605" ref="A1348"/>
    <hyperlink r:id="rId2606" ref="C1348"/>
    <hyperlink r:id="rId2607" ref="A1349"/>
    <hyperlink r:id="rId2608" ref="C1349"/>
    <hyperlink r:id="rId2609" ref="A1350"/>
    <hyperlink r:id="rId2610" ref="A1351"/>
    <hyperlink r:id="rId2611" ref="C1351"/>
    <hyperlink r:id="rId2612" ref="A1352"/>
    <hyperlink r:id="rId2613" ref="C1352"/>
    <hyperlink r:id="rId2614" ref="A1353"/>
    <hyperlink r:id="rId2615" ref="C1353"/>
    <hyperlink r:id="rId2616" ref="A1354"/>
    <hyperlink r:id="rId2617" ref="C1354"/>
    <hyperlink r:id="rId2618" ref="A1355"/>
    <hyperlink r:id="rId2619" ref="C1355"/>
    <hyperlink r:id="rId2620" ref="A1356"/>
    <hyperlink r:id="rId2621" ref="C1356"/>
    <hyperlink r:id="rId2622" ref="A1357"/>
    <hyperlink r:id="rId2623" ref="C1357"/>
    <hyperlink r:id="rId2624" ref="A1358"/>
    <hyperlink r:id="rId2625" ref="C1358"/>
    <hyperlink r:id="rId2626" ref="A1359"/>
    <hyperlink r:id="rId2627" ref="C1359"/>
    <hyperlink r:id="rId2628" ref="A1360"/>
    <hyperlink r:id="rId2629" ref="C1360"/>
    <hyperlink r:id="rId2630" ref="A1361"/>
    <hyperlink r:id="rId2631" ref="C1361"/>
    <hyperlink r:id="rId2632" ref="A1362"/>
    <hyperlink r:id="rId2633" ref="C1362"/>
    <hyperlink r:id="rId2634" ref="A1363"/>
    <hyperlink r:id="rId2635" ref="C1363"/>
    <hyperlink r:id="rId2636" ref="A1364"/>
    <hyperlink r:id="rId2637" ref="C1364"/>
    <hyperlink r:id="rId2638" ref="A1365"/>
    <hyperlink r:id="rId2639" ref="A1366"/>
    <hyperlink r:id="rId2640" ref="C1366"/>
    <hyperlink r:id="rId2641" ref="A1367"/>
    <hyperlink r:id="rId2642" ref="C1367"/>
    <hyperlink r:id="rId2643" ref="A1368"/>
    <hyperlink r:id="rId2644" ref="A1369"/>
    <hyperlink r:id="rId2645" ref="C1369"/>
    <hyperlink r:id="rId2646" ref="A1370"/>
    <hyperlink r:id="rId2647" ref="C1370"/>
    <hyperlink r:id="rId2648" ref="A1371"/>
    <hyperlink r:id="rId2649" ref="C1371"/>
    <hyperlink r:id="rId2650" ref="A1372"/>
    <hyperlink r:id="rId2651" ref="C1372"/>
    <hyperlink r:id="rId2652" ref="A1373"/>
    <hyperlink r:id="rId2653" ref="C1373"/>
    <hyperlink r:id="rId2654" ref="A1374"/>
    <hyperlink r:id="rId2655" ref="C1374"/>
    <hyperlink r:id="rId2656" ref="A1375"/>
    <hyperlink r:id="rId2657" ref="C1375"/>
    <hyperlink r:id="rId2658" ref="A1376"/>
    <hyperlink r:id="rId2659" ref="C1376"/>
    <hyperlink r:id="rId2660" ref="A1377"/>
    <hyperlink r:id="rId2661" ref="C1377"/>
    <hyperlink r:id="rId2662" ref="A1378"/>
    <hyperlink r:id="rId2663" ref="C1378"/>
    <hyperlink r:id="rId2664" ref="A1379"/>
    <hyperlink r:id="rId2665" ref="C1379"/>
    <hyperlink r:id="rId2666" ref="A1380"/>
    <hyperlink r:id="rId2667" ref="C1380"/>
    <hyperlink r:id="rId2668" ref="A1381"/>
    <hyperlink r:id="rId2669" ref="C1381"/>
    <hyperlink r:id="rId2670" ref="A1382"/>
    <hyperlink r:id="rId2671" ref="C1382"/>
    <hyperlink r:id="rId2672" ref="A1383"/>
    <hyperlink r:id="rId2673" ref="C1383"/>
    <hyperlink r:id="rId2674" ref="A1384"/>
    <hyperlink r:id="rId2675" ref="C1384"/>
    <hyperlink r:id="rId2676" ref="A1385"/>
    <hyperlink r:id="rId2677" ref="C1385"/>
    <hyperlink r:id="rId2678" ref="A1386"/>
    <hyperlink r:id="rId2679" ref="C1386"/>
    <hyperlink r:id="rId2680" ref="A1387"/>
    <hyperlink r:id="rId2681" ref="C1387"/>
    <hyperlink r:id="rId2682" ref="A1388"/>
    <hyperlink r:id="rId2683" ref="C1388"/>
    <hyperlink r:id="rId2684" ref="A1389"/>
    <hyperlink r:id="rId2685" ref="C1389"/>
    <hyperlink r:id="rId2686" ref="A1390"/>
    <hyperlink r:id="rId2687" ref="C1390"/>
    <hyperlink r:id="rId2688" ref="A1391"/>
    <hyperlink r:id="rId2689" ref="C1391"/>
    <hyperlink r:id="rId2690" ref="A1392"/>
    <hyperlink r:id="rId2691" ref="C1392"/>
    <hyperlink r:id="rId2692" ref="A1393"/>
    <hyperlink r:id="rId2693" ref="C1393"/>
    <hyperlink r:id="rId2694" ref="A1394"/>
    <hyperlink r:id="rId2695" ref="C1394"/>
    <hyperlink r:id="rId2696" ref="A1395"/>
    <hyperlink r:id="rId2697" ref="C1395"/>
    <hyperlink r:id="rId2698" ref="A1396"/>
    <hyperlink r:id="rId2699" ref="C1396"/>
    <hyperlink r:id="rId2700" ref="A1397"/>
    <hyperlink r:id="rId2701" ref="C1397"/>
    <hyperlink r:id="rId2702" ref="A1398"/>
    <hyperlink r:id="rId2703" ref="C1398"/>
    <hyperlink r:id="rId2704" ref="A1399"/>
    <hyperlink r:id="rId2705" ref="C1399"/>
    <hyperlink r:id="rId2706" ref="A1400"/>
    <hyperlink r:id="rId2707" ref="C1400"/>
    <hyperlink r:id="rId2708" ref="A1401"/>
    <hyperlink r:id="rId2709" ref="C1401"/>
    <hyperlink r:id="rId2710" ref="A1402"/>
    <hyperlink r:id="rId2711" ref="C1402"/>
    <hyperlink r:id="rId2712" ref="A1403"/>
    <hyperlink r:id="rId2713" ref="C1403"/>
    <hyperlink r:id="rId2714" ref="A1404"/>
    <hyperlink r:id="rId2715" ref="C1404"/>
    <hyperlink r:id="rId2716" ref="A1405"/>
    <hyperlink r:id="rId2717" ref="C1405"/>
    <hyperlink r:id="rId2718" ref="A1406"/>
    <hyperlink r:id="rId2719" ref="C1406"/>
    <hyperlink r:id="rId2720" ref="A1407"/>
    <hyperlink r:id="rId2721" ref="C1407"/>
    <hyperlink r:id="rId2722" ref="A1408"/>
    <hyperlink r:id="rId2723" ref="C1408"/>
    <hyperlink r:id="rId2724" ref="A1409"/>
    <hyperlink r:id="rId2725" ref="C1409"/>
    <hyperlink r:id="rId2726" ref="A1410"/>
    <hyperlink r:id="rId2727" ref="C1410"/>
    <hyperlink r:id="rId2728" ref="A1411"/>
    <hyperlink r:id="rId2729" ref="C1411"/>
    <hyperlink r:id="rId2730" ref="A1412"/>
    <hyperlink r:id="rId2731" ref="C1412"/>
    <hyperlink r:id="rId2732" ref="A1413"/>
    <hyperlink r:id="rId2733" ref="C1413"/>
    <hyperlink r:id="rId2734" ref="A1414"/>
    <hyperlink r:id="rId2735" ref="C1414"/>
    <hyperlink r:id="rId2736" ref="A1415"/>
    <hyperlink r:id="rId2737" ref="C1415"/>
    <hyperlink r:id="rId2738" ref="A1416"/>
    <hyperlink r:id="rId2739" ref="C1416"/>
    <hyperlink r:id="rId2740" location=":~:text=Mesh%2DAI-,Decentralising%20Data%20for%20Enterprise%20Agility,of%20AI%20failure%3A%20data%20inaccessibility." ref="A1417"/>
    <hyperlink r:id="rId2741" ref="C1417"/>
    <hyperlink r:id="rId2742" ref="A1418"/>
    <hyperlink r:id="rId2743" ref="C1418"/>
    <hyperlink r:id="rId2744" ref="A1419"/>
    <hyperlink r:id="rId2745" ref="C1419"/>
    <hyperlink r:id="rId2746" ref="A1420"/>
    <hyperlink r:id="rId2747" ref="C1420"/>
    <hyperlink r:id="rId2748" ref="A1421"/>
    <hyperlink r:id="rId2749" ref="C1421"/>
    <hyperlink r:id="rId2750" ref="A1422"/>
    <hyperlink r:id="rId2751" ref="C1422"/>
    <hyperlink r:id="rId2752" ref="A1423"/>
    <hyperlink r:id="rId2753" ref="C1423"/>
    <hyperlink r:id="rId2754" ref="A1424"/>
    <hyperlink r:id="rId2755" ref="C1424"/>
    <hyperlink r:id="rId2756" ref="A1425"/>
    <hyperlink r:id="rId2757" ref="C1425"/>
    <hyperlink r:id="rId2758" ref="A1426"/>
    <hyperlink r:id="rId2759" ref="C1426"/>
    <hyperlink r:id="rId2760" ref="A1427"/>
    <hyperlink r:id="rId2761" ref="C1427"/>
    <hyperlink r:id="rId2762" ref="A1428"/>
    <hyperlink r:id="rId2763" ref="C1428"/>
    <hyperlink r:id="rId2764" ref="A1429"/>
    <hyperlink r:id="rId2765" ref="C1429"/>
    <hyperlink r:id="rId2766" ref="A1430"/>
    <hyperlink r:id="rId2767" ref="C1430"/>
    <hyperlink r:id="rId2768" ref="A1431"/>
    <hyperlink r:id="rId2769" ref="C1431"/>
    <hyperlink r:id="rId2770" ref="A1432"/>
    <hyperlink r:id="rId2771" ref="C1432"/>
    <hyperlink r:id="rId2772" ref="A1433"/>
    <hyperlink r:id="rId2773" ref="C1433"/>
    <hyperlink r:id="rId2774" ref="A1434"/>
    <hyperlink r:id="rId2775" ref="C1434"/>
    <hyperlink r:id="rId2776" ref="A1435"/>
    <hyperlink r:id="rId2777" ref="C1435"/>
    <hyperlink r:id="rId2778" location=":~:text=Veda%20is%20the%20AI%20consulting,first%20AI%2C%20done%20with%20care." ref="A1436"/>
    <hyperlink r:id="rId2779" ref="C1436"/>
    <hyperlink r:id="rId2780" ref="A1437"/>
    <hyperlink r:id="rId2781" ref="C1437"/>
    <hyperlink r:id="rId2782" ref="A1438"/>
    <hyperlink r:id="rId2783" ref="C1438"/>
    <hyperlink r:id="rId2784" ref="A1439"/>
    <hyperlink r:id="rId2785" ref="C1439"/>
    <hyperlink r:id="rId2786" ref="A1440"/>
    <hyperlink r:id="rId2787" ref="A1441"/>
    <hyperlink r:id="rId2788" ref="C1441"/>
    <hyperlink r:id="rId2789" ref="A1442"/>
    <hyperlink r:id="rId2790" ref="C1442"/>
    <hyperlink r:id="rId2791" ref="A1443"/>
    <hyperlink r:id="rId2792" ref="C1443"/>
    <hyperlink r:id="rId2793" ref="A1444"/>
    <hyperlink r:id="rId2794" ref="C1444"/>
    <hyperlink r:id="rId2795" ref="A1445"/>
    <hyperlink r:id="rId2796" ref="C1445"/>
    <hyperlink r:id="rId2797" ref="A1446"/>
    <hyperlink r:id="rId2798" ref="C1446"/>
    <hyperlink r:id="rId2799" ref="A1447"/>
    <hyperlink r:id="rId2800" ref="C1447"/>
    <hyperlink r:id="rId2801" location=":~:text=To%20evolve%20your%20data%20we,to%20best%20fulfil%20your%20objectives." ref="A1448"/>
    <hyperlink r:id="rId2802" ref="C1448"/>
    <hyperlink r:id="rId2803" ref="A1449"/>
    <hyperlink r:id="rId2804" ref="C1449"/>
    <hyperlink r:id="rId2805" ref="A1450"/>
    <hyperlink r:id="rId2806" ref="C1450"/>
    <hyperlink r:id="rId2807" ref="A1451"/>
    <hyperlink r:id="rId2808" ref="C1451"/>
    <hyperlink r:id="rId2809" ref="A1452"/>
    <hyperlink r:id="rId2810" ref="C1452"/>
    <hyperlink r:id="rId2811" location=":~:text=We%20work%20with%20you%20to%20build%20the%20skills%2C%20governance%20and,across%20people%2C%20process%20and%20systems" ref="A1453"/>
    <hyperlink r:id="rId2812" ref="C1453"/>
    <hyperlink r:id="rId2813" ref="A1454"/>
    <hyperlink r:id="rId2814" ref="C1454"/>
    <hyperlink r:id="rId2815" ref="A1455"/>
    <hyperlink r:id="rId2816" ref="C1455"/>
    <hyperlink r:id="rId2817" ref="A1456"/>
    <hyperlink r:id="rId2818" ref="C1456"/>
    <hyperlink r:id="rId2819" ref="A1457"/>
    <hyperlink r:id="rId2820" ref="C1457"/>
    <hyperlink r:id="rId2821" ref="A1458"/>
    <hyperlink r:id="rId2822" ref="C1458"/>
    <hyperlink r:id="rId2823" ref="A1459"/>
    <hyperlink r:id="rId2824" ref="C1459"/>
    <hyperlink r:id="rId2825" ref="A1460"/>
    <hyperlink r:id="rId2826" ref="C1460"/>
    <hyperlink r:id="rId2827" ref="A1461"/>
    <hyperlink r:id="rId2828" ref="C1461"/>
    <hyperlink r:id="rId2829" ref="A1462"/>
    <hyperlink r:id="rId2830" ref="C1462"/>
    <hyperlink r:id="rId2831" ref="A1463"/>
    <hyperlink r:id="rId2832" ref="C1463"/>
    <hyperlink r:id="rId2833" ref="A1464"/>
    <hyperlink r:id="rId2834" ref="C1464"/>
    <hyperlink r:id="rId2835" ref="A1465"/>
    <hyperlink r:id="rId2836" ref="C1465"/>
    <hyperlink r:id="rId2837" ref="A1466"/>
    <hyperlink r:id="rId2838" ref="C1466"/>
    <hyperlink r:id="rId2839" ref="A1467"/>
    <hyperlink r:id="rId2840" ref="C1467"/>
    <hyperlink r:id="rId2841" ref="A1468"/>
    <hyperlink r:id="rId2842" ref="C1468"/>
    <hyperlink r:id="rId2843" ref="A1469"/>
    <hyperlink r:id="rId2844" ref="C1469"/>
    <hyperlink r:id="rId2845" ref="A1470"/>
    <hyperlink r:id="rId2846" ref="C1470"/>
    <hyperlink r:id="rId2847" ref="A1471"/>
    <hyperlink r:id="rId2848" ref="C1471"/>
    <hyperlink r:id="rId2849" ref="A1472"/>
    <hyperlink r:id="rId2850" ref="C1472"/>
    <hyperlink r:id="rId2851" ref="A1473"/>
    <hyperlink r:id="rId2852" ref="C1473"/>
    <hyperlink r:id="rId2853" ref="A1474"/>
    <hyperlink r:id="rId2854" ref="C1474"/>
    <hyperlink r:id="rId2855" ref="A1475"/>
    <hyperlink r:id="rId2856" ref="C1475"/>
    <hyperlink r:id="rId2857" ref="A1476"/>
    <hyperlink r:id="rId2858" ref="C1476"/>
    <hyperlink r:id="rId2859" ref="A1477"/>
    <hyperlink r:id="rId2860" ref="C1477"/>
    <hyperlink r:id="rId2861" ref="A1478"/>
    <hyperlink r:id="rId2862" ref="C1478"/>
    <hyperlink r:id="rId2863" ref="A1479"/>
    <hyperlink r:id="rId2864" ref="C1479"/>
    <hyperlink r:id="rId2865" location=":~:text=In%20this%20video%2C%20I'll%20show%20you%20the,Known%20for%20clear%20results%20and%20honest%20reporting." ref="A1480"/>
    <hyperlink r:id="rId2866" ref="C1480"/>
    <hyperlink r:id="rId2867" ref="A1481"/>
    <hyperlink r:id="rId2868" ref="C1481"/>
    <hyperlink r:id="rId2869" ref="A1482"/>
    <hyperlink r:id="rId2870" ref="C1482"/>
    <hyperlink r:id="rId2871" ref="A1483"/>
    <hyperlink r:id="rId2872" ref="C1483"/>
    <hyperlink r:id="rId2873" ref="A1484"/>
    <hyperlink r:id="rId2874" ref="C1484"/>
    <hyperlink r:id="rId2875" ref="A1485"/>
    <hyperlink r:id="rId2876" ref="C1485"/>
    <hyperlink r:id="rId2877" ref="A1486"/>
    <hyperlink r:id="rId2878" ref="C1486"/>
    <hyperlink r:id="rId2879" ref="A1487"/>
    <hyperlink r:id="rId2880" ref="C1487"/>
    <hyperlink r:id="rId2881" ref="A1488"/>
    <hyperlink r:id="rId2882" ref="C1488"/>
    <hyperlink r:id="rId2883" ref="A1489"/>
    <hyperlink r:id="rId2884" ref="C1489"/>
    <hyperlink r:id="rId2885" ref="A1490"/>
    <hyperlink r:id="rId2886" ref="C1490"/>
  </hyperlinks>
  <drawing r:id="rId288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4" width="12.63"/>
    <col customWidth="1" min="5" max="5" width="31.5"/>
    <col customWidth="1" min="6"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All'!A2:L1670,
    REGEXMATCH(LOWER(TRIM(TO_TEXT('PEEC - URLs - All'!B2:B1670))),""\bbest\b|\btop\b"")
  ),
  """"
)"),"https://we-discover.com/blog/the-top-15-performance-marketing-agencies-in-the-uk-updated-2026/")</f>
        <v>https://we-discover.com/blog/the-top-15-performance-marketing-agencies-in-the-uk-updated-2026/</v>
      </c>
      <c r="B2" s="15" t="str">
        <f>IFERROR(__xludf.DUMMYFUNCTION("""COMPUTED_VALUE"""),"The Top 15 Performance Marketing Agencies in the UK (Updated 2026) - WeDiscover")</f>
        <v>The Top 15 Performance Marketing Agencies in the UK (Updated 2026) - WeDiscover</v>
      </c>
      <c r="C2" s="14" t="str">
        <f>IFERROR(__xludf.DUMMYFUNCTION("""COMPUTED_VALUE"""),"we-discover.com")</f>
        <v>we-discover.com</v>
      </c>
      <c r="D2" s="15" t="str">
        <f>IFERROR(__xludf.DUMMYFUNCTION("""COMPUTED_VALUE"""),"LISTICLE")</f>
        <v>LISTICLE</v>
      </c>
      <c r="E2" s="15" t="str">
        <f>IFERROR(__xludf.DUMMYFUNCTION("""COMPUTED_VALUE"""),"COMPETITOR")</f>
        <v>COMPETITOR</v>
      </c>
      <c r="F2" s="15" t="str">
        <f>IFERROR(__xludf.DUMMYFUNCTION("""COMPUTED_VALUE"""),"Listicle")</f>
        <v>Listicle</v>
      </c>
      <c r="G2" s="15" t="b">
        <f>IFERROR(__xludf.DUMMYFUNCTION("""COMPUTED_VALUE"""),FALSE)</f>
        <v>0</v>
      </c>
      <c r="H2" s="15" t="str">
        <f>IFERROR(__xludf.DUMMYFUNCTION("""COMPUTED_VALUE"""),"weDiscover, Momentum, Impression, Croud, Journey Further, Hallam, Propellernet, Bind Media, Bark London, Measured")</f>
        <v>weDiscover, Momentum, Impression, Croud, Journey Further, Hallam, Propellernet, Bind Media, Bark London, Measured</v>
      </c>
      <c r="I2" s="15">
        <f>IFERROR(__xludf.DUMMYFUNCTION("""COMPUTED_VALUE"""),168.0)</f>
        <v>168</v>
      </c>
      <c r="J2" s="15">
        <f>IFERROR(__xludf.DUMMYFUNCTION("""COMPUTED_VALUE"""),0.16)</f>
        <v>0.16</v>
      </c>
      <c r="K2" s="15">
        <f>IFERROR(__xludf.DUMMYFUNCTION("""COMPUTED_VALUE"""),1.56)</f>
        <v>1.56</v>
      </c>
      <c r="L2" s="15"/>
    </row>
    <row r="3" ht="15.75" customHeight="1">
      <c r="A3" s="14" t="str">
        <f>IFERROR(__xludf.DUMMYFUNCTION("""COMPUTED_VALUE"""),"https://www.vxtx.co.uk/blog/best-performance-marketing-agencies-uk-2026-top-10-ranked")</f>
        <v>https://www.vxtx.co.uk/blog/best-performance-marketing-agencies-uk-2026-top-10-ranked</v>
      </c>
      <c r="B3" s="15" t="str">
        <f>IFERROR(__xludf.DUMMYFUNCTION("""COMPUTED_VALUE"""),"The Best Performance Marketing Agencies in the UK for 2026 (Top 10 Ranked) | VXTX Performance Marketing Blog")</f>
        <v>The Best Performance Marketing Agencies in the UK for 2026 (Top 10 Ranked) | VXTX Performance Marketing Blog</v>
      </c>
      <c r="C3" s="14" t="str">
        <f>IFERROR(__xludf.DUMMYFUNCTION("""COMPUTED_VALUE"""),"vxtx.co.uk")</f>
        <v>vxtx.co.uk</v>
      </c>
      <c r="D3" s="15" t="str">
        <f>IFERROR(__xludf.DUMMYFUNCTION("""COMPUTED_VALUE"""),"LISTICLE")</f>
        <v>LISTICLE</v>
      </c>
      <c r="E3" s="15" t="str">
        <f>IFERROR(__xludf.DUMMYFUNCTION("""COMPUTED_VALUE"""),"COMPETITOR")</f>
        <v>COMPETITOR</v>
      </c>
      <c r="F3" s="15" t="str">
        <f>IFERROR(__xludf.DUMMYFUNCTION("""COMPUTED_VALUE"""),"Listicle")</f>
        <v>Listicle</v>
      </c>
      <c r="G3" s="15" t="b">
        <f>IFERROR(__xludf.DUMMYFUNCTION("""COMPUTED_VALUE"""),FALSE)</f>
        <v>0</v>
      </c>
      <c r="H3" s="15" t="str">
        <f>IFERROR(__xludf.DUMMYFUNCTION("""COMPUTED_VALUE"""),"VXTX, weDiscover, Impression, Croud, The Social Shepherd, NP Digital, PPC Geeks, Gravity Global, The Brains, Momentum")</f>
        <v>VXTX, weDiscover, Impression, Croud, The Social Shepherd, NP Digital, PPC Geeks, Gravity Global, The Brains, Momentum</v>
      </c>
      <c r="I3" s="15">
        <f>IFERROR(__xludf.DUMMYFUNCTION("""COMPUTED_VALUE"""),91.0)</f>
        <v>91</v>
      </c>
      <c r="J3" s="15">
        <f>IFERROR(__xludf.DUMMYFUNCTION("""COMPUTED_VALUE"""),0.09)</f>
        <v>0.09</v>
      </c>
      <c r="K3" s="15">
        <f>IFERROR(__xludf.DUMMYFUNCTION("""COMPUTED_VALUE"""),1.77)</f>
        <v>1.77</v>
      </c>
      <c r="L3" s="15"/>
    </row>
    <row r="4" ht="15.75" customHeight="1">
      <c r="A4" s="14" t="str">
        <f>IFERROR(__xludf.DUMMYFUNCTION("""COMPUTED_VALUE"""),"https://agencies.semrush.com/list/united-kingdom/")</f>
        <v>https://agencies.semrush.com/list/united-kingdom/</v>
      </c>
      <c r="B4" s="15" t="str">
        <f>IFERROR(__xludf.DUMMYFUNCTION("""COMPUTED_VALUE"""),"Best Digital Marketing Agencies in United Kingdom 2026 | Semrush")</f>
        <v>Best Digital Marketing Agencies in United Kingdom 2026 | Semrush</v>
      </c>
      <c r="C4" s="14" t="str">
        <f>IFERROR(__xludf.DUMMYFUNCTION("""COMPUTED_VALUE"""),"semrush.com")</f>
        <v>semrush.com</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IFERROR(__xludf.DUMMYFUNCTION("""COMPUTED_VALUE"""),"Found, Bird Marketing, Measured, Passion Digital")</f>
        <v>Found, Bird Marketing, Measured, Passion Digital</v>
      </c>
      <c r="I4" s="15">
        <f>IFERROR(__xludf.DUMMYFUNCTION("""COMPUTED_VALUE"""),80.0)</f>
        <v>80</v>
      </c>
      <c r="J4" s="15">
        <f>IFERROR(__xludf.DUMMYFUNCTION("""COMPUTED_VALUE"""),0.08)</f>
        <v>0.08</v>
      </c>
      <c r="K4" s="15">
        <f>IFERROR(__xludf.DUMMYFUNCTION("""COMPUTED_VALUE"""),0.18)</f>
        <v>0.18</v>
      </c>
      <c r="L4" s="15"/>
    </row>
    <row r="5" ht="15.75" customHeight="1">
      <c r="A5" s="14" t="str">
        <f>IFERROR(__xludf.DUMMYFUNCTION("""COMPUTED_VALUE"""),"https://www.pushgroup.co.uk/blog/top-9-ai-marketing-agencies-in-the-uk")</f>
        <v>https://www.pushgroup.co.uk/blog/top-9-ai-marketing-agencies-in-the-uk</v>
      </c>
      <c r="B5" s="15" t="str">
        <f>IFERROR(__xludf.DUMMYFUNCTION("""COMPUTED_VALUE"""),"Top 9 AI Marketing Agencies in the UK (2026) | PUSH Group")</f>
        <v>Top 9 AI Marketing Agencies in the UK (2026) | PUSH Group</v>
      </c>
      <c r="C5" s="14" t="str">
        <f>IFERROR(__xludf.DUMMYFUNCTION("""COMPUTED_VALUE"""),"pushgroup.co.uk")</f>
        <v>pushgroup.co.uk</v>
      </c>
      <c r="D5" s="15" t="str">
        <f>IFERROR(__xludf.DUMMYFUNCTION("""COMPUTED_VALUE"""),"LISTICLE")</f>
        <v>LISTICLE</v>
      </c>
      <c r="E5" s="15" t="str">
        <f>IFERROR(__xludf.DUMMYFUNCTION("""COMPUTED_VALUE"""),"COMPETITOR")</f>
        <v>COMPETITOR</v>
      </c>
      <c r="F5" s="15" t="str">
        <f>IFERROR(__xludf.DUMMYFUNCTION("""COMPUTED_VALUE"""),"Listicle")</f>
        <v>Listicle</v>
      </c>
      <c r="G5" s="15" t="b">
        <f>IFERROR(__xludf.DUMMYFUNCTION("""COMPUTED_VALUE"""),FALSE)</f>
        <v>0</v>
      </c>
      <c r="H5"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5" s="15">
        <f>IFERROR(__xludf.DUMMYFUNCTION("""COMPUTED_VALUE"""),77.0)</f>
        <v>77</v>
      </c>
      <c r="J5" s="15">
        <f>IFERROR(__xludf.DUMMYFUNCTION("""COMPUTED_VALUE"""),0.08)</f>
        <v>0.08</v>
      </c>
      <c r="K5" s="15">
        <f>IFERROR(__xludf.DUMMYFUNCTION("""COMPUTED_VALUE"""),1.42)</f>
        <v>1.42</v>
      </c>
      <c r="L5" s="15"/>
    </row>
    <row r="6" ht="15.75" customHeight="1">
      <c r="A6" s="14" t="str">
        <f>IFERROR(__xludf.DUMMYFUNCTION("""COMPUTED_VALUE"""),"https://bind.media/insights/top-25-ppc-agencies-in-the-uk-2025")</f>
        <v>https://bind.media/insights/top-25-ppc-agencies-in-the-uk-2025</v>
      </c>
      <c r="B6" s="15" t="str">
        <f>IFERROR(__xludf.DUMMYFUNCTION("""COMPUTED_VALUE"""),"Top 25 PPC agencies in the UK [2026]")</f>
        <v>Top 25 PPC agencies in the UK [2026]</v>
      </c>
      <c r="C6" s="15" t="str">
        <f>IFERROR(__xludf.DUMMYFUNCTION("""COMPUTED_VALUE"""),"bind.media")</f>
        <v>bind.media</v>
      </c>
      <c r="D6" s="15" t="str">
        <f>IFERROR(__xludf.DUMMYFUNCTION("""COMPUTED_VALUE"""),"LISTICLE")</f>
        <v>LISTICLE</v>
      </c>
      <c r="E6" s="15" t="str">
        <f>IFERROR(__xludf.DUMMYFUNCTION("""COMPUTED_VALUE"""),"COMPETITOR")</f>
        <v>COMPETITOR</v>
      </c>
      <c r="F6" s="15" t="str">
        <f>IFERROR(__xludf.DUMMYFUNCTION("""COMPUTED_VALUE"""),"Listicle")</f>
        <v>Listicle</v>
      </c>
      <c r="G6" s="15" t="b">
        <f>IFERROR(__xludf.DUMMYFUNCTION("""COMPUTED_VALUE"""),FALSE)</f>
        <v>0</v>
      </c>
      <c r="H6" s="15" t="str">
        <f>IFERROR(__xludf.DUMMYFUNCTION("""COMPUTED_VALUE"""),"Found, Bind Media, Hallam, The Social Shepherd, Impression, Push, Push Group, Brainlabs, weDiscover, Soap Media, Croud, Launch Online, PPC Geeks, Jellyfish, Huge, Measured")</f>
        <v>Found, Bind Media, Hallam, The Social Shepherd, Impression, Push, Push Group, Brainlabs, weDiscover, Soap Media, Croud, Launch Online, PPC Geeks, Jellyfish, Huge, Measured</v>
      </c>
      <c r="I6" s="15">
        <f>IFERROR(__xludf.DUMMYFUNCTION("""COMPUTED_VALUE"""),73.0)</f>
        <v>73</v>
      </c>
      <c r="J6" s="15">
        <f>IFERROR(__xludf.DUMMYFUNCTION("""COMPUTED_VALUE"""),0.07)</f>
        <v>0.07</v>
      </c>
      <c r="K6" s="15">
        <f>IFERROR(__xludf.DUMMYFUNCTION("""COMPUTED_VALUE"""),0.84)</f>
        <v>0.84</v>
      </c>
      <c r="L6" s="15"/>
    </row>
    <row r="7" ht="15.75" customHeight="1">
      <c r="A7" s="14" t="str">
        <f>IFERROR(__xludf.DUMMYFUNCTION("""COMPUTED_VALUE"""),"https://clutch.co/agencies/uk")</f>
        <v>https://clutch.co/agencies/uk</v>
      </c>
      <c r="B7" s="15" t="str">
        <f>IFERROR(__xludf.DUMMYFUNCTION("""COMPUTED_VALUE"""),"Top Advertising Agencies in the United Kingdom - Jul 2026 Rankings | Clutch.co")</f>
        <v>Top Advertising Agencies in the United Kingdom - Jul 2026 Rankings | Clutch.co</v>
      </c>
      <c r="C7" s="14" t="str">
        <f>IFERROR(__xludf.DUMMYFUNCTION("""COMPUTED_VALUE"""),"clutch.co")</f>
        <v>clutch.co</v>
      </c>
      <c r="D7" s="15" t="str">
        <f>IFERROR(__xludf.DUMMYFUNCTION("""COMPUTED_VALUE"""),"CATEGORY_PAGE")</f>
        <v>CATEGORY_PAGE</v>
      </c>
      <c r="E7" s="15" t="str">
        <f>IFERROR(__xludf.DUMMYFUNCTION("""COMPUTED_VALUE"""),"CORPORATE")</f>
        <v>CORPORATE</v>
      </c>
      <c r="F7" s="15" t="str">
        <f>IFERROR(__xludf.DUMMYFUNCTION("""COMPUTED_VALUE"""),"Category Page")</f>
        <v>Category Page</v>
      </c>
      <c r="G7" s="15" t="b">
        <f>IFERROR(__xludf.DUMMYFUNCTION("""COMPUTED_VALUE"""),FALSE)</f>
        <v>0</v>
      </c>
      <c r="H7" s="15" t="str">
        <f>IFERROR(__xludf.DUMMYFUNCTION("""COMPUTED_VALUE"""),"Favoured, Ninja Promo, Chello, ROAST, M3.agency, The SEO Works, Push")</f>
        <v>Favoured, Ninja Promo, Chello, ROAST, M3.agency, The SEO Works, Push</v>
      </c>
      <c r="I7" s="15">
        <f>IFERROR(__xludf.DUMMYFUNCTION("""COMPUTED_VALUE"""),69.0)</f>
        <v>69</v>
      </c>
      <c r="J7" s="15">
        <f>IFERROR(__xludf.DUMMYFUNCTION("""COMPUTED_VALUE"""),0.07)</f>
        <v>0.07</v>
      </c>
      <c r="K7" s="15">
        <f>IFERROR(__xludf.DUMMYFUNCTION("""COMPUTED_VALUE"""),0.25)</f>
        <v>0.25</v>
      </c>
      <c r="L7" s="15"/>
    </row>
    <row r="8" ht="15.75" customHeight="1">
      <c r="A8" s="14" t="str">
        <f>IFERROR(__xludf.DUMMYFUNCTION("""COMPUTED_VALUE"""),"https://www.polarisagency.com/marketing-insights/best-geo-services-uk/#:~:text=POLARIS%20earns%20the%20top%20position,broad%2Dbased%20organic%20search%20practice.&amp;text=POLARIS%20offers%20AI%20Search%20and,citation%20building%20through%20digital%20PR.")</f>
        <v>https://www.polarisagency.com/marketing-insights/best-geo-services-uk/#:~:text=POLARIS%20earns%20the%20top%20position,broad%2Dbased%20organic%20search%20practice.&amp;text=POLARIS%20offers%20AI%20Search%20and,citation%20building%20through%20digital%20PR.</v>
      </c>
      <c r="B8" s="15" t="str">
        <f>IFERROR(__xludf.DUMMYFUNCTION("""COMPUTED_VALUE"""),"The 10 Best GEO Agencies in the UK | Agency Reviews")</f>
        <v>The 10 Best GEO Agencies in the UK | Agency Reviews</v>
      </c>
      <c r="C8" s="14" t="str">
        <f>IFERROR(__xludf.DUMMYFUNCTION("""COMPUTED_VALUE"""),"polarisagency.com")</f>
        <v>polarisagency.com</v>
      </c>
      <c r="D8" s="15" t="str">
        <f>IFERROR(__xludf.DUMMYFUNCTION("""COMPUTED_VALUE"""),"OTHER")</f>
        <v>OTHER</v>
      </c>
      <c r="E8" s="15" t="str">
        <f>IFERROR(__xludf.DUMMYFUNCTION("""COMPUTED_VALUE"""),"COMPETITOR")</f>
        <v>COMPETITOR</v>
      </c>
      <c r="F8" s="15" t="str">
        <f>IFERROR(__xludf.DUMMYFUNCTION("""COMPUTED_VALUE"""),"Other")</f>
        <v>Other</v>
      </c>
      <c r="G8" s="15" t="b">
        <f>IFERROR(__xludf.DUMMYFUNCTION("""COMPUTED_VALUE"""),FALSE)</f>
        <v>0</v>
      </c>
      <c r="H8" s="15" t="str">
        <f>IFERROR(__xludf.DUMMYFUNCTION("""COMPUTED_VALUE"""),"Polaris, Passion Digital, Found, Blue Array, Siege Media, Charle Agency, The SEO Works, Directive Consulting")</f>
        <v>Polaris, Passion Digital, Found, Blue Array, Siege Media, Charle Agency, The SEO Works, Directive Consulting</v>
      </c>
      <c r="I8" s="15">
        <f>IFERROR(__xludf.DUMMYFUNCTION("""COMPUTED_VALUE"""),67.0)</f>
        <v>67</v>
      </c>
      <c r="J8" s="15">
        <f>IFERROR(__xludf.DUMMYFUNCTION("""COMPUTED_VALUE"""),0.07)</f>
        <v>0.07</v>
      </c>
      <c r="K8" s="15">
        <f>IFERROR(__xludf.DUMMYFUNCTION("""COMPUTED_VALUE"""),0.91)</f>
        <v>0.91</v>
      </c>
      <c r="L8" s="15"/>
    </row>
    <row r="9" ht="15.75" customHeight="1">
      <c r="A9" s="14" t="str">
        <f>IFERROR(__xludf.DUMMYFUNCTION("""COMPUTED_VALUE"""),"https://digitalagencynetwork.com/agencies/uk/ai-marketing/")</f>
        <v>https://digitalagencynetwork.com/agencies/uk/ai-marketing/</v>
      </c>
      <c r="B9" s="15" t="str">
        <f>IFERROR(__xludf.DUMMYFUNCTION("""COMPUTED_VALUE"""),"Top AI Marketing Agencies in UK (2026)")</f>
        <v>Top AI Marketing Agencies in UK (2026)</v>
      </c>
      <c r="C9" s="14" t="str">
        <f>IFERROR(__xludf.DUMMYFUNCTION("""COMPUTED_VALUE"""),"digitalagencynetwork.com")</f>
        <v>digitalagencynetwork.com</v>
      </c>
      <c r="D9" s="15" t="str">
        <f>IFERROR(__xludf.DUMMYFUNCTION("""COMPUTED_VALUE"""),"CATEGORY_PAGE")</f>
        <v>CATEGORY_PAGE</v>
      </c>
      <c r="E9" s="15" t="str">
        <f>IFERROR(__xludf.DUMMYFUNCTION("""COMPUTED_VALUE"""),"REFERENCE")</f>
        <v>REFERENCE</v>
      </c>
      <c r="F9" s="15" t="str">
        <f>IFERROR(__xludf.DUMMYFUNCTION("""COMPUTED_VALUE"""),"Category Page")</f>
        <v>Category Page</v>
      </c>
      <c r="G9" s="15" t="b">
        <f>IFERROR(__xludf.DUMMYFUNCTION("""COMPUTED_VALUE"""),FALSE)</f>
        <v>0</v>
      </c>
      <c r="H9" s="15" t="str">
        <f>IFERROR(__xludf.DUMMYFUNCTION("""COMPUTED_VALUE"""),"Favoured, Propeller, GA Agency, Make Agency, Anicca Digital, Found, FirstMotion, Bird Marketing, Ninja Promo, ROAST, Open Partners, Hallam")</f>
        <v>Favoured, Propeller, GA Agency, Make Agency, Anicca Digital, Found, FirstMotion, Bird Marketing, Ninja Promo, ROAST, Open Partners, Hallam</v>
      </c>
      <c r="I9" s="15">
        <f>IFERROR(__xludf.DUMMYFUNCTION("""COMPUTED_VALUE"""),63.0)</f>
        <v>63</v>
      </c>
      <c r="J9" s="15">
        <f>IFERROR(__xludf.DUMMYFUNCTION("""COMPUTED_VALUE"""),0.06)</f>
        <v>0.06</v>
      </c>
      <c r="K9" s="15">
        <f>IFERROR(__xludf.DUMMYFUNCTION("""COMPUTED_VALUE"""),0.38)</f>
        <v>0.38</v>
      </c>
      <c r="L9" s="15"/>
    </row>
    <row r="10" ht="15.75" customHeight="1">
      <c r="A10" s="14" t="str">
        <f>IFERROR(__xludf.DUMMYFUNCTION("""COMPUTED_VALUE"""),"https://oski.site/blog/sales-and-marketing-analytics-companies-uk/")</f>
        <v>https://oski.site/blog/sales-and-marketing-analytics-companies-uk/</v>
      </c>
      <c r="B10" s="15" t="str">
        <f>IFERROR(__xludf.DUMMYFUNCTION("""COMPUTED_VALUE"""),"Top 16 Sales and Marketing Analytics Companies in the UK (2026)")</f>
        <v>Top 16 Sales and Marketing Analytics Companies in the UK (2026)</v>
      </c>
      <c r="C10" s="15" t="str">
        <f>IFERROR(__xludf.DUMMYFUNCTION("""COMPUTED_VALUE"""),"oski.site")</f>
        <v>oski.site</v>
      </c>
      <c r="D10" s="15" t="str">
        <f>IFERROR(__xludf.DUMMYFUNCTION("""COMPUTED_VALUE"""),"LISTICLE")</f>
        <v>LISTICLE</v>
      </c>
      <c r="E10" s="15" t="str">
        <f>IFERROR(__xludf.DUMMYFUNCTION("""COMPUTED_VALUE"""),"OTHER")</f>
        <v>OTHER</v>
      </c>
      <c r="F10" s="15" t="str">
        <f>IFERROR(__xludf.DUMMYFUNCTION("""COMPUTED_VALUE"""),"Listicle")</f>
        <v>Listicle</v>
      </c>
      <c r="G10" s="15" t="b">
        <f>IFERROR(__xludf.DUMMYFUNCTION("""COMPUTED_VALUE"""),FALSE)</f>
        <v>0</v>
      </c>
      <c r="H10" s="15" t="str">
        <f>IFERROR(__xludf.DUMMYFUNCTION("""COMPUTED_VALUE"""),"Momentum, Oski Solutions, Croud, Hallam, Analytic Partners, Directive Consulting")</f>
        <v>Momentum, Oski Solutions, Croud, Hallam, Analytic Partners, Directive Consulting</v>
      </c>
      <c r="I10" s="15">
        <f>IFERROR(__xludf.DUMMYFUNCTION("""COMPUTED_VALUE"""),62.0)</f>
        <v>62</v>
      </c>
      <c r="J10" s="15">
        <f>IFERROR(__xludf.DUMMYFUNCTION("""COMPUTED_VALUE"""),0.06)</f>
        <v>0.06</v>
      </c>
      <c r="K10" s="15">
        <f>IFERROR(__xludf.DUMMYFUNCTION("""COMPUTED_VALUE"""),1.37)</f>
        <v>1.37</v>
      </c>
      <c r="L10" s="15"/>
    </row>
    <row r="11" ht="15.75" customHeight="1">
      <c r="A11" s="14" t="str">
        <f>IFERROR(__xludf.DUMMYFUNCTION("""COMPUTED_VALUE"""),"https://clutch.co/agencies/digital-marketing/uk")</f>
        <v>https://clutch.co/agencies/digital-marketing/uk</v>
      </c>
      <c r="B11" s="15" t="str">
        <f>IFERROR(__xludf.DUMMYFUNCTION("""COMPUTED_VALUE"""),"Top Digital Marketing Agencies in the UK - Jul 2026 Rankings | Clutch.co")</f>
        <v>Top Digital Marketing Agencies in the UK - Jul 2026 Rankings | Clutch.co</v>
      </c>
      <c r="C11" s="14" t="str">
        <f>IFERROR(__xludf.DUMMYFUNCTION("""COMPUTED_VALUE"""),"clutch.co")</f>
        <v>clutch.co</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I11" s="15">
        <f>IFERROR(__xludf.DUMMYFUNCTION("""COMPUTED_VALUE"""),57.0)</f>
        <v>57</v>
      </c>
      <c r="J11" s="15">
        <f>IFERROR(__xludf.DUMMYFUNCTION("""COMPUTED_VALUE"""),0.06)</f>
        <v>0.06</v>
      </c>
      <c r="K11" s="15">
        <f>IFERROR(__xludf.DUMMYFUNCTION("""COMPUTED_VALUE"""),1.04)</f>
        <v>1.04</v>
      </c>
      <c r="L11" s="15"/>
    </row>
    <row r="12" ht="15.75" customHeight="1">
      <c r="A12" s="14" t="str">
        <f>IFERROR(__xludf.DUMMYFUNCTION("""COMPUTED_VALUE"""),"https://open.partners/open-partners-insights/top-ai-marketing-agency-uk/#:~:text=Rank,within%20one%20agile%20operating%20system.")</f>
        <v>https://open.partners/open-partners-insights/top-ai-marketing-agency-uk/#:~:text=Rank,within%20one%20agile%20operating%20system.</v>
      </c>
      <c r="B12" s="15" t="str">
        <f>IFERROR(__xludf.DUMMYFUNCTION("""COMPUTED_VALUE"""),"Top AI Marketing Agencies UK | Why Open Partners Leads the Way")</f>
        <v>Top AI Marketing Agencies UK | Why Open Partners Leads the Way</v>
      </c>
      <c r="C12" s="15" t="str">
        <f>IFERROR(__xludf.DUMMYFUNCTION("""COMPUTED_VALUE"""),"open.partners")</f>
        <v>open.partners</v>
      </c>
      <c r="D12" s="15" t="str">
        <f>IFERROR(__xludf.DUMMYFUNCTION("""COMPUTED_VALUE"""),"LISTICLE")</f>
        <v>LISTICLE</v>
      </c>
      <c r="E12" s="15" t="str">
        <f>IFERROR(__xludf.DUMMYFUNCTION("""COMPUTED_VALUE"""),"COMPETITOR")</f>
        <v>COMPETITOR</v>
      </c>
      <c r="F12" s="15" t="str">
        <f>IFERROR(__xludf.DUMMYFUNCTION("""COMPUTED_VALUE"""),"Listicle")</f>
        <v>Listicle</v>
      </c>
      <c r="G12" s="15" t="b">
        <f>IFERROR(__xludf.DUMMYFUNCTION("""COMPUTED_VALUE"""),FALSE)</f>
        <v>0</v>
      </c>
      <c r="H12" s="15" t="str">
        <f>IFERROR(__xludf.DUMMYFUNCTION("""COMPUTED_VALUE"""),"Open Partners, Brainlabs, Impression, Journey Further")</f>
        <v>Open Partners, Brainlabs, Impression, Journey Further</v>
      </c>
      <c r="I12" s="15">
        <f>IFERROR(__xludf.DUMMYFUNCTION("""COMPUTED_VALUE"""),55.0)</f>
        <v>55</v>
      </c>
      <c r="J12" s="15">
        <f>IFERROR(__xludf.DUMMYFUNCTION("""COMPUTED_VALUE"""),0.05)</f>
        <v>0.05</v>
      </c>
      <c r="K12" s="15">
        <f>IFERROR(__xludf.DUMMYFUNCTION("""COMPUTED_VALUE"""),1.18)</f>
        <v>1.18</v>
      </c>
      <c r="L12" s="15"/>
    </row>
    <row r="13" ht="15.75" customHeight="1">
      <c r="A13" s="14" t="str">
        <f>IFERROR(__xludf.DUMMYFUNCTION("""COMPUTED_VALUE"""),"https://wearehumaine.com/best-ai-first-marketing-agencies-uk-2026/")</f>
        <v>https://wearehumaine.com/best-ai-first-marketing-agencies-uk-2026/</v>
      </c>
      <c r="B13" s="15" t="str">
        <f>IFERROR(__xludf.DUMMYFUNCTION("""COMPUTED_VALUE"""),"Best AI-First Marketing Agencies in the UK 2026 | Humaine")</f>
        <v>Best AI-First Marketing Agencies in the UK 2026 | Humaine</v>
      </c>
      <c r="C13" s="14" t="str">
        <f>IFERROR(__xludf.DUMMYFUNCTION("""COMPUTED_VALUE"""),"wearehumaine.com")</f>
        <v>wearehumaine.com</v>
      </c>
      <c r="D13" s="15" t="str">
        <f>IFERROR(__xludf.DUMMYFUNCTION("""COMPUTED_VALUE"""),"LISTICLE")</f>
        <v>LISTICLE</v>
      </c>
      <c r="E13" s="15" t="str">
        <f>IFERROR(__xludf.DUMMYFUNCTION("""COMPUTED_VALUE"""),"CORPORATE")</f>
        <v>CORPORATE</v>
      </c>
      <c r="F13" s="15" t="str">
        <f>IFERROR(__xludf.DUMMYFUNCTION("""COMPUTED_VALUE"""),"Listicle")</f>
        <v>Listicle</v>
      </c>
      <c r="G13" s="15" t="b">
        <f>IFERROR(__xludf.DUMMYFUNCTION("""COMPUTED_VALUE"""),FALSE)</f>
        <v>0</v>
      </c>
      <c r="H13" s="15" t="str">
        <f>IFERROR(__xludf.DUMMYFUNCTION("""COMPUTED_VALUE"""),"Open Partners, Brainlabs, Impression, Journey Further, Koozai, VCCP, Favoured, Push, Push Group")</f>
        <v>Open Partners, Brainlabs, Impression, Journey Further, Koozai, VCCP, Favoured, Push, Push Group</v>
      </c>
      <c r="I13" s="15">
        <f>IFERROR(__xludf.DUMMYFUNCTION("""COMPUTED_VALUE"""),54.0)</f>
        <v>54</v>
      </c>
      <c r="J13" s="15">
        <f>IFERROR(__xludf.DUMMYFUNCTION("""COMPUTED_VALUE"""),0.05)</f>
        <v>0.05</v>
      </c>
      <c r="K13" s="15">
        <f>IFERROR(__xludf.DUMMYFUNCTION("""COMPUTED_VALUE"""),0.7)</f>
        <v>0.7</v>
      </c>
      <c r="L13" s="15"/>
    </row>
    <row r="14" ht="15.75" customHeight="1">
      <c r="A14" s="14" t="str">
        <f>IFERROR(__xludf.DUMMYFUNCTION("""COMPUTED_VALUE"""),"https://www.polarisagency.com/marketing-insights/best-aeo-agencies-uk/")</f>
        <v>https://www.polarisagency.com/marketing-insights/best-aeo-agencies-uk/</v>
      </c>
      <c r="B14" s="15" t="str">
        <f>IFERROR(__xludf.DUMMYFUNCTION("""COMPUTED_VALUE"""),"The Top 8 AEO Agencies for Businesses in the UK")</f>
        <v>The Top 8 AEO Agencies for Businesses in the UK</v>
      </c>
      <c r="C14" s="14" t="str">
        <f>IFERROR(__xludf.DUMMYFUNCTION("""COMPUTED_VALUE"""),"polarisagency.com")</f>
        <v>polarisagency.com</v>
      </c>
      <c r="D14" s="15" t="str">
        <f>IFERROR(__xludf.DUMMYFUNCTION("""COMPUTED_VALUE"""),"PRODUCT_PAGE")</f>
        <v>PRODUCT_PAGE</v>
      </c>
      <c r="E14" s="15" t="str">
        <f>IFERROR(__xludf.DUMMYFUNCTION("""COMPUTED_VALUE"""),"COMPETITOR")</f>
        <v>COMPETITOR</v>
      </c>
      <c r="F14" s="15" t="str">
        <f>IFERROR(__xludf.DUMMYFUNCTION("""COMPUTED_VALUE"""),"Product Page")</f>
        <v>Product Page</v>
      </c>
      <c r="G14" s="15" t="b">
        <f>IFERROR(__xludf.DUMMYFUNCTION("""COMPUTED_VALUE"""),FALSE)</f>
        <v>0</v>
      </c>
      <c r="H14" s="15" t="str">
        <f>IFERROR(__xludf.DUMMYFUNCTION("""COMPUTED_VALUE"""),"Polaris, Push, Push Group, The SEO Works, Digital Landscope, Builtvisible, ClickSlice, Measured")</f>
        <v>Polaris, Push, Push Group, The SEO Works, Digital Landscope, Builtvisible, ClickSlice, Measured</v>
      </c>
      <c r="I14" s="15">
        <f>IFERROR(__xludf.DUMMYFUNCTION("""COMPUTED_VALUE"""),53.0)</f>
        <v>53</v>
      </c>
      <c r="J14" s="15">
        <f>IFERROR(__xludf.DUMMYFUNCTION("""COMPUTED_VALUE"""),0.05)</f>
        <v>0.05</v>
      </c>
      <c r="K14" s="15">
        <f>IFERROR(__xludf.DUMMYFUNCTION("""COMPUTED_VALUE"""),1.94)</f>
        <v>1.94</v>
      </c>
      <c r="L14" s="15"/>
    </row>
    <row r="15" ht="15.75" customHeight="1">
      <c r="A15" s="14" t="str">
        <f>IFERROR(__xludf.DUMMYFUNCTION("""COMPUTED_VALUE"""),"https://www.clickslice.co.uk/top-performance-marketing-agencies/")</f>
        <v>https://www.clickslice.co.uk/top-performance-marketing-agencies/</v>
      </c>
      <c r="B15" s="15" t="str">
        <f>IFERROR(__xludf.DUMMYFUNCTION("""COMPUTED_VALUE"""),"Top 8 Performance Marketing Agencies in the UK (2026)")</f>
        <v>Top 8 Performance Marketing Agencies in the UK (2026)</v>
      </c>
      <c r="C15" s="14" t="str">
        <f>IFERROR(__xludf.DUMMYFUNCTION("""COMPUTED_VALUE"""),"clickslice.co.uk")</f>
        <v>clickslice.co.uk</v>
      </c>
      <c r="D15" s="15" t="str">
        <f>IFERROR(__xludf.DUMMYFUNCTION("""COMPUTED_VALUE"""),"LISTICLE")</f>
        <v>LISTICLE</v>
      </c>
      <c r="E15" s="15" t="str">
        <f>IFERROR(__xludf.DUMMYFUNCTION("""COMPUTED_VALUE"""),"COMPETITOR")</f>
        <v>COMPETITOR</v>
      </c>
      <c r="F15" s="15" t="str">
        <f>IFERROR(__xludf.DUMMYFUNCTION("""COMPUTED_VALUE"""),"Listicle")</f>
        <v>Listicle</v>
      </c>
      <c r="G15" s="15" t="b">
        <f>IFERROR(__xludf.DUMMYFUNCTION("""COMPUTED_VALUE"""),FALSE)</f>
        <v>0</v>
      </c>
      <c r="H15" s="15" t="str">
        <f>IFERROR(__xludf.DUMMYFUNCTION("""COMPUTED_VALUE"""),"ClickSlice, Launch Online, Measured")</f>
        <v>ClickSlice, Launch Online, Measured</v>
      </c>
      <c r="I15" s="15">
        <f>IFERROR(__xludf.DUMMYFUNCTION("""COMPUTED_VALUE"""),48.0)</f>
        <v>48</v>
      </c>
      <c r="J15" s="15">
        <f>IFERROR(__xludf.DUMMYFUNCTION("""COMPUTED_VALUE"""),0.05)</f>
        <v>0.05</v>
      </c>
      <c r="K15" s="15">
        <f>IFERROR(__xludf.DUMMYFUNCTION("""COMPUTED_VALUE"""),0.67)</f>
        <v>0.67</v>
      </c>
      <c r="L15" s="15"/>
    </row>
    <row r="16" ht="15.75" customHeight="1">
      <c r="A16" s="14" t="str">
        <f>IFERROR(__xludf.DUMMYFUNCTION("""COMPUTED_VALUE"""),"https://www.dontpaniclondon.com/blog/best-uk-creative-agencies/")</f>
        <v>https://www.dontpaniclondon.com/blog/best-uk-creative-agencies/</v>
      </c>
      <c r="B16" s="15" t="str">
        <f>IFERROR(__xludf.DUMMYFUNCTION("""COMPUTED_VALUE"""),"Compare the UK’s 8 Best Creative Agencies in 2026 (+examples)")</f>
        <v>Compare the UK’s 8 Best Creative Agencies in 2026 (+examples)</v>
      </c>
      <c r="C16" s="14" t="str">
        <f>IFERROR(__xludf.DUMMYFUNCTION("""COMPUTED_VALUE"""),"dontpaniclondon.com")</f>
        <v>dontpaniclondon.com</v>
      </c>
      <c r="D16" s="15" t="str">
        <f>IFERROR(__xludf.DUMMYFUNCTION("""COMPUTED_VALUE"""),"LISTICLE")</f>
        <v>LISTICLE</v>
      </c>
      <c r="E16" s="15" t="str">
        <f>IFERROR(__xludf.DUMMYFUNCTION("""COMPUTED_VALUE"""),"CORPORATE")</f>
        <v>CORPORATE</v>
      </c>
      <c r="F16" s="15" t="str">
        <f>IFERROR(__xludf.DUMMYFUNCTION("""COMPUTED_VALUE"""),"Listicle")</f>
        <v>Listicle</v>
      </c>
      <c r="G16" s="15" t="b">
        <f>IFERROR(__xludf.DUMMYFUNCTION("""COMPUTED_VALUE"""),FALSE)</f>
        <v>0</v>
      </c>
      <c r="H16" s="15" t="str">
        <f>IFERROR(__xludf.DUMMYFUNCTION("""COMPUTED_VALUE"""),"Mother London, Lucky Generals, Pablo, Disruptive Advertising, Huge, Uncommon Creative Studio, Adam&amp;eveDDB, Saatchi &amp; Saatchi, BBH London")</f>
        <v>Mother London, Lucky Generals, Pablo, Disruptive Advertising, Huge, Uncommon Creative Studio, Adam&amp;eveDDB, Saatchi &amp; Saatchi, BBH London</v>
      </c>
      <c r="I16" s="15">
        <f>IFERROR(__xludf.DUMMYFUNCTION("""COMPUTED_VALUE"""),47.0)</f>
        <v>47</v>
      </c>
      <c r="J16" s="15">
        <f>IFERROR(__xludf.DUMMYFUNCTION("""COMPUTED_VALUE"""),0.05)</f>
        <v>0.05</v>
      </c>
      <c r="K16" s="15">
        <f>IFERROR(__xludf.DUMMYFUNCTION("""COMPUTED_VALUE"""),1.45)</f>
        <v>1.45</v>
      </c>
      <c r="L16" s="15"/>
    </row>
    <row r="17" ht="15.75" customHeight="1">
      <c r="A17" s="14" t="str">
        <f>IFERROR(__xludf.DUMMYFUNCTION("""COMPUTED_VALUE"""),"https://www.pushgroup.co.uk/blog/top-9-paid-social-agencies-uk")</f>
        <v>https://www.pushgroup.co.uk/blog/top-9-paid-social-agencies-uk</v>
      </c>
      <c r="B17" s="15" t="str">
        <f>IFERROR(__xludf.DUMMYFUNCTION("""COMPUTED_VALUE"""),"Top 9 Paid Social Agencies UK (2026) | Best for ROAS | PUSH Group")</f>
        <v>Top 9 Paid Social Agencies UK (2026) | Best for ROAS | PUSH Group</v>
      </c>
      <c r="C17" s="14" t="str">
        <f>IFERROR(__xludf.DUMMYFUNCTION("""COMPUTED_VALUE"""),"pushgroup.co.uk")</f>
        <v>pushgroup.co.uk</v>
      </c>
      <c r="D17" s="15" t="str">
        <f>IFERROR(__xludf.DUMMYFUNCTION("""COMPUTED_VALUE"""),"LISTICLE")</f>
        <v>LISTICLE</v>
      </c>
      <c r="E17" s="15" t="str">
        <f>IFERROR(__xludf.DUMMYFUNCTION("""COMPUTED_VALUE"""),"COMPETITOR")</f>
        <v>COMPETITOR</v>
      </c>
      <c r="F17" s="15" t="str">
        <f>IFERROR(__xludf.DUMMYFUNCTION("""COMPUTED_VALUE"""),"Listicle")</f>
        <v>Listicle</v>
      </c>
      <c r="G17" s="15" t="b">
        <f>IFERROR(__xludf.DUMMYFUNCTION("""COMPUTED_VALUE"""),FALSE)</f>
        <v>0</v>
      </c>
      <c r="H17" s="15" t="str">
        <f>IFERROR(__xludf.DUMMYFUNCTION("""COMPUTED_VALUE"""),"Push, Push Group, The Social Shepherd, We Are Social, The Good Marketer, Impression, Gripped")</f>
        <v>Push, Push Group, The Social Shepherd, We Are Social, The Good Marketer, Impression, Gripped</v>
      </c>
      <c r="I17" s="15">
        <f>IFERROR(__xludf.DUMMYFUNCTION("""COMPUTED_VALUE"""),45.0)</f>
        <v>45</v>
      </c>
      <c r="J17" s="15">
        <f>IFERROR(__xludf.DUMMYFUNCTION("""COMPUTED_VALUE"""),0.04)</f>
        <v>0.04</v>
      </c>
      <c r="K17" s="15">
        <f>IFERROR(__xludf.DUMMYFUNCTION("""COMPUTED_VALUE"""),1.24)</f>
        <v>1.24</v>
      </c>
      <c r="L17" s="15"/>
    </row>
    <row r="18" ht="15.75" customHeight="1">
      <c r="A18" s="14" t="str">
        <f>IFERROR(__xludf.DUMMYFUNCTION("""COMPUTED_VALUE"""),"https://nogood.io/blog/marketing-analytics-agency-uk/")</f>
        <v>https://nogood.io/blog/marketing-analytics-agency-uk/</v>
      </c>
      <c r="B18" s="15" t="str">
        <f>IFERROR(__xludf.DUMMYFUNCTION("""COMPUTED_VALUE"""),"Top 8 Marketing Analytics Agencies in the UK in 2025 | NoGood")</f>
        <v>Top 8 Marketing Analytics Agencies in the UK in 2025 | NoGood</v>
      </c>
      <c r="C18" s="14" t="str">
        <f>IFERROR(__xludf.DUMMYFUNCTION("""COMPUTED_VALUE"""),"nogood.io")</f>
        <v>nogood.io</v>
      </c>
      <c r="D18" s="15" t="str">
        <f>IFERROR(__xludf.DUMMYFUNCTION("""COMPUTED_VALUE"""),"LISTICLE")</f>
        <v>LISTICLE</v>
      </c>
      <c r="E18" s="15" t="str">
        <f>IFERROR(__xludf.DUMMYFUNCTION("""COMPUTED_VALUE"""),"COMPETITOR")</f>
        <v>COMPETITOR</v>
      </c>
      <c r="F18" s="15" t="str">
        <f>IFERROR(__xludf.DUMMYFUNCTION("""COMPUTED_VALUE"""),"Listicle")</f>
        <v>Listicle</v>
      </c>
      <c r="G18" s="15" t="b">
        <f>IFERROR(__xludf.DUMMYFUNCTION("""COMPUTED_VALUE"""),FALSE)</f>
        <v>0</v>
      </c>
      <c r="H18" s="15" t="str">
        <f>IFERROR(__xludf.DUMMYFUNCTION("""COMPUTED_VALUE"""),"NoGood, Brainlabs, Jellyfish, iCrossing, Hallam, Convosphere, QueryClick")</f>
        <v>NoGood, Brainlabs, Jellyfish, iCrossing, Hallam, Convosphere, QueryClick</v>
      </c>
      <c r="I18" s="15">
        <f>IFERROR(__xludf.DUMMYFUNCTION("""COMPUTED_VALUE"""),43.0)</f>
        <v>43</v>
      </c>
      <c r="J18" s="15">
        <f>IFERROR(__xludf.DUMMYFUNCTION("""COMPUTED_VALUE"""),0.04)</f>
        <v>0.04</v>
      </c>
      <c r="K18" s="15">
        <f>IFERROR(__xludf.DUMMYFUNCTION("""COMPUTED_VALUE"""),1.53)</f>
        <v>1.53</v>
      </c>
      <c r="L18" s="15"/>
    </row>
    <row r="19" ht="15.75" customHeight="1">
      <c r="A19" s="14" t="str">
        <f>IFERROR(__xludf.DUMMYFUNCTION("""COMPUTED_VALUE"""),"https://www.sortlist.co.uk/s/ai-marketing/united-kingdom-gb")</f>
        <v>https://www.sortlist.co.uk/s/ai-marketing/united-kingdom-gb</v>
      </c>
      <c r="B19" s="15" t="str">
        <f>IFERROR(__xludf.DUMMYFUNCTION("""COMPUTED_VALUE"""),"10+ Top AI Marketing Companies in the UK - 2026 Reviews")</f>
        <v>10+ Top AI Marketing Companies in the UK - 2026 Reviews</v>
      </c>
      <c r="C19" s="14" t="str">
        <f>IFERROR(__xludf.DUMMYFUNCTION("""COMPUTED_VALUE"""),"sortlist.co.uk")</f>
        <v>sortlist.co.uk</v>
      </c>
      <c r="D19" s="15" t="str">
        <f>IFERROR(__xludf.DUMMYFUNCTION("""COMPUTED_VALUE"""),"CATEGORY_PAGE")</f>
        <v>CATEGORY_PAGE</v>
      </c>
      <c r="E19" s="15" t="str">
        <f>IFERROR(__xludf.DUMMYFUNCTION("""COMPUTED_VALUE"""),"REFERENCE")</f>
        <v>REFERENCE</v>
      </c>
      <c r="F19" s="15" t="str">
        <f>IFERROR(__xludf.DUMMYFUNCTION("""COMPUTED_VALUE"""),"Category Page")</f>
        <v>Category Page</v>
      </c>
      <c r="G19" s="15" t="b">
        <f>IFERROR(__xludf.DUMMYFUNCTION("""COMPUTED_VALUE"""),FALSE)</f>
        <v>0</v>
      </c>
      <c r="H19" s="15"/>
      <c r="I19" s="15">
        <f>IFERROR(__xludf.DUMMYFUNCTION("""COMPUTED_VALUE"""),43.0)</f>
        <v>43</v>
      </c>
      <c r="J19" s="15">
        <f>IFERROR(__xludf.DUMMYFUNCTION("""COMPUTED_VALUE"""),0.04)</f>
        <v>0.04</v>
      </c>
      <c r="K19" s="15">
        <f>IFERROR(__xludf.DUMMYFUNCTION("""COMPUTED_VALUE"""),0.51)</f>
        <v>0.51</v>
      </c>
      <c r="L19" s="15"/>
    </row>
    <row r="20" ht="15.75" customHeight="1">
      <c r="A20" s="14" t="str">
        <f>IFERROR(__xludf.DUMMYFUNCTION("""COMPUTED_VALUE"""),"https://www.influencer-hero.com/blogs/top-paid-media-agencies-in-the-united-kingdom")</f>
        <v>https://www.influencer-hero.com/blogs/top-paid-media-agencies-in-the-united-kingdom</v>
      </c>
      <c r="B20" s="15" t="str">
        <f>IFERROR(__xludf.DUMMYFUNCTION("""COMPUTED_VALUE"""),"Top 10 Paid Media Agencies in the United Kingdom")</f>
        <v>Top 10 Paid Media Agencies in the United Kingdom</v>
      </c>
      <c r="C20" s="14" t="str">
        <f>IFERROR(__xludf.DUMMYFUNCTION("""COMPUTED_VALUE"""),"influencer-hero.com")</f>
        <v>influencer-hero.com</v>
      </c>
      <c r="D20" s="15" t="str">
        <f>IFERROR(__xludf.DUMMYFUNCTION("""COMPUTED_VALUE"""),"LISTICLE")</f>
        <v>LISTICLE</v>
      </c>
      <c r="E20" s="15" t="str">
        <f>IFERROR(__xludf.DUMMYFUNCTION("""COMPUTED_VALUE"""),"CORPORATE")</f>
        <v>CORPORATE</v>
      </c>
      <c r="F20" s="15" t="str">
        <f>IFERROR(__xludf.DUMMYFUNCTION("""COMPUTED_VALUE"""),"Listicle")</f>
        <v>Listicle</v>
      </c>
      <c r="G20" s="15" t="b">
        <f>IFERROR(__xludf.DUMMYFUNCTION("""COMPUTED_VALUE"""),FALSE)</f>
        <v>0</v>
      </c>
      <c r="H20" s="15" t="str">
        <f>IFERROR(__xludf.DUMMYFUNCTION("""COMPUTED_VALUE"""),"Brainlabs, Vivify Agency, Manifest Group, Impression, Hallam, Passion Digital")</f>
        <v>Brainlabs, Vivify Agency, Manifest Group, Impression, Hallam, Passion Digital</v>
      </c>
      <c r="I20" s="15">
        <f>IFERROR(__xludf.DUMMYFUNCTION("""COMPUTED_VALUE"""),42.0)</f>
        <v>42</v>
      </c>
      <c r="J20" s="15">
        <f>IFERROR(__xludf.DUMMYFUNCTION("""COMPUTED_VALUE"""),0.04)</f>
        <v>0.04</v>
      </c>
      <c r="K20" s="15">
        <f>IFERROR(__xludf.DUMMYFUNCTION("""COMPUTED_VALUE"""),1.43)</f>
        <v>1.43</v>
      </c>
      <c r="L20" s="15"/>
    </row>
    <row r="21" ht="15.75" customHeight="1">
      <c r="A21" s="14" t="str">
        <f>IFERROR(__xludf.DUMMYFUNCTION("""COMPUTED_VALUE"""),"https://www.clickslice.co.uk/top-aeo-agencies-uk/")</f>
        <v>https://www.clickslice.co.uk/top-aeo-agencies-uk/</v>
      </c>
      <c r="B21" s="15" t="str">
        <f>IFERROR(__xludf.DUMMYFUNCTION("""COMPUTED_VALUE"""),"Top 10 AEO Agencies in the UK for 2026")</f>
        <v>Top 10 AEO Agencies in the UK for 2026</v>
      </c>
      <c r="C21" s="14" t="str">
        <f>IFERROR(__xludf.DUMMYFUNCTION("""COMPUTED_VALUE"""),"clickslice.co.uk")</f>
        <v>clickslice.co.uk</v>
      </c>
      <c r="D21" s="15" t="str">
        <f>IFERROR(__xludf.DUMMYFUNCTION("""COMPUTED_VALUE"""),"LISTICLE")</f>
        <v>LISTICLE</v>
      </c>
      <c r="E21" s="15" t="str">
        <f>IFERROR(__xludf.DUMMYFUNCTION("""COMPUTED_VALUE"""),"COMPETITOR")</f>
        <v>COMPETITOR</v>
      </c>
      <c r="F21" s="15" t="str">
        <f>IFERROR(__xludf.DUMMYFUNCTION("""COMPUTED_VALUE"""),"Listicle")</f>
        <v>Listicle</v>
      </c>
      <c r="G21" s="15" t="b">
        <f>IFERROR(__xludf.DUMMYFUNCTION("""COMPUTED_VALUE"""),FALSE)</f>
        <v>0</v>
      </c>
      <c r="H21" s="15" t="str">
        <f>IFERROR(__xludf.DUMMYFUNCTION("""COMPUTED_VALUE"""),"ClickSlice")</f>
        <v>ClickSlice</v>
      </c>
      <c r="I21" s="15">
        <f>IFERROR(__xludf.DUMMYFUNCTION("""COMPUTED_VALUE"""),41.0)</f>
        <v>41</v>
      </c>
      <c r="J21" s="15">
        <f>IFERROR(__xludf.DUMMYFUNCTION("""COMPUTED_VALUE"""),0.04)</f>
        <v>0.04</v>
      </c>
      <c r="K21" s="15">
        <f>IFERROR(__xludf.DUMMYFUNCTION("""COMPUTED_VALUE"""),1.05)</f>
        <v>1.05</v>
      </c>
      <c r="L21" s="15"/>
    </row>
    <row r="22" ht="15.75" customHeight="1">
      <c r="A22" s="14" t="str">
        <f>IFERROR(__xludf.DUMMYFUNCTION("""COMPUTED_VALUE"""),"https://agencies.semrush.com/list/display-advertising/united-kingdom/")</f>
        <v>https://agencies.semrush.com/list/display-advertising/united-kingdom/</v>
      </c>
      <c r="B22" s="15" t="str">
        <f>IFERROR(__xludf.DUMMYFUNCTION("""COMPUTED_VALUE"""),"Best Display Ads Agencies in United Kingdom 2026 | Semrush")</f>
        <v>Best Display Ads Agencies in United Kingdom 2026 | Semrush</v>
      </c>
      <c r="C22" s="14" t="str">
        <f>IFERROR(__xludf.DUMMYFUNCTION("""COMPUTED_VALUE"""),"semrush.com")</f>
        <v>semrush.com</v>
      </c>
      <c r="D22" s="15" t="str">
        <f>IFERROR(__xludf.DUMMYFUNCTION("""COMPUTED_VALUE"""),"CATEGORY_PAGE")</f>
        <v>CATEGORY_PAGE</v>
      </c>
      <c r="E22" s="15" t="str">
        <f>IFERROR(__xludf.DUMMYFUNCTION("""COMPUTED_VALUE"""),"CORPORATE")</f>
        <v>CORPORATE</v>
      </c>
      <c r="F22" s="15" t="str">
        <f>IFERROR(__xludf.DUMMYFUNCTION("""COMPUTED_VALUE"""),"Category Page")</f>
        <v>Category Page</v>
      </c>
      <c r="G22" s="15" t="b">
        <f>IFERROR(__xludf.DUMMYFUNCTION("""COMPUTED_VALUE"""),FALSE)</f>
        <v>0</v>
      </c>
      <c r="H22" s="15" t="str">
        <f>IFERROR(__xludf.DUMMYFUNCTION("""COMPUTED_VALUE"""),"Found, Passion Digital, Soap Media, GA Agency, The SEO Works")</f>
        <v>Found, Passion Digital, Soap Media, GA Agency, The SEO Works</v>
      </c>
      <c r="I22" s="15">
        <f>IFERROR(__xludf.DUMMYFUNCTION("""COMPUTED_VALUE"""),40.0)</f>
        <v>40</v>
      </c>
      <c r="J22" s="15">
        <f>IFERROR(__xludf.DUMMYFUNCTION("""COMPUTED_VALUE"""),0.04)</f>
        <v>0.04</v>
      </c>
      <c r="K22" s="15">
        <f>IFERROR(__xludf.DUMMYFUNCTION("""COMPUTED_VALUE"""),0.53)</f>
        <v>0.53</v>
      </c>
      <c r="L22" s="15"/>
    </row>
    <row r="23" ht="15.75" customHeight="1">
      <c r="A23" s="14" t="str">
        <f>IFERROR(__xludf.DUMMYFUNCTION("""COMPUTED_VALUE"""),"https://bind.media/insights/top-11-google-analytics-agencies-in-the-uk-2025")</f>
        <v>https://bind.media/insights/top-11-google-analytics-agencies-in-the-uk-2025</v>
      </c>
      <c r="B23" s="15" t="str">
        <f>IFERROR(__xludf.DUMMYFUNCTION("""COMPUTED_VALUE"""),"Top 11 Google Analytics Agencies in the UK [2025]")</f>
        <v>Top 11 Google Analytics Agencies in the UK [2025]</v>
      </c>
      <c r="C23" s="15" t="str">
        <f>IFERROR(__xludf.DUMMYFUNCTION("""COMPUTED_VALUE"""),"bind.media")</f>
        <v>bind.media</v>
      </c>
      <c r="D23" s="15" t="str">
        <f>IFERROR(__xludf.DUMMYFUNCTION("""COMPUTED_VALUE"""),"LISTICLE")</f>
        <v>LISTICLE</v>
      </c>
      <c r="E23" s="15" t="str">
        <f>IFERROR(__xludf.DUMMYFUNCTION("""COMPUTED_VALUE"""),"COMPETITOR")</f>
        <v>COMPETITOR</v>
      </c>
      <c r="F23" s="15" t="str">
        <f>IFERROR(__xludf.DUMMYFUNCTION("""COMPUTED_VALUE"""),"Listicle")</f>
        <v>Listicle</v>
      </c>
      <c r="G23" s="15" t="b">
        <f>IFERROR(__xludf.DUMMYFUNCTION("""COMPUTED_VALUE"""),TRUE)</f>
        <v>1</v>
      </c>
      <c r="H23" s="15" t="str">
        <f>IFERROR(__xludf.DUMMYFUNCTION("""COMPUTED_VALUE"""),"Bind Media, Artefact, Brainlabs, Hallam, Incubeta, PMG")</f>
        <v>Bind Media, Artefact, Brainlabs, Hallam, Incubeta, PMG</v>
      </c>
      <c r="I23" s="15">
        <f>IFERROR(__xludf.DUMMYFUNCTION("""COMPUTED_VALUE"""),40.0)</f>
        <v>40</v>
      </c>
      <c r="J23" s="15">
        <f>IFERROR(__xludf.DUMMYFUNCTION("""COMPUTED_VALUE"""),0.04)</f>
        <v>0.04</v>
      </c>
      <c r="K23" s="15">
        <f>IFERROR(__xludf.DUMMYFUNCTION("""COMPUTED_VALUE"""),1.1)</f>
        <v>1.1</v>
      </c>
      <c r="L23" s="15"/>
    </row>
    <row r="24" ht="15.75" customHeight="1">
      <c r="A24" s="14" t="str">
        <f>IFERROR(__xludf.DUMMYFUNCTION("""COMPUTED_VALUE"""),"https://www.digitallitmus.com/blog/best-marketing-agencies-uk")</f>
        <v>https://www.digitallitmus.com/blog/best-marketing-agencies-uk</v>
      </c>
      <c r="B24" s="15" t="str">
        <f>IFERROR(__xludf.DUMMYFUNCTION("""COMPUTED_VALUE"""),"The Top Marketing Agencies in the UK To Work With In 2026")</f>
        <v>The Top Marketing Agencies in the UK To Work With In 2026</v>
      </c>
      <c r="C24" s="14" t="str">
        <f>IFERROR(__xludf.DUMMYFUNCTION("""COMPUTED_VALUE"""),"digitallitmus.com")</f>
        <v>digitallitmus.com</v>
      </c>
      <c r="D24" s="15" t="str">
        <f>IFERROR(__xludf.DUMMYFUNCTION("""COMPUTED_VALUE"""),"LISTICLE")</f>
        <v>LISTICLE</v>
      </c>
      <c r="E24" s="15" t="str">
        <f>IFERROR(__xludf.DUMMYFUNCTION("""COMPUTED_VALUE"""),"CORPORATE")</f>
        <v>CORPORATE</v>
      </c>
      <c r="F24" s="15" t="str">
        <f>IFERROR(__xludf.DUMMYFUNCTION("""COMPUTED_VALUE"""),"Listicle")</f>
        <v>Listicle</v>
      </c>
      <c r="G24" s="15" t="b">
        <f>IFERROR(__xludf.DUMMYFUNCTION("""COMPUTED_VALUE"""),FALSE)</f>
        <v>0</v>
      </c>
      <c r="H24" s="15" t="str">
        <f>IFERROR(__xludf.DUMMYFUNCTION("""COMPUTED_VALUE"""),"Momentum, Gripped, Omniscient Digital, Transmission, Gravity Global, Directive Consulting, Merkle, Hallam, Jellyfish, Found, Soap Media, The Good Marketer, The Social Shepherd, Koozai, AKQA, Blue Array, Builtvisible, Passion Digital, Impression, Push, Pus"&amp;"h Group")</f>
        <v>Momentum, Gripped, Omniscient Digital, Transmission, Gravity Global, Directive Consulting, Merkle, Hallam, Jellyfish, Found, Soap Media, The Good Marketer, The Social Shepherd, Koozai, AKQA, Blue Array, Builtvisible, Passion Digital, Impression, Push, Push Group</v>
      </c>
      <c r="I24" s="15">
        <f>IFERROR(__xludf.DUMMYFUNCTION("""COMPUTED_VALUE"""),40.0)</f>
        <v>40</v>
      </c>
      <c r="J24" s="15">
        <f>IFERROR(__xludf.DUMMYFUNCTION("""COMPUTED_VALUE"""),0.04)</f>
        <v>0.04</v>
      </c>
      <c r="K24" s="15">
        <f>IFERROR(__xludf.DUMMYFUNCTION("""COMPUTED_VALUE"""),0.8)</f>
        <v>0.8</v>
      </c>
      <c r="L24" s="15"/>
    </row>
    <row r="25" ht="15.75" customHeight="1">
      <c r="A25" s="14" t="str">
        <f>IFERROR(__xludf.DUMMYFUNCTION("""COMPUTED_VALUE"""),"https://digital-landscope.com/best-geo-agencies-in-the-uk/")</f>
        <v>https://digital-landscope.com/best-geo-agencies-in-the-uk/</v>
      </c>
      <c r="B25" s="15" t="str">
        <f>IFERROR(__xludf.DUMMYFUNCTION("""COMPUTED_VALUE"""),"Best GEO Agencies in the UK")</f>
        <v>Best GEO Agencies in the UK</v>
      </c>
      <c r="C25" s="14" t="str">
        <f>IFERROR(__xludf.DUMMYFUNCTION("""COMPUTED_VALUE"""),"digital-landscope.com")</f>
        <v>digital-landscope.com</v>
      </c>
      <c r="D25" s="15" t="str">
        <f>IFERROR(__xludf.DUMMYFUNCTION("""COMPUTED_VALUE"""),"LISTICLE")</f>
        <v>LISTICLE</v>
      </c>
      <c r="E25" s="15" t="str">
        <f>IFERROR(__xludf.DUMMYFUNCTION("""COMPUTED_VALUE"""),"COMPETITOR")</f>
        <v>COMPETITOR</v>
      </c>
      <c r="F25" s="15" t="str">
        <f>IFERROR(__xludf.DUMMYFUNCTION("""COMPUTED_VALUE"""),"Listicle")</f>
        <v>Listicle</v>
      </c>
      <c r="G25" s="15" t="b">
        <f>IFERROR(__xludf.DUMMYFUNCTION("""COMPUTED_VALUE"""),FALSE)</f>
        <v>0</v>
      </c>
      <c r="H25" s="15" t="str">
        <f>IFERROR(__xludf.DUMMYFUNCTION("""COMPUTED_VALUE"""),"Digital Landscope, The SEO Works, Found")</f>
        <v>Digital Landscope, The SEO Works, Found</v>
      </c>
      <c r="I25" s="15">
        <f>IFERROR(__xludf.DUMMYFUNCTION("""COMPUTED_VALUE"""),39.0)</f>
        <v>39</v>
      </c>
      <c r="J25" s="15">
        <f>IFERROR(__xludf.DUMMYFUNCTION("""COMPUTED_VALUE"""),0.04)</f>
        <v>0.04</v>
      </c>
      <c r="K25" s="15">
        <f>IFERROR(__xludf.DUMMYFUNCTION("""COMPUTED_VALUE"""),1.77)</f>
        <v>1.77</v>
      </c>
      <c r="L25" s="15"/>
    </row>
    <row r="26" ht="15.75" customHeight="1">
      <c r="A26" s="14" t="str">
        <f>IFERROR(__xludf.DUMMYFUNCTION("""COMPUTED_VALUE"""),"https://www.measured.com/faq/best-incrementality-testing-companies-software-for-marketing-2026/")</f>
        <v>https://www.measured.com/faq/best-incrementality-testing-companies-software-for-marketing-2026/</v>
      </c>
      <c r="B26" s="15" t="str">
        <f>IFERROR(__xludf.DUMMYFUNCTION("""COMPUTED_VALUE"""),"Best Incrementality Testing Companies &amp;amp; Software for Marketing (2026)")</f>
        <v>Best Incrementality Testing Companies &amp;amp; Software for Marketing (2026)</v>
      </c>
      <c r="C26" s="14" t="str">
        <f>IFERROR(__xludf.DUMMYFUNCTION("""COMPUTED_VALUE"""),"measured.com")</f>
        <v>measured.com</v>
      </c>
      <c r="D26" s="15" t="str">
        <f>IFERROR(__xludf.DUMMYFUNCTION("""COMPUTED_VALUE"""),"LISTICLE")</f>
        <v>LISTICLE</v>
      </c>
      <c r="E26" s="15" t="str">
        <f>IFERROR(__xludf.DUMMYFUNCTION("""COMPUTED_VALUE"""),"COMPETITOR")</f>
        <v>COMPETITOR</v>
      </c>
      <c r="F26" s="15" t="str">
        <f>IFERROR(__xludf.DUMMYFUNCTION("""COMPUTED_VALUE"""),"Listicle")</f>
        <v>Listicle</v>
      </c>
      <c r="G26" s="15" t="b">
        <f>IFERROR(__xludf.DUMMYFUNCTION("""COMPUTED_VALUE"""),FALSE)</f>
        <v>0</v>
      </c>
      <c r="H26" s="15" t="str">
        <f>IFERROR(__xludf.DUMMYFUNCTION("""COMPUTED_VALUE"""),"Measured, Neustar, Rockerbox, Haus, Recast, Analytic Partners")</f>
        <v>Measured, Neustar, Rockerbox, Haus, Recast, Analytic Partners</v>
      </c>
      <c r="I26" s="15">
        <f>IFERROR(__xludf.DUMMYFUNCTION("""COMPUTED_VALUE"""),39.0)</f>
        <v>39</v>
      </c>
      <c r="J26" s="15">
        <f>IFERROR(__xludf.DUMMYFUNCTION("""COMPUTED_VALUE"""),0.04)</f>
        <v>0.04</v>
      </c>
      <c r="K26" s="15">
        <f>IFERROR(__xludf.DUMMYFUNCTION("""COMPUTED_VALUE"""),2.36)</f>
        <v>2.36</v>
      </c>
      <c r="L26" s="15"/>
    </row>
    <row r="27" ht="15.75" customHeight="1">
      <c r="A27" s="14" t="str">
        <f>IFERROR(__xludf.DUMMYFUNCTION("""COMPUTED_VALUE"""),"https://www.domisearch.com/blog/best-aeo-agencies-uk")</f>
        <v>https://www.domisearch.com/blog/best-aeo-agencies-uk</v>
      </c>
      <c r="B27" s="15" t="str">
        <f>IFERROR(__xludf.DUMMYFUNCTION("""COMPUTED_VALUE"""),"Best AEO Agencies in the UK: 2026 Honest Roundup · DomiSearch")</f>
        <v>Best AEO Agencies in the UK: 2026 Honest Roundup · DomiSearch</v>
      </c>
      <c r="C27" s="14" t="str">
        <f>IFERROR(__xludf.DUMMYFUNCTION("""COMPUTED_VALUE"""),"domisearch.com")</f>
        <v>domisearch.com</v>
      </c>
      <c r="D27" s="15" t="str">
        <f>IFERROR(__xludf.DUMMYFUNCTION("""COMPUTED_VALUE"""),"LISTICLE")</f>
        <v>LISTICLE</v>
      </c>
      <c r="E27" s="15" t="str">
        <f>IFERROR(__xludf.DUMMYFUNCTION("""COMPUTED_VALUE"""),"CORPORATE")</f>
        <v>CORPORATE</v>
      </c>
      <c r="F27" s="15" t="str">
        <f>IFERROR(__xludf.DUMMYFUNCTION("""COMPUTED_VALUE"""),"Listicle")</f>
        <v>Listicle</v>
      </c>
      <c r="G27" s="15" t="b">
        <f>IFERROR(__xludf.DUMMYFUNCTION("""COMPUTED_VALUE"""),FALSE)</f>
        <v>0</v>
      </c>
      <c r="H27" s="15" t="str">
        <f>IFERROR(__xludf.DUMMYFUNCTION("""COMPUTED_VALUE"""),"Push, Push Group, Tilio, Click Intelligence, Found, Digital Landscope")</f>
        <v>Push, Push Group, Tilio, Click Intelligence, Found, Digital Landscope</v>
      </c>
      <c r="I27" s="15">
        <f>IFERROR(__xludf.DUMMYFUNCTION("""COMPUTED_VALUE"""),38.0)</f>
        <v>38</v>
      </c>
      <c r="J27" s="15">
        <f>IFERROR(__xludf.DUMMYFUNCTION("""COMPUTED_VALUE"""),0.04)</f>
        <v>0.04</v>
      </c>
      <c r="K27" s="15">
        <f>IFERROR(__xludf.DUMMYFUNCTION("""COMPUTED_VALUE"""),1.61)</f>
        <v>1.61</v>
      </c>
      <c r="L27" s="15"/>
    </row>
    <row r="28" ht="15.75" customHeight="1">
      <c r="A28" s="14" t="str">
        <f>IFERROR(__xludf.DUMMYFUNCTION("""COMPUTED_VALUE"""),"https://www.sortlist.co.uk/s/display-advertising/united-kingdom-gb")</f>
        <v>https://www.sortlist.co.uk/s/display-advertising/united-kingdom-gb</v>
      </c>
      <c r="B28" s="15" t="str">
        <f>IFERROR(__xludf.DUMMYFUNCTION("""COMPUTED_VALUE"""),"The 10 Best Display Advertising Agencies in The United Kingdom - 2026 Reviews")</f>
        <v>The 10 Best Display Advertising Agencies in The United Kingdom - 2026 Reviews</v>
      </c>
      <c r="C28" s="14" t="str">
        <f>IFERROR(__xludf.DUMMYFUNCTION("""COMPUTED_VALUE"""),"sortlist.co.uk")</f>
        <v>sortlist.co.uk</v>
      </c>
      <c r="D28" s="15" t="str">
        <f>IFERROR(__xludf.DUMMYFUNCTION("""COMPUTED_VALUE"""),"CATEGORY_PAGE")</f>
        <v>CATEGORY_PAGE</v>
      </c>
      <c r="E28" s="15" t="str">
        <f>IFERROR(__xludf.DUMMYFUNCTION("""COMPUTED_VALUE"""),"REFERENCE")</f>
        <v>REFERENCE</v>
      </c>
      <c r="F28" s="15" t="str">
        <f>IFERROR(__xludf.DUMMYFUNCTION("""COMPUTED_VALUE"""),"Category Page")</f>
        <v>Category Page</v>
      </c>
      <c r="G28" s="15" t="b">
        <f>IFERROR(__xludf.DUMMYFUNCTION("""COMPUTED_VALUE"""),FALSE)</f>
        <v>0</v>
      </c>
      <c r="H28" s="15" t="str">
        <f>IFERROR(__xludf.DUMMYFUNCTION("""COMPUTED_VALUE"""),"Found, Momentum, M3.agency, Ninja Promo, Impression")</f>
        <v>Found, Momentum, M3.agency, Ninja Promo, Impression</v>
      </c>
      <c r="I28" s="15">
        <f>IFERROR(__xludf.DUMMYFUNCTION("""COMPUTED_VALUE"""),38.0)</f>
        <v>38</v>
      </c>
      <c r="J28" s="15">
        <f>IFERROR(__xludf.DUMMYFUNCTION("""COMPUTED_VALUE"""),0.04)</f>
        <v>0.04</v>
      </c>
      <c r="K28" s="15">
        <f>IFERROR(__xludf.DUMMYFUNCTION("""COMPUTED_VALUE"""),0.66)</f>
        <v>0.66</v>
      </c>
      <c r="L28" s="15"/>
    </row>
    <row r="29" ht="15.75" customHeight="1">
      <c r="A29" s="14" t="str">
        <f>IFERROR(__xludf.DUMMYFUNCTION("""COMPUTED_VALUE"""),"https://www.sortlist.co.uk/s/marketing-analytics/united-kingdom-gb")</f>
        <v>https://www.sortlist.co.uk/s/marketing-analytics/united-kingdom-gb</v>
      </c>
      <c r="B29" s="15" t="str">
        <f>IFERROR(__xludf.DUMMYFUNCTION("""COMPUTED_VALUE"""),"The 10 Best Marketing Analytics Companies in The United Kingdom - 2026 Reviews")</f>
        <v>The 10 Best Marketing Analytics Companies in The United Kingdom - 2026 Reviews</v>
      </c>
      <c r="C29" s="14" t="str">
        <f>IFERROR(__xludf.DUMMYFUNCTION("""COMPUTED_VALUE"""),"sortlist.co.uk")</f>
        <v>sortlist.co.uk</v>
      </c>
      <c r="D29" s="15" t="str">
        <f>IFERROR(__xludf.DUMMYFUNCTION("""COMPUTED_VALUE"""),"CATEGORY_PAGE")</f>
        <v>CATEGORY_PAGE</v>
      </c>
      <c r="E29" s="15" t="str">
        <f>IFERROR(__xludf.DUMMYFUNCTION("""COMPUTED_VALUE"""),"REFERENCE")</f>
        <v>REFERENCE</v>
      </c>
      <c r="F29" s="15" t="str">
        <f>IFERROR(__xludf.DUMMYFUNCTION("""COMPUTED_VALUE"""),"Category Page")</f>
        <v>Category Page</v>
      </c>
      <c r="G29" s="15" t="b">
        <f>IFERROR(__xludf.DUMMYFUNCTION("""COMPUTED_VALUE"""),FALSE)</f>
        <v>0</v>
      </c>
      <c r="H29" s="15" t="str">
        <f>IFERROR(__xludf.DUMMYFUNCTION("""COMPUTED_VALUE"""),"McKinsey &amp; Company, Momentum, M3.agency, Found, Ninja Promo, Bird Marketing")</f>
        <v>McKinsey &amp; Company, Momentum, M3.agency, Found, Ninja Promo, Bird Marketing</v>
      </c>
      <c r="I29" s="15">
        <f>IFERROR(__xludf.DUMMYFUNCTION("""COMPUTED_VALUE"""),38.0)</f>
        <v>38</v>
      </c>
      <c r="J29" s="15">
        <f>IFERROR(__xludf.DUMMYFUNCTION("""COMPUTED_VALUE"""),0.04)</f>
        <v>0.04</v>
      </c>
      <c r="K29" s="15">
        <f>IFERROR(__xludf.DUMMYFUNCTION("""COMPUTED_VALUE"""),0.61)</f>
        <v>0.61</v>
      </c>
      <c r="L29" s="15"/>
    </row>
    <row r="30" ht="15.75" customHeight="1">
      <c r="A30" s="14" t="str">
        <f>IFERROR(__xludf.DUMMYFUNCTION("""COMPUTED_VALUE"""),"https://pinpoint-media.global/insights/top-8-paid-media-agencies-in-the-uk")</f>
        <v>https://pinpoint-media.global/insights/top-8-paid-media-agencies-in-the-uk</v>
      </c>
      <c r="B30" s="15" t="str">
        <f>IFERROR(__xludf.DUMMYFUNCTION("""COMPUTED_VALUE"""),"Top 8 Paid Media Agencies in the UK | PinPoint Media")</f>
        <v>Top 8 Paid Media Agencies in the UK | PinPoint Media</v>
      </c>
      <c r="C30" s="15" t="str">
        <f>IFERROR(__xludf.DUMMYFUNCTION("""COMPUTED_VALUE"""),"pinpoint-media.global")</f>
        <v>pinpoint-media.global</v>
      </c>
      <c r="D30" s="15" t="str">
        <f>IFERROR(__xludf.DUMMYFUNCTION("""COMPUTED_VALUE"""),"LISTICLE")</f>
        <v>LISTICLE</v>
      </c>
      <c r="E30" s="15" t="str">
        <f>IFERROR(__xludf.DUMMYFUNCTION("""COMPUTED_VALUE"""),"COMPETITOR")</f>
        <v>COMPETITOR</v>
      </c>
      <c r="F30" s="15" t="str">
        <f>IFERROR(__xludf.DUMMYFUNCTION("""COMPUTED_VALUE"""),"Listicle")</f>
        <v>Listicle</v>
      </c>
      <c r="G30" s="15" t="b">
        <f>IFERROR(__xludf.DUMMYFUNCTION("""COMPUTED_VALUE"""),FALSE)</f>
        <v>0</v>
      </c>
      <c r="H30" s="15" t="str">
        <f>IFERROR(__xludf.DUMMYFUNCTION("""COMPUTED_VALUE"""),"PinPoint Media, The Social Shepherd, Impression, Journey Further, Bind Media, Push")</f>
        <v>PinPoint Media, The Social Shepherd, Impression, Journey Further, Bind Media, Push</v>
      </c>
      <c r="I30" s="15">
        <f>IFERROR(__xludf.DUMMYFUNCTION("""COMPUTED_VALUE"""),37.0)</f>
        <v>37</v>
      </c>
      <c r="J30" s="15">
        <f>IFERROR(__xludf.DUMMYFUNCTION("""COMPUTED_VALUE"""),0.04)</f>
        <v>0.04</v>
      </c>
      <c r="K30" s="15">
        <f>IFERROR(__xludf.DUMMYFUNCTION("""COMPUTED_VALUE"""),1.57)</f>
        <v>1.57</v>
      </c>
      <c r="L30" s="15"/>
    </row>
    <row r="31" ht="15.75" customHeight="1">
      <c r="A31" s="14" t="str">
        <f>IFERROR(__xludf.DUMMYFUNCTION("""COMPUTED_VALUE"""),"https://www.inbeat.co/articles/top-paid-media-agencies-in-the-uk/")</f>
        <v>https://www.inbeat.co/articles/top-paid-media-agencies-in-the-uk/</v>
      </c>
      <c r="B31" s="15" t="str">
        <f>IFERROR(__xludf.DUMMYFUNCTION("""COMPUTED_VALUE"""),"Top 20 Paid Media Agencies in the UK for 2026 and Beyond")</f>
        <v>Top 20 Paid Media Agencies in the UK for 2026 and Beyond</v>
      </c>
      <c r="C31" s="14" t="str">
        <f>IFERROR(__xludf.DUMMYFUNCTION("""COMPUTED_VALUE"""),"inbeat.co")</f>
        <v>inbeat.co</v>
      </c>
      <c r="D31" s="15" t="str">
        <f>IFERROR(__xludf.DUMMYFUNCTION("""COMPUTED_VALUE"""),"LISTICLE")</f>
        <v>LISTICLE</v>
      </c>
      <c r="E31" s="15" t="str">
        <f>IFERROR(__xludf.DUMMYFUNCTION("""COMPUTED_VALUE"""),"CORPORATE")</f>
        <v>CORPORATE</v>
      </c>
      <c r="F31" s="15" t="str">
        <f>IFERROR(__xludf.DUMMYFUNCTION("""COMPUTED_VALUE"""),"Listicle")</f>
        <v>Listicle</v>
      </c>
      <c r="G31" s="15" t="b">
        <f>IFERROR(__xludf.DUMMYFUNCTION("""COMPUTED_VALUE"""),FALSE)</f>
        <v>0</v>
      </c>
      <c r="H31" s="15" t="str">
        <f>IFERROR(__xludf.DUMMYFUNCTION("""COMPUTED_VALUE"""),"inBeat, Impression, Bark London, The Social Shepherd, Clarity Performance, Croud, Found, Disrupt Marketing, Push, PwC")</f>
        <v>inBeat, Impression, Bark London, The Social Shepherd, Clarity Performance, Croud, Found, Disrupt Marketing, Push, PwC</v>
      </c>
      <c r="I31" s="15">
        <f>IFERROR(__xludf.DUMMYFUNCTION("""COMPUTED_VALUE"""),36.0)</f>
        <v>36</v>
      </c>
      <c r="J31" s="15">
        <f>IFERROR(__xludf.DUMMYFUNCTION("""COMPUTED_VALUE"""),0.04)</f>
        <v>0.04</v>
      </c>
      <c r="K31" s="15">
        <f>IFERROR(__xludf.DUMMYFUNCTION("""COMPUTED_VALUE"""),0.42)</f>
        <v>0.42</v>
      </c>
      <c r="L31" s="15"/>
    </row>
    <row r="32" ht="15.75" customHeight="1">
      <c r="A32" s="14" t="str">
        <f>IFERROR(__xludf.DUMMYFUNCTION("""COMPUTED_VALUE"""),"https://thesocialshepherd.com/blog/top-performance-marketing-agencies-uk")</f>
        <v>https://thesocialshepherd.com/blog/top-performance-marketing-agencies-uk</v>
      </c>
      <c r="B32" s="15" t="str">
        <f>IFERROR(__xludf.DUMMYFUNCTION("""COMPUTED_VALUE"""),"The Social Shepherd | Top 13 Performance Marketing Agencies In The UK…")</f>
        <v>The Social Shepherd | Top 13 Performance Marketing Agencies In The UK…</v>
      </c>
      <c r="C32" s="14" t="str">
        <f>IFERROR(__xludf.DUMMYFUNCTION("""COMPUTED_VALUE"""),"thesocialshepherd.com")</f>
        <v>thesocialshepherd.com</v>
      </c>
      <c r="D32" s="15" t="str">
        <f>IFERROR(__xludf.DUMMYFUNCTION("""COMPUTED_VALUE"""),"ARTICLE")</f>
        <v>ARTICLE</v>
      </c>
      <c r="E32" s="15" t="str">
        <f>IFERROR(__xludf.DUMMYFUNCTION("""COMPUTED_VALUE"""),"COMPETITOR")</f>
        <v>COMPETITOR</v>
      </c>
      <c r="F32" s="15" t="str">
        <f>IFERROR(__xludf.DUMMYFUNCTION("""COMPUTED_VALUE"""),"Article")</f>
        <v>Article</v>
      </c>
      <c r="G32" s="15" t="b">
        <f>IFERROR(__xludf.DUMMYFUNCTION("""COMPUTED_VALUE"""),FALSE)</f>
        <v>0</v>
      </c>
      <c r="H32" s="15" t="str">
        <f>IFERROR(__xludf.DUMMYFUNCTION("""COMPUTED_VALUE"""),"The Social Shepherd, 9AM, Gravity Global, Directive Consulting, Gripped, The Brains, The Good Marketer")</f>
        <v>The Social Shepherd, 9AM, Gravity Global, Directive Consulting, Gripped, The Brains, The Good Marketer</v>
      </c>
      <c r="I32" s="15">
        <f>IFERROR(__xludf.DUMMYFUNCTION("""COMPUTED_VALUE"""),36.0)</f>
        <v>36</v>
      </c>
      <c r="J32" s="15">
        <f>IFERROR(__xludf.DUMMYFUNCTION("""COMPUTED_VALUE"""),0.04)</f>
        <v>0.04</v>
      </c>
      <c r="K32" s="15">
        <f>IFERROR(__xludf.DUMMYFUNCTION("""COMPUTED_VALUE"""),0.69)</f>
        <v>0.69</v>
      </c>
      <c r="L32" s="15"/>
    </row>
    <row r="33" ht="15.75" customHeight="1">
      <c r="A33" s="14" t="str">
        <f>IFERROR(__xludf.DUMMYFUNCTION("""COMPUTED_VALUE"""),"https://www.tilio.co.uk/blog/the-top-10-ai-search-agencies-in-the-uk-in-2026")</f>
        <v>https://www.tilio.co.uk/blog/the-top-10-ai-search-agencies-in-the-uk-in-2026</v>
      </c>
      <c r="B33" s="15" t="str">
        <f>IFERROR(__xludf.DUMMYFUNCTION("""COMPUTED_VALUE"""),"The top 10 AI search agencies in the UK in 2026 | Tilio")</f>
        <v>The top 10 AI search agencies in the UK in 2026 | Tilio</v>
      </c>
      <c r="C33" s="14" t="str">
        <f>IFERROR(__xludf.DUMMYFUNCTION("""COMPUTED_VALUE"""),"tilio.co.uk")</f>
        <v>tilio.co.uk</v>
      </c>
      <c r="D33" s="15" t="str">
        <f>IFERROR(__xludf.DUMMYFUNCTION("""COMPUTED_VALUE"""),"LISTICLE")</f>
        <v>LISTICLE</v>
      </c>
      <c r="E33" s="15" t="str">
        <f>IFERROR(__xludf.DUMMYFUNCTION("""COMPUTED_VALUE"""),"COMPETITOR")</f>
        <v>COMPETITOR</v>
      </c>
      <c r="F33" s="15" t="str">
        <f>IFERROR(__xludf.DUMMYFUNCTION("""COMPUTED_VALUE"""),"Listicle")</f>
        <v>Listicle</v>
      </c>
      <c r="G33" s="15" t="b">
        <f>IFERROR(__xludf.DUMMYFUNCTION("""COMPUTED_VALUE"""),FALSE)</f>
        <v>0</v>
      </c>
      <c r="H33" s="15" t="str">
        <f>IFERROR(__xludf.DUMMYFUNCTION("""COMPUTED_VALUE"""),"Tilio, Screaming Frog, Found, Varn, Impression, Blue Array, Passion Digital, The SEO Works, Measured")</f>
        <v>Tilio, Screaming Frog, Found, Varn, Impression, Blue Array, Passion Digital, The SEO Works, Measured</v>
      </c>
      <c r="I33" s="15">
        <f>IFERROR(__xludf.DUMMYFUNCTION("""COMPUTED_VALUE"""),36.0)</f>
        <v>36</v>
      </c>
      <c r="J33" s="15">
        <f>IFERROR(__xludf.DUMMYFUNCTION("""COMPUTED_VALUE"""),0.04)</f>
        <v>0.04</v>
      </c>
      <c r="K33" s="15">
        <f>IFERROR(__xludf.DUMMYFUNCTION("""COMPUTED_VALUE"""),2.39)</f>
        <v>2.39</v>
      </c>
      <c r="L33" s="15"/>
    </row>
    <row r="34" ht="15.75" customHeight="1">
      <c r="A34" s="14" t="str">
        <f>IFERROR(__xludf.DUMMYFUNCTION("""COMPUTED_VALUE"""),"https://firstmotion.com/insights/best-geo-agencies-uk#:~:text=One%20thing%20and%20one%20thing,no%20paid%20media%2C%20nothing%20else.")</f>
        <v>https://firstmotion.com/insights/best-geo-agencies-uk#:~:text=One%20thing%20and%20one%20thing,no%20paid%20media%2C%20nothing%20else.</v>
      </c>
      <c r="B34" s="15" t="str">
        <f>IFERROR(__xludf.DUMMYFUNCTION("""COMPUTED_VALUE"""),"Best UK GEO &amp;amp; AI Search Agencies in 2026 | FirstMotion")</f>
        <v>Best UK GEO &amp;amp; AI Search Agencies in 2026 | FirstMotion</v>
      </c>
      <c r="C34" s="14" t="str">
        <f>IFERROR(__xludf.DUMMYFUNCTION("""COMPUTED_VALUE"""),"firstmotion.com")</f>
        <v>firstmotion.com</v>
      </c>
      <c r="D34" s="15" t="str">
        <f>IFERROR(__xludf.DUMMYFUNCTION("""COMPUTED_VALUE"""),"LISTICLE")</f>
        <v>LISTICLE</v>
      </c>
      <c r="E34" s="15" t="str">
        <f>IFERROR(__xludf.DUMMYFUNCTION("""COMPUTED_VALUE"""),"COMPETITOR")</f>
        <v>COMPETITOR</v>
      </c>
      <c r="F34" s="15" t="str">
        <f>IFERROR(__xludf.DUMMYFUNCTION("""COMPUTED_VALUE"""),"Listicle")</f>
        <v>Listicle</v>
      </c>
      <c r="G34" s="15" t="b">
        <f>IFERROR(__xludf.DUMMYFUNCTION("""COMPUTED_VALUE"""),FALSE)</f>
        <v>0</v>
      </c>
      <c r="H34" s="15" t="str">
        <f>IFERROR(__xludf.DUMMYFUNCTION("""COMPUTED_VALUE"""),"FirstMotion, Rank4AI, Found, Impression, Passion Digital, Measured, Blue Array, Tilio, Varn, Buried Agency, ClickSlice")</f>
        <v>FirstMotion, Rank4AI, Found, Impression, Passion Digital, Measured, Blue Array, Tilio, Varn, Buried Agency, ClickSlice</v>
      </c>
      <c r="I34" s="15">
        <f>IFERROR(__xludf.DUMMYFUNCTION("""COMPUTED_VALUE"""),35.0)</f>
        <v>35</v>
      </c>
      <c r="J34" s="15">
        <f>IFERROR(__xludf.DUMMYFUNCTION("""COMPUTED_VALUE"""),0.03)</f>
        <v>0.03</v>
      </c>
      <c r="K34" s="15">
        <f>IFERROR(__xludf.DUMMYFUNCTION("""COMPUTED_VALUE"""),1.83)</f>
        <v>1.83</v>
      </c>
      <c r="L34" s="15"/>
    </row>
    <row r="35" ht="15.75" customHeight="1">
      <c r="A35" s="14" t="str">
        <f>IFERROR(__xludf.DUMMYFUNCTION("""COMPUTED_VALUE"""),"https://www.consultico.co.uk/articles/best-ppc-agencies-uk#:~:text=Its%20track%20record%20spans%20large,automation%20depth%20and%20consistent%20results.")</f>
        <v>https://www.consultico.co.uk/articles/best-ppc-agencies-uk#:~:text=Its%20track%20record%20spans%20large,automation%20depth%20and%20consistent%20results.</v>
      </c>
      <c r="B35" s="15" t="str">
        <f>IFERROR(__xludf.DUMMYFUNCTION("""COMPUTED_VALUE"""),"Best PPC Agencies in the UK (2026): 7 Top Companies Compared | Consultico")</f>
        <v>Best PPC Agencies in the UK (2026): 7 Top Companies Compared | Consultico</v>
      </c>
      <c r="C35" s="14" t="str">
        <f>IFERROR(__xludf.DUMMYFUNCTION("""COMPUTED_VALUE"""),"consultico.co.uk")</f>
        <v>consultico.co.uk</v>
      </c>
      <c r="D35" s="15" t="str">
        <f>IFERROR(__xludf.DUMMYFUNCTION("""COMPUTED_VALUE"""),"OTHER")</f>
        <v>OTHER</v>
      </c>
      <c r="E35" s="15" t="str">
        <f>IFERROR(__xludf.DUMMYFUNCTION("""COMPUTED_VALUE"""),"CORPORATE")</f>
        <v>CORPORATE</v>
      </c>
      <c r="F35" s="15" t="str">
        <f>IFERROR(__xludf.DUMMYFUNCTION("""COMPUTED_VALUE"""),"Other")</f>
        <v>Other</v>
      </c>
      <c r="G35" s="15" t="b">
        <f>IFERROR(__xludf.DUMMYFUNCTION("""COMPUTED_VALUE"""),FALSE)</f>
        <v>0</v>
      </c>
      <c r="H35" s="15" t="str">
        <f>IFERROR(__xludf.DUMMYFUNCTION("""COMPUTED_VALUE"""),"Jellyfish, Croud, Push, Push Group")</f>
        <v>Jellyfish, Croud, Push, Push Group</v>
      </c>
      <c r="I35" s="15">
        <f>IFERROR(__xludf.DUMMYFUNCTION("""COMPUTED_VALUE"""),34.0)</f>
        <v>34</v>
      </c>
      <c r="J35" s="15">
        <f>IFERROR(__xludf.DUMMYFUNCTION("""COMPUTED_VALUE"""),0.03)</f>
        <v>0.03</v>
      </c>
      <c r="K35" s="15">
        <f>IFERROR(__xludf.DUMMYFUNCTION("""COMPUTED_VALUE"""),1.03)</f>
        <v>1.03</v>
      </c>
      <c r="L35" s="15"/>
    </row>
    <row r="36" ht="15.75" customHeight="1">
      <c r="A36" s="14" t="str">
        <f>IFERROR(__xludf.DUMMYFUNCTION("""COMPUTED_VALUE"""),"https://grizzle.io/blog/best-content-marketing-agencies-uk")</f>
        <v>https://grizzle.io/blog/best-content-marketing-agencies-uk</v>
      </c>
      <c r="B36" s="15" t="str">
        <f>IFERROR(__xludf.DUMMYFUNCTION("""COMPUTED_VALUE"""),"Best content marketing agencies in the UK")</f>
        <v>Best content marketing agencies in the UK</v>
      </c>
      <c r="C36" s="14" t="str">
        <f>IFERROR(__xludf.DUMMYFUNCTION("""COMPUTED_VALUE"""),"grizzle.io")</f>
        <v>grizzle.io</v>
      </c>
      <c r="D36" s="15" t="str">
        <f>IFERROR(__xludf.DUMMYFUNCTION("""COMPUTED_VALUE"""),"LISTICLE")</f>
        <v>LISTICLE</v>
      </c>
      <c r="E36" s="15" t="str">
        <f>IFERROR(__xludf.DUMMYFUNCTION("""COMPUTED_VALUE"""),"OTHER")</f>
        <v>OTHER</v>
      </c>
      <c r="F36" s="15" t="str">
        <f>IFERROR(__xludf.DUMMYFUNCTION("""COMPUTED_VALUE"""),"Listicle")</f>
        <v>Listicle</v>
      </c>
      <c r="G36" s="15" t="b">
        <f>IFERROR(__xludf.DUMMYFUNCTION("""COMPUTED_VALUE"""),FALSE)</f>
        <v>0</v>
      </c>
      <c r="H36" s="15" t="str">
        <f>IFERROR(__xludf.DUMMYFUNCTION("""COMPUTED_VALUE"""),"ClickSlice, Brainlabs, Rise at Seven, Croud, Siege Media, Measured, Tinuiti, Found")</f>
        <v>ClickSlice, Brainlabs, Rise at Seven, Croud, Siege Media, Measured, Tinuiti, Found</v>
      </c>
      <c r="I36" s="15">
        <f>IFERROR(__xludf.DUMMYFUNCTION("""COMPUTED_VALUE"""),34.0)</f>
        <v>34</v>
      </c>
      <c r="J36" s="15">
        <f>IFERROR(__xludf.DUMMYFUNCTION("""COMPUTED_VALUE"""),0.03)</f>
        <v>0.03</v>
      </c>
      <c r="K36" s="15">
        <f>IFERROR(__xludf.DUMMYFUNCTION("""COMPUTED_VALUE"""),0.82)</f>
        <v>0.82</v>
      </c>
      <c r="L36" s="15"/>
    </row>
    <row r="37" ht="15.75" customHeight="1">
      <c r="A37" s="14" t="str">
        <f>IFERROR(__xludf.DUMMYFUNCTION("""COMPUTED_VALUE"""),"https://sunnypatel.co.uk/blog/best-aeo-agencies/")</f>
        <v>https://sunnypatel.co.uk/blog/best-aeo-agencies/</v>
      </c>
      <c r="B37" s="15" t="str">
        <f>IFERROR(__xludf.DUMMYFUNCTION("""COMPUTED_VALUE"""),"Best AEO Agencies UK 2026 — AI Search &amp;amp; GEO Specialists | Sunny Patel")</f>
        <v>Best AEO Agencies UK 2026 — AI Search &amp;amp; GEO Specialists | Sunny Patel</v>
      </c>
      <c r="C37" s="14" t="str">
        <f>IFERROR(__xludf.DUMMYFUNCTION("""COMPUTED_VALUE"""),"sunnypatel.co.uk")</f>
        <v>sunnypatel.co.uk</v>
      </c>
      <c r="D37" s="15" t="str">
        <f>IFERROR(__xludf.DUMMYFUNCTION("""COMPUTED_VALUE"""),"PROFILE")</f>
        <v>PROFILE</v>
      </c>
      <c r="E37" s="15" t="str">
        <f>IFERROR(__xludf.DUMMYFUNCTION("""COMPUTED_VALUE"""),"CORPORATE")</f>
        <v>CORPORATE</v>
      </c>
      <c r="F37" s="15" t="str">
        <f>IFERROR(__xludf.DUMMYFUNCTION("""COMPUTED_VALUE"""),"Profile")</f>
        <v>Profile</v>
      </c>
      <c r="G37" s="15" t="b">
        <f>IFERROR(__xludf.DUMMYFUNCTION("""COMPUTED_VALUE"""),FALSE)</f>
        <v>0</v>
      </c>
      <c r="H37" s="15" t="str">
        <f>IFERROR(__xludf.DUMMYFUNCTION("""COMPUTED_VALUE"""),"Rise at Seven, Builtvisible, Impression, The SEO Works")</f>
        <v>Rise at Seven, Builtvisible, Impression, The SEO Works</v>
      </c>
      <c r="I37" s="15">
        <f>IFERROR(__xludf.DUMMYFUNCTION("""COMPUTED_VALUE"""),34.0)</f>
        <v>34</v>
      </c>
      <c r="J37" s="15">
        <f>IFERROR(__xludf.DUMMYFUNCTION("""COMPUTED_VALUE"""),0.03)</f>
        <v>0.03</v>
      </c>
      <c r="K37" s="15">
        <f>IFERROR(__xludf.DUMMYFUNCTION("""COMPUTED_VALUE"""),0.38)</f>
        <v>0.38</v>
      </c>
      <c r="L37" s="15"/>
    </row>
    <row r="38" ht="15.75" customHeight="1">
      <c r="A38" s="14" t="str">
        <f>IFERROR(__xludf.DUMMYFUNCTION("""COMPUTED_VALUE"""),"https://thesocialshepherd.com/blog/top-paid-social-agencies-uk")</f>
        <v>https://thesocialshepherd.com/blog/top-paid-social-agencies-uk</v>
      </c>
      <c r="B38" s="15" t="str">
        <f>IFERROR(__xludf.DUMMYFUNCTION("""COMPUTED_VALUE"""),"The Social Shepherd | Top 13 Paid Social Agencies In The UK (2026)")</f>
        <v>The Social Shepherd | Top 13 Paid Social Agencies In The UK (2026)</v>
      </c>
      <c r="C38" s="14" t="str">
        <f>IFERROR(__xludf.DUMMYFUNCTION("""COMPUTED_VALUE"""),"thesocialshepherd.com")</f>
        <v>thesocialshepherd.com</v>
      </c>
      <c r="D38" s="15" t="str">
        <f>IFERROR(__xludf.DUMMYFUNCTION("""COMPUTED_VALUE"""),"LISTICLE")</f>
        <v>LISTICLE</v>
      </c>
      <c r="E38" s="15" t="str">
        <f>IFERROR(__xludf.DUMMYFUNCTION("""COMPUTED_VALUE"""),"COMPETITOR")</f>
        <v>COMPETITOR</v>
      </c>
      <c r="F38" s="15" t="str">
        <f>IFERROR(__xludf.DUMMYFUNCTION("""COMPUTED_VALUE"""),"Listicle")</f>
        <v>Listicle</v>
      </c>
      <c r="G38" s="15" t="b">
        <f>IFERROR(__xludf.DUMMYFUNCTION("""COMPUTED_VALUE"""),FALSE)</f>
        <v>0</v>
      </c>
      <c r="H38" s="15" t="str">
        <f>IFERROR(__xludf.DUMMYFUNCTION("""COMPUTED_VALUE"""),"The Social Shepherd, Gripped, The Good Marketer, Found, The Brains, Clarity Performance")</f>
        <v>The Social Shepherd, Gripped, The Good Marketer, Found, The Brains, Clarity Performance</v>
      </c>
      <c r="I38" s="15">
        <f>IFERROR(__xludf.DUMMYFUNCTION("""COMPUTED_VALUE"""),34.0)</f>
        <v>34</v>
      </c>
      <c r="J38" s="15">
        <f>IFERROR(__xludf.DUMMYFUNCTION("""COMPUTED_VALUE"""),0.03)</f>
        <v>0.03</v>
      </c>
      <c r="K38" s="15">
        <f>IFERROR(__xludf.DUMMYFUNCTION("""COMPUTED_VALUE"""),1.09)</f>
        <v>1.09</v>
      </c>
      <c r="L38" s="15"/>
    </row>
    <row r="39" ht="15.75" customHeight="1">
      <c r="A39" s="14" t="str">
        <f>IFERROR(__xludf.DUMMYFUNCTION("""COMPUTED_VALUE"""),"https://www.influencer-hero.com/blogs/top-paid-advertising-agencies-in-the-united-kingdom")</f>
        <v>https://www.influencer-hero.com/blogs/top-paid-advertising-agencies-in-the-united-kingdom</v>
      </c>
      <c r="B39" s="15" t="str">
        <f>IFERROR(__xludf.DUMMYFUNCTION("""COMPUTED_VALUE"""),"Top 10 Paid Advertising Agencies in the United Kingdom")</f>
        <v>Top 10 Paid Advertising Agencies in the United Kingdom</v>
      </c>
      <c r="C39" s="14" t="str">
        <f>IFERROR(__xludf.DUMMYFUNCTION("""COMPUTED_VALUE"""),"influencer-hero.com")</f>
        <v>influencer-hero.com</v>
      </c>
      <c r="D39" s="15" t="str">
        <f>IFERROR(__xludf.DUMMYFUNCTION("""COMPUTED_VALUE"""),"LISTICLE")</f>
        <v>LISTICLE</v>
      </c>
      <c r="E39" s="15" t="str">
        <f>IFERROR(__xludf.DUMMYFUNCTION("""COMPUTED_VALUE"""),"CORPORATE")</f>
        <v>CORPORATE</v>
      </c>
      <c r="F39" s="15" t="str">
        <f>IFERROR(__xludf.DUMMYFUNCTION("""COMPUTED_VALUE"""),"Listicle")</f>
        <v>Listicle</v>
      </c>
      <c r="G39" s="15" t="b">
        <f>IFERROR(__xludf.DUMMYFUNCTION("""COMPUTED_VALUE"""),FALSE)</f>
        <v>0</v>
      </c>
      <c r="H39" s="15" t="str">
        <f>IFERROR(__xludf.DUMMYFUNCTION("""COMPUTED_VALUE"""),"The Social Shepherd, Vivify Agency, Manifest Group, Clarity Performance, Croud, Impression, Disrupt Marketing")</f>
        <v>The Social Shepherd, Vivify Agency, Manifest Group, Clarity Performance, Croud, Impression, Disrupt Marketing</v>
      </c>
      <c r="I39" s="15">
        <f>IFERROR(__xludf.DUMMYFUNCTION("""COMPUTED_VALUE"""),33.0)</f>
        <v>33</v>
      </c>
      <c r="J39" s="15">
        <f>IFERROR(__xludf.DUMMYFUNCTION("""COMPUTED_VALUE"""),0.03)</f>
        <v>0.03</v>
      </c>
      <c r="K39" s="15">
        <f>IFERROR(__xludf.DUMMYFUNCTION("""COMPUTED_VALUE"""),0.39)</f>
        <v>0.39</v>
      </c>
      <c r="L39" s="15"/>
    </row>
    <row r="40" ht="15.75" customHeight="1">
      <c r="A40" s="14" t="str">
        <f>IFERROR(__xludf.DUMMYFUNCTION("""COMPUTED_VALUE"""),"https://digitalagencynetwork.com/agencies/london/ai-marketing/")</f>
        <v>https://digitalagencynetwork.com/agencies/london/ai-marketing/</v>
      </c>
      <c r="B40" s="15" t="str">
        <f>IFERROR(__xludf.DUMMYFUNCTION("""COMPUTED_VALUE"""),"Top AI Marketing Agencies in London (2026)")</f>
        <v>Top AI Marketing Agencies in London (2026)</v>
      </c>
      <c r="C40" s="14" t="str">
        <f>IFERROR(__xludf.DUMMYFUNCTION("""COMPUTED_VALUE"""),"digitalagencynetwork.com")</f>
        <v>digitalagencynetwork.com</v>
      </c>
      <c r="D40" s="15" t="str">
        <f>IFERROR(__xludf.DUMMYFUNCTION("""COMPUTED_VALUE"""),"CATEGORY_PAGE")</f>
        <v>CATEGORY_PAGE</v>
      </c>
      <c r="E40" s="15" t="str">
        <f>IFERROR(__xludf.DUMMYFUNCTION("""COMPUTED_VALUE"""),"REFERENCE")</f>
        <v>REFERENCE</v>
      </c>
      <c r="F40" s="15" t="str">
        <f>IFERROR(__xludf.DUMMYFUNCTION("""COMPUTED_VALUE"""),"Category Page")</f>
        <v>Category Page</v>
      </c>
      <c r="G40" s="15" t="b">
        <f>IFERROR(__xludf.DUMMYFUNCTION("""COMPUTED_VALUE"""),FALSE)</f>
        <v>0</v>
      </c>
      <c r="H40" s="15" t="str">
        <f>IFERROR(__xludf.DUMMYFUNCTION("""COMPUTED_VALUE"""),"Favoured, Propeller, FirstMotion, Ninja Promo, Bird Marketing, Found, Make Agency, ROAST, GA Agency")</f>
        <v>Favoured, Propeller, FirstMotion, Ninja Promo, Bird Marketing, Found, Make Agency, ROAST, GA Agency</v>
      </c>
      <c r="I40" s="15">
        <f>IFERROR(__xludf.DUMMYFUNCTION("""COMPUTED_VALUE"""),32.0)</f>
        <v>32</v>
      </c>
      <c r="J40" s="15">
        <f>IFERROR(__xludf.DUMMYFUNCTION("""COMPUTED_VALUE"""),0.03)</f>
        <v>0.03</v>
      </c>
      <c r="K40" s="15">
        <f>IFERROR(__xludf.DUMMYFUNCTION("""COMPUTED_VALUE"""),0.31)</f>
        <v>0.31</v>
      </c>
      <c r="L40" s="15"/>
    </row>
    <row r="41" ht="15.75" customHeight="1">
      <c r="A41" s="14" t="str">
        <f>IFERROR(__xludf.DUMMYFUNCTION("""COMPUTED_VALUE"""),"https://nautilusmarketing.co.uk/top-15-paid-media-agencies-in-the-uk-2026/#:~:text=B2B%20technology%20sales.-,Impression,Tiles%2C%20and%20Cancer%20Research%20UK.")</f>
        <v>https://nautilusmarketing.co.uk/top-15-paid-media-agencies-in-the-uk-2026/#:~:text=B2B%20technology%20sales.-,Impression,Tiles%2C%20and%20Cancer%20Research%20UK.</v>
      </c>
      <c r="B41" s="15" t="str">
        <f>IFERROR(__xludf.DUMMYFUNCTION("""COMPUTED_VALUE"""),"Top 15 Paid Media Agencies in the UK (2026)")</f>
        <v>Top 15 Paid Media Agencies in the UK (2026)</v>
      </c>
      <c r="C41" s="14" t="str">
        <f>IFERROR(__xludf.DUMMYFUNCTION("""COMPUTED_VALUE"""),"nautilusmarketing.co.uk")</f>
        <v>nautilusmarketing.co.uk</v>
      </c>
      <c r="D41" s="15" t="str">
        <f>IFERROR(__xludf.DUMMYFUNCTION("""COMPUTED_VALUE"""),"LISTICLE")</f>
        <v>LISTICLE</v>
      </c>
      <c r="E41" s="15" t="str">
        <f>IFERROR(__xludf.DUMMYFUNCTION("""COMPUTED_VALUE"""),"CORPORATE")</f>
        <v>CORPORATE</v>
      </c>
      <c r="F41" s="15" t="str">
        <f>IFERROR(__xludf.DUMMYFUNCTION("""COMPUTED_VALUE"""),"Listicle")</f>
        <v>Listicle</v>
      </c>
      <c r="G41" s="15" t="b">
        <f>IFERROR(__xludf.DUMMYFUNCTION("""COMPUTED_VALUE"""),FALSE)</f>
        <v>0</v>
      </c>
      <c r="H41"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41" s="15">
        <f>IFERROR(__xludf.DUMMYFUNCTION("""COMPUTED_VALUE"""),32.0)</f>
        <v>32</v>
      </c>
      <c r="J41" s="15">
        <f>IFERROR(__xludf.DUMMYFUNCTION("""COMPUTED_VALUE"""),0.03)</f>
        <v>0.03</v>
      </c>
      <c r="K41" s="15">
        <f>IFERROR(__xludf.DUMMYFUNCTION("""COMPUTED_VALUE"""),0.94)</f>
        <v>0.94</v>
      </c>
      <c r="L41" s="15"/>
    </row>
    <row r="42" ht="15.75" customHeight="1">
      <c r="A42" s="14" t="str">
        <f>IFERROR(__xludf.DUMMYFUNCTION("""COMPUTED_VALUE"""),"https://www.designrush.com/agency/creative-agencies/uk")</f>
        <v>https://www.designrush.com/agency/creative-agencies/uk</v>
      </c>
      <c r="B42" s="15" t="str">
        <f>IFERROR(__xludf.DUMMYFUNCTION("""COMPUTED_VALUE"""),"Top Creative Agencies in the United Kingdom | 2026")</f>
        <v>Top Creative Agencies in the United Kingdom | 2026</v>
      </c>
      <c r="C42" s="14" t="str">
        <f>IFERROR(__xludf.DUMMYFUNCTION("""COMPUTED_VALUE"""),"designrush.com")</f>
        <v>designrush.com</v>
      </c>
      <c r="D42" s="15" t="str">
        <f>IFERROR(__xludf.DUMMYFUNCTION("""COMPUTED_VALUE"""),"CATEGORY_PAGE")</f>
        <v>CATEGORY_PAGE</v>
      </c>
      <c r="E42" s="15" t="str">
        <f>IFERROR(__xludf.DUMMYFUNCTION("""COMPUTED_VALUE"""),"CORPORATE")</f>
        <v>CORPORATE</v>
      </c>
      <c r="F42" s="15" t="str">
        <f>IFERROR(__xludf.DUMMYFUNCTION("""COMPUTED_VALUE"""),"Category Page")</f>
        <v>Category Page</v>
      </c>
      <c r="G42" s="15" t="b">
        <f>IFERROR(__xludf.DUMMYFUNCTION("""COMPUTED_VALUE"""),FALSE)</f>
        <v>0</v>
      </c>
      <c r="H42" s="15" t="str">
        <f>IFERROR(__xludf.DUMMYFUNCTION("""COMPUTED_VALUE"""),"Huge, Directive Consulting")</f>
        <v>Huge, Directive Consulting</v>
      </c>
      <c r="I42" s="15">
        <f>IFERROR(__xludf.DUMMYFUNCTION("""COMPUTED_VALUE"""),31.0)</f>
        <v>31</v>
      </c>
      <c r="J42" s="15">
        <f>IFERROR(__xludf.DUMMYFUNCTION("""COMPUTED_VALUE"""),0.03)</f>
        <v>0.03</v>
      </c>
      <c r="K42" s="15">
        <f>IFERROR(__xludf.DUMMYFUNCTION("""COMPUTED_VALUE"""),0.03)</f>
        <v>0.03</v>
      </c>
      <c r="L42" s="15"/>
    </row>
    <row r="43" ht="15.75" customHeight="1">
      <c r="A43" s="14" t="str">
        <f>IFERROR(__xludf.DUMMYFUNCTION("""COMPUTED_VALUE"""),"https://inbeat.agency/blog/top-performance-marketing-agencies-london")</f>
        <v>https://inbeat.agency/blog/top-performance-marketing-agencies-london</v>
      </c>
      <c r="B43" s="15" t="str">
        <f>IFERROR(__xludf.DUMMYFUNCTION("""COMPUTED_VALUE"""),"Top 31 Performance Marketing Agencies in London as of 2026 - inBeat Agency")</f>
        <v>Top 31 Performance Marketing Agencies in London as of 2026 - inBeat Agency</v>
      </c>
      <c r="C43" s="15" t="str">
        <f>IFERROR(__xludf.DUMMYFUNCTION("""COMPUTED_VALUE"""),"inbeat.agency")</f>
        <v>inbeat.agency</v>
      </c>
      <c r="D43" s="15" t="str">
        <f>IFERROR(__xludf.DUMMYFUNCTION("""COMPUTED_VALUE"""),"LISTICLE")</f>
        <v>LISTICLE</v>
      </c>
      <c r="E43" s="15" t="str">
        <f>IFERROR(__xludf.DUMMYFUNCTION("""COMPUTED_VALUE"""),"COMPETITOR")</f>
        <v>COMPETITOR</v>
      </c>
      <c r="F43" s="15" t="str">
        <f>IFERROR(__xludf.DUMMYFUNCTION("""COMPUTED_VALUE"""),"Listicle")</f>
        <v>Listicle</v>
      </c>
      <c r="G43" s="15" t="b">
        <f>IFERROR(__xludf.DUMMYFUNCTION("""COMPUTED_VALUE"""),FALSE)</f>
        <v>0</v>
      </c>
      <c r="H43" s="15" t="str">
        <f>IFERROR(__xludf.DUMMYFUNCTION("""COMPUTED_VALUE"""),"inBeat, Nielsen, The Brains, The Social Shepherd, Triple Whale, Northbeam, PMG, Momentum, Push, Push Group, Found, Passion Digital, NP Digital, Hallam, Huge")</f>
        <v>inBeat, Nielsen, The Brains, The Social Shepherd, Triple Whale, Northbeam, PMG, Momentum, Push, Push Group, Found, Passion Digital, NP Digital, Hallam, Huge</v>
      </c>
      <c r="I43" s="15">
        <f>IFERROR(__xludf.DUMMYFUNCTION("""COMPUTED_VALUE"""),31.0)</f>
        <v>31</v>
      </c>
      <c r="J43" s="15">
        <f>IFERROR(__xludf.DUMMYFUNCTION("""COMPUTED_VALUE"""),0.03)</f>
        <v>0.03</v>
      </c>
      <c r="K43" s="15">
        <f>IFERROR(__xludf.DUMMYFUNCTION("""COMPUTED_VALUE"""),0.97)</f>
        <v>0.97</v>
      </c>
      <c r="L43" s="15"/>
    </row>
    <row r="44" ht="15.75" customHeight="1">
      <c r="A44" s="14" t="str">
        <f>IFERROR(__xludf.DUMMYFUNCTION("""COMPUTED_VALUE"""),"https://www.sortlist.co.uk/s/marketing-analytics/london-england-gb")</f>
        <v>https://www.sortlist.co.uk/s/marketing-analytics/london-england-gb</v>
      </c>
      <c r="B44" s="15" t="str">
        <f>IFERROR(__xludf.DUMMYFUNCTION("""COMPUTED_VALUE"""),"The 10 Best Marketing Analytics Companies in London - 2026 Reviews")</f>
        <v>The 10 Best Marketing Analytics Companies in London - 2026 Reviews</v>
      </c>
      <c r="C44" s="14" t="str">
        <f>IFERROR(__xludf.DUMMYFUNCTION("""COMPUTED_VALUE"""),"sortlist.co.uk")</f>
        <v>sortlist.co.uk</v>
      </c>
      <c r="D44" s="15" t="str">
        <f>IFERROR(__xludf.DUMMYFUNCTION("""COMPUTED_VALUE"""),"LISTICLE")</f>
        <v>LISTICLE</v>
      </c>
      <c r="E44" s="15" t="str">
        <f>IFERROR(__xludf.DUMMYFUNCTION("""COMPUTED_VALUE"""),"REFERENCE")</f>
        <v>REFERENCE</v>
      </c>
      <c r="F44" s="15" t="str">
        <f>IFERROR(__xludf.DUMMYFUNCTION("""COMPUTED_VALUE"""),"Listicle")</f>
        <v>Listicle</v>
      </c>
      <c r="G44" s="15" t="b">
        <f>IFERROR(__xludf.DUMMYFUNCTION("""COMPUTED_VALUE"""),FALSE)</f>
        <v>0</v>
      </c>
      <c r="H44" s="15" t="str">
        <f>IFERROR(__xludf.DUMMYFUNCTION("""COMPUTED_VALUE"""),"Momentum, M3.agency, Whitehat, McKinsey &amp; Company, Found")</f>
        <v>Momentum, M3.agency, Whitehat, McKinsey &amp; Company, Found</v>
      </c>
      <c r="I44" s="15">
        <f>IFERROR(__xludf.DUMMYFUNCTION("""COMPUTED_VALUE"""),31.0)</f>
        <v>31</v>
      </c>
      <c r="J44" s="15">
        <f>IFERROR(__xludf.DUMMYFUNCTION("""COMPUTED_VALUE"""),0.03)</f>
        <v>0.03</v>
      </c>
      <c r="K44" s="15">
        <f>IFERROR(__xludf.DUMMYFUNCTION("""COMPUTED_VALUE"""),0.1)</f>
        <v>0.1</v>
      </c>
      <c r="L44" s="15"/>
    </row>
    <row r="45" ht="15.75" customHeight="1">
      <c r="A45" s="14" t="str">
        <f>IFERROR(__xludf.DUMMYFUNCTION("""COMPUTED_VALUE"""),"https://bind.media/insights/top-9-paid-social-agencies-in-the-uk-2025")</f>
        <v>https://bind.media/insights/top-9-paid-social-agencies-in-the-uk-2025</v>
      </c>
      <c r="B45" s="15" t="str">
        <f>IFERROR(__xludf.DUMMYFUNCTION("""COMPUTED_VALUE"""),"Top 9 Paid Social Agencies in the UK [2025]")</f>
        <v>Top 9 Paid Social Agencies in the UK [2025]</v>
      </c>
      <c r="C45" s="15" t="str">
        <f>IFERROR(__xludf.DUMMYFUNCTION("""COMPUTED_VALUE"""),"bind.media")</f>
        <v>bind.media</v>
      </c>
      <c r="D45" s="15" t="str">
        <f>IFERROR(__xludf.DUMMYFUNCTION("""COMPUTED_VALUE"""),"LISTICLE")</f>
        <v>LISTICLE</v>
      </c>
      <c r="E45" s="15" t="str">
        <f>IFERROR(__xludf.DUMMYFUNCTION("""COMPUTED_VALUE"""),"COMPETITOR")</f>
        <v>COMPETITOR</v>
      </c>
      <c r="F45" s="15" t="str">
        <f>IFERROR(__xludf.DUMMYFUNCTION("""COMPUTED_VALUE"""),"Listicle")</f>
        <v>Listicle</v>
      </c>
      <c r="G45" s="15" t="b">
        <f>IFERROR(__xludf.DUMMYFUNCTION("""COMPUTED_VALUE"""),FALSE)</f>
        <v>0</v>
      </c>
      <c r="H45" s="15" t="str">
        <f>IFERROR(__xludf.DUMMYFUNCTION("""COMPUTED_VALUE"""),"Bind Media, Measured, Hallam, We Are Social, The Social Shepherd, Croud, The Good Marketer")</f>
        <v>Bind Media, Measured, Hallam, We Are Social, The Social Shepherd, Croud, The Good Marketer</v>
      </c>
      <c r="I45" s="15">
        <f>IFERROR(__xludf.DUMMYFUNCTION("""COMPUTED_VALUE"""),30.0)</f>
        <v>30</v>
      </c>
      <c r="J45" s="15">
        <f>IFERROR(__xludf.DUMMYFUNCTION("""COMPUTED_VALUE"""),0.03)</f>
        <v>0.03</v>
      </c>
      <c r="K45" s="15">
        <f>IFERROR(__xludf.DUMMYFUNCTION("""COMPUTED_VALUE"""),1.8)</f>
        <v>1.8</v>
      </c>
      <c r="L45" s="15"/>
    </row>
    <row r="46" ht="15.75" customHeight="1">
      <c r="A46" s="14" t="str">
        <f>IFERROR(__xludf.DUMMYFUNCTION("""COMPUTED_VALUE"""),"https://disruptmarketing.co/blog/best-social-media-marketing-agencies/")</f>
        <v>https://disruptmarketing.co/blog/best-social-media-marketing-agencies/</v>
      </c>
      <c r="B46" s="15" t="str">
        <f>IFERROR(__xludf.DUMMYFUNCTION("""COMPUTED_VALUE"""),"Best Social Media Agencies in the UK (2026) | Disrupt")</f>
        <v>Best Social Media Agencies in the UK (2026) | Disrupt</v>
      </c>
      <c r="C46" s="14" t="str">
        <f>IFERROR(__xludf.DUMMYFUNCTION("""COMPUTED_VALUE"""),"disruptmarketing.co")</f>
        <v>disruptmarketing.co</v>
      </c>
      <c r="D46" s="15" t="str">
        <f>IFERROR(__xludf.DUMMYFUNCTION("""COMPUTED_VALUE"""),"LISTICLE")</f>
        <v>LISTICLE</v>
      </c>
      <c r="E46" s="15" t="str">
        <f>IFERROR(__xludf.DUMMYFUNCTION("""COMPUTED_VALUE"""),"COMPETITOR")</f>
        <v>COMPETITOR</v>
      </c>
      <c r="F46" s="15" t="str">
        <f>IFERROR(__xludf.DUMMYFUNCTION("""COMPUTED_VALUE"""),"Listicle")</f>
        <v>Listicle</v>
      </c>
      <c r="G46" s="15" t="b">
        <f>IFERROR(__xludf.DUMMYFUNCTION("""COMPUTED_VALUE"""),FALSE)</f>
        <v>0</v>
      </c>
      <c r="H46" s="15" t="str">
        <f>IFERROR(__xludf.DUMMYFUNCTION("""COMPUTED_VALUE"""),"Disrupt Marketing, We Are Social, Found, Social Chain, Born Social, Croud, Ogilvy, Saatchi &amp; Saatchi, Publicis Groupe, The Social Shepherd, WPP, Measured")</f>
        <v>Disrupt Marketing, We Are Social, Found, Social Chain, Born Social, Croud, Ogilvy, Saatchi &amp; Saatchi, Publicis Groupe, The Social Shepherd, WPP, Measured</v>
      </c>
      <c r="I46" s="15">
        <f>IFERROR(__xludf.DUMMYFUNCTION("""COMPUTED_VALUE"""),30.0)</f>
        <v>30</v>
      </c>
      <c r="J46" s="15">
        <f>IFERROR(__xludf.DUMMYFUNCTION("""COMPUTED_VALUE"""),0.03)</f>
        <v>0.03</v>
      </c>
      <c r="K46" s="15">
        <f>IFERROR(__xludf.DUMMYFUNCTION("""COMPUTED_VALUE"""),0.87)</f>
        <v>0.87</v>
      </c>
      <c r="L46" s="15"/>
    </row>
    <row r="47" ht="15.75" customHeight="1">
      <c r="A47" s="14" t="str">
        <f>IFERROR(__xludf.DUMMYFUNCTION("""COMPUTED_VALUE"""),"https://thesocialshepherd.com/blog/paid-media-agencies-uk")</f>
        <v>https://thesocialshepherd.com/blog/paid-media-agencies-uk</v>
      </c>
      <c r="B47" s="15" t="str">
        <f>IFERROR(__xludf.DUMMYFUNCTION("""COMPUTED_VALUE"""),"The Social Shepherd | Top 13 Paid Media Agencies In The UK (2026)")</f>
        <v>The Social Shepherd | Top 13 Paid Media Agencies In The UK (2026)</v>
      </c>
      <c r="C47" s="14" t="str">
        <f>IFERROR(__xludf.DUMMYFUNCTION("""COMPUTED_VALUE"""),"thesocialshepherd.com")</f>
        <v>thesocialshepherd.com</v>
      </c>
      <c r="D47" s="15" t="str">
        <f>IFERROR(__xludf.DUMMYFUNCTION("""COMPUTED_VALUE"""),"LISTICLE")</f>
        <v>LISTICLE</v>
      </c>
      <c r="E47" s="15" t="str">
        <f>IFERROR(__xludf.DUMMYFUNCTION("""COMPUTED_VALUE"""),"COMPETITOR")</f>
        <v>COMPETITOR</v>
      </c>
      <c r="F47" s="15" t="str">
        <f>IFERROR(__xludf.DUMMYFUNCTION("""COMPUTED_VALUE"""),"Listicle")</f>
        <v>Listicle</v>
      </c>
      <c r="G47" s="15" t="b">
        <f>IFERROR(__xludf.DUMMYFUNCTION("""COMPUTED_VALUE"""),FALSE)</f>
        <v>0</v>
      </c>
      <c r="H47" s="15" t="str">
        <f>IFERROR(__xludf.DUMMYFUNCTION("""COMPUTED_VALUE"""),"The Social Shepherd, Croud, Impression, Clarity Performance, Soap Media, 9AM, Disrupt Marketing")</f>
        <v>The Social Shepherd, Croud, Impression, Clarity Performance, Soap Media, 9AM, Disrupt Marketing</v>
      </c>
      <c r="I47" s="15">
        <f>IFERROR(__xludf.DUMMYFUNCTION("""COMPUTED_VALUE"""),30.0)</f>
        <v>30</v>
      </c>
      <c r="J47" s="15">
        <f>IFERROR(__xludf.DUMMYFUNCTION("""COMPUTED_VALUE"""),0.03)</f>
        <v>0.03</v>
      </c>
      <c r="K47" s="15">
        <f>IFERROR(__xludf.DUMMYFUNCTION("""COMPUTED_VALUE"""),2.5)</f>
        <v>2.5</v>
      </c>
      <c r="L47" s="15"/>
    </row>
    <row r="48" ht="15.75" customHeight="1">
      <c r="A48" s="14" t="str">
        <f>IFERROR(__xludf.DUMMYFUNCTION("""COMPUTED_VALUE"""),"https://ensun.io/search/marketing-analytics/united-kingdom")</f>
        <v>https://ensun.io/search/marketing-analytics/united-kingdom</v>
      </c>
      <c r="B48" s="15" t="str">
        <f>IFERROR(__xludf.DUMMYFUNCTION("""COMPUTED_VALUE"""),"Top 0 Marketing Analytics Companies in United Kingdom (2026) \| ensun")</f>
        <v>Top 0 Marketing Analytics Companies in United Kingdom (2026) \| ensun</v>
      </c>
      <c r="C48" s="14" t="str">
        <f>IFERROR(__xludf.DUMMYFUNCTION("""COMPUTED_VALUE"""),"ensun.io")</f>
        <v>ensun.io</v>
      </c>
      <c r="D48" s="15" t="str">
        <f>IFERROR(__xludf.DUMMYFUNCTION("""COMPUTED_VALUE"""),"CATEGORY_PAGE")</f>
        <v>CATEGORY_PAGE</v>
      </c>
      <c r="E48" s="15" t="str">
        <f>IFERROR(__xludf.DUMMYFUNCTION("""COMPUTED_VALUE"""),"OTHER")</f>
        <v>OTHER</v>
      </c>
      <c r="F48" s="15" t="str">
        <f>IFERROR(__xludf.DUMMYFUNCTION("""COMPUTED_VALUE"""),"Category Page")</f>
        <v>Category Page</v>
      </c>
      <c r="G48" s="15" t="b">
        <f>IFERROR(__xludf.DUMMYFUNCTION("""COMPUTED_VALUE"""),FALSE)</f>
        <v>0</v>
      </c>
      <c r="H48" s="15"/>
      <c r="I48" s="15">
        <f>IFERROR(__xludf.DUMMYFUNCTION("""COMPUTED_VALUE"""),29.0)</f>
        <v>29</v>
      </c>
      <c r="J48" s="15">
        <f>IFERROR(__xludf.DUMMYFUNCTION("""COMPUTED_VALUE"""),0.03)</f>
        <v>0.03</v>
      </c>
      <c r="K48" s="15">
        <f>IFERROR(__xludf.DUMMYFUNCTION("""COMPUTED_VALUE"""),0.72)</f>
        <v>0.72</v>
      </c>
      <c r="L48" s="15"/>
    </row>
    <row r="49" ht="15.75" customHeight="1">
      <c r="A49" s="14" t="str">
        <f>IFERROR(__xludf.DUMMYFUNCTION("""COMPUTED_VALUE"""),"https://www.pushgroup.co.uk/blog/top-9-geo-agencies-in-the-uk")</f>
        <v>https://www.pushgroup.co.uk/blog/top-9-geo-agencies-in-the-uk</v>
      </c>
      <c r="B49" s="15" t="str">
        <f>IFERROR(__xludf.DUMMYFUNCTION("""COMPUTED_VALUE"""),"Top 9 GEO Agencies UK (2026): Reviewed &amp;amp; Compared | PUSH Group")</f>
        <v>Top 9 GEO Agencies UK (2026): Reviewed &amp;amp; Compared | PUSH Group</v>
      </c>
      <c r="C49" s="14" t="str">
        <f>IFERROR(__xludf.DUMMYFUNCTION("""COMPUTED_VALUE"""),"pushgroup.co.uk")</f>
        <v>pushgroup.co.uk</v>
      </c>
      <c r="D49" s="15" t="str">
        <f>IFERROR(__xludf.DUMMYFUNCTION("""COMPUTED_VALUE"""),"LISTICLE")</f>
        <v>LISTICLE</v>
      </c>
      <c r="E49" s="15" t="str">
        <f>IFERROR(__xludf.DUMMYFUNCTION("""COMPUTED_VALUE"""),"COMPETITOR")</f>
        <v>COMPETITOR</v>
      </c>
      <c r="F49" s="15" t="str">
        <f>IFERROR(__xludf.DUMMYFUNCTION("""COMPUTED_VALUE"""),"Listicle")</f>
        <v>Listicle</v>
      </c>
      <c r="G49" s="15" t="b">
        <f>IFERROR(__xludf.DUMMYFUNCTION("""COMPUTED_VALUE"""),FALSE)</f>
        <v>0</v>
      </c>
      <c r="H49" s="15" t="str">
        <f>IFERROR(__xludf.DUMMYFUNCTION("""COMPUTED_VALUE"""),"Push, Push Group, Found, Propellernet, Builtvisible, Charle Agency, Blue Array, Passion Digital, Impression, Disrupt Marketing, Measured")</f>
        <v>Push, Push Group, Found, Propellernet, Builtvisible, Charle Agency, Blue Array, Passion Digital, Impression, Disrupt Marketing, Measured</v>
      </c>
      <c r="I49" s="15">
        <f>IFERROR(__xludf.DUMMYFUNCTION("""COMPUTED_VALUE"""),29.0)</f>
        <v>29</v>
      </c>
      <c r="J49" s="15">
        <f>IFERROR(__xludf.DUMMYFUNCTION("""COMPUTED_VALUE"""),0.03)</f>
        <v>0.03</v>
      </c>
      <c r="K49" s="15">
        <f>IFERROR(__xludf.DUMMYFUNCTION("""COMPUTED_VALUE"""),0.76)</f>
        <v>0.76</v>
      </c>
      <c r="L49" s="15"/>
    </row>
    <row r="50" ht="15.75" customHeight="1">
      <c r="A50" s="14" t="str">
        <f>IFERROR(__xludf.DUMMYFUNCTION("""COMPUTED_VALUE"""),"https://aeoagency.co.uk/top-aeo-agencies-uk-list/")</f>
        <v>https://aeoagency.co.uk/top-aeo-agencies-uk-list/</v>
      </c>
      <c r="B50" s="15" t="str">
        <f>IFERROR(__xludf.DUMMYFUNCTION("""COMPUTED_VALUE"""),"Top AEO Agencies in the UK | 2026 &amp;amp; Beyond")</f>
        <v>Top AEO Agencies in the UK | 2026 &amp;amp; Beyond</v>
      </c>
      <c r="C50" s="14" t="str">
        <f>IFERROR(__xludf.DUMMYFUNCTION("""COMPUTED_VALUE"""),"aeoagency.co.uk")</f>
        <v>aeoagency.co.uk</v>
      </c>
      <c r="D50" s="15" t="str">
        <f>IFERROR(__xludf.DUMMYFUNCTION("""COMPUTED_VALUE"""),"LISTICLE")</f>
        <v>LISTICLE</v>
      </c>
      <c r="E50" s="15" t="str">
        <f>IFERROR(__xludf.DUMMYFUNCTION("""COMPUTED_VALUE"""),"CORPORATE")</f>
        <v>CORPORATE</v>
      </c>
      <c r="F50" s="15" t="str">
        <f>IFERROR(__xludf.DUMMYFUNCTION("""COMPUTED_VALUE"""),"Listicle")</f>
        <v>Listicle</v>
      </c>
      <c r="G50" s="15" t="b">
        <f>IFERROR(__xludf.DUMMYFUNCTION("""COMPUTED_VALUE"""),FALSE)</f>
        <v>0</v>
      </c>
      <c r="H50" s="15" t="str">
        <f>IFERROR(__xludf.DUMMYFUNCTION("""COMPUTED_VALUE"""),"Digital Landscope, The SEO Works, Push")</f>
        <v>Digital Landscope, The SEO Works, Push</v>
      </c>
      <c r="I50" s="15">
        <f>IFERROR(__xludf.DUMMYFUNCTION("""COMPUTED_VALUE"""),28.0)</f>
        <v>28</v>
      </c>
      <c r="J50" s="15">
        <f>IFERROR(__xludf.DUMMYFUNCTION("""COMPUTED_VALUE"""),0.03)</f>
        <v>0.03</v>
      </c>
      <c r="K50" s="15">
        <f>IFERROR(__xludf.DUMMYFUNCTION("""COMPUTED_VALUE"""),1.04)</f>
        <v>1.04</v>
      </c>
      <c r="L50" s="15"/>
    </row>
    <row r="51" ht="15.75" customHeight="1">
      <c r="A51" s="14" t="str">
        <f>IFERROR(__xludf.DUMMYFUNCTION("""COMPUTED_VALUE"""),"https://digitalagencynetwork.com/agencies/london/")</f>
        <v>https://digitalagencynetwork.com/agencies/london/</v>
      </c>
      <c r="B51" s="15" t="str">
        <f>IFERROR(__xludf.DUMMYFUNCTION("""COMPUTED_VALUE"""),"Best Digital Marketing Agencies in London (2026)")</f>
        <v>Best Digital Marketing Agencies in London (2026)</v>
      </c>
      <c r="C51" s="14" t="str">
        <f>IFERROR(__xludf.DUMMYFUNCTION("""COMPUTED_VALUE"""),"digitalagencynetwork.com")</f>
        <v>digitalagencynetwork.com</v>
      </c>
      <c r="D51" s="15" t="str">
        <f>IFERROR(__xludf.DUMMYFUNCTION("""COMPUTED_VALUE"""),"CATEGORY_PAGE")</f>
        <v>CATEGORY_PAGE</v>
      </c>
      <c r="E51" s="15" t="str">
        <f>IFERROR(__xludf.DUMMYFUNCTION("""COMPUTED_VALUE"""),"REFERENCE")</f>
        <v>REFERENCE</v>
      </c>
      <c r="F51" s="15" t="str">
        <f>IFERROR(__xludf.DUMMYFUNCTION("""COMPUTED_VALUE"""),"Category Page")</f>
        <v>Category Page</v>
      </c>
      <c r="G51" s="15" t="b">
        <f>IFERROR(__xludf.DUMMYFUNCTION("""COMPUTED_VALUE"""),FALSE)</f>
        <v>0</v>
      </c>
      <c r="H51" s="15" t="str">
        <f>IFERROR(__xludf.DUMMYFUNCTION("""COMPUTED_VALUE"""),"Favoured, Hallam, Propeller, Make Agency, Bird Marketing, FirstMotion, Impression, GA Agency, Push, Ninja Promo, ROAST, Found, Passion Digital")</f>
        <v>Favoured, Hallam, Propeller, Make Agency, Bird Marketing, FirstMotion, Impression, GA Agency, Push, Ninja Promo, ROAST, Found, Passion Digital</v>
      </c>
      <c r="I51" s="15">
        <f>IFERROR(__xludf.DUMMYFUNCTION("""COMPUTED_VALUE"""),28.0)</f>
        <v>28</v>
      </c>
      <c r="J51" s="15">
        <f>IFERROR(__xludf.DUMMYFUNCTION("""COMPUTED_VALUE"""),0.03)</f>
        <v>0.03</v>
      </c>
      <c r="K51" s="15">
        <f>IFERROR(__xludf.DUMMYFUNCTION("""COMPUTED_VALUE"""),0.29)</f>
        <v>0.29</v>
      </c>
      <c r="L51" s="15"/>
    </row>
    <row r="52" ht="15.75" customHeight="1">
      <c r="A52" s="14" t="str">
        <f>IFERROR(__xludf.DUMMYFUNCTION("""COMPUTED_VALUE"""),"https://www.tilio.co.uk/blog/top-geo-agencies-uk")</f>
        <v>https://www.tilio.co.uk/blog/top-geo-agencies-uk</v>
      </c>
      <c r="B52" s="15" t="str">
        <f>IFERROR(__xludf.DUMMYFUNCTION("""COMPUTED_VALUE"""),"Top 8 GEO agencies in the UK in 2026 | Tilio")</f>
        <v>Top 8 GEO agencies in the UK in 2026 | Tilio</v>
      </c>
      <c r="C52" s="14" t="str">
        <f>IFERROR(__xludf.DUMMYFUNCTION("""COMPUTED_VALUE"""),"tilio.co.uk")</f>
        <v>tilio.co.uk</v>
      </c>
      <c r="D52" s="15" t="str">
        <f>IFERROR(__xludf.DUMMYFUNCTION("""COMPUTED_VALUE"""),"LISTICLE")</f>
        <v>LISTICLE</v>
      </c>
      <c r="E52" s="15" t="str">
        <f>IFERROR(__xludf.DUMMYFUNCTION("""COMPUTED_VALUE"""),"COMPETITOR")</f>
        <v>COMPETITOR</v>
      </c>
      <c r="F52" s="15" t="str">
        <f>IFERROR(__xludf.DUMMYFUNCTION("""COMPUTED_VALUE"""),"Listicle")</f>
        <v>Listicle</v>
      </c>
      <c r="G52" s="15" t="b">
        <f>IFERROR(__xludf.DUMMYFUNCTION("""COMPUTED_VALUE"""),FALSE)</f>
        <v>0</v>
      </c>
      <c r="H52" s="15" t="str">
        <f>IFERROR(__xludf.DUMMYFUNCTION("""COMPUTED_VALUE"""),"Tilio, Screaming Frog, Found, Varn, Impression, Blue Array, The SEO Works")</f>
        <v>Tilio, Screaming Frog, Found, Varn, Impression, Blue Array, The SEO Works</v>
      </c>
      <c r="I52" s="15">
        <f>IFERROR(__xludf.DUMMYFUNCTION("""COMPUTED_VALUE"""),28.0)</f>
        <v>28</v>
      </c>
      <c r="J52" s="15">
        <f>IFERROR(__xludf.DUMMYFUNCTION("""COMPUTED_VALUE"""),0.03)</f>
        <v>0.03</v>
      </c>
      <c r="K52" s="15">
        <f>IFERROR(__xludf.DUMMYFUNCTION("""COMPUTED_VALUE"""),2.04)</f>
        <v>2.04</v>
      </c>
      <c r="L52" s="15"/>
    </row>
    <row r="53" ht="15.75" customHeight="1">
      <c r="A53" s="14" t="str">
        <f>IFERROR(__xludf.DUMMYFUNCTION("""COMPUTED_VALUE"""),"https://www.triplewhale.com/blog/best-incrementality-testing-tools")</f>
        <v>https://www.triplewhale.com/blog/best-incrementality-testing-tools</v>
      </c>
      <c r="B53" s="15" t="str">
        <f>IFERROR(__xludf.DUMMYFUNCTION("""COMPUTED_VALUE"""),"The Best Incrementality Testing Tools for Marketers in 2026 | Triple Whale")</f>
        <v>The Best Incrementality Testing Tools for Marketers in 2026 | Triple Whale</v>
      </c>
      <c r="C53" s="14" t="str">
        <f>IFERROR(__xludf.DUMMYFUNCTION("""COMPUTED_VALUE"""),"triplewhale.com")</f>
        <v>triplewhale.com</v>
      </c>
      <c r="D53" s="15" t="str">
        <f>IFERROR(__xludf.DUMMYFUNCTION("""COMPUTED_VALUE"""),"COMPARISON")</f>
        <v>COMPARISON</v>
      </c>
      <c r="E53" s="15" t="str">
        <f>IFERROR(__xludf.DUMMYFUNCTION("""COMPUTED_VALUE"""),"COMPETITOR")</f>
        <v>COMPETITOR</v>
      </c>
      <c r="F53" s="15" t="str">
        <f>IFERROR(__xludf.DUMMYFUNCTION("""COMPUTED_VALUE"""),"Comparison")</f>
        <v>Comparison</v>
      </c>
      <c r="G53" s="15" t="b">
        <f>IFERROR(__xludf.DUMMYFUNCTION("""COMPUTED_VALUE"""),FALSE)</f>
        <v>0</v>
      </c>
      <c r="H53" s="15" t="str">
        <f>IFERROR(__xludf.DUMMYFUNCTION("""COMPUTED_VALUE"""),"Triple Whale, Haus, Measured")</f>
        <v>Triple Whale, Haus, Measured</v>
      </c>
      <c r="I53" s="15">
        <f>IFERROR(__xludf.DUMMYFUNCTION("""COMPUTED_VALUE"""),28.0)</f>
        <v>28</v>
      </c>
      <c r="J53" s="15">
        <f>IFERROR(__xludf.DUMMYFUNCTION("""COMPUTED_VALUE"""),0.03)</f>
        <v>0.03</v>
      </c>
      <c r="K53" s="15">
        <f>IFERROR(__xludf.DUMMYFUNCTION("""COMPUTED_VALUE"""),0.46)</f>
        <v>0.46</v>
      </c>
      <c r="L53" s="15"/>
    </row>
    <row r="54" ht="15.75" customHeight="1">
      <c r="A54" s="14" t="str">
        <f>IFERROR(__xludf.DUMMYFUNCTION("""COMPUTED_VALUE"""),"https://www.cometly.com/post/marketing-incrementality-testing-tools")</f>
        <v>https://www.cometly.com/post/marketing-incrementality-testing-tools</v>
      </c>
      <c r="B54" s="15" t="str">
        <f>IFERROR(__xludf.DUMMYFUNCTION("""COMPUTED_VALUE"""),"9 Best Marketing Incrementality Testing Tools 2026")</f>
        <v>9 Best Marketing Incrementality Testing Tools 2026</v>
      </c>
      <c r="C54" s="14" t="str">
        <f>IFERROR(__xludf.DUMMYFUNCTION("""COMPUTED_VALUE"""),"cometly.com")</f>
        <v>cometly.com</v>
      </c>
      <c r="D54" s="15" t="str">
        <f>IFERROR(__xludf.DUMMYFUNCTION("""COMPUTED_VALUE"""),"LISTICLE")</f>
        <v>LISTICLE</v>
      </c>
      <c r="E54" s="15" t="str">
        <f>IFERROR(__xludf.DUMMYFUNCTION("""COMPUTED_VALUE"""),"COMPETITOR")</f>
        <v>COMPETITOR</v>
      </c>
      <c r="F54" s="15" t="str">
        <f>IFERROR(__xludf.DUMMYFUNCTION("""COMPUTED_VALUE"""),"Listicle")</f>
        <v>Listicle</v>
      </c>
      <c r="G54" s="15" t="b">
        <f>IFERROR(__xludf.DUMMYFUNCTION("""COMPUTED_VALUE"""),FALSE)</f>
        <v>0</v>
      </c>
      <c r="H54" s="15" t="str">
        <f>IFERROR(__xludf.DUMMYFUNCTION("""COMPUTED_VALUE"""),"Cometly, Measured, Rockerbox, Northbeam, Haus, Recast, Impression")</f>
        <v>Cometly, Measured, Rockerbox, Northbeam, Haus, Recast, Impression</v>
      </c>
      <c r="I54" s="15">
        <f>IFERROR(__xludf.DUMMYFUNCTION("""COMPUTED_VALUE"""),27.0)</f>
        <v>27</v>
      </c>
      <c r="J54" s="15">
        <f>IFERROR(__xludf.DUMMYFUNCTION("""COMPUTED_VALUE"""),0.03)</f>
        <v>0.03</v>
      </c>
      <c r="K54" s="15">
        <f>IFERROR(__xludf.DUMMYFUNCTION("""COMPUTED_VALUE"""),1.04)</f>
        <v>1.04</v>
      </c>
      <c r="L54" s="15"/>
    </row>
    <row r="55" ht="15.75" customHeight="1">
      <c r="A55" s="14" t="str">
        <f>IFERROR(__xludf.DUMMYFUNCTION("""COMPUTED_VALUE"""),"https://digitalagencynetwork.com/agencies/uk/")</f>
        <v>https://digitalagencynetwork.com/agencies/uk/</v>
      </c>
      <c r="B55" s="15" t="str">
        <f>IFERROR(__xludf.DUMMYFUNCTION("""COMPUTED_VALUE"""),"Best Digital Marketing Agencies in the UK | Digital Agency Network")</f>
        <v>Best Digital Marketing Agencies in the UK | Digital Agency Network</v>
      </c>
      <c r="C55" s="14" t="str">
        <f>IFERROR(__xludf.DUMMYFUNCTION("""COMPUTED_VALUE"""),"digitalagencynetwork.com")</f>
        <v>digitalagencynetwork.com</v>
      </c>
      <c r="D55" s="15" t="str">
        <f>IFERROR(__xludf.DUMMYFUNCTION("""COMPUTED_VALUE"""),"CATEGORY_PAGE")</f>
        <v>CATEGORY_PAGE</v>
      </c>
      <c r="E55" s="15" t="str">
        <f>IFERROR(__xludf.DUMMYFUNCTION("""COMPUTED_VALUE"""),"REFERENCE")</f>
        <v>REFERENCE</v>
      </c>
      <c r="F55" s="15" t="str">
        <f>IFERROR(__xludf.DUMMYFUNCTION("""COMPUTED_VALUE"""),"Category Page")</f>
        <v>Category Page</v>
      </c>
      <c r="G55" s="15" t="b">
        <f>IFERROR(__xludf.DUMMYFUNCTION("""COMPUTED_VALUE"""),FALSE)</f>
        <v>0</v>
      </c>
      <c r="H55" s="15" t="str">
        <f>IFERROR(__xludf.DUMMYFUNCTION("""COMPUTED_VALUE"""),"Favoured, Propeller, FirstMotion, The SEO Works, Hallam, Anicca Digital, ROAST, Found, Make Agency, Ninja Promo, Bird Marketing, Push, M3.agency, GA Agency")</f>
        <v>Favoured, Propeller, FirstMotion, The SEO Works, Hallam, Anicca Digital, ROAST, Found, Make Agency, Ninja Promo, Bird Marketing, Push, M3.agency, GA Agency</v>
      </c>
      <c r="I55" s="15">
        <f>IFERROR(__xludf.DUMMYFUNCTION("""COMPUTED_VALUE"""),27.0)</f>
        <v>27</v>
      </c>
      <c r="J55" s="15">
        <f>IFERROR(__xludf.DUMMYFUNCTION("""COMPUTED_VALUE"""),0.03)</f>
        <v>0.03</v>
      </c>
      <c r="K55" s="15">
        <f>IFERROR(__xludf.DUMMYFUNCTION("""COMPUTED_VALUE"""),0.37)</f>
        <v>0.37</v>
      </c>
      <c r="L55" s="15"/>
    </row>
    <row r="56" ht="15.75" customHeight="1">
      <c r="A56" s="14" t="str">
        <f>IFERROR(__xludf.DUMMYFUNCTION("""COMPUTED_VALUE"""),"https://www.hunterlodge.co.uk/ai-visibility-research/insights/top-ai-visibility-agencies-in-the-uk/")</f>
        <v>https://www.hunterlodge.co.uk/ai-visibility-research/insights/top-ai-visibility-agencies-in-the-uk/</v>
      </c>
      <c r="B56" s="15" t="str">
        <f>IFERROR(__xludf.DUMMYFUNCTION("""COMPUTED_VALUE"""),"Top AI Visibility Agencies in the UK - Hunterlodge")</f>
        <v>Top AI Visibility Agencies in the UK - Hunterlodge</v>
      </c>
      <c r="C56" s="14" t="str">
        <f>IFERROR(__xludf.DUMMYFUNCTION("""COMPUTED_VALUE"""),"hunterlodge.co.uk")</f>
        <v>hunterlodge.co.uk</v>
      </c>
      <c r="D56" s="15" t="str">
        <f>IFERROR(__xludf.DUMMYFUNCTION("""COMPUTED_VALUE"""),"COMPARISON")</f>
        <v>COMPARISON</v>
      </c>
      <c r="E56" s="15" t="str">
        <f>IFERROR(__xludf.DUMMYFUNCTION("""COMPUTED_VALUE"""),"CORPORATE")</f>
        <v>CORPORATE</v>
      </c>
      <c r="F56" s="15" t="str">
        <f>IFERROR(__xludf.DUMMYFUNCTION("""COMPUTED_VALUE"""),"Comparison")</f>
        <v>Comparison</v>
      </c>
      <c r="G56" s="15" t="b">
        <f>IFERROR(__xludf.DUMMYFUNCTION("""COMPUTED_VALUE"""),FALSE)</f>
        <v>0</v>
      </c>
      <c r="H56" s="15" t="str">
        <f>IFERROR(__xludf.DUMMYFUNCTION("""COMPUTED_VALUE"""),"ClickSlice, Found, Hallam, Blue Array, Exposure Ninja, Measured, Buried Agency")</f>
        <v>ClickSlice, Found, Hallam, Blue Array, Exposure Ninja, Measured, Buried Agency</v>
      </c>
      <c r="I56" s="15">
        <f>IFERROR(__xludf.DUMMYFUNCTION("""COMPUTED_VALUE"""),27.0)</f>
        <v>27</v>
      </c>
      <c r="J56" s="15">
        <f>IFERROR(__xludf.DUMMYFUNCTION("""COMPUTED_VALUE"""),0.03)</f>
        <v>0.03</v>
      </c>
      <c r="K56" s="15">
        <f>IFERROR(__xludf.DUMMYFUNCTION("""COMPUTED_VALUE"""),0.63)</f>
        <v>0.63</v>
      </c>
      <c r="L56" s="15"/>
    </row>
    <row r="57" ht="15.75" customHeight="1">
      <c r="A57" s="14" t="str">
        <f>IFERROR(__xludf.DUMMYFUNCTION("""COMPUTED_VALUE"""),"https://www.munro.agency/ai-marketing-agency/")</f>
        <v>https://www.munro.agency/ai-marketing-agency/</v>
      </c>
      <c r="B57" s="15" t="str">
        <f>IFERROR(__xludf.DUMMYFUNCTION("""COMPUTED_VALUE"""),"10 Best AI Marketing Agencies in the UK for 2026")</f>
        <v>10 Best AI Marketing Agencies in the UK for 2026</v>
      </c>
      <c r="C57" s="15" t="str">
        <f>IFERROR(__xludf.DUMMYFUNCTION("""COMPUTED_VALUE"""),"munro.agency")</f>
        <v>munro.agency</v>
      </c>
      <c r="D57" s="15" t="str">
        <f>IFERROR(__xludf.DUMMYFUNCTION("""COMPUTED_VALUE"""),"LISTICLE")</f>
        <v>LISTICLE</v>
      </c>
      <c r="E57" s="15" t="str">
        <f>IFERROR(__xludf.DUMMYFUNCTION("""COMPUTED_VALUE"""),"CORPORATE")</f>
        <v>CORPORATE</v>
      </c>
      <c r="F57" s="15" t="str">
        <f>IFERROR(__xludf.DUMMYFUNCTION("""COMPUTED_VALUE"""),"Listicle")</f>
        <v>Listicle</v>
      </c>
      <c r="G57" s="15" t="b">
        <f>IFERROR(__xludf.DUMMYFUNCTION("""COMPUTED_VALUE"""),FALSE)</f>
        <v>0</v>
      </c>
      <c r="H57" s="15" t="str">
        <f>IFERROR(__xludf.DUMMYFUNCTION("""COMPUTED_VALUE"""),"Hallam, Favoured, Propeller, Disrupt Marketing")</f>
        <v>Hallam, Favoured, Propeller, Disrupt Marketing</v>
      </c>
      <c r="I57" s="15">
        <f>IFERROR(__xludf.DUMMYFUNCTION("""COMPUTED_VALUE"""),27.0)</f>
        <v>27</v>
      </c>
      <c r="J57" s="15">
        <f>IFERROR(__xludf.DUMMYFUNCTION("""COMPUTED_VALUE"""),0.03)</f>
        <v>0.03</v>
      </c>
      <c r="K57" s="15">
        <f>IFERROR(__xludf.DUMMYFUNCTION("""COMPUTED_VALUE"""),0.59)</f>
        <v>0.59</v>
      </c>
      <c r="L57" s="15"/>
    </row>
    <row r="58" ht="15.75" customHeight="1">
      <c r="A58" s="14" t="str">
        <f>IFERROR(__xludf.DUMMYFUNCTION("""COMPUTED_VALUE"""),"https://www.pushgroup.co.uk/blog/top-9-answer-engine-optimisation-agencies-uk")</f>
        <v>https://www.pushgroup.co.uk/blog/top-9-answer-engine-optimisation-agencies-uk</v>
      </c>
      <c r="B58" s="15" t="str">
        <f>IFERROR(__xludf.DUMMYFUNCTION("""COMPUTED_VALUE"""),"Top 9 Answer Engine Optimisation Agencies UK (2026 Guide) | PUSH Group")</f>
        <v>Top 9 Answer Engine Optimisation Agencies UK (2026 Guide) | PUSH Group</v>
      </c>
      <c r="C58" s="14" t="str">
        <f>IFERROR(__xludf.DUMMYFUNCTION("""COMPUTED_VALUE"""),"pushgroup.co.uk")</f>
        <v>pushgroup.co.uk</v>
      </c>
      <c r="D58" s="15" t="str">
        <f>IFERROR(__xludf.DUMMYFUNCTION("""COMPUTED_VALUE"""),"LISTICLE")</f>
        <v>LISTICLE</v>
      </c>
      <c r="E58" s="15" t="str">
        <f>IFERROR(__xludf.DUMMYFUNCTION("""COMPUTED_VALUE"""),"COMPETITOR")</f>
        <v>COMPETITOR</v>
      </c>
      <c r="F58" s="15" t="str">
        <f>IFERROR(__xludf.DUMMYFUNCTION("""COMPUTED_VALUE"""),"Listicle")</f>
        <v>Listicle</v>
      </c>
      <c r="G58" s="15" t="b">
        <f>IFERROR(__xludf.DUMMYFUNCTION("""COMPUTED_VALUE"""),FALSE)</f>
        <v>0</v>
      </c>
      <c r="H58" s="15" t="str">
        <f>IFERROR(__xludf.DUMMYFUNCTION("""COMPUTED_VALUE"""),"Push, Push Group, Found, The SEO Works, Builtvisible, Dentsu, Impression")</f>
        <v>Push, Push Group, Found, The SEO Works, Builtvisible, Dentsu, Impression</v>
      </c>
      <c r="I58" s="15">
        <f>IFERROR(__xludf.DUMMYFUNCTION("""COMPUTED_VALUE"""),27.0)</f>
        <v>27</v>
      </c>
      <c r="J58" s="15">
        <f>IFERROR(__xludf.DUMMYFUNCTION("""COMPUTED_VALUE"""),0.03)</f>
        <v>0.03</v>
      </c>
      <c r="K58" s="15">
        <f>IFERROR(__xludf.DUMMYFUNCTION("""COMPUTED_VALUE"""),2.11)</f>
        <v>2.11</v>
      </c>
      <c r="L58" s="15"/>
    </row>
    <row r="59" ht="15.75" customHeight="1">
      <c r="A59" s="14" t="str">
        <f>IFERROR(__xludf.DUMMYFUNCTION("""COMPUTED_VALUE"""),"https://www.sortlist.co.uk/s/paid-media/london-england-gb")</f>
        <v>https://www.sortlist.co.uk/s/paid-media/london-england-gb</v>
      </c>
      <c r="B59" s="15" t="str">
        <f>IFERROR(__xludf.DUMMYFUNCTION("""COMPUTED_VALUE"""),"The 10 Best Paid Media Agencies in London - 2026 Reviews")</f>
        <v>The 10 Best Paid Media Agencies in London - 2026 Reviews</v>
      </c>
      <c r="C59" s="14" t="str">
        <f>IFERROR(__xludf.DUMMYFUNCTION("""COMPUTED_VALUE"""),"sortlist.co.uk")</f>
        <v>sortlist.co.uk</v>
      </c>
      <c r="D59" s="15" t="str">
        <f>IFERROR(__xludf.DUMMYFUNCTION("""COMPUTED_VALUE"""),"CATEGORY_PAGE")</f>
        <v>CATEGORY_PAGE</v>
      </c>
      <c r="E59" s="15" t="str">
        <f>IFERROR(__xludf.DUMMYFUNCTION("""COMPUTED_VALUE"""),"REFERENCE")</f>
        <v>REFERENCE</v>
      </c>
      <c r="F59" s="15" t="str">
        <f>IFERROR(__xludf.DUMMYFUNCTION("""COMPUTED_VALUE"""),"Category Page")</f>
        <v>Category Page</v>
      </c>
      <c r="G59" s="15" t="b">
        <f>IFERROR(__xludf.DUMMYFUNCTION("""COMPUTED_VALUE"""),FALSE)</f>
        <v>0</v>
      </c>
      <c r="H59" s="15" t="str">
        <f>IFERROR(__xludf.DUMMYFUNCTION("""COMPUTED_VALUE"""),"Push, Triple Whale, Northbeam, Whitehat, Found")</f>
        <v>Push, Triple Whale, Northbeam, Whitehat, Found</v>
      </c>
      <c r="I59" s="15">
        <f>IFERROR(__xludf.DUMMYFUNCTION("""COMPUTED_VALUE"""),27.0)</f>
        <v>27</v>
      </c>
      <c r="J59" s="15">
        <f>IFERROR(__xludf.DUMMYFUNCTION("""COMPUTED_VALUE"""),0.03)</f>
        <v>0.03</v>
      </c>
      <c r="K59" s="15">
        <f>IFERROR(__xludf.DUMMYFUNCTION("""COMPUTED_VALUE"""),0.26)</f>
        <v>0.26</v>
      </c>
      <c r="L59" s="15"/>
    </row>
    <row r="60" ht="15.75" customHeight="1">
      <c r="A60" s="14" t="str">
        <f>IFERROR(__xludf.DUMMYFUNCTION("""COMPUTED_VALUE"""),"https://www.charle.co.uk/articles/top-ai-seo-agencies/#:~:text=Buried%20Agency%20is%20a%20UK,Google%20AI%20Overviews%2C%20and%20Perplexity.")</f>
        <v>https://www.charle.co.uk/articles/top-ai-seo-agencies/#:~:text=Buried%20Agency%20is%20a%20UK,Google%20AI%20Overviews%2C%20and%20Perplexity.</v>
      </c>
      <c r="B60" s="15" t="str">
        <f>IFERROR(__xludf.DUMMYFUNCTION("""COMPUTED_VALUE"""),"13 Best AI SEO Agencies UK (2026) | Charle")</f>
        <v>13 Best AI SEO Agencies UK (2026) | Charle</v>
      </c>
      <c r="C60" s="14" t="str">
        <f>IFERROR(__xludf.DUMMYFUNCTION("""COMPUTED_VALUE"""),"charle.co.uk")</f>
        <v>charle.co.uk</v>
      </c>
      <c r="D60" s="15" t="str">
        <f>IFERROR(__xludf.DUMMYFUNCTION("""COMPUTED_VALUE"""),"LISTICLE")</f>
        <v>LISTICLE</v>
      </c>
      <c r="E60" s="15" t="str">
        <f>IFERROR(__xludf.DUMMYFUNCTION("""COMPUTED_VALUE"""),"COMPETITOR")</f>
        <v>COMPETITOR</v>
      </c>
      <c r="F60" s="15" t="str">
        <f>IFERROR(__xludf.DUMMYFUNCTION("""COMPUTED_VALUE"""),"Listicle")</f>
        <v>Listicle</v>
      </c>
      <c r="G60" s="15" t="b">
        <f>IFERROR(__xludf.DUMMYFUNCTION("""COMPUTED_VALUE"""),FALSE)</f>
        <v>0</v>
      </c>
      <c r="H60" s="15" t="str">
        <f>IFERROR(__xludf.DUMMYFUNCTION("""COMPUTED_VALUE"""),"Charle Agency, Buried Agency, Impression, Found, Rise at Seven, Exposure Ninja, ClickSlice, Blue Array, Measured")</f>
        <v>Charle Agency, Buried Agency, Impression, Found, Rise at Seven, Exposure Ninja, ClickSlice, Blue Array, Measured</v>
      </c>
      <c r="I60" s="15">
        <f>IFERROR(__xludf.DUMMYFUNCTION("""COMPUTED_VALUE"""),26.0)</f>
        <v>26</v>
      </c>
      <c r="J60" s="15">
        <f>IFERROR(__xludf.DUMMYFUNCTION("""COMPUTED_VALUE"""),0.03)</f>
        <v>0.03</v>
      </c>
      <c r="K60" s="15">
        <f>IFERROR(__xludf.DUMMYFUNCTION("""COMPUTED_VALUE"""),0.73)</f>
        <v>0.73</v>
      </c>
      <c r="L60" s="15"/>
    </row>
    <row r="61" ht="15.75" customHeight="1">
      <c r="A61" s="14" t="str">
        <f>IFERROR(__xludf.DUMMYFUNCTION("""COMPUTED_VALUE"""),"https://clutch.co/agencies/creative/uk")</f>
        <v>https://clutch.co/agencies/creative/uk</v>
      </c>
      <c r="B61" s="15" t="str">
        <f>IFERROR(__xludf.DUMMYFUNCTION("""COMPUTED_VALUE"""),"Top Creative Agencies in the United Kingdom - Jul 2026 Rankings | Clutch.co")</f>
        <v>Top Creative Agencies in the United Kingdom - Jul 2026 Rankings | Clutch.co</v>
      </c>
      <c r="C61" s="14" t="str">
        <f>IFERROR(__xludf.DUMMYFUNCTION("""COMPUTED_VALUE"""),"clutch.co")</f>
        <v>clutch.co</v>
      </c>
      <c r="D61" s="15" t="str">
        <f>IFERROR(__xludf.DUMMYFUNCTION("""COMPUTED_VALUE"""),"CATEGORY_PAGE")</f>
        <v>CATEGORY_PAGE</v>
      </c>
      <c r="E61" s="15" t="str">
        <f>IFERROR(__xludf.DUMMYFUNCTION("""COMPUTED_VALUE"""),"CORPORATE")</f>
        <v>CORPORATE</v>
      </c>
      <c r="F61" s="15" t="str">
        <f>IFERROR(__xludf.DUMMYFUNCTION("""COMPUTED_VALUE"""),"Category Page")</f>
        <v>Category Page</v>
      </c>
      <c r="G61" s="15" t="b">
        <f>IFERROR(__xludf.DUMMYFUNCTION("""COMPUTED_VALUE"""),FALSE)</f>
        <v>0</v>
      </c>
      <c r="H61" s="15" t="str">
        <f>IFERROR(__xludf.DUMMYFUNCTION("""COMPUTED_VALUE"""),"Polaris, Chello, Favoured, Make Agency")</f>
        <v>Polaris, Chello, Favoured, Make Agency</v>
      </c>
      <c r="I61" s="15">
        <f>IFERROR(__xludf.DUMMYFUNCTION("""COMPUTED_VALUE"""),26.0)</f>
        <v>26</v>
      </c>
      <c r="J61" s="15">
        <f>IFERROR(__xludf.DUMMYFUNCTION("""COMPUTED_VALUE"""),0.03)</f>
        <v>0.03</v>
      </c>
      <c r="K61" s="15">
        <f>IFERROR(__xludf.DUMMYFUNCTION("""COMPUTED_VALUE"""),0.31)</f>
        <v>0.31</v>
      </c>
      <c r="L61" s="15"/>
    </row>
    <row r="62" ht="15.75" customHeight="1">
      <c r="A62" s="14" t="str">
        <f>IFERROR(__xludf.DUMMYFUNCTION("""COMPUTED_VALUE"""),"https://eseospace.com/blog/best-aeo-agencies-london-2026/")</f>
        <v>https://eseospace.com/blog/best-aeo-agencies-london-2026/</v>
      </c>
      <c r="B62" s="15" t="str">
        <f>IFERROR(__xludf.DUMMYFUNCTION("""COMPUTED_VALUE"""),"Best AEO Agencies in London in 2026: Top Answer Engine Optimization Experts in the UK - eSEOspace")</f>
        <v>Best AEO Agencies in London in 2026: Top Answer Engine Optimization Experts in the UK - eSEOspace</v>
      </c>
      <c r="C62" s="14" t="str">
        <f>IFERROR(__xludf.DUMMYFUNCTION("""COMPUTED_VALUE"""),"eseospace.com")</f>
        <v>eseospace.com</v>
      </c>
      <c r="D62" s="15" t="str">
        <f>IFERROR(__xludf.DUMMYFUNCTION("""COMPUTED_VALUE"""),"LISTICLE")</f>
        <v>LISTICLE</v>
      </c>
      <c r="E62" s="15" t="str">
        <f>IFERROR(__xludf.DUMMYFUNCTION("""COMPUTED_VALUE"""),"CORPORATE")</f>
        <v>CORPORATE</v>
      </c>
      <c r="F62" s="15" t="str">
        <f>IFERROR(__xludf.DUMMYFUNCTION("""COMPUTED_VALUE"""),"Listicle")</f>
        <v>Listicle</v>
      </c>
      <c r="G62" s="15" t="b">
        <f>IFERROR(__xludf.DUMMYFUNCTION("""COMPUTED_VALUE"""),FALSE)</f>
        <v>0</v>
      </c>
      <c r="H62" s="15" t="str">
        <f>IFERROR(__xludf.DUMMYFUNCTION("""COMPUTED_VALUE"""),"Impression, Builtvisible, Rise at Seven, Screaming Frog")</f>
        <v>Impression, Builtvisible, Rise at Seven, Screaming Frog</v>
      </c>
      <c r="I62" s="15">
        <f>IFERROR(__xludf.DUMMYFUNCTION("""COMPUTED_VALUE"""),26.0)</f>
        <v>26</v>
      </c>
      <c r="J62" s="15">
        <f>IFERROR(__xludf.DUMMYFUNCTION("""COMPUTED_VALUE"""),0.03)</f>
        <v>0.03</v>
      </c>
      <c r="K62" s="15">
        <f>IFERROR(__xludf.DUMMYFUNCTION("""COMPUTED_VALUE"""),0.62)</f>
        <v>0.62</v>
      </c>
      <c r="L62" s="15"/>
    </row>
    <row r="63" ht="15.75" customHeight="1">
      <c r="A63" s="14" t="str">
        <f>IFERROR(__xludf.DUMMYFUNCTION("""COMPUTED_VALUE"""),"https://www.found.co.uk/blog/best-aio-ai-optimisation-agencies/")</f>
        <v>https://www.found.co.uk/blog/best-aio-ai-optimisation-agencies/</v>
      </c>
      <c r="B63" s="15" t="str">
        <f>IFERROR(__xludf.DUMMYFUNCTION("""COMPUTED_VALUE"""),"Best AIO (AI Optimisation) Agencies in the UK \| Found")</f>
        <v>Best AIO (AI Optimisation) Agencies in the UK \| Found</v>
      </c>
      <c r="C63" s="14" t="str">
        <f>IFERROR(__xludf.DUMMYFUNCTION("""COMPUTED_VALUE"""),"found.co.uk")</f>
        <v>found.co.uk</v>
      </c>
      <c r="D63" s="15" t="str">
        <f>IFERROR(__xludf.DUMMYFUNCTION("""COMPUTED_VALUE"""),"OTHER")</f>
        <v>OTHER</v>
      </c>
      <c r="E63" s="15" t="str">
        <f>IFERROR(__xludf.DUMMYFUNCTION("""COMPUTED_VALUE"""),"CORPORATE")</f>
        <v>CORPORATE</v>
      </c>
      <c r="F63" s="15" t="str">
        <f>IFERROR(__xludf.DUMMYFUNCTION("""COMPUTED_VALUE"""),"Other")</f>
        <v>Other</v>
      </c>
      <c r="G63" s="15" t="b">
        <f>IFERROR(__xludf.DUMMYFUNCTION("""COMPUTED_VALUE"""),FALSE)</f>
        <v>0</v>
      </c>
      <c r="H63" s="15" t="str">
        <f>IFERROR(__xludf.DUMMYFUNCTION("""COMPUTED_VALUE"""),"Found, Dept, Rise at Seven, Jellyfish, ROAST, Koozai")</f>
        <v>Found, Dept, Rise at Seven, Jellyfish, ROAST, Koozai</v>
      </c>
      <c r="I63" s="15">
        <f>IFERROR(__xludf.DUMMYFUNCTION("""COMPUTED_VALUE"""),26.0)</f>
        <v>26</v>
      </c>
      <c r="J63" s="15">
        <f>IFERROR(__xludf.DUMMYFUNCTION("""COMPUTED_VALUE"""),0.03)</f>
        <v>0.03</v>
      </c>
      <c r="K63" s="15">
        <f>IFERROR(__xludf.DUMMYFUNCTION("""COMPUTED_VALUE"""),1.27)</f>
        <v>1.27</v>
      </c>
      <c r="L63" s="15"/>
    </row>
    <row r="64" ht="15.75" customHeight="1">
      <c r="A64" s="14" t="str">
        <f>IFERROR(__xludf.DUMMYFUNCTION("""COMPUTED_VALUE"""),"https://www.rebootonline.com/paid-media/best-paid-media-agencies/")</f>
        <v>https://www.rebootonline.com/paid-media/best-paid-media-agencies/</v>
      </c>
      <c r="B64" s="15" t="str">
        <f>IFERROR(__xludf.DUMMYFUNCTION("""COMPUTED_VALUE"""),"Best Paid Media Agencies 2026 | Ultimate Top 10 List Ranked &amp;amp; Rated")</f>
        <v>Best Paid Media Agencies 2026 | Ultimate Top 10 List Ranked &amp;amp; Rated</v>
      </c>
      <c r="C64" s="14" t="str">
        <f>IFERROR(__xludf.DUMMYFUNCTION("""COMPUTED_VALUE"""),"rebootonline.com")</f>
        <v>rebootonline.com</v>
      </c>
      <c r="D64" s="15" t="str">
        <f>IFERROR(__xludf.DUMMYFUNCTION("""COMPUTED_VALUE"""),"LISTICLE")</f>
        <v>LISTICLE</v>
      </c>
      <c r="E64" s="15" t="str">
        <f>IFERROR(__xludf.DUMMYFUNCTION("""COMPUTED_VALUE"""),"OTHER")</f>
        <v>OTHER</v>
      </c>
      <c r="F64" s="15" t="str">
        <f>IFERROR(__xludf.DUMMYFUNCTION("""COMPUTED_VALUE"""),"Listicle")</f>
        <v>Listicle</v>
      </c>
      <c r="G64" s="15" t="b">
        <f>IFERROR(__xludf.DUMMYFUNCTION("""COMPUTED_VALUE"""),FALSE)</f>
        <v>0</v>
      </c>
      <c r="H64" s="15" t="str">
        <f>IFERROR(__xludf.DUMMYFUNCTION("""COMPUTED_VALUE"""),"Impression, Disrupt Marketing, NoGood, Tinuiti, Found")</f>
        <v>Impression, Disrupt Marketing, NoGood, Tinuiti, Found</v>
      </c>
      <c r="I64" s="15">
        <f>IFERROR(__xludf.DUMMYFUNCTION("""COMPUTED_VALUE"""),26.0)</f>
        <v>26</v>
      </c>
      <c r="J64" s="15">
        <f>IFERROR(__xludf.DUMMYFUNCTION("""COMPUTED_VALUE"""),0.03)</f>
        <v>0.03</v>
      </c>
      <c r="K64" s="15">
        <f>IFERROR(__xludf.DUMMYFUNCTION("""COMPUTED_VALUE"""),0.23)</f>
        <v>0.23</v>
      </c>
      <c r="L64" s="15"/>
    </row>
    <row r="65" ht="15.75" customHeight="1">
      <c r="A65" s="14" t="str">
        <f>IFERROR(__xludf.DUMMYFUNCTION("""COMPUTED_VALUE"""),"https://www.wildishandco.co.uk/blog/best-creative-agencies")</f>
        <v>https://www.wildishandco.co.uk/blog/best-creative-agencies</v>
      </c>
      <c r="B65" s="15" t="str">
        <f>IFERROR(__xludf.DUMMYFUNCTION("""COMPUTED_VALUE"""),"12 Best Creative Agencies in 2026 | Wildish &amp;amp; Co.")</f>
        <v>12 Best Creative Agencies in 2026 | Wildish &amp;amp; Co.</v>
      </c>
      <c r="C65" s="14" t="str">
        <f>IFERROR(__xludf.DUMMYFUNCTION("""COMPUTED_VALUE"""),"wildishandco.co.uk")</f>
        <v>wildishandco.co.uk</v>
      </c>
      <c r="D65" s="15" t="str">
        <f>IFERROR(__xludf.DUMMYFUNCTION("""COMPUTED_VALUE"""),"LISTICLE")</f>
        <v>LISTICLE</v>
      </c>
      <c r="E65" s="15" t="str">
        <f>IFERROR(__xludf.DUMMYFUNCTION("""COMPUTED_VALUE"""),"CORPORATE")</f>
        <v>CORPORATE</v>
      </c>
      <c r="F65" s="15" t="str">
        <f>IFERROR(__xludf.DUMMYFUNCTION("""COMPUTED_VALUE"""),"Listicle")</f>
        <v>Listicle</v>
      </c>
      <c r="G65" s="15" t="b">
        <f>IFERROR(__xludf.DUMMYFUNCTION("""COMPUTED_VALUE"""),FALSE)</f>
        <v>0</v>
      </c>
      <c r="H65" s="15" t="str">
        <f>IFERROR(__xludf.DUMMYFUNCTION("""COMPUTED_VALUE"""),"Momentum, Push, inBeat")</f>
        <v>Momentum, Push, inBeat</v>
      </c>
      <c r="I65" s="15">
        <f>IFERROR(__xludf.DUMMYFUNCTION("""COMPUTED_VALUE"""),26.0)</f>
        <v>26</v>
      </c>
      <c r="J65" s="15">
        <f>IFERROR(__xludf.DUMMYFUNCTION("""COMPUTED_VALUE"""),0.03)</f>
        <v>0.03</v>
      </c>
      <c r="K65" s="15">
        <f>IFERROR(__xludf.DUMMYFUNCTION("""COMPUTED_VALUE"""),0.69)</f>
        <v>0.69</v>
      </c>
      <c r="L65" s="15"/>
    </row>
    <row r="66" ht="15.75" customHeight="1">
      <c r="A66" s="14" t="str">
        <f>IFERROR(__xludf.DUMMYFUNCTION("""COMPUTED_VALUE"""),"https://agencies.semrush.com/list/ai-optimization/london-city/")</f>
        <v>https://agencies.semrush.com/list/ai-optimization/london-city/</v>
      </c>
      <c r="B66" s="15" t="str">
        <f>IFERROR(__xludf.DUMMYFUNCTION("""COMPUTED_VALUE"""),"Best AI Search Optimization Agencies in London 2026 | Semrush")</f>
        <v>Best AI Search Optimization Agencies in London 2026 | Semrush</v>
      </c>
      <c r="C66" s="14" t="str">
        <f>IFERROR(__xludf.DUMMYFUNCTION("""COMPUTED_VALUE"""),"semrush.com")</f>
        <v>semrush.com</v>
      </c>
      <c r="D66" s="15" t="str">
        <f>IFERROR(__xludf.DUMMYFUNCTION("""COMPUTED_VALUE"""),"CATEGORY_PAGE")</f>
        <v>CATEGORY_PAGE</v>
      </c>
      <c r="E66" s="15" t="str">
        <f>IFERROR(__xludf.DUMMYFUNCTION("""COMPUTED_VALUE"""),"CORPORATE")</f>
        <v>CORPORATE</v>
      </c>
      <c r="F66" s="15" t="str">
        <f>IFERROR(__xludf.DUMMYFUNCTION("""COMPUTED_VALUE"""),"Category Page")</f>
        <v>Category Page</v>
      </c>
      <c r="G66" s="15" t="b">
        <f>IFERROR(__xludf.DUMMYFUNCTION("""COMPUTED_VALUE"""),FALSE)</f>
        <v>0</v>
      </c>
      <c r="H66" s="15" t="str">
        <f>IFERROR(__xludf.DUMMYFUNCTION("""COMPUTED_VALUE"""),"Found, Measured, Passion Digital, The SEO Works, Gravity Global, ROAST")</f>
        <v>Found, Measured, Passion Digital, The SEO Works, Gravity Global, ROAST</v>
      </c>
      <c r="I66" s="15">
        <f>IFERROR(__xludf.DUMMYFUNCTION("""COMPUTED_VALUE"""),25.0)</f>
        <v>25</v>
      </c>
      <c r="J66" s="15">
        <f>IFERROR(__xludf.DUMMYFUNCTION("""COMPUTED_VALUE"""),0.02)</f>
        <v>0.02</v>
      </c>
      <c r="K66" s="15">
        <f>IFERROR(__xludf.DUMMYFUNCTION("""COMPUTED_VALUE"""),0.16)</f>
        <v>0.16</v>
      </c>
      <c r="L66" s="15"/>
    </row>
    <row r="67" ht="15.75" customHeight="1">
      <c r="A67" s="14" t="str">
        <f>IFERROR(__xludf.DUMMYFUNCTION("""COMPUTED_VALUE"""),"https://agencies.semrush.com/list/ai-optimization/united-kingdom/")</f>
        <v>https://agencies.semrush.com/list/ai-optimization/united-kingdom/</v>
      </c>
      <c r="B67" s="15" t="str">
        <f>IFERROR(__xludf.DUMMYFUNCTION("""COMPUTED_VALUE"""),"Best AI Search Optimization Agencies in United Kingdom 2026 | Semrush")</f>
        <v>Best AI Search Optimization Agencies in United Kingdom 2026 | Semrush</v>
      </c>
      <c r="C67" s="14" t="str">
        <f>IFERROR(__xludf.DUMMYFUNCTION("""COMPUTED_VALUE"""),"semrush.com")</f>
        <v>semrush.com</v>
      </c>
      <c r="D67" s="15" t="str">
        <f>IFERROR(__xludf.DUMMYFUNCTION("""COMPUTED_VALUE"""),"CATEGORY_PAGE")</f>
        <v>CATEGORY_PAGE</v>
      </c>
      <c r="E67" s="15" t="str">
        <f>IFERROR(__xludf.DUMMYFUNCTION("""COMPUTED_VALUE"""),"CORPORATE")</f>
        <v>CORPORATE</v>
      </c>
      <c r="F67" s="15" t="str">
        <f>IFERROR(__xludf.DUMMYFUNCTION("""COMPUTED_VALUE"""),"Category Page")</f>
        <v>Category Page</v>
      </c>
      <c r="G67" s="15" t="b">
        <f>IFERROR(__xludf.DUMMYFUNCTION("""COMPUTED_VALUE"""),FALSE)</f>
        <v>0</v>
      </c>
      <c r="H67" s="15" t="str">
        <f>IFERROR(__xludf.DUMMYFUNCTION("""COMPUTED_VALUE"""),"Found, Measured, Click Intelligence, Passion Digital, The SEO Works, Gravity Global, ROAST, Huge")</f>
        <v>Found, Measured, Click Intelligence, Passion Digital, The SEO Works, Gravity Global, ROAST, Huge</v>
      </c>
      <c r="I67" s="15">
        <f>IFERROR(__xludf.DUMMYFUNCTION("""COMPUTED_VALUE"""),25.0)</f>
        <v>25</v>
      </c>
      <c r="J67" s="15">
        <f>IFERROR(__xludf.DUMMYFUNCTION("""COMPUTED_VALUE"""),0.02)</f>
        <v>0.02</v>
      </c>
      <c r="K67" s="15">
        <f>IFERROR(__xludf.DUMMYFUNCTION("""COMPUTED_VALUE"""),0.0)</f>
        <v>0</v>
      </c>
      <c r="L67" s="15"/>
    </row>
    <row r="68" ht="15.75" customHeight="1">
      <c r="A68" s="14" t="str">
        <f>IFERROR(__xludf.DUMMYFUNCTION("""COMPUTED_VALUE"""),"https://agencies.semrush.com/list/display-advertising/london-city/")</f>
        <v>https://agencies.semrush.com/list/display-advertising/london-city/</v>
      </c>
      <c r="B68" s="15" t="str">
        <f>IFERROR(__xludf.DUMMYFUNCTION("""COMPUTED_VALUE"""),"Best Display Ads Agencies in London 2026 | Semrush")</f>
        <v>Best Display Ads Agencies in London 2026 | Semrush</v>
      </c>
      <c r="C68" s="14" t="str">
        <f>IFERROR(__xludf.DUMMYFUNCTION("""COMPUTED_VALUE"""),"semrush.com")</f>
        <v>semrush.com</v>
      </c>
      <c r="D68" s="15" t="str">
        <f>IFERROR(__xludf.DUMMYFUNCTION("""COMPUTED_VALUE"""),"CATEGORY_PAGE")</f>
        <v>CATEGORY_PAGE</v>
      </c>
      <c r="E68" s="15" t="str">
        <f>IFERROR(__xludf.DUMMYFUNCTION("""COMPUTED_VALUE"""),"CORPORATE")</f>
        <v>CORPORATE</v>
      </c>
      <c r="F68" s="15" t="str">
        <f>IFERROR(__xludf.DUMMYFUNCTION("""COMPUTED_VALUE"""),"Category Page")</f>
        <v>Category Page</v>
      </c>
      <c r="G68" s="15" t="b">
        <f>IFERROR(__xludf.DUMMYFUNCTION("""COMPUTED_VALUE"""),FALSE)</f>
        <v>0</v>
      </c>
      <c r="H68" s="15" t="str">
        <f>IFERROR(__xludf.DUMMYFUNCTION("""COMPUTED_VALUE"""),"Passion Digital, GA Agency, The SEO Works, ROAST, Found")</f>
        <v>Passion Digital, GA Agency, The SEO Works, ROAST, Found</v>
      </c>
      <c r="I68" s="15">
        <f>IFERROR(__xludf.DUMMYFUNCTION("""COMPUTED_VALUE"""),25.0)</f>
        <v>25</v>
      </c>
      <c r="J68" s="15">
        <f>IFERROR(__xludf.DUMMYFUNCTION("""COMPUTED_VALUE"""),0.02)</f>
        <v>0.02</v>
      </c>
      <c r="K68" s="15">
        <f>IFERROR(__xludf.DUMMYFUNCTION("""COMPUTED_VALUE"""),0.64)</f>
        <v>0.64</v>
      </c>
      <c r="L68" s="15"/>
    </row>
    <row r="69" ht="15.75" customHeight="1">
      <c r="A69" s="14" t="str">
        <f>IFERROR(__xludf.DUMMYFUNCTION("""COMPUTED_VALUE"""),"https://www.charleagency.com/articles/best-geo-agencies-uk/")</f>
        <v>https://www.charleagency.com/articles/best-geo-agencies-uk/</v>
      </c>
      <c r="B69" s="15" t="str">
        <f>IFERROR(__xludf.DUMMYFUNCTION("""COMPUTED_VALUE"""),"13 Best GEO Agencies UK (2026) | Top Generative Engine Optimization Agencies | Charle")</f>
        <v>13 Best GEO Agencies UK (2026) | Top Generative Engine Optimization Agencies | Charle</v>
      </c>
      <c r="C69" s="14" t="str">
        <f>IFERROR(__xludf.DUMMYFUNCTION("""COMPUTED_VALUE"""),"charleagency.com")</f>
        <v>charleagency.com</v>
      </c>
      <c r="D69" s="15" t="str">
        <f>IFERROR(__xludf.DUMMYFUNCTION("""COMPUTED_VALUE"""),"LISTICLE")</f>
        <v>LISTICLE</v>
      </c>
      <c r="E69" s="15" t="str">
        <f>IFERROR(__xludf.DUMMYFUNCTION("""COMPUTED_VALUE"""),"CORPORATE")</f>
        <v>CORPORATE</v>
      </c>
      <c r="F69" s="15" t="str">
        <f>IFERROR(__xludf.DUMMYFUNCTION("""COMPUTED_VALUE"""),"Listicle")</f>
        <v>Listicle</v>
      </c>
      <c r="G69" s="15" t="b">
        <f>IFERROR(__xludf.DUMMYFUNCTION("""COMPUTED_VALUE"""),FALSE)</f>
        <v>0</v>
      </c>
      <c r="H69" s="15" t="str">
        <f>IFERROR(__xludf.DUMMYFUNCTION("""COMPUTED_VALUE"""),"Charle Agency, Buried Agency, ClickSlice, Exposure Ninja, Blue Array, Found, Measured")</f>
        <v>Charle Agency, Buried Agency, ClickSlice, Exposure Ninja, Blue Array, Found, Measured</v>
      </c>
      <c r="I69" s="15">
        <f>IFERROR(__xludf.DUMMYFUNCTION("""COMPUTED_VALUE"""),25.0)</f>
        <v>25</v>
      </c>
      <c r="J69" s="15">
        <f>IFERROR(__xludf.DUMMYFUNCTION("""COMPUTED_VALUE"""),0.02)</f>
        <v>0.02</v>
      </c>
      <c r="K69" s="15">
        <f>IFERROR(__xludf.DUMMYFUNCTION("""COMPUTED_VALUE"""),0.24)</f>
        <v>0.24</v>
      </c>
      <c r="L69" s="15"/>
    </row>
    <row r="70" ht="15.75" customHeight="1">
      <c r="A70" s="14" t="str">
        <f>IFERROR(__xludf.DUMMYFUNCTION("""COMPUTED_VALUE"""),"https://digitalagencynetwork.com/agencies/uk/creative/")</f>
        <v>https://digitalagencynetwork.com/agencies/uk/creative/</v>
      </c>
      <c r="B70" s="15" t="str">
        <f>IFERROR(__xludf.DUMMYFUNCTION("""COMPUTED_VALUE"""),"Top Creative Agencies in UK (2026)")</f>
        <v>Top Creative Agencies in UK (2026)</v>
      </c>
      <c r="C70" s="14" t="str">
        <f>IFERROR(__xludf.DUMMYFUNCTION("""COMPUTED_VALUE"""),"digitalagencynetwork.com")</f>
        <v>digitalagencynetwork.com</v>
      </c>
      <c r="D70" s="15" t="str">
        <f>IFERROR(__xludf.DUMMYFUNCTION("""COMPUTED_VALUE"""),"CATEGORY_PAGE")</f>
        <v>CATEGORY_PAGE</v>
      </c>
      <c r="E70" s="15" t="str">
        <f>IFERROR(__xludf.DUMMYFUNCTION("""COMPUTED_VALUE"""),"REFERENCE")</f>
        <v>REFERENCE</v>
      </c>
      <c r="F70" s="15" t="str">
        <f>IFERROR(__xludf.DUMMYFUNCTION("""COMPUTED_VALUE"""),"Category Page")</f>
        <v>Category Page</v>
      </c>
      <c r="G70" s="15" t="b">
        <f>IFERROR(__xludf.DUMMYFUNCTION("""COMPUTED_VALUE"""),FALSE)</f>
        <v>0</v>
      </c>
      <c r="H70" s="15" t="str">
        <f>IFERROR(__xludf.DUMMYFUNCTION("""COMPUTED_VALUE"""),"Favoured, Propeller, M3.agency, Make Agency, Impression, Bird Marketing")</f>
        <v>Favoured, Propeller, M3.agency, Make Agency, Impression, Bird Marketing</v>
      </c>
      <c r="I70" s="15">
        <f>IFERROR(__xludf.DUMMYFUNCTION("""COMPUTED_VALUE"""),25.0)</f>
        <v>25</v>
      </c>
      <c r="J70" s="15">
        <f>IFERROR(__xludf.DUMMYFUNCTION("""COMPUTED_VALUE"""),0.02)</f>
        <v>0.02</v>
      </c>
      <c r="K70" s="15">
        <f>IFERROR(__xludf.DUMMYFUNCTION("""COMPUTED_VALUE"""),0.12)</f>
        <v>0.12</v>
      </c>
      <c r="L70" s="15"/>
    </row>
    <row r="71" ht="15.75" customHeight="1">
      <c r="A71" s="14" t="str">
        <f>IFERROR(__xludf.DUMMYFUNCTION("""COMPUTED_VALUE"""),"https://passion.digital/blog/the-best-generative-engine-optimisation-agencies-in-the-uk-2026/")</f>
        <v>https://passion.digital/blog/the-best-generative-engine-optimisation-agencies-in-the-uk-2026/</v>
      </c>
      <c r="B71" s="15" t="str">
        <f>IFERROR(__xludf.DUMMYFUNCTION("""COMPUTED_VALUE"""),"The 8 Best Generative Engine Optimisation Agencies in the UK (2026) | Passion Digital®")</f>
        <v>The 8 Best Generative Engine Optimisation Agencies in the UK (2026) | Passion Digital®</v>
      </c>
      <c r="C71" s="15" t="str">
        <f>IFERROR(__xludf.DUMMYFUNCTION("""COMPUTED_VALUE"""),"passion.digital")</f>
        <v>passion.digital</v>
      </c>
      <c r="D71" s="15" t="str">
        <f>IFERROR(__xludf.DUMMYFUNCTION("""COMPUTED_VALUE"""),"LISTICLE")</f>
        <v>LISTICLE</v>
      </c>
      <c r="E71" s="15" t="str">
        <f>IFERROR(__xludf.DUMMYFUNCTION("""COMPUTED_VALUE"""),"COMPETITOR")</f>
        <v>COMPETITOR</v>
      </c>
      <c r="F71" s="15" t="str">
        <f>IFERROR(__xludf.DUMMYFUNCTION("""COMPUTED_VALUE"""),"Listicle")</f>
        <v>Listicle</v>
      </c>
      <c r="G71" s="15" t="b">
        <f>IFERROR(__xludf.DUMMYFUNCTION("""COMPUTED_VALUE"""),FALSE)</f>
        <v>0</v>
      </c>
      <c r="H71" s="15" t="str">
        <f>IFERROR(__xludf.DUMMYFUNCTION("""COMPUTED_VALUE"""),"Passion Digital, The SEO Works, Bird Marketing, Buried Agency, Polaris, Exposure Ninja")</f>
        <v>Passion Digital, The SEO Works, Bird Marketing, Buried Agency, Polaris, Exposure Ninja</v>
      </c>
      <c r="I71" s="15">
        <f>IFERROR(__xludf.DUMMYFUNCTION("""COMPUTED_VALUE"""),25.0)</f>
        <v>25</v>
      </c>
      <c r="J71" s="15">
        <f>IFERROR(__xludf.DUMMYFUNCTION("""COMPUTED_VALUE"""),0.02)</f>
        <v>0.02</v>
      </c>
      <c r="K71" s="15">
        <f>IFERROR(__xludf.DUMMYFUNCTION("""COMPUTED_VALUE"""),1.64)</f>
        <v>1.64</v>
      </c>
      <c r="L71" s="15"/>
    </row>
    <row r="72" ht="15.75" customHeight="1">
      <c r="A72" s="14" t="str">
        <f>IFERROR(__xludf.DUMMYFUNCTION("""COMPUTED_VALUE"""),"https://www.rank4ai.co.uk/research/rankings/top-geo-agencies-uk-2026/#:~:text=Tests%20all%20six%20platforms.,within%20their%20broader%20SEO%20offering.")</f>
        <v>https://www.rank4ai.co.uk/research/rankings/top-geo-agencies-uk-2026/#:~:text=Tests%20all%20six%20platforms.,within%20their%20broader%20SEO%20offering.</v>
      </c>
      <c r="B72" s="15" t="str">
        <f>IFERROR(__xludf.DUMMYFUNCTION("""COMPUTED_VALUE"""),"Top GEO Agencies UK 2026 | Rank4AI")</f>
        <v>Top GEO Agencies UK 2026 | Rank4AI</v>
      </c>
      <c r="C72" s="14" t="str">
        <f>IFERROR(__xludf.DUMMYFUNCTION("""COMPUTED_VALUE"""),"rank4ai.co.uk")</f>
        <v>rank4ai.co.uk</v>
      </c>
      <c r="D72" s="15" t="str">
        <f>IFERROR(__xludf.DUMMYFUNCTION("""COMPUTED_VALUE"""),"LISTICLE")</f>
        <v>LISTICLE</v>
      </c>
      <c r="E72" s="15" t="str">
        <f>IFERROR(__xludf.DUMMYFUNCTION("""COMPUTED_VALUE"""),"COMPETITOR")</f>
        <v>COMPETITOR</v>
      </c>
      <c r="F72" s="15" t="str">
        <f>IFERROR(__xludf.DUMMYFUNCTION("""COMPUTED_VALUE"""),"Listicle")</f>
        <v>Listicle</v>
      </c>
      <c r="G72" s="15" t="b">
        <f>IFERROR(__xludf.DUMMYFUNCTION("""COMPUTED_VALUE"""),FALSE)</f>
        <v>0</v>
      </c>
      <c r="H72" s="15" t="str">
        <f>IFERROR(__xludf.DUMMYFUNCTION("""COMPUTED_VALUE"""),"Rank4AI, Blue Array, Buried Agency, Varn, Found")</f>
        <v>Rank4AI, Blue Array, Buried Agency, Varn, Found</v>
      </c>
      <c r="I72" s="15">
        <f>IFERROR(__xludf.DUMMYFUNCTION("""COMPUTED_VALUE"""),25.0)</f>
        <v>25</v>
      </c>
      <c r="J72" s="15">
        <f>IFERROR(__xludf.DUMMYFUNCTION("""COMPUTED_VALUE"""),0.02)</f>
        <v>0.02</v>
      </c>
      <c r="K72" s="15">
        <f>IFERROR(__xludf.DUMMYFUNCTION("""COMPUTED_VALUE"""),1.52)</f>
        <v>1.52</v>
      </c>
      <c r="L72" s="15"/>
    </row>
    <row r="73" ht="15.75" customHeight="1">
      <c r="A73" s="14" t="str">
        <f>IFERROR(__xludf.DUMMYFUNCTION("""COMPUTED_VALUE"""),"https://www.askattest.com/blog/articles/market-research-companies-uk")</f>
        <v>https://www.askattest.com/blog/articles/market-research-companies-uk</v>
      </c>
      <c r="B73" s="15" t="str">
        <f>IFERROR(__xludf.DUMMYFUNCTION("""COMPUTED_VALUE"""),"Top 14 Market Research Companies in the UK (2026)")</f>
        <v>Top 14 Market Research Companies in the UK (2026)</v>
      </c>
      <c r="C73" s="14" t="str">
        <f>IFERROR(__xludf.DUMMYFUNCTION("""COMPUTED_VALUE"""),"askattest.com")</f>
        <v>askattest.com</v>
      </c>
      <c r="D73" s="15" t="str">
        <f>IFERROR(__xludf.DUMMYFUNCTION("""COMPUTED_VALUE"""),"LISTICLE")</f>
        <v>LISTICLE</v>
      </c>
      <c r="E73" s="15" t="str">
        <f>IFERROR(__xludf.DUMMYFUNCTION("""COMPUTED_VALUE"""),"CORPORATE")</f>
        <v>CORPORATE</v>
      </c>
      <c r="F73" s="15" t="str">
        <f>IFERROR(__xludf.DUMMYFUNCTION("""COMPUTED_VALUE"""),"Listicle")</f>
        <v>Listicle</v>
      </c>
      <c r="G73" s="15" t="b">
        <f>IFERROR(__xludf.DUMMYFUNCTION("""COMPUTED_VALUE"""),FALSE)</f>
        <v>0</v>
      </c>
      <c r="H73" s="15" t="str">
        <f>IFERROR(__xludf.DUMMYFUNCTION("""COMPUTED_VALUE"""),"Kantar, Nielsen, YouGov, Huge")</f>
        <v>Kantar, Nielsen, YouGov, Huge</v>
      </c>
      <c r="I73" s="15">
        <f>IFERROR(__xludf.DUMMYFUNCTION("""COMPUTED_VALUE"""),24.0)</f>
        <v>24</v>
      </c>
      <c r="J73" s="15">
        <f>IFERROR(__xludf.DUMMYFUNCTION("""COMPUTED_VALUE"""),0.02)</f>
        <v>0.02</v>
      </c>
      <c r="K73" s="15">
        <f>IFERROR(__xludf.DUMMYFUNCTION("""COMPUTED_VALUE"""),0.67)</f>
        <v>0.67</v>
      </c>
      <c r="L73" s="15"/>
    </row>
    <row r="74" ht="15.75" customHeight="1">
      <c r="A74" s="14" t="str">
        <f>IFERROR(__xludf.DUMMYFUNCTION("""COMPUTED_VALUE"""),"https://pinpoint-media.global/insights/top-5-uk-paid-social-agencies-2026")</f>
        <v>https://pinpoint-media.global/insights/top-5-uk-paid-social-agencies-2026</v>
      </c>
      <c r="B74" s="15" t="str">
        <f>IFERROR(__xludf.DUMMYFUNCTION("""COMPUTED_VALUE"""),"Top 5 Paid Social Agencies in the UK (2026) | PinPoint Media")</f>
        <v>Top 5 Paid Social Agencies in the UK (2026) | PinPoint Media</v>
      </c>
      <c r="C74" s="15" t="str">
        <f>IFERROR(__xludf.DUMMYFUNCTION("""COMPUTED_VALUE"""),"pinpoint-media.global")</f>
        <v>pinpoint-media.global</v>
      </c>
      <c r="D74" s="15" t="str">
        <f>IFERROR(__xludf.DUMMYFUNCTION("""COMPUTED_VALUE"""),"LISTICLE")</f>
        <v>LISTICLE</v>
      </c>
      <c r="E74" s="15" t="str">
        <f>IFERROR(__xludf.DUMMYFUNCTION("""COMPUTED_VALUE"""),"COMPETITOR")</f>
        <v>COMPETITOR</v>
      </c>
      <c r="F74" s="15" t="str">
        <f>IFERROR(__xludf.DUMMYFUNCTION("""COMPUTED_VALUE"""),"Listicle")</f>
        <v>Listicle</v>
      </c>
      <c r="G74" s="15" t="b">
        <f>IFERROR(__xludf.DUMMYFUNCTION("""COMPUTED_VALUE"""),FALSE)</f>
        <v>0</v>
      </c>
      <c r="H74" s="15" t="str">
        <f>IFERROR(__xludf.DUMMYFUNCTION("""COMPUTED_VALUE"""),"PinPoint Media, Social Chain, Born Social, Found, Huge")</f>
        <v>PinPoint Media, Social Chain, Born Social, Found, Huge</v>
      </c>
      <c r="I74" s="15">
        <f>IFERROR(__xludf.DUMMYFUNCTION("""COMPUTED_VALUE"""),24.0)</f>
        <v>24</v>
      </c>
      <c r="J74" s="15">
        <f>IFERROR(__xludf.DUMMYFUNCTION("""COMPUTED_VALUE"""),0.02)</f>
        <v>0.02</v>
      </c>
      <c r="K74" s="15">
        <f>IFERROR(__xludf.DUMMYFUNCTION("""COMPUTED_VALUE"""),0.58)</f>
        <v>0.58</v>
      </c>
      <c r="L74" s="15"/>
    </row>
    <row r="75" ht="15.75" customHeight="1">
      <c r="A75" s="14" t="str">
        <f>IFERROR(__xludf.DUMMYFUNCTION("""COMPUTED_VALUE"""),"https://www.propeller.co.uk/insights/top-digital-marketing-agencies-uk-2025")</f>
        <v>https://www.propeller.co.uk/insights/top-digital-marketing-agencies-uk-2025</v>
      </c>
      <c r="B75" s="15" t="str">
        <f>IFERROR(__xludf.DUMMYFUNCTION("""COMPUTED_VALUE"""),"Top Digital Marketing Agencies UK (2026) | Propeller")</f>
        <v>Top Digital Marketing Agencies UK (2026) | Propeller</v>
      </c>
      <c r="C75" s="14" t="str">
        <f>IFERROR(__xludf.DUMMYFUNCTION("""COMPUTED_VALUE"""),"propeller.co.uk")</f>
        <v>propeller.co.uk</v>
      </c>
      <c r="D75" s="15" t="str">
        <f>IFERROR(__xludf.DUMMYFUNCTION("""COMPUTED_VALUE"""),"ARTICLE")</f>
        <v>ARTICLE</v>
      </c>
      <c r="E75" s="15" t="str">
        <f>IFERROR(__xludf.DUMMYFUNCTION("""COMPUTED_VALUE"""),"CORPORATE")</f>
        <v>CORPORATE</v>
      </c>
      <c r="F75" s="15" t="str">
        <f>IFERROR(__xludf.DUMMYFUNCTION("""COMPUTED_VALUE"""),"Article")</f>
        <v>Article</v>
      </c>
      <c r="G75" s="15" t="b">
        <f>IFERROR(__xludf.DUMMYFUNCTION("""COMPUTED_VALUE"""),FALSE)</f>
        <v>0</v>
      </c>
      <c r="H75" s="15" t="str">
        <f>IFERROR(__xludf.DUMMYFUNCTION("""COMPUTED_VALUE"""),"Propeller, Saatchi &amp; Saatchi, Impression, BBH London, Gripped")</f>
        <v>Propeller, Saatchi &amp; Saatchi, Impression, BBH London, Gripped</v>
      </c>
      <c r="I75" s="15">
        <f>IFERROR(__xludf.DUMMYFUNCTION("""COMPUTED_VALUE"""),24.0)</f>
        <v>24</v>
      </c>
      <c r="J75" s="15">
        <f>IFERROR(__xludf.DUMMYFUNCTION("""COMPUTED_VALUE"""),0.02)</f>
        <v>0.02</v>
      </c>
      <c r="K75" s="15">
        <f>IFERROR(__xludf.DUMMYFUNCTION("""COMPUTED_VALUE"""),0.88)</f>
        <v>0.88</v>
      </c>
      <c r="L75" s="15"/>
    </row>
    <row r="76" ht="15.75" customHeight="1">
      <c r="A76" s="14" t="str">
        <f>IFERROR(__xludf.DUMMYFUNCTION("""COMPUTED_VALUE"""),"https://thatware.co/best-aeo-companies-in-uk/")</f>
        <v>https://thatware.co/best-aeo-companies-in-uk/</v>
      </c>
      <c r="B76" s="15" t="str">
        <f>IFERROR(__xludf.DUMMYFUNCTION("""COMPUTED_VALUE"""),"Best AEO Companies in UK - Top 10 AEO Services UK")</f>
        <v>Best AEO Companies in UK - Top 10 AEO Services UK</v>
      </c>
      <c r="C76" s="14" t="str">
        <f>IFERROR(__xludf.DUMMYFUNCTION("""COMPUTED_VALUE"""),"thatware.co")</f>
        <v>thatware.co</v>
      </c>
      <c r="D76" s="15" t="str">
        <f>IFERROR(__xludf.DUMMYFUNCTION("""COMPUTED_VALUE"""),"LISTICLE")</f>
        <v>LISTICLE</v>
      </c>
      <c r="E76" s="15" t="str">
        <f>IFERROR(__xludf.DUMMYFUNCTION("""COMPUTED_VALUE"""),"CORPORATE")</f>
        <v>CORPORATE</v>
      </c>
      <c r="F76" s="15" t="str">
        <f>IFERROR(__xludf.DUMMYFUNCTION("""COMPUTED_VALUE"""),"Listicle")</f>
        <v>Listicle</v>
      </c>
      <c r="G76" s="15" t="b">
        <f>IFERROR(__xludf.DUMMYFUNCTION("""COMPUTED_VALUE"""),FALSE)</f>
        <v>0</v>
      </c>
      <c r="H76" s="15" t="str">
        <f>IFERROR(__xludf.DUMMYFUNCTION("""COMPUTED_VALUE"""),"ClickSlice, Builtvisible, Rise at Seven, Momentum")</f>
        <v>ClickSlice, Builtvisible, Rise at Seven, Momentum</v>
      </c>
      <c r="I76" s="15">
        <f>IFERROR(__xludf.DUMMYFUNCTION("""COMPUTED_VALUE"""),24.0)</f>
        <v>24</v>
      </c>
      <c r="J76" s="15">
        <f>IFERROR(__xludf.DUMMYFUNCTION("""COMPUTED_VALUE"""),0.02)</f>
        <v>0.02</v>
      </c>
      <c r="K76" s="15">
        <f>IFERROR(__xludf.DUMMYFUNCTION("""COMPUTED_VALUE"""),0.13)</f>
        <v>0.13</v>
      </c>
      <c r="L76" s="15"/>
    </row>
    <row r="77" ht="15.75" customHeight="1">
      <c r="A77" s="14" t="str">
        <f>IFERROR(__xludf.DUMMYFUNCTION("""COMPUTED_VALUE"""),"https://www.vxtx.co.uk/blog/what-is-the-best-performance-marketing-agency-in-the-u-k")</f>
        <v>https://www.vxtx.co.uk/blog/what-is-the-best-performance-marketing-agency-in-the-u-k</v>
      </c>
      <c r="B77" s="15" t="str">
        <f>IFERROR(__xludf.DUMMYFUNCTION("""COMPUTED_VALUE"""),"What Is the Best Performance Marketing Agency in The U.K? | VXTX Performance Marketing Blog")</f>
        <v>What Is the Best Performance Marketing Agency in The U.K? | VXTX Performance Marketing Blog</v>
      </c>
      <c r="C77" s="14" t="str">
        <f>IFERROR(__xludf.DUMMYFUNCTION("""COMPUTED_VALUE"""),"vxtx.co.uk")</f>
        <v>vxtx.co.uk</v>
      </c>
      <c r="D77" s="15" t="str">
        <f>IFERROR(__xludf.DUMMYFUNCTION("""COMPUTED_VALUE"""),"LISTICLE")</f>
        <v>LISTICLE</v>
      </c>
      <c r="E77" s="15" t="str">
        <f>IFERROR(__xludf.DUMMYFUNCTION("""COMPUTED_VALUE"""),"COMPETITOR")</f>
        <v>COMPETITOR</v>
      </c>
      <c r="F77" s="15" t="str">
        <f>IFERROR(__xludf.DUMMYFUNCTION("""COMPUTED_VALUE"""),"Listicle")</f>
        <v>Listicle</v>
      </c>
      <c r="G77" s="15" t="b">
        <f>IFERROR(__xludf.DUMMYFUNCTION("""COMPUTED_VALUE"""),FALSE)</f>
        <v>0</v>
      </c>
      <c r="H77" s="15" t="str">
        <f>IFERROR(__xludf.DUMMYFUNCTION("""COMPUTED_VALUE"""),"VXTX, Gripped, Hallam, Momentum")</f>
        <v>VXTX, Gripped, Hallam, Momentum</v>
      </c>
      <c r="I77" s="15">
        <f>IFERROR(__xludf.DUMMYFUNCTION("""COMPUTED_VALUE"""),24.0)</f>
        <v>24</v>
      </c>
      <c r="J77" s="15">
        <f>IFERROR(__xludf.DUMMYFUNCTION("""COMPUTED_VALUE"""),0.02)</f>
        <v>0.02</v>
      </c>
      <c r="K77" s="15">
        <f>IFERROR(__xludf.DUMMYFUNCTION("""COMPUTED_VALUE"""),0.63)</f>
        <v>0.63</v>
      </c>
      <c r="L77" s="15"/>
    </row>
    <row r="78" ht="15.75" customHeight="1">
      <c r="A78" s="14" t="str">
        <f>IFERROR(__xludf.DUMMYFUNCTION("""COMPUTED_VALUE"""),"https://www.wearetenet.com/blog/ai-seo-agencies-in-london")</f>
        <v>https://www.wearetenet.com/blog/ai-seo-agencies-in-london</v>
      </c>
      <c r="B78" s="15" t="str">
        <f>IFERROR(__xludf.DUMMYFUNCTION("""COMPUTED_VALUE"""),"7 Best AI SEO Agencies in London")</f>
        <v>7 Best AI SEO Agencies in London</v>
      </c>
      <c r="C78" s="14" t="str">
        <f>IFERROR(__xludf.DUMMYFUNCTION("""COMPUTED_VALUE"""),"wearetenet.com")</f>
        <v>wearetenet.com</v>
      </c>
      <c r="D78" s="15" t="str">
        <f>IFERROR(__xludf.DUMMYFUNCTION("""COMPUTED_VALUE"""),"LISTICLE")</f>
        <v>LISTICLE</v>
      </c>
      <c r="E78" s="15" t="str">
        <f>IFERROR(__xludf.DUMMYFUNCTION("""COMPUTED_VALUE"""),"CORPORATE")</f>
        <v>CORPORATE</v>
      </c>
      <c r="F78" s="15" t="str">
        <f>IFERROR(__xludf.DUMMYFUNCTION("""COMPUTED_VALUE"""),"Listicle")</f>
        <v>Listicle</v>
      </c>
      <c r="G78" s="15" t="b">
        <f>IFERROR(__xludf.DUMMYFUNCTION("""COMPUTED_VALUE"""),FALSE)</f>
        <v>0</v>
      </c>
      <c r="H78" s="15" t="str">
        <f>IFERROR(__xludf.DUMMYFUNCTION("""COMPUTED_VALUE"""),"Rank4AI, ClickSlice, Hallam, Favoured")</f>
        <v>Rank4AI, ClickSlice, Hallam, Favoured</v>
      </c>
      <c r="I78" s="15">
        <f>IFERROR(__xludf.DUMMYFUNCTION("""COMPUTED_VALUE"""),24.0)</f>
        <v>24</v>
      </c>
      <c r="J78" s="15">
        <f>IFERROR(__xludf.DUMMYFUNCTION("""COMPUTED_VALUE"""),0.02)</f>
        <v>0.02</v>
      </c>
      <c r="K78" s="15">
        <f>IFERROR(__xludf.DUMMYFUNCTION("""COMPUTED_VALUE"""),0.54)</f>
        <v>0.54</v>
      </c>
      <c r="L78" s="15"/>
    </row>
    <row r="79" ht="15.75" customHeight="1">
      <c r="A79" s="14" t="str">
        <f>IFERROR(__xludf.DUMMYFUNCTION("""COMPUTED_VALUE"""),"https://whitehat-seo.co.uk/blog/best-ppc-agencies-uk")</f>
        <v>https://whitehat-seo.co.uk/blog/best-ppc-agencies-uk</v>
      </c>
      <c r="B79" s="15" t="str">
        <f>IFERROR(__xludf.DUMMYFUNCTION("""COMPUTED_VALUE"""),"Best PPC Agencies UK: Pricing &amp;amp; Comparison | Whitehat")</f>
        <v>Best PPC Agencies UK: Pricing &amp;amp; Comparison | Whitehat</v>
      </c>
      <c r="C79" s="14" t="str">
        <f>IFERROR(__xludf.DUMMYFUNCTION("""COMPUTED_VALUE"""),"whitehat-seo.co.uk")</f>
        <v>whitehat-seo.co.uk</v>
      </c>
      <c r="D79" s="15" t="str">
        <f>IFERROR(__xludf.DUMMYFUNCTION("""COMPUTED_VALUE"""),"LISTICLE")</f>
        <v>LISTICLE</v>
      </c>
      <c r="E79" s="15" t="str">
        <f>IFERROR(__xludf.DUMMYFUNCTION("""COMPUTED_VALUE"""),"COMPETITOR")</f>
        <v>COMPETITOR</v>
      </c>
      <c r="F79" s="15" t="str">
        <f>IFERROR(__xludf.DUMMYFUNCTION("""COMPUTED_VALUE"""),"Listicle")</f>
        <v>Listicle</v>
      </c>
      <c r="G79" s="15" t="b">
        <f>IFERROR(__xludf.DUMMYFUNCTION("""COMPUTED_VALUE"""),FALSE)</f>
        <v>0</v>
      </c>
      <c r="H79" s="15" t="str">
        <f>IFERROR(__xludf.DUMMYFUNCTION("""COMPUTED_VALUE"""),"Whitehat, Brainlabs, Croud, Found, Hallam, Impression, PPC Geeks, The SEO Works, LOCALiQ")</f>
        <v>Whitehat, Brainlabs, Croud, Found, Hallam, Impression, PPC Geeks, The SEO Works, LOCALiQ</v>
      </c>
      <c r="I79" s="15">
        <f>IFERROR(__xludf.DUMMYFUNCTION("""COMPUTED_VALUE"""),24.0)</f>
        <v>24</v>
      </c>
      <c r="J79" s="15">
        <f>IFERROR(__xludf.DUMMYFUNCTION("""COMPUTED_VALUE"""),0.02)</f>
        <v>0.02</v>
      </c>
      <c r="K79" s="15">
        <f>IFERROR(__xludf.DUMMYFUNCTION("""COMPUTED_VALUE"""),0.38)</f>
        <v>0.38</v>
      </c>
      <c r="L79" s="15"/>
    </row>
    <row r="80" ht="15.75" customHeight="1">
      <c r="A80" s="14" t="str">
        <f>IFERROR(__xludf.DUMMYFUNCTION("""COMPUTED_VALUE"""),"https://agencies.semrush.com/list/display-advertising/united-kingdom/enterprise-business/")</f>
        <v>https://agencies.semrush.com/list/display-advertising/united-kingdom/enterprise-business/</v>
      </c>
      <c r="B80" s="15" t="str">
        <f>IFERROR(__xludf.DUMMYFUNCTION("""COMPUTED_VALUE"""),"Best Display Ads Agencies for Enterprise Business in United Kingdom 2026 | Semrush")</f>
        <v>Best Display Ads Agencies for Enterprise Business in United Kingdom 2026 | Semrush</v>
      </c>
      <c r="C80" s="14" t="str">
        <f>IFERROR(__xludf.DUMMYFUNCTION("""COMPUTED_VALUE"""),"semrush.com")</f>
        <v>semrush.com</v>
      </c>
      <c r="D80" s="15" t="str">
        <f>IFERROR(__xludf.DUMMYFUNCTION("""COMPUTED_VALUE"""),"OTHER")</f>
        <v>OTHER</v>
      </c>
      <c r="E80" s="15" t="str">
        <f>IFERROR(__xludf.DUMMYFUNCTION("""COMPUTED_VALUE"""),"CORPORATE")</f>
        <v>CORPORATE</v>
      </c>
      <c r="F80" s="15" t="str">
        <f>IFERROR(__xludf.DUMMYFUNCTION("""COMPUTED_VALUE"""),"Other")</f>
        <v>Other</v>
      </c>
      <c r="G80" s="15" t="b">
        <f>IFERROR(__xludf.DUMMYFUNCTION("""COMPUTED_VALUE"""),FALSE)</f>
        <v>0</v>
      </c>
      <c r="H80" s="15" t="str">
        <f>IFERROR(__xludf.DUMMYFUNCTION("""COMPUTED_VALUE"""),"Found, Soap Media, GA Agency, The SEO Works, ROAST")</f>
        <v>Found, Soap Media, GA Agency, The SEO Works, ROAST</v>
      </c>
      <c r="I80" s="15">
        <f>IFERROR(__xludf.DUMMYFUNCTION("""COMPUTED_VALUE"""),23.0)</f>
        <v>23</v>
      </c>
      <c r="J80" s="15">
        <f>IFERROR(__xludf.DUMMYFUNCTION("""COMPUTED_VALUE"""),0.02)</f>
        <v>0.02</v>
      </c>
      <c r="K80" s="15">
        <f>IFERROR(__xludf.DUMMYFUNCTION("""COMPUTED_VALUE"""),0.0)</f>
        <v>0</v>
      </c>
      <c r="L80" s="15"/>
    </row>
    <row r="81" ht="15.75" customHeight="1">
      <c r="A81" s="14" t="str">
        <f>IFERROR(__xludf.DUMMYFUNCTION("""COMPUTED_VALUE"""),"https://blazonagency.com/post/marketing-agency-uk")</f>
        <v>https://blazonagency.com/post/marketing-agency-uk</v>
      </c>
      <c r="B81" s="15" t="str">
        <f>IFERROR(__xludf.DUMMYFUNCTION("""COMPUTED_VALUE"""),"Best Marketing Agency UK Picks for 2026 | Blazon Agency")</f>
        <v>Best Marketing Agency UK Picks for 2026 | Blazon Agency</v>
      </c>
      <c r="C81" s="14" t="str">
        <f>IFERROR(__xludf.DUMMYFUNCTION("""COMPUTED_VALUE"""),"blazonagency.com")</f>
        <v>blazonagency.com</v>
      </c>
      <c r="D81" s="15" t="str">
        <f>IFERROR(__xludf.DUMMYFUNCTION("""COMPUTED_VALUE"""),"LISTICLE")</f>
        <v>LISTICLE</v>
      </c>
      <c r="E81" s="15" t="str">
        <f>IFERROR(__xludf.DUMMYFUNCTION("""COMPUTED_VALUE"""),"CORPORATE")</f>
        <v>CORPORATE</v>
      </c>
      <c r="F81" s="15" t="str">
        <f>IFERROR(__xludf.DUMMYFUNCTION("""COMPUTED_VALUE"""),"Listicle")</f>
        <v>Listicle</v>
      </c>
      <c r="G81" s="15" t="b">
        <f>IFERROR(__xludf.DUMMYFUNCTION("""COMPUTED_VALUE"""),FALSE)</f>
        <v>0</v>
      </c>
      <c r="H81" s="15" t="str">
        <f>IFERROR(__xludf.DUMMYFUNCTION("""COMPUTED_VALUE"""),"Impression, Found, inBeat, Rise at Seven, Koozai, Propeller")</f>
        <v>Impression, Found, inBeat, Rise at Seven, Koozai, Propeller</v>
      </c>
      <c r="I81" s="15">
        <f>IFERROR(__xludf.DUMMYFUNCTION("""COMPUTED_VALUE"""),23.0)</f>
        <v>23</v>
      </c>
      <c r="J81" s="15">
        <f>IFERROR(__xludf.DUMMYFUNCTION("""COMPUTED_VALUE"""),0.02)</f>
        <v>0.02</v>
      </c>
      <c r="K81" s="15">
        <f>IFERROR(__xludf.DUMMYFUNCTION("""COMPUTED_VALUE"""),0.43)</f>
        <v>0.43</v>
      </c>
      <c r="L81" s="15"/>
    </row>
    <row r="82" ht="15.75" customHeight="1">
      <c r="A82" s="14" t="str">
        <f>IFERROR(__xludf.DUMMYFUNCTION("""COMPUTED_VALUE"""),"https://clutch.co/agencies/ppc/uk/england")</f>
        <v>https://clutch.co/agencies/ppc/uk/england</v>
      </c>
      <c r="B82" s="15" t="str">
        <f>IFERROR(__xludf.DUMMYFUNCTION("""COMPUTED_VALUE"""),"Top PPC Agencies in England - Jul 2026 Rankings \| Clutch.co")</f>
        <v>Top PPC Agencies in England - Jul 2026 Rankings \| Clutch.co</v>
      </c>
      <c r="C82" s="14" t="str">
        <f>IFERROR(__xludf.DUMMYFUNCTION("""COMPUTED_VALUE"""),"clutch.co")</f>
        <v>clutch.co</v>
      </c>
      <c r="D82" s="15" t="str">
        <f>IFERROR(__xludf.DUMMYFUNCTION("""COMPUTED_VALUE"""),"CATEGORY_PAGE")</f>
        <v>CATEGORY_PAGE</v>
      </c>
      <c r="E82" s="15" t="str">
        <f>IFERROR(__xludf.DUMMYFUNCTION("""COMPUTED_VALUE"""),"CORPORATE")</f>
        <v>CORPORATE</v>
      </c>
      <c r="F82" s="15" t="str">
        <f>IFERROR(__xludf.DUMMYFUNCTION("""COMPUTED_VALUE"""),"Category Page")</f>
        <v>Category Page</v>
      </c>
      <c r="G82" s="15" t="b">
        <f>IFERROR(__xludf.DUMMYFUNCTION("""COMPUTED_VALUE"""),FALSE)</f>
        <v>0</v>
      </c>
      <c r="H82" s="15" t="str">
        <f>IFERROR(__xludf.DUMMYFUNCTION("""COMPUTED_VALUE"""),"Launch Online, M3.agency, ROAST, Soap Media, GA Agency, The SEO Works, Huge, Ninja Promo, Momentum, Propeller, Found")</f>
        <v>Launch Online, M3.agency, ROAST, Soap Media, GA Agency, The SEO Works, Huge, Ninja Promo, Momentum, Propeller, Found</v>
      </c>
      <c r="I82" s="15">
        <f>IFERROR(__xludf.DUMMYFUNCTION("""COMPUTED_VALUE"""),23.0)</f>
        <v>23</v>
      </c>
      <c r="J82" s="15">
        <f>IFERROR(__xludf.DUMMYFUNCTION("""COMPUTED_VALUE"""),0.02)</f>
        <v>0.02</v>
      </c>
      <c r="K82" s="15">
        <f>IFERROR(__xludf.DUMMYFUNCTION("""COMPUTED_VALUE"""),0.17)</f>
        <v>0.17</v>
      </c>
      <c r="L82" s="15"/>
    </row>
    <row r="83" ht="15.75" customHeight="1">
      <c r="A83" s="14" t="str">
        <f>IFERROR(__xludf.DUMMYFUNCTION("""COMPUTED_VALUE"""),"https://digitalagencynetwork.com/agencies/uk/geo/")</f>
        <v>https://digitalagencynetwork.com/agencies/uk/geo/</v>
      </c>
      <c r="B83" s="15" t="str">
        <f>IFERROR(__xludf.DUMMYFUNCTION("""COMPUTED_VALUE"""),"Top GEO Agencies in UK for Generative Engine Optimization (2026)")</f>
        <v>Top GEO Agencies in UK for Generative Engine Optimization (2026)</v>
      </c>
      <c r="C83" s="14" t="str">
        <f>IFERROR(__xludf.DUMMYFUNCTION("""COMPUTED_VALUE"""),"digitalagencynetwork.com")</f>
        <v>digitalagencynetwork.com</v>
      </c>
      <c r="D83" s="15" t="str">
        <f>IFERROR(__xludf.DUMMYFUNCTION("""COMPUTED_VALUE"""),"PROFILE")</f>
        <v>PROFILE</v>
      </c>
      <c r="E83" s="15" t="str">
        <f>IFERROR(__xludf.DUMMYFUNCTION("""COMPUTED_VALUE"""),"REFERENCE")</f>
        <v>REFERENCE</v>
      </c>
      <c r="F83" s="15" t="str">
        <f>IFERROR(__xludf.DUMMYFUNCTION("""COMPUTED_VALUE"""),"Profile")</f>
        <v>Profile</v>
      </c>
      <c r="G83" s="15" t="b">
        <f>IFERROR(__xludf.DUMMYFUNCTION("""COMPUTED_VALUE"""),FALSE)</f>
        <v>0</v>
      </c>
      <c r="H83" s="15" t="str">
        <f>IFERROR(__xludf.DUMMYFUNCTION("""COMPUTED_VALUE"""),"Favoured, Measured, Found, Propeller, Anicca Digital, The SEO Works, Bird Marketing, GA Agency, ROAST, FirstMotion")</f>
        <v>Favoured, Measured, Found, Propeller, Anicca Digital, The SEO Works, Bird Marketing, GA Agency, ROAST, FirstMotion</v>
      </c>
      <c r="I83" s="15">
        <f>IFERROR(__xludf.DUMMYFUNCTION("""COMPUTED_VALUE"""),23.0)</f>
        <v>23</v>
      </c>
      <c r="J83" s="15">
        <f>IFERROR(__xludf.DUMMYFUNCTION("""COMPUTED_VALUE"""),0.02)</f>
        <v>0.02</v>
      </c>
      <c r="K83" s="15">
        <f>IFERROR(__xludf.DUMMYFUNCTION("""COMPUTED_VALUE"""),0.43)</f>
        <v>0.43</v>
      </c>
      <c r="L83" s="15"/>
    </row>
    <row r="84" ht="15.75" customHeight="1">
      <c r="A84" s="14" t="str">
        <f>IFERROR(__xludf.DUMMYFUNCTION("""COMPUTED_VALUE"""),"https://sbc-performance.com/blog/best-paid-social-media-agencies-uk/")</f>
        <v>https://sbc-performance.com/blog/best-paid-social-media-agencies-uk/</v>
      </c>
      <c r="B84" s="15" t="str">
        <f>IFERROR(__xludf.DUMMYFUNCTION("""COMPUTED_VALUE"""),"Best Paid Social Media Agencies in the UK (2026) – Shortlist")</f>
        <v>Best Paid Social Media Agencies in the UK (2026) – Shortlist</v>
      </c>
      <c r="C84" s="14" t="str">
        <f>IFERROR(__xludf.DUMMYFUNCTION("""COMPUTED_VALUE"""),"sbc-performance.com")</f>
        <v>sbc-performance.com</v>
      </c>
      <c r="D84" s="15" t="str">
        <f>IFERROR(__xludf.DUMMYFUNCTION("""COMPUTED_VALUE"""),"LISTICLE")</f>
        <v>LISTICLE</v>
      </c>
      <c r="E84" s="15" t="str">
        <f>IFERROR(__xludf.DUMMYFUNCTION("""COMPUTED_VALUE"""),"CORPORATE")</f>
        <v>CORPORATE</v>
      </c>
      <c r="F84" s="15" t="str">
        <f>IFERROR(__xludf.DUMMYFUNCTION("""COMPUTED_VALUE"""),"Listicle")</f>
        <v>Listicle</v>
      </c>
      <c r="G84" s="15" t="b">
        <f>IFERROR(__xludf.DUMMYFUNCTION("""COMPUTED_VALUE"""),FALSE)</f>
        <v>0</v>
      </c>
      <c r="H84" s="15" t="str">
        <f>IFERROR(__xludf.DUMMYFUNCTION("""COMPUTED_VALUE"""),"The Social Shepherd, Impression, Disrupt Marketing, Found, Soap Media")</f>
        <v>The Social Shepherd, Impression, Disrupt Marketing, Found, Soap Media</v>
      </c>
      <c r="I84" s="15">
        <f>IFERROR(__xludf.DUMMYFUNCTION("""COMPUTED_VALUE"""),23.0)</f>
        <v>23</v>
      </c>
      <c r="J84" s="15">
        <f>IFERROR(__xludf.DUMMYFUNCTION("""COMPUTED_VALUE"""),0.02)</f>
        <v>0.02</v>
      </c>
      <c r="K84" s="15">
        <f>IFERROR(__xludf.DUMMYFUNCTION("""COMPUTED_VALUE"""),1.87)</f>
        <v>1.87</v>
      </c>
      <c r="L84" s="15"/>
    </row>
    <row r="85" ht="15.75" customHeight="1">
      <c r="A85" s="14" t="str">
        <f>IFERROR(__xludf.DUMMYFUNCTION("""COMPUTED_VALUE"""),"https://www.sortlist.co.uk/s/performance-marketing/united-kingdom-gb")</f>
        <v>https://www.sortlist.co.uk/s/performance-marketing/united-kingdom-gb</v>
      </c>
      <c r="B85" s="15" t="str">
        <f>IFERROR(__xludf.DUMMYFUNCTION("""COMPUTED_VALUE"""),"The 10 Best Performance Marketing Agencies in The United Kingdom - 2026 Reviews")</f>
        <v>The 10 Best Performance Marketing Agencies in The United Kingdom - 2026 Reviews</v>
      </c>
      <c r="C85" s="14" t="str">
        <f>IFERROR(__xludf.DUMMYFUNCTION("""COMPUTED_VALUE"""),"sortlist.co.uk")</f>
        <v>sortlist.co.uk</v>
      </c>
      <c r="D85" s="15" t="str">
        <f>IFERROR(__xludf.DUMMYFUNCTION("""COMPUTED_VALUE"""),"CATEGORY_PAGE")</f>
        <v>CATEGORY_PAGE</v>
      </c>
      <c r="E85" s="15" t="str">
        <f>IFERROR(__xludf.DUMMYFUNCTION("""COMPUTED_VALUE"""),"REFERENCE")</f>
        <v>REFERENCE</v>
      </c>
      <c r="F85" s="15" t="str">
        <f>IFERROR(__xludf.DUMMYFUNCTION("""COMPUTED_VALUE"""),"Category Page")</f>
        <v>Category Page</v>
      </c>
      <c r="G85" s="15" t="b">
        <f>IFERROR(__xludf.DUMMYFUNCTION("""COMPUTED_VALUE"""),FALSE)</f>
        <v>0</v>
      </c>
      <c r="H85" s="15" t="str">
        <f>IFERROR(__xludf.DUMMYFUNCTION("""COMPUTED_VALUE"""),"Momentum, M3.agency, Found, McKinsey &amp; Company, Push")</f>
        <v>Momentum, M3.agency, Found, McKinsey &amp; Company, Push</v>
      </c>
      <c r="I85" s="15">
        <f>IFERROR(__xludf.DUMMYFUNCTION("""COMPUTED_VALUE"""),23.0)</f>
        <v>23</v>
      </c>
      <c r="J85" s="15">
        <f>IFERROR(__xludf.DUMMYFUNCTION("""COMPUTED_VALUE"""),0.02)</f>
        <v>0.02</v>
      </c>
      <c r="K85" s="15">
        <f>IFERROR(__xludf.DUMMYFUNCTION("""COMPUTED_VALUE"""),0.13)</f>
        <v>0.13</v>
      </c>
      <c r="L85" s="15"/>
    </row>
    <row r="86" ht="15.75" customHeight="1">
      <c r="A86" s="14" t="str">
        <f>IFERROR(__xludf.DUMMYFUNCTION("""COMPUTED_VALUE"""),"https://clutch.co/agencies/ppc/display/uk")</f>
        <v>https://clutch.co/agencies/ppc/display/uk</v>
      </c>
      <c r="B86" s="15" t="str">
        <f>IFERROR(__xludf.DUMMYFUNCTION("""COMPUTED_VALUE"""),"Top Display Advertising Services in the United Kingdom - Jul 2026 Rankings \| Clutch.co")</f>
        <v>Top Display Advertising Services in the United Kingdom - Jul 2026 Rankings \| Clutch.co</v>
      </c>
      <c r="C86" s="14" t="str">
        <f>IFERROR(__xludf.DUMMYFUNCTION("""COMPUTED_VALUE"""),"clutch.co")</f>
        <v>clutch.co</v>
      </c>
      <c r="D86" s="15" t="str">
        <f>IFERROR(__xludf.DUMMYFUNCTION("""COMPUTED_VALUE"""),"OTHER")</f>
        <v>OTHER</v>
      </c>
      <c r="E86" s="15" t="str">
        <f>IFERROR(__xludf.DUMMYFUNCTION("""COMPUTED_VALUE"""),"CORPORATE")</f>
        <v>CORPORATE</v>
      </c>
      <c r="F86" s="15" t="str">
        <f>IFERROR(__xludf.DUMMYFUNCTION("""COMPUTED_VALUE"""),"Other")</f>
        <v>Other</v>
      </c>
      <c r="G86" s="15" t="b">
        <f>IFERROR(__xludf.DUMMYFUNCTION("""COMPUTED_VALUE"""),FALSE)</f>
        <v>0</v>
      </c>
      <c r="H86" s="15" t="str">
        <f>IFERROR(__xludf.DUMMYFUNCTION("""COMPUTED_VALUE"""),"Ninja Promo, Soap Media, The SEO Works, GA Agency, Bind Media, Found")</f>
        <v>Ninja Promo, Soap Media, The SEO Works, GA Agency, Bind Media, Found</v>
      </c>
      <c r="I86" s="15">
        <f>IFERROR(__xludf.DUMMYFUNCTION("""COMPUTED_VALUE"""),22.0)</f>
        <v>22</v>
      </c>
      <c r="J86" s="15">
        <f>IFERROR(__xludf.DUMMYFUNCTION("""COMPUTED_VALUE"""),0.02)</f>
        <v>0.02</v>
      </c>
      <c r="K86" s="15">
        <f>IFERROR(__xludf.DUMMYFUNCTION("""COMPUTED_VALUE"""),1.36)</f>
        <v>1.36</v>
      </c>
      <c r="L86" s="15"/>
    </row>
    <row r="87" ht="15.75" customHeight="1">
      <c r="A87" s="14" t="str">
        <f>IFERROR(__xludf.DUMMYFUNCTION("""COMPUTED_VALUE"""),"https://clutch.co/agencies/social-media-marketing/uk")</f>
        <v>https://clutch.co/agencies/social-media-marketing/uk</v>
      </c>
      <c r="B87" s="15" t="str">
        <f>IFERROR(__xludf.DUMMYFUNCTION("""COMPUTED_VALUE"""),"Top Social Media Marketing Agencies in the United Kingdom - Jul 2026 Rankings \| Clutch.co")</f>
        <v>Top Social Media Marketing Agencies in the United Kingdom - Jul 2026 Rankings \| Clutch.co</v>
      </c>
      <c r="C87" s="14" t="str">
        <f>IFERROR(__xludf.DUMMYFUNCTION("""COMPUTED_VALUE"""),"clutch.co")</f>
        <v>clutch.co</v>
      </c>
      <c r="D87" s="15" t="str">
        <f>IFERROR(__xludf.DUMMYFUNCTION("""COMPUTED_VALUE"""),"CATEGORY_PAGE")</f>
        <v>CATEGORY_PAGE</v>
      </c>
      <c r="E87" s="15" t="str">
        <f>IFERROR(__xludf.DUMMYFUNCTION("""COMPUTED_VALUE"""),"CORPORATE")</f>
        <v>CORPORATE</v>
      </c>
      <c r="F87" s="15" t="str">
        <f>IFERROR(__xludf.DUMMYFUNCTION("""COMPUTED_VALUE"""),"Category Page")</f>
        <v>Category Page</v>
      </c>
      <c r="G87" s="15" t="b">
        <f>IFERROR(__xludf.DUMMYFUNCTION("""COMPUTED_VALUE"""),FALSE)</f>
        <v>0</v>
      </c>
      <c r="H87" s="15" t="str">
        <f>IFERROR(__xludf.DUMMYFUNCTION("""COMPUTED_VALUE"""),"Ninja Promo, ROAST, Favoured, Soap Media, Impression, Found, Momentum, M3.agency, Propeller")</f>
        <v>Ninja Promo, ROAST, Favoured, Soap Media, Impression, Found, Momentum, M3.agency, Propeller</v>
      </c>
      <c r="I87" s="15">
        <f>IFERROR(__xludf.DUMMYFUNCTION("""COMPUTED_VALUE"""),22.0)</f>
        <v>22</v>
      </c>
      <c r="J87" s="15">
        <f>IFERROR(__xludf.DUMMYFUNCTION("""COMPUTED_VALUE"""),0.02)</f>
        <v>0.02</v>
      </c>
      <c r="K87" s="15">
        <f>IFERROR(__xludf.DUMMYFUNCTION("""COMPUTED_VALUE"""),0.68)</f>
        <v>0.68</v>
      </c>
      <c r="L87" s="15"/>
    </row>
    <row r="88" ht="15.75" customHeight="1">
      <c r="A88" s="14" t="str">
        <f>IFERROR(__xludf.DUMMYFUNCTION("""COMPUTED_VALUE"""),"https://www.goodfirms.co/directory/country/top-digital-marketing-companies/gb")</f>
        <v>https://www.goodfirms.co/directory/country/top-digital-marketing-companies/gb</v>
      </c>
      <c r="B88" s="15" t="str">
        <f>IFERROR(__xludf.DUMMYFUNCTION("""COMPUTED_VALUE"""),"Top Digital Marketing Agencies in UK - 2026 Reviews | Goodfirms")</f>
        <v>Top Digital Marketing Agencies in UK - 2026 Reviews | Goodfirms</v>
      </c>
      <c r="C88" s="14" t="str">
        <f>IFERROR(__xludf.DUMMYFUNCTION("""COMPUTED_VALUE"""),"goodfirms.co")</f>
        <v>goodfirms.co</v>
      </c>
      <c r="D88" s="15" t="str">
        <f>IFERROR(__xludf.DUMMYFUNCTION("""COMPUTED_VALUE"""),"CATEGORY_PAGE")</f>
        <v>CATEGORY_PAGE</v>
      </c>
      <c r="E88" s="15" t="str">
        <f>IFERROR(__xludf.DUMMYFUNCTION("""COMPUTED_VALUE"""),"UGC")</f>
        <v>UGC</v>
      </c>
      <c r="F88" s="15" t="str">
        <f>IFERROR(__xludf.DUMMYFUNCTION("""COMPUTED_VALUE"""),"Category Page")</f>
        <v>Category Page</v>
      </c>
      <c r="G88" s="15" t="b">
        <f>IFERROR(__xludf.DUMMYFUNCTION("""COMPUTED_VALUE"""),FALSE)</f>
        <v>0</v>
      </c>
      <c r="H88" s="15" t="str">
        <f>IFERROR(__xludf.DUMMYFUNCTION("""COMPUTED_VALUE"""),"WebFX, The SEO Works, Bird Marketing, Impression, Push, Found")</f>
        <v>WebFX, The SEO Works, Bird Marketing, Impression, Push, Found</v>
      </c>
      <c r="I88" s="15">
        <f>IFERROR(__xludf.DUMMYFUNCTION("""COMPUTED_VALUE"""),22.0)</f>
        <v>22</v>
      </c>
      <c r="J88" s="15">
        <f>IFERROR(__xludf.DUMMYFUNCTION("""COMPUTED_VALUE"""),0.02)</f>
        <v>0.02</v>
      </c>
      <c r="K88" s="15">
        <f>IFERROR(__xludf.DUMMYFUNCTION("""COMPUTED_VALUE"""),0.09)</f>
        <v>0.09</v>
      </c>
      <c r="L88" s="15"/>
    </row>
    <row r="89" ht="15.75" customHeight="1">
      <c r="A89" s="14" t="str">
        <f>IFERROR(__xludf.DUMMYFUNCTION("""COMPUTED_VALUE"""),"https://sellforte.com/blog/best-incrementality-testing-tools")</f>
        <v>https://sellforte.com/blog/best-incrementality-testing-tools</v>
      </c>
      <c r="B89" s="15" t="str">
        <f>IFERROR(__xludf.DUMMYFUNCTION("""COMPUTED_VALUE"""),"Best Incrementality Testing Tools in 2026: In-depth Vendor Comparison")</f>
        <v>Best Incrementality Testing Tools in 2026: In-depth Vendor Comparison</v>
      </c>
      <c r="C89" s="14" t="str">
        <f>IFERROR(__xludf.DUMMYFUNCTION("""COMPUTED_VALUE"""),"sellforte.com")</f>
        <v>sellforte.com</v>
      </c>
      <c r="D89" s="15" t="str">
        <f>IFERROR(__xludf.DUMMYFUNCTION("""COMPUTED_VALUE"""),"COMPARISON")</f>
        <v>COMPARISON</v>
      </c>
      <c r="E89" s="15" t="str">
        <f>IFERROR(__xludf.DUMMYFUNCTION("""COMPUTED_VALUE"""),"COMPETITOR")</f>
        <v>COMPETITOR</v>
      </c>
      <c r="F89" s="15" t="str">
        <f>IFERROR(__xludf.DUMMYFUNCTION("""COMPUTED_VALUE"""),"Comparison")</f>
        <v>Comparison</v>
      </c>
      <c r="G89" s="15" t="b">
        <f>IFERROR(__xludf.DUMMYFUNCTION("""COMPUTED_VALUE"""),FALSE)</f>
        <v>0</v>
      </c>
      <c r="H89" s="15" t="str">
        <f>IFERROR(__xludf.DUMMYFUNCTION("""COMPUTED_VALUE"""),"Sellforte, Measured, Haus, Recast")</f>
        <v>Sellforte, Measured, Haus, Recast</v>
      </c>
      <c r="I89" s="15">
        <f>IFERROR(__xludf.DUMMYFUNCTION("""COMPUTED_VALUE"""),21.0)</f>
        <v>21</v>
      </c>
      <c r="J89" s="15">
        <f>IFERROR(__xludf.DUMMYFUNCTION("""COMPUTED_VALUE"""),0.02)</f>
        <v>0.02</v>
      </c>
      <c r="K89" s="15">
        <f>IFERROR(__xludf.DUMMYFUNCTION("""COMPUTED_VALUE"""),0.95)</f>
        <v>0.95</v>
      </c>
      <c r="L89" s="15"/>
    </row>
    <row r="90" ht="15.75" customHeight="1">
      <c r="A90" s="14" t="str">
        <f>IFERROR(__xludf.DUMMYFUNCTION("""COMPUTED_VALUE"""),"https://slashdot.org/software/incrementality-testing/in-uk/")</f>
        <v>https://slashdot.org/software/incrementality-testing/in-uk/</v>
      </c>
      <c r="B90" s="15" t="str">
        <f>IFERROR(__xludf.DUMMYFUNCTION("""COMPUTED_VALUE"""),"Top Incrementality Testing Tools in the UK in 2026")</f>
        <v>Top Incrementality Testing Tools in the UK in 2026</v>
      </c>
      <c r="C90" s="14" t="str">
        <f>IFERROR(__xludf.DUMMYFUNCTION("""COMPUTED_VALUE"""),"slashdot.org")</f>
        <v>slashdot.org</v>
      </c>
      <c r="D90" s="15" t="str">
        <f>IFERROR(__xludf.DUMMYFUNCTION("""COMPUTED_VALUE"""),"CATEGORY_PAGE")</f>
        <v>CATEGORY_PAGE</v>
      </c>
      <c r="E90" s="15" t="str">
        <f>IFERROR(__xludf.DUMMYFUNCTION("""COMPUTED_VALUE"""),"EDITORIAL")</f>
        <v>EDITORIAL</v>
      </c>
      <c r="F90" s="15" t="str">
        <f>IFERROR(__xludf.DUMMYFUNCTION("""COMPUTED_VALUE"""),"Category Page")</f>
        <v>Category Page</v>
      </c>
      <c r="G90" s="15" t="b">
        <f>IFERROR(__xludf.DUMMYFUNCTION("""COMPUTED_VALUE"""),FALSE)</f>
        <v>0</v>
      </c>
      <c r="H90" s="15" t="str">
        <f>IFERROR(__xludf.DUMMYFUNCTION("""COMPUTED_VALUE"""),"Measured, Sellforte, Rockerbox, Recast, Disrupt Marketing, Haus, Analytic Partners")</f>
        <v>Measured, Sellforte, Rockerbox, Recast, Disrupt Marketing, Haus, Analytic Partners</v>
      </c>
      <c r="I90" s="15">
        <f>IFERROR(__xludf.DUMMYFUNCTION("""COMPUTED_VALUE"""),21.0)</f>
        <v>21</v>
      </c>
      <c r="J90" s="15">
        <f>IFERROR(__xludf.DUMMYFUNCTION("""COMPUTED_VALUE"""),0.02)</f>
        <v>0.02</v>
      </c>
      <c r="K90" s="15">
        <f>IFERROR(__xludf.DUMMYFUNCTION("""COMPUTED_VALUE"""),1.19)</f>
        <v>1.19</v>
      </c>
      <c r="L90" s="15"/>
    </row>
    <row r="91" ht="15.75" customHeight="1">
      <c r="A91" s="14" t="str">
        <f>IFERROR(__xludf.DUMMYFUNCTION("""COMPUTED_VALUE"""),"https://www.superhub.biz/top-19-social-media-marketing-agencies-uk-2026")</f>
        <v>https://www.superhub.biz/top-19-social-media-marketing-agencies-uk-2026</v>
      </c>
      <c r="B91" s="15" t="str">
        <f>IFERROR(__xludf.DUMMYFUNCTION("""COMPUTED_VALUE"""),"Top 19 Social Media Marketing Agencies UK 2026")</f>
        <v>Top 19 Social Media Marketing Agencies UK 2026</v>
      </c>
      <c r="C91" s="14" t="str">
        <f>IFERROR(__xludf.DUMMYFUNCTION("""COMPUTED_VALUE"""),"superhub.biz")</f>
        <v>superhub.biz</v>
      </c>
      <c r="D91" s="15" t="str">
        <f>IFERROR(__xludf.DUMMYFUNCTION("""COMPUTED_VALUE"""),"LISTICLE")</f>
        <v>LISTICLE</v>
      </c>
      <c r="E91" s="15" t="str">
        <f>IFERROR(__xludf.DUMMYFUNCTION("""COMPUTED_VALUE"""),"CORPORATE")</f>
        <v>CORPORATE</v>
      </c>
      <c r="F91" s="15" t="str">
        <f>IFERROR(__xludf.DUMMYFUNCTION("""COMPUTED_VALUE"""),"Listicle")</f>
        <v>Listicle</v>
      </c>
      <c r="G91" s="15" t="b">
        <f>IFERROR(__xludf.DUMMYFUNCTION("""COMPUTED_VALUE"""),FALSE)</f>
        <v>0</v>
      </c>
      <c r="H91" s="15" t="str">
        <f>IFERROR(__xludf.DUMMYFUNCTION("""COMPUTED_VALUE"""),"The Social Shepherd, We Are Social, Born Social, Croud, Social Chain, The Good Marketer, Soap Media")</f>
        <v>The Social Shepherd, We Are Social, Born Social, Croud, Social Chain, The Good Marketer, Soap Media</v>
      </c>
      <c r="I91" s="15">
        <f>IFERROR(__xludf.DUMMYFUNCTION("""COMPUTED_VALUE"""),21.0)</f>
        <v>21</v>
      </c>
      <c r="J91" s="15">
        <f>IFERROR(__xludf.DUMMYFUNCTION("""COMPUTED_VALUE"""),0.02)</f>
        <v>0.02</v>
      </c>
      <c r="K91" s="15">
        <f>IFERROR(__xludf.DUMMYFUNCTION("""COMPUTED_VALUE"""),1.05)</f>
        <v>1.05</v>
      </c>
      <c r="L91" s="15"/>
    </row>
    <row r="92" ht="15.75" customHeight="1">
      <c r="A92" s="14" t="str">
        <f>IFERROR(__xludf.DUMMYFUNCTION("""COMPUTED_VALUE"""),"https://www.51d.co/top-10-ai-strategy-consultants-in-london-for-2026-a-comprehensive-guide/")</f>
        <v>https://www.51d.co/top-10-ai-strategy-consultants-in-london-for-2026-a-comprehensive-guide/</v>
      </c>
      <c r="B92" s="15" t="str">
        <f>IFERROR(__xludf.DUMMYFUNCTION("""COMPUTED_VALUE"""),"Top 10 AI Strategy Consultants in London in 2026: Comprehensive Guide - Fifty One Degrees")</f>
        <v>Top 10 AI Strategy Consultants in London in 2026: Comprehensive Guide - Fifty One Degrees</v>
      </c>
      <c r="C92" s="14" t="str">
        <f>IFERROR(__xludf.DUMMYFUNCTION("""COMPUTED_VALUE"""),"51d.co")</f>
        <v>51d.co</v>
      </c>
      <c r="D92" s="15" t="str">
        <f>IFERROR(__xludf.DUMMYFUNCTION("""COMPUTED_VALUE"""),"LISTICLE")</f>
        <v>LISTICLE</v>
      </c>
      <c r="E92" s="15" t="str">
        <f>IFERROR(__xludf.DUMMYFUNCTION("""COMPUTED_VALUE"""),"CORPORATE")</f>
        <v>CORPORATE</v>
      </c>
      <c r="F92" s="15" t="str">
        <f>IFERROR(__xludf.DUMMYFUNCTION("""COMPUTED_VALUE"""),"Listicle")</f>
        <v>Listicle</v>
      </c>
      <c r="G92" s="15" t="b">
        <f>IFERROR(__xludf.DUMMYFUNCTION("""COMPUTED_VALUE"""),FALSE)</f>
        <v>0</v>
      </c>
      <c r="H92" s="15" t="str">
        <f>IFERROR(__xludf.DUMMYFUNCTION("""COMPUTED_VALUE"""),"McKinsey &amp; Company, Measured, QuantumBlack")</f>
        <v>McKinsey &amp; Company, Measured, QuantumBlack</v>
      </c>
      <c r="I92" s="15">
        <f>IFERROR(__xludf.DUMMYFUNCTION("""COMPUTED_VALUE"""),20.0)</f>
        <v>20</v>
      </c>
      <c r="J92" s="15">
        <f>IFERROR(__xludf.DUMMYFUNCTION("""COMPUTED_VALUE"""),0.02)</f>
        <v>0.02</v>
      </c>
      <c r="K92" s="15">
        <f>IFERROR(__xludf.DUMMYFUNCTION("""COMPUTED_VALUE"""),0.85)</f>
        <v>0.85</v>
      </c>
      <c r="L92" s="15"/>
    </row>
    <row r="93" ht="15.75" customHeight="1">
      <c r="A93" s="14" t="str">
        <f>IFERROR(__xludf.DUMMYFUNCTION("""COMPUTED_VALUE"""),"https://www.bluearray.co.uk/agency-directory/best-generative-engine-optimisation-geo-agencies-in-the-uk/")</f>
        <v>https://www.bluearray.co.uk/agency-directory/best-generative-engine-optimisation-geo-agencies-in-the-uk/</v>
      </c>
      <c r="B93" s="15" t="str">
        <f>IFERROR(__xludf.DUMMYFUNCTION("""COMPUTED_VALUE"""),"Best Generative Engine Optimisation (GEO) Agencies in the UK | Top AI Search Experts")</f>
        <v>Best Generative Engine Optimisation (GEO) Agencies in the UK | Top AI Search Experts</v>
      </c>
      <c r="C93" s="14" t="str">
        <f>IFERROR(__xludf.DUMMYFUNCTION("""COMPUTED_VALUE"""),"bluearray.co.uk")</f>
        <v>bluearray.co.uk</v>
      </c>
      <c r="D93" s="15" t="str">
        <f>IFERROR(__xludf.DUMMYFUNCTION("""COMPUTED_VALUE"""),"LISTICLE")</f>
        <v>LISTICLE</v>
      </c>
      <c r="E93" s="15" t="str">
        <f>IFERROR(__xludf.DUMMYFUNCTION("""COMPUTED_VALUE"""),"COMPETITOR")</f>
        <v>COMPETITOR</v>
      </c>
      <c r="F93" s="15" t="str">
        <f>IFERROR(__xludf.DUMMYFUNCTION("""COMPUTED_VALUE"""),"Listicle")</f>
        <v>Listicle</v>
      </c>
      <c r="G93" s="15" t="b">
        <f>IFERROR(__xludf.DUMMYFUNCTION("""COMPUTED_VALUE"""),FALSE)</f>
        <v>0</v>
      </c>
      <c r="H93" s="15" t="str">
        <f>IFERROR(__xludf.DUMMYFUNCTION("""COMPUTED_VALUE"""),"Blue Array, Polaris")</f>
        <v>Blue Array, Polaris</v>
      </c>
      <c r="I93" s="15">
        <f>IFERROR(__xludf.DUMMYFUNCTION("""COMPUTED_VALUE"""),20.0)</f>
        <v>20</v>
      </c>
      <c r="J93" s="15">
        <f>IFERROR(__xludf.DUMMYFUNCTION("""COMPUTED_VALUE"""),0.02)</f>
        <v>0.02</v>
      </c>
      <c r="K93" s="15">
        <f>IFERROR(__xludf.DUMMYFUNCTION("""COMPUTED_VALUE"""),0.85)</f>
        <v>0.85</v>
      </c>
      <c r="L93" s="15"/>
    </row>
    <row r="94" ht="15.75" customHeight="1">
      <c r="A94" s="14" t="str">
        <f>IFERROR(__xludf.DUMMYFUNCTION("""COMPUTED_VALUE"""),"https://inbeat.agency/blog/top-digital-marketing-agencies-in-the-uk")</f>
        <v>https://inbeat.agency/blog/top-digital-marketing-agencies-in-the-uk</v>
      </c>
      <c r="B94" s="15" t="str">
        <f>IFERROR(__xludf.DUMMYFUNCTION("""COMPUTED_VALUE"""),"Top 31 Digital Marketing Agencies in the UK [2026 Review] - inBeat Agency")</f>
        <v>Top 31 Digital Marketing Agencies in the UK [2026 Review] - inBeat Agency</v>
      </c>
      <c r="C94" s="15" t="str">
        <f>IFERROR(__xludf.DUMMYFUNCTION("""COMPUTED_VALUE"""),"inbeat.agency")</f>
        <v>inbeat.agency</v>
      </c>
      <c r="D94" s="15" t="str">
        <f>IFERROR(__xludf.DUMMYFUNCTION("""COMPUTED_VALUE"""),"LISTICLE")</f>
        <v>LISTICLE</v>
      </c>
      <c r="E94" s="15" t="str">
        <f>IFERROR(__xludf.DUMMYFUNCTION("""COMPUTED_VALUE"""),"COMPETITOR")</f>
        <v>COMPETITOR</v>
      </c>
      <c r="F94" s="15" t="str">
        <f>IFERROR(__xludf.DUMMYFUNCTION("""COMPUTED_VALUE"""),"Listicle")</f>
        <v>Listicle</v>
      </c>
      <c r="G94" s="15" t="b">
        <f>IFERROR(__xludf.DUMMYFUNCTION("""COMPUTED_VALUE"""),FALSE)</f>
        <v>0</v>
      </c>
      <c r="H94" s="15" t="str">
        <f>IFERROR(__xludf.DUMMYFUNCTION("""COMPUTED_VALUE"""),"inBeat, Nielsen, Impression, Found, The Social Shepherd, Social Chain, Saatchi &amp; Saatchi, BBH London, We Are Social, Gripped, Soap Media, Make Agency")</f>
        <v>inBeat, Nielsen, Impression, Found, The Social Shepherd, Social Chain, Saatchi &amp; Saatchi, BBH London, We Are Social, Gripped, Soap Media, Make Agency</v>
      </c>
      <c r="I94" s="15">
        <f>IFERROR(__xludf.DUMMYFUNCTION("""COMPUTED_VALUE"""),20.0)</f>
        <v>20</v>
      </c>
      <c r="J94" s="15">
        <f>IFERROR(__xludf.DUMMYFUNCTION("""COMPUTED_VALUE"""),0.02)</f>
        <v>0.02</v>
      </c>
      <c r="K94" s="15">
        <f>IFERROR(__xludf.DUMMYFUNCTION("""COMPUTED_VALUE"""),0.0)</f>
        <v>0</v>
      </c>
      <c r="L94" s="15"/>
    </row>
    <row r="95" ht="15.75" customHeight="1">
      <c r="A95" s="14" t="str">
        <f>IFERROR(__xludf.DUMMYFUNCTION("""COMPUTED_VALUE"""),"https://seocompare.co.uk/best-geo-agencies-uk/")</f>
        <v>https://seocompare.co.uk/best-geo-agencies-uk/</v>
      </c>
      <c r="B95" s="15" t="str">
        <f>IFERROR(__xludf.DUMMYFUNCTION("""COMPUTED_VALUE"""),"Best GEO Agencies UK 2026 - Compared | SEOCompare")</f>
        <v>Best GEO Agencies UK 2026 - Compared | SEOCompare</v>
      </c>
      <c r="C95" s="14" t="str">
        <f>IFERROR(__xludf.DUMMYFUNCTION("""COMPUTED_VALUE"""),"seocompare.co.uk")</f>
        <v>seocompare.co.uk</v>
      </c>
      <c r="D95" s="15" t="str">
        <f>IFERROR(__xludf.DUMMYFUNCTION("""COMPUTED_VALUE"""),"LISTICLE")</f>
        <v>LISTICLE</v>
      </c>
      <c r="E95" s="15" t="str">
        <f>IFERROR(__xludf.DUMMYFUNCTION("""COMPUTED_VALUE"""),"EDITORIAL")</f>
        <v>EDITORIAL</v>
      </c>
      <c r="F95" s="15" t="str">
        <f>IFERROR(__xludf.DUMMYFUNCTION("""COMPUTED_VALUE"""),"Listicle")</f>
        <v>Listicle</v>
      </c>
      <c r="G95" s="15" t="b">
        <f>IFERROR(__xludf.DUMMYFUNCTION("""COMPUTED_VALUE"""),FALSE)</f>
        <v>0</v>
      </c>
      <c r="H95" s="15" t="str">
        <f>IFERROR(__xludf.DUMMYFUNCTION("""COMPUTED_VALUE"""),"Found, Rank4AI, ClickSlice")</f>
        <v>Found, Rank4AI, ClickSlice</v>
      </c>
      <c r="I95" s="15">
        <f>IFERROR(__xludf.DUMMYFUNCTION("""COMPUTED_VALUE"""),20.0)</f>
        <v>20</v>
      </c>
      <c r="J95" s="15">
        <f>IFERROR(__xludf.DUMMYFUNCTION("""COMPUTED_VALUE"""),0.02)</f>
        <v>0.02</v>
      </c>
      <c r="K95" s="15">
        <f>IFERROR(__xludf.DUMMYFUNCTION("""COMPUTED_VALUE"""),3.2)</f>
        <v>3.2</v>
      </c>
      <c r="L95" s="15"/>
    </row>
    <row r="96" ht="15.75" customHeight="1">
      <c r="A96" s="14" t="str">
        <f>IFERROR(__xludf.DUMMYFUNCTION("""COMPUTED_VALUE"""),"https://www.sortlist.co.uk/s/display-advertising/england-england-gb")</f>
        <v>https://www.sortlist.co.uk/s/display-advertising/england-england-gb</v>
      </c>
      <c r="B96" s="15" t="str">
        <f>IFERROR(__xludf.DUMMYFUNCTION("""COMPUTED_VALUE"""),"The 10 Best Display Advertising Agencies in England - 2026 Reviews")</f>
        <v>The 10 Best Display Advertising Agencies in England - 2026 Reviews</v>
      </c>
      <c r="C96" s="14" t="str">
        <f>IFERROR(__xludf.DUMMYFUNCTION("""COMPUTED_VALUE"""),"sortlist.co.uk")</f>
        <v>sortlist.co.uk</v>
      </c>
      <c r="D96" s="15" t="str">
        <f>IFERROR(__xludf.DUMMYFUNCTION("""COMPUTED_VALUE"""),"CATEGORY_PAGE")</f>
        <v>CATEGORY_PAGE</v>
      </c>
      <c r="E96" s="15" t="str">
        <f>IFERROR(__xludf.DUMMYFUNCTION("""COMPUTED_VALUE"""),"REFERENCE")</f>
        <v>REFERENCE</v>
      </c>
      <c r="F96" s="15" t="str">
        <f>IFERROR(__xludf.DUMMYFUNCTION("""COMPUTED_VALUE"""),"Category Page")</f>
        <v>Category Page</v>
      </c>
      <c r="G96" s="15" t="b">
        <f>IFERROR(__xludf.DUMMYFUNCTION("""COMPUTED_VALUE"""),FALSE)</f>
        <v>0</v>
      </c>
      <c r="H96" s="15" t="str">
        <f>IFERROR(__xludf.DUMMYFUNCTION("""COMPUTED_VALUE"""),"Found, Momentum, M3.agency, Ninja Promo")</f>
        <v>Found, Momentum, M3.agency, Ninja Promo</v>
      </c>
      <c r="I96" s="15">
        <f>IFERROR(__xludf.DUMMYFUNCTION("""COMPUTED_VALUE"""),20.0)</f>
        <v>20</v>
      </c>
      <c r="J96" s="15">
        <f>IFERROR(__xludf.DUMMYFUNCTION("""COMPUTED_VALUE"""),0.02)</f>
        <v>0.02</v>
      </c>
      <c r="K96" s="15">
        <f>IFERROR(__xludf.DUMMYFUNCTION("""COMPUTED_VALUE"""),0.2)</f>
        <v>0.2</v>
      </c>
      <c r="L96" s="15"/>
    </row>
    <row r="97" ht="15.75" customHeight="1">
      <c r="A97" s="14" t="str">
        <f>IFERROR(__xludf.DUMMYFUNCTION("""COMPUTED_VALUE"""),"https://delivix.digital/marketing/ai-marketing-agencies-in-the-uk/")</f>
        <v>https://delivix.digital/marketing/ai-marketing-agencies-in-the-uk/</v>
      </c>
      <c r="B97" s="15" t="str">
        <f>IFERROR(__xludf.DUMMYFUNCTION("""COMPUTED_VALUE"""),"10 best AI marketing agencies in the UK - Delivix")</f>
        <v>10 best AI marketing agencies in the UK - Delivix</v>
      </c>
      <c r="C97" s="15" t="str">
        <f>IFERROR(__xludf.DUMMYFUNCTION("""COMPUTED_VALUE"""),"delivix.digital")</f>
        <v>delivix.digital</v>
      </c>
      <c r="D97" s="15" t="str">
        <f>IFERROR(__xludf.DUMMYFUNCTION("""COMPUTED_VALUE"""),"LISTICLE")</f>
        <v>LISTICLE</v>
      </c>
      <c r="E97" s="15" t="str">
        <f>IFERROR(__xludf.DUMMYFUNCTION("""COMPUTED_VALUE"""),"CORPORATE")</f>
        <v>CORPORATE</v>
      </c>
      <c r="F97" s="15" t="str">
        <f>IFERROR(__xludf.DUMMYFUNCTION("""COMPUTED_VALUE"""),"Listicle")</f>
        <v>Listicle</v>
      </c>
      <c r="G97" s="15" t="b">
        <f>IFERROR(__xludf.DUMMYFUNCTION("""COMPUTED_VALUE"""),FALSE)</f>
        <v>0</v>
      </c>
      <c r="H97" s="15" t="str">
        <f>IFERROR(__xludf.DUMMYFUNCTION("""COMPUTED_VALUE"""),"Found, Hallam, VCCP, Push, Koozai, Open Partners")</f>
        <v>Found, Hallam, VCCP, Push, Koozai, Open Partners</v>
      </c>
      <c r="I97" s="15">
        <f>IFERROR(__xludf.DUMMYFUNCTION("""COMPUTED_VALUE"""),19.0)</f>
        <v>19</v>
      </c>
      <c r="J97" s="15">
        <f>IFERROR(__xludf.DUMMYFUNCTION("""COMPUTED_VALUE"""),0.02)</f>
        <v>0.02</v>
      </c>
      <c r="K97" s="15">
        <f>IFERROR(__xludf.DUMMYFUNCTION("""COMPUTED_VALUE"""),0.42)</f>
        <v>0.42</v>
      </c>
      <c r="L97" s="15"/>
    </row>
    <row r="98" ht="15.75" customHeight="1">
      <c r="A98" s="14" t="str">
        <f>IFERROR(__xludf.DUMMYFUNCTION("""COMPUTED_VALUE"""),"https://www.sortlist.co.uk/s/performance-marketing/london-england-gb")</f>
        <v>https://www.sortlist.co.uk/s/performance-marketing/london-england-gb</v>
      </c>
      <c r="B98" s="15" t="str">
        <f>IFERROR(__xludf.DUMMYFUNCTION("""COMPUTED_VALUE"""),"The 10 Best Performance Marketing Agencies in London - 2026 Reviews")</f>
        <v>The 10 Best Performance Marketing Agencies in London - 2026 Reviews</v>
      </c>
      <c r="C98" s="14" t="str">
        <f>IFERROR(__xludf.DUMMYFUNCTION("""COMPUTED_VALUE"""),"sortlist.co.uk")</f>
        <v>sortlist.co.uk</v>
      </c>
      <c r="D98" s="15" t="str">
        <f>IFERROR(__xludf.DUMMYFUNCTION("""COMPUTED_VALUE"""),"CATEGORY_PAGE")</f>
        <v>CATEGORY_PAGE</v>
      </c>
      <c r="E98" s="15" t="str">
        <f>IFERROR(__xludf.DUMMYFUNCTION("""COMPUTED_VALUE"""),"REFERENCE")</f>
        <v>REFERENCE</v>
      </c>
      <c r="F98" s="15" t="str">
        <f>IFERROR(__xludf.DUMMYFUNCTION("""COMPUTED_VALUE"""),"Category Page")</f>
        <v>Category Page</v>
      </c>
      <c r="G98" s="15" t="b">
        <f>IFERROR(__xludf.DUMMYFUNCTION("""COMPUTED_VALUE"""),FALSE)</f>
        <v>0</v>
      </c>
      <c r="H98" s="15" t="str">
        <f>IFERROR(__xludf.DUMMYFUNCTION("""COMPUTED_VALUE"""),"Push, Triple Whale, Northbeam, Whitehat, Found, Momentum, M3.agency")</f>
        <v>Push, Triple Whale, Northbeam, Whitehat, Found, Momentum, M3.agency</v>
      </c>
      <c r="I98" s="15">
        <f>IFERROR(__xludf.DUMMYFUNCTION("""COMPUTED_VALUE"""),19.0)</f>
        <v>19</v>
      </c>
      <c r="J98" s="15">
        <f>IFERROR(__xludf.DUMMYFUNCTION("""COMPUTED_VALUE"""),0.02)</f>
        <v>0.02</v>
      </c>
      <c r="K98" s="15">
        <f>IFERROR(__xludf.DUMMYFUNCTION("""COMPUTED_VALUE"""),0.11)</f>
        <v>0.11</v>
      </c>
      <c r="L98" s="15"/>
    </row>
    <row r="99" ht="15.75" customHeight="1">
      <c r="A99" s="14" t="str">
        <f>IFERROR(__xludf.DUMMYFUNCTION("""COMPUTED_VALUE"""),"https://thatware.co/top-10-geo-companies-in-uk/")</f>
        <v>https://thatware.co/top-10-geo-companies-in-uk/</v>
      </c>
      <c r="B99" s="15" t="str">
        <f>IFERROR(__xludf.DUMMYFUNCTION("""COMPUTED_VALUE"""),"Top GEO Companies in UK \| 10 Best UK GEO Agencies")</f>
        <v>Top GEO Companies in UK \| 10 Best UK GEO Agencies</v>
      </c>
      <c r="C99" s="14" t="str">
        <f>IFERROR(__xludf.DUMMYFUNCTION("""COMPUTED_VALUE"""),"thatware.co")</f>
        <v>thatware.co</v>
      </c>
      <c r="D99" s="15" t="str">
        <f>IFERROR(__xludf.DUMMYFUNCTION("""COMPUTED_VALUE"""),"LISTICLE")</f>
        <v>LISTICLE</v>
      </c>
      <c r="E99" s="15" t="str">
        <f>IFERROR(__xludf.DUMMYFUNCTION("""COMPUTED_VALUE"""),"CORPORATE")</f>
        <v>CORPORATE</v>
      </c>
      <c r="F99" s="15" t="str">
        <f>IFERROR(__xludf.DUMMYFUNCTION("""COMPUTED_VALUE"""),"Listicle")</f>
        <v>Listicle</v>
      </c>
      <c r="G99" s="15" t="b">
        <f>IFERROR(__xludf.DUMMYFUNCTION("""COMPUTED_VALUE"""),FALSE)</f>
        <v>0</v>
      </c>
      <c r="H99" s="15" t="str">
        <f>IFERROR(__xludf.DUMMYFUNCTION("""COMPUTED_VALUE"""),"Varn, Blue Array, Bird Marketing, Found")</f>
        <v>Varn, Blue Array, Bird Marketing, Found</v>
      </c>
      <c r="I99" s="15">
        <f>IFERROR(__xludf.DUMMYFUNCTION("""COMPUTED_VALUE"""),19.0)</f>
        <v>19</v>
      </c>
      <c r="J99" s="15">
        <f>IFERROR(__xludf.DUMMYFUNCTION("""COMPUTED_VALUE"""),0.02)</f>
        <v>0.02</v>
      </c>
      <c r="K99" s="15">
        <f>IFERROR(__xludf.DUMMYFUNCTION("""COMPUTED_VALUE"""),0.0)</f>
        <v>0</v>
      </c>
      <c r="L99" s="15"/>
    </row>
    <row r="100" ht="15.75" customHeight="1">
      <c r="A100" s="14" t="str">
        <f>IFERROR(__xludf.DUMMYFUNCTION("""COMPUTED_VALUE"""),"https://clutch.co/consulting/ai/uk")</f>
        <v>https://clutch.co/consulting/ai/uk</v>
      </c>
      <c r="B100" s="15" t="str">
        <f>IFERROR(__xludf.DUMMYFUNCTION("""COMPUTED_VALUE"""),"Top AI Consultants in the United Kingdom - Jul 2026 Rankings \| Clutch.co")</f>
        <v>Top AI Consultants in the United Kingdom - Jul 2026 Rankings \| Clutch.co</v>
      </c>
      <c r="C100" s="14" t="str">
        <f>IFERROR(__xludf.DUMMYFUNCTION("""COMPUTED_VALUE"""),"clutch.co")</f>
        <v>clutch.co</v>
      </c>
      <c r="D100" s="15" t="str">
        <f>IFERROR(__xludf.DUMMYFUNCTION("""COMPUTED_VALUE"""),"CATEGORY_PAGE")</f>
        <v>CATEGORY_PAGE</v>
      </c>
      <c r="E100" s="15" t="str">
        <f>IFERROR(__xludf.DUMMYFUNCTION("""COMPUTED_VALUE"""),"CORPORATE")</f>
        <v>CORPORATE</v>
      </c>
      <c r="F100" s="15" t="str">
        <f>IFERROR(__xludf.DUMMYFUNCTION("""COMPUTED_VALUE"""),"Category Page")</f>
        <v>Category Page</v>
      </c>
      <c r="G100" s="15" t="b">
        <f>IFERROR(__xludf.DUMMYFUNCTION("""COMPUTED_VALUE"""),FALSE)</f>
        <v>0</v>
      </c>
      <c r="H100" s="15" t="str">
        <f>IFERROR(__xludf.DUMMYFUNCTION("""COMPUTED_VALUE"""),"Found")</f>
        <v>Found</v>
      </c>
      <c r="I100" s="15">
        <f>IFERROR(__xludf.DUMMYFUNCTION("""COMPUTED_VALUE"""),18.0)</f>
        <v>18</v>
      </c>
      <c r="J100" s="15">
        <f>IFERROR(__xludf.DUMMYFUNCTION("""COMPUTED_VALUE"""),0.02)</f>
        <v>0.02</v>
      </c>
      <c r="K100" s="15">
        <f>IFERROR(__xludf.DUMMYFUNCTION("""COMPUTED_VALUE"""),0.06)</f>
        <v>0.06</v>
      </c>
      <c r="L100" s="15"/>
    </row>
    <row r="101" ht="15.75" customHeight="1">
      <c r="A101" s="14" t="str">
        <f>IFERROR(__xludf.DUMMYFUNCTION("""COMPUTED_VALUE"""),"https://www.designrush.com/agency/digital-marketing/uk")</f>
        <v>https://www.designrush.com/agency/digital-marketing/uk</v>
      </c>
      <c r="B101" s="15" t="str">
        <f>IFERROR(__xludf.DUMMYFUNCTION("""COMPUTED_VALUE"""),"Top Digital Marketing Agencies in the United Kingdom | 2026")</f>
        <v>Top Digital Marketing Agencies in the United Kingdom | 2026</v>
      </c>
      <c r="C101" s="14" t="str">
        <f>IFERROR(__xludf.DUMMYFUNCTION("""COMPUTED_VALUE"""),"designrush.com")</f>
        <v>designrush.com</v>
      </c>
      <c r="D101" s="15" t="str">
        <f>IFERROR(__xludf.DUMMYFUNCTION("""COMPUTED_VALUE"""),"CATEGORY_PAGE")</f>
        <v>CATEGORY_PAGE</v>
      </c>
      <c r="E101" s="15" t="str">
        <f>IFERROR(__xludf.DUMMYFUNCTION("""COMPUTED_VALUE"""),"CORPORATE")</f>
        <v>CORPORATE</v>
      </c>
      <c r="F101" s="15" t="str">
        <f>IFERROR(__xludf.DUMMYFUNCTION("""COMPUTED_VALUE"""),"Category Page")</f>
        <v>Category Page</v>
      </c>
      <c r="G101" s="15" t="b">
        <f>IFERROR(__xludf.DUMMYFUNCTION("""COMPUTED_VALUE"""),FALSE)</f>
        <v>0</v>
      </c>
      <c r="H101" s="15" t="str">
        <f>IFERROR(__xludf.DUMMYFUNCTION("""COMPUTED_VALUE"""),"Bird Marketing, Genie Crawl, Nielsen, Favoured, WebFX, Directive Consulting, Momentum")</f>
        <v>Bird Marketing, Genie Crawl, Nielsen, Favoured, WebFX, Directive Consulting, Momentum</v>
      </c>
      <c r="I101" s="15">
        <f>IFERROR(__xludf.DUMMYFUNCTION("""COMPUTED_VALUE"""),18.0)</f>
        <v>18</v>
      </c>
      <c r="J101" s="15">
        <f>IFERROR(__xludf.DUMMYFUNCTION("""COMPUTED_VALUE"""),0.02)</f>
        <v>0.02</v>
      </c>
      <c r="K101" s="15">
        <f>IFERROR(__xludf.DUMMYFUNCTION("""COMPUTED_VALUE"""),0.0)</f>
        <v>0</v>
      </c>
      <c r="L101" s="15"/>
    </row>
    <row r="102" ht="15.75" customHeight="1">
      <c r="A102" s="14" t="str">
        <f>IFERROR(__xludf.DUMMYFUNCTION("""COMPUTED_VALUE"""),"https://www.leverdigital.co.uk/guides/top-10-google-ad-management-agencies-uk")</f>
        <v>https://www.leverdigital.co.uk/guides/top-10-google-ad-management-agencies-uk</v>
      </c>
      <c r="B102" s="15" t="str">
        <f>IFERROR(__xludf.DUMMYFUNCTION("""COMPUTED_VALUE"""),"Top 10 Google Ad Management Agencies in the UK (2026 Guide)")</f>
        <v>Top 10 Google Ad Management Agencies in the UK (2026 Guide)</v>
      </c>
      <c r="C102" s="14" t="str">
        <f>IFERROR(__xludf.DUMMYFUNCTION("""COMPUTED_VALUE"""),"leverdigital.co.uk")</f>
        <v>leverdigital.co.uk</v>
      </c>
      <c r="D102" s="15" t="str">
        <f>IFERROR(__xludf.DUMMYFUNCTION("""COMPUTED_VALUE"""),"LISTICLE")</f>
        <v>LISTICLE</v>
      </c>
      <c r="E102" s="15" t="str">
        <f>IFERROR(__xludf.DUMMYFUNCTION("""COMPUTED_VALUE"""),"CORPORATE")</f>
        <v>CORPORATE</v>
      </c>
      <c r="F102" s="15" t="str">
        <f>IFERROR(__xludf.DUMMYFUNCTION("""COMPUTED_VALUE"""),"Listicle")</f>
        <v>Listicle</v>
      </c>
      <c r="G102" s="15" t="b">
        <f>IFERROR(__xludf.DUMMYFUNCTION("""COMPUTED_VALUE"""),FALSE)</f>
        <v>0</v>
      </c>
      <c r="H102" s="15" t="str">
        <f>IFERROR(__xludf.DUMMYFUNCTION("""COMPUTED_VALUE"""),"Gripped, Impression, Brainlabs, Huge, Push, Push Group, PPC Geeks, The Social Shepherd")</f>
        <v>Gripped, Impression, Brainlabs, Huge, Push, Push Group, PPC Geeks, The Social Shepherd</v>
      </c>
      <c r="I102" s="15">
        <f>IFERROR(__xludf.DUMMYFUNCTION("""COMPUTED_VALUE"""),18.0)</f>
        <v>18</v>
      </c>
      <c r="J102" s="15">
        <f>IFERROR(__xludf.DUMMYFUNCTION("""COMPUTED_VALUE"""),0.02)</f>
        <v>0.02</v>
      </c>
      <c r="K102" s="15">
        <f>IFERROR(__xludf.DUMMYFUNCTION("""COMPUTED_VALUE"""),1.56)</f>
        <v>1.56</v>
      </c>
      <c r="L102" s="15"/>
    </row>
    <row r="103" ht="15.75" customHeight="1">
      <c r="A103" s="14" t="str">
        <f>IFERROR(__xludf.DUMMYFUNCTION("""COMPUTED_VALUE"""),"https://www.okapiandco.co.uk/blog/best-geo-agencies-uk-2026")</f>
        <v>https://www.okapiandco.co.uk/blog/best-geo-agencies-uk-2026</v>
      </c>
      <c r="B103" s="15" t="str">
        <f>IFERROR(__xludf.DUMMYFUNCTION("""COMPUTED_VALUE"""),"Best GEO Agencies in the UK (2026): Who Is Actually Doing AI Search? | Okapi &amp;amp; Co")</f>
        <v>Best GEO Agencies in the UK (2026): Who Is Actually Doing AI Search? | Okapi &amp;amp; Co</v>
      </c>
      <c r="C103" s="14" t="str">
        <f>IFERROR(__xludf.DUMMYFUNCTION("""COMPUTED_VALUE"""),"okapiandco.co.uk")</f>
        <v>okapiandco.co.uk</v>
      </c>
      <c r="D103" s="15" t="str">
        <f>IFERROR(__xludf.DUMMYFUNCTION("""COMPUTED_VALUE"""),"LISTICLE")</f>
        <v>LISTICLE</v>
      </c>
      <c r="E103" s="15" t="str">
        <f>IFERROR(__xludf.DUMMYFUNCTION("""COMPUTED_VALUE"""),"CORPORATE")</f>
        <v>CORPORATE</v>
      </c>
      <c r="F103" s="15" t="str">
        <f>IFERROR(__xludf.DUMMYFUNCTION("""COMPUTED_VALUE"""),"Listicle")</f>
        <v>Listicle</v>
      </c>
      <c r="G103" s="15" t="b">
        <f>IFERROR(__xludf.DUMMYFUNCTION("""COMPUTED_VALUE"""),FALSE)</f>
        <v>0</v>
      </c>
      <c r="H103" s="15" t="str">
        <f>IFERROR(__xludf.DUMMYFUNCTION("""COMPUTED_VALUE"""),"Impression, Koozai, Found")</f>
        <v>Impression, Koozai, Found</v>
      </c>
      <c r="I103" s="15">
        <f>IFERROR(__xludf.DUMMYFUNCTION("""COMPUTED_VALUE"""),18.0)</f>
        <v>18</v>
      </c>
      <c r="J103" s="15">
        <f>IFERROR(__xludf.DUMMYFUNCTION("""COMPUTED_VALUE"""),0.02)</f>
        <v>0.02</v>
      </c>
      <c r="K103" s="15">
        <f>IFERROR(__xludf.DUMMYFUNCTION("""COMPUTED_VALUE"""),0.39)</f>
        <v>0.39</v>
      </c>
      <c r="L103" s="15"/>
    </row>
    <row r="104" ht="15.75" customHeight="1">
      <c r="A104" s="14" t="str">
        <f>IFERROR(__xludf.DUMMYFUNCTION("""COMPUTED_VALUE"""),"https://techbehemoths.com/companies/marketing-analytics/united-kingdom")</f>
        <v>https://techbehemoths.com/companies/marketing-analytics/united-kingdom</v>
      </c>
      <c r="B104" s="15" t="str">
        <f>IFERROR(__xludf.DUMMYFUNCTION("""COMPUTED_VALUE"""),"Top 20+ Marketing analytics Companies in United Kingdom (2026) - TechBehemoths")</f>
        <v>Top 20+ Marketing analytics Companies in United Kingdom (2026) - TechBehemoths</v>
      </c>
      <c r="C104" s="14" t="str">
        <f>IFERROR(__xludf.DUMMYFUNCTION("""COMPUTED_VALUE"""),"techbehemoths.com")</f>
        <v>techbehemoths.com</v>
      </c>
      <c r="D104" s="15" t="str">
        <f>IFERROR(__xludf.DUMMYFUNCTION("""COMPUTED_VALUE"""),"PROFILE")</f>
        <v>PROFILE</v>
      </c>
      <c r="E104" s="15" t="str">
        <f>IFERROR(__xludf.DUMMYFUNCTION("""COMPUTED_VALUE"""),"REFERENCE")</f>
        <v>REFERENCE</v>
      </c>
      <c r="F104" s="15" t="str">
        <f>IFERROR(__xludf.DUMMYFUNCTION("""COMPUTED_VALUE"""),"Profile")</f>
        <v>Profile</v>
      </c>
      <c r="G104" s="15" t="b">
        <f>IFERROR(__xludf.DUMMYFUNCTION("""COMPUTED_VALUE"""),FALSE)</f>
        <v>0</v>
      </c>
      <c r="H104" s="15" t="str">
        <f>IFERROR(__xludf.DUMMYFUNCTION("""COMPUTED_VALUE"""),"Found")</f>
        <v>Found</v>
      </c>
      <c r="I104" s="15">
        <f>IFERROR(__xludf.DUMMYFUNCTION("""COMPUTED_VALUE"""),18.0)</f>
        <v>18</v>
      </c>
      <c r="J104" s="15">
        <f>IFERROR(__xludf.DUMMYFUNCTION("""COMPUTED_VALUE"""),0.02)</f>
        <v>0.02</v>
      </c>
      <c r="K104" s="15">
        <f>IFERROR(__xludf.DUMMYFUNCTION("""COMPUTED_VALUE"""),0.06)</f>
        <v>0.06</v>
      </c>
      <c r="L104" s="15"/>
    </row>
    <row r="105" ht="15.75" customHeight="1">
      <c r="A105" s="14" t="str">
        <f>IFERROR(__xludf.DUMMYFUNCTION("""COMPUTED_VALUE"""),"https://www.munro.agency/top-performance-marketing-agencies/")</f>
        <v>https://www.munro.agency/top-performance-marketing-agencies/</v>
      </c>
      <c r="B105" s="15" t="str">
        <f>IFERROR(__xludf.DUMMYFUNCTION("""COMPUTED_VALUE"""),"Top 15 Performance Marketing Agencies for 2026")</f>
        <v>Top 15 Performance Marketing Agencies for 2026</v>
      </c>
      <c r="C105" s="15" t="str">
        <f>IFERROR(__xludf.DUMMYFUNCTION("""COMPUTED_VALUE"""),"munro.agency")</f>
        <v>munro.agency</v>
      </c>
      <c r="D105" s="15" t="str">
        <f>IFERROR(__xludf.DUMMYFUNCTION("""COMPUTED_VALUE"""),"LISTICLE")</f>
        <v>LISTICLE</v>
      </c>
      <c r="E105" s="15" t="str">
        <f>IFERROR(__xludf.DUMMYFUNCTION("""COMPUTED_VALUE"""),"CORPORATE")</f>
        <v>CORPORATE</v>
      </c>
      <c r="F105" s="15" t="str">
        <f>IFERROR(__xludf.DUMMYFUNCTION("""COMPUTED_VALUE"""),"Listicle")</f>
        <v>Listicle</v>
      </c>
      <c r="G105" s="15" t="b">
        <f>IFERROR(__xludf.DUMMYFUNCTION("""COMPUTED_VALUE"""),FALSE)</f>
        <v>0</v>
      </c>
      <c r="H105" s="15" t="str">
        <f>IFERROR(__xludf.DUMMYFUNCTION("""COMPUTED_VALUE"""),"WebFX, Gripped, Directive Consulting, The Brains, Gravity Global")</f>
        <v>WebFX, Gripped, Directive Consulting, The Brains, Gravity Global</v>
      </c>
      <c r="I105" s="15">
        <f>IFERROR(__xludf.DUMMYFUNCTION("""COMPUTED_VALUE"""),17.0)</f>
        <v>17</v>
      </c>
      <c r="J105" s="15">
        <f>IFERROR(__xludf.DUMMYFUNCTION("""COMPUTED_VALUE"""),0.02)</f>
        <v>0.02</v>
      </c>
      <c r="K105" s="15">
        <f>IFERROR(__xludf.DUMMYFUNCTION("""COMPUTED_VALUE"""),0.35)</f>
        <v>0.35</v>
      </c>
      <c r="L105" s="15"/>
    </row>
    <row r="106" ht="15.75" customHeight="1">
      <c r="A106" s="14" t="str">
        <f>IFERROR(__xludf.DUMMYFUNCTION("""COMPUTED_VALUE"""),"https://thesocialshepherd.com/blog/top-digital-marketing-agencies-uk#:~:text=They%20believe%20that%20weaving%20stories,Gripped")</f>
        <v>https://thesocialshepherd.com/blog/top-digital-marketing-agencies-uk#:~:text=They%20believe%20that%20weaving%20stories,Gripped</v>
      </c>
      <c r="B106" s="15" t="str">
        <f>IFERROR(__xludf.DUMMYFUNCTION("""COMPUTED_VALUE"""),"The Social Shepherd | Top 17 Digital Marketing Agencies In The UK…")</f>
        <v>The Social Shepherd | Top 17 Digital Marketing Agencies In The UK…</v>
      </c>
      <c r="C106" s="14" t="str">
        <f>IFERROR(__xludf.DUMMYFUNCTION("""COMPUTED_VALUE"""),"thesocialshepherd.com")</f>
        <v>thesocialshepherd.com</v>
      </c>
      <c r="D106" s="15" t="str">
        <f>IFERROR(__xludf.DUMMYFUNCTION("""COMPUTED_VALUE"""),"OTHER")</f>
        <v>OTHER</v>
      </c>
      <c r="E106" s="15" t="str">
        <f>IFERROR(__xludf.DUMMYFUNCTION("""COMPUTED_VALUE"""),"COMPETITOR")</f>
        <v>COMPETITOR</v>
      </c>
      <c r="F106" s="15" t="str">
        <f>IFERROR(__xludf.DUMMYFUNCTION("""COMPUTED_VALUE"""),"Other")</f>
        <v>Other</v>
      </c>
      <c r="G106" s="15" t="b">
        <f>IFERROR(__xludf.DUMMYFUNCTION("""COMPUTED_VALUE"""),FALSE)</f>
        <v>0</v>
      </c>
      <c r="H106" s="15" t="str">
        <f>IFERROR(__xludf.DUMMYFUNCTION("""COMPUTED_VALUE"""),"The Social Shepherd, Gripped, Found, The Good Marketer, Impression, We Are Social, Saatchi &amp; Saatchi, Huge, BBH London")</f>
        <v>The Social Shepherd, Gripped, Found, The Good Marketer, Impression, We Are Social, Saatchi &amp; Saatchi, Huge, BBH London</v>
      </c>
      <c r="I106" s="15">
        <f>IFERROR(__xludf.DUMMYFUNCTION("""COMPUTED_VALUE"""),17.0)</f>
        <v>17</v>
      </c>
      <c r="J106" s="15">
        <f>IFERROR(__xludf.DUMMYFUNCTION("""COMPUTED_VALUE"""),0.02)</f>
        <v>0.02</v>
      </c>
      <c r="K106" s="15">
        <f>IFERROR(__xludf.DUMMYFUNCTION("""COMPUTED_VALUE"""),2.76)</f>
        <v>2.76</v>
      </c>
      <c r="L106" s="15"/>
    </row>
    <row r="107" ht="15.75" customHeight="1">
      <c r="A107" s="14" t="str">
        <f>IFERROR(__xludf.DUMMYFUNCTION("""COMPUTED_VALUE"""),"https://clutch.co/agencies/ppc/uk")</f>
        <v>https://clutch.co/agencies/ppc/uk</v>
      </c>
      <c r="B107" s="15" t="str">
        <f>IFERROR(__xludf.DUMMYFUNCTION("""COMPUTED_VALUE"""),"Top PPC Agencies in the United Kingdom - Jul 2026 Rankings \| Clutch.co")</f>
        <v>Top PPC Agencies in the United Kingdom - Jul 2026 Rankings \| Clutch.co</v>
      </c>
      <c r="C107" s="14" t="str">
        <f>IFERROR(__xludf.DUMMYFUNCTION("""COMPUTED_VALUE"""),"clutch.co")</f>
        <v>clutch.co</v>
      </c>
      <c r="D107" s="15" t="str">
        <f>IFERROR(__xludf.DUMMYFUNCTION("""COMPUTED_VALUE"""),"CATEGORY_PAGE")</f>
        <v>CATEGORY_PAGE</v>
      </c>
      <c r="E107" s="15" t="str">
        <f>IFERROR(__xludf.DUMMYFUNCTION("""COMPUTED_VALUE"""),"CORPORATE")</f>
        <v>CORPORATE</v>
      </c>
      <c r="F107" s="15" t="str">
        <f>IFERROR(__xludf.DUMMYFUNCTION("""COMPUTED_VALUE"""),"Category Page")</f>
        <v>Category Page</v>
      </c>
      <c r="G107" s="15" t="b">
        <f>IFERROR(__xludf.DUMMYFUNCTION("""COMPUTED_VALUE"""),FALSE)</f>
        <v>0</v>
      </c>
      <c r="H107" s="15"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I107" s="15">
        <f>IFERROR(__xludf.DUMMYFUNCTION("""COMPUTED_VALUE"""),16.0)</f>
        <v>16</v>
      </c>
      <c r="J107" s="15">
        <f>IFERROR(__xludf.DUMMYFUNCTION("""COMPUTED_VALUE"""),0.02)</f>
        <v>0.02</v>
      </c>
      <c r="K107" s="15">
        <f>IFERROR(__xludf.DUMMYFUNCTION("""COMPUTED_VALUE"""),0.38)</f>
        <v>0.38</v>
      </c>
      <c r="L107" s="15"/>
    </row>
    <row r="108" ht="15.75" customHeight="1">
      <c r="A108" s="14" t="str">
        <f>IFERROR(__xludf.DUMMYFUNCTION("""COMPUTED_VALUE"""),"https://www.compare.agency/7-of-the-top-ppc-agencies-in-the-uk-for-2026")</f>
        <v>https://www.compare.agency/7-of-the-top-ppc-agencies-in-the-uk-for-2026</v>
      </c>
      <c r="B108" s="15" t="str">
        <f>IFERROR(__xludf.DUMMYFUNCTION("""COMPUTED_VALUE"""),"7 Top PPC Agencies in the UK for 2026 | Compare.Agency")</f>
        <v>7 Top PPC Agencies in the UK for 2026 | Compare.Agency</v>
      </c>
      <c r="C108" s="15" t="str">
        <f>IFERROR(__xludf.DUMMYFUNCTION("""COMPUTED_VALUE"""),"compare.agency")</f>
        <v>compare.agency</v>
      </c>
      <c r="D108" s="15" t="str">
        <f>IFERROR(__xludf.DUMMYFUNCTION("""COMPUTED_VALUE"""),"LISTICLE")</f>
        <v>LISTICLE</v>
      </c>
      <c r="E108" s="15" t="str">
        <f>IFERROR(__xludf.DUMMYFUNCTION("""COMPUTED_VALUE"""),"CORPORATE")</f>
        <v>CORPORATE</v>
      </c>
      <c r="F108" s="15" t="str">
        <f>IFERROR(__xludf.DUMMYFUNCTION("""COMPUTED_VALUE"""),"Listicle")</f>
        <v>Listicle</v>
      </c>
      <c r="G108" s="15" t="b">
        <f>IFERROR(__xludf.DUMMYFUNCTION("""COMPUTED_VALUE"""),FALSE)</f>
        <v>0</v>
      </c>
      <c r="H108" s="15" t="str">
        <f>IFERROR(__xludf.DUMMYFUNCTION("""COMPUTED_VALUE"""),"Brainlabs, Jellyfish, Brandtech, Croud, Impression, Journey Further, Havas Market UK")</f>
        <v>Brainlabs, Jellyfish, Brandtech, Croud, Impression, Journey Further, Havas Market UK</v>
      </c>
      <c r="I108" s="15">
        <f>IFERROR(__xludf.DUMMYFUNCTION("""COMPUTED_VALUE"""),16.0)</f>
        <v>16</v>
      </c>
      <c r="J108" s="15">
        <f>IFERROR(__xludf.DUMMYFUNCTION("""COMPUTED_VALUE"""),0.02)</f>
        <v>0.02</v>
      </c>
      <c r="K108" s="15">
        <f>IFERROR(__xludf.DUMMYFUNCTION("""COMPUTED_VALUE"""),0.13)</f>
        <v>0.13</v>
      </c>
      <c r="L108" s="15"/>
    </row>
    <row r="109" ht="15.75" customHeight="1">
      <c r="A109" s="14" t="str">
        <f>IFERROR(__xludf.DUMMYFUNCTION("""COMPUTED_VALUE"""),"https://inbeat.agency/blog/top-marketing-measurement-and-analytics-companies")</f>
        <v>https://inbeat.agency/blog/top-marketing-measurement-and-analytics-companies</v>
      </c>
      <c r="B109" s="15" t="str">
        <f>IFERROR(__xludf.DUMMYFUNCTION("""COMPUTED_VALUE"""),"Top 15 Marketing Measurement and Analytics Firms Unlocking ROI Clarity in 2026 - inBeat Agency")</f>
        <v>Top 15 Marketing Measurement and Analytics Firms Unlocking ROI Clarity in 2026 - inBeat Agency</v>
      </c>
      <c r="C109" s="15" t="str">
        <f>IFERROR(__xludf.DUMMYFUNCTION("""COMPUTED_VALUE"""),"inbeat.agency")</f>
        <v>inbeat.agency</v>
      </c>
      <c r="D109" s="15" t="str">
        <f>IFERROR(__xludf.DUMMYFUNCTION("""COMPUTED_VALUE"""),"LISTICLE")</f>
        <v>LISTICLE</v>
      </c>
      <c r="E109" s="15" t="str">
        <f>IFERROR(__xludf.DUMMYFUNCTION("""COMPUTED_VALUE"""),"COMPETITOR")</f>
        <v>COMPETITOR</v>
      </c>
      <c r="F109" s="15" t="str">
        <f>IFERROR(__xludf.DUMMYFUNCTION("""COMPUTED_VALUE"""),"Listicle")</f>
        <v>Listicle</v>
      </c>
      <c r="G109" s="15" t="b">
        <f>IFERROR(__xludf.DUMMYFUNCTION("""COMPUTED_VALUE"""),FALSE)</f>
        <v>0</v>
      </c>
      <c r="H109" s="15" t="str">
        <f>IFERROR(__xludf.DUMMYFUNCTION("""COMPUTED_VALUE"""),"inBeat, Nielsen, Artefact, Found, Measured, Polaris, WebFX")</f>
        <v>inBeat, Nielsen, Artefact, Found, Measured, Polaris, WebFX</v>
      </c>
      <c r="I109" s="15">
        <f>IFERROR(__xludf.DUMMYFUNCTION("""COMPUTED_VALUE"""),16.0)</f>
        <v>16</v>
      </c>
      <c r="J109" s="15">
        <f>IFERROR(__xludf.DUMMYFUNCTION("""COMPUTED_VALUE"""),0.02)</f>
        <v>0.02</v>
      </c>
      <c r="K109" s="15">
        <f>IFERROR(__xludf.DUMMYFUNCTION("""COMPUTED_VALUE"""),0.63)</f>
        <v>0.63</v>
      </c>
      <c r="L109" s="15"/>
    </row>
    <row r="110" ht="15.75" customHeight="1">
      <c r="A110" s="14" t="str">
        <f>IFERROR(__xludf.DUMMYFUNCTION("""COMPUTED_VALUE"""),"https://lifesight.io/blog/best-incrementality-testing-tools/")</f>
        <v>https://lifesight.io/blog/best-incrementality-testing-tools/</v>
      </c>
      <c r="B110" s="15" t="str">
        <f>IFERROR(__xludf.DUMMYFUNCTION("""COMPUTED_VALUE"""),"6 Best Incrementality Testing Tools in 2025 [UPDATED] - Lifesight")</f>
        <v>6 Best Incrementality Testing Tools in 2025 [UPDATED] - Lifesight</v>
      </c>
      <c r="C110" s="14" t="str">
        <f>IFERROR(__xludf.DUMMYFUNCTION("""COMPUTED_VALUE"""),"lifesight.io")</f>
        <v>lifesight.io</v>
      </c>
      <c r="D110" s="15" t="str">
        <f>IFERROR(__xludf.DUMMYFUNCTION("""COMPUTED_VALUE"""),"LISTICLE")</f>
        <v>LISTICLE</v>
      </c>
      <c r="E110" s="15" t="str">
        <f>IFERROR(__xludf.DUMMYFUNCTION("""COMPUTED_VALUE"""),"CORPORATE")</f>
        <v>CORPORATE</v>
      </c>
      <c r="F110" s="15" t="str">
        <f>IFERROR(__xludf.DUMMYFUNCTION("""COMPUTED_VALUE"""),"Listicle")</f>
        <v>Listicle</v>
      </c>
      <c r="G110" s="15" t="b">
        <f>IFERROR(__xludf.DUMMYFUNCTION("""COMPUTED_VALUE"""),FALSE)</f>
        <v>0</v>
      </c>
      <c r="H110" s="15" t="str">
        <f>IFERROR(__xludf.DUMMYFUNCTION("""COMPUTED_VALUE"""),"Haus, Measured, Recast, Push, Northbeam, Triple Whale")</f>
        <v>Haus, Measured, Recast, Push, Northbeam, Triple Whale</v>
      </c>
      <c r="I110" s="15">
        <f>IFERROR(__xludf.DUMMYFUNCTION("""COMPUTED_VALUE"""),16.0)</f>
        <v>16</v>
      </c>
      <c r="J110" s="15">
        <f>IFERROR(__xludf.DUMMYFUNCTION("""COMPUTED_VALUE"""),0.02)</f>
        <v>0.02</v>
      </c>
      <c r="K110" s="15">
        <f>IFERROR(__xludf.DUMMYFUNCTION("""COMPUTED_VALUE"""),0.25)</f>
        <v>0.25</v>
      </c>
      <c r="L110" s="15"/>
    </row>
    <row r="111" ht="15.75" customHeight="1">
      <c r="A111" s="14" t="str">
        <f>IFERROR(__xludf.DUMMYFUNCTION("""COMPUTED_VALUE"""),"https://www.panovistamarketing.com/blog/best-ai-seo-agencies-uk#:~:text=1.,is%20not%20the%20same%20thing.")</f>
        <v>https://www.panovistamarketing.com/blog/best-ai-seo-agencies-uk#:~:text=1.,is%20not%20the%20same%20thing.</v>
      </c>
      <c r="B111" s="15" t="str">
        <f>IFERROR(__xludf.DUMMYFUNCTION("""COMPUTED_VALUE"""),"Best AI SEO Agencies UK 2026 | How to Choose Wisely")</f>
        <v>Best AI SEO Agencies UK 2026 | How to Choose Wisely</v>
      </c>
      <c r="C111" s="14" t="str">
        <f>IFERROR(__xludf.DUMMYFUNCTION("""COMPUTED_VALUE"""),"panovistamarketing.com")</f>
        <v>panovistamarketing.com</v>
      </c>
      <c r="D111" s="15" t="str">
        <f>IFERROR(__xludf.DUMMYFUNCTION("""COMPUTED_VALUE"""),"PRODUCT_PAGE")</f>
        <v>PRODUCT_PAGE</v>
      </c>
      <c r="E111" s="15" t="str">
        <f>IFERROR(__xludf.DUMMYFUNCTION("""COMPUTED_VALUE"""),"CORPORATE")</f>
        <v>CORPORATE</v>
      </c>
      <c r="F111" s="15" t="str">
        <f>IFERROR(__xludf.DUMMYFUNCTION("""COMPUTED_VALUE"""),"Product Page")</f>
        <v>Product Page</v>
      </c>
      <c r="G111" s="15" t="b">
        <f>IFERROR(__xludf.DUMMYFUNCTION("""COMPUTED_VALUE"""),FALSE)</f>
        <v>0</v>
      </c>
      <c r="H111" s="15" t="str">
        <f>IFERROR(__xludf.DUMMYFUNCTION("""COMPUTED_VALUE"""),"Panovista Marketing, Found")</f>
        <v>Panovista Marketing, Found</v>
      </c>
      <c r="I111" s="15">
        <f>IFERROR(__xludf.DUMMYFUNCTION("""COMPUTED_VALUE"""),16.0)</f>
        <v>16</v>
      </c>
      <c r="J111" s="15">
        <f>IFERROR(__xludf.DUMMYFUNCTION("""COMPUTED_VALUE"""),0.02)</f>
        <v>0.02</v>
      </c>
      <c r="K111" s="15">
        <f>IFERROR(__xludf.DUMMYFUNCTION("""COMPUTED_VALUE"""),1.19)</f>
        <v>1.19</v>
      </c>
      <c r="L111" s="15"/>
    </row>
    <row r="112" ht="15.75" customHeight="1">
      <c r="A112" s="14" t="str">
        <f>IFERROR(__xludf.DUMMYFUNCTION("""COMPUTED_VALUE"""),"https://www.polarisagency.com/us/marketing-insights/best-geo-services-uk/")</f>
        <v>https://www.polarisagency.com/us/marketing-insights/best-geo-services-uk/</v>
      </c>
      <c r="B112" s="15" t="str">
        <f>IFERROR(__xludf.DUMMYFUNCTION("""COMPUTED_VALUE"""),"The 10 Best GEO Agencies in the UK | Agency Reviews")</f>
        <v>The 10 Best GEO Agencies in the UK | Agency Reviews</v>
      </c>
      <c r="C112" s="14" t="str">
        <f>IFERROR(__xludf.DUMMYFUNCTION("""COMPUTED_VALUE"""),"polarisagency.com")</f>
        <v>polarisagency.com</v>
      </c>
      <c r="D112" s="15" t="str">
        <f>IFERROR(__xludf.DUMMYFUNCTION("""COMPUTED_VALUE"""),"OTHER")</f>
        <v>OTHER</v>
      </c>
      <c r="E112" s="15" t="str">
        <f>IFERROR(__xludf.DUMMYFUNCTION("""COMPUTED_VALUE"""),"COMPETITOR")</f>
        <v>COMPETITOR</v>
      </c>
      <c r="F112" s="15" t="str">
        <f>IFERROR(__xludf.DUMMYFUNCTION("""COMPUTED_VALUE"""),"Other")</f>
        <v>Other</v>
      </c>
      <c r="G112" s="15" t="b">
        <f>IFERROR(__xludf.DUMMYFUNCTION("""COMPUTED_VALUE"""),FALSE)</f>
        <v>0</v>
      </c>
      <c r="H112" s="15" t="str">
        <f>IFERROR(__xludf.DUMMYFUNCTION("""COMPUTED_VALUE"""),"Polaris, Passion Digital, Found, Blue Array, Siege Media, Charle Agency, The SEO Works, Directive Consulting")</f>
        <v>Polaris, Passion Digital, Found, Blue Array, Siege Media, Charle Agency, The SEO Works, Directive Consulting</v>
      </c>
      <c r="I112" s="15">
        <f>IFERROR(__xludf.DUMMYFUNCTION("""COMPUTED_VALUE"""),16.0)</f>
        <v>16</v>
      </c>
      <c r="J112" s="15">
        <f>IFERROR(__xludf.DUMMYFUNCTION("""COMPUTED_VALUE"""),0.02)</f>
        <v>0.02</v>
      </c>
      <c r="K112" s="15">
        <f>IFERROR(__xludf.DUMMYFUNCTION("""COMPUTED_VALUE"""),0.75)</f>
        <v>0.75</v>
      </c>
      <c r="L112" s="15"/>
    </row>
    <row r="113" ht="15.75" customHeight="1">
      <c r="A113" s="14" t="str">
        <f>IFERROR(__xludf.DUMMYFUNCTION("""COMPUTED_VALUE"""),"https://www.ryesing.com/post/performance-marketing-agencies-uk")</f>
        <v>https://www.ryesing.com/post/performance-marketing-agencies-uk</v>
      </c>
      <c r="B113" s="15" t="str">
        <f>IFERROR(__xludf.DUMMYFUNCTION("""COMPUTED_VALUE"""),"7 Best Performance Marketing Agencies UK 2026 (Expert Guide)")</f>
        <v>7 Best Performance Marketing Agencies UK 2026 (Expert Guide)</v>
      </c>
      <c r="C113" s="14" t="str">
        <f>IFERROR(__xludf.DUMMYFUNCTION("""COMPUTED_VALUE"""),"ryesing.com")</f>
        <v>ryesing.com</v>
      </c>
      <c r="D113" s="15" t="str">
        <f>IFERROR(__xludf.DUMMYFUNCTION("""COMPUTED_VALUE"""),"LISTICLE")</f>
        <v>LISTICLE</v>
      </c>
      <c r="E113" s="15" t="str">
        <f>IFERROR(__xludf.DUMMYFUNCTION("""COMPUTED_VALUE"""),"CORPORATE")</f>
        <v>CORPORATE</v>
      </c>
      <c r="F113" s="15" t="str">
        <f>IFERROR(__xludf.DUMMYFUNCTION("""COMPUTED_VALUE"""),"Listicle")</f>
        <v>Listicle</v>
      </c>
      <c r="G113" s="15" t="b">
        <f>IFERROR(__xludf.DUMMYFUNCTION("""COMPUTED_VALUE"""),FALSE)</f>
        <v>0</v>
      </c>
      <c r="H113" s="15" t="str">
        <f>IFERROR(__xludf.DUMMYFUNCTION("""COMPUTED_VALUE"""),"Found")</f>
        <v>Found</v>
      </c>
      <c r="I113" s="15">
        <f>IFERROR(__xludf.DUMMYFUNCTION("""COMPUTED_VALUE"""),16.0)</f>
        <v>16</v>
      </c>
      <c r="J113" s="15">
        <f>IFERROR(__xludf.DUMMYFUNCTION("""COMPUTED_VALUE"""),0.02)</f>
        <v>0.02</v>
      </c>
      <c r="K113" s="15">
        <f>IFERROR(__xludf.DUMMYFUNCTION("""COMPUTED_VALUE"""),0.06)</f>
        <v>0.06</v>
      </c>
      <c r="L113" s="15"/>
    </row>
    <row r="114" ht="15.75" customHeight="1">
      <c r="A114" s="14" t="str">
        <f>IFERROR(__xludf.DUMMYFUNCTION("""COMPUTED_VALUE"""),"https://www.sortlist.co.uk/s/creative/united-kingdom-gb")</f>
        <v>https://www.sortlist.co.uk/s/creative/united-kingdom-gb</v>
      </c>
      <c r="B114" s="15" t="str">
        <f>IFERROR(__xludf.DUMMYFUNCTION("""COMPUTED_VALUE"""),"The 10 Best Creative Agencies in The United Kingdom - 2026 Reviews")</f>
        <v>The 10 Best Creative Agencies in The United Kingdom - 2026 Reviews</v>
      </c>
      <c r="C114" s="14" t="str">
        <f>IFERROR(__xludf.DUMMYFUNCTION("""COMPUTED_VALUE"""),"sortlist.co.uk")</f>
        <v>sortlist.co.uk</v>
      </c>
      <c r="D114" s="15" t="str">
        <f>IFERROR(__xludf.DUMMYFUNCTION("""COMPUTED_VALUE"""),"CATEGORY_PAGE")</f>
        <v>CATEGORY_PAGE</v>
      </c>
      <c r="E114" s="15" t="str">
        <f>IFERROR(__xludf.DUMMYFUNCTION("""COMPUTED_VALUE"""),"REFERENCE")</f>
        <v>REFERENCE</v>
      </c>
      <c r="F114" s="15" t="str">
        <f>IFERROR(__xludf.DUMMYFUNCTION("""COMPUTED_VALUE"""),"Category Page")</f>
        <v>Category Page</v>
      </c>
      <c r="G114" s="15" t="b">
        <f>IFERROR(__xludf.DUMMYFUNCTION("""COMPUTED_VALUE"""),FALSE)</f>
        <v>0</v>
      </c>
      <c r="H114" s="15" t="str">
        <f>IFERROR(__xludf.DUMMYFUNCTION("""COMPUTED_VALUE"""),"Ninja Promo, Whitehat, Momentum")</f>
        <v>Ninja Promo, Whitehat, Momentum</v>
      </c>
      <c r="I114" s="15">
        <f>IFERROR(__xludf.DUMMYFUNCTION("""COMPUTED_VALUE"""),16.0)</f>
        <v>16</v>
      </c>
      <c r="J114" s="15">
        <f>IFERROR(__xludf.DUMMYFUNCTION("""COMPUTED_VALUE"""),0.02)</f>
        <v>0.02</v>
      </c>
      <c r="K114" s="15">
        <f>IFERROR(__xludf.DUMMYFUNCTION("""COMPUTED_VALUE"""),0.13)</f>
        <v>0.13</v>
      </c>
      <c r="L114" s="15"/>
    </row>
    <row r="115" ht="15.75" customHeight="1">
      <c r="A115" s="14" t="str">
        <f>IFERROR(__xludf.DUMMYFUNCTION("""COMPUTED_VALUE"""),"https://www.sortlist.co.uk/s/paid-media/united-kingdom-gb")</f>
        <v>https://www.sortlist.co.uk/s/paid-media/united-kingdom-gb</v>
      </c>
      <c r="B115" s="15" t="str">
        <f>IFERROR(__xludf.DUMMYFUNCTION("""COMPUTED_VALUE"""),"The 10 Best Paid Media Agencies in The United Kingdom - 2026 Reviews")</f>
        <v>The 10 Best Paid Media Agencies in The United Kingdom - 2026 Reviews</v>
      </c>
      <c r="C115" s="14" t="str">
        <f>IFERROR(__xludf.DUMMYFUNCTION("""COMPUTED_VALUE"""),"sortlist.co.uk")</f>
        <v>sortlist.co.uk</v>
      </c>
      <c r="D115" s="15" t="str">
        <f>IFERROR(__xludf.DUMMYFUNCTION("""COMPUTED_VALUE"""),"CATEGORY_PAGE")</f>
        <v>CATEGORY_PAGE</v>
      </c>
      <c r="E115" s="15" t="str">
        <f>IFERROR(__xludf.DUMMYFUNCTION("""COMPUTED_VALUE"""),"REFERENCE")</f>
        <v>REFERENCE</v>
      </c>
      <c r="F115" s="15" t="str">
        <f>IFERROR(__xludf.DUMMYFUNCTION("""COMPUTED_VALUE"""),"Category Page")</f>
        <v>Category Page</v>
      </c>
      <c r="G115" s="15" t="b">
        <f>IFERROR(__xludf.DUMMYFUNCTION("""COMPUTED_VALUE"""),FALSE)</f>
        <v>0</v>
      </c>
      <c r="H115" s="15" t="str">
        <f>IFERROR(__xludf.DUMMYFUNCTION("""COMPUTED_VALUE"""),"Push, Triple Whale, Northbeam, Found, Momentum, M3.agency, McKinsey &amp; Company, Impression")</f>
        <v>Push, Triple Whale, Northbeam, Found, Momentum, M3.agency, McKinsey &amp; Company, Impression</v>
      </c>
      <c r="I115" s="15">
        <f>IFERROR(__xludf.DUMMYFUNCTION("""COMPUTED_VALUE"""),16.0)</f>
        <v>16</v>
      </c>
      <c r="J115" s="15">
        <f>IFERROR(__xludf.DUMMYFUNCTION("""COMPUTED_VALUE"""),0.02)</f>
        <v>0.02</v>
      </c>
      <c r="K115" s="15">
        <f>IFERROR(__xludf.DUMMYFUNCTION("""COMPUTED_VALUE"""),0.0)</f>
        <v>0</v>
      </c>
      <c r="L115" s="15"/>
    </row>
    <row r="116" ht="15.75" customHeight="1">
      <c r="A116" s="14" t="str">
        <f>IFERROR(__xludf.DUMMYFUNCTION("""COMPUTED_VALUE"""),"https://www.toasttv.co.uk/blog/working-with-the-best-in-house-creative-agencies")</f>
        <v>https://www.toasttv.co.uk/blog/working-with-the-best-in-house-creative-agencies</v>
      </c>
      <c r="B116" s="15" t="str">
        <f>IFERROR(__xludf.DUMMYFUNCTION("""COMPUTED_VALUE"""),"Who are the best In-house creative agencies in the UK?")</f>
        <v>Who are the best In-house creative agencies in the UK?</v>
      </c>
      <c r="C116" s="14" t="str">
        <f>IFERROR(__xludf.DUMMYFUNCTION("""COMPUTED_VALUE"""),"toasttv.co.uk")</f>
        <v>toasttv.co.uk</v>
      </c>
      <c r="D116" s="15" t="str">
        <f>IFERROR(__xludf.DUMMYFUNCTION("""COMPUTED_VALUE"""),"LISTICLE")</f>
        <v>LISTICLE</v>
      </c>
      <c r="E116" s="15" t="str">
        <f>IFERROR(__xludf.DUMMYFUNCTION("""COMPUTED_VALUE"""),"CORPORATE")</f>
        <v>CORPORATE</v>
      </c>
      <c r="F116" s="15" t="str">
        <f>IFERROR(__xludf.DUMMYFUNCTION("""COMPUTED_VALUE"""),"Listicle")</f>
        <v>Listicle</v>
      </c>
      <c r="G116" s="15" t="b">
        <f>IFERROR(__xludf.DUMMYFUNCTION("""COMPUTED_VALUE"""),FALSE)</f>
        <v>0</v>
      </c>
      <c r="H116" s="15" t="str">
        <f>IFERROR(__xludf.DUMMYFUNCTION("""COMPUTED_VALUE"""),"Push")</f>
        <v>Push</v>
      </c>
      <c r="I116" s="15">
        <f>IFERROR(__xludf.DUMMYFUNCTION("""COMPUTED_VALUE"""),16.0)</f>
        <v>16</v>
      </c>
      <c r="J116" s="15">
        <f>IFERROR(__xludf.DUMMYFUNCTION("""COMPUTED_VALUE"""),0.02)</f>
        <v>0.02</v>
      </c>
      <c r="K116" s="15">
        <f>IFERROR(__xludf.DUMMYFUNCTION("""COMPUTED_VALUE"""),0.19)</f>
        <v>0.19</v>
      </c>
      <c r="L116" s="15"/>
    </row>
    <row r="117" ht="15.75" customHeight="1">
      <c r="A117" s="14" t="str">
        <f>IFERROR(__xludf.DUMMYFUNCTION("""COMPUTED_VALUE"""),"https://www.webtonic.io/blog/best-creative-agencies-london")</f>
        <v>https://www.webtonic.io/blog/best-creative-agencies-london</v>
      </c>
      <c r="B117" s="15" t="str">
        <f>IFERROR(__xludf.DUMMYFUNCTION("""COMPUTED_VALUE"""),"The 30 Best Creative Agencies in London as of 2026")</f>
        <v>The 30 Best Creative Agencies in London as of 2026</v>
      </c>
      <c r="C117" s="14" t="str">
        <f>IFERROR(__xludf.DUMMYFUNCTION("""COMPUTED_VALUE"""),"webtonic.io")</f>
        <v>webtonic.io</v>
      </c>
      <c r="D117" s="15" t="str">
        <f>IFERROR(__xludf.DUMMYFUNCTION("""COMPUTED_VALUE"""),"LISTICLE")</f>
        <v>LISTICLE</v>
      </c>
      <c r="E117" s="15" t="str">
        <f>IFERROR(__xludf.DUMMYFUNCTION("""COMPUTED_VALUE"""),"CORPORATE")</f>
        <v>CORPORATE</v>
      </c>
      <c r="F117" s="15" t="str">
        <f>IFERROR(__xludf.DUMMYFUNCTION("""COMPUTED_VALUE"""),"Listicle")</f>
        <v>Listicle</v>
      </c>
      <c r="G117" s="15" t="b">
        <f>IFERROR(__xludf.DUMMYFUNCTION("""COMPUTED_VALUE"""),FALSE)</f>
        <v>0</v>
      </c>
      <c r="H117" s="15" t="str">
        <f>IFERROR(__xludf.DUMMYFUNCTION("""COMPUTED_VALUE"""),"Mother London, Adam&amp;eveDDB, Uncommon Creative Studio, BBH London, AMV BBDO, Accenture Song, VCCP, Ogilvy, Pablo, Lucky Generals, Saatchi &amp; Saatchi")</f>
        <v>Mother London, Adam&amp;eveDDB, Uncommon Creative Studio, BBH London, AMV BBDO, Accenture Song, VCCP, Ogilvy, Pablo, Lucky Generals, Saatchi &amp; Saatchi</v>
      </c>
      <c r="I117" s="15">
        <f>IFERROR(__xludf.DUMMYFUNCTION("""COMPUTED_VALUE"""),16.0)</f>
        <v>16</v>
      </c>
      <c r="J117" s="15">
        <f>IFERROR(__xludf.DUMMYFUNCTION("""COMPUTED_VALUE"""),0.02)</f>
        <v>0.02</v>
      </c>
      <c r="K117" s="15">
        <f>IFERROR(__xludf.DUMMYFUNCTION("""COMPUTED_VALUE"""),4.94)</f>
        <v>4.94</v>
      </c>
      <c r="L117" s="15"/>
    </row>
    <row r="118" ht="15.75" customHeight="1">
      <c r="A118" s="14" t="str">
        <f>IFERROR(__xludf.DUMMYFUNCTION("""COMPUTED_VALUE"""),"https://brandspeak.co.uk/blog/top-market-research-agencies-uk/#:~:text=Kantar's%20Blueprint%20for%20Brand%20Growth,intelligence%20it%20brings%20to%20clients.")</f>
        <v>https://brandspeak.co.uk/blog/top-market-research-agencies-uk/#:~:text=Kantar's%20Blueprint%20for%20Brand%20Growth,intelligence%20it%20brings%20to%20clients.</v>
      </c>
      <c r="B118" s="15" t="str">
        <f>IFERROR(__xludf.DUMMYFUNCTION("""COMPUTED_VALUE"""),"Best Market Research Agencies in the UK (2026) | Compared &amp;amp; Reviewed")</f>
        <v>Best Market Research Agencies in the UK (2026) | Compared &amp;amp; Reviewed</v>
      </c>
      <c r="C118" s="14" t="str">
        <f>IFERROR(__xludf.DUMMYFUNCTION("""COMPUTED_VALUE"""),"brandspeak.co.uk")</f>
        <v>brandspeak.co.uk</v>
      </c>
      <c r="D118" s="15" t="str">
        <f>IFERROR(__xludf.DUMMYFUNCTION("""COMPUTED_VALUE"""),"LISTICLE")</f>
        <v>LISTICLE</v>
      </c>
      <c r="E118" s="15" t="str">
        <f>IFERROR(__xludf.DUMMYFUNCTION("""COMPUTED_VALUE"""),"CORPORATE")</f>
        <v>CORPORATE</v>
      </c>
      <c r="F118" s="15" t="str">
        <f>IFERROR(__xludf.DUMMYFUNCTION("""COMPUTED_VALUE"""),"Listicle")</f>
        <v>Listicle</v>
      </c>
      <c r="G118" s="15" t="b">
        <f>IFERROR(__xludf.DUMMYFUNCTION("""COMPUTED_VALUE"""),FALSE)</f>
        <v>0</v>
      </c>
      <c r="H118" s="15" t="str">
        <f>IFERROR(__xludf.DUMMYFUNCTION("""COMPUTED_VALUE"""),"Kantar, Accenture Song, YouGov")</f>
        <v>Kantar, Accenture Song, YouGov</v>
      </c>
      <c r="I118" s="15">
        <f>IFERROR(__xludf.DUMMYFUNCTION("""COMPUTED_VALUE"""),15.0)</f>
        <v>15</v>
      </c>
      <c r="J118" s="15">
        <f>IFERROR(__xludf.DUMMYFUNCTION("""COMPUTED_VALUE"""),0.01)</f>
        <v>0.01</v>
      </c>
      <c r="K118" s="15">
        <f>IFERROR(__xludf.DUMMYFUNCTION("""COMPUTED_VALUE"""),1.47)</f>
        <v>1.47</v>
      </c>
      <c r="L118" s="15"/>
    </row>
    <row r="119" ht="15.75" customHeight="1">
      <c r="A119" s="14" t="str">
        <f>IFERROR(__xludf.DUMMYFUNCTION("""COMPUTED_VALUE"""),"https://www.buriedagency.com/post/top-geo-agencies-uk")</f>
        <v>https://www.buriedagency.com/post/top-geo-agencies-uk</v>
      </c>
      <c r="B119" s="15" t="str">
        <f>IFERROR(__xludf.DUMMYFUNCTION("""COMPUTED_VALUE"""),"Top 12 GEO (Generative Engine Optimisation) agencies in the UK")</f>
        <v>Top 12 GEO (Generative Engine Optimisation) agencies in the UK</v>
      </c>
      <c r="C119" s="14" t="str">
        <f>IFERROR(__xludf.DUMMYFUNCTION("""COMPUTED_VALUE"""),"buriedagency.com")</f>
        <v>buriedagency.com</v>
      </c>
      <c r="D119" s="15" t="str">
        <f>IFERROR(__xludf.DUMMYFUNCTION("""COMPUTED_VALUE"""),"LISTICLE")</f>
        <v>LISTICLE</v>
      </c>
      <c r="E119" s="15" t="str">
        <f>IFERROR(__xludf.DUMMYFUNCTION("""COMPUTED_VALUE"""),"COMPETITOR")</f>
        <v>COMPETITOR</v>
      </c>
      <c r="F119" s="15" t="str">
        <f>IFERROR(__xludf.DUMMYFUNCTION("""COMPUTED_VALUE"""),"Listicle")</f>
        <v>Listicle</v>
      </c>
      <c r="G119" s="15" t="b">
        <f>IFERROR(__xludf.DUMMYFUNCTION("""COMPUTED_VALUE"""),FALSE)</f>
        <v>0</v>
      </c>
      <c r="H119" s="15" t="str">
        <f>IFERROR(__xludf.DUMMYFUNCTION("""COMPUTED_VALUE"""),"Buried Agency, Charle Agency, Propeller, Exposure Ninja, Passion Digital, Impression, ClickSlice, Varn, Bird Marketing, Found, Builtvisible, Push, Measured")</f>
        <v>Buried Agency, Charle Agency, Propeller, Exposure Ninja, Passion Digital, Impression, ClickSlice, Varn, Bird Marketing, Found, Builtvisible, Push, Measured</v>
      </c>
      <c r="I119" s="15">
        <f>IFERROR(__xludf.DUMMYFUNCTION("""COMPUTED_VALUE"""),15.0)</f>
        <v>15</v>
      </c>
      <c r="J119" s="15">
        <f>IFERROR(__xludf.DUMMYFUNCTION("""COMPUTED_VALUE"""),0.01)</f>
        <v>0.01</v>
      </c>
      <c r="K119" s="15">
        <f>IFERROR(__xludf.DUMMYFUNCTION("""COMPUTED_VALUE"""),0.6)</f>
        <v>0.6</v>
      </c>
      <c r="L119" s="15"/>
    </row>
    <row r="120" ht="15.75" customHeight="1">
      <c r="A120" s="14" t="str">
        <f>IFERROR(__xludf.DUMMYFUNCTION("""COMPUTED_VALUE"""),"https://buzzgen.uk/2026/03/04/top-10-geo-and-ai-ranking-agencies-in-the-uk-march-2026/")</f>
        <v>https://buzzgen.uk/2026/03/04/top-10-geo-and-ai-ranking-agencies-in-the-uk-march-2026/</v>
      </c>
      <c r="B120" s="15" t="str">
        <f>IFERROR(__xludf.DUMMYFUNCTION("""COMPUTED_VALUE"""),"Top 10 GEO and AI-Ranking Agencies in the UK - March 2026 -")</f>
        <v>Top 10 GEO and AI-Ranking Agencies in the UK - March 2026 -</v>
      </c>
      <c r="C120" s="14" t="str">
        <f>IFERROR(__xludf.DUMMYFUNCTION("""COMPUTED_VALUE"""),"buzzgen.uk")</f>
        <v>buzzgen.uk</v>
      </c>
      <c r="D120" s="15" t="str">
        <f>IFERROR(__xludf.DUMMYFUNCTION("""COMPUTED_VALUE"""),"LISTICLE")</f>
        <v>LISTICLE</v>
      </c>
      <c r="E120" s="15" t="str">
        <f>IFERROR(__xludf.DUMMYFUNCTION("""COMPUTED_VALUE"""),"CORPORATE")</f>
        <v>CORPORATE</v>
      </c>
      <c r="F120" s="15" t="str">
        <f>IFERROR(__xludf.DUMMYFUNCTION("""COMPUTED_VALUE"""),"Listicle")</f>
        <v>Listicle</v>
      </c>
      <c r="G120" s="15" t="b">
        <f>IFERROR(__xludf.DUMMYFUNCTION("""COMPUTED_VALUE"""),FALSE)</f>
        <v>0</v>
      </c>
      <c r="H120" s="15" t="str">
        <f>IFERROR(__xludf.DUMMYFUNCTION("""COMPUTED_VALUE"""),"Found, The SEO Works, Blue Array, Passion Digital, Varn, Exposure Ninja, ClickSlice")</f>
        <v>Found, The SEO Works, Blue Array, Passion Digital, Varn, Exposure Ninja, ClickSlice</v>
      </c>
      <c r="I120" s="15">
        <f>IFERROR(__xludf.DUMMYFUNCTION("""COMPUTED_VALUE"""),15.0)</f>
        <v>15</v>
      </c>
      <c r="J120" s="15">
        <f>IFERROR(__xludf.DUMMYFUNCTION("""COMPUTED_VALUE"""),0.01)</f>
        <v>0.01</v>
      </c>
      <c r="K120" s="15">
        <f>IFERROR(__xludf.DUMMYFUNCTION("""COMPUTED_VALUE"""),0.0)</f>
        <v>0</v>
      </c>
      <c r="L120" s="15"/>
    </row>
    <row r="121" ht="15.75" customHeight="1">
      <c r="A121" s="14" t="str">
        <f>IFERROR(__xludf.DUMMYFUNCTION("""COMPUTED_VALUE"""),"https://www.clickslice.co.uk/top-digital-marketing-agencies-uk/")</f>
        <v>https://www.clickslice.co.uk/top-digital-marketing-agencies-uk/</v>
      </c>
      <c r="B121" s="15" t="str">
        <f>IFERROR(__xludf.DUMMYFUNCTION("""COMPUTED_VALUE"""),"Top 10 Digital Marketing Agencies in the UK (2026)")</f>
        <v>Top 10 Digital Marketing Agencies in the UK (2026)</v>
      </c>
      <c r="C121" s="14" t="str">
        <f>IFERROR(__xludf.DUMMYFUNCTION("""COMPUTED_VALUE"""),"clickslice.co.uk")</f>
        <v>clickslice.co.uk</v>
      </c>
      <c r="D121" s="15" t="str">
        <f>IFERROR(__xludf.DUMMYFUNCTION("""COMPUTED_VALUE"""),"LISTICLE")</f>
        <v>LISTICLE</v>
      </c>
      <c r="E121" s="15" t="str">
        <f>IFERROR(__xludf.DUMMYFUNCTION("""COMPUTED_VALUE"""),"COMPETITOR")</f>
        <v>COMPETITOR</v>
      </c>
      <c r="F121" s="15" t="str">
        <f>IFERROR(__xludf.DUMMYFUNCTION("""COMPUTED_VALUE"""),"Listicle")</f>
        <v>Listicle</v>
      </c>
      <c r="G121" s="15" t="b">
        <f>IFERROR(__xludf.DUMMYFUNCTION("""COMPUTED_VALUE"""),FALSE)</f>
        <v>0</v>
      </c>
      <c r="H121" s="15" t="str">
        <f>IFERROR(__xludf.DUMMYFUNCTION("""COMPUTED_VALUE"""),"ClickSlice, Found, Measured")</f>
        <v>ClickSlice, Found, Measured</v>
      </c>
      <c r="I121" s="15">
        <f>IFERROR(__xludf.DUMMYFUNCTION("""COMPUTED_VALUE"""),15.0)</f>
        <v>15</v>
      </c>
      <c r="J121" s="15">
        <f>IFERROR(__xludf.DUMMYFUNCTION("""COMPUTED_VALUE"""),0.01)</f>
        <v>0.01</v>
      </c>
      <c r="K121" s="15">
        <f>IFERROR(__xludf.DUMMYFUNCTION("""COMPUTED_VALUE"""),0.6)</f>
        <v>0.6</v>
      </c>
      <c r="L121" s="15"/>
    </row>
    <row r="122" ht="15.75" customHeight="1">
      <c r="A122" s="14" t="str">
        <f>IFERROR(__xludf.DUMMYFUNCTION("""COMPUTED_VALUE"""),"https://www.cometly.com/post/marketing-attribution-tools-for-agencies")</f>
        <v>https://www.cometly.com/post/marketing-attribution-tools-for-agencies</v>
      </c>
      <c r="B122" s="15" t="str">
        <f>IFERROR(__xludf.DUMMYFUNCTION("""COMPUTED_VALUE"""),"Best Marketing Attribution Tools For Agencies 2026")</f>
        <v>Best Marketing Attribution Tools For Agencies 2026</v>
      </c>
      <c r="C122" s="14" t="str">
        <f>IFERROR(__xludf.DUMMYFUNCTION("""COMPUTED_VALUE"""),"cometly.com")</f>
        <v>cometly.com</v>
      </c>
      <c r="D122" s="15" t="str">
        <f>IFERROR(__xludf.DUMMYFUNCTION("""COMPUTED_VALUE"""),"LISTICLE")</f>
        <v>LISTICLE</v>
      </c>
      <c r="E122" s="15" t="str">
        <f>IFERROR(__xludf.DUMMYFUNCTION("""COMPUTED_VALUE"""),"COMPETITOR")</f>
        <v>COMPETITOR</v>
      </c>
      <c r="F122" s="15" t="str">
        <f>IFERROR(__xludf.DUMMYFUNCTION("""COMPUTED_VALUE"""),"Listicle")</f>
        <v>Listicle</v>
      </c>
      <c r="G122" s="15" t="b">
        <f>IFERROR(__xludf.DUMMYFUNCTION("""COMPUTED_VALUE"""),FALSE)</f>
        <v>0</v>
      </c>
      <c r="H122" s="15" t="str">
        <f>IFERROR(__xludf.DUMMYFUNCTION("""COMPUTED_VALUE"""),"Cometly, Triple Whale, Northbeam, Rockerbox, Ruler Analytics")</f>
        <v>Cometly, Triple Whale, Northbeam, Rockerbox, Ruler Analytics</v>
      </c>
      <c r="I122" s="15">
        <f>IFERROR(__xludf.DUMMYFUNCTION("""COMPUTED_VALUE"""),15.0)</f>
        <v>15</v>
      </c>
      <c r="J122" s="15">
        <f>IFERROR(__xludf.DUMMYFUNCTION("""COMPUTED_VALUE"""),0.01)</f>
        <v>0.01</v>
      </c>
      <c r="K122" s="15">
        <f>IFERROR(__xludf.DUMMYFUNCTION("""COMPUTED_VALUE"""),0.47)</f>
        <v>0.47</v>
      </c>
      <c r="L122" s="15"/>
    </row>
    <row r="123" ht="15.75" customHeight="1">
      <c r="A123" s="14" t="str">
        <f>IFERROR(__xludf.DUMMYFUNCTION("""COMPUTED_VALUE"""),"https://www.dontpaniclondon.com/blog/best-uk-advertising-agencies/")</f>
        <v>https://www.dontpaniclondon.com/blog/best-uk-advertising-agencies/</v>
      </c>
      <c r="B123" s="15" t="str">
        <f>IFERROR(__xludf.DUMMYFUNCTION("""COMPUTED_VALUE"""),"The 8 Best UK Advertising Agencies in 2026 (with examples)")</f>
        <v>The 8 Best UK Advertising Agencies in 2026 (with examples)</v>
      </c>
      <c r="C123" s="14" t="str">
        <f>IFERROR(__xludf.DUMMYFUNCTION("""COMPUTED_VALUE"""),"dontpaniclondon.com")</f>
        <v>dontpaniclondon.com</v>
      </c>
      <c r="D123" s="15" t="str">
        <f>IFERROR(__xludf.DUMMYFUNCTION("""COMPUTED_VALUE"""),"LISTICLE")</f>
        <v>LISTICLE</v>
      </c>
      <c r="E123" s="15" t="str">
        <f>IFERROR(__xludf.DUMMYFUNCTION("""COMPUTED_VALUE"""),"CORPORATE")</f>
        <v>CORPORATE</v>
      </c>
      <c r="F123" s="15" t="str">
        <f>IFERROR(__xludf.DUMMYFUNCTION("""COMPUTED_VALUE"""),"Listicle")</f>
        <v>Listicle</v>
      </c>
      <c r="G123" s="15" t="b">
        <f>IFERROR(__xludf.DUMMYFUNCTION("""COMPUTED_VALUE"""),FALSE)</f>
        <v>0</v>
      </c>
      <c r="H123" s="15" t="str">
        <f>IFERROR(__xludf.DUMMYFUNCTION("""COMPUTED_VALUE"""),"Omnicom, AMV BBDO, Momentum, Adam&amp;eveDDB, BBH London, Uncommon Creative Studio, Push, Saatchi &amp; Saatchi, WPP, Dentsu")</f>
        <v>Omnicom, AMV BBDO, Momentum, Adam&amp;eveDDB, BBH London, Uncommon Creative Studio, Push, Saatchi &amp; Saatchi, WPP, Dentsu</v>
      </c>
      <c r="I123" s="15">
        <f>IFERROR(__xludf.DUMMYFUNCTION("""COMPUTED_VALUE"""),15.0)</f>
        <v>15</v>
      </c>
      <c r="J123" s="15">
        <f>IFERROR(__xludf.DUMMYFUNCTION("""COMPUTED_VALUE"""),0.01)</f>
        <v>0.01</v>
      </c>
      <c r="K123" s="15">
        <f>IFERROR(__xludf.DUMMYFUNCTION("""COMPUTED_VALUE"""),1.07)</f>
        <v>1.07</v>
      </c>
      <c r="L123" s="15"/>
    </row>
    <row r="124" ht="15.75" customHeight="1">
      <c r="A124" s="14" t="str">
        <f>IFERROR(__xludf.DUMMYFUNCTION("""COMPUTED_VALUE"""),"https://www.munro.agency/top-paid-media-agencies/")</f>
        <v>https://www.munro.agency/top-paid-media-agencies/</v>
      </c>
      <c r="B124" s="15" t="str">
        <f>IFERROR(__xludf.DUMMYFUNCTION("""COMPUTED_VALUE"""),"Top 10 Paid Media Agencies for 2026")</f>
        <v>Top 10 Paid Media Agencies for 2026</v>
      </c>
      <c r="C124" s="15" t="str">
        <f>IFERROR(__xludf.DUMMYFUNCTION("""COMPUTED_VALUE"""),"munro.agency")</f>
        <v>munro.agency</v>
      </c>
      <c r="D124" s="15" t="str">
        <f>IFERROR(__xludf.DUMMYFUNCTION("""COMPUTED_VALUE"""),"LISTICLE")</f>
        <v>LISTICLE</v>
      </c>
      <c r="E124" s="15" t="str">
        <f>IFERROR(__xludf.DUMMYFUNCTION("""COMPUTED_VALUE"""),"CORPORATE")</f>
        <v>CORPORATE</v>
      </c>
      <c r="F124" s="15" t="str">
        <f>IFERROR(__xludf.DUMMYFUNCTION("""COMPUTED_VALUE"""),"Listicle")</f>
        <v>Listicle</v>
      </c>
      <c r="G124" s="15" t="b">
        <f>IFERROR(__xludf.DUMMYFUNCTION("""COMPUTED_VALUE"""),FALSE)</f>
        <v>0</v>
      </c>
      <c r="H124" s="15" t="str">
        <f>IFERROR(__xludf.DUMMYFUNCTION("""COMPUTED_VALUE"""),"Impression, Push, ClickSlice, inBeat, Power Digital")</f>
        <v>Impression, Push, ClickSlice, inBeat, Power Digital</v>
      </c>
      <c r="I124" s="15">
        <f>IFERROR(__xludf.DUMMYFUNCTION("""COMPUTED_VALUE"""),15.0)</f>
        <v>15</v>
      </c>
      <c r="J124" s="15">
        <f>IFERROR(__xludf.DUMMYFUNCTION("""COMPUTED_VALUE"""),0.01)</f>
        <v>0.01</v>
      </c>
      <c r="K124" s="15">
        <f>IFERROR(__xludf.DUMMYFUNCTION("""COMPUTED_VALUE"""),0.2)</f>
        <v>0.2</v>
      </c>
      <c r="L124" s="15"/>
    </row>
    <row r="125" ht="15.75" customHeight="1">
      <c r="A125" s="14" t="str">
        <f>IFERROR(__xludf.DUMMYFUNCTION("""COMPUTED_VALUE"""),"https://www.pushgroup.co.uk/blog/top-9-google-ads-agencies-in-the-uk")</f>
        <v>https://www.pushgroup.co.uk/blog/top-9-google-ads-agencies-in-the-uk</v>
      </c>
      <c r="B125" s="15" t="str">
        <f>IFERROR(__xludf.DUMMYFUNCTION("""COMPUTED_VALUE"""),"Top 9 Google Ads Agencies in the UK 2026 | PUSH Group")</f>
        <v>Top 9 Google Ads Agencies in the UK 2026 | PUSH Group</v>
      </c>
      <c r="C125" s="14" t="str">
        <f>IFERROR(__xludf.DUMMYFUNCTION("""COMPUTED_VALUE"""),"pushgroup.co.uk")</f>
        <v>pushgroup.co.uk</v>
      </c>
      <c r="D125" s="15" t="str">
        <f>IFERROR(__xludf.DUMMYFUNCTION("""COMPUTED_VALUE"""),"LISTICLE")</f>
        <v>LISTICLE</v>
      </c>
      <c r="E125" s="15" t="str">
        <f>IFERROR(__xludf.DUMMYFUNCTION("""COMPUTED_VALUE"""),"COMPETITOR")</f>
        <v>COMPETITOR</v>
      </c>
      <c r="F125" s="15" t="str">
        <f>IFERROR(__xludf.DUMMYFUNCTION("""COMPUTED_VALUE"""),"Listicle")</f>
        <v>Listicle</v>
      </c>
      <c r="G125" s="15" t="b">
        <f>IFERROR(__xludf.DUMMYFUNCTION("""COMPUTED_VALUE"""),FALSE)</f>
        <v>0</v>
      </c>
      <c r="H125" s="15" t="str">
        <f>IFERROR(__xludf.DUMMYFUNCTION("""COMPUTED_VALUE"""),"Push, Push Group, The Social Shepherd, PPC Geeks, Found")</f>
        <v>Push, Push Group, The Social Shepherd, PPC Geeks, Found</v>
      </c>
      <c r="I125" s="15">
        <f>IFERROR(__xludf.DUMMYFUNCTION("""COMPUTED_VALUE"""),15.0)</f>
        <v>15</v>
      </c>
      <c r="J125" s="15">
        <f>IFERROR(__xludf.DUMMYFUNCTION("""COMPUTED_VALUE"""),0.01)</f>
        <v>0.01</v>
      </c>
      <c r="K125" s="15">
        <f>IFERROR(__xludf.DUMMYFUNCTION("""COMPUTED_VALUE"""),0.67)</f>
        <v>0.67</v>
      </c>
      <c r="L125" s="15"/>
    </row>
    <row r="126" ht="15.75" customHeight="1">
      <c r="A126" s="14" t="str">
        <f>IFERROR(__xludf.DUMMYFUNCTION("""COMPUTED_VALUE"""),"https://segmentstream.com/blog/articles/best-attribution-tools")</f>
        <v>https://segmentstream.com/blog/articles/best-attribution-tools</v>
      </c>
      <c r="B126" s="15" t="str">
        <f>IFERROR(__xludf.DUMMYFUNCTION("""COMPUTED_VALUE"""),"10 Best Marketing Attribution Tools &amp;amp; Platforms (2026) — SegmentStream")</f>
        <v>10 Best Marketing Attribution Tools &amp;amp; Platforms (2026) — SegmentStream</v>
      </c>
      <c r="C126" s="14" t="str">
        <f>IFERROR(__xludf.DUMMYFUNCTION("""COMPUTED_VALUE"""),"segmentstream.com")</f>
        <v>segmentstream.com</v>
      </c>
      <c r="D126" s="15" t="str">
        <f>IFERROR(__xludf.DUMMYFUNCTION("""COMPUTED_VALUE"""),"LISTICLE")</f>
        <v>LISTICLE</v>
      </c>
      <c r="E126" s="15" t="str">
        <f>IFERROR(__xludf.DUMMYFUNCTION("""COMPUTED_VALUE"""),"COMPETITOR")</f>
        <v>COMPETITOR</v>
      </c>
      <c r="F126" s="15" t="str">
        <f>IFERROR(__xludf.DUMMYFUNCTION("""COMPUTED_VALUE"""),"Listicle")</f>
        <v>Listicle</v>
      </c>
      <c r="G126" s="15" t="b">
        <f>IFERROR(__xludf.DUMMYFUNCTION("""COMPUTED_VALUE"""),FALSE)</f>
        <v>0</v>
      </c>
      <c r="H126" s="15" t="str">
        <f>IFERROR(__xludf.DUMMYFUNCTION("""COMPUTED_VALUE"""),"SegmentStream, Triple Whale, Northbeam, Measured, Rockerbox, Ruler Analytics, Impression, Push")</f>
        <v>SegmentStream, Triple Whale, Northbeam, Measured, Rockerbox, Ruler Analytics, Impression, Push</v>
      </c>
      <c r="I126" s="15">
        <f>IFERROR(__xludf.DUMMYFUNCTION("""COMPUTED_VALUE"""),15.0)</f>
        <v>15</v>
      </c>
      <c r="J126" s="15">
        <f>IFERROR(__xludf.DUMMYFUNCTION("""COMPUTED_VALUE"""),0.01)</f>
        <v>0.01</v>
      </c>
      <c r="K126" s="15">
        <f>IFERROR(__xludf.DUMMYFUNCTION("""COMPUTED_VALUE"""),1.67)</f>
        <v>1.67</v>
      </c>
      <c r="L126" s="15"/>
    </row>
    <row r="127" ht="15.75" customHeight="1">
      <c r="A127" s="14" t="str">
        <f>IFERROR(__xludf.DUMMYFUNCTION("""COMPUTED_VALUE"""),"https://www.seoworks.com/lists/20-best-geo-agencies-in-the-uk/")</f>
        <v>https://www.seoworks.com/lists/20-best-geo-agencies-in-the-uk/</v>
      </c>
      <c r="B127" s="15" t="str">
        <f>IFERROR(__xludf.DUMMYFUNCTION("""COMPUTED_VALUE"""),"20 Best GEO Agencies in the UK (2026) | The SEO Works")</f>
        <v>20 Best GEO Agencies in the UK (2026) | The SEO Works</v>
      </c>
      <c r="C127" s="14" t="str">
        <f>IFERROR(__xludf.DUMMYFUNCTION("""COMPUTED_VALUE"""),"seoworks.com")</f>
        <v>seoworks.com</v>
      </c>
      <c r="D127" s="15" t="str">
        <f>IFERROR(__xludf.DUMMYFUNCTION("""COMPUTED_VALUE"""),"LISTICLE")</f>
        <v>LISTICLE</v>
      </c>
      <c r="E127" s="15" t="str">
        <f>IFERROR(__xludf.DUMMYFUNCTION("""COMPUTED_VALUE"""),"CORPORATE")</f>
        <v>CORPORATE</v>
      </c>
      <c r="F127" s="15" t="str">
        <f>IFERROR(__xludf.DUMMYFUNCTION("""COMPUTED_VALUE"""),"Listicle")</f>
        <v>Listicle</v>
      </c>
      <c r="G127" s="15" t="b">
        <f>IFERROR(__xludf.DUMMYFUNCTION("""COMPUTED_VALUE"""),FALSE)</f>
        <v>0</v>
      </c>
      <c r="H127" s="15" t="str">
        <f>IFERROR(__xludf.DUMMYFUNCTION("""COMPUTED_VALUE"""),"The SEO Works, Passion Digital, Huge, Digital Landscope, Click Intelligence, Launch Online, Propellernet, Varn")</f>
        <v>The SEO Works, Passion Digital, Huge, Digital Landscope, Click Intelligence, Launch Online, Propellernet, Varn</v>
      </c>
      <c r="I127" s="15">
        <f>IFERROR(__xludf.DUMMYFUNCTION("""COMPUTED_VALUE"""),15.0)</f>
        <v>15</v>
      </c>
      <c r="J127" s="15">
        <f>IFERROR(__xludf.DUMMYFUNCTION("""COMPUTED_VALUE"""),0.01)</f>
        <v>0.01</v>
      </c>
      <c r="K127" s="15">
        <f>IFERROR(__xludf.DUMMYFUNCTION("""COMPUTED_VALUE"""),2.73)</f>
        <v>2.73</v>
      </c>
      <c r="L127" s="15"/>
    </row>
    <row r="128" ht="15.75" customHeight="1">
      <c r="A128" s="14" t="str">
        <f>IFERROR(__xludf.DUMMYFUNCTION("""COMPUTED_VALUE"""),"https://www.sortlist.co.uk/s/attribution-marketing/london-england-gb")</f>
        <v>https://www.sortlist.co.uk/s/attribution-marketing/london-england-gb</v>
      </c>
      <c r="B128" s="15" t="str">
        <f>IFERROR(__xludf.DUMMYFUNCTION("""COMPUTED_VALUE"""),"The 10 Best Attribution Marketing Agencies in London - 2026 Reviews")</f>
        <v>The 10 Best Attribution Marketing Agencies in London - 2026 Reviews</v>
      </c>
      <c r="C128" s="14" t="str">
        <f>IFERROR(__xludf.DUMMYFUNCTION("""COMPUTED_VALUE"""),"sortlist.co.uk")</f>
        <v>sortlist.co.uk</v>
      </c>
      <c r="D128" s="15" t="str">
        <f>IFERROR(__xludf.DUMMYFUNCTION("""COMPUTED_VALUE"""),"CATEGORY_PAGE")</f>
        <v>CATEGORY_PAGE</v>
      </c>
      <c r="E128" s="15" t="str">
        <f>IFERROR(__xludf.DUMMYFUNCTION("""COMPUTED_VALUE"""),"REFERENCE")</f>
        <v>REFERENCE</v>
      </c>
      <c r="F128" s="15" t="str">
        <f>IFERROR(__xludf.DUMMYFUNCTION("""COMPUTED_VALUE"""),"Category Page")</f>
        <v>Category Page</v>
      </c>
      <c r="G128" s="15" t="b">
        <f>IFERROR(__xludf.DUMMYFUNCTION("""COMPUTED_VALUE"""),FALSE)</f>
        <v>0</v>
      </c>
      <c r="H128" s="15" t="str">
        <f>IFERROR(__xludf.DUMMYFUNCTION("""COMPUTED_VALUE"""),"GA Agency")</f>
        <v>GA Agency</v>
      </c>
      <c r="I128" s="15">
        <f>IFERROR(__xludf.DUMMYFUNCTION("""COMPUTED_VALUE"""),15.0)</f>
        <v>15</v>
      </c>
      <c r="J128" s="15">
        <f>IFERROR(__xludf.DUMMYFUNCTION("""COMPUTED_VALUE"""),0.01)</f>
        <v>0.01</v>
      </c>
      <c r="K128" s="15">
        <f>IFERROR(__xludf.DUMMYFUNCTION("""COMPUTED_VALUE"""),0.07)</f>
        <v>0.07</v>
      </c>
      <c r="L128" s="15"/>
    </row>
    <row r="129" ht="15.75" customHeight="1">
      <c r="A129" s="14" t="str">
        <f>IFERROR(__xludf.DUMMYFUNCTION("""COMPUTED_VALUE"""),"https://www.sortlist.co.uk/s/display-advertising/london-england-gb")</f>
        <v>https://www.sortlist.co.uk/s/display-advertising/london-england-gb</v>
      </c>
      <c r="B129" s="15" t="str">
        <f>IFERROR(__xludf.DUMMYFUNCTION("""COMPUTED_VALUE"""),"The 10 Best Display Advertising Agencies in London - 2026 Reviews")</f>
        <v>The 10 Best Display Advertising Agencies in London - 2026 Reviews</v>
      </c>
      <c r="C129" s="14" t="str">
        <f>IFERROR(__xludf.DUMMYFUNCTION("""COMPUTED_VALUE"""),"sortlist.co.uk")</f>
        <v>sortlist.co.uk</v>
      </c>
      <c r="D129" s="15" t="str">
        <f>IFERROR(__xludf.DUMMYFUNCTION("""COMPUTED_VALUE"""),"CATEGORY_PAGE")</f>
        <v>CATEGORY_PAGE</v>
      </c>
      <c r="E129" s="15" t="str">
        <f>IFERROR(__xludf.DUMMYFUNCTION("""COMPUTED_VALUE"""),"REFERENCE")</f>
        <v>REFERENCE</v>
      </c>
      <c r="F129" s="15" t="str">
        <f>IFERROR(__xludf.DUMMYFUNCTION("""COMPUTED_VALUE"""),"Category Page")</f>
        <v>Category Page</v>
      </c>
      <c r="G129" s="15" t="b">
        <f>IFERROR(__xludf.DUMMYFUNCTION("""COMPUTED_VALUE"""),FALSE)</f>
        <v>0</v>
      </c>
      <c r="H129" s="15" t="str">
        <f>IFERROR(__xludf.DUMMYFUNCTION("""COMPUTED_VALUE"""),"Found, Ninja Promo, Momentum, M3.agency, Transmission")</f>
        <v>Found, Ninja Promo, Momentum, M3.agency, Transmission</v>
      </c>
      <c r="I129" s="15">
        <f>IFERROR(__xludf.DUMMYFUNCTION("""COMPUTED_VALUE"""),15.0)</f>
        <v>15</v>
      </c>
      <c r="J129" s="15">
        <f>IFERROR(__xludf.DUMMYFUNCTION("""COMPUTED_VALUE"""),0.01)</f>
        <v>0.01</v>
      </c>
      <c r="K129" s="15">
        <f>IFERROR(__xludf.DUMMYFUNCTION("""COMPUTED_VALUE"""),0.47)</f>
        <v>0.47</v>
      </c>
      <c r="L129" s="15"/>
    </row>
    <row r="130" ht="15.75" customHeight="1">
      <c r="A130" s="14" t="str">
        <f>IFERROR(__xludf.DUMMYFUNCTION("""COMPUTED_VALUE"""),"https://www.sortlist.co.uk/social-media/united-kingdom-gb")</f>
        <v>https://www.sortlist.co.uk/social-media/united-kingdom-gb</v>
      </c>
      <c r="B130" s="15" t="str">
        <f>IFERROR(__xludf.DUMMYFUNCTION("""COMPUTED_VALUE"""),"The 10 Best Social Media Agencies in The United Kingdom - 2026 Reviews")</f>
        <v>The 10 Best Social Media Agencies in The United Kingdom - 2026 Reviews</v>
      </c>
      <c r="C130" s="14" t="str">
        <f>IFERROR(__xludf.DUMMYFUNCTION("""COMPUTED_VALUE"""),"sortlist.co.uk")</f>
        <v>sortlist.co.uk</v>
      </c>
      <c r="D130" s="15" t="str">
        <f>IFERROR(__xludf.DUMMYFUNCTION("""COMPUTED_VALUE"""),"CATEGORY_PAGE")</f>
        <v>CATEGORY_PAGE</v>
      </c>
      <c r="E130" s="15" t="str">
        <f>IFERROR(__xludf.DUMMYFUNCTION("""COMPUTED_VALUE"""),"REFERENCE")</f>
        <v>REFERENCE</v>
      </c>
      <c r="F130" s="15" t="str">
        <f>IFERROR(__xludf.DUMMYFUNCTION("""COMPUTED_VALUE"""),"Category Page")</f>
        <v>Category Page</v>
      </c>
      <c r="G130" s="15" t="b">
        <f>IFERROR(__xludf.DUMMYFUNCTION("""COMPUTED_VALUE"""),FALSE)</f>
        <v>0</v>
      </c>
      <c r="H130" s="15" t="str">
        <f>IFERROR(__xludf.DUMMYFUNCTION("""COMPUTED_VALUE"""),"Publicis Groupe, Found, Momentum, M3.agency")</f>
        <v>Publicis Groupe, Found, Momentum, M3.agency</v>
      </c>
      <c r="I130" s="15">
        <f>IFERROR(__xludf.DUMMYFUNCTION("""COMPUTED_VALUE"""),15.0)</f>
        <v>15</v>
      </c>
      <c r="J130" s="15">
        <f>IFERROR(__xludf.DUMMYFUNCTION("""COMPUTED_VALUE"""),0.01)</f>
        <v>0.01</v>
      </c>
      <c r="K130" s="15">
        <f>IFERROR(__xludf.DUMMYFUNCTION("""COMPUTED_VALUE"""),0.13)</f>
        <v>0.13</v>
      </c>
      <c r="L130" s="15"/>
    </row>
    <row r="131" ht="15.75" customHeight="1">
      <c r="A131" s="14" t="str">
        <f>IFERROR(__xludf.DUMMYFUNCTION("""COMPUTED_VALUE"""),"https://www.sortlist.co.uk/web-analytics/united-kingdom-gb")</f>
        <v>https://www.sortlist.co.uk/web-analytics/united-kingdom-gb</v>
      </c>
      <c r="B131" s="15" t="str">
        <f>IFERROR(__xludf.DUMMYFUNCTION("""COMPUTED_VALUE"""),"The 10 Best Web Analytics Agencies in The United Kingdom - 2026 Reviews")</f>
        <v>The 10 Best Web Analytics Agencies in The United Kingdom - 2026 Reviews</v>
      </c>
      <c r="C131" s="14" t="str">
        <f>IFERROR(__xludf.DUMMYFUNCTION("""COMPUTED_VALUE"""),"sortlist.co.uk")</f>
        <v>sortlist.co.uk</v>
      </c>
      <c r="D131" s="15" t="str">
        <f>IFERROR(__xludf.DUMMYFUNCTION("""COMPUTED_VALUE"""),"CATEGORY_PAGE")</f>
        <v>CATEGORY_PAGE</v>
      </c>
      <c r="E131" s="15" t="str">
        <f>IFERROR(__xludf.DUMMYFUNCTION("""COMPUTED_VALUE"""),"REFERENCE")</f>
        <v>REFERENCE</v>
      </c>
      <c r="F131" s="15" t="str">
        <f>IFERROR(__xludf.DUMMYFUNCTION("""COMPUTED_VALUE"""),"Category Page")</f>
        <v>Category Page</v>
      </c>
      <c r="G131" s="15" t="b">
        <f>IFERROR(__xludf.DUMMYFUNCTION("""COMPUTED_VALUE"""),FALSE)</f>
        <v>0</v>
      </c>
      <c r="H131" s="15" t="str">
        <f>IFERROR(__xludf.DUMMYFUNCTION("""COMPUTED_VALUE"""),"Found, Whitehat")</f>
        <v>Found, Whitehat</v>
      </c>
      <c r="I131" s="15">
        <f>IFERROR(__xludf.DUMMYFUNCTION("""COMPUTED_VALUE"""),15.0)</f>
        <v>15</v>
      </c>
      <c r="J131" s="15">
        <f>IFERROR(__xludf.DUMMYFUNCTION("""COMPUTED_VALUE"""),0.01)</f>
        <v>0.01</v>
      </c>
      <c r="K131" s="15">
        <f>IFERROR(__xludf.DUMMYFUNCTION("""COMPUTED_VALUE"""),0.0)</f>
        <v>0</v>
      </c>
      <c r="L131" s="15"/>
    </row>
    <row r="132" ht="15.75" customHeight="1">
      <c r="A132" s="14" t="str">
        <f>IFERROR(__xludf.DUMMYFUNCTION("""COMPUTED_VALUE"""),"https://www.adbeacon.com/19-best-marketing-attribution-software-solutions-in-2026/")</f>
        <v>https://www.adbeacon.com/19-best-marketing-attribution-software-solutions-in-2026/</v>
      </c>
      <c r="B132" s="15" t="str">
        <f>IFERROR(__xludf.DUMMYFUNCTION("""COMPUTED_VALUE"""),"19 Best Marketing Attribution Software Solutions in 2026 | AdBeacon")</f>
        <v>19 Best Marketing Attribution Software Solutions in 2026 | AdBeacon</v>
      </c>
      <c r="C132" s="14" t="str">
        <f>IFERROR(__xludf.DUMMYFUNCTION("""COMPUTED_VALUE"""),"adbeacon.com")</f>
        <v>adbeacon.com</v>
      </c>
      <c r="D132" s="15" t="str">
        <f>IFERROR(__xludf.DUMMYFUNCTION("""COMPUTED_VALUE"""),"LISTICLE")</f>
        <v>LISTICLE</v>
      </c>
      <c r="E132" s="15" t="str">
        <f>IFERROR(__xludf.DUMMYFUNCTION("""COMPUTED_VALUE"""),"CORPORATE")</f>
        <v>CORPORATE</v>
      </c>
      <c r="F132" s="15" t="str">
        <f>IFERROR(__xludf.DUMMYFUNCTION("""COMPUTED_VALUE"""),"Listicle")</f>
        <v>Listicle</v>
      </c>
      <c r="G132" s="15" t="b">
        <f>IFERROR(__xludf.DUMMYFUNCTION("""COMPUTED_VALUE"""),FALSE)</f>
        <v>0</v>
      </c>
      <c r="H132" s="15" t="str">
        <f>IFERROR(__xludf.DUMMYFUNCTION("""COMPUTED_VALUE"""),"Ruler Analytics, Push, Triple Whale, Rockerbox")</f>
        <v>Ruler Analytics, Push, Triple Whale, Rockerbox</v>
      </c>
      <c r="I132" s="15">
        <f>IFERROR(__xludf.DUMMYFUNCTION("""COMPUTED_VALUE"""),14.0)</f>
        <v>14</v>
      </c>
      <c r="J132" s="15">
        <f>IFERROR(__xludf.DUMMYFUNCTION("""COMPUTED_VALUE"""),0.01)</f>
        <v>0.01</v>
      </c>
      <c r="K132" s="15">
        <f>IFERROR(__xludf.DUMMYFUNCTION("""COMPUTED_VALUE"""),0.5)</f>
        <v>0.5</v>
      </c>
      <c r="L132" s="15"/>
    </row>
    <row r="133" ht="15.75" customHeight="1">
      <c r="A133" s="14" t="str">
        <f>IFERROR(__xludf.DUMMYFUNCTION("""COMPUTED_VALUE"""),"https://www.adbeacon.com/7-best-marketing-attribution-tools-compared-2026/")</f>
        <v>https://www.adbeacon.com/7-best-marketing-attribution-tools-compared-2026/</v>
      </c>
      <c r="B133" s="15" t="str">
        <f>IFERROR(__xludf.DUMMYFUNCTION("""COMPUTED_VALUE"""),"7 Best Marketing Attribution Tools Compared (2026) | AdBeacon")</f>
        <v>7 Best Marketing Attribution Tools Compared (2026) | AdBeacon</v>
      </c>
      <c r="C133" s="14" t="str">
        <f>IFERROR(__xludf.DUMMYFUNCTION("""COMPUTED_VALUE"""),"adbeacon.com")</f>
        <v>adbeacon.com</v>
      </c>
      <c r="D133" s="15" t="str">
        <f>IFERROR(__xludf.DUMMYFUNCTION("""COMPUTED_VALUE"""),"LISTICLE")</f>
        <v>LISTICLE</v>
      </c>
      <c r="E133" s="15" t="str">
        <f>IFERROR(__xludf.DUMMYFUNCTION("""COMPUTED_VALUE"""),"CORPORATE")</f>
        <v>CORPORATE</v>
      </c>
      <c r="F133" s="15" t="str">
        <f>IFERROR(__xludf.DUMMYFUNCTION("""COMPUTED_VALUE"""),"Listicle")</f>
        <v>Listicle</v>
      </c>
      <c r="G133" s="15" t="b">
        <f>IFERROR(__xludf.DUMMYFUNCTION("""COMPUTED_VALUE"""),FALSE)</f>
        <v>0</v>
      </c>
      <c r="H133" s="15" t="str">
        <f>IFERROR(__xludf.DUMMYFUNCTION("""COMPUTED_VALUE"""),"Cometly, Triple Whale, Northbeam, Rockerbox, Ruler Analytics")</f>
        <v>Cometly, Triple Whale, Northbeam, Rockerbox, Ruler Analytics</v>
      </c>
      <c r="I133" s="15">
        <f>IFERROR(__xludf.DUMMYFUNCTION("""COMPUTED_VALUE"""),14.0)</f>
        <v>14</v>
      </c>
      <c r="J133" s="15">
        <f>IFERROR(__xludf.DUMMYFUNCTION("""COMPUTED_VALUE"""),0.01)</f>
        <v>0.01</v>
      </c>
      <c r="K133" s="15">
        <f>IFERROR(__xludf.DUMMYFUNCTION("""COMPUTED_VALUE"""),0.14)</f>
        <v>0.14</v>
      </c>
      <c r="L133" s="15"/>
    </row>
    <row r="134" ht="15.75" customHeight="1">
      <c r="A134" s="14" t="str">
        <f>IFERROR(__xludf.DUMMYFUNCTION("""COMPUTED_VALUE"""),"https://www.alphaapexgroup.com/blog/top-ai-consulting-firms")</f>
        <v>https://www.alphaapexgroup.com/blog/top-ai-consulting-firms</v>
      </c>
      <c r="B134" s="15"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134" s="14" t="str">
        <f>IFERROR(__xludf.DUMMYFUNCTION("""COMPUTED_VALUE"""),"alphaapexgroup.com")</f>
        <v>alphaapexgroup.com</v>
      </c>
      <c r="D134" s="15" t="str">
        <f>IFERROR(__xludf.DUMMYFUNCTION("""COMPUTED_VALUE"""),"LISTICLE")</f>
        <v>LISTICLE</v>
      </c>
      <c r="E134" s="15" t="str">
        <f>IFERROR(__xludf.DUMMYFUNCTION("""COMPUTED_VALUE"""),"CORPORATE")</f>
        <v>CORPORATE</v>
      </c>
      <c r="F134" s="15" t="str">
        <f>IFERROR(__xludf.DUMMYFUNCTION("""COMPUTED_VALUE"""),"Listicle")</f>
        <v>Listicle</v>
      </c>
      <c r="G134" s="15" t="b">
        <f>IFERROR(__xludf.DUMMYFUNCTION("""COMPUTED_VALUE"""),FALSE)</f>
        <v>0</v>
      </c>
      <c r="H134" s="15" t="str">
        <f>IFERROR(__xludf.DUMMYFUNCTION("""COMPUTED_VALUE"""),"Artefact, QuantumBlack, Ogilvy, Found, McKinsey &amp; Company")</f>
        <v>Artefact, QuantumBlack, Ogilvy, Found, McKinsey &amp; Company</v>
      </c>
      <c r="I134" s="15">
        <f>IFERROR(__xludf.DUMMYFUNCTION("""COMPUTED_VALUE"""),14.0)</f>
        <v>14</v>
      </c>
      <c r="J134" s="15">
        <f>IFERROR(__xludf.DUMMYFUNCTION("""COMPUTED_VALUE"""),0.01)</f>
        <v>0.01</v>
      </c>
      <c r="K134" s="15">
        <f>IFERROR(__xludf.DUMMYFUNCTION("""COMPUTED_VALUE"""),1.14)</f>
        <v>1.14</v>
      </c>
      <c r="L134" s="15"/>
    </row>
    <row r="135" ht="15.75" customHeight="1">
      <c r="A135" s="14" t="str">
        <f>IFERROR(__xludf.DUMMYFUNCTION("""COMPUTED_VALUE"""),"https://brandspeak.co.uk/blog/top-market-research-companies-uk/")</f>
        <v>https://brandspeak.co.uk/blog/top-market-research-companies-uk/</v>
      </c>
      <c r="B135" s="15" t="str">
        <f>IFERROR(__xludf.DUMMYFUNCTION("""COMPUTED_VALUE"""),"Top Market Research Companies UK (2026) | Best Agencies Compared")</f>
        <v>Top Market Research Companies UK (2026) | Best Agencies Compared</v>
      </c>
      <c r="C135" s="14" t="str">
        <f>IFERROR(__xludf.DUMMYFUNCTION("""COMPUTED_VALUE"""),"brandspeak.co.uk")</f>
        <v>brandspeak.co.uk</v>
      </c>
      <c r="D135" s="15" t="str">
        <f>IFERROR(__xludf.DUMMYFUNCTION("""COMPUTED_VALUE"""),"LISTICLE")</f>
        <v>LISTICLE</v>
      </c>
      <c r="E135" s="15" t="str">
        <f>IFERROR(__xludf.DUMMYFUNCTION("""COMPUTED_VALUE"""),"CORPORATE")</f>
        <v>CORPORATE</v>
      </c>
      <c r="F135" s="15" t="str">
        <f>IFERROR(__xludf.DUMMYFUNCTION("""COMPUTED_VALUE"""),"Listicle")</f>
        <v>Listicle</v>
      </c>
      <c r="G135" s="15" t="b">
        <f>IFERROR(__xludf.DUMMYFUNCTION("""COMPUTED_VALUE"""),FALSE)</f>
        <v>0</v>
      </c>
      <c r="H135" s="15" t="str">
        <f>IFERROR(__xludf.DUMMYFUNCTION("""COMPUTED_VALUE"""),"Kantar, YouGov")</f>
        <v>Kantar, YouGov</v>
      </c>
      <c r="I135" s="15">
        <f>IFERROR(__xludf.DUMMYFUNCTION("""COMPUTED_VALUE"""),14.0)</f>
        <v>14</v>
      </c>
      <c r="J135" s="15">
        <f>IFERROR(__xludf.DUMMYFUNCTION("""COMPUTED_VALUE"""),0.01)</f>
        <v>0.01</v>
      </c>
      <c r="K135" s="15">
        <f>IFERROR(__xludf.DUMMYFUNCTION("""COMPUTED_VALUE"""),0.86)</f>
        <v>0.86</v>
      </c>
      <c r="L135" s="15"/>
    </row>
    <row r="136" ht="15.75" customHeight="1">
      <c r="A136" s="14" t="str">
        <f>IFERROR(__xludf.DUMMYFUNCTION("""COMPUTED_VALUE"""),"https://www.charle.co.uk/articles/best-geo-agencies-uk/")</f>
        <v>https://www.charle.co.uk/articles/best-geo-agencies-uk/</v>
      </c>
      <c r="B136" s="15" t="str">
        <f>IFERROR(__xludf.DUMMYFUNCTION("""COMPUTED_VALUE"""),"14 Best GEO Agencies UK (2026) | Top Generative Engine Optimisation Agencies | Charle")</f>
        <v>14 Best GEO Agencies UK (2026) | Top Generative Engine Optimisation Agencies | Charle</v>
      </c>
      <c r="C136" s="14" t="str">
        <f>IFERROR(__xludf.DUMMYFUNCTION("""COMPUTED_VALUE"""),"charle.co.uk")</f>
        <v>charle.co.uk</v>
      </c>
      <c r="D136" s="15" t="str">
        <f>IFERROR(__xludf.DUMMYFUNCTION("""COMPUTED_VALUE"""),"LISTICLE")</f>
        <v>LISTICLE</v>
      </c>
      <c r="E136" s="15" t="str">
        <f>IFERROR(__xludf.DUMMYFUNCTION("""COMPUTED_VALUE"""),"COMPETITOR")</f>
        <v>COMPETITOR</v>
      </c>
      <c r="F136" s="15" t="str">
        <f>IFERROR(__xludf.DUMMYFUNCTION("""COMPUTED_VALUE"""),"Listicle")</f>
        <v>Listicle</v>
      </c>
      <c r="G136" s="15" t="b">
        <f>IFERROR(__xludf.DUMMYFUNCTION("""COMPUTED_VALUE"""),FALSE)</f>
        <v>0</v>
      </c>
      <c r="H136" s="15" t="str">
        <f>IFERROR(__xludf.DUMMYFUNCTION("""COMPUTED_VALUE"""),"Charle Agency, Polaris, Buried Agency, ClickSlice, Exposure Ninja, Blue Array, Found, Measured")</f>
        <v>Charle Agency, Polaris, Buried Agency, ClickSlice, Exposure Ninja, Blue Array, Found, Measured</v>
      </c>
      <c r="I136" s="15">
        <f>IFERROR(__xludf.DUMMYFUNCTION("""COMPUTED_VALUE"""),14.0)</f>
        <v>14</v>
      </c>
      <c r="J136" s="15">
        <f>IFERROR(__xludf.DUMMYFUNCTION("""COMPUTED_VALUE"""),0.01)</f>
        <v>0.01</v>
      </c>
      <c r="K136" s="15">
        <f>IFERROR(__xludf.DUMMYFUNCTION("""COMPUTED_VALUE"""),1.5)</f>
        <v>1.5</v>
      </c>
      <c r="L136" s="15"/>
    </row>
    <row r="137" ht="15.75" customHeight="1">
      <c r="A137" s="14" t="str">
        <f>IFERROR(__xludf.DUMMYFUNCTION("""COMPUTED_VALUE"""),"https://www.creativemarketingltd.co.uk/blog/top-digital-marketing-agencies")</f>
        <v>https://www.creativemarketingltd.co.uk/blog/top-digital-marketing-agencies</v>
      </c>
      <c r="B137" s="15" t="str">
        <f>IFERROR(__xludf.DUMMYFUNCTION("""COMPUTED_VALUE"""),"Top 20 Digital Marketing Agencies in the UK (2026)")</f>
        <v>Top 20 Digital Marketing Agencies in the UK (2026)</v>
      </c>
      <c r="C137" s="14" t="str">
        <f>IFERROR(__xludf.DUMMYFUNCTION("""COMPUTED_VALUE"""),"creativemarketingltd.co.uk")</f>
        <v>creativemarketingltd.co.uk</v>
      </c>
      <c r="D137" s="15" t="str">
        <f>IFERROR(__xludf.DUMMYFUNCTION("""COMPUTED_VALUE"""),"LISTICLE")</f>
        <v>LISTICLE</v>
      </c>
      <c r="E137" s="15" t="str">
        <f>IFERROR(__xludf.DUMMYFUNCTION("""COMPUTED_VALUE"""),"CORPORATE")</f>
        <v>CORPORATE</v>
      </c>
      <c r="F137" s="15" t="str">
        <f>IFERROR(__xludf.DUMMYFUNCTION("""COMPUTED_VALUE"""),"Listicle")</f>
        <v>Listicle</v>
      </c>
      <c r="G137" s="15" t="b">
        <f>IFERROR(__xludf.DUMMYFUNCTION("""COMPUTED_VALUE"""),FALSE)</f>
        <v>0</v>
      </c>
      <c r="H137" s="15"/>
      <c r="I137" s="15">
        <f>IFERROR(__xludf.DUMMYFUNCTION("""COMPUTED_VALUE"""),14.0)</f>
        <v>14</v>
      </c>
      <c r="J137" s="15">
        <f>IFERROR(__xludf.DUMMYFUNCTION("""COMPUTED_VALUE"""),0.01)</f>
        <v>0.01</v>
      </c>
      <c r="K137" s="15">
        <f>IFERROR(__xludf.DUMMYFUNCTION("""COMPUTED_VALUE"""),1.29)</f>
        <v>1.29</v>
      </c>
      <c r="L137" s="15"/>
    </row>
    <row r="138" ht="15.75" customHeight="1">
      <c r="A138" s="14" t="str">
        <f>IFERROR(__xludf.DUMMYFUNCTION("""COMPUTED_VALUE"""),"https://www.digitalreference.co/design-professionals/best-creative-agencies-in-the-uk")</f>
        <v>https://www.digitalreference.co/design-professionals/best-creative-agencies-in-the-uk</v>
      </c>
      <c r="B138" s="15" t="str">
        <f>IFERROR(__xludf.DUMMYFUNCTION("""COMPUTED_VALUE"""),"Best Creative Agencies &amp;amp; Creative Firms in the UK")</f>
        <v>Best Creative Agencies &amp;amp; Creative Firms in the UK</v>
      </c>
      <c r="C138" s="14" t="str">
        <f>IFERROR(__xludf.DUMMYFUNCTION("""COMPUTED_VALUE"""),"digitalreference.co")</f>
        <v>digitalreference.co</v>
      </c>
      <c r="D138" s="15" t="str">
        <f>IFERROR(__xludf.DUMMYFUNCTION("""COMPUTED_VALUE"""),"LISTICLE")</f>
        <v>LISTICLE</v>
      </c>
      <c r="E138" s="15" t="str">
        <f>IFERROR(__xludf.DUMMYFUNCTION("""COMPUTED_VALUE"""),"UGC")</f>
        <v>UGC</v>
      </c>
      <c r="F138" s="15" t="str">
        <f>IFERROR(__xludf.DUMMYFUNCTION("""COMPUTED_VALUE"""),"Listicle")</f>
        <v>Listicle</v>
      </c>
      <c r="G138" s="15" t="b">
        <f>IFERROR(__xludf.DUMMYFUNCTION("""COMPUTED_VALUE"""),FALSE)</f>
        <v>0</v>
      </c>
      <c r="H138" s="15" t="str">
        <f>IFERROR(__xludf.DUMMYFUNCTION("""COMPUTED_VALUE"""),"Momentum")</f>
        <v>Momentum</v>
      </c>
      <c r="I138" s="15">
        <f>IFERROR(__xludf.DUMMYFUNCTION("""COMPUTED_VALUE"""),14.0)</f>
        <v>14</v>
      </c>
      <c r="J138" s="15">
        <f>IFERROR(__xludf.DUMMYFUNCTION("""COMPUTED_VALUE"""),0.01)</f>
        <v>0.01</v>
      </c>
      <c r="K138" s="15">
        <f>IFERROR(__xludf.DUMMYFUNCTION("""COMPUTED_VALUE"""),0.43)</f>
        <v>0.43</v>
      </c>
      <c r="L138" s="15"/>
    </row>
    <row r="139" ht="15.75" customHeight="1">
      <c r="A139" s="14" t="str">
        <f>IFERROR(__xludf.DUMMYFUNCTION("""COMPUTED_VALUE"""),"https://directiveconsulting.com/uk/blog/best-marketing-data-agency/")</f>
        <v>https://directiveconsulting.com/uk/blog/best-marketing-data-agency/</v>
      </c>
      <c r="B139" s="15" t="str">
        <f>IFERROR(__xludf.DUMMYFUNCTION("""COMPUTED_VALUE"""),"18 Best Marketing Data Agencies for B2B - Directive")</f>
        <v>18 Best Marketing Data Agencies for B2B - Directive</v>
      </c>
      <c r="C139" s="14" t="str">
        <f>IFERROR(__xludf.DUMMYFUNCTION("""COMPUTED_VALUE"""),"directiveconsulting.com")</f>
        <v>directiveconsulting.com</v>
      </c>
      <c r="D139" s="15" t="str">
        <f>IFERROR(__xludf.DUMMYFUNCTION("""COMPUTED_VALUE"""),"LISTICLE")</f>
        <v>LISTICLE</v>
      </c>
      <c r="E139" s="15" t="str">
        <f>IFERROR(__xludf.DUMMYFUNCTION("""COMPUTED_VALUE"""),"COMPETITOR")</f>
        <v>COMPETITOR</v>
      </c>
      <c r="F139" s="15" t="str">
        <f>IFERROR(__xludf.DUMMYFUNCTION("""COMPUTED_VALUE"""),"Listicle")</f>
        <v>Listicle</v>
      </c>
      <c r="G139" s="15" t="b">
        <f>IFERROR(__xludf.DUMMYFUNCTION("""COMPUTED_VALUE"""),FALSE)</f>
        <v>0</v>
      </c>
      <c r="H139" s="15" t="str">
        <f>IFERROR(__xludf.DUMMYFUNCTION("""COMPUTED_VALUE"""),"Directive Consulting, Brainlabs, Power Digital, Measured")</f>
        <v>Directive Consulting, Brainlabs, Power Digital, Measured</v>
      </c>
      <c r="I139" s="15">
        <f>IFERROR(__xludf.DUMMYFUNCTION("""COMPUTED_VALUE"""),14.0)</f>
        <v>14</v>
      </c>
      <c r="J139" s="15">
        <f>IFERROR(__xludf.DUMMYFUNCTION("""COMPUTED_VALUE"""),0.01)</f>
        <v>0.01</v>
      </c>
      <c r="K139" s="15">
        <f>IFERROR(__xludf.DUMMYFUNCTION("""COMPUTED_VALUE"""),0.64)</f>
        <v>0.64</v>
      </c>
      <c r="L139" s="15"/>
    </row>
    <row r="140" ht="15.75" customHeight="1">
      <c r="A140" s="14" t="str">
        <f>IFERROR(__xludf.DUMMYFUNCTION("""COMPUTED_VALUE"""),"https://evangelistsoftware.com/blog/top-ai-consulting-firms-in-uk/")</f>
        <v>https://evangelistsoftware.com/blog/top-ai-consulting-firms-in-uk/</v>
      </c>
      <c r="B140" s="15" t="str">
        <f>IFERROR(__xludf.DUMMYFUNCTION("""COMPUTED_VALUE"""),"Best AI Consulting Firms in the UK: Top Picks for 2026")</f>
        <v>Best AI Consulting Firms in the UK: Top Picks for 2026</v>
      </c>
      <c r="C140" s="14" t="str">
        <f>IFERROR(__xludf.DUMMYFUNCTION("""COMPUTED_VALUE"""),"evangelistsoftware.com")</f>
        <v>evangelistsoftware.com</v>
      </c>
      <c r="D140" s="15" t="str">
        <f>IFERROR(__xludf.DUMMYFUNCTION("""COMPUTED_VALUE"""),"LISTICLE")</f>
        <v>LISTICLE</v>
      </c>
      <c r="E140" s="15" t="str">
        <f>IFERROR(__xludf.DUMMYFUNCTION("""COMPUTED_VALUE"""),"CORPORATE")</f>
        <v>CORPORATE</v>
      </c>
      <c r="F140" s="15" t="str">
        <f>IFERROR(__xludf.DUMMYFUNCTION("""COMPUTED_VALUE"""),"Listicle")</f>
        <v>Listicle</v>
      </c>
      <c r="G140" s="15" t="b">
        <f>IFERROR(__xludf.DUMMYFUNCTION("""COMPUTED_VALUE"""),FALSE)</f>
        <v>0</v>
      </c>
      <c r="H140" s="15" t="str">
        <f>IFERROR(__xludf.DUMMYFUNCTION("""COMPUTED_VALUE"""),"Found")</f>
        <v>Found</v>
      </c>
      <c r="I140" s="15">
        <f>IFERROR(__xludf.DUMMYFUNCTION("""COMPUTED_VALUE"""),14.0)</f>
        <v>14</v>
      </c>
      <c r="J140" s="15">
        <f>IFERROR(__xludf.DUMMYFUNCTION("""COMPUTED_VALUE"""),0.01)</f>
        <v>0.01</v>
      </c>
      <c r="K140" s="15">
        <f>IFERROR(__xludf.DUMMYFUNCTION("""COMPUTED_VALUE"""),2.36)</f>
        <v>2.36</v>
      </c>
      <c r="L140" s="15"/>
    </row>
    <row r="141" ht="15.75" customHeight="1">
      <c r="A141" s="14" t="str">
        <f>IFERROR(__xludf.DUMMYFUNCTION("""COMPUTED_VALUE"""),"https://lengreo.com/best-answer-engine-optimization-aeo-agencies-for-uk-companies-in-2025/")</f>
        <v>https://lengreo.com/best-answer-engine-optimization-aeo-agencies-for-uk-companies-in-2025/</v>
      </c>
      <c r="B141" s="15" t="str">
        <f>IFERROR(__xludf.DUMMYFUNCTION("""COMPUTED_VALUE"""),"Top 10 Answer Engine Optimization (AEO) Companies for UK (2026)")</f>
        <v>Top 10 Answer Engine Optimization (AEO) Companies for UK (2026)</v>
      </c>
      <c r="C141" s="14" t="str">
        <f>IFERROR(__xludf.DUMMYFUNCTION("""COMPUTED_VALUE"""),"lengreo.com")</f>
        <v>lengreo.com</v>
      </c>
      <c r="D141" s="15" t="str">
        <f>IFERROR(__xludf.DUMMYFUNCTION("""COMPUTED_VALUE"""),"LISTICLE")</f>
        <v>LISTICLE</v>
      </c>
      <c r="E141" s="15" t="str">
        <f>IFERROR(__xludf.DUMMYFUNCTION("""COMPUTED_VALUE"""),"CORPORATE")</f>
        <v>CORPORATE</v>
      </c>
      <c r="F141" s="15" t="str">
        <f>IFERROR(__xludf.DUMMYFUNCTION("""COMPUTED_VALUE"""),"Listicle")</f>
        <v>Listicle</v>
      </c>
      <c r="G141" s="15" t="b">
        <f>IFERROR(__xludf.DUMMYFUNCTION("""COMPUTED_VALUE"""),FALSE)</f>
        <v>0</v>
      </c>
      <c r="H141" s="15" t="str">
        <f>IFERROR(__xludf.DUMMYFUNCTION("""COMPUTED_VALUE"""),"NoGood")</f>
        <v>NoGood</v>
      </c>
      <c r="I141" s="15">
        <f>IFERROR(__xludf.DUMMYFUNCTION("""COMPUTED_VALUE"""),14.0)</f>
        <v>14</v>
      </c>
      <c r="J141" s="15">
        <f>IFERROR(__xludf.DUMMYFUNCTION("""COMPUTED_VALUE"""),0.01)</f>
        <v>0.01</v>
      </c>
      <c r="K141" s="15">
        <f>IFERROR(__xludf.DUMMYFUNCTION("""COMPUTED_VALUE"""),0.36)</f>
        <v>0.36</v>
      </c>
      <c r="L141" s="15"/>
    </row>
    <row r="142" ht="15.75" customHeight="1">
      <c r="A142" s="14" t="str">
        <f>IFERROR(__xludf.DUMMYFUNCTION("""COMPUTED_VALUE"""),"https://www.rank4ai.co.uk/research/rankings/best-geo-agencies-uk/")</f>
        <v>https://www.rank4ai.co.uk/research/rankings/best-geo-agencies-uk/</v>
      </c>
      <c r="B142" s="15" t="str">
        <f>IFERROR(__xludf.DUMMYFUNCTION("""COMPUTED_VALUE"""),"Best GEO Agencies UK 2026 | Rank4AI")</f>
        <v>Best GEO Agencies UK 2026 | Rank4AI</v>
      </c>
      <c r="C142" s="14" t="str">
        <f>IFERROR(__xludf.DUMMYFUNCTION("""COMPUTED_VALUE"""),"rank4ai.co.uk")</f>
        <v>rank4ai.co.uk</v>
      </c>
      <c r="D142" s="15" t="str">
        <f>IFERROR(__xludf.DUMMYFUNCTION("""COMPUTED_VALUE"""),"LISTICLE")</f>
        <v>LISTICLE</v>
      </c>
      <c r="E142" s="15" t="str">
        <f>IFERROR(__xludf.DUMMYFUNCTION("""COMPUTED_VALUE"""),"COMPETITOR")</f>
        <v>COMPETITOR</v>
      </c>
      <c r="F142" s="15" t="str">
        <f>IFERROR(__xludf.DUMMYFUNCTION("""COMPUTED_VALUE"""),"Listicle")</f>
        <v>Listicle</v>
      </c>
      <c r="G142" s="15" t="b">
        <f>IFERROR(__xludf.DUMMYFUNCTION("""COMPUTED_VALUE"""),FALSE)</f>
        <v>0</v>
      </c>
      <c r="H142" s="15" t="str">
        <f>IFERROR(__xludf.DUMMYFUNCTION("""COMPUTED_VALUE"""),"Rank4AI, Blue Array, Buried Agency, Varn, Found, Screaming Frog")</f>
        <v>Rank4AI, Blue Array, Buried Agency, Varn, Found, Screaming Frog</v>
      </c>
      <c r="I142" s="15">
        <f>IFERROR(__xludf.DUMMYFUNCTION("""COMPUTED_VALUE"""),14.0)</f>
        <v>14</v>
      </c>
      <c r="J142" s="15">
        <f>IFERROR(__xludf.DUMMYFUNCTION("""COMPUTED_VALUE"""),0.01)</f>
        <v>0.01</v>
      </c>
      <c r="K142" s="15">
        <f>IFERROR(__xludf.DUMMYFUNCTION("""COMPUTED_VALUE"""),0.79)</f>
        <v>0.79</v>
      </c>
      <c r="L142" s="15"/>
    </row>
    <row r="143" ht="15.75" customHeight="1">
      <c r="A143" s="14" t="str">
        <f>IFERROR(__xludf.DUMMYFUNCTION("""COMPUTED_VALUE"""),"https://www.rank4ai.co.uk/research/rankings/top-ai-search-agencies-london/")</f>
        <v>https://www.rank4ai.co.uk/research/rankings/top-ai-search-agencies-london/</v>
      </c>
      <c r="B143" s="15" t="str">
        <f>IFERROR(__xludf.DUMMYFUNCTION("""COMPUTED_VALUE"""),"Top AI Search Agencies London 2026 | Rank4AI")</f>
        <v>Top AI Search Agencies London 2026 | Rank4AI</v>
      </c>
      <c r="C143" s="14" t="str">
        <f>IFERROR(__xludf.DUMMYFUNCTION("""COMPUTED_VALUE"""),"rank4ai.co.uk")</f>
        <v>rank4ai.co.uk</v>
      </c>
      <c r="D143" s="15" t="str">
        <f>IFERROR(__xludf.DUMMYFUNCTION("""COMPUTED_VALUE"""),"LISTICLE")</f>
        <v>LISTICLE</v>
      </c>
      <c r="E143" s="15" t="str">
        <f>IFERROR(__xludf.DUMMYFUNCTION("""COMPUTED_VALUE"""),"COMPETITOR")</f>
        <v>COMPETITOR</v>
      </c>
      <c r="F143" s="15" t="str">
        <f>IFERROR(__xludf.DUMMYFUNCTION("""COMPUTED_VALUE"""),"Listicle")</f>
        <v>Listicle</v>
      </c>
      <c r="G143" s="15" t="b">
        <f>IFERROR(__xludf.DUMMYFUNCTION("""COMPUTED_VALUE"""),FALSE)</f>
        <v>0</v>
      </c>
      <c r="H143" s="15" t="str">
        <f>IFERROR(__xludf.DUMMYFUNCTION("""COMPUTED_VALUE"""),"Rank4AI, Found, Exposure Ninja, Blue Array")</f>
        <v>Rank4AI, Found, Exposure Ninja, Blue Array</v>
      </c>
      <c r="I143" s="15">
        <f>IFERROR(__xludf.DUMMYFUNCTION("""COMPUTED_VALUE"""),14.0)</f>
        <v>14</v>
      </c>
      <c r="J143" s="15">
        <f>IFERROR(__xludf.DUMMYFUNCTION("""COMPUTED_VALUE"""),0.01)</f>
        <v>0.01</v>
      </c>
      <c r="K143" s="15">
        <f>IFERROR(__xludf.DUMMYFUNCTION("""COMPUTED_VALUE"""),0.64)</f>
        <v>0.64</v>
      </c>
      <c r="L143" s="15"/>
    </row>
    <row r="144" ht="15.75" customHeight="1">
      <c r="A144" s="14" t="str">
        <f>IFERROR(__xludf.DUMMYFUNCTION("""COMPUTED_VALUE"""),"https://www.reddit.com/r/advertising/comments/n8z67i/best_uk_based_agencies/")</f>
        <v>https://www.reddit.com/r/advertising/comments/n8z67i/best_uk_based_agencies/</v>
      </c>
      <c r="B144" s="15" t="str">
        <f>IFERROR(__xludf.DUMMYFUNCTION("""COMPUTED_VALUE"""),"Best UK Based Agencies?")</f>
        <v>Best UK Based Agencies?</v>
      </c>
      <c r="C144" s="14" t="str">
        <f>IFERROR(__xludf.DUMMYFUNCTION("""COMPUTED_VALUE"""),"reddit.com")</f>
        <v>reddit.com</v>
      </c>
      <c r="D144" s="15" t="str">
        <f>IFERROR(__xludf.DUMMYFUNCTION("""COMPUTED_VALUE"""),"DISCUSSION")</f>
        <v>DISCUSSION</v>
      </c>
      <c r="E144" s="15" t="str">
        <f>IFERROR(__xludf.DUMMYFUNCTION("""COMPUTED_VALUE"""),"UGC")</f>
        <v>UGC</v>
      </c>
      <c r="F144" s="15" t="str">
        <f>IFERROR(__xludf.DUMMYFUNCTION("""COMPUTED_VALUE"""),"Discussion")</f>
        <v>Discussion</v>
      </c>
      <c r="G144" s="15" t="b">
        <f>IFERROR(__xludf.DUMMYFUNCTION("""COMPUTED_VALUE"""),FALSE)</f>
        <v>0</v>
      </c>
      <c r="H144" s="15" t="str">
        <f>IFERROR(__xludf.DUMMYFUNCTION("""COMPUTED_VALUE"""),"Lucky Generals, AMV BBDO, VCCP, Uncommon Creative Studio, Mother London, BBH London")</f>
        <v>Lucky Generals, AMV BBDO, VCCP, Uncommon Creative Studio, Mother London, BBH London</v>
      </c>
      <c r="I144" s="15">
        <f>IFERROR(__xludf.DUMMYFUNCTION("""COMPUTED_VALUE"""),14.0)</f>
        <v>14</v>
      </c>
      <c r="J144" s="15">
        <f>IFERROR(__xludf.DUMMYFUNCTION("""COMPUTED_VALUE"""),0.01)</f>
        <v>0.01</v>
      </c>
      <c r="K144" s="15">
        <f>IFERROR(__xludf.DUMMYFUNCTION("""COMPUTED_VALUE"""),1.21)</f>
        <v>1.21</v>
      </c>
      <c r="L144" s="15"/>
    </row>
    <row r="145" ht="15.75" customHeight="1">
      <c r="A145" s="14" t="str">
        <f>IFERROR(__xludf.DUMMYFUNCTION("""COMPUTED_VALUE"""),"https://www.wearetenet.com/blog/google-ads-agencies-in-the-uk")</f>
        <v>https://www.wearetenet.com/blog/google-ads-agencies-in-the-uk</v>
      </c>
      <c r="B145" s="15" t="str">
        <f>IFERROR(__xludf.DUMMYFUNCTION("""COMPUTED_VALUE"""),"10 Best Google Ads Agencies in the UK to Hire From (2026)")</f>
        <v>10 Best Google Ads Agencies in the UK to Hire From (2026)</v>
      </c>
      <c r="C145" s="14" t="str">
        <f>IFERROR(__xludf.DUMMYFUNCTION("""COMPUTED_VALUE"""),"wearetenet.com")</f>
        <v>wearetenet.com</v>
      </c>
      <c r="D145" s="15" t="str">
        <f>IFERROR(__xludf.DUMMYFUNCTION("""COMPUTED_VALUE"""),"LISTICLE")</f>
        <v>LISTICLE</v>
      </c>
      <c r="E145" s="15" t="str">
        <f>IFERROR(__xludf.DUMMYFUNCTION("""COMPUTED_VALUE"""),"CORPORATE")</f>
        <v>CORPORATE</v>
      </c>
      <c r="F145" s="15" t="str">
        <f>IFERROR(__xludf.DUMMYFUNCTION("""COMPUTED_VALUE"""),"Listicle")</f>
        <v>Listicle</v>
      </c>
      <c r="G145" s="15" t="b">
        <f>IFERROR(__xludf.DUMMYFUNCTION("""COMPUTED_VALUE"""),FALSE)</f>
        <v>0</v>
      </c>
      <c r="H145" s="15" t="str">
        <f>IFERROR(__xludf.DUMMYFUNCTION("""COMPUTED_VALUE"""),"PPC Geeks, The SEO Works, Impression, Hallam, Favoured")</f>
        <v>PPC Geeks, The SEO Works, Impression, Hallam, Favoured</v>
      </c>
      <c r="I145" s="15">
        <f>IFERROR(__xludf.DUMMYFUNCTION("""COMPUTED_VALUE"""),14.0)</f>
        <v>14</v>
      </c>
      <c r="J145" s="15">
        <f>IFERROR(__xludf.DUMMYFUNCTION("""COMPUTED_VALUE"""),0.01)</f>
        <v>0.01</v>
      </c>
      <c r="K145" s="15">
        <f>IFERROR(__xludf.DUMMYFUNCTION("""COMPUTED_VALUE"""),0.07)</f>
        <v>0.07</v>
      </c>
      <c r="L145" s="15"/>
    </row>
    <row r="146" ht="15.75" customHeight="1">
      <c r="A146" s="14" t="str">
        <f>IFERROR(__xludf.DUMMYFUNCTION("""COMPUTED_VALUE"""),"https://www.webtonic.io/blog/top-digital-marketing-agencies-uk")</f>
        <v>https://www.webtonic.io/blog/top-digital-marketing-agencies-uk</v>
      </c>
      <c r="B146" s="15" t="str">
        <f>IFERROR(__xludf.DUMMYFUNCTION("""COMPUTED_VALUE"""),"Top 46 Digital Marketing Agencies in the UK (Reviewed in 2026)")</f>
        <v>Top 46 Digital Marketing Agencies in the UK (Reviewed in 2026)</v>
      </c>
      <c r="C146" s="14" t="str">
        <f>IFERROR(__xludf.DUMMYFUNCTION("""COMPUTED_VALUE"""),"webtonic.io")</f>
        <v>webtonic.io</v>
      </c>
      <c r="D146" s="15" t="str">
        <f>IFERROR(__xludf.DUMMYFUNCTION("""COMPUTED_VALUE"""),"LISTICLE")</f>
        <v>LISTICLE</v>
      </c>
      <c r="E146" s="15" t="str">
        <f>IFERROR(__xludf.DUMMYFUNCTION("""COMPUTED_VALUE"""),"CORPORATE")</f>
        <v>CORPORATE</v>
      </c>
      <c r="F146" s="15" t="str">
        <f>IFERROR(__xludf.DUMMYFUNCTION("""COMPUTED_VALUE"""),"Listicle")</f>
        <v>Listicle</v>
      </c>
      <c r="G146" s="15" t="b">
        <f>IFERROR(__xludf.DUMMYFUNCTION("""COMPUTED_VALUE"""),FALSE)</f>
        <v>0</v>
      </c>
      <c r="H146" s="15" t="str">
        <f>IFERROR(__xludf.DUMMYFUNCTION("""COMPUTED_VALUE"""),"ClickSlice, Ignite Visibility, Hallam, The Social Shepherd, Ninja Promo, Favoured, Whitehat, Omniscient Digital, Found, Make Agency, FirstMotion, Soap Media, ROAST, The SEO Works, Bird Marketing, Propeller, Gripped, M3.agency, Momentum")</f>
        <v>ClickSlice, Ignite Visibility, Hallam, The Social Shepherd, Ninja Promo, Favoured, Whitehat, Omniscient Digital, Found, Make Agency, FirstMotion, Soap Media, ROAST, The SEO Works, Bird Marketing, Propeller, Gripped, M3.agency, Momentum</v>
      </c>
      <c r="I146" s="15">
        <f>IFERROR(__xludf.DUMMYFUNCTION("""COMPUTED_VALUE"""),14.0)</f>
        <v>14</v>
      </c>
      <c r="J146" s="15">
        <f>IFERROR(__xludf.DUMMYFUNCTION("""COMPUTED_VALUE"""),0.01)</f>
        <v>0.01</v>
      </c>
      <c r="K146" s="15">
        <f>IFERROR(__xludf.DUMMYFUNCTION("""COMPUTED_VALUE"""),1.0)</f>
        <v>1</v>
      </c>
      <c r="L146" s="15"/>
    </row>
    <row r="147" ht="15.75" customHeight="1">
      <c r="A147" s="14" t="str">
        <f>IFERROR(__xludf.DUMMYFUNCTION("""COMPUTED_VALUE"""),"https://agencies.semrush.com/list/display-advertising/united-kingdom/small-business/")</f>
        <v>https://agencies.semrush.com/list/display-advertising/united-kingdom/small-business/</v>
      </c>
      <c r="B147" s="15" t="str">
        <f>IFERROR(__xludf.DUMMYFUNCTION("""COMPUTED_VALUE"""),"Best Display Ads Agencies for Small Business in United Kingdom 2026 | Semrush")</f>
        <v>Best Display Ads Agencies for Small Business in United Kingdom 2026 | Semrush</v>
      </c>
      <c r="C147" s="14" t="str">
        <f>IFERROR(__xludf.DUMMYFUNCTION("""COMPUTED_VALUE"""),"semrush.com")</f>
        <v>semrush.com</v>
      </c>
      <c r="D147" s="15" t="str">
        <f>IFERROR(__xludf.DUMMYFUNCTION("""COMPUTED_VALUE"""),"OTHER")</f>
        <v>OTHER</v>
      </c>
      <c r="E147" s="15" t="str">
        <f>IFERROR(__xludf.DUMMYFUNCTION("""COMPUTED_VALUE"""),"CORPORATE")</f>
        <v>CORPORATE</v>
      </c>
      <c r="F147" s="15" t="str">
        <f>IFERROR(__xludf.DUMMYFUNCTION("""COMPUTED_VALUE"""),"Other")</f>
        <v>Other</v>
      </c>
      <c r="G147" s="15" t="b">
        <f>IFERROR(__xludf.DUMMYFUNCTION("""COMPUTED_VALUE"""),FALSE)</f>
        <v>0</v>
      </c>
      <c r="H147" s="15" t="str">
        <f>IFERROR(__xludf.DUMMYFUNCTION("""COMPUTED_VALUE"""),"Found, Soap Media, The SEO Works")</f>
        <v>Found, Soap Media, The SEO Works</v>
      </c>
      <c r="I147" s="15">
        <f>IFERROR(__xludf.DUMMYFUNCTION("""COMPUTED_VALUE"""),13.0)</f>
        <v>13</v>
      </c>
      <c r="J147" s="15">
        <f>IFERROR(__xludf.DUMMYFUNCTION("""COMPUTED_VALUE"""),0.01)</f>
        <v>0.01</v>
      </c>
      <c r="K147" s="15">
        <f>IFERROR(__xludf.DUMMYFUNCTION("""COMPUTED_VALUE"""),0.0)</f>
        <v>0</v>
      </c>
      <c r="L147" s="15"/>
    </row>
    <row r="148" ht="15.75" customHeight="1">
      <c r="A148" s="14" t="str">
        <f>IFERROR(__xludf.DUMMYFUNCTION("""COMPUTED_VALUE"""),"https://www.charle.co.uk/articles/top-geo-agency-for-ecommerce/")</f>
        <v>https://www.charle.co.uk/articles/top-geo-agency-for-ecommerce/</v>
      </c>
      <c r="B148" s="15" t="str">
        <f>IFERROR(__xludf.DUMMYFUNCTION("""COMPUTED_VALUE"""),"14 Best GEO Agencies UK (2026) \| Top Generative Engine Optimisation Agencies \| Charle")</f>
        <v>14 Best GEO Agencies UK (2026) \| Top Generative Engine Optimisation Agencies \| Charle</v>
      </c>
      <c r="C148" s="14" t="str">
        <f>IFERROR(__xludf.DUMMYFUNCTION("""COMPUTED_VALUE"""),"charle.co.uk")</f>
        <v>charle.co.uk</v>
      </c>
      <c r="D148" s="15" t="str">
        <f>IFERROR(__xludf.DUMMYFUNCTION("""COMPUTED_VALUE"""),"LISTICLE")</f>
        <v>LISTICLE</v>
      </c>
      <c r="E148" s="15" t="str">
        <f>IFERROR(__xludf.DUMMYFUNCTION("""COMPUTED_VALUE"""),"COMPETITOR")</f>
        <v>COMPETITOR</v>
      </c>
      <c r="F148" s="15" t="str">
        <f>IFERROR(__xludf.DUMMYFUNCTION("""COMPUTED_VALUE"""),"Listicle")</f>
        <v>Listicle</v>
      </c>
      <c r="G148" s="15" t="b">
        <f>IFERROR(__xludf.DUMMYFUNCTION("""COMPUTED_VALUE"""),FALSE)</f>
        <v>0</v>
      </c>
      <c r="H148" s="15" t="str">
        <f>IFERROR(__xludf.DUMMYFUNCTION("""COMPUTED_VALUE"""),"Charle Agency, Polaris, Buried Agency, ClickSlice, Exposure Ninja, Blue Array, Found, Measured")</f>
        <v>Charle Agency, Polaris, Buried Agency, ClickSlice, Exposure Ninja, Blue Array, Found, Measured</v>
      </c>
      <c r="I148" s="15">
        <f>IFERROR(__xludf.DUMMYFUNCTION("""COMPUTED_VALUE"""),13.0)</f>
        <v>13</v>
      </c>
      <c r="J148" s="15">
        <f>IFERROR(__xludf.DUMMYFUNCTION("""COMPUTED_VALUE"""),0.01)</f>
        <v>0.01</v>
      </c>
      <c r="K148" s="15">
        <f>IFERROR(__xludf.DUMMYFUNCTION("""COMPUTED_VALUE"""),0.77)</f>
        <v>0.77</v>
      </c>
      <c r="L148" s="15"/>
    </row>
    <row r="149" ht="15.75" customHeight="1">
      <c r="A149" s="14" t="str">
        <f>IFERROR(__xludf.DUMMYFUNCTION("""COMPUTED_VALUE"""),"https://climb-seo.co.uk/best-aeo-geo-agencies-uk-2026/")</f>
        <v>https://climb-seo.co.uk/best-aeo-geo-agencies-uk-2026/</v>
      </c>
      <c r="B149" s="15" t="str">
        <f>IFERROR(__xludf.DUMMYFUNCTION("""COMPUTED_VALUE"""),"The Best AEO and GEO Agencies in the UK (2026 Guide) - Climb SEO")</f>
        <v>The Best AEO and GEO Agencies in the UK (2026 Guide) - Climb SEO</v>
      </c>
      <c r="C149" s="14" t="str">
        <f>IFERROR(__xludf.DUMMYFUNCTION("""COMPUTED_VALUE"""),"climb-seo.co.uk")</f>
        <v>climb-seo.co.uk</v>
      </c>
      <c r="D149" s="15" t="str">
        <f>IFERROR(__xludf.DUMMYFUNCTION("""COMPUTED_VALUE"""),"LISTICLE")</f>
        <v>LISTICLE</v>
      </c>
      <c r="E149" s="15" t="str">
        <f>IFERROR(__xludf.DUMMYFUNCTION("""COMPUTED_VALUE"""),"CORPORATE")</f>
        <v>CORPORATE</v>
      </c>
      <c r="F149" s="15" t="str">
        <f>IFERROR(__xludf.DUMMYFUNCTION("""COMPUTED_VALUE"""),"Listicle")</f>
        <v>Listicle</v>
      </c>
      <c r="G149" s="15" t="b">
        <f>IFERROR(__xludf.DUMMYFUNCTION("""COMPUTED_VALUE"""),FALSE)</f>
        <v>0</v>
      </c>
      <c r="H149" s="15" t="str">
        <f>IFERROR(__xludf.DUMMYFUNCTION("""COMPUTED_VALUE"""),"Tilio, Charle Agency, The SEO Works, Polaris, Measured")</f>
        <v>Tilio, Charle Agency, The SEO Works, Polaris, Measured</v>
      </c>
      <c r="I149" s="15">
        <f>IFERROR(__xludf.DUMMYFUNCTION("""COMPUTED_VALUE"""),13.0)</f>
        <v>13</v>
      </c>
      <c r="J149" s="15">
        <f>IFERROR(__xludf.DUMMYFUNCTION("""COMPUTED_VALUE"""),0.01)</f>
        <v>0.01</v>
      </c>
      <c r="K149" s="15">
        <f>IFERROR(__xludf.DUMMYFUNCTION("""COMPUTED_VALUE"""),0.15)</f>
        <v>0.15</v>
      </c>
      <c r="L149" s="15"/>
    </row>
    <row r="150" ht="15.75" customHeight="1">
      <c r="A150" s="14" t="str">
        <f>IFERROR(__xludf.DUMMYFUNCTION("""COMPUTED_VALUE"""),"https://clutch.co/consulting/ai/strategy/uk")</f>
        <v>https://clutch.co/consulting/ai/strategy/uk</v>
      </c>
      <c r="B150" s="15" t="str">
        <f>IFERROR(__xludf.DUMMYFUNCTION("""COMPUTED_VALUE"""),"Top AI Strategy Companies in the United Kingdom - Jul 2026 Rankings \| Clutch.co")</f>
        <v>Top AI Strategy Companies in the United Kingdom - Jul 2026 Rankings \| Clutch.co</v>
      </c>
      <c r="C150" s="14" t="str">
        <f>IFERROR(__xludf.DUMMYFUNCTION("""COMPUTED_VALUE"""),"clutch.co")</f>
        <v>clutch.co</v>
      </c>
      <c r="D150" s="15" t="str">
        <f>IFERROR(__xludf.DUMMYFUNCTION("""COMPUTED_VALUE"""),"CATEGORY_PAGE")</f>
        <v>CATEGORY_PAGE</v>
      </c>
      <c r="E150" s="15" t="str">
        <f>IFERROR(__xludf.DUMMYFUNCTION("""COMPUTED_VALUE"""),"CORPORATE")</f>
        <v>CORPORATE</v>
      </c>
      <c r="F150" s="15" t="str">
        <f>IFERROR(__xludf.DUMMYFUNCTION("""COMPUTED_VALUE"""),"Category Page")</f>
        <v>Category Page</v>
      </c>
      <c r="G150" s="15" t="b">
        <f>IFERROR(__xludf.DUMMYFUNCTION("""COMPUTED_VALUE"""),FALSE)</f>
        <v>0</v>
      </c>
      <c r="H150" s="15" t="str">
        <f>IFERROR(__xludf.DUMMYFUNCTION("""COMPUTED_VALUE"""),"Found, Impression")</f>
        <v>Found, Impression</v>
      </c>
      <c r="I150" s="15">
        <f>IFERROR(__xludf.DUMMYFUNCTION("""COMPUTED_VALUE"""),13.0)</f>
        <v>13</v>
      </c>
      <c r="J150" s="15">
        <f>IFERROR(__xludf.DUMMYFUNCTION("""COMPUTED_VALUE"""),0.01)</f>
        <v>0.01</v>
      </c>
      <c r="K150" s="15">
        <f>IFERROR(__xludf.DUMMYFUNCTION("""COMPUTED_VALUE"""),0.23)</f>
        <v>0.23</v>
      </c>
      <c r="L150" s="15"/>
    </row>
    <row r="151" ht="15.75" customHeight="1">
      <c r="A151" s="14" t="str">
        <f>IFERROR(__xludf.DUMMYFUNCTION("""COMPUTED_VALUE"""),"https://www.measured.com/faq/best-incrementality-testing-companies-software-for-marketing-2025/")</f>
        <v>https://www.measured.com/faq/best-incrementality-testing-companies-software-for-marketing-2025/</v>
      </c>
      <c r="B151" s="15" t="str">
        <f>IFERROR(__xludf.DUMMYFUNCTION("""COMPUTED_VALUE"""),"Best Incrementality Testing Companies &amp; Software for Marketing (2026)")</f>
        <v>Best Incrementality Testing Companies &amp; Software for Marketing (2026)</v>
      </c>
      <c r="C151" s="14" t="str">
        <f>IFERROR(__xludf.DUMMYFUNCTION("""COMPUTED_VALUE"""),"measured.com")</f>
        <v>measured.com</v>
      </c>
      <c r="D151" s="15" t="str">
        <f>IFERROR(__xludf.DUMMYFUNCTION("""COMPUTED_VALUE"""),"LISTICLE")</f>
        <v>LISTICLE</v>
      </c>
      <c r="E151" s="15" t="str">
        <f>IFERROR(__xludf.DUMMYFUNCTION("""COMPUTED_VALUE"""),"COMPETITOR")</f>
        <v>COMPETITOR</v>
      </c>
      <c r="F151" s="15" t="str">
        <f>IFERROR(__xludf.DUMMYFUNCTION("""COMPUTED_VALUE"""),"Listicle")</f>
        <v>Listicle</v>
      </c>
      <c r="G151" s="15" t="b">
        <f>IFERROR(__xludf.DUMMYFUNCTION("""COMPUTED_VALUE"""),FALSE)</f>
        <v>0</v>
      </c>
      <c r="H151" s="15" t="str">
        <f>IFERROR(__xludf.DUMMYFUNCTION("""COMPUTED_VALUE"""),"Measured, Neustar, Rockerbox, Haus, Recast, Analytic Partners")</f>
        <v>Measured, Neustar, Rockerbox, Haus, Recast, Analytic Partners</v>
      </c>
      <c r="I151" s="15">
        <f>IFERROR(__xludf.DUMMYFUNCTION("""COMPUTED_VALUE"""),13.0)</f>
        <v>13</v>
      </c>
      <c r="J151" s="15">
        <f>IFERROR(__xludf.DUMMYFUNCTION("""COMPUTED_VALUE"""),0.01)</f>
        <v>0.01</v>
      </c>
      <c r="K151" s="15">
        <f>IFERROR(__xludf.DUMMYFUNCTION("""COMPUTED_VALUE"""),1.69)</f>
        <v>1.69</v>
      </c>
      <c r="L151" s="15"/>
    </row>
    <row r="152" ht="15.75" customHeight="1">
      <c r="A152" s="14" t="str">
        <f>IFERROR(__xludf.DUMMYFUNCTION("""COMPUTED_VALUE"""),"https://superbcompanies.com/categories/creative-agencies-in-the-uk/")</f>
        <v>https://superbcompanies.com/categories/creative-agencies-in-the-uk/</v>
      </c>
      <c r="B152" s="15" t="str">
        <f>IFERROR(__xludf.DUMMYFUNCTION("""COMPUTED_VALUE"""),"Top 100 Creative Agencies in the United Kingdom - Jul 2026 | Ranking | SuperbCompanies")</f>
        <v>Top 100 Creative Agencies in the United Kingdom - Jul 2026 | Ranking | SuperbCompanies</v>
      </c>
      <c r="C152" s="14" t="str">
        <f>IFERROR(__xludf.DUMMYFUNCTION("""COMPUTED_VALUE"""),"superbcompanies.com")</f>
        <v>superbcompanies.com</v>
      </c>
      <c r="D152" s="15" t="str">
        <f>IFERROR(__xludf.DUMMYFUNCTION("""COMPUTED_VALUE"""),"CATEGORY_PAGE")</f>
        <v>CATEGORY_PAGE</v>
      </c>
      <c r="E152" s="15" t="str">
        <f>IFERROR(__xludf.DUMMYFUNCTION("""COMPUTED_VALUE"""),"REFERENCE")</f>
        <v>REFERENCE</v>
      </c>
      <c r="F152" s="15" t="str">
        <f>IFERROR(__xludf.DUMMYFUNCTION("""COMPUTED_VALUE"""),"Category Page")</f>
        <v>Category Page</v>
      </c>
      <c r="G152" s="15" t="b">
        <f>IFERROR(__xludf.DUMMYFUNCTION("""COMPUTED_VALUE"""),FALSE)</f>
        <v>0</v>
      </c>
      <c r="H152" s="15" t="str">
        <f>IFERROR(__xludf.DUMMYFUNCTION("""COMPUTED_VALUE"""),"Bird Marketing, The SEO Works, Dept, Found, Impression")</f>
        <v>Bird Marketing, The SEO Works, Dept, Found, Impression</v>
      </c>
      <c r="I152" s="15">
        <f>IFERROR(__xludf.DUMMYFUNCTION("""COMPUTED_VALUE"""),13.0)</f>
        <v>13</v>
      </c>
      <c r="J152" s="15">
        <f>IFERROR(__xludf.DUMMYFUNCTION("""COMPUTED_VALUE"""),0.01)</f>
        <v>0.01</v>
      </c>
      <c r="K152" s="15">
        <f>IFERROR(__xludf.DUMMYFUNCTION("""COMPUTED_VALUE"""),0.0)</f>
        <v>0</v>
      </c>
      <c r="L152" s="15"/>
    </row>
    <row r="153" ht="15.75" customHeight="1">
      <c r="A153" s="14" t="str">
        <f>IFERROR(__xludf.DUMMYFUNCTION("""COMPUTED_VALUE"""),"https://thatware.co/top-10-ai-seo-companies-in-uk/")</f>
        <v>https://thatware.co/top-10-ai-seo-companies-in-uk/</v>
      </c>
      <c r="B153" s="15" t="str">
        <f>IFERROR(__xludf.DUMMYFUNCTION("""COMPUTED_VALUE"""),"Top 10 AI Search Optimization Companies in UK | ThatWare")</f>
        <v>Top 10 AI Search Optimization Companies in UK | ThatWare</v>
      </c>
      <c r="C153" s="14" t="str">
        <f>IFERROR(__xludf.DUMMYFUNCTION("""COMPUTED_VALUE"""),"thatware.co")</f>
        <v>thatware.co</v>
      </c>
      <c r="D153" s="15" t="str">
        <f>IFERROR(__xludf.DUMMYFUNCTION("""COMPUTED_VALUE"""),"LISTICLE")</f>
        <v>LISTICLE</v>
      </c>
      <c r="E153" s="15" t="str">
        <f>IFERROR(__xludf.DUMMYFUNCTION("""COMPUTED_VALUE"""),"CORPORATE")</f>
        <v>CORPORATE</v>
      </c>
      <c r="F153" s="15" t="str">
        <f>IFERROR(__xludf.DUMMYFUNCTION("""COMPUTED_VALUE"""),"Listicle")</f>
        <v>Listicle</v>
      </c>
      <c r="G153" s="15" t="b">
        <f>IFERROR(__xludf.DUMMYFUNCTION("""COMPUTED_VALUE"""),FALSE)</f>
        <v>0</v>
      </c>
      <c r="H153" s="15" t="str">
        <f>IFERROR(__xludf.DUMMYFUNCTION("""COMPUTED_VALUE"""),"The SEO Works, Click Intelligence, Exposure Ninja, Impression, Blue Array")</f>
        <v>The SEO Works, Click Intelligence, Exposure Ninja, Impression, Blue Array</v>
      </c>
      <c r="I153" s="15">
        <f>IFERROR(__xludf.DUMMYFUNCTION("""COMPUTED_VALUE"""),13.0)</f>
        <v>13</v>
      </c>
      <c r="J153" s="15">
        <f>IFERROR(__xludf.DUMMYFUNCTION("""COMPUTED_VALUE"""),0.01)</f>
        <v>0.01</v>
      </c>
      <c r="K153" s="15">
        <f>IFERROR(__xludf.DUMMYFUNCTION("""COMPUTED_VALUE"""),0.0)</f>
        <v>0</v>
      </c>
      <c r="L153" s="15"/>
    </row>
    <row r="154" ht="15.75" customHeight="1">
      <c r="A154" s="14" t="str">
        <f>IFERROR(__xludf.DUMMYFUNCTION("""COMPUTED_VALUE"""),"https://weareroast.com/news/best-ppc-agencies-in-the-uk-2026-guide/")</f>
        <v>https://weareroast.com/news/best-ppc-agencies-in-the-uk-2026-guide/</v>
      </c>
      <c r="B154" s="15" t="str">
        <f>IFERROR(__xludf.DUMMYFUNCTION("""COMPUTED_VALUE"""),"Best PPC Agencies in the UK (2026 Guide) | We Are ROAST")</f>
        <v>Best PPC Agencies in the UK (2026 Guide) | We Are ROAST</v>
      </c>
      <c r="C154" s="14" t="str">
        <f>IFERROR(__xludf.DUMMYFUNCTION("""COMPUTED_VALUE"""),"weareroast.com")</f>
        <v>weareroast.com</v>
      </c>
      <c r="D154" s="15" t="str">
        <f>IFERROR(__xludf.DUMMYFUNCTION("""COMPUTED_VALUE"""),"LISTICLE")</f>
        <v>LISTICLE</v>
      </c>
      <c r="E154" s="15" t="str">
        <f>IFERROR(__xludf.DUMMYFUNCTION("""COMPUTED_VALUE"""),"COMPETITOR")</f>
        <v>COMPETITOR</v>
      </c>
      <c r="F154" s="15" t="str">
        <f>IFERROR(__xludf.DUMMYFUNCTION("""COMPUTED_VALUE"""),"Listicle")</f>
        <v>Listicle</v>
      </c>
      <c r="G154" s="15" t="b">
        <f>IFERROR(__xludf.DUMMYFUNCTION("""COMPUTED_VALUE"""),FALSE)</f>
        <v>0</v>
      </c>
      <c r="H154" s="15" t="str">
        <f>IFERROR(__xludf.DUMMYFUNCTION("""COMPUTED_VALUE"""),"ROAST, Brainlabs, iCrossing, Hallam, Impression, Koozai, Huge, Jellyfish")</f>
        <v>ROAST, Brainlabs, iCrossing, Hallam, Impression, Koozai, Huge, Jellyfish</v>
      </c>
      <c r="I154" s="15">
        <f>IFERROR(__xludf.DUMMYFUNCTION("""COMPUTED_VALUE"""),13.0)</f>
        <v>13</v>
      </c>
      <c r="J154" s="15">
        <f>IFERROR(__xludf.DUMMYFUNCTION("""COMPUTED_VALUE"""),0.01)</f>
        <v>0.01</v>
      </c>
      <c r="K154" s="15">
        <f>IFERROR(__xludf.DUMMYFUNCTION("""COMPUTED_VALUE"""),0.15)</f>
        <v>0.15</v>
      </c>
      <c r="L154" s="15"/>
    </row>
    <row r="155" ht="15.75" customHeight="1">
      <c r="A155" s="14" t="str">
        <f>IFERROR(__xludf.DUMMYFUNCTION("""COMPUTED_VALUE"""),"https://www.webdesignchoice.co.uk/top-aeo-agencies-uk-2026.html")</f>
        <v>https://www.webdesignchoice.co.uk/top-aeo-agencies-uk-2026.html</v>
      </c>
      <c r="B155" s="15" t="str">
        <f>IFERROR(__xludf.DUMMYFUNCTION("""COMPUTED_VALUE"""),"Best AEO Agencies UK 2026 | Top Answer Engine Optimisation Companies Ranked")</f>
        <v>Best AEO Agencies UK 2026 | Top Answer Engine Optimisation Companies Ranked</v>
      </c>
      <c r="C155" s="14" t="str">
        <f>IFERROR(__xludf.DUMMYFUNCTION("""COMPUTED_VALUE"""),"webdesignchoice.co.uk")</f>
        <v>webdesignchoice.co.uk</v>
      </c>
      <c r="D155" s="15" t="str">
        <f>IFERROR(__xludf.DUMMYFUNCTION("""COMPUTED_VALUE"""),"LISTICLE")</f>
        <v>LISTICLE</v>
      </c>
      <c r="E155" s="15" t="str">
        <f>IFERROR(__xludf.DUMMYFUNCTION("""COMPUTED_VALUE"""),"CORPORATE")</f>
        <v>CORPORATE</v>
      </c>
      <c r="F155" s="15" t="str">
        <f>IFERROR(__xludf.DUMMYFUNCTION("""COMPUTED_VALUE"""),"Listicle")</f>
        <v>Listicle</v>
      </c>
      <c r="G155" s="15" t="b">
        <f>IFERROR(__xludf.DUMMYFUNCTION("""COMPUTED_VALUE"""),FALSE)</f>
        <v>0</v>
      </c>
      <c r="H155" s="15" t="str">
        <f>IFERROR(__xludf.DUMMYFUNCTION("""COMPUTED_VALUE"""),"ClickSlice, The SEO Works, Push, Push Group, Click Intelligence, Exposure Ninja, Charle Agency, Builtvisible, Measured, Digital Landscope")</f>
        <v>ClickSlice, The SEO Works, Push, Push Group, Click Intelligence, Exposure Ninja, Charle Agency, Builtvisible, Measured, Digital Landscope</v>
      </c>
      <c r="I155" s="15">
        <f>IFERROR(__xludf.DUMMYFUNCTION("""COMPUTED_VALUE"""),13.0)</f>
        <v>13</v>
      </c>
      <c r="J155" s="15">
        <f>IFERROR(__xludf.DUMMYFUNCTION("""COMPUTED_VALUE"""),0.01)</f>
        <v>0.01</v>
      </c>
      <c r="K155" s="15">
        <f>IFERROR(__xludf.DUMMYFUNCTION("""COMPUTED_VALUE"""),3.85)</f>
        <v>3.85</v>
      </c>
      <c r="L155" s="15"/>
    </row>
    <row r="156" ht="15.75" customHeight="1">
      <c r="A156" s="14" t="str">
        <f>IFERROR(__xludf.DUMMYFUNCTION("""COMPUTED_VALUE"""),"https://www.50pros.com/hire/advertising/attribution-and-measurement")</f>
        <v>https://www.50pros.com/hire/advertising/attribution-and-measurement</v>
      </c>
      <c r="B156" s="15" t="str">
        <f>IFERROR(__xludf.DUMMYFUNCTION("""COMPUTED_VALUE"""),"Top Attribution &amp; Measurement Agencies to Hire in June 2026")</f>
        <v>Top Attribution &amp; Measurement Agencies to Hire in June 2026</v>
      </c>
      <c r="C156" s="14" t="str">
        <f>IFERROR(__xludf.DUMMYFUNCTION("""COMPUTED_VALUE"""),"50pros.com")</f>
        <v>50pros.com</v>
      </c>
      <c r="D156" s="15" t="str">
        <f>IFERROR(__xludf.DUMMYFUNCTION("""COMPUTED_VALUE"""),"CATEGORY_PAGE")</f>
        <v>CATEGORY_PAGE</v>
      </c>
      <c r="E156" s="15" t="str">
        <f>IFERROR(__xludf.DUMMYFUNCTION("""COMPUTED_VALUE"""),"REFERENCE")</f>
        <v>REFERENCE</v>
      </c>
      <c r="F156" s="15" t="str">
        <f>IFERROR(__xludf.DUMMYFUNCTION("""COMPUTED_VALUE"""),"Category Page")</f>
        <v>Category Page</v>
      </c>
      <c r="G156" s="15" t="b">
        <f>IFERROR(__xludf.DUMMYFUNCTION("""COMPUTED_VALUE"""),FALSE)</f>
        <v>0</v>
      </c>
      <c r="H156" s="15" t="str">
        <f>IFERROR(__xludf.DUMMYFUNCTION("""COMPUTED_VALUE"""),"The SEO Works, Found, Huge")</f>
        <v>The SEO Works, Found, Huge</v>
      </c>
      <c r="I156" s="15">
        <f>IFERROR(__xludf.DUMMYFUNCTION("""COMPUTED_VALUE"""),12.0)</f>
        <v>12</v>
      </c>
      <c r="J156" s="15">
        <f>IFERROR(__xludf.DUMMYFUNCTION("""COMPUTED_VALUE"""),0.01)</f>
        <v>0.01</v>
      </c>
      <c r="K156" s="15">
        <f>IFERROR(__xludf.DUMMYFUNCTION("""COMPUTED_VALUE"""),0.0)</f>
        <v>0</v>
      </c>
      <c r="L156" s="15"/>
    </row>
    <row r="157" ht="15.75" customHeight="1">
      <c r="A157" s="14" t="str">
        <f>IFERROR(__xludf.DUMMYFUNCTION("""COMPUTED_VALUE"""),"https://www.50pros.com/hire/digital-marketing/marketing-attribution")</f>
        <v>https://www.50pros.com/hire/digital-marketing/marketing-attribution</v>
      </c>
      <c r="B157" s="15" t="str">
        <f>IFERROR(__xludf.DUMMYFUNCTION("""COMPUTED_VALUE"""),"Top Marketing Attribution Agencies to Hire in June 2026")</f>
        <v>Top Marketing Attribution Agencies to Hire in June 2026</v>
      </c>
      <c r="C157" s="14" t="str">
        <f>IFERROR(__xludf.DUMMYFUNCTION("""COMPUTED_VALUE"""),"50pros.com")</f>
        <v>50pros.com</v>
      </c>
      <c r="D157" s="15" t="str">
        <f>IFERROR(__xludf.DUMMYFUNCTION("""COMPUTED_VALUE"""),"CATEGORY_PAGE")</f>
        <v>CATEGORY_PAGE</v>
      </c>
      <c r="E157" s="15" t="str">
        <f>IFERROR(__xludf.DUMMYFUNCTION("""COMPUTED_VALUE"""),"REFERENCE")</f>
        <v>REFERENCE</v>
      </c>
      <c r="F157" s="15" t="str">
        <f>IFERROR(__xludf.DUMMYFUNCTION("""COMPUTED_VALUE"""),"Category Page")</f>
        <v>Category Page</v>
      </c>
      <c r="G157" s="15" t="b">
        <f>IFERROR(__xludf.DUMMYFUNCTION("""COMPUTED_VALUE"""),FALSE)</f>
        <v>0</v>
      </c>
      <c r="H157" s="15" t="str">
        <f>IFERROR(__xludf.DUMMYFUNCTION("""COMPUTED_VALUE"""),"The SEO Works, Found, Huge, Impression")</f>
        <v>The SEO Works, Found, Huge, Impression</v>
      </c>
      <c r="I157" s="15">
        <f>IFERROR(__xludf.DUMMYFUNCTION("""COMPUTED_VALUE"""),12.0)</f>
        <v>12</v>
      </c>
      <c r="J157" s="15">
        <f>IFERROR(__xludf.DUMMYFUNCTION("""COMPUTED_VALUE"""),0.01)</f>
        <v>0.01</v>
      </c>
      <c r="K157" s="15">
        <f>IFERROR(__xludf.DUMMYFUNCTION("""COMPUTED_VALUE"""),0.08)</f>
        <v>0.08</v>
      </c>
      <c r="L157" s="15"/>
    </row>
    <row r="158" ht="15.75" customHeight="1">
      <c r="A158" s="14" t="str">
        <f>IFERROR(__xludf.DUMMYFUNCTION("""COMPUTED_VALUE"""),"https://www.brainz.digital/blog/best-b2b-analytics-agencies/")</f>
        <v>https://www.brainz.digital/blog/best-b2b-analytics-agencies/</v>
      </c>
      <c r="B158" s="15" t="str">
        <f>IFERROR(__xludf.DUMMYFUNCTION("""COMPUTED_VALUE"""),"Best B2B Analytics Agencies That Drive Results In 2026")</f>
        <v>Best B2B Analytics Agencies That Drive Results In 2026</v>
      </c>
      <c r="C158" s="15" t="str">
        <f>IFERROR(__xludf.DUMMYFUNCTION("""COMPUTED_VALUE"""),"brainz.digital")</f>
        <v>brainz.digital</v>
      </c>
      <c r="D158" s="15" t="str">
        <f>IFERROR(__xludf.DUMMYFUNCTION("""COMPUTED_VALUE"""),"LISTICLE")</f>
        <v>LISTICLE</v>
      </c>
      <c r="E158" s="15" t="str">
        <f>IFERROR(__xludf.DUMMYFUNCTION("""COMPUTED_VALUE"""),"CORPORATE")</f>
        <v>CORPORATE</v>
      </c>
      <c r="F158" s="15" t="str">
        <f>IFERROR(__xludf.DUMMYFUNCTION("""COMPUTED_VALUE"""),"Listicle")</f>
        <v>Listicle</v>
      </c>
      <c r="G158" s="15" t="b">
        <f>IFERROR(__xludf.DUMMYFUNCTION("""COMPUTED_VALUE"""),FALSE)</f>
        <v>0</v>
      </c>
      <c r="H158" s="15" t="str">
        <f>IFERROR(__xludf.DUMMYFUNCTION("""COMPUTED_VALUE"""),"Found, Push, Directive Consulting, Omniscient Digital, Power Digital, Brainlabs")</f>
        <v>Found, Push, Directive Consulting, Omniscient Digital, Power Digital, Brainlabs</v>
      </c>
      <c r="I158" s="15">
        <f>IFERROR(__xludf.DUMMYFUNCTION("""COMPUTED_VALUE"""),12.0)</f>
        <v>12</v>
      </c>
      <c r="J158" s="15">
        <f>IFERROR(__xludf.DUMMYFUNCTION("""COMPUTED_VALUE"""),0.01)</f>
        <v>0.01</v>
      </c>
      <c r="K158" s="15">
        <f>IFERROR(__xludf.DUMMYFUNCTION("""COMPUTED_VALUE"""),0.0)</f>
        <v>0</v>
      </c>
      <c r="L158" s="15"/>
    </row>
    <row r="159" ht="15.75" customHeight="1">
      <c r="A159" s="14" t="str">
        <f>IFERROR(__xludf.DUMMYFUNCTION("""COMPUTED_VALUE"""),"https://clicksgeek.com/marketing-attribution-tracking-services/")</f>
        <v>https://clicksgeek.com/marketing-attribution-tracking-services/</v>
      </c>
      <c r="B159" s="15" t="str">
        <f>IFERROR(__xludf.DUMMYFUNCTION("""COMPUTED_VALUE"""),"9 Best Marketing Attribution Tracking Services 2026")</f>
        <v>9 Best Marketing Attribution Tracking Services 2026</v>
      </c>
      <c r="C159" s="14" t="str">
        <f>IFERROR(__xludf.DUMMYFUNCTION("""COMPUTED_VALUE"""),"clicksgeek.com")</f>
        <v>clicksgeek.com</v>
      </c>
      <c r="D159" s="15" t="str">
        <f>IFERROR(__xludf.DUMMYFUNCTION("""COMPUTED_VALUE"""),"LISTICLE")</f>
        <v>LISTICLE</v>
      </c>
      <c r="E159" s="15" t="str">
        <f>IFERROR(__xludf.DUMMYFUNCTION("""COMPUTED_VALUE"""),"CORPORATE")</f>
        <v>CORPORATE</v>
      </c>
      <c r="F159" s="15" t="str">
        <f>IFERROR(__xludf.DUMMYFUNCTION("""COMPUTED_VALUE"""),"Listicle")</f>
        <v>Listicle</v>
      </c>
      <c r="G159" s="15" t="b">
        <f>IFERROR(__xludf.DUMMYFUNCTION("""COMPUTED_VALUE"""),FALSE)</f>
        <v>0</v>
      </c>
      <c r="H159" s="15" t="str">
        <f>IFERROR(__xludf.DUMMYFUNCTION("""COMPUTED_VALUE"""),"Measured, Triple Whale, Northbeam, Ruler Analytics, Rockerbox")</f>
        <v>Measured, Triple Whale, Northbeam, Ruler Analytics, Rockerbox</v>
      </c>
      <c r="I159" s="15">
        <f>IFERROR(__xludf.DUMMYFUNCTION("""COMPUTED_VALUE"""),12.0)</f>
        <v>12</v>
      </c>
      <c r="J159" s="15">
        <f>IFERROR(__xludf.DUMMYFUNCTION("""COMPUTED_VALUE"""),0.01)</f>
        <v>0.01</v>
      </c>
      <c r="K159" s="15">
        <f>IFERROR(__xludf.DUMMYFUNCTION("""COMPUTED_VALUE"""),1.67)</f>
        <v>1.67</v>
      </c>
      <c r="L159" s="15"/>
    </row>
    <row r="160" ht="15.75" customHeight="1">
      <c r="A160" s="14" t="str">
        <f>IFERROR(__xludf.DUMMYFUNCTION("""COMPUTED_VALUE"""),"https://www.clickslice.co.uk/best-generative-engine-optimisation-agencies-uk/")</f>
        <v>https://www.clickslice.co.uk/best-generative-engine-optimisation-agencies-uk/</v>
      </c>
      <c r="B160" s="15" t="str">
        <f>IFERROR(__xludf.DUMMYFUNCTION("""COMPUTED_VALUE"""),"8 Best Generative Engine Optimisation (GEO) Agencies in the UK")</f>
        <v>8 Best Generative Engine Optimisation (GEO) Agencies in the UK</v>
      </c>
      <c r="C160" s="14" t="str">
        <f>IFERROR(__xludf.DUMMYFUNCTION("""COMPUTED_VALUE"""),"clickslice.co.uk")</f>
        <v>clickslice.co.uk</v>
      </c>
      <c r="D160" s="15" t="str">
        <f>IFERROR(__xludf.DUMMYFUNCTION("""COMPUTED_VALUE"""),"LISTICLE")</f>
        <v>LISTICLE</v>
      </c>
      <c r="E160" s="15" t="str">
        <f>IFERROR(__xludf.DUMMYFUNCTION("""COMPUTED_VALUE"""),"COMPETITOR")</f>
        <v>COMPETITOR</v>
      </c>
      <c r="F160" s="15" t="str">
        <f>IFERROR(__xludf.DUMMYFUNCTION("""COMPUTED_VALUE"""),"Listicle")</f>
        <v>Listicle</v>
      </c>
      <c r="G160" s="15" t="b">
        <f>IFERROR(__xludf.DUMMYFUNCTION("""COMPUTED_VALUE"""),FALSE)</f>
        <v>0</v>
      </c>
      <c r="H160" s="15" t="str">
        <f>IFERROR(__xludf.DUMMYFUNCTION("""COMPUTED_VALUE"""),"ClickSlice")</f>
        <v>ClickSlice</v>
      </c>
      <c r="I160" s="15">
        <f>IFERROR(__xludf.DUMMYFUNCTION("""COMPUTED_VALUE"""),12.0)</f>
        <v>12</v>
      </c>
      <c r="J160" s="15">
        <f>IFERROR(__xludf.DUMMYFUNCTION("""COMPUTED_VALUE"""),0.01)</f>
        <v>0.01</v>
      </c>
      <c r="K160" s="15">
        <f>IFERROR(__xludf.DUMMYFUNCTION("""COMPUTED_VALUE"""),0.67)</f>
        <v>0.67</v>
      </c>
      <c r="L160" s="15"/>
    </row>
    <row r="161" ht="15.75" customHeight="1">
      <c r="A161" s="14" t="str">
        <f>IFERROR(__xludf.DUMMYFUNCTION("""COMPUTED_VALUE"""),"https://clutch.co/consulting/ai/uk/england/london")</f>
        <v>https://clutch.co/consulting/ai/uk/england/london</v>
      </c>
      <c r="B161" s="15" t="str">
        <f>IFERROR(__xludf.DUMMYFUNCTION("""COMPUTED_VALUE"""),"Top AI Consulting Agencies in London - Jul 2026 Rankings \| Clutch.co")</f>
        <v>Top AI Consulting Agencies in London - Jul 2026 Rankings \| Clutch.co</v>
      </c>
      <c r="C161" s="14" t="str">
        <f>IFERROR(__xludf.DUMMYFUNCTION("""COMPUTED_VALUE"""),"clutch.co")</f>
        <v>clutch.co</v>
      </c>
      <c r="D161" s="15" t="str">
        <f>IFERROR(__xludf.DUMMYFUNCTION("""COMPUTED_VALUE"""),"CATEGORY_PAGE")</f>
        <v>CATEGORY_PAGE</v>
      </c>
      <c r="E161" s="15" t="str">
        <f>IFERROR(__xludf.DUMMYFUNCTION("""COMPUTED_VALUE"""),"CORPORATE")</f>
        <v>CORPORATE</v>
      </c>
      <c r="F161" s="15" t="str">
        <f>IFERROR(__xludf.DUMMYFUNCTION("""COMPUTED_VALUE"""),"Category Page")</f>
        <v>Category Page</v>
      </c>
      <c r="G161" s="15" t="b">
        <f>IFERROR(__xludf.DUMMYFUNCTION("""COMPUTED_VALUE"""),FALSE)</f>
        <v>0</v>
      </c>
      <c r="H161" s="15" t="str">
        <f>IFERROR(__xludf.DUMMYFUNCTION("""COMPUTED_VALUE"""),"Momentum, Impression, Found")</f>
        <v>Momentum, Impression, Found</v>
      </c>
      <c r="I161" s="15">
        <f>IFERROR(__xludf.DUMMYFUNCTION("""COMPUTED_VALUE"""),12.0)</f>
        <v>12</v>
      </c>
      <c r="J161" s="15">
        <f>IFERROR(__xludf.DUMMYFUNCTION("""COMPUTED_VALUE"""),0.01)</f>
        <v>0.01</v>
      </c>
      <c r="K161" s="15">
        <f>IFERROR(__xludf.DUMMYFUNCTION("""COMPUTED_VALUE"""),0.17)</f>
        <v>0.17</v>
      </c>
      <c r="L161" s="15"/>
    </row>
    <row r="162" ht="15.75" customHeight="1">
      <c r="A162" s="14" t="str">
        <f>IFERROR(__xludf.DUMMYFUNCTION("""COMPUTED_VALUE"""),"https://www.cometly.com/post/marketing-attribution-consultant-services")</f>
        <v>https://www.cometly.com/post/marketing-attribution-consultant-services</v>
      </c>
      <c r="B162" s="15" t="str">
        <f>IFERROR(__xludf.DUMMYFUNCTION("""COMPUTED_VALUE"""),"Best Marketing Attribution Consultant Services 2026")</f>
        <v>Best Marketing Attribution Consultant Services 2026</v>
      </c>
      <c r="C162" s="14" t="str">
        <f>IFERROR(__xludf.DUMMYFUNCTION("""COMPUTED_VALUE"""),"cometly.com")</f>
        <v>cometly.com</v>
      </c>
      <c r="D162" s="15" t="str">
        <f>IFERROR(__xludf.DUMMYFUNCTION("""COMPUTED_VALUE"""),"LISTICLE")</f>
        <v>LISTICLE</v>
      </c>
      <c r="E162" s="15" t="str">
        <f>IFERROR(__xludf.DUMMYFUNCTION("""COMPUTED_VALUE"""),"COMPETITOR")</f>
        <v>COMPETITOR</v>
      </c>
      <c r="F162" s="15" t="str">
        <f>IFERROR(__xludf.DUMMYFUNCTION("""COMPUTED_VALUE"""),"Listicle")</f>
        <v>Listicle</v>
      </c>
      <c r="G162" s="15" t="b">
        <f>IFERROR(__xludf.DUMMYFUNCTION("""COMPUTED_VALUE"""),FALSE)</f>
        <v>0</v>
      </c>
      <c r="H162" s="15" t="str">
        <f>IFERROR(__xludf.DUMMYFUNCTION("""COMPUTED_VALUE"""),"Cometly, Measured, Rockerbox, Northbeam, Triple Whale, Ruler Analytics")</f>
        <v>Cometly, Measured, Rockerbox, Northbeam, Triple Whale, Ruler Analytics</v>
      </c>
      <c r="I162" s="15">
        <f>IFERROR(__xludf.DUMMYFUNCTION("""COMPUTED_VALUE"""),12.0)</f>
        <v>12</v>
      </c>
      <c r="J162" s="15">
        <f>IFERROR(__xludf.DUMMYFUNCTION("""COMPUTED_VALUE"""),0.01)</f>
        <v>0.01</v>
      </c>
      <c r="K162" s="15">
        <f>IFERROR(__xludf.DUMMYFUNCTION("""COMPUTED_VALUE"""),0.0)</f>
        <v>0</v>
      </c>
      <c r="L162" s="15"/>
    </row>
    <row r="163" ht="15.75" customHeight="1">
      <c r="A163" s="14" t="str">
        <f>IFERROR(__xludf.DUMMYFUNCTION("""COMPUTED_VALUE"""),"https://www.consultancy.uk/rankings/top-consulting-firms-in-the-uk-by-area-of-expertise/ai-genai")</f>
        <v>https://www.consultancy.uk/rankings/top-consulting-firms-in-the-uk-by-area-of-expertise/ai-genai</v>
      </c>
      <c r="B163" s="15" t="str">
        <f>IFERROR(__xludf.DUMMYFUNCTION("""COMPUTED_VALUE"""),"Top AI &amp;amp; Gen AI consulting firms in the UK")</f>
        <v>Top AI &amp;amp; Gen AI consulting firms in the UK</v>
      </c>
      <c r="C163" s="14" t="str">
        <f>IFERROR(__xludf.DUMMYFUNCTION("""COMPUTED_VALUE"""),"consultancy.uk")</f>
        <v>consultancy.uk</v>
      </c>
      <c r="D163" s="15" t="str">
        <f>IFERROR(__xludf.DUMMYFUNCTION("""COMPUTED_VALUE"""),"LISTICLE")</f>
        <v>LISTICLE</v>
      </c>
      <c r="E163" s="15" t="str">
        <f>IFERROR(__xludf.DUMMYFUNCTION("""COMPUTED_VALUE"""),"REFERENCE")</f>
        <v>REFERENCE</v>
      </c>
      <c r="F163" s="15" t="str">
        <f>IFERROR(__xludf.DUMMYFUNCTION("""COMPUTED_VALUE"""),"Listicle")</f>
        <v>Listicle</v>
      </c>
      <c r="G163" s="15" t="b">
        <f>IFERROR(__xludf.DUMMYFUNCTION("""COMPUTED_VALUE"""),FALSE)</f>
        <v>0</v>
      </c>
      <c r="H163" s="15" t="str">
        <f>IFERROR(__xludf.DUMMYFUNCTION("""COMPUTED_VALUE"""),"McKinsey &amp; Company, PwC, EY, Artefact")</f>
        <v>McKinsey &amp; Company, PwC, EY, Artefact</v>
      </c>
      <c r="I163" s="15">
        <f>IFERROR(__xludf.DUMMYFUNCTION("""COMPUTED_VALUE"""),12.0)</f>
        <v>12</v>
      </c>
      <c r="J163" s="15">
        <f>IFERROR(__xludf.DUMMYFUNCTION("""COMPUTED_VALUE"""),0.01)</f>
        <v>0.01</v>
      </c>
      <c r="K163" s="15">
        <f>IFERROR(__xludf.DUMMYFUNCTION("""COMPUTED_VALUE"""),0.08)</f>
        <v>0.08</v>
      </c>
      <c r="L163" s="15"/>
    </row>
    <row r="164" ht="15.75" customHeight="1">
      <c r="A164" s="14" t="str">
        <f>IFERROR(__xludf.DUMMYFUNCTION("""COMPUTED_VALUE"""),"https://coolnerdsmarketing.com/top-creative-agencies-uk/")</f>
        <v>https://coolnerdsmarketing.com/top-creative-agencies-uk/</v>
      </c>
      <c r="B164" s="15" t="str">
        <f>IFERROR(__xludf.DUMMYFUNCTION("""COMPUTED_VALUE"""),"Top Creative Agencies in the UK (2026)")</f>
        <v>Top Creative Agencies in the UK (2026)</v>
      </c>
      <c r="C164" s="14" t="str">
        <f>IFERROR(__xludf.DUMMYFUNCTION("""COMPUTED_VALUE"""),"coolnerdsmarketing.com")</f>
        <v>coolnerdsmarketing.com</v>
      </c>
      <c r="D164" s="15" t="str">
        <f>IFERROR(__xludf.DUMMYFUNCTION("""COMPUTED_VALUE"""),"LISTICLE")</f>
        <v>LISTICLE</v>
      </c>
      <c r="E164" s="15" t="str">
        <f>IFERROR(__xludf.DUMMYFUNCTION("""COMPUTED_VALUE"""),"CORPORATE")</f>
        <v>CORPORATE</v>
      </c>
      <c r="F164" s="15" t="str">
        <f>IFERROR(__xludf.DUMMYFUNCTION("""COMPUTED_VALUE"""),"Listicle")</f>
        <v>Listicle</v>
      </c>
      <c r="G164" s="15" t="b">
        <f>IFERROR(__xludf.DUMMYFUNCTION("""COMPUTED_VALUE"""),FALSE)</f>
        <v>0</v>
      </c>
      <c r="H164" s="15" t="str">
        <f>IFERROR(__xludf.DUMMYFUNCTION("""COMPUTED_VALUE"""),"We Are Social, Dentsu, The Social Shepherd, Gravity Global, Transmission")</f>
        <v>We Are Social, Dentsu, The Social Shepherd, Gravity Global, Transmission</v>
      </c>
      <c r="I164" s="15">
        <f>IFERROR(__xludf.DUMMYFUNCTION("""COMPUTED_VALUE"""),12.0)</f>
        <v>12</v>
      </c>
      <c r="J164" s="15">
        <f>IFERROR(__xludf.DUMMYFUNCTION("""COMPUTED_VALUE"""),0.01)</f>
        <v>0.01</v>
      </c>
      <c r="K164" s="15">
        <f>IFERROR(__xludf.DUMMYFUNCTION("""COMPUTED_VALUE"""),0.75)</f>
        <v>0.75</v>
      </c>
      <c r="L164" s="15"/>
    </row>
    <row r="165" ht="15.75" customHeight="1">
      <c r="A165" s="14" t="str">
        <f>IFERROR(__xludf.DUMMYFUNCTION("""COMPUTED_VALUE"""),"https://www.creativebrief.com/top-30/agencies")</f>
        <v>https://www.creativebrief.com/top-30/agencies</v>
      </c>
      <c r="B165" s="15" t="str">
        <f>IFERROR(__xludf.DUMMYFUNCTION("""COMPUTED_VALUE"""),"The Top 30 most viewed agencies | Creativebrief")</f>
        <v>The Top 30 most viewed agencies | Creativebrief</v>
      </c>
      <c r="C165" s="14" t="str">
        <f>IFERROR(__xludf.DUMMYFUNCTION("""COMPUTED_VALUE"""),"creativebrief.com")</f>
        <v>creativebrief.com</v>
      </c>
      <c r="D165" s="15" t="str">
        <f>IFERROR(__xludf.DUMMYFUNCTION("""COMPUTED_VALUE"""),"LISTICLE")</f>
        <v>LISTICLE</v>
      </c>
      <c r="E165" s="15" t="str">
        <f>IFERROR(__xludf.DUMMYFUNCTION("""COMPUTED_VALUE"""),"CORPORATE")</f>
        <v>CORPORATE</v>
      </c>
      <c r="F165" s="15" t="str">
        <f>IFERROR(__xludf.DUMMYFUNCTION("""COMPUTED_VALUE"""),"Listicle")</f>
        <v>Listicle</v>
      </c>
      <c r="G165" s="15" t="b">
        <f>IFERROR(__xludf.DUMMYFUNCTION("""COMPUTED_VALUE"""),FALSE)</f>
        <v>0</v>
      </c>
      <c r="H165" s="15" t="str">
        <f>IFERROR(__xludf.DUMMYFUNCTION("""COMPUTED_VALUE"""),"Mother London, Saatchi &amp; Saatchi, AMV BBDO, BBH London, Born Social, We Are Social")</f>
        <v>Mother London, Saatchi &amp; Saatchi, AMV BBDO, BBH London, Born Social, We Are Social</v>
      </c>
      <c r="I165" s="15">
        <f>IFERROR(__xludf.DUMMYFUNCTION("""COMPUTED_VALUE"""),12.0)</f>
        <v>12</v>
      </c>
      <c r="J165" s="15">
        <f>IFERROR(__xludf.DUMMYFUNCTION("""COMPUTED_VALUE"""),0.01)</f>
        <v>0.01</v>
      </c>
      <c r="K165" s="15">
        <f>IFERROR(__xludf.DUMMYFUNCTION("""COMPUTED_VALUE"""),1.25)</f>
        <v>1.25</v>
      </c>
      <c r="L165" s="15"/>
    </row>
    <row r="166" ht="15.75" customHeight="1">
      <c r="A166" s="14" t="str">
        <f>IFERROR(__xludf.DUMMYFUNCTION("""COMPUTED_VALUE"""),"https://www.linkedin.com/pulse/top-performance-marketing-agencies-uk-steve-walker-mrjxe")</f>
        <v>https://www.linkedin.com/pulse/top-performance-marketing-agencies-uk-steve-walker-mrjxe</v>
      </c>
      <c r="B166" s="15" t="str">
        <f>IFERROR(__xludf.DUMMYFUNCTION("""COMPUTED_VALUE"""),"Top Content on LinkedIn")</f>
        <v>Top Content on LinkedIn</v>
      </c>
      <c r="C166" s="14" t="str">
        <f>IFERROR(__xludf.DUMMYFUNCTION("""COMPUTED_VALUE"""),"linkedin.com")</f>
        <v>linkedin.com</v>
      </c>
      <c r="D166" s="15" t="str">
        <f>IFERROR(__xludf.DUMMYFUNCTION("""COMPUTED_VALUE"""),"LISTICLE")</f>
        <v>LISTICLE</v>
      </c>
      <c r="E166" s="15" t="str">
        <f>IFERROR(__xludf.DUMMYFUNCTION("""COMPUTED_VALUE"""),"UGC")</f>
        <v>UGC</v>
      </c>
      <c r="F166" s="15" t="str">
        <f>IFERROR(__xludf.DUMMYFUNCTION("""COMPUTED_VALUE"""),"Listicle")</f>
        <v>Listicle</v>
      </c>
      <c r="G166" s="15" t="b">
        <f>IFERROR(__xludf.DUMMYFUNCTION("""COMPUTED_VALUE"""),FALSE)</f>
        <v>0</v>
      </c>
      <c r="H166" s="15"/>
      <c r="I166" s="15">
        <f>IFERROR(__xludf.DUMMYFUNCTION("""COMPUTED_VALUE"""),12.0)</f>
        <v>12</v>
      </c>
      <c r="J166" s="15">
        <f>IFERROR(__xludf.DUMMYFUNCTION("""COMPUTED_VALUE"""),0.01)</f>
        <v>0.01</v>
      </c>
      <c r="K166" s="15">
        <f>IFERROR(__xludf.DUMMYFUNCTION("""COMPUTED_VALUE"""),0.08)</f>
        <v>0.08</v>
      </c>
      <c r="L166" s="15"/>
    </row>
    <row r="167" ht="15.75" customHeight="1">
      <c r="A167" s="14" t="str">
        <f>IFERROR(__xludf.DUMMYFUNCTION("""COMPUTED_VALUE"""),"https://marketingsignals.com/best-digital-marketing-agency-2026-the-top-uk-full-service-agencies-ranked/")</f>
        <v>https://marketingsignals.com/best-digital-marketing-agency-2026-the-top-uk-full-service-agencies-ranked/</v>
      </c>
      <c r="B167" s="15" t="str">
        <f>IFERROR(__xludf.DUMMYFUNCTION("""COMPUTED_VALUE"""),"Best Digital Marketing Agency 2026: The Top UK Full-Service Agencies Ranked - Marketing Signals")</f>
        <v>Best Digital Marketing Agency 2026: The Top UK Full-Service Agencies Ranked - Marketing Signals</v>
      </c>
      <c r="C167" s="14" t="str">
        <f>IFERROR(__xludf.DUMMYFUNCTION("""COMPUTED_VALUE"""),"marketingsignals.com")</f>
        <v>marketingsignals.com</v>
      </c>
      <c r="D167" s="15" t="str">
        <f>IFERROR(__xludf.DUMMYFUNCTION("""COMPUTED_VALUE"""),"LISTICLE")</f>
        <v>LISTICLE</v>
      </c>
      <c r="E167" s="15" t="str">
        <f>IFERROR(__xludf.DUMMYFUNCTION("""COMPUTED_VALUE"""),"CORPORATE")</f>
        <v>CORPORATE</v>
      </c>
      <c r="F167" s="15" t="str">
        <f>IFERROR(__xludf.DUMMYFUNCTION("""COMPUTED_VALUE"""),"Listicle")</f>
        <v>Listicle</v>
      </c>
      <c r="G167" s="15" t="b">
        <f>IFERROR(__xludf.DUMMYFUNCTION("""COMPUTED_VALUE"""),FALSE)</f>
        <v>0</v>
      </c>
      <c r="H167" s="15" t="str">
        <f>IFERROR(__xludf.DUMMYFUNCTION("""COMPUTED_VALUE"""),"Impression, Hallam, Passion Digital, Brainlabs, Measured, Transmission")</f>
        <v>Impression, Hallam, Passion Digital, Brainlabs, Measured, Transmission</v>
      </c>
      <c r="I167" s="15">
        <f>IFERROR(__xludf.DUMMYFUNCTION("""COMPUTED_VALUE"""),12.0)</f>
        <v>12</v>
      </c>
      <c r="J167" s="15">
        <f>IFERROR(__xludf.DUMMYFUNCTION("""COMPUTED_VALUE"""),0.01)</f>
        <v>0.01</v>
      </c>
      <c r="K167" s="15">
        <f>IFERROR(__xludf.DUMMYFUNCTION("""COMPUTED_VALUE"""),1.0)</f>
        <v>1</v>
      </c>
      <c r="L167" s="15"/>
    </row>
    <row r="168" ht="15.75" customHeight="1">
      <c r="A168" s="14" t="str">
        <f>IFERROR(__xludf.DUMMYFUNCTION("""COMPUTED_VALUE"""),"https://news.digitalagencyleaders.net/the-best-ai-marketing-agencies-in-the-uk-2025/")</f>
        <v>https://news.digitalagencyleaders.net/the-best-ai-marketing-agencies-in-the-uk-2025/</v>
      </c>
      <c r="B168" s="15" t="str">
        <f>IFERROR(__xludf.DUMMYFUNCTION("""COMPUTED_VALUE"""),"The Best AI Marketing Agencies in the UK 2025 - Digital Agency News")</f>
        <v>The Best AI Marketing Agencies in the UK 2025 - Digital Agency News</v>
      </c>
      <c r="C168" s="14" t="str">
        <f>IFERROR(__xludf.DUMMYFUNCTION("""COMPUTED_VALUE"""),"digitalagencyleaders.net")</f>
        <v>digitalagencyleaders.net</v>
      </c>
      <c r="D168" s="15" t="str">
        <f>IFERROR(__xludf.DUMMYFUNCTION("""COMPUTED_VALUE"""),"ARTICLE")</f>
        <v>ARTICLE</v>
      </c>
      <c r="E168" s="15" t="str">
        <f>IFERROR(__xludf.DUMMYFUNCTION("""COMPUTED_VALUE"""),"REFERENCE")</f>
        <v>REFERENCE</v>
      </c>
      <c r="F168" s="15" t="str">
        <f>IFERROR(__xludf.DUMMYFUNCTION("""COMPUTED_VALUE"""),"Article")</f>
        <v>Article</v>
      </c>
      <c r="G168" s="15" t="b">
        <f>IFERROR(__xludf.DUMMYFUNCTION("""COMPUTED_VALUE"""),FALSE)</f>
        <v>0</v>
      </c>
      <c r="H168" s="15" t="str">
        <f>IFERROR(__xludf.DUMMYFUNCTION("""COMPUTED_VALUE"""),"Koozai, Found, VCCP, Favoured, Whitehat")</f>
        <v>Koozai, Found, VCCP, Favoured, Whitehat</v>
      </c>
      <c r="I168" s="15">
        <f>IFERROR(__xludf.DUMMYFUNCTION("""COMPUTED_VALUE"""),12.0)</f>
        <v>12</v>
      </c>
      <c r="J168" s="15">
        <f>IFERROR(__xludf.DUMMYFUNCTION("""COMPUTED_VALUE"""),0.01)</f>
        <v>0.01</v>
      </c>
      <c r="K168" s="15">
        <f>IFERROR(__xludf.DUMMYFUNCTION("""COMPUTED_VALUE"""),0.5)</f>
        <v>0.5</v>
      </c>
      <c r="L168" s="15"/>
    </row>
    <row r="169" ht="15.75" customHeight="1">
      <c r="A169" s="14" t="str">
        <f>IFERROR(__xludf.DUMMYFUNCTION("""COMPUTED_VALUE"""),"https://seocompare.co.uk/ai-seo-agency-uk/")</f>
        <v>https://seocompare.co.uk/ai-seo-agency-uk/</v>
      </c>
      <c r="B169" s="15" t="str">
        <f>IFERROR(__xludf.DUMMYFUNCTION("""COMPUTED_VALUE"""),"AI SEO Agency UK 2026: 7 Best, Compared and Rated | SEOCompare")</f>
        <v>AI SEO Agency UK 2026: 7 Best, Compared and Rated | SEOCompare</v>
      </c>
      <c r="C169" s="14" t="str">
        <f>IFERROR(__xludf.DUMMYFUNCTION("""COMPUTED_VALUE"""),"seocompare.co.uk")</f>
        <v>seocompare.co.uk</v>
      </c>
      <c r="D169" s="15" t="str">
        <f>IFERROR(__xludf.DUMMYFUNCTION("""COMPUTED_VALUE"""),"LISTICLE")</f>
        <v>LISTICLE</v>
      </c>
      <c r="E169" s="15" t="str">
        <f>IFERROR(__xludf.DUMMYFUNCTION("""COMPUTED_VALUE"""),"EDITORIAL")</f>
        <v>EDITORIAL</v>
      </c>
      <c r="F169" s="15" t="str">
        <f>IFERROR(__xludf.DUMMYFUNCTION("""COMPUTED_VALUE"""),"Listicle")</f>
        <v>Listicle</v>
      </c>
      <c r="G169" s="15" t="b">
        <f>IFERROR(__xludf.DUMMYFUNCTION("""COMPUTED_VALUE"""),FALSE)</f>
        <v>0</v>
      </c>
      <c r="H169" s="15" t="str">
        <f>IFERROR(__xludf.DUMMYFUNCTION("""COMPUTED_VALUE"""),"Rank4AI, ClickSlice, Found")</f>
        <v>Rank4AI, ClickSlice, Found</v>
      </c>
      <c r="I169" s="15">
        <f>IFERROR(__xludf.DUMMYFUNCTION("""COMPUTED_VALUE"""),12.0)</f>
        <v>12</v>
      </c>
      <c r="J169" s="15">
        <f>IFERROR(__xludf.DUMMYFUNCTION("""COMPUTED_VALUE"""),0.01)</f>
        <v>0.01</v>
      </c>
      <c r="K169" s="15">
        <f>IFERROR(__xludf.DUMMYFUNCTION("""COMPUTED_VALUE"""),1.25)</f>
        <v>1.25</v>
      </c>
      <c r="L169" s="15"/>
    </row>
    <row r="170" ht="15.75" customHeight="1">
      <c r="A170" s="14" t="str">
        <f>IFERROR(__xludf.DUMMYFUNCTION("""COMPUTED_VALUE"""),"https://seocompare.co.uk/best-ai-search-agencies/")</f>
        <v>https://seocompare.co.uk/best-ai-search-agencies/</v>
      </c>
      <c r="B170" s="15" t="str">
        <f>IFERROR(__xludf.DUMMYFUNCTION("""COMPUTED_VALUE"""),"Best AI Search Agencies UK: 14 Compared 2026")</f>
        <v>Best AI Search Agencies UK: 14 Compared 2026</v>
      </c>
      <c r="C170" s="14" t="str">
        <f>IFERROR(__xludf.DUMMYFUNCTION("""COMPUTED_VALUE"""),"seocompare.co.uk")</f>
        <v>seocompare.co.uk</v>
      </c>
      <c r="D170" s="15" t="str">
        <f>IFERROR(__xludf.DUMMYFUNCTION("""COMPUTED_VALUE"""),"COMPARISON")</f>
        <v>COMPARISON</v>
      </c>
      <c r="E170" s="15" t="str">
        <f>IFERROR(__xludf.DUMMYFUNCTION("""COMPUTED_VALUE"""),"EDITORIAL")</f>
        <v>EDITORIAL</v>
      </c>
      <c r="F170" s="15" t="str">
        <f>IFERROR(__xludf.DUMMYFUNCTION("""COMPUTED_VALUE"""),"Comparison")</f>
        <v>Comparison</v>
      </c>
      <c r="G170" s="15" t="b">
        <f>IFERROR(__xludf.DUMMYFUNCTION("""COMPUTED_VALUE"""),FALSE)</f>
        <v>0</v>
      </c>
      <c r="H170" s="15" t="str">
        <f>IFERROR(__xludf.DUMMYFUNCTION("""COMPUTED_VALUE"""),"Rank4AI, Directive Consulting, Omniscient Digital, Siege Media, Ignite Visibility")</f>
        <v>Rank4AI, Directive Consulting, Omniscient Digital, Siege Media, Ignite Visibility</v>
      </c>
      <c r="I170" s="15">
        <f>IFERROR(__xludf.DUMMYFUNCTION("""COMPUTED_VALUE"""),12.0)</f>
        <v>12</v>
      </c>
      <c r="J170" s="15">
        <f>IFERROR(__xludf.DUMMYFUNCTION("""COMPUTED_VALUE"""),0.01)</f>
        <v>0.01</v>
      </c>
      <c r="K170" s="15">
        <f>IFERROR(__xludf.DUMMYFUNCTION("""COMPUTED_VALUE"""),0.83)</f>
        <v>0.83</v>
      </c>
      <c r="L170" s="15"/>
    </row>
    <row r="171" ht="15.75" customHeight="1">
      <c r="A171" s="14" t="str">
        <f>IFERROR(__xludf.DUMMYFUNCTION("""COMPUTED_VALUE"""),"https://sorttheclicks.com/insights/best-uk-geo-agencies-2026/")</f>
        <v>https://sorttheclicks.com/insights/best-uk-geo-agencies-2026/</v>
      </c>
      <c r="B171" s="15" t="str">
        <f>IFERROR(__xludf.DUMMYFUNCTION("""COMPUTED_VALUE"""),"Best UK GEO &amp;amp; AI search agencies in 2026")</f>
        <v>Best UK GEO &amp;amp; AI search agencies in 2026</v>
      </c>
      <c r="C171" s="14" t="str">
        <f>IFERROR(__xludf.DUMMYFUNCTION("""COMPUTED_VALUE"""),"sorttheclicks.com")</f>
        <v>sorttheclicks.com</v>
      </c>
      <c r="D171" s="15" t="str">
        <f>IFERROR(__xludf.DUMMYFUNCTION("""COMPUTED_VALUE"""),"LISTICLE")</f>
        <v>LISTICLE</v>
      </c>
      <c r="E171" s="15" t="str">
        <f>IFERROR(__xludf.DUMMYFUNCTION("""COMPUTED_VALUE"""),"CORPORATE")</f>
        <v>CORPORATE</v>
      </c>
      <c r="F171" s="15" t="str">
        <f>IFERROR(__xludf.DUMMYFUNCTION("""COMPUTED_VALUE"""),"Listicle")</f>
        <v>Listicle</v>
      </c>
      <c r="G171" s="15" t="b">
        <f>IFERROR(__xludf.DUMMYFUNCTION("""COMPUTED_VALUE"""),FALSE)</f>
        <v>0</v>
      </c>
      <c r="H171" s="15" t="str">
        <f>IFERROR(__xludf.DUMMYFUNCTION("""COMPUTED_VALUE"""),"Whitehat, Tilio, Passion Digital, The SEO Works, Found, Push, Push Group, Builtvisible, Charle Agency, Screaming Frog")</f>
        <v>Whitehat, Tilio, Passion Digital, The SEO Works, Found, Push, Push Group, Builtvisible, Charle Agency, Screaming Frog</v>
      </c>
      <c r="I171" s="15">
        <f>IFERROR(__xludf.DUMMYFUNCTION("""COMPUTED_VALUE"""),12.0)</f>
        <v>12</v>
      </c>
      <c r="J171" s="15">
        <f>IFERROR(__xludf.DUMMYFUNCTION("""COMPUTED_VALUE"""),0.01)</f>
        <v>0.01</v>
      </c>
      <c r="K171" s="15">
        <f>IFERROR(__xludf.DUMMYFUNCTION("""COMPUTED_VALUE"""),1.17)</f>
        <v>1.17</v>
      </c>
      <c r="L171" s="15"/>
    </row>
    <row r="172" ht="15.75" customHeight="1">
      <c r="A172" s="14" t="str">
        <f>IFERROR(__xludf.DUMMYFUNCTION("""COMPUTED_VALUE"""),"https://www.superhub.biz/top-7-performance-marketing-companies-uk-2026")</f>
        <v>https://www.superhub.biz/top-7-performance-marketing-companies-uk-2026</v>
      </c>
      <c r="B172" s="15" t="str">
        <f>IFERROR(__xludf.DUMMYFUNCTION("""COMPUTED_VALUE"""),"7 Best Performance Marketing Companies UK 2026 | Results Focused")</f>
        <v>7 Best Performance Marketing Companies UK 2026 | Results Focused</v>
      </c>
      <c r="C172" s="14" t="str">
        <f>IFERROR(__xludf.DUMMYFUNCTION("""COMPUTED_VALUE"""),"superhub.biz")</f>
        <v>superhub.biz</v>
      </c>
      <c r="D172" s="15" t="str">
        <f>IFERROR(__xludf.DUMMYFUNCTION("""COMPUTED_VALUE"""),"LISTICLE")</f>
        <v>LISTICLE</v>
      </c>
      <c r="E172" s="15" t="str">
        <f>IFERROR(__xludf.DUMMYFUNCTION("""COMPUTED_VALUE"""),"CORPORATE")</f>
        <v>CORPORATE</v>
      </c>
      <c r="F172" s="15" t="str">
        <f>IFERROR(__xludf.DUMMYFUNCTION("""COMPUTED_VALUE"""),"Listicle")</f>
        <v>Listicle</v>
      </c>
      <c r="G172" s="15" t="b">
        <f>IFERROR(__xludf.DUMMYFUNCTION("""COMPUTED_VALUE"""),FALSE)</f>
        <v>0</v>
      </c>
      <c r="H172" s="15" t="str">
        <f>IFERROR(__xludf.DUMMYFUNCTION("""COMPUTED_VALUE"""),"Measured, Brainlabs, Journey Further")</f>
        <v>Measured, Brainlabs, Journey Further</v>
      </c>
      <c r="I172" s="15">
        <f>IFERROR(__xludf.DUMMYFUNCTION("""COMPUTED_VALUE"""),12.0)</f>
        <v>12</v>
      </c>
      <c r="J172" s="15">
        <f>IFERROR(__xludf.DUMMYFUNCTION("""COMPUTED_VALUE"""),0.01)</f>
        <v>0.01</v>
      </c>
      <c r="K172" s="15">
        <f>IFERROR(__xludf.DUMMYFUNCTION("""COMPUTED_VALUE"""),0.25)</f>
        <v>0.25</v>
      </c>
      <c r="L172" s="15"/>
    </row>
    <row r="173" ht="15.75" customHeight="1">
      <c r="A173" s="14" t="str">
        <f>IFERROR(__xludf.DUMMYFUNCTION("""COMPUTED_VALUE"""),"https://thesocialshepherd.com/blog/top-social-media-agencies-uk")</f>
        <v>https://thesocialshepherd.com/blog/top-social-media-agencies-uk</v>
      </c>
      <c r="B173" s="15" t="str">
        <f>IFERROR(__xludf.DUMMYFUNCTION("""COMPUTED_VALUE"""),"The Social Shepherd | Top 13 Social Media Agencies In The UK (2026)")</f>
        <v>The Social Shepherd | Top 13 Social Media Agencies In The UK (2026)</v>
      </c>
      <c r="C173" s="14" t="str">
        <f>IFERROR(__xludf.DUMMYFUNCTION("""COMPUTED_VALUE"""),"thesocialshepherd.com")</f>
        <v>thesocialshepherd.com</v>
      </c>
      <c r="D173" s="15" t="str">
        <f>IFERROR(__xludf.DUMMYFUNCTION("""COMPUTED_VALUE"""),"LISTICLE")</f>
        <v>LISTICLE</v>
      </c>
      <c r="E173" s="15" t="str">
        <f>IFERROR(__xludf.DUMMYFUNCTION("""COMPUTED_VALUE"""),"COMPETITOR")</f>
        <v>COMPETITOR</v>
      </c>
      <c r="F173" s="15" t="str">
        <f>IFERROR(__xludf.DUMMYFUNCTION("""COMPUTED_VALUE"""),"Listicle")</f>
        <v>Listicle</v>
      </c>
      <c r="G173" s="15" t="b">
        <f>IFERROR(__xludf.DUMMYFUNCTION("""COMPUTED_VALUE"""),FALSE)</f>
        <v>0</v>
      </c>
      <c r="H173" s="15" t="str">
        <f>IFERROR(__xludf.DUMMYFUNCTION("""COMPUTED_VALUE"""),"The Social Shepherd, Social Chain, We Are Social, WPP, Monks, Croud, Gripped")</f>
        <v>The Social Shepherd, Social Chain, We Are Social, WPP, Monks, Croud, Gripped</v>
      </c>
      <c r="I173" s="15">
        <f>IFERROR(__xludf.DUMMYFUNCTION("""COMPUTED_VALUE"""),12.0)</f>
        <v>12</v>
      </c>
      <c r="J173" s="15">
        <f>IFERROR(__xludf.DUMMYFUNCTION("""COMPUTED_VALUE"""),0.01)</f>
        <v>0.01</v>
      </c>
      <c r="K173" s="15">
        <f>IFERROR(__xludf.DUMMYFUNCTION("""COMPUTED_VALUE"""),0.83)</f>
        <v>0.83</v>
      </c>
      <c r="L173" s="15"/>
    </row>
    <row r="174" ht="15.75" customHeight="1">
      <c r="A174" s="14" t="str">
        <f>IFERROR(__xludf.DUMMYFUNCTION("""COMPUTED_VALUE"""),"https://www.51d.co/ai-consulting-agencies-lead-qualification-uk/")</f>
        <v>https://www.51d.co/ai-consulting-agencies-lead-qualification-uk/</v>
      </c>
      <c r="B174" s="15" t="str">
        <f>IFERROR(__xludf.DUMMYFUNCTION("""COMPUTED_VALUE"""),"Top AI Consulting Agencies for Sales | Fifty One Degrees")</f>
        <v>Top AI Consulting Agencies for Sales | Fifty One Degrees</v>
      </c>
      <c r="C174" s="14" t="str">
        <f>IFERROR(__xludf.DUMMYFUNCTION("""COMPUTED_VALUE"""),"51d.co")</f>
        <v>51d.co</v>
      </c>
      <c r="D174" s="15" t="str">
        <f>IFERROR(__xludf.DUMMYFUNCTION("""COMPUTED_VALUE"""),"LISTICLE")</f>
        <v>LISTICLE</v>
      </c>
      <c r="E174" s="15" t="str">
        <f>IFERROR(__xludf.DUMMYFUNCTION("""COMPUTED_VALUE"""),"CORPORATE")</f>
        <v>CORPORATE</v>
      </c>
      <c r="F174" s="15" t="str">
        <f>IFERROR(__xludf.DUMMYFUNCTION("""COMPUTED_VALUE"""),"Listicle")</f>
        <v>Listicle</v>
      </c>
      <c r="G174" s="15" t="b">
        <f>IFERROR(__xludf.DUMMYFUNCTION("""COMPUTED_VALUE"""),FALSE)</f>
        <v>0</v>
      </c>
      <c r="H174" s="15" t="str">
        <f>IFERROR(__xludf.DUMMYFUNCTION("""COMPUTED_VALUE"""),"Superside, Momentum, QuantumBlack, Push")</f>
        <v>Superside, Momentum, QuantumBlack, Push</v>
      </c>
      <c r="I174" s="15">
        <f>IFERROR(__xludf.DUMMYFUNCTION("""COMPUTED_VALUE"""),11.0)</f>
        <v>11</v>
      </c>
      <c r="J174" s="15">
        <f>IFERROR(__xludf.DUMMYFUNCTION("""COMPUTED_VALUE"""),0.01)</f>
        <v>0.01</v>
      </c>
      <c r="K174" s="15">
        <f>IFERROR(__xludf.DUMMYFUNCTION("""COMPUTED_VALUE"""),1.0)</f>
        <v>1</v>
      </c>
      <c r="L174" s="15"/>
    </row>
    <row r="175" ht="15.75" customHeight="1">
      <c r="A175" s="14" t="str">
        <f>IFERROR(__xludf.DUMMYFUNCTION("""COMPUTED_VALUE"""),"https://agencies.semrush.com/list/display-advertising/london-city/small-business/")</f>
        <v>https://agencies.semrush.com/list/display-advertising/london-city/small-business/</v>
      </c>
      <c r="B175" s="15" t="str">
        <f>IFERROR(__xludf.DUMMYFUNCTION("""COMPUTED_VALUE"""),"Best Display Ads Agencies for Small Business in London 2026 | Semrush")</f>
        <v>Best Display Ads Agencies for Small Business in London 2026 | Semrush</v>
      </c>
      <c r="C175" s="14" t="str">
        <f>IFERROR(__xludf.DUMMYFUNCTION("""COMPUTED_VALUE"""),"semrush.com")</f>
        <v>semrush.com</v>
      </c>
      <c r="D175" s="15" t="str">
        <f>IFERROR(__xludf.DUMMYFUNCTION("""COMPUTED_VALUE"""),"CATEGORY_PAGE")</f>
        <v>CATEGORY_PAGE</v>
      </c>
      <c r="E175" s="15" t="str">
        <f>IFERROR(__xludf.DUMMYFUNCTION("""COMPUTED_VALUE"""),"CORPORATE")</f>
        <v>CORPORATE</v>
      </c>
      <c r="F175" s="15" t="str">
        <f>IFERROR(__xludf.DUMMYFUNCTION("""COMPUTED_VALUE"""),"Category Page")</f>
        <v>Category Page</v>
      </c>
      <c r="G175" s="15" t="b">
        <f>IFERROR(__xludf.DUMMYFUNCTION("""COMPUTED_VALUE"""),FALSE)</f>
        <v>0</v>
      </c>
      <c r="H175" s="15" t="str">
        <f>IFERROR(__xludf.DUMMYFUNCTION("""COMPUTED_VALUE"""),"The SEO Works, Found, Measured")</f>
        <v>The SEO Works, Found, Measured</v>
      </c>
      <c r="I175" s="15">
        <f>IFERROR(__xludf.DUMMYFUNCTION("""COMPUTED_VALUE"""),11.0)</f>
        <v>11</v>
      </c>
      <c r="J175" s="15">
        <f>IFERROR(__xludf.DUMMYFUNCTION("""COMPUTED_VALUE"""),0.01)</f>
        <v>0.01</v>
      </c>
      <c r="K175" s="15">
        <f>IFERROR(__xludf.DUMMYFUNCTION("""COMPUTED_VALUE"""),0.09)</f>
        <v>0.09</v>
      </c>
      <c r="L175" s="15"/>
    </row>
    <row r="176" ht="15.75" customHeight="1">
      <c r="A176" s="14" t="str">
        <f>IFERROR(__xludf.DUMMYFUNCTION("""COMPUTED_VALUE"""),"https://clutch.co/agencies/digital/uk")</f>
        <v>https://clutch.co/agencies/digital/uk</v>
      </c>
      <c r="B176" s="15" t="str">
        <f>IFERROR(__xludf.DUMMYFUNCTION("""COMPUTED_VALUE"""),"Top Full-Service Digital Agencies in the United Kingdom - Jul 2026 Rankings | Clutch.co")</f>
        <v>Top Full-Service Digital Agencies in the United Kingdom - Jul 2026 Rankings | Clutch.co</v>
      </c>
      <c r="C176" s="14" t="str">
        <f>IFERROR(__xludf.DUMMYFUNCTION("""COMPUTED_VALUE"""),"clutch.co")</f>
        <v>clutch.co</v>
      </c>
      <c r="D176" s="15" t="str">
        <f>IFERROR(__xludf.DUMMYFUNCTION("""COMPUTED_VALUE"""),"CATEGORY_PAGE")</f>
        <v>CATEGORY_PAGE</v>
      </c>
      <c r="E176" s="15" t="str">
        <f>IFERROR(__xludf.DUMMYFUNCTION("""COMPUTED_VALUE"""),"CORPORATE")</f>
        <v>CORPORATE</v>
      </c>
      <c r="F176" s="15" t="str">
        <f>IFERROR(__xludf.DUMMYFUNCTION("""COMPUTED_VALUE"""),"Category Page")</f>
        <v>Category Page</v>
      </c>
      <c r="G176" s="15" t="b">
        <f>IFERROR(__xludf.DUMMYFUNCTION("""COMPUTED_VALUE"""),FALSE)</f>
        <v>0</v>
      </c>
      <c r="H176" s="15" t="str">
        <f>IFERROR(__xludf.DUMMYFUNCTION("""COMPUTED_VALUE"""),"Soap Media, Favoured, Momentum, Impression, M3.agency, The SEO Works")</f>
        <v>Soap Media, Favoured, Momentum, Impression, M3.agency, The SEO Works</v>
      </c>
      <c r="I176" s="15">
        <f>IFERROR(__xludf.DUMMYFUNCTION("""COMPUTED_VALUE"""),11.0)</f>
        <v>11</v>
      </c>
      <c r="J176" s="15">
        <f>IFERROR(__xludf.DUMMYFUNCTION("""COMPUTED_VALUE"""),0.01)</f>
        <v>0.01</v>
      </c>
      <c r="K176" s="15">
        <f>IFERROR(__xludf.DUMMYFUNCTION("""COMPUTED_VALUE"""),0.18)</f>
        <v>0.18</v>
      </c>
      <c r="L176" s="15"/>
    </row>
    <row r="177" ht="15.75" customHeight="1">
      <c r="A177" s="14" t="str">
        <f>IFERROR(__xludf.DUMMYFUNCTION("""COMPUTED_VALUE"""),"https://www.cometly.com/post/marketing-attribution-platform-for-agencies")</f>
        <v>https://www.cometly.com/post/marketing-attribution-platform-for-agencies</v>
      </c>
      <c r="B177" s="15" t="str">
        <f>IFERROR(__xludf.DUMMYFUNCTION("""COMPUTED_VALUE"""),"Best Marketing Attribution Platform For Agencies 2026")</f>
        <v>Best Marketing Attribution Platform For Agencies 2026</v>
      </c>
      <c r="C177" s="14" t="str">
        <f>IFERROR(__xludf.DUMMYFUNCTION("""COMPUTED_VALUE"""),"cometly.com")</f>
        <v>cometly.com</v>
      </c>
      <c r="D177" s="15" t="str">
        <f>IFERROR(__xludf.DUMMYFUNCTION("""COMPUTED_VALUE"""),"LISTICLE")</f>
        <v>LISTICLE</v>
      </c>
      <c r="E177" s="15" t="str">
        <f>IFERROR(__xludf.DUMMYFUNCTION("""COMPUTED_VALUE"""),"COMPETITOR")</f>
        <v>COMPETITOR</v>
      </c>
      <c r="F177" s="15" t="str">
        <f>IFERROR(__xludf.DUMMYFUNCTION("""COMPUTED_VALUE"""),"Listicle")</f>
        <v>Listicle</v>
      </c>
      <c r="G177" s="15" t="b">
        <f>IFERROR(__xludf.DUMMYFUNCTION("""COMPUTED_VALUE"""),FALSE)</f>
        <v>0</v>
      </c>
      <c r="H177" s="15" t="str">
        <f>IFERROR(__xludf.DUMMYFUNCTION("""COMPUTED_VALUE"""),"Cometly, Triple Whale, Rockerbox, Northbeam, Ruler Analytics")</f>
        <v>Cometly, Triple Whale, Rockerbox, Northbeam, Ruler Analytics</v>
      </c>
      <c r="I177" s="15">
        <f>IFERROR(__xludf.DUMMYFUNCTION("""COMPUTED_VALUE"""),11.0)</f>
        <v>11</v>
      </c>
      <c r="J177" s="15">
        <f>IFERROR(__xludf.DUMMYFUNCTION("""COMPUTED_VALUE"""),0.01)</f>
        <v>0.01</v>
      </c>
      <c r="K177" s="15">
        <f>IFERROR(__xludf.DUMMYFUNCTION("""COMPUTED_VALUE"""),0.27)</f>
        <v>0.27</v>
      </c>
      <c r="L177" s="15"/>
    </row>
    <row r="178" ht="15.75" customHeight="1">
      <c r="A178" s="14" t="str">
        <f>IFERROR(__xludf.DUMMYFUNCTION("""COMPUTED_VALUE"""),"https://digitalagencynetwork.com/agencies/london/geo/")</f>
        <v>https://digitalagencynetwork.com/agencies/london/geo/</v>
      </c>
      <c r="B178" s="15" t="str">
        <f>IFERROR(__xludf.DUMMYFUNCTION("""COMPUTED_VALUE"""),"Top GEO Agencies in London for Generative Engine Optimization (2026)")</f>
        <v>Top GEO Agencies in London for Generative Engine Optimization (2026)</v>
      </c>
      <c r="C178" s="14" t="str">
        <f>IFERROR(__xludf.DUMMYFUNCTION("""COMPUTED_VALUE"""),"digitalagencynetwork.com")</f>
        <v>digitalagencynetwork.com</v>
      </c>
      <c r="D178" s="15" t="str">
        <f>IFERROR(__xludf.DUMMYFUNCTION("""COMPUTED_VALUE"""),"PROFILE")</f>
        <v>PROFILE</v>
      </c>
      <c r="E178" s="15" t="str">
        <f>IFERROR(__xludf.DUMMYFUNCTION("""COMPUTED_VALUE"""),"REFERENCE")</f>
        <v>REFERENCE</v>
      </c>
      <c r="F178" s="15" t="str">
        <f>IFERROR(__xludf.DUMMYFUNCTION("""COMPUTED_VALUE"""),"Profile")</f>
        <v>Profile</v>
      </c>
      <c r="G178" s="15" t="b">
        <f>IFERROR(__xludf.DUMMYFUNCTION("""COMPUTED_VALUE"""),FALSE)</f>
        <v>0</v>
      </c>
      <c r="H178" s="15" t="str">
        <f>IFERROR(__xludf.DUMMYFUNCTION("""COMPUTED_VALUE"""),"Favoured, Measured, Propeller, FirstMotion, Found, Bird Marketing, ROAST, GA Agency")</f>
        <v>Favoured, Measured, Propeller, FirstMotion, Found, Bird Marketing, ROAST, GA Agency</v>
      </c>
      <c r="I178" s="15">
        <f>IFERROR(__xludf.DUMMYFUNCTION("""COMPUTED_VALUE"""),11.0)</f>
        <v>11</v>
      </c>
      <c r="J178" s="15">
        <f>IFERROR(__xludf.DUMMYFUNCTION("""COMPUTED_VALUE"""),0.01)</f>
        <v>0.01</v>
      </c>
      <c r="K178" s="15">
        <f>IFERROR(__xludf.DUMMYFUNCTION("""COMPUTED_VALUE"""),0.18)</f>
        <v>0.18</v>
      </c>
      <c r="L178" s="15"/>
    </row>
    <row r="179" ht="15.75" customHeight="1">
      <c r="A179" s="14" t="str">
        <f>IFERROR(__xludf.DUMMYFUNCTION("""COMPUTED_VALUE"""),"https://www.gartner.com/reviews/market/incrementality-measurement-platforms")</f>
        <v>https://www.gartner.com/reviews/market/incrementality-measurement-platforms</v>
      </c>
      <c r="B179" s="15" t="str">
        <f>IFERROR(__xludf.DUMMYFUNCTION("""COMPUTED_VALUE"""),"Best Incrementality Measurement Platforms Reviews 2026 \| Gartner Peer Insights")</f>
        <v>Best Incrementality Measurement Platforms Reviews 2026 \| Gartner Peer Insights</v>
      </c>
      <c r="C179" s="14" t="str">
        <f>IFERROR(__xludf.DUMMYFUNCTION("""COMPUTED_VALUE"""),"gartner.com")</f>
        <v>gartner.com</v>
      </c>
      <c r="D179" s="15" t="str">
        <f>IFERROR(__xludf.DUMMYFUNCTION("""COMPUTED_VALUE"""),"CATEGORY_PAGE")</f>
        <v>CATEGORY_PAGE</v>
      </c>
      <c r="E179" s="15" t="str">
        <f>IFERROR(__xludf.DUMMYFUNCTION("""COMPUTED_VALUE"""),"CORPORATE")</f>
        <v>CORPORATE</v>
      </c>
      <c r="F179" s="15" t="str">
        <f>IFERROR(__xludf.DUMMYFUNCTION("""COMPUTED_VALUE"""),"Category Page")</f>
        <v>Category Page</v>
      </c>
      <c r="G179" s="15" t="b">
        <f>IFERROR(__xludf.DUMMYFUNCTION("""COMPUTED_VALUE"""),FALSE)</f>
        <v>0</v>
      </c>
      <c r="H179" s="15" t="str">
        <f>IFERROR(__xludf.DUMMYFUNCTION("""COMPUTED_VALUE"""),"Haus, SegmentStream, Measured, Recast")</f>
        <v>Haus, SegmentStream, Measured, Recast</v>
      </c>
      <c r="I179" s="15">
        <f>IFERROR(__xludf.DUMMYFUNCTION("""COMPUTED_VALUE"""),11.0)</f>
        <v>11</v>
      </c>
      <c r="J179" s="15">
        <f>IFERROR(__xludf.DUMMYFUNCTION("""COMPUTED_VALUE"""),0.01)</f>
        <v>0.01</v>
      </c>
      <c r="K179" s="15">
        <f>IFERROR(__xludf.DUMMYFUNCTION("""COMPUTED_VALUE"""),1.09)</f>
        <v>1.09</v>
      </c>
      <c r="L179" s="15"/>
    </row>
    <row r="180" ht="15.75" customHeight="1">
      <c r="A180" s="14" t="str">
        <f>IFERROR(__xludf.DUMMYFUNCTION("""COMPUTED_VALUE"""),"https://www.greenbook.org/market-research-companies/united-kingdom")</f>
        <v>https://www.greenbook.org/market-research-companies/united-kingdom</v>
      </c>
      <c r="B180" s="15" t="str">
        <f>IFERROR(__xludf.DUMMYFUNCTION("""COMPUTED_VALUE"""),"Top Marketing Research Firms in United Kingdom — Greenbook")</f>
        <v>Top Marketing Research Firms in United Kingdom — Greenbook</v>
      </c>
      <c r="C180" s="14" t="str">
        <f>IFERROR(__xludf.DUMMYFUNCTION("""COMPUTED_VALUE"""),"greenbook.org")</f>
        <v>greenbook.org</v>
      </c>
      <c r="D180" s="15" t="str">
        <f>IFERROR(__xludf.DUMMYFUNCTION("""COMPUTED_VALUE"""),"CATEGORY_PAGE")</f>
        <v>CATEGORY_PAGE</v>
      </c>
      <c r="E180" s="15" t="str">
        <f>IFERROR(__xludf.DUMMYFUNCTION("""COMPUTED_VALUE"""),"REFERENCE")</f>
        <v>REFERENCE</v>
      </c>
      <c r="F180" s="15" t="str">
        <f>IFERROR(__xludf.DUMMYFUNCTION("""COMPUTED_VALUE"""),"Category Page")</f>
        <v>Category Page</v>
      </c>
      <c r="G180" s="15" t="b">
        <f>IFERROR(__xludf.DUMMYFUNCTION("""COMPUTED_VALUE"""),FALSE)</f>
        <v>0</v>
      </c>
      <c r="H180" s="15" t="str">
        <f>IFERROR(__xludf.DUMMYFUNCTION("""COMPUTED_VALUE"""),"YouGov, Accenture Song, Kantar, Found")</f>
        <v>YouGov, Accenture Song, Kantar, Found</v>
      </c>
      <c r="I180" s="15">
        <f>IFERROR(__xludf.DUMMYFUNCTION("""COMPUTED_VALUE"""),11.0)</f>
        <v>11</v>
      </c>
      <c r="J180" s="15">
        <f>IFERROR(__xludf.DUMMYFUNCTION("""COMPUTED_VALUE"""),0.01)</f>
        <v>0.01</v>
      </c>
      <c r="K180" s="15">
        <f>IFERROR(__xludf.DUMMYFUNCTION("""COMPUTED_VALUE"""),0.0)</f>
        <v>0</v>
      </c>
      <c r="L180" s="15"/>
    </row>
    <row r="181" ht="15.75" customHeight="1">
      <c r="A181" s="14" t="str">
        <f>IFERROR(__xludf.DUMMYFUNCTION("""COMPUTED_VALUE"""),"https://inbeat.agency/blog/top-social-media-agencies-in-the-uk")</f>
        <v>https://inbeat.agency/blog/top-social-media-agencies-in-the-uk</v>
      </c>
      <c r="B181" s="15" t="str">
        <f>IFERROR(__xludf.DUMMYFUNCTION("""COMPUTED_VALUE"""),"Top 26 Social Media Agencies in the UK (2026 Guide) - inBeat Agency")</f>
        <v>Top 26 Social Media Agencies in the UK (2026 Guide) - inBeat Agency</v>
      </c>
      <c r="C181" s="15" t="str">
        <f>IFERROR(__xludf.DUMMYFUNCTION("""COMPUTED_VALUE"""),"inbeat.agency")</f>
        <v>inbeat.agency</v>
      </c>
      <c r="D181" s="15" t="str">
        <f>IFERROR(__xludf.DUMMYFUNCTION("""COMPUTED_VALUE"""),"LISTICLE")</f>
        <v>LISTICLE</v>
      </c>
      <c r="E181" s="15" t="str">
        <f>IFERROR(__xludf.DUMMYFUNCTION("""COMPUTED_VALUE"""),"COMPETITOR")</f>
        <v>COMPETITOR</v>
      </c>
      <c r="F181" s="15" t="str">
        <f>IFERROR(__xludf.DUMMYFUNCTION("""COMPUTED_VALUE"""),"Listicle")</f>
        <v>Listicle</v>
      </c>
      <c r="G181" s="15" t="b">
        <f>IFERROR(__xludf.DUMMYFUNCTION("""COMPUTED_VALUE"""),FALSE)</f>
        <v>0</v>
      </c>
      <c r="H181" s="15" t="str">
        <f>IFERROR(__xludf.DUMMYFUNCTION("""COMPUTED_VALUE"""),"inBeat, Nielsen, Social Chain, The Good Marketer, ROAST, We Are Social, Born Social, The Social Shepherd, Soap Media")</f>
        <v>inBeat, Nielsen, Social Chain, The Good Marketer, ROAST, We Are Social, Born Social, The Social Shepherd, Soap Media</v>
      </c>
      <c r="I181" s="15">
        <f>IFERROR(__xludf.DUMMYFUNCTION("""COMPUTED_VALUE"""),11.0)</f>
        <v>11</v>
      </c>
      <c r="J181" s="15">
        <f>IFERROR(__xludf.DUMMYFUNCTION("""COMPUTED_VALUE"""),0.01)</f>
        <v>0.01</v>
      </c>
      <c r="K181" s="15">
        <f>IFERROR(__xludf.DUMMYFUNCTION("""COMPUTED_VALUE"""),0.09)</f>
        <v>0.09</v>
      </c>
      <c r="L181" s="15"/>
    </row>
    <row r="182" ht="15.75" customHeight="1">
      <c r="A182" s="14" t="str">
        <f>IFERROR(__xludf.DUMMYFUNCTION("""COMPUTED_VALUE"""),"https://lengreo.com/top-answer-engine-optimization-aeo-agencies-for-uk-businesses-in-2025/")</f>
        <v>https://lengreo.com/top-answer-engine-optimization-aeo-agencies-for-uk-businesses-in-2025/</v>
      </c>
      <c r="B182" s="15" t="str">
        <f>IFERROR(__xludf.DUMMYFUNCTION("""COMPUTED_VALUE"""),"10 Best AEO Companies for UK (2026)")</f>
        <v>10 Best AEO Companies for UK (2026)</v>
      </c>
      <c r="C182" s="14" t="str">
        <f>IFERROR(__xludf.DUMMYFUNCTION("""COMPUTED_VALUE"""),"lengreo.com")</f>
        <v>lengreo.com</v>
      </c>
      <c r="D182" s="15" t="str">
        <f>IFERROR(__xludf.DUMMYFUNCTION("""COMPUTED_VALUE"""),"LISTICLE")</f>
        <v>LISTICLE</v>
      </c>
      <c r="E182" s="15" t="str">
        <f>IFERROR(__xludf.DUMMYFUNCTION("""COMPUTED_VALUE"""),"CORPORATE")</f>
        <v>CORPORATE</v>
      </c>
      <c r="F182" s="15" t="str">
        <f>IFERROR(__xludf.DUMMYFUNCTION("""COMPUTED_VALUE"""),"Listicle")</f>
        <v>Listicle</v>
      </c>
      <c r="G182" s="15" t="b">
        <f>IFERROR(__xludf.DUMMYFUNCTION("""COMPUTED_VALUE"""),FALSE)</f>
        <v>0</v>
      </c>
      <c r="H182" s="15" t="str">
        <f>IFERROR(__xludf.DUMMYFUNCTION("""COMPUTED_VALUE"""),"NoGood, WebFX, Found")</f>
        <v>NoGood, WebFX, Found</v>
      </c>
      <c r="I182" s="15">
        <f>IFERROR(__xludf.DUMMYFUNCTION("""COMPUTED_VALUE"""),11.0)</f>
        <v>11</v>
      </c>
      <c r="J182" s="15">
        <f>IFERROR(__xludf.DUMMYFUNCTION("""COMPUTED_VALUE"""),0.01)</f>
        <v>0.01</v>
      </c>
      <c r="K182" s="15">
        <f>IFERROR(__xludf.DUMMYFUNCTION("""COMPUTED_VALUE"""),0.09)</f>
        <v>0.09</v>
      </c>
      <c r="L182" s="15"/>
    </row>
    <row r="183" ht="15.75" customHeight="1">
      <c r="A183" s="14" t="str">
        <f>IFERROR(__xludf.DUMMYFUNCTION("""COMPUTED_VALUE"""),"https://www.margen.net/best-aeo-agencies-uk-2026-answer-engine-optimisation-experts-compared/")</f>
        <v>https://www.margen.net/best-aeo-agencies-uk-2026-answer-engine-optimisation-experts-compared/</v>
      </c>
      <c r="B183" s="15" t="str">
        <f>IFERROR(__xludf.DUMMYFUNCTION("""COMPUTED_VALUE"""),"Best AEO Agencies UK 2026: Answer Engine Optimisation Experts Compared | MarGen")</f>
        <v>Best AEO Agencies UK 2026: Answer Engine Optimisation Experts Compared | MarGen</v>
      </c>
      <c r="C183" s="14" t="str">
        <f>IFERROR(__xludf.DUMMYFUNCTION("""COMPUTED_VALUE"""),"margen.net")</f>
        <v>margen.net</v>
      </c>
      <c r="D183" s="15" t="str">
        <f>IFERROR(__xludf.DUMMYFUNCTION("""COMPUTED_VALUE"""),"LISTICLE")</f>
        <v>LISTICLE</v>
      </c>
      <c r="E183" s="15" t="str">
        <f>IFERROR(__xludf.DUMMYFUNCTION("""COMPUTED_VALUE"""),"CORPORATE")</f>
        <v>CORPORATE</v>
      </c>
      <c r="F183" s="15" t="str">
        <f>IFERROR(__xludf.DUMMYFUNCTION("""COMPUTED_VALUE"""),"Listicle")</f>
        <v>Listicle</v>
      </c>
      <c r="G183" s="15" t="b">
        <f>IFERROR(__xludf.DUMMYFUNCTION("""COMPUTED_VALUE"""),FALSE)</f>
        <v>0</v>
      </c>
      <c r="H183" s="15" t="str">
        <f>IFERROR(__xludf.DUMMYFUNCTION("""COMPUTED_VALUE"""),"Whitehat, Digital Landscope, Buried Agency")</f>
        <v>Whitehat, Digital Landscope, Buried Agency</v>
      </c>
      <c r="I183" s="15">
        <f>IFERROR(__xludf.DUMMYFUNCTION("""COMPUTED_VALUE"""),11.0)</f>
        <v>11</v>
      </c>
      <c r="J183" s="15">
        <f>IFERROR(__xludf.DUMMYFUNCTION("""COMPUTED_VALUE"""),0.01)</f>
        <v>0.01</v>
      </c>
      <c r="K183" s="15">
        <f>IFERROR(__xludf.DUMMYFUNCTION("""COMPUTED_VALUE"""),0.0)</f>
        <v>0</v>
      </c>
      <c r="L183" s="15"/>
    </row>
    <row r="184" ht="15.75" customHeight="1">
      <c r="A184" s="14" t="str">
        <f>IFERROR(__xludf.DUMMYFUNCTION("""COMPUTED_VALUE"""),"https://www.marketingagencyindex.com/uk/industries/ai")</f>
        <v>https://www.marketingagencyindex.com/uk/industries/ai</v>
      </c>
      <c r="B184" s="15" t="str">
        <f>IFERROR(__xludf.DUMMYFUNCTION("""COMPUTED_VALUE"""),"Best AI Marketing Agencies in the UK | Agency Index")</f>
        <v>Best AI Marketing Agencies in the UK | Agency Index</v>
      </c>
      <c r="C184" s="14" t="str">
        <f>IFERROR(__xludf.DUMMYFUNCTION("""COMPUTED_VALUE"""),"marketingagencyindex.com")</f>
        <v>marketingagencyindex.com</v>
      </c>
      <c r="D184" s="15" t="str">
        <f>IFERROR(__xludf.DUMMYFUNCTION("""COMPUTED_VALUE"""),"CATEGORY_PAGE")</f>
        <v>CATEGORY_PAGE</v>
      </c>
      <c r="E184" s="15" t="str">
        <f>IFERROR(__xludf.DUMMYFUNCTION("""COMPUTED_VALUE"""),"UGC")</f>
        <v>UGC</v>
      </c>
      <c r="F184" s="15" t="str">
        <f>IFERROR(__xludf.DUMMYFUNCTION("""COMPUTED_VALUE"""),"Category Page")</f>
        <v>Category Page</v>
      </c>
      <c r="G184" s="15" t="b">
        <f>IFERROR(__xludf.DUMMYFUNCTION("""COMPUTED_VALUE"""),FALSE)</f>
        <v>0</v>
      </c>
      <c r="H184" s="15" t="str">
        <f>IFERROR(__xludf.DUMMYFUNCTION("""COMPUTED_VALUE"""),"Impression, The SEO Works, The Brains, Propellernet")</f>
        <v>Impression, The SEO Works, The Brains, Propellernet</v>
      </c>
      <c r="I184" s="15">
        <f>IFERROR(__xludf.DUMMYFUNCTION("""COMPUTED_VALUE"""),11.0)</f>
        <v>11</v>
      </c>
      <c r="J184" s="15">
        <f>IFERROR(__xludf.DUMMYFUNCTION("""COMPUTED_VALUE"""),0.01)</f>
        <v>0.01</v>
      </c>
      <c r="K184" s="15">
        <f>IFERROR(__xludf.DUMMYFUNCTION("""COMPUTED_VALUE"""),0.0)</f>
        <v>0</v>
      </c>
      <c r="L184" s="15"/>
    </row>
    <row r="185" ht="15.75" customHeight="1">
      <c r="A185" s="14" t="str">
        <f>IFERROR(__xludf.DUMMYFUNCTION("""COMPUTED_VALUE"""),"https://www.munro.agency/best-data-analysis-agencies/")</f>
        <v>https://www.munro.agency/best-data-analysis-agencies/</v>
      </c>
      <c r="B185" s="15" t="str">
        <f>IFERROR(__xludf.DUMMYFUNCTION("""COMPUTED_VALUE"""),"15 Best Data Analysis Agencies")</f>
        <v>15 Best Data Analysis Agencies</v>
      </c>
      <c r="C185" s="15" t="str">
        <f>IFERROR(__xludf.DUMMYFUNCTION("""COMPUTED_VALUE"""),"munro.agency")</f>
        <v>munro.agency</v>
      </c>
      <c r="D185" s="15" t="str">
        <f>IFERROR(__xludf.DUMMYFUNCTION("""COMPUTED_VALUE"""),"LISTICLE")</f>
        <v>LISTICLE</v>
      </c>
      <c r="E185" s="15" t="str">
        <f>IFERROR(__xludf.DUMMYFUNCTION("""COMPUTED_VALUE"""),"CORPORATE")</f>
        <v>CORPORATE</v>
      </c>
      <c r="F185" s="15" t="str">
        <f>IFERROR(__xludf.DUMMYFUNCTION("""COMPUTED_VALUE"""),"Listicle")</f>
        <v>Listicle</v>
      </c>
      <c r="G185" s="15" t="b">
        <f>IFERROR(__xludf.DUMMYFUNCTION("""COMPUTED_VALUE"""),FALSE)</f>
        <v>0</v>
      </c>
      <c r="H185" s="15" t="str">
        <f>IFERROR(__xludf.DUMMYFUNCTION("""COMPUTED_VALUE"""),"inBeat")</f>
        <v>inBeat</v>
      </c>
      <c r="I185" s="15">
        <f>IFERROR(__xludf.DUMMYFUNCTION("""COMPUTED_VALUE"""),11.0)</f>
        <v>11</v>
      </c>
      <c r="J185" s="15">
        <f>IFERROR(__xludf.DUMMYFUNCTION("""COMPUTED_VALUE"""),0.01)</f>
        <v>0.01</v>
      </c>
      <c r="K185" s="15">
        <f>IFERROR(__xludf.DUMMYFUNCTION("""COMPUTED_VALUE"""),2.36)</f>
        <v>2.36</v>
      </c>
      <c r="L185" s="15"/>
    </row>
    <row r="186" ht="15.75" customHeight="1">
      <c r="A186" s="14" t="str">
        <f>IFERROR(__xludf.DUMMYFUNCTION("""COMPUTED_VALUE"""),"https://neuraladx.com/the-10-best-generative-engine-optimisation-companies-in-the-uk/")</f>
        <v>https://neuraladx.com/the-10-best-generative-engine-optimisation-companies-in-the-uk/</v>
      </c>
      <c r="B186" s="15" t="str">
        <f>IFERROR(__xludf.DUMMYFUNCTION("""COMPUTED_VALUE"""),"The 10 best generative engine optimisation companies in the uk")</f>
        <v>The 10 best generative engine optimisation companies in the uk</v>
      </c>
      <c r="C186" s="14" t="str">
        <f>IFERROR(__xludf.DUMMYFUNCTION("""COMPUTED_VALUE"""),"neuraladx.com")</f>
        <v>neuraladx.com</v>
      </c>
      <c r="D186" s="15" t="str">
        <f>IFERROR(__xludf.DUMMYFUNCTION("""COMPUTED_VALUE"""),"LISTICLE")</f>
        <v>LISTICLE</v>
      </c>
      <c r="E186" s="15" t="str">
        <f>IFERROR(__xludf.DUMMYFUNCTION("""COMPUTED_VALUE"""),"UGC")</f>
        <v>UGC</v>
      </c>
      <c r="F186" s="15" t="str">
        <f>IFERROR(__xludf.DUMMYFUNCTION("""COMPUTED_VALUE"""),"Listicle")</f>
        <v>Listicle</v>
      </c>
      <c r="G186" s="15" t="b">
        <f>IFERROR(__xludf.DUMMYFUNCTION("""COMPUTED_VALUE"""),FALSE)</f>
        <v>0</v>
      </c>
      <c r="H186" s="15" t="str">
        <f>IFERROR(__xludf.DUMMYFUNCTION("""COMPUTED_VALUE"""),"Measured, Found, Bird Marketing, The SEO Works, Digital Landscope, Varn, Exposure Ninja, Momentum, Blue Array")</f>
        <v>Measured, Found, Bird Marketing, The SEO Works, Digital Landscope, Varn, Exposure Ninja, Momentum, Blue Array</v>
      </c>
      <c r="I186" s="15">
        <f>IFERROR(__xludf.DUMMYFUNCTION("""COMPUTED_VALUE"""),11.0)</f>
        <v>11</v>
      </c>
      <c r="J186" s="15">
        <f>IFERROR(__xludf.DUMMYFUNCTION("""COMPUTED_VALUE"""),0.01)</f>
        <v>0.01</v>
      </c>
      <c r="K186" s="15">
        <f>IFERROR(__xludf.DUMMYFUNCTION("""COMPUTED_VALUE"""),1.27)</f>
        <v>1.27</v>
      </c>
      <c r="L186" s="15"/>
    </row>
    <row r="187" ht="15.75" customHeight="1">
      <c r="A187" s="14" t="str">
        <f>IFERROR(__xludf.DUMMYFUNCTION("""COMPUTED_VALUE"""),"https://open.partners/open-partners-insights/best-full-service-agencies-uk/")</f>
        <v>https://open.partners/open-partners-insights/best-full-service-agencies-uk/</v>
      </c>
      <c r="B187" s="15" t="str">
        <f>IFERROR(__xludf.DUMMYFUNCTION("""COMPUTED_VALUE"""),"Best Full-Service Marketing Agencies UK | Open Partners")</f>
        <v>Best Full-Service Marketing Agencies UK | Open Partners</v>
      </c>
      <c r="C187" s="15" t="str">
        <f>IFERROR(__xludf.DUMMYFUNCTION("""COMPUTED_VALUE"""),"open.partners")</f>
        <v>open.partners</v>
      </c>
      <c r="D187" s="15" t="str">
        <f>IFERROR(__xludf.DUMMYFUNCTION("""COMPUTED_VALUE"""),"LISTICLE")</f>
        <v>LISTICLE</v>
      </c>
      <c r="E187" s="15" t="str">
        <f>IFERROR(__xludf.DUMMYFUNCTION("""COMPUTED_VALUE"""),"COMPETITOR")</f>
        <v>COMPETITOR</v>
      </c>
      <c r="F187" s="15" t="str">
        <f>IFERROR(__xludf.DUMMYFUNCTION("""COMPUTED_VALUE"""),"Listicle")</f>
        <v>Listicle</v>
      </c>
      <c r="G187" s="15" t="b">
        <f>IFERROR(__xludf.DUMMYFUNCTION("""COMPUTED_VALUE"""),FALSE)</f>
        <v>0</v>
      </c>
      <c r="H187" s="15" t="str">
        <f>IFERROR(__xludf.DUMMYFUNCTION("""COMPUTED_VALUE"""),"Open Partners, Measured, VCCP, Ogilvy, WPP, Dept, Jellyfish, Brandtech, Gripped, Impression, Accenture Song")</f>
        <v>Open Partners, Measured, VCCP, Ogilvy, WPP, Dept, Jellyfish, Brandtech, Gripped, Impression, Accenture Song</v>
      </c>
      <c r="I187" s="15">
        <f>IFERROR(__xludf.DUMMYFUNCTION("""COMPUTED_VALUE"""),11.0)</f>
        <v>11</v>
      </c>
      <c r="J187" s="15">
        <f>IFERROR(__xludf.DUMMYFUNCTION("""COMPUTED_VALUE"""),0.01)</f>
        <v>0.01</v>
      </c>
      <c r="K187" s="15">
        <f>IFERROR(__xludf.DUMMYFUNCTION("""COMPUTED_VALUE"""),0.0)</f>
        <v>0</v>
      </c>
      <c r="L187" s="15"/>
    </row>
    <row r="188" ht="15.75" customHeight="1">
      <c r="A188" s="14" t="str">
        <f>IFERROR(__xludf.DUMMYFUNCTION("""COMPUTED_VALUE"""),"https://thedigitalmaze.com/blog/top-10-digital-marketing-agencies-in-the-uk-2026/")</f>
        <v>https://thedigitalmaze.com/blog/top-10-digital-marketing-agencies-in-the-uk-2026/</v>
      </c>
      <c r="B188" s="15" t="str">
        <f>IFERROR(__xludf.DUMMYFUNCTION("""COMPUTED_VALUE"""),"Top 10 Digital Marketing Agencies in the UK (2026)")</f>
        <v>Top 10 Digital Marketing Agencies in the UK (2026)</v>
      </c>
      <c r="C188" s="14" t="str">
        <f>IFERROR(__xludf.DUMMYFUNCTION("""COMPUTED_VALUE"""),"thedigitalmaze.com")</f>
        <v>thedigitalmaze.com</v>
      </c>
      <c r="D188" s="15" t="str">
        <f>IFERROR(__xludf.DUMMYFUNCTION("""COMPUTED_VALUE"""),"LISTICLE")</f>
        <v>LISTICLE</v>
      </c>
      <c r="E188" s="15" t="str">
        <f>IFERROR(__xludf.DUMMYFUNCTION("""COMPUTED_VALUE"""),"OTHER")</f>
        <v>OTHER</v>
      </c>
      <c r="F188" s="15" t="str">
        <f>IFERROR(__xludf.DUMMYFUNCTION("""COMPUTED_VALUE"""),"Listicle")</f>
        <v>Listicle</v>
      </c>
      <c r="G188" s="15" t="b">
        <f>IFERROR(__xludf.DUMMYFUNCTION("""COMPUTED_VALUE"""),FALSE)</f>
        <v>0</v>
      </c>
      <c r="H188" s="15" t="str">
        <f>IFERROR(__xludf.DUMMYFUNCTION("""COMPUTED_VALUE"""),"Push, Impression, Croud, Journey Further, Rise at Seven, Bird Marketing, ClickSlice")</f>
        <v>Push, Impression, Croud, Journey Further, Rise at Seven, Bird Marketing, ClickSlice</v>
      </c>
      <c r="I188" s="15">
        <f>IFERROR(__xludf.DUMMYFUNCTION("""COMPUTED_VALUE"""),11.0)</f>
        <v>11</v>
      </c>
      <c r="J188" s="15">
        <f>IFERROR(__xludf.DUMMYFUNCTION("""COMPUTED_VALUE"""),0.01)</f>
        <v>0.01</v>
      </c>
      <c r="K188" s="15">
        <f>IFERROR(__xludf.DUMMYFUNCTION("""COMPUTED_VALUE"""),0.64)</f>
        <v>0.64</v>
      </c>
      <c r="L188" s="15"/>
    </row>
    <row r="189" ht="15.75" customHeight="1">
      <c r="A189" s="14" t="str">
        <f>IFERROR(__xludf.DUMMYFUNCTION("""COMPUTED_VALUE"""),"https://www.wearetenet.com/blog/best-geo-agencies-london")</f>
        <v>https://www.wearetenet.com/blog/best-geo-agencies-london</v>
      </c>
      <c r="B189" s="15" t="str">
        <f>IFERROR(__xludf.DUMMYFUNCTION("""COMPUTED_VALUE"""),"10 Best GEO Agencies in London to Hire in 2026")</f>
        <v>10 Best GEO Agencies in London to Hire in 2026</v>
      </c>
      <c r="C189" s="14" t="str">
        <f>IFERROR(__xludf.DUMMYFUNCTION("""COMPUTED_VALUE"""),"wearetenet.com")</f>
        <v>wearetenet.com</v>
      </c>
      <c r="D189" s="15" t="str">
        <f>IFERROR(__xludf.DUMMYFUNCTION("""COMPUTED_VALUE"""),"LISTICLE")</f>
        <v>LISTICLE</v>
      </c>
      <c r="E189" s="15" t="str">
        <f>IFERROR(__xludf.DUMMYFUNCTION("""COMPUTED_VALUE"""),"CORPORATE")</f>
        <v>CORPORATE</v>
      </c>
      <c r="F189" s="15" t="str">
        <f>IFERROR(__xludf.DUMMYFUNCTION("""COMPUTED_VALUE"""),"Listicle")</f>
        <v>Listicle</v>
      </c>
      <c r="G189" s="15" t="b">
        <f>IFERROR(__xludf.DUMMYFUNCTION("""COMPUTED_VALUE"""),FALSE)</f>
        <v>0</v>
      </c>
      <c r="H189" s="15" t="str">
        <f>IFERROR(__xludf.DUMMYFUNCTION("""COMPUTED_VALUE"""),"Found, Genie Crawl, ClickSlice, GA Agency, Buried Agency, Bird Marketing, Passion Digital, Measured, Hallam, Favoured")</f>
        <v>Found, Genie Crawl, ClickSlice, GA Agency, Buried Agency, Bird Marketing, Passion Digital, Measured, Hallam, Favoured</v>
      </c>
      <c r="I189" s="15">
        <f>IFERROR(__xludf.DUMMYFUNCTION("""COMPUTED_VALUE"""),11.0)</f>
        <v>11</v>
      </c>
      <c r="J189" s="15">
        <f>IFERROR(__xludf.DUMMYFUNCTION("""COMPUTED_VALUE"""),0.01)</f>
        <v>0.01</v>
      </c>
      <c r="K189" s="15">
        <f>IFERROR(__xludf.DUMMYFUNCTION("""COMPUTED_VALUE"""),0.27)</f>
        <v>0.27</v>
      </c>
      <c r="L189" s="15"/>
    </row>
    <row r="190" ht="15.75" customHeight="1">
      <c r="A190" s="14" t="str">
        <f>IFERROR(__xludf.DUMMYFUNCTION("""COMPUTED_VALUE"""),"https://agencies.semrush.com/list/display-advertising/london-city/mid-business/")</f>
        <v>https://agencies.semrush.com/list/display-advertising/london-city/mid-business/</v>
      </c>
      <c r="B190" s="15" t="str">
        <f>IFERROR(__xludf.DUMMYFUNCTION("""COMPUTED_VALUE"""),"Best Display Ads Agencies for Mid Business in London 2026 | Semrush")</f>
        <v>Best Display Ads Agencies for Mid Business in London 2026 | Semrush</v>
      </c>
      <c r="C190" s="14" t="str">
        <f>IFERROR(__xludf.DUMMYFUNCTION("""COMPUTED_VALUE"""),"semrush.com")</f>
        <v>semrush.com</v>
      </c>
      <c r="D190" s="15" t="str">
        <f>IFERROR(__xludf.DUMMYFUNCTION("""COMPUTED_VALUE"""),"PROFILE")</f>
        <v>PROFILE</v>
      </c>
      <c r="E190" s="15" t="str">
        <f>IFERROR(__xludf.DUMMYFUNCTION("""COMPUTED_VALUE"""),"CORPORATE")</f>
        <v>CORPORATE</v>
      </c>
      <c r="F190" s="15" t="str">
        <f>IFERROR(__xludf.DUMMYFUNCTION("""COMPUTED_VALUE"""),"Profile")</f>
        <v>Profile</v>
      </c>
      <c r="G190" s="15" t="b">
        <f>IFERROR(__xludf.DUMMYFUNCTION("""COMPUTED_VALUE"""),FALSE)</f>
        <v>0</v>
      </c>
      <c r="H190" s="15" t="str">
        <f>IFERROR(__xludf.DUMMYFUNCTION("""COMPUTED_VALUE"""),"Passion Digital, The SEO Works, ROAST, Found")</f>
        <v>Passion Digital, The SEO Works, ROAST, Found</v>
      </c>
      <c r="I190" s="15">
        <f>IFERROR(__xludf.DUMMYFUNCTION("""COMPUTED_VALUE"""),10.0)</f>
        <v>10</v>
      </c>
      <c r="J190" s="15">
        <f>IFERROR(__xludf.DUMMYFUNCTION("""COMPUTED_VALUE"""),0.01)</f>
        <v>0.01</v>
      </c>
      <c r="K190" s="15">
        <f>IFERROR(__xludf.DUMMYFUNCTION("""COMPUTED_VALUE"""),0.0)</f>
        <v>0</v>
      </c>
      <c r="L190" s="15"/>
    </row>
    <row r="191" ht="15.75" customHeight="1">
      <c r="A191" s="14" t="str">
        <f>IFERROR(__xludf.DUMMYFUNCTION("""COMPUTED_VALUE"""),"https://www.clickslice.co.uk/best-ai-aeo-agencies-uk/")</f>
        <v>https://www.clickslice.co.uk/best-ai-aeo-agencies-uk/</v>
      </c>
      <c r="B191" s="15" t="str">
        <f>IFERROR(__xludf.DUMMYFUNCTION("""COMPUTED_VALUE"""),"6 Best AI Answer Engine Optimisation Agencies in the UK (2026)")</f>
        <v>6 Best AI Answer Engine Optimisation Agencies in the UK (2026)</v>
      </c>
      <c r="C191" s="14" t="str">
        <f>IFERROR(__xludf.DUMMYFUNCTION("""COMPUTED_VALUE"""),"clickslice.co.uk")</f>
        <v>clickslice.co.uk</v>
      </c>
      <c r="D191" s="15" t="str">
        <f>IFERROR(__xludf.DUMMYFUNCTION("""COMPUTED_VALUE"""),"LISTICLE")</f>
        <v>LISTICLE</v>
      </c>
      <c r="E191" s="15" t="str">
        <f>IFERROR(__xludf.DUMMYFUNCTION("""COMPUTED_VALUE"""),"COMPETITOR")</f>
        <v>COMPETITOR</v>
      </c>
      <c r="F191" s="15" t="str">
        <f>IFERROR(__xludf.DUMMYFUNCTION("""COMPUTED_VALUE"""),"Listicle")</f>
        <v>Listicle</v>
      </c>
      <c r="G191" s="15" t="b">
        <f>IFERROR(__xludf.DUMMYFUNCTION("""COMPUTED_VALUE"""),FALSE)</f>
        <v>0</v>
      </c>
      <c r="H191" s="15" t="str">
        <f>IFERROR(__xludf.DUMMYFUNCTION("""COMPUTED_VALUE"""),"ClickSlice")</f>
        <v>ClickSlice</v>
      </c>
      <c r="I191" s="15">
        <f>IFERROR(__xludf.DUMMYFUNCTION("""COMPUTED_VALUE"""),10.0)</f>
        <v>10</v>
      </c>
      <c r="J191" s="15">
        <f>IFERROR(__xludf.DUMMYFUNCTION("""COMPUTED_VALUE"""),0.01)</f>
        <v>0.01</v>
      </c>
      <c r="K191" s="15">
        <f>IFERROR(__xludf.DUMMYFUNCTION("""COMPUTED_VALUE"""),0.5)</f>
        <v>0.5</v>
      </c>
      <c r="L191" s="15"/>
    </row>
    <row r="192" ht="15.75" customHeight="1">
      <c r="A192" s="14" t="str">
        <f>IFERROR(__xludf.DUMMYFUNCTION("""COMPUTED_VALUE"""),"https://clutch.co/agencies/digital-marketing/uk/england/london")</f>
        <v>https://clutch.co/agencies/digital-marketing/uk/england/london</v>
      </c>
      <c r="B192" s="15" t="str">
        <f>IFERROR(__xludf.DUMMYFUNCTION("""COMPUTED_VALUE"""),"Top London Digital Marketing Agencies - Jul 2026 Rankings | Clutch.co")</f>
        <v>Top London Digital Marketing Agencies - Jul 2026 Rankings | Clutch.co</v>
      </c>
      <c r="C192" s="14" t="str">
        <f>IFERROR(__xludf.DUMMYFUNCTION("""COMPUTED_VALUE"""),"clutch.co")</f>
        <v>clutch.co</v>
      </c>
      <c r="D192" s="15" t="str">
        <f>IFERROR(__xludf.DUMMYFUNCTION("""COMPUTED_VALUE"""),"CATEGORY_PAGE")</f>
        <v>CATEGORY_PAGE</v>
      </c>
      <c r="E192" s="15" t="str">
        <f>IFERROR(__xludf.DUMMYFUNCTION("""COMPUTED_VALUE"""),"CORPORATE")</f>
        <v>CORPORATE</v>
      </c>
      <c r="F192" s="15" t="str">
        <f>IFERROR(__xludf.DUMMYFUNCTION("""COMPUTED_VALUE"""),"Category Page")</f>
        <v>Category Page</v>
      </c>
      <c r="G192" s="15" t="b">
        <f>IFERROR(__xludf.DUMMYFUNCTION("""COMPUTED_VALUE"""),FALSE)</f>
        <v>0</v>
      </c>
      <c r="H192" s="15" t="str">
        <f>IFERROR(__xludf.DUMMYFUNCTION("""COMPUTED_VALUE"""),"M3.agency, Ninja Promo, ROAST, Favoured, GA Agency, Propeller, Bird Marketing, Passion Digital, Impression")</f>
        <v>M3.agency, Ninja Promo, ROAST, Favoured, GA Agency, Propeller, Bird Marketing, Passion Digital, Impression</v>
      </c>
      <c r="I192" s="15">
        <f>IFERROR(__xludf.DUMMYFUNCTION("""COMPUTED_VALUE"""),10.0)</f>
        <v>10</v>
      </c>
      <c r="J192" s="15">
        <f>IFERROR(__xludf.DUMMYFUNCTION("""COMPUTED_VALUE"""),0.01)</f>
        <v>0.01</v>
      </c>
      <c r="K192" s="15">
        <f>IFERROR(__xludf.DUMMYFUNCTION("""COMPUTED_VALUE"""),0.1)</f>
        <v>0.1</v>
      </c>
      <c r="L192" s="15"/>
    </row>
    <row r="193" ht="15.75" customHeight="1">
      <c r="A193" s="14" t="str">
        <f>IFERROR(__xludf.DUMMYFUNCTION("""COMPUTED_VALUE"""),"https://clutch.co/agencies/media-buying/uk")</f>
        <v>https://clutch.co/agencies/media-buying/uk</v>
      </c>
      <c r="B193" s="15" t="str">
        <f>IFERROR(__xludf.DUMMYFUNCTION("""COMPUTED_VALUE"""),"Top Media Buying Agencies in the United Kingdom - Jul 2026 Rankings | Clutch.co")</f>
        <v>Top Media Buying Agencies in the United Kingdom - Jul 2026 Rankings | Clutch.co</v>
      </c>
      <c r="C193" s="14" t="str">
        <f>IFERROR(__xludf.DUMMYFUNCTION("""COMPUTED_VALUE"""),"clutch.co")</f>
        <v>clutch.co</v>
      </c>
      <c r="D193" s="15" t="str">
        <f>IFERROR(__xludf.DUMMYFUNCTION("""COMPUTED_VALUE"""),"CATEGORY_PAGE")</f>
        <v>CATEGORY_PAGE</v>
      </c>
      <c r="E193" s="15" t="str">
        <f>IFERROR(__xludf.DUMMYFUNCTION("""COMPUTED_VALUE"""),"CORPORATE")</f>
        <v>CORPORATE</v>
      </c>
      <c r="F193" s="15" t="str">
        <f>IFERROR(__xludf.DUMMYFUNCTION("""COMPUTED_VALUE"""),"Category Page")</f>
        <v>Category Page</v>
      </c>
      <c r="G193" s="15" t="b">
        <f>IFERROR(__xludf.DUMMYFUNCTION("""COMPUTED_VALUE"""),FALSE)</f>
        <v>0</v>
      </c>
      <c r="H193" s="15" t="str">
        <f>IFERROR(__xludf.DUMMYFUNCTION("""COMPUTED_VALUE"""),"ROAST, Impression, NP Digital, Propellernet")</f>
        <v>ROAST, Impression, NP Digital, Propellernet</v>
      </c>
      <c r="I193" s="15">
        <f>IFERROR(__xludf.DUMMYFUNCTION("""COMPUTED_VALUE"""),10.0)</f>
        <v>10</v>
      </c>
      <c r="J193" s="15">
        <f>IFERROR(__xludf.DUMMYFUNCTION("""COMPUTED_VALUE"""),0.01)</f>
        <v>0.01</v>
      </c>
      <c r="K193" s="15">
        <f>IFERROR(__xludf.DUMMYFUNCTION("""COMPUTED_VALUE"""),0.9)</f>
        <v>0.9</v>
      </c>
      <c r="L193" s="15"/>
    </row>
    <row r="194" ht="15.75" customHeight="1">
      <c r="A194" s="14" t="str">
        <f>IFERROR(__xludf.DUMMYFUNCTION("""COMPUTED_VALUE"""),"https://clutch.co/agencies/ppc/google-adwords/uk")</f>
        <v>https://clutch.co/agencies/ppc/google-adwords/uk</v>
      </c>
      <c r="B194" s="15" t="str">
        <f>IFERROR(__xludf.DUMMYFUNCTION("""COMPUTED_VALUE"""),"Top Adwords PPC Agencies in the United Kingdom - Jul 2026 Rankings | Clutch.co")</f>
        <v>Top Adwords PPC Agencies in the United Kingdom - Jul 2026 Rankings | Clutch.co</v>
      </c>
      <c r="C194" s="14" t="str">
        <f>IFERROR(__xludf.DUMMYFUNCTION("""COMPUTED_VALUE"""),"clutch.co")</f>
        <v>clutch.co</v>
      </c>
      <c r="D194" s="15" t="str">
        <f>IFERROR(__xludf.DUMMYFUNCTION("""COMPUTED_VALUE"""),"CATEGORY_PAGE")</f>
        <v>CATEGORY_PAGE</v>
      </c>
      <c r="E194" s="15" t="str">
        <f>IFERROR(__xludf.DUMMYFUNCTION("""COMPUTED_VALUE"""),"CORPORATE")</f>
        <v>CORPORATE</v>
      </c>
      <c r="F194" s="15" t="str">
        <f>IFERROR(__xludf.DUMMYFUNCTION("""COMPUTED_VALUE"""),"Category Page")</f>
        <v>Category Page</v>
      </c>
      <c r="G194" s="15" t="b">
        <f>IFERROR(__xludf.DUMMYFUNCTION("""COMPUTED_VALUE"""),FALSE)</f>
        <v>0</v>
      </c>
      <c r="H194" s="15"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I194" s="15">
        <f>IFERROR(__xludf.DUMMYFUNCTION("""COMPUTED_VALUE"""),10.0)</f>
        <v>10</v>
      </c>
      <c r="J194" s="15">
        <f>IFERROR(__xludf.DUMMYFUNCTION("""COMPUTED_VALUE"""),0.01)</f>
        <v>0.01</v>
      </c>
      <c r="K194" s="15">
        <f>IFERROR(__xludf.DUMMYFUNCTION("""COMPUTED_VALUE"""),0.2)</f>
        <v>0.2</v>
      </c>
      <c r="L194" s="15"/>
    </row>
    <row r="195" ht="15.75" customHeight="1">
      <c r="A195" s="14" t="str">
        <f>IFERROR(__xludf.DUMMYFUNCTION("""COMPUTED_VALUE"""),"https://www.expertsure.com/uk/ai-tools/best-ai-consultants/")</f>
        <v>https://www.expertsure.com/uk/ai-tools/best-ai-consultants/</v>
      </c>
      <c r="B195" s="15" t="str">
        <f>IFERROR(__xludf.DUMMYFUNCTION("""COMPUTED_VALUE"""),"Best AI Automation Consultants UK 2026 | ExpertSure")</f>
        <v>Best AI Automation Consultants UK 2026 | ExpertSure</v>
      </c>
      <c r="C195" s="14" t="str">
        <f>IFERROR(__xludf.DUMMYFUNCTION("""COMPUTED_VALUE"""),"expertsure.com")</f>
        <v>expertsure.com</v>
      </c>
      <c r="D195" s="15" t="str">
        <f>IFERROR(__xludf.DUMMYFUNCTION("""COMPUTED_VALUE"""),"LISTICLE")</f>
        <v>LISTICLE</v>
      </c>
      <c r="E195" s="15" t="str">
        <f>IFERROR(__xludf.DUMMYFUNCTION("""COMPUTED_VALUE"""),"REFERENCE")</f>
        <v>REFERENCE</v>
      </c>
      <c r="F195" s="15" t="str">
        <f>IFERROR(__xludf.DUMMYFUNCTION("""COMPUTED_VALUE"""),"Listicle")</f>
        <v>Listicle</v>
      </c>
      <c r="G195" s="15" t="b">
        <f>IFERROR(__xludf.DUMMYFUNCTION("""COMPUTED_VALUE"""),FALSE)</f>
        <v>0</v>
      </c>
      <c r="H195" s="15" t="str">
        <f>IFERROR(__xludf.DUMMYFUNCTION("""COMPUTED_VALUE"""),"Found, Momentum, ClickSlice")</f>
        <v>Found, Momentum, ClickSlice</v>
      </c>
      <c r="I195" s="15">
        <f>IFERROR(__xludf.DUMMYFUNCTION("""COMPUTED_VALUE"""),10.0)</f>
        <v>10</v>
      </c>
      <c r="J195" s="15">
        <f>IFERROR(__xludf.DUMMYFUNCTION("""COMPUTED_VALUE"""),0.01)</f>
        <v>0.01</v>
      </c>
      <c r="K195" s="15">
        <f>IFERROR(__xludf.DUMMYFUNCTION("""COMPUTED_VALUE"""),0.0)</f>
        <v>0</v>
      </c>
      <c r="L195" s="15"/>
    </row>
    <row r="196" ht="15.75" customHeight="1">
      <c r="A196" s="14" t="str">
        <f>IFERROR(__xludf.DUMMYFUNCTION("""COMPUTED_VALUE"""),"https://www.gambitagency.co.uk/blog/10-best-paid-social-agencies")</f>
        <v>https://www.gambitagency.co.uk/blog/10-best-paid-social-agencies</v>
      </c>
      <c r="B196" s="15" t="str">
        <f>IFERROR(__xludf.DUMMYFUNCTION("""COMPUTED_VALUE"""),"Top 10 Paid Social Agencies UK 2025 - Gambit Agency")</f>
        <v>Top 10 Paid Social Agencies UK 2025 - Gambit Agency</v>
      </c>
      <c r="C196" s="14" t="str">
        <f>IFERROR(__xludf.DUMMYFUNCTION("""COMPUTED_VALUE"""),"gambitagency.co.uk")</f>
        <v>gambitagency.co.uk</v>
      </c>
      <c r="D196" s="15" t="str">
        <f>IFERROR(__xludf.DUMMYFUNCTION("""COMPUTED_VALUE"""),"LISTICLE")</f>
        <v>LISTICLE</v>
      </c>
      <c r="E196" s="15" t="str">
        <f>IFERROR(__xludf.DUMMYFUNCTION("""COMPUTED_VALUE"""),"CORPORATE")</f>
        <v>CORPORATE</v>
      </c>
      <c r="F196" s="15" t="str">
        <f>IFERROR(__xludf.DUMMYFUNCTION("""COMPUTED_VALUE"""),"Listicle")</f>
        <v>Listicle</v>
      </c>
      <c r="G196" s="15" t="b">
        <f>IFERROR(__xludf.DUMMYFUNCTION("""COMPUTED_VALUE"""),FALSE)</f>
        <v>0</v>
      </c>
      <c r="H196" s="15" t="str">
        <f>IFERROR(__xludf.DUMMYFUNCTION("""COMPUTED_VALUE"""),"The Social Shepherd, Impression, Found, Soap Media, Make Agency, Disrupt Marketing")</f>
        <v>The Social Shepherd, Impression, Found, Soap Media, Make Agency, Disrupt Marketing</v>
      </c>
      <c r="I196" s="15">
        <f>IFERROR(__xludf.DUMMYFUNCTION("""COMPUTED_VALUE"""),10.0)</f>
        <v>10</v>
      </c>
      <c r="J196" s="15">
        <f>IFERROR(__xludf.DUMMYFUNCTION("""COMPUTED_VALUE"""),0.01)</f>
        <v>0.01</v>
      </c>
      <c r="K196" s="15">
        <f>IFERROR(__xludf.DUMMYFUNCTION("""COMPUTED_VALUE"""),0.2)</f>
        <v>0.2</v>
      </c>
      <c r="L196" s="15"/>
    </row>
    <row r="197" ht="15.75" customHeight="1">
      <c r="A197" s="14" t="str">
        <f>IFERROR(__xludf.DUMMYFUNCTION("""COMPUTED_VALUE"""),"https://limeup.io/blog/digital-marketing-agency/")</f>
        <v>https://limeup.io/blog/digital-marketing-agency/</v>
      </c>
      <c r="B197" s="15" t="str">
        <f>IFERROR(__xludf.DUMMYFUNCTION("""COMPUTED_VALUE"""),"Top 15 Digital Marketing Agencies in the UK (2026)")</f>
        <v>Top 15 Digital Marketing Agencies in the UK (2026)</v>
      </c>
      <c r="C197" s="14" t="str">
        <f>IFERROR(__xludf.DUMMYFUNCTION("""COMPUTED_VALUE"""),"limeup.io")</f>
        <v>limeup.io</v>
      </c>
      <c r="D197" s="15" t="str">
        <f>IFERROR(__xludf.DUMMYFUNCTION("""COMPUTED_VALUE"""),"LISTICLE")</f>
        <v>LISTICLE</v>
      </c>
      <c r="E197" s="15" t="str">
        <f>IFERROR(__xludf.DUMMYFUNCTION("""COMPUTED_VALUE"""),"CORPORATE")</f>
        <v>CORPORATE</v>
      </c>
      <c r="F197" s="15" t="str">
        <f>IFERROR(__xludf.DUMMYFUNCTION("""COMPUTED_VALUE"""),"Listicle")</f>
        <v>Listicle</v>
      </c>
      <c r="G197" s="15" t="b">
        <f>IFERROR(__xludf.DUMMYFUNCTION("""COMPUTED_VALUE"""),FALSE)</f>
        <v>0</v>
      </c>
      <c r="H197" s="15" t="str">
        <f>IFERROR(__xludf.DUMMYFUNCTION("""COMPUTED_VALUE"""),"Passion Digital, McKinsey &amp; Company, Huge")</f>
        <v>Passion Digital, McKinsey &amp; Company, Huge</v>
      </c>
      <c r="I197" s="15">
        <f>IFERROR(__xludf.DUMMYFUNCTION("""COMPUTED_VALUE"""),10.0)</f>
        <v>10</v>
      </c>
      <c r="J197" s="15">
        <f>IFERROR(__xludf.DUMMYFUNCTION("""COMPUTED_VALUE"""),0.01)</f>
        <v>0.01</v>
      </c>
      <c r="K197" s="15">
        <f>IFERROR(__xludf.DUMMYFUNCTION("""COMPUTED_VALUE"""),0.0)</f>
        <v>0</v>
      </c>
      <c r="L197" s="15"/>
    </row>
    <row r="198" ht="15.75" customHeight="1">
      <c r="A198" s="14" t="str">
        <f>IFERROR(__xludf.DUMMYFUNCTION("""COMPUTED_VALUE"""),"https://www.margen.net/best-geo-agencies-uk-2026-the-complete-comparison-guide/")</f>
        <v>https://www.margen.net/best-geo-agencies-uk-2026-the-complete-comparison-guide/</v>
      </c>
      <c r="B198" s="15" t="str">
        <f>IFERROR(__xludf.DUMMYFUNCTION("""COMPUTED_VALUE"""),"Best GEO Agencies UK 2026: The Complete Comparison Guide | MarGen")</f>
        <v>Best GEO Agencies UK 2026: The Complete Comparison Guide | MarGen</v>
      </c>
      <c r="C198" s="14" t="str">
        <f>IFERROR(__xludf.DUMMYFUNCTION("""COMPUTED_VALUE"""),"margen.net")</f>
        <v>margen.net</v>
      </c>
      <c r="D198" s="15" t="str">
        <f>IFERROR(__xludf.DUMMYFUNCTION("""COMPUTED_VALUE"""),"LISTICLE")</f>
        <v>LISTICLE</v>
      </c>
      <c r="E198" s="15" t="str">
        <f>IFERROR(__xludf.DUMMYFUNCTION("""COMPUTED_VALUE"""),"CORPORATE")</f>
        <v>CORPORATE</v>
      </c>
      <c r="F198" s="15" t="str">
        <f>IFERROR(__xludf.DUMMYFUNCTION("""COMPUTED_VALUE"""),"Listicle")</f>
        <v>Listicle</v>
      </c>
      <c r="G198" s="15" t="b">
        <f>IFERROR(__xludf.DUMMYFUNCTION("""COMPUTED_VALUE"""),FALSE)</f>
        <v>0</v>
      </c>
      <c r="H198" s="15" t="str">
        <f>IFERROR(__xludf.DUMMYFUNCTION("""COMPUTED_VALUE"""),"Buried Agency, ClickSlice, Found, Whitehat, Hallam, Passion Digital, Bird Marketing")</f>
        <v>Buried Agency, ClickSlice, Found, Whitehat, Hallam, Passion Digital, Bird Marketing</v>
      </c>
      <c r="I198" s="15">
        <f>IFERROR(__xludf.DUMMYFUNCTION("""COMPUTED_VALUE"""),10.0)</f>
        <v>10</v>
      </c>
      <c r="J198" s="15">
        <f>IFERROR(__xludf.DUMMYFUNCTION("""COMPUTED_VALUE"""),0.01)</f>
        <v>0.01</v>
      </c>
      <c r="K198" s="15">
        <f>IFERROR(__xludf.DUMMYFUNCTION("""COMPUTED_VALUE"""),1.0)</f>
        <v>1</v>
      </c>
      <c r="L198" s="15"/>
    </row>
    <row r="199" ht="15.75" customHeight="1">
      <c r="A199" s="14" t="str">
        <f>IFERROR(__xludf.DUMMYFUNCTION("""COMPUTED_VALUE"""),"https://www.marketingagencyindex.com/uk/services/social-media-advertising")</f>
        <v>https://www.marketingagencyindex.com/uk/services/social-media-advertising</v>
      </c>
      <c r="B199" s="15" t="str">
        <f>IFERROR(__xludf.DUMMYFUNCTION("""COMPUTED_VALUE"""),"Best Social Media Advertising Agencies in the UK | Agency Index")</f>
        <v>Best Social Media Advertising Agencies in the UK | Agency Index</v>
      </c>
      <c r="C199" s="14" t="str">
        <f>IFERROR(__xludf.DUMMYFUNCTION("""COMPUTED_VALUE"""),"marketingagencyindex.com")</f>
        <v>marketingagencyindex.com</v>
      </c>
      <c r="D199" s="15" t="str">
        <f>IFERROR(__xludf.DUMMYFUNCTION("""COMPUTED_VALUE"""),"CATEGORY_PAGE")</f>
        <v>CATEGORY_PAGE</v>
      </c>
      <c r="E199" s="15" t="str">
        <f>IFERROR(__xludf.DUMMYFUNCTION("""COMPUTED_VALUE"""),"UGC")</f>
        <v>UGC</v>
      </c>
      <c r="F199" s="15" t="str">
        <f>IFERROR(__xludf.DUMMYFUNCTION("""COMPUTED_VALUE"""),"Category Page")</f>
        <v>Category Page</v>
      </c>
      <c r="G199" s="15" t="b">
        <f>IFERROR(__xludf.DUMMYFUNCTION("""COMPUTED_VALUE"""),FALSE)</f>
        <v>0</v>
      </c>
      <c r="H199" s="15" t="str">
        <f>IFERROR(__xludf.DUMMYFUNCTION("""COMPUTED_VALUE"""),"Momentum, GA Agency, The SEO Works, Measured")</f>
        <v>Momentum, GA Agency, The SEO Works, Measured</v>
      </c>
      <c r="I199" s="15">
        <f>IFERROR(__xludf.DUMMYFUNCTION("""COMPUTED_VALUE"""),10.0)</f>
        <v>10</v>
      </c>
      <c r="J199" s="15">
        <f>IFERROR(__xludf.DUMMYFUNCTION("""COMPUTED_VALUE"""),0.01)</f>
        <v>0.01</v>
      </c>
      <c r="K199" s="15">
        <f>IFERROR(__xludf.DUMMYFUNCTION("""COMPUTED_VALUE"""),0.6)</f>
        <v>0.6</v>
      </c>
      <c r="L199" s="15"/>
    </row>
    <row r="200" ht="15.75" customHeight="1">
      <c r="A200" s="14" t="str">
        <f>IFERROR(__xludf.DUMMYFUNCTION("""COMPUTED_VALUE"""),"https://www.rank4ai.co.uk/research/rankings/best-ai-seo-agencies-uk/")</f>
        <v>https://www.rank4ai.co.uk/research/rankings/best-ai-seo-agencies-uk/</v>
      </c>
      <c r="B200" s="15" t="str">
        <f>IFERROR(__xludf.DUMMYFUNCTION("""COMPUTED_VALUE"""),"Best AI SEO Agencies UK 2026 | Rank4AI")</f>
        <v>Best AI SEO Agencies UK 2026 | Rank4AI</v>
      </c>
      <c r="C200" s="14" t="str">
        <f>IFERROR(__xludf.DUMMYFUNCTION("""COMPUTED_VALUE"""),"rank4ai.co.uk")</f>
        <v>rank4ai.co.uk</v>
      </c>
      <c r="D200" s="15" t="str">
        <f>IFERROR(__xludf.DUMMYFUNCTION("""COMPUTED_VALUE"""),"LISTICLE")</f>
        <v>LISTICLE</v>
      </c>
      <c r="E200" s="15" t="str">
        <f>IFERROR(__xludf.DUMMYFUNCTION("""COMPUTED_VALUE"""),"COMPETITOR")</f>
        <v>COMPETITOR</v>
      </c>
      <c r="F200" s="15" t="str">
        <f>IFERROR(__xludf.DUMMYFUNCTION("""COMPUTED_VALUE"""),"Listicle")</f>
        <v>Listicle</v>
      </c>
      <c r="G200" s="15" t="b">
        <f>IFERROR(__xludf.DUMMYFUNCTION("""COMPUTED_VALUE"""),FALSE)</f>
        <v>0</v>
      </c>
      <c r="H200" s="15" t="str">
        <f>IFERROR(__xludf.DUMMYFUNCTION("""COMPUTED_VALUE"""),"Rank4AI, Measured, Varn, Found, Buried Agency")</f>
        <v>Rank4AI, Measured, Varn, Found, Buried Agency</v>
      </c>
      <c r="I200" s="15">
        <f>IFERROR(__xludf.DUMMYFUNCTION("""COMPUTED_VALUE"""),10.0)</f>
        <v>10</v>
      </c>
      <c r="J200" s="15">
        <f>IFERROR(__xludf.DUMMYFUNCTION("""COMPUTED_VALUE"""),0.01)</f>
        <v>0.01</v>
      </c>
      <c r="K200" s="15">
        <f>IFERROR(__xludf.DUMMYFUNCTION("""COMPUTED_VALUE"""),0.9)</f>
        <v>0.9</v>
      </c>
      <c r="L200" s="15"/>
    </row>
    <row r="201" ht="15.75" customHeight="1">
      <c r="A201" s="14" t="str">
        <f>IFERROR(__xludf.DUMMYFUNCTION("""COMPUTED_VALUE"""),"https://www.rankshift.ai/blog/best-geo-agencies/")</f>
        <v>https://www.rankshift.ai/blog/best-geo-agencies/</v>
      </c>
      <c r="B201" s="15" t="str">
        <f>IFERROR(__xludf.DUMMYFUNCTION("""COMPUTED_VALUE"""),"20 Best GEO Agencies in 2026 for Generative Engine Optimization")</f>
        <v>20 Best GEO Agencies in 2026 for Generative Engine Optimization</v>
      </c>
      <c r="C201" s="14" t="str">
        <f>IFERROR(__xludf.DUMMYFUNCTION("""COMPUTED_VALUE"""),"rankshift.ai")</f>
        <v>rankshift.ai</v>
      </c>
      <c r="D201" s="15" t="str">
        <f>IFERROR(__xludf.DUMMYFUNCTION("""COMPUTED_VALUE"""),"LISTICLE")</f>
        <v>LISTICLE</v>
      </c>
      <c r="E201" s="15" t="str">
        <f>IFERROR(__xludf.DUMMYFUNCTION("""COMPUTED_VALUE"""),"CORPORATE")</f>
        <v>CORPORATE</v>
      </c>
      <c r="F201" s="15" t="str">
        <f>IFERROR(__xludf.DUMMYFUNCTION("""COMPUTED_VALUE"""),"Listicle")</f>
        <v>Listicle</v>
      </c>
      <c r="G201" s="15" t="b">
        <f>IFERROR(__xludf.DUMMYFUNCTION("""COMPUTED_VALUE"""),FALSE)</f>
        <v>0</v>
      </c>
      <c r="H201" s="15" t="str">
        <f>IFERROR(__xludf.DUMMYFUNCTION("""COMPUTED_VALUE"""),"Found, WebFX")</f>
        <v>Found, WebFX</v>
      </c>
      <c r="I201" s="15">
        <f>IFERROR(__xludf.DUMMYFUNCTION("""COMPUTED_VALUE"""),10.0)</f>
        <v>10</v>
      </c>
      <c r="J201" s="15">
        <f>IFERROR(__xludf.DUMMYFUNCTION("""COMPUTED_VALUE"""),0.01)</f>
        <v>0.01</v>
      </c>
      <c r="K201" s="15">
        <f>IFERROR(__xludf.DUMMYFUNCTION("""COMPUTED_VALUE"""),0.2)</f>
        <v>0.2</v>
      </c>
      <c r="L201" s="15"/>
    </row>
    <row r="202" ht="15.75" customHeight="1">
      <c r="A202" s="14" t="str">
        <f>IFERROR(__xludf.DUMMYFUNCTION("""COMPUTED_VALUE"""),"https://segmentstream.com/blog/articles/top-10-incrementality-testing-tools")</f>
        <v>https://segmentstream.com/blog/articles/top-10-incrementality-testing-tools</v>
      </c>
      <c r="B202" s="15" t="str">
        <f>IFERROR(__xludf.DUMMYFUNCTION("""COMPUTED_VALUE"""),"10 Best Incrementality Testing Tools (2026) — SegmentStream")</f>
        <v>10 Best Incrementality Testing Tools (2026) — SegmentStream</v>
      </c>
      <c r="C202" s="14" t="str">
        <f>IFERROR(__xludf.DUMMYFUNCTION("""COMPUTED_VALUE"""),"segmentstream.com")</f>
        <v>segmentstream.com</v>
      </c>
      <c r="D202" s="15" t="str">
        <f>IFERROR(__xludf.DUMMYFUNCTION("""COMPUTED_VALUE"""),"LISTICLE")</f>
        <v>LISTICLE</v>
      </c>
      <c r="E202" s="15" t="str">
        <f>IFERROR(__xludf.DUMMYFUNCTION("""COMPUTED_VALUE"""),"COMPETITOR")</f>
        <v>COMPETITOR</v>
      </c>
      <c r="F202" s="15" t="str">
        <f>IFERROR(__xludf.DUMMYFUNCTION("""COMPUTED_VALUE"""),"Listicle")</f>
        <v>Listicle</v>
      </c>
      <c r="G202" s="15" t="b">
        <f>IFERROR(__xludf.DUMMYFUNCTION("""COMPUTED_VALUE"""),FALSE)</f>
        <v>0</v>
      </c>
      <c r="H202" s="15" t="str">
        <f>IFERROR(__xludf.DUMMYFUNCTION("""COMPUTED_VALUE"""),"SegmentStream, Measured, Haus, Rockerbox, Recast")</f>
        <v>SegmentStream, Measured, Haus, Rockerbox, Recast</v>
      </c>
      <c r="I202" s="15">
        <f>IFERROR(__xludf.DUMMYFUNCTION("""COMPUTED_VALUE"""),10.0)</f>
        <v>10</v>
      </c>
      <c r="J202" s="15">
        <f>IFERROR(__xludf.DUMMYFUNCTION("""COMPUTED_VALUE"""),0.01)</f>
        <v>0.01</v>
      </c>
      <c r="K202" s="15">
        <f>IFERROR(__xludf.DUMMYFUNCTION("""COMPUTED_VALUE"""),1.7)</f>
        <v>1.7</v>
      </c>
      <c r="L202" s="15"/>
    </row>
    <row r="203" ht="15.75" customHeight="1">
      <c r="A203" s="14" t="str">
        <f>IFERROR(__xludf.DUMMYFUNCTION("""COMPUTED_VALUE"""),"https://www.superhub.biz/top-5-aeo-and-geo-agencies-uk-2026")</f>
        <v>https://www.superhub.biz/top-5-aeo-and-geo-agencies-uk-2026</v>
      </c>
      <c r="B203" s="15" t="str">
        <f>IFERROR(__xludf.DUMMYFUNCTION("""COMPUTED_VALUE"""),"Top 5 AEO and GEO Agencies UK 2026 (Compared)")</f>
        <v>Top 5 AEO and GEO Agencies UK 2026 (Compared)</v>
      </c>
      <c r="C203" s="14" t="str">
        <f>IFERROR(__xludf.DUMMYFUNCTION("""COMPUTED_VALUE"""),"superhub.biz")</f>
        <v>superhub.biz</v>
      </c>
      <c r="D203" s="15" t="str">
        <f>IFERROR(__xludf.DUMMYFUNCTION("""COMPUTED_VALUE"""),"LISTICLE")</f>
        <v>LISTICLE</v>
      </c>
      <c r="E203" s="15" t="str">
        <f>IFERROR(__xludf.DUMMYFUNCTION("""COMPUTED_VALUE"""),"CORPORATE")</f>
        <v>CORPORATE</v>
      </c>
      <c r="F203" s="15" t="str">
        <f>IFERROR(__xludf.DUMMYFUNCTION("""COMPUTED_VALUE"""),"Listicle")</f>
        <v>Listicle</v>
      </c>
      <c r="G203" s="15" t="b">
        <f>IFERROR(__xludf.DUMMYFUNCTION("""COMPUTED_VALUE"""),FALSE)</f>
        <v>0</v>
      </c>
      <c r="H203" s="15" t="str">
        <f>IFERROR(__xludf.DUMMYFUNCTION("""COMPUTED_VALUE"""),"Tinuiti, Measured, The SEO Works, Charle Agency, Merkle")</f>
        <v>Tinuiti, Measured, The SEO Works, Charle Agency, Merkle</v>
      </c>
      <c r="I203" s="15">
        <f>IFERROR(__xludf.DUMMYFUNCTION("""COMPUTED_VALUE"""),10.0)</f>
        <v>10</v>
      </c>
      <c r="J203" s="15">
        <f>IFERROR(__xludf.DUMMYFUNCTION("""COMPUTED_VALUE"""),0.01)</f>
        <v>0.01</v>
      </c>
      <c r="K203" s="15">
        <f>IFERROR(__xludf.DUMMYFUNCTION("""COMPUTED_VALUE"""),0.1)</f>
        <v>0.1</v>
      </c>
      <c r="L203" s="15"/>
    </row>
    <row r="204" ht="15.75" customHeight="1">
      <c r="A204" s="14" t="str">
        <f>IFERROR(__xludf.DUMMYFUNCTION("""COMPUTED_VALUE"""),"https://tilio.co.uk/blog/best-aeo-agencies-2026-uk")</f>
        <v>https://tilio.co.uk/blog/best-aeo-agencies-2026-uk</v>
      </c>
      <c r="B204" s="15" t="str">
        <f>IFERROR(__xludf.DUMMYFUNCTION("""COMPUTED_VALUE"""),"What are the best UK AEO Agencies in 2026? \| Tilio Blog")</f>
        <v>What are the best UK AEO Agencies in 2026? \| Tilio Blog</v>
      </c>
      <c r="C204" s="14" t="str">
        <f>IFERROR(__xludf.DUMMYFUNCTION("""COMPUTED_VALUE"""),"tilio.co.uk")</f>
        <v>tilio.co.uk</v>
      </c>
      <c r="D204" s="15" t="str">
        <f>IFERROR(__xludf.DUMMYFUNCTION("""COMPUTED_VALUE"""),"LISTICLE")</f>
        <v>LISTICLE</v>
      </c>
      <c r="E204" s="15" t="str">
        <f>IFERROR(__xludf.DUMMYFUNCTION("""COMPUTED_VALUE"""),"COMPETITOR")</f>
        <v>COMPETITOR</v>
      </c>
      <c r="F204" s="15" t="str">
        <f>IFERROR(__xludf.DUMMYFUNCTION("""COMPUTED_VALUE"""),"Listicle")</f>
        <v>Listicle</v>
      </c>
      <c r="G204" s="15" t="b">
        <f>IFERROR(__xludf.DUMMYFUNCTION("""COMPUTED_VALUE"""),FALSE)</f>
        <v>0</v>
      </c>
      <c r="H204" s="15" t="str">
        <f>IFERROR(__xludf.DUMMYFUNCTION("""COMPUTED_VALUE"""),"Tilio, Found, Passion Digital, ClickSlice, Momentum, The SEO Works, Digital Landscope, NoGood")</f>
        <v>Tilio, Found, Passion Digital, ClickSlice, Momentum, The SEO Works, Digital Landscope, NoGood</v>
      </c>
      <c r="I204" s="15">
        <f>IFERROR(__xludf.DUMMYFUNCTION("""COMPUTED_VALUE"""),10.0)</f>
        <v>10</v>
      </c>
      <c r="J204" s="15">
        <f>IFERROR(__xludf.DUMMYFUNCTION("""COMPUTED_VALUE"""),0.01)</f>
        <v>0.01</v>
      </c>
      <c r="K204" s="15">
        <f>IFERROR(__xludf.DUMMYFUNCTION("""COMPUTED_VALUE"""),0.0)</f>
        <v>0</v>
      </c>
      <c r="L204" s="15"/>
    </row>
    <row r="205" ht="15.75" customHeight="1">
      <c r="A205" s="14" t="str">
        <f>IFERROR(__xludf.DUMMYFUNCTION("""COMPUTED_VALUE"""),"https://www.topseobrands.com/uk/best-display-advertising-firms-in-uk")</f>
        <v>https://www.topseobrands.com/uk/best-display-advertising-firms-in-uk</v>
      </c>
      <c r="B205" s="15" t="str">
        <f>IFERROR(__xludf.DUMMYFUNCTION("""COMPUTED_VALUE"""),"Best Display Advertising Firms in United Kingdom | Top SEO Brands")</f>
        <v>Best Display Advertising Firms in United Kingdom | Top SEO Brands</v>
      </c>
      <c r="C205" s="14" t="str">
        <f>IFERROR(__xludf.DUMMYFUNCTION("""COMPUTED_VALUE"""),"topseobrands.com")</f>
        <v>topseobrands.com</v>
      </c>
      <c r="D205" s="15" t="str">
        <f>IFERROR(__xludf.DUMMYFUNCTION("""COMPUTED_VALUE"""),"LISTICLE")</f>
        <v>LISTICLE</v>
      </c>
      <c r="E205" s="15" t="str">
        <f>IFERROR(__xludf.DUMMYFUNCTION("""COMPUTED_VALUE"""),"REFERENCE")</f>
        <v>REFERENCE</v>
      </c>
      <c r="F205" s="15" t="str">
        <f>IFERROR(__xludf.DUMMYFUNCTION("""COMPUTED_VALUE"""),"Listicle")</f>
        <v>Listicle</v>
      </c>
      <c r="G205" s="15" t="b">
        <f>IFERROR(__xludf.DUMMYFUNCTION("""COMPUTED_VALUE"""),FALSE)</f>
        <v>0</v>
      </c>
      <c r="H205" s="15" t="str">
        <f>IFERROR(__xludf.DUMMYFUNCTION("""COMPUTED_VALUE"""),"We Are Social, Found")</f>
        <v>We Are Social, Found</v>
      </c>
      <c r="I205" s="15">
        <f>IFERROR(__xludf.DUMMYFUNCTION("""COMPUTED_VALUE"""),10.0)</f>
        <v>10</v>
      </c>
      <c r="J205" s="15">
        <f>IFERROR(__xludf.DUMMYFUNCTION("""COMPUTED_VALUE"""),0.01)</f>
        <v>0.01</v>
      </c>
      <c r="K205" s="15">
        <f>IFERROR(__xludf.DUMMYFUNCTION("""COMPUTED_VALUE"""),0.0)</f>
        <v>0</v>
      </c>
      <c r="L205" s="15"/>
    </row>
    <row r="206" ht="15.75" customHeight="1">
      <c r="A206" s="14" t="str">
        <f>IFERROR(__xludf.DUMMYFUNCTION("""COMPUTED_VALUE"""),"https://aeoagencyservices.com/aeo-uk")</f>
        <v>https://aeoagencyservices.com/aeo-uk</v>
      </c>
      <c r="B206" s="15" t="str">
        <f>IFERROR(__xludf.DUMMYFUNCTION("""COMPUTED_VALUE"""),"Top AEO Services UK | Expert AEO Agency United Kingdom")</f>
        <v>Top AEO Services UK | Expert AEO Agency United Kingdom</v>
      </c>
      <c r="C206" s="14" t="str">
        <f>IFERROR(__xludf.DUMMYFUNCTION("""COMPUTED_VALUE"""),"aeoagencyservices.com")</f>
        <v>aeoagencyservices.com</v>
      </c>
      <c r="D206" s="15" t="str">
        <f>IFERROR(__xludf.DUMMYFUNCTION("""COMPUTED_VALUE"""),"HOMEPAGE")</f>
        <v>HOMEPAGE</v>
      </c>
      <c r="E206" s="15" t="str">
        <f>IFERROR(__xludf.DUMMYFUNCTION("""COMPUTED_VALUE"""),"CORPORATE")</f>
        <v>CORPORATE</v>
      </c>
      <c r="F206" s="15" t="str">
        <f>IFERROR(__xludf.DUMMYFUNCTION("""COMPUTED_VALUE"""),"Homepage")</f>
        <v>Homepage</v>
      </c>
      <c r="G206" s="15" t="b">
        <f>IFERROR(__xludf.DUMMYFUNCTION("""COMPUTED_VALUE"""),FALSE)</f>
        <v>0</v>
      </c>
      <c r="H206" s="15"/>
      <c r="I206" s="15">
        <f>IFERROR(__xludf.DUMMYFUNCTION("""COMPUTED_VALUE"""),9.0)</f>
        <v>9</v>
      </c>
      <c r="J206" s="15">
        <f>IFERROR(__xludf.DUMMYFUNCTION("""COMPUTED_VALUE"""),0.01)</f>
        <v>0.01</v>
      </c>
      <c r="K206" s="15">
        <f>IFERROR(__xludf.DUMMYFUNCTION("""COMPUTED_VALUE"""),0.0)</f>
        <v>0</v>
      </c>
      <c r="L206" s="15"/>
    </row>
    <row r="207" ht="15.75" customHeight="1">
      <c r="A207" s="14" t="str">
        <f>IFERROR(__xludf.DUMMYFUNCTION("""COMPUTED_VALUE"""),"https://agencies.semrush.com/list/analytics-data-science/united-kingdom/")</f>
        <v>https://agencies.semrush.com/list/analytics-data-science/united-kingdom/</v>
      </c>
      <c r="B207" s="15" t="str">
        <f>IFERROR(__xludf.DUMMYFUNCTION("""COMPUTED_VALUE"""),"Best Data Analytics Services in United Kingdom 2026 | Semrush")</f>
        <v>Best Data Analytics Services in United Kingdom 2026 | Semrush</v>
      </c>
      <c r="C207" s="14" t="str">
        <f>IFERROR(__xludf.DUMMYFUNCTION("""COMPUTED_VALUE"""),"semrush.com")</f>
        <v>semrush.com</v>
      </c>
      <c r="D207" s="15" t="str">
        <f>IFERROR(__xludf.DUMMYFUNCTION("""COMPUTED_VALUE"""),"CATEGORY_PAGE")</f>
        <v>CATEGORY_PAGE</v>
      </c>
      <c r="E207" s="15" t="str">
        <f>IFERROR(__xludf.DUMMYFUNCTION("""COMPUTED_VALUE"""),"CORPORATE")</f>
        <v>CORPORATE</v>
      </c>
      <c r="F207" s="15" t="str">
        <f>IFERROR(__xludf.DUMMYFUNCTION("""COMPUTED_VALUE"""),"Category Page")</f>
        <v>Category Page</v>
      </c>
      <c r="G207" s="15" t="b">
        <f>IFERROR(__xludf.DUMMYFUNCTION("""COMPUTED_VALUE"""),FALSE)</f>
        <v>0</v>
      </c>
      <c r="H207" s="15" t="str">
        <f>IFERROR(__xludf.DUMMYFUNCTION("""COMPUTED_VALUE"""),"Found, The SEO Works, Huge")</f>
        <v>Found, The SEO Works, Huge</v>
      </c>
      <c r="I207" s="15">
        <f>IFERROR(__xludf.DUMMYFUNCTION("""COMPUTED_VALUE"""),9.0)</f>
        <v>9</v>
      </c>
      <c r="J207" s="15">
        <f>IFERROR(__xludf.DUMMYFUNCTION("""COMPUTED_VALUE"""),0.01)</f>
        <v>0.01</v>
      </c>
      <c r="K207" s="15">
        <f>IFERROR(__xludf.DUMMYFUNCTION("""COMPUTED_VALUE"""),0.0)</f>
        <v>0</v>
      </c>
      <c r="L207" s="15"/>
    </row>
    <row r="208" ht="15.75" customHeight="1">
      <c r="A208" s="14" t="str">
        <f>IFERROR(__xludf.DUMMYFUNCTION("""COMPUTED_VALUE"""),"https://beomniscient.com/blog/best-ai-marketing-agencies/")</f>
        <v>https://beomniscient.com/blog/best-ai-marketing-agencies/</v>
      </c>
      <c r="B208" s="15" t="str">
        <f>IFERROR(__xludf.DUMMYFUNCTION("""COMPUTED_VALUE"""),"The 5 Best AI Marketing Agencies For B2B (2026 Update) - Omniscient Digital")</f>
        <v>The 5 Best AI Marketing Agencies For B2B (2026 Update) - Omniscient Digital</v>
      </c>
      <c r="C208" s="14" t="str">
        <f>IFERROR(__xludf.DUMMYFUNCTION("""COMPUTED_VALUE"""),"beomniscient.com")</f>
        <v>beomniscient.com</v>
      </c>
      <c r="D208" s="15" t="str">
        <f>IFERROR(__xludf.DUMMYFUNCTION("""COMPUTED_VALUE"""),"LISTICLE")</f>
        <v>LISTICLE</v>
      </c>
      <c r="E208" s="15" t="str">
        <f>IFERROR(__xludf.DUMMYFUNCTION("""COMPUTED_VALUE"""),"COMPETITOR")</f>
        <v>COMPETITOR</v>
      </c>
      <c r="F208" s="15" t="str">
        <f>IFERROR(__xludf.DUMMYFUNCTION("""COMPUTED_VALUE"""),"Listicle")</f>
        <v>Listicle</v>
      </c>
      <c r="G208" s="15" t="b">
        <f>IFERROR(__xludf.DUMMYFUNCTION("""COMPUTED_VALUE"""),FALSE)</f>
        <v>0</v>
      </c>
      <c r="H208" s="15" t="str">
        <f>IFERROR(__xludf.DUMMYFUNCTION("""COMPUTED_VALUE"""),"Omniscient Digital, NoGood, Daydream, Single Grain, Measured")</f>
        <v>Omniscient Digital, NoGood, Daydream, Single Grain, Measured</v>
      </c>
      <c r="I208" s="15">
        <f>IFERROR(__xludf.DUMMYFUNCTION("""COMPUTED_VALUE"""),9.0)</f>
        <v>9</v>
      </c>
      <c r="J208" s="15">
        <f>IFERROR(__xludf.DUMMYFUNCTION("""COMPUTED_VALUE"""),0.01)</f>
        <v>0.01</v>
      </c>
      <c r="K208" s="15">
        <f>IFERROR(__xludf.DUMMYFUNCTION("""COMPUTED_VALUE"""),2.11)</f>
        <v>2.11</v>
      </c>
      <c r="L208" s="15"/>
    </row>
    <row r="209" ht="15.75" customHeight="1">
      <c r="A209" s="14" t="str">
        <f>IFERROR(__xludf.DUMMYFUNCTION("""COMPUTED_VALUE"""),"https://www.bluearray.co.uk/agency-directory/best-paid-social-agencies-in-the-uk/")</f>
        <v>https://www.bluearray.co.uk/agency-directory/best-paid-social-agencies-in-the-uk/</v>
      </c>
      <c r="B209" s="15" t="str">
        <f>IFERROR(__xludf.DUMMYFUNCTION("""COMPUTED_VALUE"""),"Best Paid Social Agencies in the UK - Blue Array SEO")</f>
        <v>Best Paid Social Agencies in the UK - Blue Array SEO</v>
      </c>
      <c r="C209" s="14" t="str">
        <f>IFERROR(__xludf.DUMMYFUNCTION("""COMPUTED_VALUE"""),"bluearray.co.uk")</f>
        <v>bluearray.co.uk</v>
      </c>
      <c r="D209" s="15" t="str">
        <f>IFERROR(__xludf.DUMMYFUNCTION("""COMPUTED_VALUE"""),"LISTICLE")</f>
        <v>LISTICLE</v>
      </c>
      <c r="E209" s="15" t="str">
        <f>IFERROR(__xludf.DUMMYFUNCTION("""COMPUTED_VALUE"""),"COMPETITOR")</f>
        <v>COMPETITOR</v>
      </c>
      <c r="F209" s="15" t="str">
        <f>IFERROR(__xludf.DUMMYFUNCTION("""COMPUTED_VALUE"""),"Listicle")</f>
        <v>Listicle</v>
      </c>
      <c r="G209" s="15" t="b">
        <f>IFERROR(__xludf.DUMMYFUNCTION("""COMPUTED_VALUE"""),FALSE)</f>
        <v>0</v>
      </c>
      <c r="H209" s="15" t="str">
        <f>IFERROR(__xludf.DUMMYFUNCTION("""COMPUTED_VALUE"""),"Blue Array, Bind Media, Launch Online, Disrupt Marketing")</f>
        <v>Blue Array, Bind Media, Launch Online, Disrupt Marketing</v>
      </c>
      <c r="I209" s="15">
        <f>IFERROR(__xludf.DUMMYFUNCTION("""COMPUTED_VALUE"""),9.0)</f>
        <v>9</v>
      </c>
      <c r="J209" s="15">
        <f>IFERROR(__xludf.DUMMYFUNCTION("""COMPUTED_VALUE"""),0.01)</f>
        <v>0.01</v>
      </c>
      <c r="K209" s="15">
        <f>IFERROR(__xludf.DUMMYFUNCTION("""COMPUTED_VALUE"""),0.22)</f>
        <v>0.22</v>
      </c>
      <c r="L209" s="15"/>
    </row>
    <row r="210" ht="15.75" customHeight="1">
      <c r="A210" s="14" t="str">
        <f>IFERROR(__xludf.DUMMYFUNCTION("""COMPUTED_VALUE"""),"https://www.clickslice.co.uk/top-answer-engine-optimisation-agencies-uk/")</f>
        <v>https://www.clickslice.co.uk/top-answer-engine-optimisation-agencies-uk/</v>
      </c>
      <c r="B210" s="15" t="str">
        <f>IFERROR(__xludf.DUMMYFUNCTION("""COMPUTED_VALUE"""),"7 Top Answer Engine Optimisation (AEO) Specialists UK Brands Should Know")</f>
        <v>7 Top Answer Engine Optimisation (AEO) Specialists UK Brands Should Know</v>
      </c>
      <c r="C210" s="14" t="str">
        <f>IFERROR(__xludf.DUMMYFUNCTION("""COMPUTED_VALUE"""),"clickslice.co.uk")</f>
        <v>clickslice.co.uk</v>
      </c>
      <c r="D210" s="15" t="str">
        <f>IFERROR(__xludf.DUMMYFUNCTION("""COMPUTED_VALUE"""),"LISTICLE")</f>
        <v>LISTICLE</v>
      </c>
      <c r="E210" s="15" t="str">
        <f>IFERROR(__xludf.DUMMYFUNCTION("""COMPUTED_VALUE"""),"COMPETITOR")</f>
        <v>COMPETITOR</v>
      </c>
      <c r="F210" s="15" t="str">
        <f>IFERROR(__xludf.DUMMYFUNCTION("""COMPUTED_VALUE"""),"Listicle")</f>
        <v>Listicle</v>
      </c>
      <c r="G210" s="15" t="b">
        <f>IFERROR(__xludf.DUMMYFUNCTION("""COMPUTED_VALUE"""),FALSE)</f>
        <v>0</v>
      </c>
      <c r="H210" s="15" t="str">
        <f>IFERROR(__xludf.DUMMYFUNCTION("""COMPUTED_VALUE"""),"ClickSlice")</f>
        <v>ClickSlice</v>
      </c>
      <c r="I210" s="15">
        <f>IFERROR(__xludf.DUMMYFUNCTION("""COMPUTED_VALUE"""),9.0)</f>
        <v>9</v>
      </c>
      <c r="J210" s="15">
        <f>IFERROR(__xludf.DUMMYFUNCTION("""COMPUTED_VALUE"""),0.01)</f>
        <v>0.01</v>
      </c>
      <c r="K210" s="15">
        <f>IFERROR(__xludf.DUMMYFUNCTION("""COMPUTED_VALUE"""),0.89)</f>
        <v>0.89</v>
      </c>
      <c r="L210" s="15"/>
    </row>
    <row r="211" ht="15.75" customHeight="1">
      <c r="A211" s="14" t="str">
        <f>IFERROR(__xludf.DUMMYFUNCTION("""COMPUTED_VALUE"""),"https://clutch.co/agencies/programmatic/uk")</f>
        <v>https://clutch.co/agencies/programmatic/uk</v>
      </c>
      <c r="B211" s="15" t="str">
        <f>IFERROR(__xludf.DUMMYFUNCTION("""COMPUTED_VALUE"""),"Top Programmatic Advertising Companies in the United Kingdom - Jul 2026 Rankings \| Clutch.co")</f>
        <v>Top Programmatic Advertising Companies in the United Kingdom - Jul 2026 Rankings \| Clutch.co</v>
      </c>
      <c r="C211" s="14" t="str">
        <f>IFERROR(__xludf.DUMMYFUNCTION("""COMPUTED_VALUE"""),"clutch.co")</f>
        <v>clutch.co</v>
      </c>
      <c r="D211" s="15" t="str">
        <f>IFERROR(__xludf.DUMMYFUNCTION("""COMPUTED_VALUE"""),"CATEGORY_PAGE")</f>
        <v>CATEGORY_PAGE</v>
      </c>
      <c r="E211" s="15" t="str">
        <f>IFERROR(__xludf.DUMMYFUNCTION("""COMPUTED_VALUE"""),"CORPORATE")</f>
        <v>CORPORATE</v>
      </c>
      <c r="F211" s="15" t="str">
        <f>IFERROR(__xludf.DUMMYFUNCTION("""COMPUTED_VALUE"""),"Category Page")</f>
        <v>Category Page</v>
      </c>
      <c r="G211" s="15" t="b">
        <f>IFERROR(__xludf.DUMMYFUNCTION("""COMPUTED_VALUE"""),FALSE)</f>
        <v>0</v>
      </c>
      <c r="H211" s="15" t="str">
        <f>IFERROR(__xludf.DUMMYFUNCTION("""COMPUTED_VALUE"""),"ROAST, Ninja Promo, The SEO Works, M3.agency")</f>
        <v>ROAST, Ninja Promo, The SEO Works, M3.agency</v>
      </c>
      <c r="I211" s="15">
        <f>IFERROR(__xludf.DUMMYFUNCTION("""COMPUTED_VALUE"""),9.0)</f>
        <v>9</v>
      </c>
      <c r="J211" s="15">
        <f>IFERROR(__xludf.DUMMYFUNCTION("""COMPUTED_VALUE"""),0.01)</f>
        <v>0.01</v>
      </c>
      <c r="K211" s="15">
        <f>IFERROR(__xludf.DUMMYFUNCTION("""COMPUTED_VALUE"""),1.44)</f>
        <v>1.44</v>
      </c>
      <c r="L211" s="15"/>
    </row>
    <row r="212" ht="15.75" customHeight="1">
      <c r="A212" s="14" t="str">
        <f>IFERROR(__xludf.DUMMYFUNCTION("""COMPUTED_VALUE"""),"https://clutch.co/agencies/sem/uk")</f>
        <v>https://clutch.co/agencies/sem/uk</v>
      </c>
      <c r="B212" s="15" t="str">
        <f>IFERROR(__xludf.DUMMYFUNCTION("""COMPUTED_VALUE"""),"Top Search Engine Marketing Agencies in the United Kingdom - Jul 2026 Rankings | Clutch.co")</f>
        <v>Top Search Engine Marketing Agencies in the United Kingdom - Jul 2026 Rankings | Clutch.co</v>
      </c>
      <c r="C212" s="14" t="str">
        <f>IFERROR(__xludf.DUMMYFUNCTION("""COMPUTED_VALUE"""),"clutch.co")</f>
        <v>clutch.co</v>
      </c>
      <c r="D212" s="15" t="str">
        <f>IFERROR(__xludf.DUMMYFUNCTION("""COMPUTED_VALUE"""),"CATEGORY_PAGE")</f>
        <v>CATEGORY_PAGE</v>
      </c>
      <c r="E212" s="15" t="str">
        <f>IFERROR(__xludf.DUMMYFUNCTION("""COMPUTED_VALUE"""),"CORPORATE")</f>
        <v>CORPORATE</v>
      </c>
      <c r="F212" s="15" t="str">
        <f>IFERROR(__xludf.DUMMYFUNCTION("""COMPUTED_VALUE"""),"Category Page")</f>
        <v>Category Page</v>
      </c>
      <c r="G212" s="15" t="b">
        <f>IFERROR(__xludf.DUMMYFUNCTION("""COMPUTED_VALUE"""),FALSE)</f>
        <v>0</v>
      </c>
      <c r="H212" s="15"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I212" s="15">
        <f>IFERROR(__xludf.DUMMYFUNCTION("""COMPUTED_VALUE"""),9.0)</f>
        <v>9</v>
      </c>
      <c r="J212" s="15">
        <f>IFERROR(__xludf.DUMMYFUNCTION("""COMPUTED_VALUE"""),0.01)</f>
        <v>0.01</v>
      </c>
      <c r="K212" s="15">
        <f>IFERROR(__xludf.DUMMYFUNCTION("""COMPUTED_VALUE"""),0.67)</f>
        <v>0.67</v>
      </c>
      <c r="L212" s="15"/>
    </row>
    <row r="213" ht="15.75" customHeight="1">
      <c r="A213" s="14" t="str">
        <f>IFERROR(__xludf.DUMMYFUNCTION("""COMPUTED_VALUE"""),"https://www.digitalreference.co/insights/marketing-professionals/best-digital-marketing-agencies-companies-in-uk")</f>
        <v>https://www.digitalreference.co/insights/marketing-professionals/best-digital-marketing-agencies-companies-in-uk</v>
      </c>
      <c r="B213" s="15" t="str">
        <f>IFERROR(__xludf.DUMMYFUNCTION("""COMPUTED_VALUE"""),"Best Digital Marketing Agencies &amp;amp; Digital Marketing Firms in the UK")</f>
        <v>Best Digital Marketing Agencies &amp;amp; Digital Marketing Firms in the UK</v>
      </c>
      <c r="C213" s="14" t="str">
        <f>IFERROR(__xludf.DUMMYFUNCTION("""COMPUTED_VALUE"""),"digitalreference.co")</f>
        <v>digitalreference.co</v>
      </c>
      <c r="D213" s="15" t="str">
        <f>IFERROR(__xludf.DUMMYFUNCTION("""COMPUTED_VALUE"""),"LISTICLE")</f>
        <v>LISTICLE</v>
      </c>
      <c r="E213" s="15" t="str">
        <f>IFERROR(__xludf.DUMMYFUNCTION("""COMPUTED_VALUE"""),"UGC")</f>
        <v>UGC</v>
      </c>
      <c r="F213" s="15" t="str">
        <f>IFERROR(__xludf.DUMMYFUNCTION("""COMPUTED_VALUE"""),"Listicle")</f>
        <v>Listicle</v>
      </c>
      <c r="G213" s="15" t="b">
        <f>IFERROR(__xludf.DUMMYFUNCTION("""COMPUTED_VALUE"""),FALSE)</f>
        <v>0</v>
      </c>
      <c r="H213" s="15"/>
      <c r="I213" s="15">
        <f>IFERROR(__xludf.DUMMYFUNCTION("""COMPUTED_VALUE"""),9.0)</f>
        <v>9</v>
      </c>
      <c r="J213" s="15">
        <f>IFERROR(__xludf.DUMMYFUNCTION("""COMPUTED_VALUE"""),0.01)</f>
        <v>0.01</v>
      </c>
      <c r="K213" s="15">
        <f>IFERROR(__xludf.DUMMYFUNCTION("""COMPUTED_VALUE"""),0.0)</f>
        <v>0</v>
      </c>
      <c r="L213" s="15"/>
    </row>
    <row r="214" ht="15.75" customHeight="1">
      <c r="A214" s="14" t="str">
        <f>IFERROR(__xludf.DUMMYFUNCTION("""COMPUTED_VALUE"""),"https://www.ecomone.com/insights/top-geo-agencies-uk/")</f>
        <v>https://www.ecomone.com/insights/top-geo-agencies-uk/</v>
      </c>
      <c r="B214" s="15" t="str">
        <f>IFERROR(__xludf.DUMMYFUNCTION("""COMPUTED_VALUE"""),"Top 10 Best GEO Agencies in the UK (2026) - eComOne")</f>
        <v>Top 10 Best GEO Agencies in the UK (2026) - eComOne</v>
      </c>
      <c r="C214" s="14" t="str">
        <f>IFERROR(__xludf.DUMMYFUNCTION("""COMPUTED_VALUE"""),"ecomone.com")</f>
        <v>ecomone.com</v>
      </c>
      <c r="D214" s="15" t="str">
        <f>IFERROR(__xludf.DUMMYFUNCTION("""COMPUTED_VALUE"""),"LISTICLE")</f>
        <v>LISTICLE</v>
      </c>
      <c r="E214" s="15" t="str">
        <f>IFERROR(__xludf.DUMMYFUNCTION("""COMPUTED_VALUE"""),"CORPORATE")</f>
        <v>CORPORATE</v>
      </c>
      <c r="F214" s="15" t="str">
        <f>IFERROR(__xludf.DUMMYFUNCTION("""COMPUTED_VALUE"""),"Listicle")</f>
        <v>Listicle</v>
      </c>
      <c r="G214" s="15" t="b">
        <f>IFERROR(__xludf.DUMMYFUNCTION("""COMPUTED_VALUE"""),FALSE)</f>
        <v>0</v>
      </c>
      <c r="H214" s="15" t="str">
        <f>IFERROR(__xludf.DUMMYFUNCTION("""COMPUTED_VALUE"""),"Passion Digital, Blue Array, Exposure Ninja, ClickSlice, Builtvisible, Propellernet, Polaris")</f>
        <v>Passion Digital, Blue Array, Exposure Ninja, ClickSlice, Builtvisible, Propellernet, Polaris</v>
      </c>
      <c r="I214" s="15">
        <f>IFERROR(__xludf.DUMMYFUNCTION("""COMPUTED_VALUE"""),9.0)</f>
        <v>9</v>
      </c>
      <c r="J214" s="15">
        <f>IFERROR(__xludf.DUMMYFUNCTION("""COMPUTED_VALUE"""),0.01)</f>
        <v>0.01</v>
      </c>
      <c r="K214" s="15">
        <f>IFERROR(__xludf.DUMMYFUNCTION("""COMPUTED_VALUE"""),0.33)</f>
        <v>0.33</v>
      </c>
      <c r="L214" s="15"/>
    </row>
    <row r="215" ht="15.75" customHeight="1">
      <c r="A215" s="14" t="str">
        <f>IFERROR(__xludf.DUMMYFUNCTION("""COMPUTED_VALUE"""),"https://factoryjet.com/blog/best-ai-seo-agencies-uk")</f>
        <v>https://factoryjet.com/blog/best-ai-seo-agencies-uk</v>
      </c>
      <c r="B215" s="15" t="str">
        <f>IFERROR(__xludf.DUMMYFUNCTION("""COMPUTED_VALUE"""),"The 10 Best AI SEO Agencies in the UK (2026)")</f>
        <v>The 10 Best AI SEO Agencies in the UK (2026)</v>
      </c>
      <c r="C215" s="14" t="str">
        <f>IFERROR(__xludf.DUMMYFUNCTION("""COMPUTED_VALUE"""),"factoryjet.com")</f>
        <v>factoryjet.com</v>
      </c>
      <c r="D215" s="15" t="str">
        <f>IFERROR(__xludf.DUMMYFUNCTION("""COMPUTED_VALUE"""),"LISTICLE")</f>
        <v>LISTICLE</v>
      </c>
      <c r="E215" s="15" t="str">
        <f>IFERROR(__xludf.DUMMYFUNCTION("""COMPUTED_VALUE"""),"CORPORATE")</f>
        <v>CORPORATE</v>
      </c>
      <c r="F215" s="15" t="str">
        <f>IFERROR(__xludf.DUMMYFUNCTION("""COMPUTED_VALUE"""),"Listicle")</f>
        <v>Listicle</v>
      </c>
      <c r="G215" s="15" t="b">
        <f>IFERROR(__xludf.DUMMYFUNCTION("""COMPUTED_VALUE"""),FALSE)</f>
        <v>0</v>
      </c>
      <c r="H215" s="15" t="str">
        <f>IFERROR(__xludf.DUMMYFUNCTION("""COMPUTED_VALUE"""),"Found, The SEO Works, Blue Array, Screaming Frog, Varn, GA Agency, Passion Digital, Brainlabs, Builtvisible, Deloitte Digital")</f>
        <v>Found, The SEO Works, Blue Array, Screaming Frog, Varn, GA Agency, Passion Digital, Brainlabs, Builtvisible, Deloitte Digital</v>
      </c>
      <c r="I215" s="15">
        <f>IFERROR(__xludf.DUMMYFUNCTION("""COMPUTED_VALUE"""),9.0)</f>
        <v>9</v>
      </c>
      <c r="J215" s="15">
        <f>IFERROR(__xludf.DUMMYFUNCTION("""COMPUTED_VALUE"""),0.01)</f>
        <v>0.01</v>
      </c>
      <c r="K215" s="15">
        <f>IFERROR(__xludf.DUMMYFUNCTION("""COMPUTED_VALUE"""),0.89)</f>
        <v>0.89</v>
      </c>
      <c r="L215" s="15"/>
    </row>
    <row r="216" ht="15.75" customHeight="1">
      <c r="A216" s="14" t="str">
        <f>IFERROR(__xludf.DUMMYFUNCTION("""COMPUTED_VALUE"""),"https://gripped.io/b2b-marketing/top-marketing-agencies-uk/")</f>
        <v>https://gripped.io/b2b-marketing/top-marketing-agencies-uk/</v>
      </c>
      <c r="B216" s="15" t="str">
        <f>IFERROR(__xludf.DUMMYFUNCTION("""COMPUTED_VALUE"""),"Top 50 UK Marketing Agencies: Expert Picks for SEO, PPC &amp;amp; ABM")</f>
        <v>Top 50 UK Marketing Agencies: Expert Picks for SEO, PPC &amp;amp; ABM</v>
      </c>
      <c r="C216" s="14" t="str">
        <f>IFERROR(__xludf.DUMMYFUNCTION("""COMPUTED_VALUE"""),"gripped.io")</f>
        <v>gripped.io</v>
      </c>
      <c r="D216" s="15" t="str">
        <f>IFERROR(__xludf.DUMMYFUNCTION("""COMPUTED_VALUE"""),"LISTICLE")</f>
        <v>LISTICLE</v>
      </c>
      <c r="E216" s="15" t="str">
        <f>IFERROR(__xludf.DUMMYFUNCTION("""COMPUTED_VALUE"""),"COMPETITOR")</f>
        <v>COMPETITOR</v>
      </c>
      <c r="F216" s="15" t="str">
        <f>IFERROR(__xludf.DUMMYFUNCTION("""COMPUTED_VALUE"""),"Listicle")</f>
        <v>Listicle</v>
      </c>
      <c r="G216" s="15" t="b">
        <f>IFERROR(__xludf.DUMMYFUNCTION("""COMPUTED_VALUE"""),TRUE)</f>
        <v>1</v>
      </c>
      <c r="H216" s="15" t="str">
        <f>IFERROR(__xludf.DUMMYFUNCTION("""COMPUTED_VALUE"""),"Gripped, Brainlabs, Transmission, Clarity Performance, Koozai, We Are Social, Croud, Jellyfish, Ogilvy, Measured, Saatchi &amp; Saatchi, Accenture Song, Dentsu, Publicis Groupe, iCrossing, Merkle, Push, Propellernet, Rise at Seven, Builtvisible, Passion Digit"&amp;"al, Gravity Global, Incubeta, VCCP")</f>
        <v>Gripped, Brainlabs, Transmission, Clarity Performance, Koozai, We Are Social, Croud, Jellyfish, Ogilvy, Measured, Saatchi &amp; Saatchi, Accenture Song, Dentsu, Publicis Groupe, iCrossing, Merkle, Push, Propellernet, Rise at Seven, Builtvisible, Passion Digital, Gravity Global, Incubeta, VCCP</v>
      </c>
      <c r="I216" s="15">
        <f>IFERROR(__xludf.DUMMYFUNCTION("""COMPUTED_VALUE"""),9.0)</f>
        <v>9</v>
      </c>
      <c r="J216" s="15">
        <f>IFERROR(__xludf.DUMMYFUNCTION("""COMPUTED_VALUE"""),0.01)</f>
        <v>0.01</v>
      </c>
      <c r="K216" s="15">
        <f>IFERROR(__xludf.DUMMYFUNCTION("""COMPUTED_VALUE"""),1.22)</f>
        <v>1.22</v>
      </c>
      <c r="L216" s="15"/>
    </row>
    <row r="217" ht="15.75" customHeight="1">
      <c r="A217" s="14" t="str">
        <f>IFERROR(__xludf.DUMMYFUNCTION("""COMPUTED_VALUE"""),"https://www.hockeystack.com/blog-posts/best-marketing-attribution-software")</f>
        <v>https://www.hockeystack.com/blog-posts/best-marketing-attribution-software</v>
      </c>
      <c r="B217" s="15" t="str">
        <f>IFERROR(__xludf.DUMMYFUNCTION("""COMPUTED_VALUE"""),"19 Best Marketing Attribution Software Solutions Reviewed for 2026")</f>
        <v>19 Best Marketing Attribution Software Solutions Reviewed for 2026</v>
      </c>
      <c r="C217" s="14" t="str">
        <f>IFERROR(__xludf.DUMMYFUNCTION("""COMPUTED_VALUE"""),"hockeystack.com")</f>
        <v>hockeystack.com</v>
      </c>
      <c r="D217" s="15" t="str">
        <f>IFERROR(__xludf.DUMMYFUNCTION("""COMPUTED_VALUE"""),"LISTICLE")</f>
        <v>LISTICLE</v>
      </c>
      <c r="E217" s="15" t="str">
        <f>IFERROR(__xludf.DUMMYFUNCTION("""COMPUTED_VALUE"""),"CORPORATE")</f>
        <v>CORPORATE</v>
      </c>
      <c r="F217" s="15" t="str">
        <f>IFERROR(__xludf.DUMMYFUNCTION("""COMPUTED_VALUE"""),"Listicle")</f>
        <v>Listicle</v>
      </c>
      <c r="G217" s="15" t="b">
        <f>IFERROR(__xludf.DUMMYFUNCTION("""COMPUTED_VALUE"""),FALSE)</f>
        <v>0</v>
      </c>
      <c r="H217" s="15" t="str">
        <f>IFERROR(__xludf.DUMMYFUNCTION("""COMPUTED_VALUE"""),"Ruler Analytics, Disrupt Marketing, Push, Triple Whale, Rockerbox, Impression, Northbeam")</f>
        <v>Ruler Analytics, Disrupt Marketing, Push, Triple Whale, Rockerbox, Impression, Northbeam</v>
      </c>
      <c r="I217" s="15">
        <f>IFERROR(__xludf.DUMMYFUNCTION("""COMPUTED_VALUE"""),9.0)</f>
        <v>9</v>
      </c>
      <c r="J217" s="15">
        <f>IFERROR(__xludf.DUMMYFUNCTION("""COMPUTED_VALUE"""),0.01)</f>
        <v>0.01</v>
      </c>
      <c r="K217" s="15">
        <f>IFERROR(__xludf.DUMMYFUNCTION("""COMPUTED_VALUE"""),0.0)</f>
        <v>0</v>
      </c>
      <c r="L217" s="15"/>
    </row>
    <row r="218" ht="15.75" customHeight="1">
      <c r="A218" s="14" t="str">
        <f>IFERROR(__xludf.DUMMYFUNCTION("""COMPUTED_VALUE"""),"https://joinupscale.com/blog/top-google-shopping-ads-agencies-uk/")</f>
        <v>https://joinupscale.com/blog/top-google-shopping-ads-agencies-uk/</v>
      </c>
      <c r="B218" s="15" t="str">
        <f>IFERROR(__xludf.DUMMYFUNCTION("""COMPUTED_VALUE"""),"Top Google Shopping Ads Agencies UK: Shortlist &amp;amp; RFP Guide 2026")</f>
        <v>Top Google Shopping Ads Agencies UK: Shortlist &amp;amp; RFP Guide 2026</v>
      </c>
      <c r="C218" s="14" t="str">
        <f>IFERROR(__xludf.DUMMYFUNCTION("""COMPUTED_VALUE"""),"joinupscale.com")</f>
        <v>joinupscale.com</v>
      </c>
      <c r="D218" s="15" t="str">
        <f>IFERROR(__xludf.DUMMYFUNCTION("""COMPUTED_VALUE"""),"LISTICLE")</f>
        <v>LISTICLE</v>
      </c>
      <c r="E218" s="15" t="str">
        <f>IFERROR(__xludf.DUMMYFUNCTION("""COMPUTED_VALUE"""),"CORPORATE")</f>
        <v>CORPORATE</v>
      </c>
      <c r="F218" s="15" t="str">
        <f>IFERROR(__xludf.DUMMYFUNCTION("""COMPUTED_VALUE"""),"Listicle")</f>
        <v>Listicle</v>
      </c>
      <c r="G218" s="15" t="b">
        <f>IFERROR(__xludf.DUMMYFUNCTION("""COMPUTED_VALUE"""),FALSE)</f>
        <v>0</v>
      </c>
      <c r="H218" s="15" t="str">
        <f>IFERROR(__xludf.DUMMYFUNCTION("""COMPUTED_VALUE"""),"Impression, Found")</f>
        <v>Impression, Found</v>
      </c>
      <c r="I218" s="15">
        <f>IFERROR(__xludf.DUMMYFUNCTION("""COMPUTED_VALUE"""),9.0)</f>
        <v>9</v>
      </c>
      <c r="J218" s="15">
        <f>IFERROR(__xludf.DUMMYFUNCTION("""COMPUTED_VALUE"""),0.01)</f>
        <v>0.01</v>
      </c>
      <c r="K218" s="15">
        <f>IFERROR(__xludf.DUMMYFUNCTION("""COMPUTED_VALUE"""),1.0)</f>
        <v>1</v>
      </c>
      <c r="L218" s="15"/>
    </row>
    <row r="219" ht="15.75" customHeight="1">
      <c r="A219" s="14" t="str">
        <f>IFERROR(__xludf.DUMMYFUNCTION("""COMPUTED_VALUE"""),"https://www.seoworks.com/lists/best-aeo-answer-engine-optimisation-agencies/")</f>
        <v>https://www.seoworks.com/lists/best-aeo-answer-engine-optimisation-agencies/</v>
      </c>
      <c r="B219" s="15" t="str">
        <f>IFERROR(__xludf.DUMMYFUNCTION("""COMPUTED_VALUE"""),"20 Best Answer Engine Optimisation (AEO) Agencies (2026) | The SEO Works")</f>
        <v>20 Best Answer Engine Optimisation (AEO) Agencies (2026) | The SEO Works</v>
      </c>
      <c r="C219" s="14" t="str">
        <f>IFERROR(__xludf.DUMMYFUNCTION("""COMPUTED_VALUE"""),"seoworks.com")</f>
        <v>seoworks.com</v>
      </c>
      <c r="D219" s="15" t="str">
        <f>IFERROR(__xludf.DUMMYFUNCTION("""COMPUTED_VALUE"""),"LISTICLE")</f>
        <v>LISTICLE</v>
      </c>
      <c r="E219" s="15" t="str">
        <f>IFERROR(__xludf.DUMMYFUNCTION("""COMPUTED_VALUE"""),"CORPORATE")</f>
        <v>CORPORATE</v>
      </c>
      <c r="F219" s="15" t="str">
        <f>IFERROR(__xludf.DUMMYFUNCTION("""COMPUTED_VALUE"""),"Listicle")</f>
        <v>Listicle</v>
      </c>
      <c r="G219" s="15" t="b">
        <f>IFERROR(__xludf.DUMMYFUNCTION("""COMPUTED_VALUE"""),FALSE)</f>
        <v>0</v>
      </c>
      <c r="H219" s="15" t="str">
        <f>IFERROR(__xludf.DUMMYFUNCTION("""COMPUTED_VALUE"""),"The SEO Works, Measured, Jellyfish, Builtvisible, Siege Media, NP Digital, Brainlabs, WebFX")</f>
        <v>The SEO Works, Measured, Jellyfish, Builtvisible, Siege Media, NP Digital, Brainlabs, WebFX</v>
      </c>
      <c r="I219" s="15">
        <f>IFERROR(__xludf.DUMMYFUNCTION("""COMPUTED_VALUE"""),9.0)</f>
        <v>9</v>
      </c>
      <c r="J219" s="15">
        <f>IFERROR(__xludf.DUMMYFUNCTION("""COMPUTED_VALUE"""),0.01)</f>
        <v>0.01</v>
      </c>
      <c r="K219" s="15">
        <f>IFERROR(__xludf.DUMMYFUNCTION("""COMPUTED_VALUE"""),1.67)</f>
        <v>1.67</v>
      </c>
      <c r="L219" s="15"/>
    </row>
    <row r="220" ht="15.75" customHeight="1">
      <c r="A220" s="14" t="str">
        <f>IFERROR(__xludf.DUMMYFUNCTION("""COMPUTED_VALUE"""),"https://www.sortlist.co.uk/s/performance-marketing/england-england-gb")</f>
        <v>https://www.sortlist.co.uk/s/performance-marketing/england-england-gb</v>
      </c>
      <c r="B220" s="15" t="str">
        <f>IFERROR(__xludf.DUMMYFUNCTION("""COMPUTED_VALUE"""),"The 10 Best Performance Marketing Agencies in England - 2026 Reviews")</f>
        <v>The 10 Best Performance Marketing Agencies in England - 2026 Reviews</v>
      </c>
      <c r="C220" s="14" t="str">
        <f>IFERROR(__xludf.DUMMYFUNCTION("""COMPUTED_VALUE"""),"sortlist.co.uk")</f>
        <v>sortlist.co.uk</v>
      </c>
      <c r="D220" s="15" t="str">
        <f>IFERROR(__xludf.DUMMYFUNCTION("""COMPUTED_VALUE"""),"CATEGORY_PAGE")</f>
        <v>CATEGORY_PAGE</v>
      </c>
      <c r="E220" s="15" t="str">
        <f>IFERROR(__xludf.DUMMYFUNCTION("""COMPUTED_VALUE"""),"REFERENCE")</f>
        <v>REFERENCE</v>
      </c>
      <c r="F220" s="15" t="str">
        <f>IFERROR(__xludf.DUMMYFUNCTION("""COMPUTED_VALUE"""),"Category Page")</f>
        <v>Category Page</v>
      </c>
      <c r="G220" s="15" t="b">
        <f>IFERROR(__xludf.DUMMYFUNCTION("""COMPUTED_VALUE"""),FALSE)</f>
        <v>0</v>
      </c>
      <c r="H220" s="15" t="str">
        <f>IFERROR(__xludf.DUMMYFUNCTION("""COMPUTED_VALUE"""),"Momentum, M3.agency, Found, McKinsey &amp; Company")</f>
        <v>Momentum, M3.agency, Found, McKinsey &amp; Company</v>
      </c>
      <c r="I220" s="15">
        <f>IFERROR(__xludf.DUMMYFUNCTION("""COMPUTED_VALUE"""),9.0)</f>
        <v>9</v>
      </c>
      <c r="J220" s="15">
        <f>IFERROR(__xludf.DUMMYFUNCTION("""COMPUTED_VALUE"""),0.01)</f>
        <v>0.01</v>
      </c>
      <c r="K220" s="15">
        <f>IFERROR(__xludf.DUMMYFUNCTION("""COMPUTED_VALUE"""),0.0)</f>
        <v>0</v>
      </c>
      <c r="L220" s="15"/>
    </row>
    <row r="221" ht="15.75" customHeight="1">
      <c r="A221" s="14" t="str">
        <f>IFERROR(__xludf.DUMMYFUNCTION("""COMPUTED_VALUE"""),"https://sourceforge.net/software/incrementality-testing/uk/")</f>
        <v>https://sourceforge.net/software/incrementality-testing/uk/</v>
      </c>
      <c r="B221" s="15" t="str">
        <f>IFERROR(__xludf.DUMMYFUNCTION("""COMPUTED_VALUE"""),"Best Incrementality Testing Tools in the UK of 2026 - Reviews &amp;amp; Comparison")</f>
        <v>Best Incrementality Testing Tools in the UK of 2026 - Reviews &amp;amp; Comparison</v>
      </c>
      <c r="C221" s="14" t="str">
        <f>IFERROR(__xludf.DUMMYFUNCTION("""COMPUTED_VALUE"""),"sourceforge.net")</f>
        <v>sourceforge.net</v>
      </c>
      <c r="D221" s="15" t="str">
        <f>IFERROR(__xludf.DUMMYFUNCTION("""COMPUTED_VALUE"""),"LISTICLE")</f>
        <v>LISTICLE</v>
      </c>
      <c r="E221" s="15" t="str">
        <f>IFERROR(__xludf.DUMMYFUNCTION("""COMPUTED_VALUE"""),"OTHER")</f>
        <v>OTHER</v>
      </c>
      <c r="F221" s="15" t="str">
        <f>IFERROR(__xludf.DUMMYFUNCTION("""COMPUTED_VALUE"""),"Listicle")</f>
        <v>Listicle</v>
      </c>
      <c r="G221" s="15" t="b">
        <f>IFERROR(__xludf.DUMMYFUNCTION("""COMPUTED_VALUE"""),FALSE)</f>
        <v>0</v>
      </c>
      <c r="H221" s="15" t="str">
        <f>IFERROR(__xludf.DUMMYFUNCTION("""COMPUTED_VALUE"""),"Measured, Sellforte, Rockerbox, Recast, Haus, Analytic Partners, Push")</f>
        <v>Measured, Sellforte, Rockerbox, Recast, Haus, Analytic Partners, Push</v>
      </c>
      <c r="I221" s="15">
        <f>IFERROR(__xludf.DUMMYFUNCTION("""COMPUTED_VALUE"""),9.0)</f>
        <v>9</v>
      </c>
      <c r="J221" s="15">
        <f>IFERROR(__xludf.DUMMYFUNCTION("""COMPUTED_VALUE"""),0.01)</f>
        <v>0.01</v>
      </c>
      <c r="K221" s="15">
        <f>IFERROR(__xludf.DUMMYFUNCTION("""COMPUTED_VALUE"""),0.11)</f>
        <v>0.11</v>
      </c>
      <c r="L221" s="15"/>
    </row>
    <row r="222" ht="15.75" customHeight="1">
      <c r="A222" s="14" t="str">
        <f>IFERROR(__xludf.DUMMYFUNCTION("""COMPUTED_VALUE"""),"https://swifterm.com/top-google-ad-agencies-in-the-united-kingdom/")</f>
        <v>https://swifterm.com/top-google-ad-agencies-in-the-united-kingdom/</v>
      </c>
      <c r="B222" s="15" t="str">
        <f>IFERROR(__xludf.DUMMYFUNCTION("""COMPUTED_VALUE"""),"Top Google-Ad Agencies In The UK - SwiftERM AI Technology")</f>
        <v>Top Google-Ad Agencies In The UK - SwiftERM AI Technology</v>
      </c>
      <c r="C222" s="14" t="str">
        <f>IFERROR(__xludf.DUMMYFUNCTION("""COMPUTED_VALUE"""),"swifterm.com")</f>
        <v>swifterm.com</v>
      </c>
      <c r="D222" s="15" t="str">
        <f>IFERROR(__xludf.DUMMYFUNCTION("""COMPUTED_VALUE"""),"LISTICLE")</f>
        <v>LISTICLE</v>
      </c>
      <c r="E222" s="15" t="str">
        <f>IFERROR(__xludf.DUMMYFUNCTION("""COMPUTED_VALUE"""),"OTHER")</f>
        <v>OTHER</v>
      </c>
      <c r="F222" s="15" t="str">
        <f>IFERROR(__xludf.DUMMYFUNCTION("""COMPUTED_VALUE"""),"Listicle")</f>
        <v>Listicle</v>
      </c>
      <c r="G222" s="15" t="b">
        <f>IFERROR(__xludf.DUMMYFUNCTION("""COMPUTED_VALUE"""),FALSE)</f>
        <v>0</v>
      </c>
      <c r="H222" s="15" t="str">
        <f>IFERROR(__xludf.DUMMYFUNCTION("""COMPUTED_VALUE"""),"Push, Push Group, PPC Geeks")</f>
        <v>Push, Push Group, PPC Geeks</v>
      </c>
      <c r="I222" s="15">
        <f>IFERROR(__xludf.DUMMYFUNCTION("""COMPUTED_VALUE"""),9.0)</f>
        <v>9</v>
      </c>
      <c r="J222" s="15">
        <f>IFERROR(__xludf.DUMMYFUNCTION("""COMPUTED_VALUE"""),0.01)</f>
        <v>0.01</v>
      </c>
      <c r="K222" s="15">
        <f>IFERROR(__xludf.DUMMYFUNCTION("""COMPUTED_VALUE"""),0.0)</f>
        <v>0</v>
      </c>
      <c r="L222" s="15"/>
    </row>
    <row r="223" ht="15.75" customHeight="1">
      <c r="A223" s="14" t="str">
        <f>IFERROR(__xludf.DUMMYFUNCTION("""COMPUTED_VALUE"""),"https://thedigitalmaze.com/blog/top-10-ppc-agencies-in-the-uk-2026/")</f>
        <v>https://thedigitalmaze.com/blog/top-10-ppc-agencies-in-the-uk-2026/</v>
      </c>
      <c r="B223" s="15" t="str">
        <f>IFERROR(__xludf.DUMMYFUNCTION("""COMPUTED_VALUE"""),"Top 10 PPC Agencies in the UK (2026)")</f>
        <v>Top 10 PPC Agencies in the UK (2026)</v>
      </c>
      <c r="C223" s="14" t="str">
        <f>IFERROR(__xludf.DUMMYFUNCTION("""COMPUTED_VALUE"""),"thedigitalmaze.com")</f>
        <v>thedigitalmaze.com</v>
      </c>
      <c r="D223" s="15" t="str">
        <f>IFERROR(__xludf.DUMMYFUNCTION("""COMPUTED_VALUE"""),"LISTICLE")</f>
        <v>LISTICLE</v>
      </c>
      <c r="E223" s="15" t="str">
        <f>IFERROR(__xludf.DUMMYFUNCTION("""COMPUTED_VALUE"""),"OTHER")</f>
        <v>OTHER</v>
      </c>
      <c r="F223" s="15" t="str">
        <f>IFERROR(__xludf.DUMMYFUNCTION("""COMPUTED_VALUE"""),"Listicle")</f>
        <v>Listicle</v>
      </c>
      <c r="G223" s="15" t="b">
        <f>IFERROR(__xludf.DUMMYFUNCTION("""COMPUTED_VALUE"""),FALSE)</f>
        <v>0</v>
      </c>
      <c r="H223" s="15" t="str">
        <f>IFERROR(__xludf.DUMMYFUNCTION("""COMPUTED_VALUE"""),"Found, Croud, Huge, Impression, Journey Further, Bind Media, Push, Push Group, Jellyfish, PPC Geeks, Propeller")</f>
        <v>Found, Croud, Huge, Impression, Journey Further, Bind Media, Push, Push Group, Jellyfish, PPC Geeks, Propeller</v>
      </c>
      <c r="I223" s="15">
        <f>IFERROR(__xludf.DUMMYFUNCTION("""COMPUTED_VALUE"""),9.0)</f>
        <v>9</v>
      </c>
      <c r="J223" s="15">
        <f>IFERROR(__xludf.DUMMYFUNCTION("""COMPUTED_VALUE"""),0.01)</f>
        <v>0.01</v>
      </c>
      <c r="K223" s="15">
        <f>IFERROR(__xludf.DUMMYFUNCTION("""COMPUTED_VALUE"""),0.44)</f>
        <v>0.44</v>
      </c>
      <c r="L223" s="15"/>
    </row>
    <row r="224" ht="15.75" customHeight="1">
      <c r="A224" s="14" t="str">
        <f>IFERROR(__xludf.DUMMYFUNCTION("""COMPUTED_VALUE"""),"https://themanifest.com/creative/agencies/uk")</f>
        <v>https://themanifest.com/creative/agencies/uk</v>
      </c>
      <c r="B224" s="15" t="str">
        <f>IFERROR(__xludf.DUMMYFUNCTION("""COMPUTED_VALUE"""),"The Best Creative Companies in United Kingdom - Jul 2026 | The Manifest")</f>
        <v>The Best Creative Companies in United Kingdom - Jul 2026 | The Manifest</v>
      </c>
      <c r="C224" s="14" t="str">
        <f>IFERROR(__xludf.DUMMYFUNCTION("""COMPUTED_VALUE"""),"themanifest.com")</f>
        <v>themanifest.com</v>
      </c>
      <c r="D224" s="15" t="str">
        <f>IFERROR(__xludf.DUMMYFUNCTION("""COMPUTED_VALUE"""),"LISTICLE")</f>
        <v>LISTICLE</v>
      </c>
      <c r="E224" s="15" t="str">
        <f>IFERROR(__xludf.DUMMYFUNCTION("""COMPUTED_VALUE"""),"REFERENCE")</f>
        <v>REFERENCE</v>
      </c>
      <c r="F224" s="15" t="str">
        <f>IFERROR(__xludf.DUMMYFUNCTION("""COMPUTED_VALUE"""),"Listicle")</f>
        <v>Listicle</v>
      </c>
      <c r="G224" s="15" t="b">
        <f>IFERROR(__xludf.DUMMYFUNCTION("""COMPUTED_VALUE"""),FALSE)</f>
        <v>0</v>
      </c>
      <c r="H224" s="15" t="str">
        <f>IFERROR(__xludf.DUMMYFUNCTION("""COMPUTED_VALUE"""),"Chello, Favoured")</f>
        <v>Chello, Favoured</v>
      </c>
      <c r="I224" s="15">
        <f>IFERROR(__xludf.DUMMYFUNCTION("""COMPUTED_VALUE"""),9.0)</f>
        <v>9</v>
      </c>
      <c r="J224" s="15">
        <f>IFERROR(__xludf.DUMMYFUNCTION("""COMPUTED_VALUE"""),0.01)</f>
        <v>0.01</v>
      </c>
      <c r="K224" s="15">
        <f>IFERROR(__xludf.DUMMYFUNCTION("""COMPUTED_VALUE"""),0.0)</f>
        <v>0</v>
      </c>
      <c r="L224" s="15"/>
    </row>
    <row r="225" ht="15.75" customHeight="1">
      <c r="A225" s="14" t="str">
        <f>IFERROR(__xludf.DUMMYFUNCTION("""COMPUTED_VALUE"""),"https://agencies.semrush.com/list/advertising/united-kingdom/")</f>
        <v>https://agencies.semrush.com/list/advertising/united-kingdom/</v>
      </c>
      <c r="B225" s="15" t="str">
        <f>IFERROR(__xludf.DUMMYFUNCTION("""COMPUTED_VALUE"""),"Best Advertising Agencies in United Kingdom 2026 | Semrush")</f>
        <v>Best Advertising Agencies in United Kingdom 2026 | Semrush</v>
      </c>
      <c r="C225" s="14" t="str">
        <f>IFERROR(__xludf.DUMMYFUNCTION("""COMPUTED_VALUE"""),"semrush.com")</f>
        <v>semrush.com</v>
      </c>
      <c r="D225" s="15" t="str">
        <f>IFERROR(__xludf.DUMMYFUNCTION("""COMPUTED_VALUE"""),"PROFILE")</f>
        <v>PROFILE</v>
      </c>
      <c r="E225" s="15" t="str">
        <f>IFERROR(__xludf.DUMMYFUNCTION("""COMPUTED_VALUE"""),"CORPORATE")</f>
        <v>CORPORATE</v>
      </c>
      <c r="F225" s="15" t="str">
        <f>IFERROR(__xludf.DUMMYFUNCTION("""COMPUTED_VALUE"""),"Profile")</f>
        <v>Profile</v>
      </c>
      <c r="G225" s="15" t="b">
        <f>IFERROR(__xludf.DUMMYFUNCTION("""COMPUTED_VALUE"""),FALSE)</f>
        <v>0</v>
      </c>
      <c r="H225" s="15" t="str">
        <f>IFERROR(__xludf.DUMMYFUNCTION("""COMPUTED_VALUE"""),"Found, Impression, Click Intelligence, Passion Digital, Soap Media")</f>
        <v>Found, Impression, Click Intelligence, Passion Digital, Soap Media</v>
      </c>
      <c r="I225" s="15">
        <f>IFERROR(__xludf.DUMMYFUNCTION("""COMPUTED_VALUE"""),8.0)</f>
        <v>8</v>
      </c>
      <c r="J225" s="15">
        <f>IFERROR(__xludf.DUMMYFUNCTION("""COMPUTED_VALUE"""),0.01)</f>
        <v>0.01</v>
      </c>
      <c r="K225" s="15">
        <f>IFERROR(__xludf.DUMMYFUNCTION("""COMPUTED_VALUE"""),0.38)</f>
        <v>0.38</v>
      </c>
      <c r="L225" s="15"/>
    </row>
    <row r="226" ht="15.75" customHeight="1">
      <c r="A226" s="14" t="str">
        <f>IFERROR(__xludf.DUMMYFUNCTION("""COMPUTED_VALUE"""),"https://agencies.semrush.com/list/display-advertising/united-kingdom/mid-business/")</f>
        <v>https://agencies.semrush.com/list/display-advertising/united-kingdom/mid-business/</v>
      </c>
      <c r="B226" s="15" t="str">
        <f>IFERROR(__xludf.DUMMYFUNCTION("""COMPUTED_VALUE"""),"Best Display Ads Agencies for Mid Business in United Kingdom 2026 | Semrush")</f>
        <v>Best Display Ads Agencies for Mid Business in United Kingdom 2026 | Semrush</v>
      </c>
      <c r="C226" s="14" t="str">
        <f>IFERROR(__xludf.DUMMYFUNCTION("""COMPUTED_VALUE"""),"semrush.com")</f>
        <v>semrush.com</v>
      </c>
      <c r="D226" s="15" t="str">
        <f>IFERROR(__xludf.DUMMYFUNCTION("""COMPUTED_VALUE"""),"OTHER")</f>
        <v>OTHER</v>
      </c>
      <c r="E226" s="15" t="str">
        <f>IFERROR(__xludf.DUMMYFUNCTION("""COMPUTED_VALUE"""),"CORPORATE")</f>
        <v>CORPORATE</v>
      </c>
      <c r="F226" s="15" t="str">
        <f>IFERROR(__xludf.DUMMYFUNCTION("""COMPUTED_VALUE"""),"Other")</f>
        <v>Other</v>
      </c>
      <c r="G226" s="15" t="b">
        <f>IFERROR(__xludf.DUMMYFUNCTION("""COMPUTED_VALUE"""),FALSE)</f>
        <v>0</v>
      </c>
      <c r="H226" s="15" t="str">
        <f>IFERROR(__xludf.DUMMYFUNCTION("""COMPUTED_VALUE"""),"Found, Passion Digital, Soap Media, The SEO Works")</f>
        <v>Found, Passion Digital, Soap Media, The SEO Works</v>
      </c>
      <c r="I226" s="15">
        <f>IFERROR(__xludf.DUMMYFUNCTION("""COMPUTED_VALUE"""),8.0)</f>
        <v>8</v>
      </c>
      <c r="J226" s="15">
        <f>IFERROR(__xludf.DUMMYFUNCTION("""COMPUTED_VALUE"""),0.01)</f>
        <v>0.01</v>
      </c>
      <c r="K226" s="15">
        <f>IFERROR(__xludf.DUMMYFUNCTION("""COMPUTED_VALUE"""),0.63)</f>
        <v>0.63</v>
      </c>
      <c r="L226" s="15"/>
    </row>
    <row r="227" ht="15.75" customHeight="1">
      <c r="A227" s="14" t="str">
        <f>IFERROR(__xludf.DUMMYFUNCTION("""COMPUTED_VALUE"""),"https://ampliflow.ai/blog/best-ai-agencies-uk-2026")</f>
        <v>https://ampliflow.ai/blog/best-ai-agencies-uk-2026</v>
      </c>
      <c r="B227" s="15" t="str">
        <f>IFERROR(__xludf.DUMMYFUNCTION("""COMPUTED_VALUE"""),"Best AI Agencies in the UK: The 2026 Definitive Guide")</f>
        <v>Best AI Agencies in the UK: The 2026 Definitive Guide</v>
      </c>
      <c r="C227" s="14" t="str">
        <f>IFERROR(__xludf.DUMMYFUNCTION("""COMPUTED_VALUE"""),"ampliflow.ai")</f>
        <v>ampliflow.ai</v>
      </c>
      <c r="D227" s="15" t="str">
        <f>IFERROR(__xludf.DUMMYFUNCTION("""COMPUTED_VALUE"""),"LISTICLE")</f>
        <v>LISTICLE</v>
      </c>
      <c r="E227" s="15" t="str">
        <f>IFERROR(__xludf.DUMMYFUNCTION("""COMPUTED_VALUE"""),"CORPORATE")</f>
        <v>CORPORATE</v>
      </c>
      <c r="F227" s="15" t="str">
        <f>IFERROR(__xludf.DUMMYFUNCTION("""COMPUTED_VALUE"""),"Listicle")</f>
        <v>Listicle</v>
      </c>
      <c r="G227" s="15" t="b">
        <f>IFERROR(__xludf.DUMMYFUNCTION("""COMPUTED_VALUE"""),FALSE)</f>
        <v>0</v>
      </c>
      <c r="H227" s="15" t="str">
        <f>IFERROR(__xludf.DUMMYFUNCTION("""COMPUTED_VALUE"""),"Gripped")</f>
        <v>Gripped</v>
      </c>
      <c r="I227" s="15">
        <f>IFERROR(__xludf.DUMMYFUNCTION("""COMPUTED_VALUE"""),8.0)</f>
        <v>8</v>
      </c>
      <c r="J227" s="15">
        <f>IFERROR(__xludf.DUMMYFUNCTION("""COMPUTED_VALUE"""),0.01)</f>
        <v>0.01</v>
      </c>
      <c r="K227" s="15">
        <f>IFERROR(__xludf.DUMMYFUNCTION("""COMPUTED_VALUE"""),0.0)</f>
        <v>0</v>
      </c>
      <c r="L227" s="15"/>
    </row>
    <row r="228" ht="15.75" customHeight="1">
      <c r="A228" s="14" t="str">
        <f>IFERROR(__xludf.DUMMYFUNCTION("""COMPUTED_VALUE"""),"https://atomicdigitalmarketing.co.uk/")</f>
        <v>https://atomicdigitalmarketing.co.uk/</v>
      </c>
      <c r="B228" s="15" t="str">
        <f>IFERROR(__xludf.DUMMYFUNCTION("""COMPUTED_VALUE"""),"Top Digital Marketing Agency UK | Full Service Online Marketing Company")</f>
        <v>Top Digital Marketing Agency UK | Full Service Online Marketing Company</v>
      </c>
      <c r="C228" s="14" t="str">
        <f>IFERROR(__xludf.DUMMYFUNCTION("""COMPUTED_VALUE"""),"atomicdigitalmarketing.co.uk")</f>
        <v>atomicdigitalmarketing.co.uk</v>
      </c>
      <c r="D228" s="15" t="str">
        <f>IFERROR(__xludf.DUMMYFUNCTION("""COMPUTED_VALUE"""),"HOMEPAGE")</f>
        <v>HOMEPAGE</v>
      </c>
      <c r="E228" s="15" t="str">
        <f>IFERROR(__xludf.DUMMYFUNCTION("""COMPUTED_VALUE"""),"CORPORATE")</f>
        <v>CORPORATE</v>
      </c>
      <c r="F228" s="15" t="str">
        <f>IFERROR(__xludf.DUMMYFUNCTION("""COMPUTED_VALUE"""),"Homepage")</f>
        <v>Homepage</v>
      </c>
      <c r="G228" s="15" t="b">
        <f>IFERROR(__xludf.DUMMYFUNCTION("""COMPUTED_VALUE"""),FALSE)</f>
        <v>0</v>
      </c>
      <c r="H228" s="15"/>
      <c r="I228" s="15">
        <f>IFERROR(__xludf.DUMMYFUNCTION("""COMPUTED_VALUE"""),8.0)</f>
        <v>8</v>
      </c>
      <c r="J228" s="15">
        <f>IFERROR(__xludf.DUMMYFUNCTION("""COMPUTED_VALUE"""),0.01)</f>
        <v>0.01</v>
      </c>
      <c r="K228" s="15">
        <f>IFERROR(__xludf.DUMMYFUNCTION("""COMPUTED_VALUE"""),0.5)</f>
        <v>0.5</v>
      </c>
      <c r="L228" s="15"/>
    </row>
    <row r="229" ht="15.75" customHeight="1">
      <c r="A229" s="14" t="str">
        <f>IFERROR(__xludf.DUMMYFUNCTION("""COMPUTED_VALUE"""),"https://www.cornishwebservices.co.uk/articles/marketing/Top-10-PPC-Agencies-in-the-UK-in-2026.html")</f>
        <v>https://www.cornishwebservices.co.uk/articles/marketing/Top-10-PPC-Agencies-in-the-UK-in-2026.html</v>
      </c>
      <c r="B229" s="15" t="str">
        <f>IFERROR(__xludf.DUMMYFUNCTION("""COMPUTED_VALUE"""),"Top 10 PPC Agencies in the UK (2026)")</f>
        <v>Top 10 PPC Agencies in the UK (2026)</v>
      </c>
      <c r="C229" s="14" t="str">
        <f>IFERROR(__xludf.DUMMYFUNCTION("""COMPUTED_VALUE"""),"cornishwebservices.co.uk")</f>
        <v>cornishwebservices.co.uk</v>
      </c>
      <c r="D229" s="15" t="str">
        <f>IFERROR(__xludf.DUMMYFUNCTION("""COMPUTED_VALUE"""),"LISTICLE")</f>
        <v>LISTICLE</v>
      </c>
      <c r="E229" s="15" t="str">
        <f>IFERROR(__xludf.DUMMYFUNCTION("""COMPUTED_VALUE"""),"CORPORATE")</f>
        <v>CORPORATE</v>
      </c>
      <c r="F229" s="15" t="str">
        <f>IFERROR(__xludf.DUMMYFUNCTION("""COMPUTED_VALUE"""),"Listicle")</f>
        <v>Listicle</v>
      </c>
      <c r="G229" s="15" t="b">
        <f>IFERROR(__xludf.DUMMYFUNCTION("""COMPUTED_VALUE"""),FALSE)</f>
        <v>0</v>
      </c>
      <c r="H229" s="15" t="str">
        <f>IFERROR(__xludf.DUMMYFUNCTION("""COMPUTED_VALUE"""),"Impression, Brainlabs, Hallam, Croud, Found, Push, Push Group")</f>
        <v>Impression, Brainlabs, Hallam, Croud, Found, Push, Push Group</v>
      </c>
      <c r="I229" s="15">
        <f>IFERROR(__xludf.DUMMYFUNCTION("""COMPUTED_VALUE"""),8.0)</f>
        <v>8</v>
      </c>
      <c r="J229" s="15">
        <f>IFERROR(__xludf.DUMMYFUNCTION("""COMPUTED_VALUE"""),0.01)</f>
        <v>0.01</v>
      </c>
      <c r="K229" s="15">
        <f>IFERROR(__xludf.DUMMYFUNCTION("""COMPUTED_VALUE"""),0.25)</f>
        <v>0.25</v>
      </c>
      <c r="L229" s="15"/>
    </row>
    <row r="230" ht="15.75" customHeight="1">
      <c r="A230" s="14" t="str">
        <f>IFERROR(__xludf.DUMMYFUNCTION("""COMPUTED_VALUE"""),"https://dramatik.com/blog/google-ads-agencies-uk/")</f>
        <v>https://dramatik.com/blog/google-ads-agencies-uk/</v>
      </c>
      <c r="B230" s="15" t="str">
        <f>IFERROR(__xludf.DUMMYFUNCTION("""COMPUTED_VALUE"""),"Best Google Ads Agencies in the UK (Updated for 2025) - Dramatik")</f>
        <v>Best Google Ads Agencies in the UK (Updated for 2025) - Dramatik</v>
      </c>
      <c r="C230" s="14" t="str">
        <f>IFERROR(__xludf.DUMMYFUNCTION("""COMPUTED_VALUE"""),"dramatik.com")</f>
        <v>dramatik.com</v>
      </c>
      <c r="D230" s="15" t="str">
        <f>IFERROR(__xludf.DUMMYFUNCTION("""COMPUTED_VALUE"""),"LISTICLE")</f>
        <v>LISTICLE</v>
      </c>
      <c r="E230" s="15" t="str">
        <f>IFERROR(__xludf.DUMMYFUNCTION("""COMPUTED_VALUE"""),"CORPORATE")</f>
        <v>CORPORATE</v>
      </c>
      <c r="F230" s="15" t="str">
        <f>IFERROR(__xludf.DUMMYFUNCTION("""COMPUTED_VALUE"""),"Listicle")</f>
        <v>Listicle</v>
      </c>
      <c r="G230" s="15" t="b">
        <f>IFERROR(__xludf.DUMMYFUNCTION("""COMPUTED_VALUE"""),FALSE)</f>
        <v>0</v>
      </c>
      <c r="H230" s="15" t="str">
        <f>IFERROR(__xludf.DUMMYFUNCTION("""COMPUTED_VALUE"""),"Push, Push Group, The Social Shepherd, PPC Geeks, The Brains, Clarity Performance")</f>
        <v>Push, Push Group, The Social Shepherd, PPC Geeks, The Brains, Clarity Performance</v>
      </c>
      <c r="I230" s="15">
        <f>IFERROR(__xludf.DUMMYFUNCTION("""COMPUTED_VALUE"""),8.0)</f>
        <v>8</v>
      </c>
      <c r="J230" s="15">
        <f>IFERROR(__xludf.DUMMYFUNCTION("""COMPUTED_VALUE"""),0.01)</f>
        <v>0.01</v>
      </c>
      <c r="K230" s="15">
        <f>IFERROR(__xludf.DUMMYFUNCTION("""COMPUTED_VALUE"""),0.38)</f>
        <v>0.38</v>
      </c>
      <c r="L230" s="15"/>
    </row>
    <row r="231" ht="15.75" customHeight="1">
      <c r="A231" s="14" t="str">
        <f>IFERROR(__xludf.DUMMYFUNCTION("""COMPUTED_VALUE"""),"https://ecomposer.io/blogs/comparison/data-driven-marketing-agencies-uk")</f>
        <v>https://ecomposer.io/blogs/comparison/data-driven-marketing-agencies-uk</v>
      </c>
      <c r="B231" s="15" t="str">
        <f>IFERROR(__xludf.DUMMYFUNCTION("""COMPUTED_VALUE"""),"10 Best Data-Driven Marketing Agencies in the UK for 2026 – EComposer")</f>
        <v>10 Best Data-Driven Marketing Agencies in the UK for 2026 – EComposer</v>
      </c>
      <c r="C231" s="14" t="str">
        <f>IFERROR(__xludf.DUMMYFUNCTION("""COMPUTED_VALUE"""),"ecomposer.io")</f>
        <v>ecomposer.io</v>
      </c>
      <c r="D231" s="15" t="str">
        <f>IFERROR(__xludf.DUMMYFUNCTION("""COMPUTED_VALUE"""),"LISTICLE")</f>
        <v>LISTICLE</v>
      </c>
      <c r="E231" s="15" t="str">
        <f>IFERROR(__xludf.DUMMYFUNCTION("""COMPUTED_VALUE"""),"CORPORATE")</f>
        <v>CORPORATE</v>
      </c>
      <c r="F231" s="15" t="str">
        <f>IFERROR(__xludf.DUMMYFUNCTION("""COMPUTED_VALUE"""),"Listicle")</f>
        <v>Listicle</v>
      </c>
      <c r="G231" s="15" t="b">
        <f>IFERROR(__xludf.DUMMYFUNCTION("""COMPUTED_VALUE"""),FALSE)</f>
        <v>0</v>
      </c>
      <c r="H231" s="15" t="str">
        <f>IFERROR(__xludf.DUMMYFUNCTION("""COMPUTED_VALUE"""),"Found, Impression, Croud, Brainlabs, Hallam, Push, Push Group, Huge, Bind Media")</f>
        <v>Found, Impression, Croud, Brainlabs, Hallam, Push, Push Group, Huge, Bind Media</v>
      </c>
      <c r="I231" s="15">
        <f>IFERROR(__xludf.DUMMYFUNCTION("""COMPUTED_VALUE"""),8.0)</f>
        <v>8</v>
      </c>
      <c r="J231" s="15">
        <f>IFERROR(__xludf.DUMMYFUNCTION("""COMPUTED_VALUE"""),0.01)</f>
        <v>0.01</v>
      </c>
      <c r="K231" s="15">
        <f>IFERROR(__xludf.DUMMYFUNCTION("""COMPUTED_VALUE"""),1.0)</f>
        <v>1</v>
      </c>
      <c r="L231" s="15"/>
    </row>
    <row r="232" ht="15.75" customHeight="1">
      <c r="A232" s="14" t="str">
        <f>IFERROR(__xludf.DUMMYFUNCTION("""COMPUTED_VALUE"""),"https://www.influencer-hero.com/de/blogs/top-paid-media-agencies-in-the-united-kingdom")</f>
        <v>https://www.influencer-hero.com/de/blogs/top-paid-media-agencies-in-the-united-kingdom</v>
      </c>
      <c r="B232" s="15" t="str">
        <f>IFERROR(__xludf.DUMMYFUNCTION("""COMPUTED_VALUE"""),"Die Top 10 Paid-Media-Agenturen im Vereinigten Königreich")</f>
        <v>Die Top 10 Paid-Media-Agenturen im Vereinigten Königreich</v>
      </c>
      <c r="C232" s="14" t="str">
        <f>IFERROR(__xludf.DUMMYFUNCTION("""COMPUTED_VALUE"""),"influencer-hero.com")</f>
        <v>influencer-hero.com</v>
      </c>
      <c r="D232" s="15" t="str">
        <f>IFERROR(__xludf.DUMMYFUNCTION("""COMPUTED_VALUE"""),"LISTICLE")</f>
        <v>LISTICLE</v>
      </c>
      <c r="E232" s="15" t="str">
        <f>IFERROR(__xludf.DUMMYFUNCTION("""COMPUTED_VALUE"""),"CORPORATE")</f>
        <v>CORPORATE</v>
      </c>
      <c r="F232" s="15" t="str">
        <f>IFERROR(__xludf.DUMMYFUNCTION("""COMPUTED_VALUE"""),"Listicle")</f>
        <v>Listicle</v>
      </c>
      <c r="G232" s="15" t="b">
        <f>IFERROR(__xludf.DUMMYFUNCTION("""COMPUTED_VALUE"""),FALSE)</f>
        <v>0</v>
      </c>
      <c r="H232" s="15" t="str">
        <f>IFERROR(__xludf.DUMMYFUNCTION("""COMPUTED_VALUE"""),"Brainlabs, Vivify Agency, Manifest Group, Impression, Hallam, Passion Digital")</f>
        <v>Brainlabs, Vivify Agency, Manifest Group, Impression, Hallam, Passion Digital</v>
      </c>
      <c r="I232" s="15">
        <f>IFERROR(__xludf.DUMMYFUNCTION("""COMPUTED_VALUE"""),8.0)</f>
        <v>8</v>
      </c>
      <c r="J232" s="15">
        <f>IFERROR(__xludf.DUMMYFUNCTION("""COMPUTED_VALUE"""),0.01)</f>
        <v>0.01</v>
      </c>
      <c r="K232" s="15">
        <f>IFERROR(__xludf.DUMMYFUNCTION("""COMPUTED_VALUE"""),0.0)</f>
        <v>0</v>
      </c>
      <c r="L232" s="15"/>
    </row>
    <row r="233" ht="15.75" customHeight="1">
      <c r="A233" s="14" t="str">
        <f>IFERROR(__xludf.DUMMYFUNCTION("""COMPUTED_VALUE"""),"https://pearllemon.com/top-paid-media-agencies-uk/")</f>
        <v>https://pearllemon.com/top-paid-media-agencies-uk/</v>
      </c>
      <c r="B233" s="15" t="str">
        <f>IFERROR(__xludf.DUMMYFUNCTION("""COMPUTED_VALUE"""),"Top Paid Media Agencies In The UK For Business Services")</f>
        <v>Top Paid Media Agencies In The UK For Business Services</v>
      </c>
      <c r="C233" s="14" t="str">
        <f>IFERROR(__xludf.DUMMYFUNCTION("""COMPUTED_VALUE"""),"pearllemon.com")</f>
        <v>pearllemon.com</v>
      </c>
      <c r="D233" s="15" t="str">
        <f>IFERROR(__xludf.DUMMYFUNCTION("""COMPUTED_VALUE"""),"LISTICLE")</f>
        <v>LISTICLE</v>
      </c>
      <c r="E233" s="15" t="str">
        <f>IFERROR(__xludf.DUMMYFUNCTION("""COMPUTED_VALUE"""),"CORPORATE")</f>
        <v>CORPORATE</v>
      </c>
      <c r="F233" s="15" t="str">
        <f>IFERROR(__xludf.DUMMYFUNCTION("""COMPUTED_VALUE"""),"Listicle")</f>
        <v>Listicle</v>
      </c>
      <c r="G233" s="15" t="b">
        <f>IFERROR(__xludf.DUMMYFUNCTION("""COMPUTED_VALUE"""),FALSE)</f>
        <v>0</v>
      </c>
      <c r="H233" s="15" t="str">
        <f>IFERROR(__xludf.DUMMYFUNCTION("""COMPUTED_VALUE"""),"The Social Shepherd, Disruptive Advertising, Ninja Promo, Impression, ClickSlice, PPC Geeks, Found, Make Agency, Soap Media")</f>
        <v>The Social Shepherd, Disruptive Advertising, Ninja Promo, Impression, ClickSlice, PPC Geeks, Found, Make Agency, Soap Media</v>
      </c>
      <c r="I233" s="15">
        <f>IFERROR(__xludf.DUMMYFUNCTION("""COMPUTED_VALUE"""),8.0)</f>
        <v>8</v>
      </c>
      <c r="J233" s="15">
        <f>IFERROR(__xludf.DUMMYFUNCTION("""COMPUTED_VALUE"""),0.01)</f>
        <v>0.01</v>
      </c>
      <c r="K233" s="15">
        <f>IFERROR(__xludf.DUMMYFUNCTION("""COMPUTED_VALUE"""),1.25)</f>
        <v>1.25</v>
      </c>
      <c r="L233" s="15"/>
    </row>
    <row r="234" ht="15.75" customHeight="1">
      <c r="A234" s="14" t="str">
        <f>IFERROR(__xludf.DUMMYFUNCTION("""COMPUTED_VALUE"""),"https://pinpoint-media.global/insights/top-10-paid-media-agencies-in-london")</f>
        <v>https://pinpoint-media.global/insights/top-10-paid-media-agencies-in-london</v>
      </c>
      <c r="B234" s="15" t="str">
        <f>IFERROR(__xludf.DUMMYFUNCTION("""COMPUTED_VALUE"""),"Top 10 Paid Media Agencies in London | PinPoint Media")</f>
        <v>Top 10 Paid Media Agencies in London | PinPoint Media</v>
      </c>
      <c r="C234" s="15" t="str">
        <f>IFERROR(__xludf.DUMMYFUNCTION("""COMPUTED_VALUE"""),"pinpoint-media.global")</f>
        <v>pinpoint-media.global</v>
      </c>
      <c r="D234" s="15" t="str">
        <f>IFERROR(__xludf.DUMMYFUNCTION("""COMPUTED_VALUE"""),"LISTICLE")</f>
        <v>LISTICLE</v>
      </c>
      <c r="E234" s="15" t="str">
        <f>IFERROR(__xludf.DUMMYFUNCTION("""COMPUTED_VALUE"""),"COMPETITOR")</f>
        <v>COMPETITOR</v>
      </c>
      <c r="F234" s="15" t="str">
        <f>IFERROR(__xludf.DUMMYFUNCTION("""COMPUTED_VALUE"""),"Listicle")</f>
        <v>Listicle</v>
      </c>
      <c r="G234" s="15" t="b">
        <f>IFERROR(__xludf.DUMMYFUNCTION("""COMPUTED_VALUE"""),FALSE)</f>
        <v>0</v>
      </c>
      <c r="H234" s="15" t="str">
        <f>IFERROR(__xludf.DUMMYFUNCTION("""COMPUTED_VALUE"""),"PinPoint Media, Jellyfish, Brainlabs, Push, Hallam, Dentsu")</f>
        <v>PinPoint Media, Jellyfish, Brainlabs, Push, Hallam, Dentsu</v>
      </c>
      <c r="I234" s="15">
        <f>IFERROR(__xludf.DUMMYFUNCTION("""COMPUTED_VALUE"""),8.0)</f>
        <v>8</v>
      </c>
      <c r="J234" s="15">
        <f>IFERROR(__xludf.DUMMYFUNCTION("""COMPUTED_VALUE"""),0.01)</f>
        <v>0.01</v>
      </c>
      <c r="K234" s="15">
        <f>IFERROR(__xludf.DUMMYFUNCTION("""COMPUTED_VALUE"""),1.38)</f>
        <v>1.38</v>
      </c>
      <c r="L234" s="15"/>
    </row>
    <row r="235" ht="15.75" customHeight="1">
      <c r="A235" s="14" t="str">
        <f>IFERROR(__xludf.DUMMYFUNCTION("""COMPUTED_VALUE"""),"https://www.reddit.com/r/Superframeworks/comments/1twfxf1/10_best_ai_seo_geoaeo_agencies_for_2026_no/")</f>
        <v>https://www.reddit.com/r/Superframeworks/comments/1twfxf1/10_best_ai_seo_geoaeo_agencies_for_2026_no/</v>
      </c>
      <c r="B235" s="15" t="str">
        <f>IFERROR(__xludf.DUMMYFUNCTION("""COMPUTED_VALUE"""),"10 Best AI SEO (GEO/AEO) Agencies for 2026: No Self-Ranking, Verified by Clutch Reviews and Real AI-Citation Proof")</f>
        <v>10 Best AI SEO (GEO/AEO) Agencies for 2026: No Self-Ranking, Verified by Clutch Reviews and Real AI-Citation Proof</v>
      </c>
      <c r="C235" s="14" t="str">
        <f>IFERROR(__xludf.DUMMYFUNCTION("""COMPUTED_VALUE"""),"reddit.com")</f>
        <v>reddit.com</v>
      </c>
      <c r="D235" s="15" t="str">
        <f>IFERROR(__xludf.DUMMYFUNCTION("""COMPUTED_VALUE"""),"DISCUSSION")</f>
        <v>DISCUSSION</v>
      </c>
      <c r="E235" s="15" t="str">
        <f>IFERROR(__xludf.DUMMYFUNCTION("""COMPUTED_VALUE"""),"UGC")</f>
        <v>UGC</v>
      </c>
      <c r="F235" s="15" t="str">
        <f>IFERROR(__xludf.DUMMYFUNCTION("""COMPUTED_VALUE"""),"Discussion")</f>
        <v>Discussion</v>
      </c>
      <c r="G235" s="15" t="b">
        <f>IFERROR(__xludf.DUMMYFUNCTION("""COMPUTED_VALUE"""),FALSE)</f>
        <v>0</v>
      </c>
      <c r="H235" s="15" t="str">
        <f>IFERROR(__xludf.DUMMYFUNCTION("""COMPUTED_VALUE"""),"Single Grain, NoGood")</f>
        <v>Single Grain, NoGood</v>
      </c>
      <c r="I235" s="15">
        <f>IFERROR(__xludf.DUMMYFUNCTION("""COMPUTED_VALUE"""),8.0)</f>
        <v>8</v>
      </c>
      <c r="J235" s="15">
        <f>IFERROR(__xludf.DUMMYFUNCTION("""COMPUTED_VALUE"""),0.01)</f>
        <v>0.01</v>
      </c>
      <c r="K235" s="15">
        <f>IFERROR(__xludf.DUMMYFUNCTION("""COMPUTED_VALUE"""),2.0)</f>
        <v>2</v>
      </c>
      <c r="L235" s="15"/>
    </row>
    <row r="236" ht="15.75" customHeight="1">
      <c r="A236" s="14" t="str">
        <f>IFERROR(__xludf.DUMMYFUNCTION("""COMPUTED_VALUE"""),"https://www.reddit.com/r/Topagencies/comments/1spi0q0/top_ppc_agencies_in_england_packages_pricing_cost/")</f>
        <v>https://www.reddit.com/r/Topagencies/comments/1spi0q0/top_ppc_agencies_in_england_packages_pricing_cost/</v>
      </c>
      <c r="B236" s="15" t="str">
        <f>IFERROR(__xludf.DUMMYFUNCTION("""COMPUTED_VALUE"""),"Top PPC Agencies in England — Packages, Pricing, Cost &amp;amp; Services Guide")</f>
        <v>Top PPC Agencies in England — Packages, Pricing, Cost &amp;amp; Services Guide</v>
      </c>
      <c r="C236" s="14" t="str">
        <f>IFERROR(__xludf.DUMMYFUNCTION("""COMPUTED_VALUE"""),"reddit.com")</f>
        <v>reddit.com</v>
      </c>
      <c r="D236" s="15" t="str">
        <f>IFERROR(__xludf.DUMMYFUNCTION("""COMPUTED_VALUE"""),"DISCUSSION")</f>
        <v>DISCUSSION</v>
      </c>
      <c r="E236" s="15" t="str">
        <f>IFERROR(__xludf.DUMMYFUNCTION("""COMPUTED_VALUE"""),"UGC")</f>
        <v>UGC</v>
      </c>
      <c r="F236" s="15" t="str">
        <f>IFERROR(__xludf.DUMMYFUNCTION("""COMPUTED_VALUE"""),"Discussion")</f>
        <v>Discussion</v>
      </c>
      <c r="G236" s="15" t="b">
        <f>IFERROR(__xludf.DUMMYFUNCTION("""COMPUTED_VALUE"""),FALSE)</f>
        <v>0</v>
      </c>
      <c r="H236" s="15" t="str">
        <f>IFERROR(__xludf.DUMMYFUNCTION("""COMPUTED_VALUE"""),"Impression, PPC Geeks, Bind Media, The SEO Works, Passion Digital")</f>
        <v>Impression, PPC Geeks, Bind Media, The SEO Works, Passion Digital</v>
      </c>
      <c r="I236" s="15">
        <f>IFERROR(__xludf.DUMMYFUNCTION("""COMPUTED_VALUE"""),8.0)</f>
        <v>8</v>
      </c>
      <c r="J236" s="15">
        <f>IFERROR(__xludf.DUMMYFUNCTION("""COMPUTED_VALUE"""),0.01)</f>
        <v>0.01</v>
      </c>
      <c r="K236" s="15">
        <f>IFERROR(__xludf.DUMMYFUNCTION("""COMPUTED_VALUE"""),1.88)</f>
        <v>1.88</v>
      </c>
      <c r="L236" s="15"/>
    </row>
    <row r="237" ht="15.75" customHeight="1">
      <c r="A237" s="14" t="str">
        <f>IFERROR(__xludf.DUMMYFUNCTION("""COMPUTED_VALUE"""),"https://semnexus.com/top-aeo-agencies-london")</f>
        <v>https://semnexus.com/top-aeo-agencies-london</v>
      </c>
      <c r="B237" s="15" t="str">
        <f>IFERROR(__xludf.DUMMYFUNCTION("""COMPUTED_VALUE"""),"Top AEO Agencies in London: Dominating AI Search in 2026 | SEM Nexus")</f>
        <v>Top AEO Agencies in London: Dominating AI Search in 2026 | SEM Nexus</v>
      </c>
      <c r="C237" s="14" t="str">
        <f>IFERROR(__xludf.DUMMYFUNCTION("""COMPUTED_VALUE"""),"semnexus.com")</f>
        <v>semnexus.com</v>
      </c>
      <c r="D237" s="15" t="str">
        <f>IFERROR(__xludf.DUMMYFUNCTION("""COMPUTED_VALUE"""),"LISTICLE")</f>
        <v>LISTICLE</v>
      </c>
      <c r="E237" s="15" t="str">
        <f>IFERROR(__xludf.DUMMYFUNCTION("""COMPUTED_VALUE"""),"OTHER")</f>
        <v>OTHER</v>
      </c>
      <c r="F237" s="15" t="str">
        <f>IFERROR(__xludf.DUMMYFUNCTION("""COMPUTED_VALUE"""),"Listicle")</f>
        <v>Listicle</v>
      </c>
      <c r="G237" s="15" t="b">
        <f>IFERROR(__xludf.DUMMYFUNCTION("""COMPUTED_VALUE"""),FALSE)</f>
        <v>0</v>
      </c>
      <c r="H237" s="15"/>
      <c r="I237" s="15">
        <f>IFERROR(__xludf.DUMMYFUNCTION("""COMPUTED_VALUE"""),8.0)</f>
        <v>8</v>
      </c>
      <c r="J237" s="15">
        <f>IFERROR(__xludf.DUMMYFUNCTION("""COMPUTED_VALUE"""),0.01)</f>
        <v>0.01</v>
      </c>
      <c r="K237" s="15">
        <f>IFERROR(__xludf.DUMMYFUNCTION("""COMPUTED_VALUE"""),0.25)</f>
        <v>0.25</v>
      </c>
      <c r="L237" s="15"/>
    </row>
    <row r="238" ht="15.75" customHeight="1">
      <c r="A238" s="14" t="str">
        <f>IFERROR(__xludf.DUMMYFUNCTION("""COMPUTED_VALUE"""),"https://www.seoworks.com/lists/20-best-digital-marketing-companies-in-the-uk/")</f>
        <v>https://www.seoworks.com/lists/20-best-digital-marketing-companies-in-the-uk/</v>
      </c>
      <c r="B238" s="15" t="str">
        <f>IFERROR(__xludf.DUMMYFUNCTION("""COMPUTED_VALUE"""),"20 Best Digital Marketing Companies in the UK (2026) | January 15, 2026")</f>
        <v>20 Best Digital Marketing Companies in the UK (2026) | January 15, 2026</v>
      </c>
      <c r="C238" s="14" t="str">
        <f>IFERROR(__xludf.DUMMYFUNCTION("""COMPUTED_VALUE"""),"seoworks.com")</f>
        <v>seoworks.com</v>
      </c>
      <c r="D238" s="15" t="str">
        <f>IFERROR(__xludf.DUMMYFUNCTION("""COMPUTED_VALUE"""),"LISTICLE")</f>
        <v>LISTICLE</v>
      </c>
      <c r="E238" s="15" t="str">
        <f>IFERROR(__xludf.DUMMYFUNCTION("""COMPUTED_VALUE"""),"CORPORATE")</f>
        <v>CORPORATE</v>
      </c>
      <c r="F238" s="15" t="str">
        <f>IFERROR(__xludf.DUMMYFUNCTION("""COMPUTED_VALUE"""),"Listicle")</f>
        <v>Listicle</v>
      </c>
      <c r="G238" s="15" t="b">
        <f>IFERROR(__xludf.DUMMYFUNCTION("""COMPUTED_VALUE"""),FALSE)</f>
        <v>0</v>
      </c>
      <c r="H238" s="15" t="str">
        <f>IFERROR(__xludf.DUMMYFUNCTION("""COMPUTED_VALUE"""),"The SEO Works, Brainlabs, Builtvisible, Propellernet, Varn, ROAST")</f>
        <v>The SEO Works, Brainlabs, Builtvisible, Propellernet, Varn, ROAST</v>
      </c>
      <c r="I238" s="15">
        <f>IFERROR(__xludf.DUMMYFUNCTION("""COMPUTED_VALUE"""),8.0)</f>
        <v>8</v>
      </c>
      <c r="J238" s="15">
        <f>IFERROR(__xludf.DUMMYFUNCTION("""COMPUTED_VALUE"""),0.01)</f>
        <v>0.01</v>
      </c>
      <c r="K238" s="15">
        <f>IFERROR(__xludf.DUMMYFUNCTION("""COMPUTED_VALUE"""),0.0)</f>
        <v>0</v>
      </c>
      <c r="L238" s="15"/>
    </row>
    <row r="239" ht="15.75" customHeight="1">
      <c r="A239" s="14" t="str">
        <f>IFERROR(__xludf.DUMMYFUNCTION("""COMPUTED_VALUE"""),"https://www.softomatesolutions.com/blog/best-ai-strategy-consultants-london/")</f>
        <v>https://www.softomatesolutions.com/blog/best-ai-strategy-consultants-london/</v>
      </c>
      <c r="B239" s="15" t="str">
        <f>IFERROR(__xludf.DUMMYFUNCTION("""COMPUTED_VALUE"""),"Best AI Strategy Consultants London 2026: Hire Vetted Experts for Your AI Roadmap")</f>
        <v>Best AI Strategy Consultants London 2026: Hire Vetted Experts for Your AI Roadmap</v>
      </c>
      <c r="C239" s="14" t="str">
        <f>IFERROR(__xludf.DUMMYFUNCTION("""COMPUTED_VALUE"""),"softomatesolutions.com")</f>
        <v>softomatesolutions.com</v>
      </c>
      <c r="D239" s="15" t="str">
        <f>IFERROR(__xludf.DUMMYFUNCTION("""COMPUTED_VALUE"""),"LISTICLE")</f>
        <v>LISTICLE</v>
      </c>
      <c r="E239" s="15" t="str">
        <f>IFERROR(__xludf.DUMMYFUNCTION("""COMPUTED_VALUE"""),"CORPORATE")</f>
        <v>CORPORATE</v>
      </c>
      <c r="F239" s="15" t="str">
        <f>IFERROR(__xludf.DUMMYFUNCTION("""COMPUTED_VALUE"""),"Listicle")</f>
        <v>Listicle</v>
      </c>
      <c r="G239" s="15" t="b">
        <f>IFERROR(__xludf.DUMMYFUNCTION("""COMPUTED_VALUE"""),FALSE)</f>
        <v>0</v>
      </c>
      <c r="H239" s="15" t="str">
        <f>IFERROR(__xludf.DUMMYFUNCTION("""COMPUTED_VALUE"""),"Found, QuantumBlack, Measured")</f>
        <v>Found, QuantumBlack, Measured</v>
      </c>
      <c r="I239" s="15">
        <f>IFERROR(__xludf.DUMMYFUNCTION("""COMPUTED_VALUE"""),8.0)</f>
        <v>8</v>
      </c>
      <c r="J239" s="15">
        <f>IFERROR(__xludf.DUMMYFUNCTION("""COMPUTED_VALUE"""),0.01)</f>
        <v>0.01</v>
      </c>
      <c r="K239" s="15">
        <f>IFERROR(__xludf.DUMMYFUNCTION("""COMPUTED_VALUE"""),1.75)</f>
        <v>1.75</v>
      </c>
      <c r="L239" s="15"/>
    </row>
    <row r="240" ht="15.75" customHeight="1">
      <c r="A240" s="14" t="str">
        <f>IFERROR(__xludf.DUMMYFUNCTION("""COMPUTED_VALUE"""),"https://www.sortlist.co.uk/s/artificial-intelligence/london-england-gb")</f>
        <v>https://www.sortlist.co.uk/s/artificial-intelligence/london-england-gb</v>
      </c>
      <c r="B240" s="15" t="str">
        <f>IFERROR(__xludf.DUMMYFUNCTION("""COMPUTED_VALUE"""),"The 10 Best Artificial Intelligence Agencies in London - 2026 Reviews")</f>
        <v>The 10 Best Artificial Intelligence Agencies in London - 2026 Reviews</v>
      </c>
      <c r="C240" s="14" t="str">
        <f>IFERROR(__xludf.DUMMYFUNCTION("""COMPUTED_VALUE"""),"sortlist.co.uk")</f>
        <v>sortlist.co.uk</v>
      </c>
      <c r="D240" s="15" t="str">
        <f>IFERROR(__xludf.DUMMYFUNCTION("""COMPUTED_VALUE"""),"CATEGORY_PAGE")</f>
        <v>CATEGORY_PAGE</v>
      </c>
      <c r="E240" s="15" t="str">
        <f>IFERROR(__xludf.DUMMYFUNCTION("""COMPUTED_VALUE"""),"REFERENCE")</f>
        <v>REFERENCE</v>
      </c>
      <c r="F240" s="15" t="str">
        <f>IFERROR(__xludf.DUMMYFUNCTION("""COMPUTED_VALUE"""),"Category Page")</f>
        <v>Category Page</v>
      </c>
      <c r="G240" s="15" t="b">
        <f>IFERROR(__xludf.DUMMYFUNCTION("""COMPUTED_VALUE"""),FALSE)</f>
        <v>0</v>
      </c>
      <c r="H240" s="15"/>
      <c r="I240" s="15">
        <f>IFERROR(__xludf.DUMMYFUNCTION("""COMPUTED_VALUE"""),8.0)</f>
        <v>8</v>
      </c>
      <c r="J240" s="15">
        <f>IFERROR(__xludf.DUMMYFUNCTION("""COMPUTED_VALUE"""),0.01)</f>
        <v>0.01</v>
      </c>
      <c r="K240" s="15">
        <f>IFERROR(__xludf.DUMMYFUNCTION("""COMPUTED_VALUE"""),0.13)</f>
        <v>0.13</v>
      </c>
      <c r="L240" s="15"/>
    </row>
    <row r="241" ht="15.75" customHeight="1">
      <c r="A241" s="14" t="str">
        <f>IFERROR(__xludf.DUMMYFUNCTION("""COMPUTED_VALUE"""),"https://www.sortlist.com/attribution-marketing")</f>
        <v>https://www.sortlist.com/attribution-marketing</v>
      </c>
      <c r="B241" s="15" t="str">
        <f>IFERROR(__xludf.DUMMYFUNCTION("""COMPUTED_VALUE"""),"The 100 Best Attribution Marketing Agencies - 2026 Reviews")</f>
        <v>The 100 Best Attribution Marketing Agencies - 2026 Reviews</v>
      </c>
      <c r="C241" s="14" t="str">
        <f>IFERROR(__xludf.DUMMYFUNCTION("""COMPUTED_VALUE"""),"sortlist.com")</f>
        <v>sortlist.com</v>
      </c>
      <c r="D241" s="15" t="str">
        <f>IFERROR(__xludf.DUMMYFUNCTION("""COMPUTED_VALUE"""),"PROFILE")</f>
        <v>PROFILE</v>
      </c>
      <c r="E241" s="15" t="str">
        <f>IFERROR(__xludf.DUMMYFUNCTION("""COMPUTED_VALUE"""),"CORPORATE")</f>
        <v>CORPORATE</v>
      </c>
      <c r="F241" s="15" t="str">
        <f>IFERROR(__xludf.DUMMYFUNCTION("""COMPUTED_VALUE"""),"Profile")</f>
        <v>Profile</v>
      </c>
      <c r="G241" s="15" t="b">
        <f>IFERROR(__xludf.DUMMYFUNCTION("""COMPUTED_VALUE"""),FALSE)</f>
        <v>0</v>
      </c>
      <c r="H241" s="15" t="str">
        <f>IFERROR(__xludf.DUMMYFUNCTION("""COMPUTED_VALUE"""),"Impression, Push, Triple Whale, Northbeam, WPP")</f>
        <v>Impression, Push, Triple Whale, Northbeam, WPP</v>
      </c>
      <c r="I241" s="15">
        <f>IFERROR(__xludf.DUMMYFUNCTION("""COMPUTED_VALUE"""),8.0)</f>
        <v>8</v>
      </c>
      <c r="J241" s="15">
        <f>IFERROR(__xludf.DUMMYFUNCTION("""COMPUTED_VALUE"""),0.01)</f>
        <v>0.01</v>
      </c>
      <c r="K241" s="15">
        <f>IFERROR(__xludf.DUMMYFUNCTION("""COMPUTED_VALUE"""),0.0)</f>
        <v>0</v>
      </c>
      <c r="L241" s="15"/>
    </row>
    <row r="242" ht="15.75" customHeight="1">
      <c r="A242" s="14" t="str">
        <f>IFERROR(__xludf.DUMMYFUNCTION("""COMPUTED_VALUE"""),"https://www.superside.com/blog/creative-agencies-london")</f>
        <v>https://www.superside.com/blog/creative-agencies-london</v>
      </c>
      <c r="B242" s="15" t="str">
        <f>IFERROR(__xludf.DUMMYFUNCTION("""COMPUTED_VALUE"""),"15 Best Ad Creative Agencies in London To Hire in 2026")</f>
        <v>15 Best Ad Creative Agencies in London To Hire in 2026</v>
      </c>
      <c r="C242" s="14" t="str">
        <f>IFERROR(__xludf.DUMMYFUNCTION("""COMPUTED_VALUE"""),"superside.com")</f>
        <v>superside.com</v>
      </c>
      <c r="D242" s="15" t="str">
        <f>IFERROR(__xludf.DUMMYFUNCTION("""COMPUTED_VALUE"""),"LISTICLE")</f>
        <v>LISTICLE</v>
      </c>
      <c r="E242" s="15" t="str">
        <f>IFERROR(__xludf.DUMMYFUNCTION("""COMPUTED_VALUE"""),"COMPETITOR")</f>
        <v>COMPETITOR</v>
      </c>
      <c r="F242" s="15" t="str">
        <f>IFERROR(__xludf.DUMMYFUNCTION("""COMPUTED_VALUE"""),"Listicle")</f>
        <v>Listicle</v>
      </c>
      <c r="G242" s="15" t="b">
        <f>IFERROR(__xludf.DUMMYFUNCTION("""COMPUTED_VALUE"""),FALSE)</f>
        <v>0</v>
      </c>
      <c r="H242" s="15" t="str">
        <f>IFERROR(__xludf.DUMMYFUNCTION("""COMPUTED_VALUE"""),"Superside, Favoured, Polaris, Impression")</f>
        <v>Superside, Favoured, Polaris, Impression</v>
      </c>
      <c r="I242" s="15">
        <f>IFERROR(__xludf.DUMMYFUNCTION("""COMPUTED_VALUE"""),8.0)</f>
        <v>8</v>
      </c>
      <c r="J242" s="15">
        <f>IFERROR(__xludf.DUMMYFUNCTION("""COMPUTED_VALUE"""),0.01)</f>
        <v>0.01</v>
      </c>
      <c r="K242" s="15">
        <f>IFERROR(__xludf.DUMMYFUNCTION("""COMPUTED_VALUE"""),2.13)</f>
        <v>2.13</v>
      </c>
      <c r="L242" s="15"/>
    </row>
    <row r="243" ht="15.75" customHeight="1">
      <c r="A243" s="14" t="str">
        <f>IFERROR(__xludf.DUMMYFUNCTION("""COMPUTED_VALUE"""),"https://techbehemoths.com/companies/google-ads/united-kingdom")</f>
        <v>https://techbehemoths.com/companies/google-ads/united-kingdom</v>
      </c>
      <c r="B243" s="15" t="str">
        <f>IFERROR(__xludf.DUMMYFUNCTION("""COMPUTED_VALUE"""),"Top 20+ Google Ads Agencies in United Kingdom (2026) - TechBehemoths")</f>
        <v>Top 20+ Google Ads Agencies in United Kingdom (2026) - TechBehemoths</v>
      </c>
      <c r="C243" s="14" t="str">
        <f>IFERROR(__xludf.DUMMYFUNCTION("""COMPUTED_VALUE"""),"techbehemoths.com")</f>
        <v>techbehemoths.com</v>
      </c>
      <c r="D243" s="15" t="str">
        <f>IFERROR(__xludf.DUMMYFUNCTION("""COMPUTED_VALUE"""),"PROFILE")</f>
        <v>PROFILE</v>
      </c>
      <c r="E243" s="15" t="str">
        <f>IFERROR(__xludf.DUMMYFUNCTION("""COMPUTED_VALUE"""),"REFERENCE")</f>
        <v>REFERENCE</v>
      </c>
      <c r="F243" s="15" t="str">
        <f>IFERROR(__xludf.DUMMYFUNCTION("""COMPUTED_VALUE"""),"Profile")</f>
        <v>Profile</v>
      </c>
      <c r="G243" s="15" t="b">
        <f>IFERROR(__xludf.DUMMYFUNCTION("""COMPUTED_VALUE"""),FALSE)</f>
        <v>0</v>
      </c>
      <c r="H243" s="15" t="str">
        <f>IFERROR(__xludf.DUMMYFUNCTION("""COMPUTED_VALUE"""),"Found, Bird Marketing, Soap Media, The SEO Works, Disruptive Advertising, Impression")</f>
        <v>Found, Bird Marketing, Soap Media, The SEO Works, Disruptive Advertising, Impression</v>
      </c>
      <c r="I243" s="15">
        <f>IFERROR(__xludf.DUMMYFUNCTION("""COMPUTED_VALUE"""),8.0)</f>
        <v>8</v>
      </c>
      <c r="J243" s="15">
        <f>IFERROR(__xludf.DUMMYFUNCTION("""COMPUTED_VALUE"""),0.01)</f>
        <v>0.01</v>
      </c>
      <c r="K243" s="15">
        <f>IFERROR(__xludf.DUMMYFUNCTION("""COMPUTED_VALUE"""),0.0)</f>
        <v>0</v>
      </c>
      <c r="L243" s="15"/>
    </row>
    <row r="244" ht="15.75" customHeight="1">
      <c r="A244" s="14" t="str">
        <f>IFERROR(__xludf.DUMMYFUNCTION("""COMPUTED_VALUE"""),"https://www.wildishandco.co.uk/blog/best-creative-agencies-lifestyle-brands-uk")</f>
        <v>https://www.wildishandco.co.uk/blog/best-creative-agencies-lifestyle-brands-uk</v>
      </c>
      <c r="B244" s="15" t="str">
        <f>IFERROR(__xludf.DUMMYFUNCTION("""COMPUTED_VALUE"""),"Best Creative Agencies for Lifestyle Brands in the UK | Wildish &amp;amp; Co.")</f>
        <v>Best Creative Agencies for Lifestyle Brands in the UK | Wildish &amp;amp; Co.</v>
      </c>
      <c r="C244" s="14" t="str">
        <f>IFERROR(__xludf.DUMMYFUNCTION("""COMPUTED_VALUE"""),"wildishandco.co.uk")</f>
        <v>wildishandco.co.uk</v>
      </c>
      <c r="D244" s="15" t="str">
        <f>IFERROR(__xludf.DUMMYFUNCTION("""COMPUTED_VALUE"""),"LISTICLE")</f>
        <v>LISTICLE</v>
      </c>
      <c r="E244" s="15" t="str">
        <f>IFERROR(__xludf.DUMMYFUNCTION("""COMPUTED_VALUE"""),"CORPORATE")</f>
        <v>CORPORATE</v>
      </c>
      <c r="F244" s="15" t="str">
        <f>IFERROR(__xludf.DUMMYFUNCTION("""COMPUTED_VALUE"""),"Listicle")</f>
        <v>Listicle</v>
      </c>
      <c r="G244" s="15" t="b">
        <f>IFERROR(__xludf.DUMMYFUNCTION("""COMPUTED_VALUE"""),FALSE)</f>
        <v>0</v>
      </c>
      <c r="H244" s="15"/>
      <c r="I244" s="15">
        <f>IFERROR(__xludf.DUMMYFUNCTION("""COMPUTED_VALUE"""),8.0)</f>
        <v>8</v>
      </c>
      <c r="J244" s="15">
        <f>IFERROR(__xludf.DUMMYFUNCTION("""COMPUTED_VALUE"""),0.01)</f>
        <v>0.01</v>
      </c>
      <c r="K244" s="15">
        <f>IFERROR(__xludf.DUMMYFUNCTION("""COMPUTED_VALUE"""),0.38)</f>
        <v>0.38</v>
      </c>
      <c r="L244" s="15"/>
    </row>
    <row r="245" ht="15.75" customHeight="1">
      <c r="A245" s="14" t="str">
        <f>IFERROR(__xludf.DUMMYFUNCTION("""COMPUTED_VALUE"""),"https://zipdo.co/service/marketing-attribution/")</f>
        <v>https://zipdo.co/service/marketing-attribution/</v>
      </c>
      <c r="B245" s="15" t="str">
        <f>IFERROR(__xludf.DUMMYFUNCTION("""COMPUTED_VALUE"""),"Top 10 Best Marketing Attribution Services | Top Picks 2026")</f>
        <v>Top 10 Best Marketing Attribution Services | Top Picks 2026</v>
      </c>
      <c r="C245" s="14" t="str">
        <f>IFERROR(__xludf.DUMMYFUNCTION("""COMPUTED_VALUE"""),"zipdo.co")</f>
        <v>zipdo.co</v>
      </c>
      <c r="D245" s="15" t="str">
        <f>IFERROR(__xludf.DUMMYFUNCTION("""COMPUTED_VALUE"""),"LISTICLE")</f>
        <v>LISTICLE</v>
      </c>
      <c r="E245" s="15" t="str">
        <f>IFERROR(__xludf.DUMMYFUNCTION("""COMPUTED_VALUE"""),"REFERENCE")</f>
        <v>REFERENCE</v>
      </c>
      <c r="F245" s="15" t="str">
        <f>IFERROR(__xludf.DUMMYFUNCTION("""COMPUTED_VALUE"""),"Listicle")</f>
        <v>Listicle</v>
      </c>
      <c r="G245" s="15" t="b">
        <f>IFERROR(__xludf.DUMMYFUNCTION("""COMPUTED_VALUE"""),FALSE)</f>
        <v>0</v>
      </c>
      <c r="H245" s="15" t="str">
        <f>IFERROR(__xludf.DUMMYFUNCTION("""COMPUTED_VALUE"""),"Northbeam, Merkle, Wpromote, PwC")</f>
        <v>Northbeam, Merkle, Wpromote, PwC</v>
      </c>
      <c r="I245" s="15">
        <f>IFERROR(__xludf.DUMMYFUNCTION("""COMPUTED_VALUE"""),8.0)</f>
        <v>8</v>
      </c>
      <c r="J245" s="15">
        <f>IFERROR(__xludf.DUMMYFUNCTION("""COMPUTED_VALUE"""),0.01)</f>
        <v>0.01</v>
      </c>
      <c r="K245" s="15">
        <f>IFERROR(__xludf.DUMMYFUNCTION("""COMPUTED_VALUE"""),0.0)</f>
        <v>0</v>
      </c>
      <c r="L245" s="15"/>
    </row>
    <row r="246" ht="15.75" customHeight="1">
      <c r="A246" s="14" t="str">
        <f>IFERROR(__xludf.DUMMYFUNCTION("""COMPUTED_VALUE"""),"https://agencies.semrush.com/list/search-engine-marketing/united-kingdom/")</f>
        <v>https://agencies.semrush.com/list/search-engine-marketing/united-kingdom/</v>
      </c>
      <c r="B246" s="15" t="str">
        <f>IFERROR(__xludf.DUMMYFUNCTION("""COMPUTED_VALUE"""),"Best Search Engine Marketing Companies in United Kingdom 2026 | Semrush")</f>
        <v>Best Search Engine Marketing Companies in United Kingdom 2026 | Semrush</v>
      </c>
      <c r="C246" s="14" t="str">
        <f>IFERROR(__xludf.DUMMYFUNCTION("""COMPUTED_VALUE"""),"semrush.com")</f>
        <v>semrush.com</v>
      </c>
      <c r="D246" s="15" t="str">
        <f>IFERROR(__xludf.DUMMYFUNCTION("""COMPUTED_VALUE"""),"CATEGORY_PAGE")</f>
        <v>CATEGORY_PAGE</v>
      </c>
      <c r="E246" s="15" t="str">
        <f>IFERROR(__xludf.DUMMYFUNCTION("""COMPUTED_VALUE"""),"CORPORATE")</f>
        <v>CORPORATE</v>
      </c>
      <c r="F246" s="15" t="str">
        <f>IFERROR(__xludf.DUMMYFUNCTION("""COMPUTED_VALUE"""),"Category Page")</f>
        <v>Category Page</v>
      </c>
      <c r="G246" s="15" t="b">
        <f>IFERROR(__xludf.DUMMYFUNCTION("""COMPUTED_VALUE"""),FALSE)</f>
        <v>0</v>
      </c>
      <c r="H246" s="15" t="str">
        <f>IFERROR(__xludf.DUMMYFUNCTION("""COMPUTED_VALUE"""),"Found, Impression, Bird Marketing, Measured, Click Intelligence, Passion Digital, Soap Media")</f>
        <v>Found, Impression, Bird Marketing, Measured, Click Intelligence, Passion Digital, Soap Media</v>
      </c>
      <c r="I246" s="15">
        <f>IFERROR(__xludf.DUMMYFUNCTION("""COMPUTED_VALUE"""),7.0)</f>
        <v>7</v>
      </c>
      <c r="J246" s="15">
        <f>IFERROR(__xludf.DUMMYFUNCTION("""COMPUTED_VALUE"""),0.01)</f>
        <v>0.01</v>
      </c>
      <c r="K246" s="15">
        <f>IFERROR(__xludf.DUMMYFUNCTION("""COMPUTED_VALUE"""),0.0)</f>
        <v>0</v>
      </c>
      <c r="L246" s="15"/>
    </row>
    <row r="247" ht="15.75" customHeight="1">
      <c r="A247" s="14" t="str">
        <f>IFERROR(__xludf.DUMMYFUNCTION("""COMPUTED_VALUE"""),"https://www.design-intellect.co.uk/top_50_advertising_marketing_agencies_list.html")</f>
        <v>https://www.design-intellect.co.uk/top_50_advertising_marketing_agencies_list.html</v>
      </c>
      <c r="B247" s="15" t="str">
        <f>IFERROR(__xludf.DUMMYFUNCTION("""COMPUTED_VALUE"""),"List of 50 of the top award winning advertising and marketing agencies in the UK")</f>
        <v>List of 50 of the top award winning advertising and marketing agencies in the UK</v>
      </c>
      <c r="C247" s="14" t="str">
        <f>IFERROR(__xludf.DUMMYFUNCTION("""COMPUTED_VALUE"""),"design-intellect.co.uk")</f>
        <v>design-intellect.co.uk</v>
      </c>
      <c r="D247" s="15" t="str">
        <f>IFERROR(__xludf.DUMMYFUNCTION("""COMPUTED_VALUE"""),"LISTICLE")</f>
        <v>LISTICLE</v>
      </c>
      <c r="E247" s="15" t="str">
        <f>IFERROR(__xludf.DUMMYFUNCTION("""COMPUTED_VALUE"""),"CORPORATE")</f>
        <v>CORPORATE</v>
      </c>
      <c r="F247" s="15" t="str">
        <f>IFERROR(__xludf.DUMMYFUNCTION("""COMPUTED_VALUE"""),"Listicle")</f>
        <v>Listicle</v>
      </c>
      <c r="G247" s="15" t="b">
        <f>IFERROR(__xludf.DUMMYFUNCTION("""COMPUTED_VALUE"""),FALSE)</f>
        <v>0</v>
      </c>
      <c r="H247" s="15" t="str">
        <f>IFERROR(__xludf.DUMMYFUNCTION("""COMPUTED_VALUE"""),"AMV BBDO, Found, BBH London, Huge, YouGov, Dentsu, Saatchi &amp; Saatchi, Mother London, Ogilvy, Publicis Groupe, VCCP, We Are Social, Disrupt Marketing")</f>
        <v>AMV BBDO, Found, BBH London, Huge, YouGov, Dentsu, Saatchi &amp; Saatchi, Mother London, Ogilvy, Publicis Groupe, VCCP, We Are Social, Disrupt Marketing</v>
      </c>
      <c r="I247" s="15">
        <f>IFERROR(__xludf.DUMMYFUNCTION("""COMPUTED_VALUE"""),7.0)</f>
        <v>7</v>
      </c>
      <c r="J247" s="15">
        <f>IFERROR(__xludf.DUMMYFUNCTION("""COMPUTED_VALUE"""),0.01)</f>
        <v>0.01</v>
      </c>
      <c r="K247" s="15">
        <f>IFERROR(__xludf.DUMMYFUNCTION("""COMPUTED_VALUE"""),0.57)</f>
        <v>0.57</v>
      </c>
      <c r="L247" s="15"/>
    </row>
    <row r="248" ht="15.75" customHeight="1">
      <c r="A248" s="14" t="str">
        <f>IFERROR(__xludf.DUMMYFUNCTION("""COMPUTED_VALUE"""),"https://digitalagencynetwork.com/agencies/uk/branding/")</f>
        <v>https://digitalagencynetwork.com/agencies/uk/branding/</v>
      </c>
      <c r="B248" s="15" t="str">
        <f>IFERROR(__xludf.DUMMYFUNCTION("""COMPUTED_VALUE"""),"Top Branding Agencies in UK (2026)")</f>
        <v>Top Branding Agencies in UK (2026)</v>
      </c>
      <c r="C248" s="14" t="str">
        <f>IFERROR(__xludf.DUMMYFUNCTION("""COMPUTED_VALUE"""),"digitalagencynetwork.com")</f>
        <v>digitalagencynetwork.com</v>
      </c>
      <c r="D248" s="15" t="str">
        <f>IFERROR(__xludf.DUMMYFUNCTION("""COMPUTED_VALUE"""),"CATEGORY_PAGE")</f>
        <v>CATEGORY_PAGE</v>
      </c>
      <c r="E248" s="15" t="str">
        <f>IFERROR(__xludf.DUMMYFUNCTION("""COMPUTED_VALUE"""),"REFERENCE")</f>
        <v>REFERENCE</v>
      </c>
      <c r="F248" s="15" t="str">
        <f>IFERROR(__xludf.DUMMYFUNCTION("""COMPUTED_VALUE"""),"Category Page")</f>
        <v>Category Page</v>
      </c>
      <c r="G248" s="15" t="b">
        <f>IFERROR(__xludf.DUMMYFUNCTION("""COMPUTED_VALUE"""),FALSE)</f>
        <v>0</v>
      </c>
      <c r="H248" s="15" t="str">
        <f>IFERROR(__xludf.DUMMYFUNCTION("""COMPUTED_VALUE"""),"Favoured, Bird Marketing, Hallam, M3.agency, Impression")</f>
        <v>Favoured, Bird Marketing, Hallam, M3.agency, Impression</v>
      </c>
      <c r="I248" s="15">
        <f>IFERROR(__xludf.DUMMYFUNCTION("""COMPUTED_VALUE"""),7.0)</f>
        <v>7</v>
      </c>
      <c r="J248" s="15">
        <f>IFERROR(__xludf.DUMMYFUNCTION("""COMPUTED_VALUE"""),0.01)</f>
        <v>0.01</v>
      </c>
      <c r="K248" s="15">
        <f>IFERROR(__xludf.DUMMYFUNCTION("""COMPUTED_VALUE"""),0.29)</f>
        <v>0.29</v>
      </c>
      <c r="L248" s="15"/>
    </row>
    <row r="249" ht="15.75" customHeight="1">
      <c r="A249" s="14" t="str">
        <f>IFERROR(__xludf.DUMMYFUNCTION("""COMPUTED_VALUE"""),"https://directiveconsulting.com/uk/blog/top-performance-marketing-agencies/#:~:text=Graysen%20Christopher")</f>
        <v>https://directiveconsulting.com/uk/blog/top-performance-marketing-agencies/#:~:text=Graysen%20Christopher</v>
      </c>
      <c r="B249" s="15" t="str">
        <f>IFERROR(__xludf.DUMMYFUNCTION("""COMPUTED_VALUE"""),"18 Best Performance Marketing Agencies For B2B - Directive")</f>
        <v>18 Best Performance Marketing Agencies For B2B - Directive</v>
      </c>
      <c r="C249" s="14" t="str">
        <f>IFERROR(__xludf.DUMMYFUNCTION("""COMPUTED_VALUE"""),"directiveconsulting.com")</f>
        <v>directiveconsulting.com</v>
      </c>
      <c r="D249" s="15" t="str">
        <f>IFERROR(__xludf.DUMMYFUNCTION("""COMPUTED_VALUE"""),"LISTICLE")</f>
        <v>LISTICLE</v>
      </c>
      <c r="E249" s="15" t="str">
        <f>IFERROR(__xludf.DUMMYFUNCTION("""COMPUTED_VALUE"""),"COMPETITOR")</f>
        <v>COMPETITOR</v>
      </c>
      <c r="F249" s="15" t="str">
        <f>IFERROR(__xludf.DUMMYFUNCTION("""COMPUTED_VALUE"""),"Listicle")</f>
        <v>Listicle</v>
      </c>
      <c r="G249" s="15" t="b">
        <f>IFERROR(__xludf.DUMMYFUNCTION("""COMPUTED_VALUE"""),FALSE)</f>
        <v>0</v>
      </c>
      <c r="H249"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249" s="15">
        <f>IFERROR(__xludf.DUMMYFUNCTION("""COMPUTED_VALUE"""),7.0)</f>
        <v>7</v>
      </c>
      <c r="J249" s="15">
        <f>IFERROR(__xludf.DUMMYFUNCTION("""COMPUTED_VALUE"""),0.01)</f>
        <v>0.01</v>
      </c>
      <c r="K249" s="15">
        <f>IFERROR(__xludf.DUMMYFUNCTION("""COMPUTED_VALUE"""),0.86)</f>
        <v>0.86</v>
      </c>
      <c r="L249" s="15"/>
    </row>
    <row r="250" ht="15.75" customHeight="1">
      <c r="A250" s="14" t="str">
        <f>IFERROR(__xludf.DUMMYFUNCTION("""COMPUTED_VALUE"""),"https://hikemytraffic.com/ai-social-media-marketing-agencies-in-uk/")</f>
        <v>https://hikemytraffic.com/ai-social-media-marketing-agencies-in-uk/</v>
      </c>
      <c r="B250" s="15" t="str">
        <f>IFERROR(__xludf.DUMMYFUNCTION("""COMPUTED_VALUE"""),"12 Best AI social media marketing agencies in UK (2026)")</f>
        <v>12 Best AI social media marketing agencies in UK (2026)</v>
      </c>
      <c r="C250" s="14" t="str">
        <f>IFERROR(__xludf.DUMMYFUNCTION("""COMPUTED_VALUE"""),"hikemytraffic.com")</f>
        <v>hikemytraffic.com</v>
      </c>
      <c r="D250" s="15" t="str">
        <f>IFERROR(__xludf.DUMMYFUNCTION("""COMPUTED_VALUE"""),"LISTICLE")</f>
        <v>LISTICLE</v>
      </c>
      <c r="E250" s="15" t="str">
        <f>IFERROR(__xludf.DUMMYFUNCTION("""COMPUTED_VALUE"""),"CORPORATE")</f>
        <v>CORPORATE</v>
      </c>
      <c r="F250" s="15" t="str">
        <f>IFERROR(__xludf.DUMMYFUNCTION("""COMPUTED_VALUE"""),"Listicle")</f>
        <v>Listicle</v>
      </c>
      <c r="G250" s="15" t="b">
        <f>IFERROR(__xludf.DUMMYFUNCTION("""COMPUTED_VALUE"""),FALSE)</f>
        <v>0</v>
      </c>
      <c r="H250" s="15"/>
      <c r="I250" s="15">
        <f>IFERROR(__xludf.DUMMYFUNCTION("""COMPUTED_VALUE"""),7.0)</f>
        <v>7</v>
      </c>
      <c r="J250" s="15">
        <f>IFERROR(__xludf.DUMMYFUNCTION("""COMPUTED_VALUE"""),0.01)</f>
        <v>0.01</v>
      </c>
      <c r="K250" s="15">
        <f>IFERROR(__xludf.DUMMYFUNCTION("""COMPUTED_VALUE"""),0.29)</f>
        <v>0.29</v>
      </c>
      <c r="L250" s="15"/>
    </row>
    <row r="251" ht="15.75" customHeight="1">
      <c r="A251" s="14" t="str">
        <f>IFERROR(__xludf.DUMMYFUNCTION("""COMPUTED_VALUE"""),"https://www.loudface.co/blog/best-aeo-agencies-2026")</f>
        <v>https://www.loudface.co/blog/best-aeo-agencies-2026</v>
      </c>
      <c r="B251" s="15" t="str">
        <f>IFERROR(__xludf.DUMMYFUNCTION("""COMPUTED_VALUE"""),"Best AEO &amp;amp; AI Search Agencies in 2026 (Ranked) | LoudFace")</f>
        <v>Best AEO &amp;amp; AI Search Agencies in 2026 (Ranked) | LoudFace</v>
      </c>
      <c r="C251" s="14" t="str">
        <f>IFERROR(__xludf.DUMMYFUNCTION("""COMPUTED_VALUE"""),"loudface.co")</f>
        <v>loudface.co</v>
      </c>
      <c r="D251" s="15" t="str">
        <f>IFERROR(__xludf.DUMMYFUNCTION("""COMPUTED_VALUE"""),"LISTICLE")</f>
        <v>LISTICLE</v>
      </c>
      <c r="E251" s="15" t="str">
        <f>IFERROR(__xludf.DUMMYFUNCTION("""COMPUTED_VALUE"""),"CORPORATE")</f>
        <v>CORPORATE</v>
      </c>
      <c r="F251" s="15" t="str">
        <f>IFERROR(__xludf.DUMMYFUNCTION("""COMPUTED_VALUE"""),"Listicle")</f>
        <v>Listicle</v>
      </c>
      <c r="G251" s="15" t="b">
        <f>IFERROR(__xludf.DUMMYFUNCTION("""COMPUTED_VALUE"""),FALSE)</f>
        <v>0</v>
      </c>
      <c r="H251" s="15" t="str">
        <f>IFERROR(__xludf.DUMMYFUNCTION("""COMPUTED_VALUE"""),"NoGood, Omniscient Digital, Siege Media, Measured")</f>
        <v>NoGood, Omniscient Digital, Siege Media, Measured</v>
      </c>
      <c r="I251" s="15">
        <f>IFERROR(__xludf.DUMMYFUNCTION("""COMPUTED_VALUE"""),7.0)</f>
        <v>7</v>
      </c>
      <c r="J251" s="15">
        <f>IFERROR(__xludf.DUMMYFUNCTION("""COMPUTED_VALUE"""),0.01)</f>
        <v>0.01</v>
      </c>
      <c r="K251" s="15">
        <f>IFERROR(__xludf.DUMMYFUNCTION("""COMPUTED_VALUE"""),0.0)</f>
        <v>0</v>
      </c>
      <c r="L251" s="15"/>
    </row>
    <row r="252" ht="15.75" customHeight="1">
      <c r="A252" s="14" t="str">
        <f>IFERROR(__xludf.DUMMYFUNCTION("""COMPUTED_VALUE"""),"https://nautilusmarketing.co.uk/top-15-paid-media-agencies-in-the-uk-2025/")</f>
        <v>https://nautilusmarketing.co.uk/top-15-paid-media-agencies-in-the-uk-2025/</v>
      </c>
      <c r="B252" s="15" t="str">
        <f>IFERROR(__xludf.DUMMYFUNCTION("""COMPUTED_VALUE"""),"Top 15 Paid Media Agencies in the UK (2026)")</f>
        <v>Top 15 Paid Media Agencies in the UK (2026)</v>
      </c>
      <c r="C252" s="14" t="str">
        <f>IFERROR(__xludf.DUMMYFUNCTION("""COMPUTED_VALUE"""),"nautilusmarketing.co.uk")</f>
        <v>nautilusmarketing.co.uk</v>
      </c>
      <c r="D252" s="15" t="str">
        <f>IFERROR(__xludf.DUMMYFUNCTION("""COMPUTED_VALUE"""),"LISTICLE")</f>
        <v>LISTICLE</v>
      </c>
      <c r="E252" s="15" t="str">
        <f>IFERROR(__xludf.DUMMYFUNCTION("""COMPUTED_VALUE"""),"CORPORATE")</f>
        <v>CORPORATE</v>
      </c>
      <c r="F252" s="15" t="str">
        <f>IFERROR(__xludf.DUMMYFUNCTION("""COMPUTED_VALUE"""),"Listicle")</f>
        <v>Listicle</v>
      </c>
      <c r="G252" s="15" t="b">
        <f>IFERROR(__xludf.DUMMYFUNCTION("""COMPUTED_VALUE"""),FALSE)</f>
        <v>0</v>
      </c>
      <c r="H252"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252" s="15">
        <f>IFERROR(__xludf.DUMMYFUNCTION("""COMPUTED_VALUE"""),7.0)</f>
        <v>7</v>
      </c>
      <c r="J252" s="15">
        <f>IFERROR(__xludf.DUMMYFUNCTION("""COMPUTED_VALUE"""),0.01)</f>
        <v>0.01</v>
      </c>
      <c r="K252" s="15">
        <f>IFERROR(__xludf.DUMMYFUNCTION("""COMPUTED_VALUE"""),0.0)</f>
        <v>0</v>
      </c>
      <c r="L252" s="15"/>
    </row>
    <row r="253" ht="15.75" customHeight="1">
      <c r="A253" s="14" t="str">
        <f>IFERROR(__xludf.DUMMYFUNCTION("""COMPUTED_VALUE"""),"https://neuraladx.com/top-5-geo-agencies-uk-2026-review/")</f>
        <v>https://neuraladx.com/top-5-geo-agencies-uk-2026-review/</v>
      </c>
      <c r="B253" s="15" t="str">
        <f>IFERROR(__xludf.DUMMYFUNCTION("""COMPUTED_VALUE"""),"Top 5 GEO Agencies UK (2026 Review) - NeuralAdX Ltd")</f>
        <v>Top 5 GEO Agencies UK (2026 Review) - NeuralAdX Ltd</v>
      </c>
      <c r="C253" s="14" t="str">
        <f>IFERROR(__xludf.DUMMYFUNCTION("""COMPUTED_VALUE"""),"neuraladx.com")</f>
        <v>neuraladx.com</v>
      </c>
      <c r="D253" s="15" t="str">
        <f>IFERROR(__xludf.DUMMYFUNCTION("""COMPUTED_VALUE"""),"COMPARISON")</f>
        <v>COMPARISON</v>
      </c>
      <c r="E253" s="15" t="str">
        <f>IFERROR(__xludf.DUMMYFUNCTION("""COMPUTED_VALUE"""),"UGC")</f>
        <v>UGC</v>
      </c>
      <c r="F253" s="15" t="str">
        <f>IFERROR(__xludf.DUMMYFUNCTION("""COMPUTED_VALUE"""),"Comparison")</f>
        <v>Comparison</v>
      </c>
      <c r="G253" s="15" t="b">
        <f>IFERROR(__xludf.DUMMYFUNCTION("""COMPUTED_VALUE"""),FALSE)</f>
        <v>0</v>
      </c>
      <c r="H253" s="15" t="str">
        <f>IFERROR(__xludf.DUMMYFUNCTION("""COMPUTED_VALUE"""),"Found, Exposure Ninja, Measured")</f>
        <v>Found, Exposure Ninja, Measured</v>
      </c>
      <c r="I253" s="15">
        <f>IFERROR(__xludf.DUMMYFUNCTION("""COMPUTED_VALUE"""),7.0)</f>
        <v>7</v>
      </c>
      <c r="J253" s="15">
        <f>IFERROR(__xludf.DUMMYFUNCTION("""COMPUTED_VALUE"""),0.01)</f>
        <v>0.01</v>
      </c>
      <c r="K253" s="15">
        <f>IFERROR(__xludf.DUMMYFUNCTION("""COMPUTED_VALUE"""),1.29)</f>
        <v>1.29</v>
      </c>
      <c r="L253" s="15"/>
    </row>
    <row r="254" ht="15.75" customHeight="1">
      <c r="A254" s="14" t="str">
        <f>IFERROR(__xludf.DUMMYFUNCTION("""COMPUTED_VALUE"""),"https://www.rank4ai.co.uk/research/rankings/top-ai-seo-agencies-uk-2026/")</f>
        <v>https://www.rank4ai.co.uk/research/rankings/top-ai-seo-agencies-uk-2026/</v>
      </c>
      <c r="B254" s="15" t="str">
        <f>IFERROR(__xludf.DUMMYFUNCTION("""COMPUTED_VALUE"""),"Top 10 AI Search &amp;amp; AI SEO Agencies UK 2026 | Rank4AI")</f>
        <v>Top 10 AI Search &amp;amp; AI SEO Agencies UK 2026 | Rank4AI</v>
      </c>
      <c r="C254" s="14" t="str">
        <f>IFERROR(__xludf.DUMMYFUNCTION("""COMPUTED_VALUE"""),"rank4ai.co.uk")</f>
        <v>rank4ai.co.uk</v>
      </c>
      <c r="D254" s="15" t="str">
        <f>IFERROR(__xludf.DUMMYFUNCTION("""COMPUTED_VALUE"""),"LISTICLE")</f>
        <v>LISTICLE</v>
      </c>
      <c r="E254" s="15" t="str">
        <f>IFERROR(__xludf.DUMMYFUNCTION("""COMPUTED_VALUE"""),"COMPETITOR")</f>
        <v>COMPETITOR</v>
      </c>
      <c r="F254" s="15" t="str">
        <f>IFERROR(__xludf.DUMMYFUNCTION("""COMPUTED_VALUE"""),"Listicle")</f>
        <v>Listicle</v>
      </c>
      <c r="G254" s="15" t="b">
        <f>IFERROR(__xludf.DUMMYFUNCTION("""COMPUTED_VALUE"""),FALSE)</f>
        <v>0</v>
      </c>
      <c r="H254" s="15" t="str">
        <f>IFERROR(__xludf.DUMMYFUNCTION("""COMPUTED_VALUE"""),"Rank4AI, Varn, Found, Buried Agency, Screaming Frog, Blue Array, Exposure Ninja, Hallam")</f>
        <v>Rank4AI, Varn, Found, Buried Agency, Screaming Frog, Blue Array, Exposure Ninja, Hallam</v>
      </c>
      <c r="I254" s="15">
        <f>IFERROR(__xludf.DUMMYFUNCTION("""COMPUTED_VALUE"""),7.0)</f>
        <v>7</v>
      </c>
      <c r="J254" s="15">
        <f>IFERROR(__xludf.DUMMYFUNCTION("""COMPUTED_VALUE"""),0.01)</f>
        <v>0.01</v>
      </c>
      <c r="K254" s="15">
        <f>IFERROR(__xludf.DUMMYFUNCTION("""COMPUTED_VALUE"""),0.43)</f>
        <v>0.43</v>
      </c>
      <c r="L254" s="15"/>
    </row>
    <row r="255" ht="15.75" customHeight="1">
      <c r="A255" s="14" t="str">
        <f>IFERROR(__xludf.DUMMYFUNCTION("""COMPUTED_VALUE"""),"https://www.reddit.com/r/aeo/comments/1sf4z2h/what_are_the_top_ai_visibility_agencies_in_the_uk/")</f>
        <v>https://www.reddit.com/r/aeo/comments/1sf4z2h/what_are_the_top_ai_visibility_agencies_in_the_uk/</v>
      </c>
      <c r="B255" s="15" t="str">
        <f>IFERROR(__xludf.DUMMYFUNCTION("""COMPUTED_VALUE"""),"what are the top AI visibility agencies in the UK? Looking for recommendations")</f>
        <v>what are the top AI visibility agencies in the UK? Looking for recommendations</v>
      </c>
      <c r="C255" s="14" t="str">
        <f>IFERROR(__xludf.DUMMYFUNCTION("""COMPUTED_VALUE"""),"reddit.com")</f>
        <v>reddit.com</v>
      </c>
      <c r="D255" s="15" t="str">
        <f>IFERROR(__xludf.DUMMYFUNCTION("""COMPUTED_VALUE"""),"DISCUSSION")</f>
        <v>DISCUSSION</v>
      </c>
      <c r="E255" s="15" t="str">
        <f>IFERROR(__xludf.DUMMYFUNCTION("""COMPUTED_VALUE"""),"UGC")</f>
        <v>UGC</v>
      </c>
      <c r="F255" s="15" t="str">
        <f>IFERROR(__xludf.DUMMYFUNCTION("""COMPUTED_VALUE"""),"Discussion")</f>
        <v>Discussion</v>
      </c>
      <c r="G255" s="15" t="b">
        <f>IFERROR(__xludf.DUMMYFUNCTION("""COMPUTED_VALUE"""),FALSE)</f>
        <v>0</v>
      </c>
      <c r="H255" s="15"/>
      <c r="I255" s="15">
        <f>IFERROR(__xludf.DUMMYFUNCTION("""COMPUTED_VALUE"""),7.0)</f>
        <v>7</v>
      </c>
      <c r="J255" s="15">
        <f>IFERROR(__xludf.DUMMYFUNCTION("""COMPUTED_VALUE"""),0.01)</f>
        <v>0.01</v>
      </c>
      <c r="K255" s="15">
        <f>IFERROR(__xludf.DUMMYFUNCTION("""COMPUTED_VALUE"""),2.14)</f>
        <v>2.14</v>
      </c>
      <c r="L255" s="15"/>
    </row>
    <row r="256" ht="15.75" customHeight="1">
      <c r="A256" s="14" t="str">
        <f>IFERROR(__xludf.DUMMYFUNCTION("""COMPUTED_VALUE"""),"https://selectedfirms.co/companies/aeo-companies")</f>
        <v>https://selectedfirms.co/companies/aeo-companies</v>
      </c>
      <c r="B256" s="15" t="str">
        <f>IFERROR(__xludf.DUMMYFUNCTION("""COMPUTED_VALUE"""),"Top AEO Companies Companies (2026) — SelectedFirms")</f>
        <v>Top AEO Companies Companies (2026) — SelectedFirms</v>
      </c>
      <c r="C256" s="14" t="str">
        <f>IFERROR(__xludf.DUMMYFUNCTION("""COMPUTED_VALUE"""),"selectedfirms.co")</f>
        <v>selectedfirms.co</v>
      </c>
      <c r="D256" s="15" t="str">
        <f>IFERROR(__xludf.DUMMYFUNCTION("""COMPUTED_VALUE"""),"PROFILE")</f>
        <v>PROFILE</v>
      </c>
      <c r="E256" s="15" t="str">
        <f>IFERROR(__xludf.DUMMYFUNCTION("""COMPUTED_VALUE"""),"CORPORATE")</f>
        <v>CORPORATE</v>
      </c>
      <c r="F256" s="15" t="str">
        <f>IFERROR(__xludf.DUMMYFUNCTION("""COMPUTED_VALUE"""),"Profile")</f>
        <v>Profile</v>
      </c>
      <c r="G256" s="15" t="b">
        <f>IFERROR(__xludf.DUMMYFUNCTION("""COMPUTED_VALUE"""),FALSE)</f>
        <v>0</v>
      </c>
      <c r="H256" s="15" t="str">
        <f>IFERROR(__xludf.DUMMYFUNCTION("""COMPUTED_VALUE"""),"Found, Momentum, Impression, Whitehat, 9AM")</f>
        <v>Found, Momentum, Impression, Whitehat, 9AM</v>
      </c>
      <c r="I256" s="15">
        <f>IFERROR(__xludf.DUMMYFUNCTION("""COMPUTED_VALUE"""),7.0)</f>
        <v>7</v>
      </c>
      <c r="J256" s="15">
        <f>IFERROR(__xludf.DUMMYFUNCTION("""COMPUTED_VALUE"""),0.01)</f>
        <v>0.01</v>
      </c>
      <c r="K256" s="15">
        <f>IFERROR(__xludf.DUMMYFUNCTION("""COMPUTED_VALUE"""),0.0)</f>
        <v>0</v>
      </c>
      <c r="L256" s="15"/>
    </row>
    <row r="257" ht="15.75" customHeight="1">
      <c r="A257" s="14" t="str">
        <f>IFERROR(__xludf.DUMMYFUNCTION("""COMPUTED_VALUE"""),"https://www.seo.com/agency/best-digital-marketing-companies-uk/")</f>
        <v>https://www.seo.com/agency/best-digital-marketing-companies-uk/</v>
      </c>
      <c r="B257" s="15" t="str">
        <f>IFERROR(__xludf.DUMMYFUNCTION("""COMPUTED_VALUE"""),"The 10 Best Digital Marketing Companies in the UK in 2026")</f>
        <v>The 10 Best Digital Marketing Companies in the UK in 2026</v>
      </c>
      <c r="C257" s="14" t="str">
        <f>IFERROR(__xludf.DUMMYFUNCTION("""COMPUTED_VALUE"""),"seo.com")</f>
        <v>seo.com</v>
      </c>
      <c r="D257" s="15" t="str">
        <f>IFERROR(__xludf.DUMMYFUNCTION("""COMPUTED_VALUE"""),"LISTICLE")</f>
        <v>LISTICLE</v>
      </c>
      <c r="E257" s="15" t="str">
        <f>IFERROR(__xludf.DUMMYFUNCTION("""COMPUTED_VALUE"""),"CORPORATE")</f>
        <v>CORPORATE</v>
      </c>
      <c r="F257" s="15" t="str">
        <f>IFERROR(__xludf.DUMMYFUNCTION("""COMPUTED_VALUE"""),"Listicle")</f>
        <v>Listicle</v>
      </c>
      <c r="G257" s="15" t="b">
        <f>IFERROR(__xludf.DUMMYFUNCTION("""COMPUTED_VALUE"""),FALSE)</f>
        <v>0</v>
      </c>
      <c r="H257" s="15" t="str">
        <f>IFERROR(__xludf.DUMMYFUNCTION("""COMPUTED_VALUE"""),"WebFX, M3.agency, The SEO Works, Ninja Promo")</f>
        <v>WebFX, M3.agency, The SEO Works, Ninja Promo</v>
      </c>
      <c r="I257" s="15">
        <f>IFERROR(__xludf.DUMMYFUNCTION("""COMPUTED_VALUE"""),7.0)</f>
        <v>7</v>
      </c>
      <c r="J257" s="15">
        <f>IFERROR(__xludf.DUMMYFUNCTION("""COMPUTED_VALUE"""),0.01)</f>
        <v>0.01</v>
      </c>
      <c r="K257" s="15">
        <f>IFERROR(__xludf.DUMMYFUNCTION("""COMPUTED_VALUE"""),0.0)</f>
        <v>0</v>
      </c>
      <c r="L257" s="15"/>
    </row>
    <row r="258" ht="15.75" customHeight="1">
      <c r="A258" s="14" t="str">
        <f>IFERROR(__xludf.DUMMYFUNCTION("""COMPUTED_VALUE"""),"https://weframetech.com/blog/top-ai-marketing-agencies-in-london-2026-for-growth")</f>
        <v>https://weframetech.com/blog/top-ai-marketing-agencies-in-london-2026-for-growth</v>
      </c>
      <c r="B258" s="15" t="str">
        <f>IFERROR(__xludf.DUMMYFUNCTION("""COMPUTED_VALUE"""),"London’s 7 Best AI Marketing Agencies to Boost Growth 2026")</f>
        <v>London’s 7 Best AI Marketing Agencies to Boost Growth 2026</v>
      </c>
      <c r="C258" s="14" t="str">
        <f>IFERROR(__xludf.DUMMYFUNCTION("""COMPUTED_VALUE"""),"weframetech.com")</f>
        <v>weframetech.com</v>
      </c>
      <c r="D258" s="15" t="str">
        <f>IFERROR(__xludf.DUMMYFUNCTION("""COMPUTED_VALUE"""),"LISTICLE")</f>
        <v>LISTICLE</v>
      </c>
      <c r="E258" s="15" t="str">
        <f>IFERROR(__xludf.DUMMYFUNCTION("""COMPUTED_VALUE"""),"CORPORATE")</f>
        <v>CORPORATE</v>
      </c>
      <c r="F258" s="15" t="str">
        <f>IFERROR(__xludf.DUMMYFUNCTION("""COMPUTED_VALUE"""),"Listicle")</f>
        <v>Listicle</v>
      </c>
      <c r="G258" s="15" t="b">
        <f>IFERROR(__xludf.DUMMYFUNCTION("""COMPUTED_VALUE"""),FALSE)</f>
        <v>0</v>
      </c>
      <c r="H258" s="15" t="str">
        <f>IFERROR(__xludf.DUMMYFUNCTION("""COMPUTED_VALUE"""),"Koozai, Open Partners, Propeller")</f>
        <v>Koozai, Open Partners, Propeller</v>
      </c>
      <c r="I258" s="15">
        <f>IFERROR(__xludf.DUMMYFUNCTION("""COMPUTED_VALUE"""),7.0)</f>
        <v>7</v>
      </c>
      <c r="J258" s="15">
        <f>IFERROR(__xludf.DUMMYFUNCTION("""COMPUTED_VALUE"""),0.01)</f>
        <v>0.01</v>
      </c>
      <c r="K258" s="15">
        <f>IFERROR(__xludf.DUMMYFUNCTION("""COMPUTED_VALUE"""),0.57)</f>
        <v>0.57</v>
      </c>
      <c r="L258" s="15"/>
    </row>
    <row r="259" ht="15.75" customHeight="1">
      <c r="A259" s="14" t="str">
        <f>IFERROR(__xludf.DUMMYFUNCTION("""COMPUTED_VALUE"""),"https://agencies.semrush.com/list/ai-optimization/united-kingdom/enterprise-business/")</f>
        <v>https://agencies.semrush.com/list/ai-optimization/united-kingdom/enterprise-business/</v>
      </c>
      <c r="B259" s="15" t="str">
        <f>IFERROR(__xludf.DUMMYFUNCTION("""COMPUTED_VALUE"""),"Best AI Search Optimization Agencies for Enterprise Business in United Kingdom 2026 | Semrush")</f>
        <v>Best AI Search Optimization Agencies for Enterprise Business in United Kingdom 2026 | Semrush</v>
      </c>
      <c r="C259" s="14" t="str">
        <f>IFERROR(__xludf.DUMMYFUNCTION("""COMPUTED_VALUE"""),"semrush.com")</f>
        <v>semrush.com</v>
      </c>
      <c r="D259" s="15" t="str">
        <f>IFERROR(__xludf.DUMMYFUNCTION("""COMPUTED_VALUE"""),"CATEGORY_PAGE")</f>
        <v>CATEGORY_PAGE</v>
      </c>
      <c r="E259" s="15" t="str">
        <f>IFERROR(__xludf.DUMMYFUNCTION("""COMPUTED_VALUE"""),"CORPORATE")</f>
        <v>CORPORATE</v>
      </c>
      <c r="F259" s="15" t="str">
        <f>IFERROR(__xludf.DUMMYFUNCTION("""COMPUTED_VALUE"""),"Category Page")</f>
        <v>Category Page</v>
      </c>
      <c r="G259" s="15" t="b">
        <f>IFERROR(__xludf.DUMMYFUNCTION("""COMPUTED_VALUE"""),FALSE)</f>
        <v>0</v>
      </c>
      <c r="H259" s="15" t="str">
        <f>IFERROR(__xludf.DUMMYFUNCTION("""COMPUTED_VALUE"""),"Found, Measured, Click Intelligence, Momentum, The SEO Works, Gravity Global, ROAST, Huge")</f>
        <v>Found, Measured, Click Intelligence, Momentum, The SEO Works, Gravity Global, ROAST, Huge</v>
      </c>
      <c r="I259" s="15">
        <f>IFERROR(__xludf.DUMMYFUNCTION("""COMPUTED_VALUE"""),6.0)</f>
        <v>6</v>
      </c>
      <c r="J259" s="15">
        <f>IFERROR(__xludf.DUMMYFUNCTION("""COMPUTED_VALUE"""),0.01)</f>
        <v>0.01</v>
      </c>
      <c r="K259" s="15">
        <f>IFERROR(__xludf.DUMMYFUNCTION("""COMPUTED_VALUE"""),0.0)</f>
        <v>0</v>
      </c>
      <c r="L259" s="15"/>
    </row>
    <row r="260" ht="15.75" customHeight="1">
      <c r="A260" s="14" t="str">
        <f>IFERROR(__xludf.DUMMYFUNCTION("""COMPUTED_VALUE"""),"https://agencies.semrush.com/list/analytics-data-science/business-professional-services/united-kingdom/")</f>
        <v>https://agencies.semrush.com/list/analytics-data-science/business-professional-services/united-kingdom/</v>
      </c>
      <c r="B260" s="15" t="str">
        <f>IFERROR(__xludf.DUMMYFUNCTION("""COMPUTED_VALUE"""),"Best B2B Services Data Analytics Services in United Kingdom 2026 | Semrush")</f>
        <v>Best B2B Services Data Analytics Services in United Kingdom 2026 | Semrush</v>
      </c>
      <c r="C260" s="14" t="str">
        <f>IFERROR(__xludf.DUMMYFUNCTION("""COMPUTED_VALUE"""),"semrush.com")</f>
        <v>semrush.com</v>
      </c>
      <c r="D260" s="15" t="str">
        <f>IFERROR(__xludf.DUMMYFUNCTION("""COMPUTED_VALUE"""),"CATEGORY_PAGE")</f>
        <v>CATEGORY_PAGE</v>
      </c>
      <c r="E260" s="15" t="str">
        <f>IFERROR(__xludf.DUMMYFUNCTION("""COMPUTED_VALUE"""),"CORPORATE")</f>
        <v>CORPORATE</v>
      </c>
      <c r="F260" s="15" t="str">
        <f>IFERROR(__xludf.DUMMYFUNCTION("""COMPUTED_VALUE"""),"Category Page")</f>
        <v>Category Page</v>
      </c>
      <c r="G260" s="15" t="b">
        <f>IFERROR(__xludf.DUMMYFUNCTION("""COMPUTED_VALUE"""),FALSE)</f>
        <v>0</v>
      </c>
      <c r="H260" s="15" t="str">
        <f>IFERROR(__xludf.DUMMYFUNCTION("""COMPUTED_VALUE"""),"Found, The SEO Works, Huge, Measured")</f>
        <v>Found, The SEO Works, Huge, Measured</v>
      </c>
      <c r="I260" s="15">
        <f>IFERROR(__xludf.DUMMYFUNCTION("""COMPUTED_VALUE"""),6.0)</f>
        <v>6</v>
      </c>
      <c r="J260" s="15">
        <f>IFERROR(__xludf.DUMMYFUNCTION("""COMPUTED_VALUE"""),0.01)</f>
        <v>0.01</v>
      </c>
      <c r="K260" s="15">
        <f>IFERROR(__xludf.DUMMYFUNCTION("""COMPUTED_VALUE"""),0.0)</f>
        <v>0</v>
      </c>
      <c r="L260" s="15"/>
    </row>
    <row r="261" ht="15.75" customHeight="1">
      <c r="A261" s="14" t="str">
        <f>IFERROR(__xludf.DUMMYFUNCTION("""COMPUTED_VALUE"""),"https://www.bluearray.co.uk/agency-directory/best-google-analytics-agencies-in-the-uk/")</f>
        <v>https://www.bluearray.co.uk/agency-directory/best-google-analytics-agencies-in-the-uk/</v>
      </c>
      <c r="B261" s="15" t="str">
        <f>IFERROR(__xludf.DUMMYFUNCTION("""COMPUTED_VALUE"""),"Best Google Analytics Agencies in the UK - Blue Array SEO")</f>
        <v>Best Google Analytics Agencies in the UK - Blue Array SEO</v>
      </c>
      <c r="C261" s="14" t="str">
        <f>IFERROR(__xludf.DUMMYFUNCTION("""COMPUTED_VALUE"""),"bluearray.co.uk")</f>
        <v>bluearray.co.uk</v>
      </c>
      <c r="D261" s="15" t="str">
        <f>IFERROR(__xludf.DUMMYFUNCTION("""COMPUTED_VALUE"""),"LISTICLE")</f>
        <v>LISTICLE</v>
      </c>
      <c r="E261" s="15" t="str">
        <f>IFERROR(__xludf.DUMMYFUNCTION("""COMPUTED_VALUE"""),"COMPETITOR")</f>
        <v>COMPETITOR</v>
      </c>
      <c r="F261" s="15" t="str">
        <f>IFERROR(__xludf.DUMMYFUNCTION("""COMPUTED_VALUE"""),"Listicle")</f>
        <v>Listicle</v>
      </c>
      <c r="G261" s="15" t="b">
        <f>IFERROR(__xludf.DUMMYFUNCTION("""COMPUTED_VALUE"""),FALSE)</f>
        <v>0</v>
      </c>
      <c r="H261" s="15" t="str">
        <f>IFERROR(__xludf.DUMMYFUNCTION("""COMPUTED_VALUE"""),"Blue Array, Bind Media, NP Digital, Launch Online, Measurelab, Artefact")</f>
        <v>Blue Array, Bind Media, NP Digital, Launch Online, Measurelab, Artefact</v>
      </c>
      <c r="I261" s="15">
        <f>IFERROR(__xludf.DUMMYFUNCTION("""COMPUTED_VALUE"""),6.0)</f>
        <v>6</v>
      </c>
      <c r="J261" s="15">
        <f>IFERROR(__xludf.DUMMYFUNCTION("""COMPUTED_VALUE"""),0.01)</f>
        <v>0.01</v>
      </c>
      <c r="K261" s="15">
        <f>IFERROR(__xludf.DUMMYFUNCTION("""COMPUTED_VALUE"""),0.33)</f>
        <v>0.33</v>
      </c>
      <c r="L261" s="15"/>
    </row>
    <row r="262" ht="15.75" customHeight="1">
      <c r="A262" s="14" t="str">
        <f>IFERROR(__xludf.DUMMYFUNCTION("""COMPUTED_VALUE"""),"https://clutch.co/agencies/ppc/display")</f>
        <v>https://clutch.co/agencies/ppc/display</v>
      </c>
      <c r="B262" s="15" t="str">
        <f>IFERROR(__xludf.DUMMYFUNCTION("""COMPUTED_VALUE"""),"Top Display Advertising Agencies - Jul 2026 Rankings | Clutch.co")</f>
        <v>Top Display Advertising Agencies - Jul 2026 Rankings | Clutch.co</v>
      </c>
      <c r="C262" s="14" t="str">
        <f>IFERROR(__xludf.DUMMYFUNCTION("""COMPUTED_VALUE"""),"clutch.co")</f>
        <v>clutch.co</v>
      </c>
      <c r="D262" s="15" t="str">
        <f>IFERROR(__xludf.DUMMYFUNCTION("""COMPUTED_VALUE"""),"CATEGORY_PAGE")</f>
        <v>CATEGORY_PAGE</v>
      </c>
      <c r="E262" s="15" t="str">
        <f>IFERROR(__xludf.DUMMYFUNCTION("""COMPUTED_VALUE"""),"CORPORATE")</f>
        <v>CORPORATE</v>
      </c>
      <c r="F262" s="15" t="str">
        <f>IFERROR(__xludf.DUMMYFUNCTION("""COMPUTED_VALUE"""),"Category Page")</f>
        <v>Category Page</v>
      </c>
      <c r="G262" s="15" t="b">
        <f>IFERROR(__xludf.DUMMYFUNCTION("""COMPUTED_VALUE"""),FALSE)</f>
        <v>0</v>
      </c>
      <c r="H262" s="15" t="str">
        <f>IFERROR(__xludf.DUMMYFUNCTION("""COMPUTED_VALUE"""),"Ninja Promo, Soap Media, Found, The SEO Works, GA Agency")</f>
        <v>Ninja Promo, Soap Media, Found, The SEO Works, GA Agency</v>
      </c>
      <c r="I262" s="15">
        <f>IFERROR(__xludf.DUMMYFUNCTION("""COMPUTED_VALUE"""),6.0)</f>
        <v>6</v>
      </c>
      <c r="J262" s="15">
        <f>IFERROR(__xludf.DUMMYFUNCTION("""COMPUTED_VALUE"""),0.01)</f>
        <v>0.01</v>
      </c>
      <c r="K262" s="15">
        <f>IFERROR(__xludf.DUMMYFUNCTION("""COMPUTED_VALUE"""),0.0)</f>
        <v>0</v>
      </c>
      <c r="L262" s="15"/>
    </row>
    <row r="263" ht="15.75" customHeight="1">
      <c r="A263" s="14" t="str">
        <f>IFERROR(__xludf.DUMMYFUNCTION("""COMPUTED_VALUE"""),"https://copilot-experts.com/top-ai-consulting-firm/")</f>
        <v>https://copilot-experts.com/top-ai-consulting-firm/</v>
      </c>
      <c r="B263" s="15" t="str">
        <f>IFERROR(__xludf.DUMMYFUNCTION("""COMPUTED_VALUE"""),"Top 10 AI Consulting Firms in 2026 - Copilot Experts")</f>
        <v>Top 10 AI Consulting Firms in 2026 - Copilot Experts</v>
      </c>
      <c r="C263" s="14" t="str">
        <f>IFERROR(__xludf.DUMMYFUNCTION("""COMPUTED_VALUE"""),"copilot-experts.com")</f>
        <v>copilot-experts.com</v>
      </c>
      <c r="D263" s="15" t="str">
        <f>IFERROR(__xludf.DUMMYFUNCTION("""COMPUTED_VALUE"""),"LISTICLE")</f>
        <v>LISTICLE</v>
      </c>
      <c r="E263" s="15" t="str">
        <f>IFERROR(__xludf.DUMMYFUNCTION("""COMPUTED_VALUE"""),"CORPORATE")</f>
        <v>CORPORATE</v>
      </c>
      <c r="F263" s="15" t="str">
        <f>IFERROR(__xludf.DUMMYFUNCTION("""COMPUTED_VALUE"""),"Listicle")</f>
        <v>Listicle</v>
      </c>
      <c r="G263" s="15" t="b">
        <f>IFERROR(__xludf.DUMMYFUNCTION("""COMPUTED_VALUE"""),FALSE)</f>
        <v>0</v>
      </c>
      <c r="H263" s="15" t="str">
        <f>IFERROR(__xludf.DUMMYFUNCTION("""COMPUTED_VALUE"""),"McKinsey &amp; Company, QuantumBlack, EY, PwC, Measured")</f>
        <v>McKinsey &amp; Company, QuantumBlack, EY, PwC, Measured</v>
      </c>
      <c r="I263" s="15">
        <f>IFERROR(__xludf.DUMMYFUNCTION("""COMPUTED_VALUE"""),6.0)</f>
        <v>6</v>
      </c>
      <c r="J263" s="15">
        <f>IFERROR(__xludf.DUMMYFUNCTION("""COMPUTED_VALUE"""),0.01)</f>
        <v>0.01</v>
      </c>
      <c r="K263" s="15">
        <f>IFERROR(__xludf.DUMMYFUNCTION("""COMPUTED_VALUE"""),0.0)</f>
        <v>0</v>
      </c>
      <c r="L263" s="15"/>
    </row>
    <row r="264" ht="15.75" customHeight="1">
      <c r="A264" s="14" t="str">
        <f>IFERROR(__xludf.DUMMYFUNCTION("""COMPUTED_VALUE"""),"https://www.elevateai.co.uk/blog/ai-automation-agencies-uk-2026")</f>
        <v>https://www.elevateai.co.uk/blog/ai-automation-agencies-uk-2026</v>
      </c>
      <c r="B264" s="15" t="str">
        <f>IFERROR(__xludf.DUMMYFUNCTION("""COMPUTED_VALUE"""),"Best AI Automation Agencies UK 2026: Shortlist by Price, Proof, and SME Fit")</f>
        <v>Best AI Automation Agencies UK 2026: Shortlist by Price, Proof, and SME Fit</v>
      </c>
      <c r="C264" s="14" t="str">
        <f>IFERROR(__xludf.DUMMYFUNCTION("""COMPUTED_VALUE"""),"elevateai.co.uk")</f>
        <v>elevateai.co.uk</v>
      </c>
      <c r="D264" s="15" t="str">
        <f>IFERROR(__xludf.DUMMYFUNCTION("""COMPUTED_VALUE"""),"LISTICLE")</f>
        <v>LISTICLE</v>
      </c>
      <c r="E264" s="15" t="str">
        <f>IFERROR(__xludf.DUMMYFUNCTION("""COMPUTED_VALUE"""),"CORPORATE")</f>
        <v>CORPORATE</v>
      </c>
      <c r="F264" s="15" t="str">
        <f>IFERROR(__xludf.DUMMYFUNCTION("""COMPUTED_VALUE"""),"Listicle")</f>
        <v>Listicle</v>
      </c>
      <c r="G264" s="15" t="b">
        <f>IFERROR(__xludf.DUMMYFUNCTION("""COMPUTED_VALUE"""),FALSE)</f>
        <v>0</v>
      </c>
      <c r="H264" s="15" t="str">
        <f>IFERROR(__xludf.DUMMYFUNCTION("""COMPUTED_VALUE"""),"Favoured, Measured")</f>
        <v>Favoured, Measured</v>
      </c>
      <c r="I264" s="15">
        <f>IFERROR(__xludf.DUMMYFUNCTION("""COMPUTED_VALUE"""),6.0)</f>
        <v>6</v>
      </c>
      <c r="J264" s="15">
        <f>IFERROR(__xludf.DUMMYFUNCTION("""COMPUTED_VALUE"""),0.01)</f>
        <v>0.01</v>
      </c>
      <c r="K264" s="15">
        <f>IFERROR(__xludf.DUMMYFUNCTION("""COMPUTED_VALUE"""),1.83)</f>
        <v>1.83</v>
      </c>
      <c r="L264" s="15"/>
    </row>
    <row r="265" ht="15.75" customHeight="1">
      <c r="A265" s="14" t="str">
        <f>IFERROR(__xludf.DUMMYFUNCTION("""COMPUTED_VALUE"""),"https://gulftagline.ae/2025/03/06/the-5-best-advertising-and-marketing-agencies-in-the-uk/")</f>
        <v>https://gulftagline.ae/2025/03/06/the-5-best-advertising-and-marketing-agencies-in-the-uk/</v>
      </c>
      <c r="B265" s="15" t="str">
        <f>IFERROR(__xludf.DUMMYFUNCTION("""COMPUTED_VALUE"""),"The 5 Best Advertising and Marketing Agencies in the UK – GulfTagline Magazine")</f>
        <v>The 5 Best Advertising and Marketing Agencies in the UK – GulfTagline Magazine</v>
      </c>
      <c r="C265" s="14" t="str">
        <f>IFERROR(__xludf.DUMMYFUNCTION("""COMPUTED_VALUE"""),"gulftagline.ae")</f>
        <v>gulftagline.ae</v>
      </c>
      <c r="D265" s="15" t="str">
        <f>IFERROR(__xludf.DUMMYFUNCTION("""COMPUTED_VALUE"""),"LISTICLE")</f>
        <v>LISTICLE</v>
      </c>
      <c r="E265" s="15" t="str">
        <f>IFERROR(__xludf.DUMMYFUNCTION("""COMPUTED_VALUE"""),"EDITORIAL")</f>
        <v>EDITORIAL</v>
      </c>
      <c r="F265" s="15" t="str">
        <f>IFERROR(__xludf.DUMMYFUNCTION("""COMPUTED_VALUE"""),"Listicle")</f>
        <v>Listicle</v>
      </c>
      <c r="G265" s="15" t="b">
        <f>IFERROR(__xludf.DUMMYFUNCTION("""COMPUTED_VALUE"""),FALSE)</f>
        <v>0</v>
      </c>
      <c r="H265" s="15" t="str">
        <f>IFERROR(__xludf.DUMMYFUNCTION("""COMPUTED_VALUE"""),"BBH London, Adam&amp;eveDDB, The Social Shepherd")</f>
        <v>BBH London, Adam&amp;eveDDB, The Social Shepherd</v>
      </c>
      <c r="I265" s="15">
        <f>IFERROR(__xludf.DUMMYFUNCTION("""COMPUTED_VALUE"""),6.0)</f>
        <v>6</v>
      </c>
      <c r="J265" s="15">
        <f>IFERROR(__xludf.DUMMYFUNCTION("""COMPUTED_VALUE"""),0.01)</f>
        <v>0.01</v>
      </c>
      <c r="K265" s="15">
        <f>IFERROR(__xludf.DUMMYFUNCTION("""COMPUTED_VALUE"""),1.0)</f>
        <v>1</v>
      </c>
      <c r="L265" s="15"/>
    </row>
    <row r="266" ht="15.75" customHeight="1">
      <c r="A266" s="14" t="str">
        <f>IFERROR(__xludf.DUMMYFUNCTION("""COMPUTED_VALUE"""),"https://inbeat.agency/blog/top-go-to-market-agencies-uk")</f>
        <v>https://inbeat.agency/blog/top-go-to-market-agencies-uk</v>
      </c>
      <c r="B266" s="15" t="str">
        <f>IFERROR(__xludf.DUMMYFUNCTION("""COMPUTED_VALUE"""),"15 Best UK Go-to-Market Agencies Turning Strategy Into Sales in 2026 - inBeat Agency")</f>
        <v>15 Best UK Go-to-Market Agencies Turning Strategy Into Sales in 2026 - inBeat Agency</v>
      </c>
      <c r="C266" s="15" t="str">
        <f>IFERROR(__xludf.DUMMYFUNCTION("""COMPUTED_VALUE"""),"inbeat.agency")</f>
        <v>inbeat.agency</v>
      </c>
      <c r="D266" s="15" t="str">
        <f>IFERROR(__xludf.DUMMYFUNCTION("""COMPUTED_VALUE"""),"LISTICLE")</f>
        <v>LISTICLE</v>
      </c>
      <c r="E266" s="15" t="str">
        <f>IFERROR(__xludf.DUMMYFUNCTION("""COMPUTED_VALUE"""),"COMPETITOR")</f>
        <v>COMPETITOR</v>
      </c>
      <c r="F266" s="15" t="str">
        <f>IFERROR(__xludf.DUMMYFUNCTION("""COMPUTED_VALUE"""),"Listicle")</f>
        <v>Listicle</v>
      </c>
      <c r="G266" s="15" t="b">
        <f>IFERROR(__xludf.DUMMYFUNCTION("""COMPUTED_VALUE"""),FALSE)</f>
        <v>0</v>
      </c>
      <c r="H266" s="15" t="str">
        <f>IFERROR(__xludf.DUMMYFUNCTION("""COMPUTED_VALUE"""),"inBeat, Nielsen, Push, Momentum, Polaris, Found")</f>
        <v>inBeat, Nielsen, Push, Momentum, Polaris, Found</v>
      </c>
      <c r="I266" s="15">
        <f>IFERROR(__xludf.DUMMYFUNCTION("""COMPUTED_VALUE"""),6.0)</f>
        <v>6</v>
      </c>
      <c r="J266" s="15">
        <f>IFERROR(__xludf.DUMMYFUNCTION("""COMPUTED_VALUE"""),0.01)</f>
        <v>0.01</v>
      </c>
      <c r="K266" s="15">
        <f>IFERROR(__xludf.DUMMYFUNCTION("""COMPUTED_VALUE"""),0.0)</f>
        <v>0</v>
      </c>
      <c r="L266" s="15"/>
    </row>
    <row r="267" ht="15.75" customHeight="1">
      <c r="A267" s="14" t="str">
        <f>IFERROR(__xludf.DUMMYFUNCTION("""COMPUTED_VALUE"""),"https://lengreo.com/performance-marketing-agencies-in-the-uk/")</f>
        <v>https://lengreo.com/performance-marketing-agencies-in-the-uk/</v>
      </c>
      <c r="B267" s="15" t="str">
        <f>IFERROR(__xludf.DUMMYFUNCTION("""COMPUTED_VALUE"""),"Unlocking Success: Top Performance Marketing Agencies in the UK")</f>
        <v>Unlocking Success: Top Performance Marketing Agencies in the UK</v>
      </c>
      <c r="C267" s="14" t="str">
        <f>IFERROR(__xludf.DUMMYFUNCTION("""COMPUTED_VALUE"""),"lengreo.com")</f>
        <v>lengreo.com</v>
      </c>
      <c r="D267" s="15" t="str">
        <f>IFERROR(__xludf.DUMMYFUNCTION("""COMPUTED_VALUE"""),"LISTICLE")</f>
        <v>LISTICLE</v>
      </c>
      <c r="E267" s="15" t="str">
        <f>IFERROR(__xludf.DUMMYFUNCTION("""COMPUTED_VALUE"""),"CORPORATE")</f>
        <v>CORPORATE</v>
      </c>
      <c r="F267" s="15" t="str">
        <f>IFERROR(__xludf.DUMMYFUNCTION("""COMPUTED_VALUE"""),"Listicle")</f>
        <v>Listicle</v>
      </c>
      <c r="G267" s="15" t="b">
        <f>IFERROR(__xludf.DUMMYFUNCTION("""COMPUTED_VALUE"""),FALSE)</f>
        <v>0</v>
      </c>
      <c r="H267" s="15" t="str">
        <f>IFERROR(__xludf.DUMMYFUNCTION("""COMPUTED_VALUE"""),"The Social Shepherd, Directive Consulting, The Brains, Gravity Global, Gripped")</f>
        <v>The Social Shepherd, Directive Consulting, The Brains, Gravity Global, Gripped</v>
      </c>
      <c r="I267" s="15">
        <f>IFERROR(__xludf.DUMMYFUNCTION("""COMPUTED_VALUE"""),6.0)</f>
        <v>6</v>
      </c>
      <c r="J267" s="15">
        <f>IFERROR(__xludf.DUMMYFUNCTION("""COMPUTED_VALUE"""),0.01)</f>
        <v>0.01</v>
      </c>
      <c r="K267" s="15">
        <f>IFERROR(__xludf.DUMMYFUNCTION("""COMPUTED_VALUE"""),0.0)</f>
        <v>0</v>
      </c>
      <c r="L267" s="15"/>
    </row>
    <row r="268" ht="15.75" customHeight="1">
      <c r="A268" s="14" t="str">
        <f>IFERROR(__xludf.DUMMYFUNCTION("""COMPUTED_VALUE"""),"https://levelupleads.co.uk/best-ai-seo-agency-uk/")</f>
        <v>https://levelupleads.co.uk/best-ai-seo-agency-uk/</v>
      </c>
      <c r="B268" s="15" t="str">
        <f>IFERROR(__xludf.DUMMYFUNCTION("""COMPUTED_VALUE"""),"7 Best AI SEO Agencies in the UK (2026)")</f>
        <v>7 Best AI SEO Agencies in the UK (2026)</v>
      </c>
      <c r="C268" s="14" t="str">
        <f>IFERROR(__xludf.DUMMYFUNCTION("""COMPUTED_VALUE"""),"levelupleads.co.uk")</f>
        <v>levelupleads.co.uk</v>
      </c>
      <c r="D268" s="15" t="str">
        <f>IFERROR(__xludf.DUMMYFUNCTION("""COMPUTED_VALUE"""),"LISTICLE")</f>
        <v>LISTICLE</v>
      </c>
      <c r="E268" s="15" t="str">
        <f>IFERROR(__xludf.DUMMYFUNCTION("""COMPUTED_VALUE"""),"CORPORATE")</f>
        <v>CORPORATE</v>
      </c>
      <c r="F268" s="15" t="str">
        <f>IFERROR(__xludf.DUMMYFUNCTION("""COMPUTED_VALUE"""),"Listicle")</f>
        <v>Listicle</v>
      </c>
      <c r="G268" s="15" t="b">
        <f>IFERROR(__xludf.DUMMYFUNCTION("""COMPUTED_VALUE"""),FALSE)</f>
        <v>0</v>
      </c>
      <c r="H268" s="15" t="str">
        <f>IFERROR(__xludf.DUMMYFUNCTION("""COMPUTED_VALUE"""),"Found, Blue Array, The SEO Works, Hallam, Varn")</f>
        <v>Found, Blue Array, The SEO Works, Hallam, Varn</v>
      </c>
      <c r="I268" s="15">
        <f>IFERROR(__xludf.DUMMYFUNCTION("""COMPUTED_VALUE"""),6.0)</f>
        <v>6</v>
      </c>
      <c r="J268" s="15">
        <f>IFERROR(__xludf.DUMMYFUNCTION("""COMPUTED_VALUE"""),0.01)</f>
        <v>0.01</v>
      </c>
      <c r="K268" s="15">
        <f>IFERROR(__xludf.DUMMYFUNCTION("""COMPUTED_VALUE"""),1.17)</f>
        <v>1.17</v>
      </c>
      <c r="L268" s="15"/>
    </row>
    <row r="269" ht="15.75" customHeight="1">
      <c r="A269" s="14" t="str">
        <f>IFERROR(__xludf.DUMMYFUNCTION("""COMPUTED_VALUE"""),"https://pinpoint-media.global/insights/top-5-performance-growth-agencies-in-the-uk-2026")</f>
        <v>https://pinpoint-media.global/insights/top-5-performance-growth-agencies-in-the-uk-2026</v>
      </c>
      <c r="B269" s="15" t="str">
        <f>IFERROR(__xludf.DUMMYFUNCTION("""COMPUTED_VALUE"""),"Top 5 Performance Growth Agencies in the UK for 2026 | PinPoint Media")</f>
        <v>Top 5 Performance Growth Agencies in the UK for 2026 | PinPoint Media</v>
      </c>
      <c r="C269" s="15" t="str">
        <f>IFERROR(__xludf.DUMMYFUNCTION("""COMPUTED_VALUE"""),"pinpoint-media.global")</f>
        <v>pinpoint-media.global</v>
      </c>
      <c r="D269" s="15" t="str">
        <f>IFERROR(__xludf.DUMMYFUNCTION("""COMPUTED_VALUE"""),"LISTICLE")</f>
        <v>LISTICLE</v>
      </c>
      <c r="E269" s="15" t="str">
        <f>IFERROR(__xludf.DUMMYFUNCTION("""COMPUTED_VALUE"""),"COMPETITOR")</f>
        <v>COMPETITOR</v>
      </c>
      <c r="F269" s="15" t="str">
        <f>IFERROR(__xludf.DUMMYFUNCTION("""COMPUTED_VALUE"""),"Listicle")</f>
        <v>Listicle</v>
      </c>
      <c r="G269" s="15" t="b">
        <f>IFERROR(__xludf.DUMMYFUNCTION("""COMPUTED_VALUE"""),FALSE)</f>
        <v>0</v>
      </c>
      <c r="H269" s="15" t="str">
        <f>IFERROR(__xludf.DUMMYFUNCTION("""COMPUTED_VALUE"""),"PinPoint Media, Measured, Brainlabs, Jellyfish, Merkle")</f>
        <v>PinPoint Media, Measured, Brainlabs, Jellyfish, Merkle</v>
      </c>
      <c r="I269" s="15">
        <f>IFERROR(__xludf.DUMMYFUNCTION("""COMPUTED_VALUE"""),6.0)</f>
        <v>6</v>
      </c>
      <c r="J269" s="15">
        <f>IFERROR(__xludf.DUMMYFUNCTION("""COMPUTED_VALUE"""),0.01)</f>
        <v>0.01</v>
      </c>
      <c r="K269" s="15">
        <f>IFERROR(__xludf.DUMMYFUNCTION("""COMPUTED_VALUE"""),2.0)</f>
        <v>2</v>
      </c>
      <c r="L269" s="15"/>
    </row>
    <row r="270" ht="15.75" customHeight="1">
      <c r="A270" s="14" t="str">
        <f>IFERROR(__xludf.DUMMYFUNCTION("""COMPUTED_VALUE"""),"https://www.rank4ai.co.uk/research/rankings/best-ai-search-visibility-agencies/")</f>
        <v>https://www.rank4ai.co.uk/research/rankings/best-ai-search-visibility-agencies/</v>
      </c>
      <c r="B270" s="15" t="str">
        <f>IFERROR(__xludf.DUMMYFUNCTION("""COMPUTED_VALUE"""),"Best AI Search Visibility Agencies UK 2026 | Rank4AI")</f>
        <v>Best AI Search Visibility Agencies UK 2026 | Rank4AI</v>
      </c>
      <c r="C270" s="14" t="str">
        <f>IFERROR(__xludf.DUMMYFUNCTION("""COMPUTED_VALUE"""),"rank4ai.co.uk")</f>
        <v>rank4ai.co.uk</v>
      </c>
      <c r="D270" s="15" t="str">
        <f>IFERROR(__xludf.DUMMYFUNCTION("""COMPUTED_VALUE"""),"LISTICLE")</f>
        <v>LISTICLE</v>
      </c>
      <c r="E270" s="15" t="str">
        <f>IFERROR(__xludf.DUMMYFUNCTION("""COMPUTED_VALUE"""),"COMPETITOR")</f>
        <v>COMPETITOR</v>
      </c>
      <c r="F270" s="15" t="str">
        <f>IFERROR(__xludf.DUMMYFUNCTION("""COMPUTED_VALUE"""),"Listicle")</f>
        <v>Listicle</v>
      </c>
      <c r="G270" s="15" t="b">
        <f>IFERROR(__xludf.DUMMYFUNCTION("""COMPUTED_VALUE"""),FALSE)</f>
        <v>0</v>
      </c>
      <c r="H270" s="15" t="str">
        <f>IFERROR(__xludf.DUMMYFUNCTION("""COMPUTED_VALUE"""),"Rank4AI, Varn, Found, Buried Agency")</f>
        <v>Rank4AI, Varn, Found, Buried Agency</v>
      </c>
      <c r="I270" s="15">
        <f>IFERROR(__xludf.DUMMYFUNCTION("""COMPUTED_VALUE"""),6.0)</f>
        <v>6</v>
      </c>
      <c r="J270" s="15">
        <f>IFERROR(__xludf.DUMMYFUNCTION("""COMPUTED_VALUE"""),0.01)</f>
        <v>0.01</v>
      </c>
      <c r="K270" s="15">
        <f>IFERROR(__xludf.DUMMYFUNCTION("""COMPUTED_VALUE"""),0.17)</f>
        <v>0.17</v>
      </c>
      <c r="L270" s="15"/>
    </row>
    <row r="271" ht="15.75" customHeight="1">
      <c r="A271" s="14" t="str">
        <f>IFERROR(__xludf.DUMMYFUNCTION("""COMPUTED_VALUE"""),"https://www.reddit.com/r/PPC/comments/15afa5c/best_agencies_for_paid_media_ld_uk/#:~:text=In%20the%20UK%2C%20many%20big,enjoy%20the%20outstanding%20training%20programs.")</f>
        <v>https://www.reddit.com/r/PPC/comments/15afa5c/best_agencies_for_paid_media_ld_uk/#:~:text=In%20the%20UK%2C%20many%20big,enjoy%20the%20outstanding%20training%20programs.</v>
      </c>
      <c r="B271" s="15" t="str">
        <f>IFERROR(__xludf.DUMMYFUNCTION("""COMPUTED_VALUE"""),"Best agencies for Paid Media L&amp;amp;D (UK)")</f>
        <v>Best agencies for Paid Media L&amp;amp;D (UK)</v>
      </c>
      <c r="C271" s="14" t="str">
        <f>IFERROR(__xludf.DUMMYFUNCTION("""COMPUTED_VALUE"""),"reddit.com")</f>
        <v>reddit.com</v>
      </c>
      <c r="D271" s="15" t="str">
        <f>IFERROR(__xludf.DUMMYFUNCTION("""COMPUTED_VALUE"""),"DISCUSSION")</f>
        <v>DISCUSSION</v>
      </c>
      <c r="E271" s="15" t="str">
        <f>IFERROR(__xludf.DUMMYFUNCTION("""COMPUTED_VALUE"""),"UGC")</f>
        <v>UGC</v>
      </c>
      <c r="F271" s="15" t="str">
        <f>IFERROR(__xludf.DUMMYFUNCTION("""COMPUTED_VALUE"""),"Discussion")</f>
        <v>Discussion</v>
      </c>
      <c r="G271" s="15" t="b">
        <f>IFERROR(__xludf.DUMMYFUNCTION("""COMPUTED_VALUE"""),FALSE)</f>
        <v>0</v>
      </c>
      <c r="H271" s="15" t="str">
        <f>IFERROR(__xludf.DUMMYFUNCTION("""COMPUTED_VALUE"""),"Merkle, Dentsu")</f>
        <v>Merkle, Dentsu</v>
      </c>
      <c r="I271" s="15">
        <f>IFERROR(__xludf.DUMMYFUNCTION("""COMPUTED_VALUE"""),6.0)</f>
        <v>6</v>
      </c>
      <c r="J271" s="15">
        <f>IFERROR(__xludf.DUMMYFUNCTION("""COMPUTED_VALUE"""),0.01)</f>
        <v>0.01</v>
      </c>
      <c r="K271" s="15">
        <f>IFERROR(__xludf.DUMMYFUNCTION("""COMPUTED_VALUE"""),1.0)</f>
        <v>1</v>
      </c>
      <c r="L271" s="15"/>
    </row>
    <row r="272" ht="15.75" customHeight="1">
      <c r="A272" s="14" t="str">
        <f>IFERROR(__xludf.DUMMYFUNCTION("""COMPUTED_VALUE"""),"https://snowballcreations.com/the-11-top-google-ads-agencies-in-the-uk-2026/")</f>
        <v>https://snowballcreations.com/the-11-top-google-ads-agencies-in-the-uk-2026/</v>
      </c>
      <c r="B272" s="15" t="str">
        <f>IFERROR(__xludf.DUMMYFUNCTION("""COMPUTED_VALUE"""),"Best Google Ads Agencies in the UK: Top 11 Picks for PPC | Snowball Creations")</f>
        <v>Best Google Ads Agencies in the UK: Top 11 Picks for PPC | Snowball Creations</v>
      </c>
      <c r="C272" s="14" t="str">
        <f>IFERROR(__xludf.DUMMYFUNCTION("""COMPUTED_VALUE"""),"snowballcreations.com")</f>
        <v>snowballcreations.com</v>
      </c>
      <c r="D272" s="15" t="str">
        <f>IFERROR(__xludf.DUMMYFUNCTION("""COMPUTED_VALUE"""),"LISTICLE")</f>
        <v>LISTICLE</v>
      </c>
      <c r="E272" s="15" t="str">
        <f>IFERROR(__xludf.DUMMYFUNCTION("""COMPUTED_VALUE"""),"CORPORATE")</f>
        <v>CORPORATE</v>
      </c>
      <c r="F272" s="15" t="str">
        <f>IFERROR(__xludf.DUMMYFUNCTION("""COMPUTED_VALUE"""),"Listicle")</f>
        <v>Listicle</v>
      </c>
      <c r="G272" s="15" t="b">
        <f>IFERROR(__xludf.DUMMYFUNCTION("""COMPUTED_VALUE"""),FALSE)</f>
        <v>0</v>
      </c>
      <c r="H272" s="15" t="str">
        <f>IFERROR(__xludf.DUMMYFUNCTION("""COMPUTED_VALUE"""),"The Good Marketer, Found")</f>
        <v>The Good Marketer, Found</v>
      </c>
      <c r="I272" s="15">
        <f>IFERROR(__xludf.DUMMYFUNCTION("""COMPUTED_VALUE"""),6.0)</f>
        <v>6</v>
      </c>
      <c r="J272" s="15">
        <f>IFERROR(__xludf.DUMMYFUNCTION("""COMPUTED_VALUE"""),0.01)</f>
        <v>0.01</v>
      </c>
      <c r="K272" s="15">
        <f>IFERROR(__xludf.DUMMYFUNCTION("""COMPUTED_VALUE"""),1.33)</f>
        <v>1.33</v>
      </c>
      <c r="L272" s="15"/>
    </row>
    <row r="273" ht="15.75" customHeight="1">
      <c r="A273" s="14" t="str">
        <f>IFERROR(__xludf.DUMMYFUNCTION("""COMPUTED_VALUE"""),"https://www.sortlist.co.uk/s/ai-marketing/greater-london-england-gb")</f>
        <v>https://www.sortlist.co.uk/s/ai-marketing/greater-london-england-gb</v>
      </c>
      <c r="B273" s="15" t="str">
        <f>IFERROR(__xludf.DUMMYFUNCTION("""COMPUTED_VALUE"""),"The 10 Best AI Marketing Companies in Greater London - 2026 Reviews")</f>
        <v>The 10 Best AI Marketing Companies in Greater London - 2026 Reviews</v>
      </c>
      <c r="C273" s="14" t="str">
        <f>IFERROR(__xludf.DUMMYFUNCTION("""COMPUTED_VALUE"""),"sortlist.co.uk")</f>
        <v>sortlist.co.uk</v>
      </c>
      <c r="D273" s="15" t="str">
        <f>IFERROR(__xludf.DUMMYFUNCTION("""COMPUTED_VALUE"""),"CATEGORY_PAGE")</f>
        <v>CATEGORY_PAGE</v>
      </c>
      <c r="E273" s="15" t="str">
        <f>IFERROR(__xludf.DUMMYFUNCTION("""COMPUTED_VALUE"""),"REFERENCE")</f>
        <v>REFERENCE</v>
      </c>
      <c r="F273" s="15" t="str">
        <f>IFERROR(__xludf.DUMMYFUNCTION("""COMPUTED_VALUE"""),"Category Page")</f>
        <v>Category Page</v>
      </c>
      <c r="G273" s="15" t="b">
        <f>IFERROR(__xludf.DUMMYFUNCTION("""COMPUTED_VALUE"""),FALSE)</f>
        <v>0</v>
      </c>
      <c r="H273" s="15" t="str">
        <f>IFERROR(__xludf.DUMMYFUNCTION("""COMPUTED_VALUE"""),"Hallam")</f>
        <v>Hallam</v>
      </c>
      <c r="I273" s="15">
        <f>IFERROR(__xludf.DUMMYFUNCTION("""COMPUTED_VALUE"""),6.0)</f>
        <v>6</v>
      </c>
      <c r="J273" s="15">
        <f>IFERROR(__xludf.DUMMYFUNCTION("""COMPUTED_VALUE"""),0.01)</f>
        <v>0.01</v>
      </c>
      <c r="K273" s="15">
        <f>IFERROR(__xludf.DUMMYFUNCTION("""COMPUTED_VALUE"""),0.0)</f>
        <v>0</v>
      </c>
      <c r="L273" s="15"/>
    </row>
    <row r="274" ht="15.75" customHeight="1">
      <c r="A274" s="14" t="str">
        <f>IFERROR(__xludf.DUMMYFUNCTION("""COMPUTED_VALUE"""),"https://www.sortlist.co.uk/s/paid-media/england-england-gb")</f>
        <v>https://www.sortlist.co.uk/s/paid-media/england-england-gb</v>
      </c>
      <c r="B274" s="15" t="str">
        <f>IFERROR(__xludf.DUMMYFUNCTION("""COMPUTED_VALUE"""),"The 10 Best Paid Media Agencies in England - 2026 Reviews")</f>
        <v>The 10 Best Paid Media Agencies in England - 2026 Reviews</v>
      </c>
      <c r="C274" s="14" t="str">
        <f>IFERROR(__xludf.DUMMYFUNCTION("""COMPUTED_VALUE"""),"sortlist.co.uk")</f>
        <v>sortlist.co.uk</v>
      </c>
      <c r="D274" s="15" t="str">
        <f>IFERROR(__xludf.DUMMYFUNCTION("""COMPUTED_VALUE"""),"CATEGORY_PAGE")</f>
        <v>CATEGORY_PAGE</v>
      </c>
      <c r="E274" s="15" t="str">
        <f>IFERROR(__xludf.DUMMYFUNCTION("""COMPUTED_VALUE"""),"REFERENCE")</f>
        <v>REFERENCE</v>
      </c>
      <c r="F274" s="15" t="str">
        <f>IFERROR(__xludf.DUMMYFUNCTION("""COMPUTED_VALUE"""),"Category Page")</f>
        <v>Category Page</v>
      </c>
      <c r="G274" s="15" t="b">
        <f>IFERROR(__xludf.DUMMYFUNCTION("""COMPUTED_VALUE"""),FALSE)</f>
        <v>0</v>
      </c>
      <c r="H274" s="15" t="str">
        <f>IFERROR(__xludf.DUMMYFUNCTION("""COMPUTED_VALUE"""),"Push, Triple Whale, Northbeam, Found, Momentum, M3.agency, McKinsey &amp; Company")</f>
        <v>Push, Triple Whale, Northbeam, Found, Momentum, M3.agency, McKinsey &amp; Company</v>
      </c>
      <c r="I274" s="15">
        <f>IFERROR(__xludf.DUMMYFUNCTION("""COMPUTED_VALUE"""),6.0)</f>
        <v>6</v>
      </c>
      <c r="J274" s="15">
        <f>IFERROR(__xludf.DUMMYFUNCTION("""COMPUTED_VALUE"""),0.01)</f>
        <v>0.01</v>
      </c>
      <c r="K274" s="15">
        <f>IFERROR(__xludf.DUMMYFUNCTION("""COMPUTED_VALUE"""),0.5)</f>
        <v>0.5</v>
      </c>
      <c r="L274" s="15"/>
    </row>
    <row r="275" ht="15.75" customHeight="1">
      <c r="A275" s="14" t="str">
        <f>IFERROR(__xludf.DUMMYFUNCTION("""COMPUTED_VALUE"""),"https://www.sortlist.com/display-advertising")</f>
        <v>https://www.sortlist.com/display-advertising</v>
      </c>
      <c r="B275" s="15" t="str">
        <f>IFERROR(__xludf.DUMMYFUNCTION("""COMPUTED_VALUE"""),"The 100 Best Display Advertising Agencies - 2026 Reviews")</f>
        <v>The 100 Best Display Advertising Agencies - 2026 Reviews</v>
      </c>
      <c r="C275" s="14" t="str">
        <f>IFERROR(__xludf.DUMMYFUNCTION("""COMPUTED_VALUE"""),"sortlist.com")</f>
        <v>sortlist.com</v>
      </c>
      <c r="D275" s="15" t="str">
        <f>IFERROR(__xludf.DUMMYFUNCTION("""COMPUTED_VALUE"""),"LISTICLE")</f>
        <v>LISTICLE</v>
      </c>
      <c r="E275" s="15" t="str">
        <f>IFERROR(__xludf.DUMMYFUNCTION("""COMPUTED_VALUE"""),"CORPORATE")</f>
        <v>CORPORATE</v>
      </c>
      <c r="F275" s="15" t="str">
        <f>IFERROR(__xludf.DUMMYFUNCTION("""COMPUTED_VALUE"""),"Listicle")</f>
        <v>Listicle</v>
      </c>
      <c r="G275" s="15" t="b">
        <f>IFERROR(__xludf.DUMMYFUNCTION("""COMPUTED_VALUE"""),FALSE)</f>
        <v>0</v>
      </c>
      <c r="H275" s="15"/>
      <c r="I275" s="15">
        <f>IFERROR(__xludf.DUMMYFUNCTION("""COMPUTED_VALUE"""),6.0)</f>
        <v>6</v>
      </c>
      <c r="J275" s="15">
        <f>IFERROR(__xludf.DUMMYFUNCTION("""COMPUTED_VALUE"""),0.01)</f>
        <v>0.01</v>
      </c>
      <c r="K275" s="15">
        <f>IFERROR(__xludf.DUMMYFUNCTION("""COMPUTED_VALUE"""),0.0)</f>
        <v>0</v>
      </c>
      <c r="L275" s="15"/>
    </row>
    <row r="276" ht="15.75" customHeight="1">
      <c r="A276" s="14" t="str">
        <f>IFERROR(__xludf.DUMMYFUNCTION("""COMPUTED_VALUE"""),"https://startups.co.uk/marketing/best-social-media-marketing-agencies-uk/")</f>
        <v>https://startups.co.uk/marketing/best-social-media-marketing-agencies-uk/</v>
      </c>
      <c r="B276" s="15" t="str">
        <f>IFERROR(__xludf.DUMMYFUNCTION("""COMPUTED_VALUE"""),"10 Best social media marketing agencies in the UK | Startups.co.uk")</f>
        <v>10 Best social media marketing agencies in the UK | Startups.co.uk</v>
      </c>
      <c r="C276" s="14" t="str">
        <f>IFERROR(__xludf.DUMMYFUNCTION("""COMPUTED_VALUE"""),"startups.co.uk")</f>
        <v>startups.co.uk</v>
      </c>
      <c r="D276" s="15" t="str">
        <f>IFERROR(__xludf.DUMMYFUNCTION("""COMPUTED_VALUE"""),"LISTICLE")</f>
        <v>LISTICLE</v>
      </c>
      <c r="E276" s="15" t="str">
        <f>IFERROR(__xludf.DUMMYFUNCTION("""COMPUTED_VALUE"""),"REFERENCE")</f>
        <v>REFERENCE</v>
      </c>
      <c r="F276" s="15" t="str">
        <f>IFERROR(__xludf.DUMMYFUNCTION("""COMPUTED_VALUE"""),"Listicle")</f>
        <v>Listicle</v>
      </c>
      <c r="G276" s="15" t="b">
        <f>IFERROR(__xludf.DUMMYFUNCTION("""COMPUTED_VALUE"""),FALSE)</f>
        <v>0</v>
      </c>
      <c r="H276" s="15" t="str">
        <f>IFERROR(__xludf.DUMMYFUNCTION("""COMPUTED_VALUE"""),"We Are Social, Favoured, Huge")</f>
        <v>We Are Social, Favoured, Huge</v>
      </c>
      <c r="I276" s="15">
        <f>IFERROR(__xludf.DUMMYFUNCTION("""COMPUTED_VALUE"""),6.0)</f>
        <v>6</v>
      </c>
      <c r="J276" s="15">
        <f>IFERROR(__xludf.DUMMYFUNCTION("""COMPUTED_VALUE"""),0.01)</f>
        <v>0.01</v>
      </c>
      <c r="K276" s="15">
        <f>IFERROR(__xludf.DUMMYFUNCTION("""COMPUTED_VALUE"""),0.5)</f>
        <v>0.5</v>
      </c>
      <c r="L276" s="15"/>
    </row>
    <row r="277" ht="15.75" customHeight="1">
      <c r="A277" s="14" t="str">
        <f>IFERROR(__xludf.DUMMYFUNCTION("""COMPUTED_VALUE"""),"https://zipdo.co/service/attribution/")</f>
        <v>https://zipdo.co/service/attribution/</v>
      </c>
      <c r="B277" s="15" t="str">
        <f>IFERROR(__xludf.DUMMYFUNCTION("""COMPUTED_VALUE"""),"Top 10 Best Attribution Services (2026 Expert Review)")</f>
        <v>Top 10 Best Attribution Services (2026 Expert Review)</v>
      </c>
      <c r="C277" s="14" t="str">
        <f>IFERROR(__xludf.DUMMYFUNCTION("""COMPUTED_VALUE"""),"zipdo.co")</f>
        <v>zipdo.co</v>
      </c>
      <c r="D277" s="15" t="str">
        <f>IFERROR(__xludf.DUMMYFUNCTION("""COMPUTED_VALUE"""),"LISTICLE")</f>
        <v>LISTICLE</v>
      </c>
      <c r="E277" s="15" t="str">
        <f>IFERROR(__xludf.DUMMYFUNCTION("""COMPUTED_VALUE"""),"REFERENCE")</f>
        <v>REFERENCE</v>
      </c>
      <c r="F277" s="15" t="str">
        <f>IFERROR(__xludf.DUMMYFUNCTION("""COMPUTED_VALUE"""),"Listicle")</f>
        <v>Listicle</v>
      </c>
      <c r="G277" s="15" t="b">
        <f>IFERROR(__xludf.DUMMYFUNCTION("""COMPUTED_VALUE"""),FALSE)</f>
        <v>0</v>
      </c>
      <c r="H277" s="15" t="str">
        <f>IFERROR(__xludf.DUMMYFUNCTION("""COMPUTED_VALUE"""),"Kantar, Nielsen, PwC, Merkle, WPP, Publicis Groupe, Impression")</f>
        <v>Kantar, Nielsen, PwC, Merkle, WPP, Publicis Groupe, Impression</v>
      </c>
      <c r="I277" s="15">
        <f>IFERROR(__xludf.DUMMYFUNCTION("""COMPUTED_VALUE"""),6.0)</f>
        <v>6</v>
      </c>
      <c r="J277" s="15">
        <f>IFERROR(__xludf.DUMMYFUNCTION("""COMPUTED_VALUE"""),0.01)</f>
        <v>0.01</v>
      </c>
      <c r="K277" s="15">
        <f>IFERROR(__xludf.DUMMYFUNCTION("""COMPUTED_VALUE"""),0.0)</f>
        <v>0</v>
      </c>
      <c r="L277" s="15"/>
    </row>
    <row r="278" ht="15.75" customHeight="1">
      <c r="A278" s="14" t="str">
        <f>IFERROR(__xludf.DUMMYFUNCTION("""COMPUTED_VALUE"""),"https://bestwebdevelopers.co.uk/display-advertising/")</f>
        <v>https://bestwebdevelopers.co.uk/display-advertising/</v>
      </c>
      <c r="B278" s="15" t="str">
        <f>IFERROR(__xludf.DUMMYFUNCTION("""COMPUTED_VALUE"""),"The Best Display Advertising Agencies in UK")</f>
        <v>The Best Display Advertising Agencies in UK</v>
      </c>
      <c r="C278" s="14" t="str">
        <f>IFERROR(__xludf.DUMMYFUNCTION("""COMPUTED_VALUE"""),"bestwebdevelopers.co.uk")</f>
        <v>bestwebdevelopers.co.uk</v>
      </c>
      <c r="D278" s="15" t="str">
        <f>IFERROR(__xludf.DUMMYFUNCTION("""COMPUTED_VALUE"""),"PRODUCT_PAGE")</f>
        <v>PRODUCT_PAGE</v>
      </c>
      <c r="E278" s="15" t="str">
        <f>IFERROR(__xludf.DUMMYFUNCTION("""COMPUTED_VALUE"""),"CORPORATE")</f>
        <v>CORPORATE</v>
      </c>
      <c r="F278" s="15" t="str">
        <f>IFERROR(__xludf.DUMMYFUNCTION("""COMPUTED_VALUE"""),"Product Page")</f>
        <v>Product Page</v>
      </c>
      <c r="G278" s="15" t="b">
        <f>IFERROR(__xludf.DUMMYFUNCTION("""COMPUTED_VALUE"""),FALSE)</f>
        <v>0</v>
      </c>
      <c r="H278" s="15" t="str">
        <f>IFERROR(__xludf.DUMMYFUNCTION("""COMPUTED_VALUE"""),"Push")</f>
        <v>Push</v>
      </c>
      <c r="I278" s="15">
        <f>IFERROR(__xludf.DUMMYFUNCTION("""COMPUTED_VALUE"""),5.0)</f>
        <v>5</v>
      </c>
      <c r="J278" s="15">
        <f>IFERROR(__xludf.DUMMYFUNCTION("""COMPUTED_VALUE"""),0.0)</f>
        <v>0</v>
      </c>
      <c r="K278" s="15">
        <f>IFERROR(__xludf.DUMMYFUNCTION("""COMPUTED_VALUE"""),0.2)</f>
        <v>0.2</v>
      </c>
      <c r="L278" s="15"/>
    </row>
    <row r="279" ht="15.75" customHeight="1">
      <c r="A279" s="14" t="str">
        <f>IFERROR(__xludf.DUMMYFUNCTION("""COMPUTED_VALUE"""),"https://birdeye.com/blog/ai-companies-uk/")</f>
        <v>https://birdeye.com/blog/ai-companies-uk/</v>
      </c>
      <c r="B279" s="15" t="str">
        <f>IFERROR(__xludf.DUMMYFUNCTION("""COMPUTED_VALUE"""),"AI for Multi-Location Marketing UK: Top 11 Platforms (2026)")</f>
        <v>AI for Multi-Location Marketing UK: Top 11 Platforms (2026)</v>
      </c>
      <c r="C279" s="14" t="str">
        <f>IFERROR(__xludf.DUMMYFUNCTION("""COMPUTED_VALUE"""),"birdeye.com")</f>
        <v>birdeye.com</v>
      </c>
      <c r="D279" s="15" t="str">
        <f>IFERROR(__xludf.DUMMYFUNCTION("""COMPUTED_VALUE"""),"LISTICLE")</f>
        <v>LISTICLE</v>
      </c>
      <c r="E279" s="15" t="str">
        <f>IFERROR(__xludf.DUMMYFUNCTION("""COMPUTED_VALUE"""),"CORPORATE")</f>
        <v>CORPORATE</v>
      </c>
      <c r="F279" s="15" t="str">
        <f>IFERROR(__xludf.DUMMYFUNCTION("""COMPUTED_VALUE"""),"Listicle")</f>
        <v>Listicle</v>
      </c>
      <c r="G279" s="15" t="b">
        <f>IFERROR(__xludf.DUMMYFUNCTION("""COMPUTED_VALUE"""),FALSE)</f>
        <v>0</v>
      </c>
      <c r="H279" s="15" t="str">
        <f>IFERROR(__xludf.DUMMYFUNCTION("""COMPUTED_VALUE"""),"Found")</f>
        <v>Found</v>
      </c>
      <c r="I279" s="15">
        <f>IFERROR(__xludf.DUMMYFUNCTION("""COMPUTED_VALUE"""),5.0)</f>
        <v>5</v>
      </c>
      <c r="J279" s="15">
        <f>IFERROR(__xludf.DUMMYFUNCTION("""COMPUTED_VALUE"""),0.0)</f>
        <v>0</v>
      </c>
      <c r="K279" s="15">
        <f>IFERROR(__xludf.DUMMYFUNCTION("""COMPUTED_VALUE"""),0.0)</f>
        <v>0</v>
      </c>
      <c r="L279" s="15"/>
    </row>
    <row r="280" ht="15.75" customHeight="1">
      <c r="A280" s="14" t="str">
        <f>IFERROR(__xludf.DUMMYFUNCTION("""COMPUTED_VALUE"""),"https://clutch.co/agencies/performance-marketing")</f>
        <v>https://clutch.co/agencies/performance-marketing</v>
      </c>
      <c r="B280" s="15" t="str">
        <f>IFERROR(__xludf.DUMMYFUNCTION("""COMPUTED_VALUE"""),"Top Performance Marketing Agencies - Jul 2026 Rankings | Clutch.co")</f>
        <v>Top Performance Marketing Agencies - Jul 2026 Rankings | Clutch.co</v>
      </c>
      <c r="C280" s="14" t="str">
        <f>IFERROR(__xludf.DUMMYFUNCTION("""COMPUTED_VALUE"""),"clutch.co")</f>
        <v>clutch.co</v>
      </c>
      <c r="D280" s="15" t="str">
        <f>IFERROR(__xludf.DUMMYFUNCTION("""COMPUTED_VALUE"""),"CATEGORY_PAGE")</f>
        <v>CATEGORY_PAGE</v>
      </c>
      <c r="E280" s="15" t="str">
        <f>IFERROR(__xludf.DUMMYFUNCTION("""COMPUTED_VALUE"""),"CORPORATE")</f>
        <v>CORPORATE</v>
      </c>
      <c r="F280" s="15" t="str">
        <f>IFERROR(__xludf.DUMMYFUNCTION("""COMPUTED_VALUE"""),"Category Page")</f>
        <v>Category Page</v>
      </c>
      <c r="G280" s="15" t="b">
        <f>IFERROR(__xludf.DUMMYFUNCTION("""COMPUTED_VALUE"""),FALSE)</f>
        <v>0</v>
      </c>
      <c r="H280" s="15" t="str">
        <f>IFERROR(__xludf.DUMMYFUNCTION("""COMPUTED_VALUE"""),"Disruptive Advertising, Launch Online, Found, Momentum, GA Agency")</f>
        <v>Disruptive Advertising, Launch Online, Found, Momentum, GA Agency</v>
      </c>
      <c r="I280" s="15">
        <f>IFERROR(__xludf.DUMMYFUNCTION("""COMPUTED_VALUE"""),5.0)</f>
        <v>5</v>
      </c>
      <c r="J280" s="15">
        <f>IFERROR(__xludf.DUMMYFUNCTION("""COMPUTED_VALUE"""),0.0)</f>
        <v>0</v>
      </c>
      <c r="K280" s="15">
        <f>IFERROR(__xludf.DUMMYFUNCTION("""COMPUTED_VALUE"""),0.8)</f>
        <v>0.8</v>
      </c>
      <c r="L280" s="15"/>
    </row>
    <row r="281" ht="15.75" customHeight="1">
      <c r="A281" s="14" t="str">
        <f>IFERROR(__xludf.DUMMYFUNCTION("""COMPUTED_VALUE"""),"https://clutch.co/agencies/ppc/display/uk?page=1")</f>
        <v>https://clutch.co/agencies/ppc/display/uk?page=1</v>
      </c>
      <c r="B281" s="15" t="str">
        <f>IFERROR(__xludf.DUMMYFUNCTION("""COMPUTED_VALUE"""),"Page 2 - Top Display Advertising Services in the United Kingdom - Jul 2026 Rankings \| Clutch.co")</f>
        <v>Page 2 - Top Display Advertising Services in the United Kingdom - Jul 2026 Rankings \| Clutch.co</v>
      </c>
      <c r="C281" s="14" t="str">
        <f>IFERROR(__xludf.DUMMYFUNCTION("""COMPUTED_VALUE"""),"clutch.co")</f>
        <v>clutch.co</v>
      </c>
      <c r="D281" s="15" t="str">
        <f>IFERROR(__xludf.DUMMYFUNCTION("""COMPUTED_VALUE"""),"CATEGORY_PAGE")</f>
        <v>CATEGORY_PAGE</v>
      </c>
      <c r="E281" s="15" t="str">
        <f>IFERROR(__xludf.DUMMYFUNCTION("""COMPUTED_VALUE"""),"CORPORATE")</f>
        <v>CORPORATE</v>
      </c>
      <c r="F281" s="15" t="str">
        <f>IFERROR(__xludf.DUMMYFUNCTION("""COMPUTED_VALUE"""),"Category Page")</f>
        <v>Category Page</v>
      </c>
      <c r="G281" s="15" t="b">
        <f>IFERROR(__xludf.DUMMYFUNCTION("""COMPUTED_VALUE"""),FALSE)</f>
        <v>0</v>
      </c>
      <c r="H281" s="15" t="str">
        <f>IFERROR(__xludf.DUMMYFUNCTION("""COMPUTED_VALUE"""),"Ninja Promo, Soap Media, The SEO Works, GA Agency, Bind Media, Found")</f>
        <v>Ninja Promo, Soap Media, The SEO Works, GA Agency, Bind Media, Found</v>
      </c>
      <c r="I281" s="15">
        <f>IFERROR(__xludf.DUMMYFUNCTION("""COMPUTED_VALUE"""),5.0)</f>
        <v>5</v>
      </c>
      <c r="J281" s="15">
        <f>IFERROR(__xludf.DUMMYFUNCTION("""COMPUTED_VALUE"""),0.0)</f>
        <v>0</v>
      </c>
      <c r="K281" s="15">
        <f>IFERROR(__xludf.DUMMYFUNCTION("""COMPUTED_VALUE"""),0.0)</f>
        <v>0</v>
      </c>
      <c r="L281" s="15"/>
    </row>
    <row r="282" ht="15.75" customHeight="1">
      <c r="A282" s="14" t="str">
        <f>IFERROR(__xludf.DUMMYFUNCTION("""COMPUTED_VALUE"""),"https://www.cometly.com/post/incrementality-measurement-tool")</f>
        <v>https://www.cometly.com/post/incrementality-measurement-tool</v>
      </c>
      <c r="B282" s="15" t="str">
        <f>IFERROR(__xludf.DUMMYFUNCTION("""COMPUTED_VALUE"""),"9 Best Incrementality Measurement Tools: 2026 Guide")</f>
        <v>9 Best Incrementality Measurement Tools: 2026 Guide</v>
      </c>
      <c r="C282" s="14" t="str">
        <f>IFERROR(__xludf.DUMMYFUNCTION("""COMPUTED_VALUE"""),"cometly.com")</f>
        <v>cometly.com</v>
      </c>
      <c r="D282" s="15" t="str">
        <f>IFERROR(__xludf.DUMMYFUNCTION("""COMPUTED_VALUE"""),"LISTICLE")</f>
        <v>LISTICLE</v>
      </c>
      <c r="E282" s="15" t="str">
        <f>IFERROR(__xludf.DUMMYFUNCTION("""COMPUTED_VALUE"""),"COMPETITOR")</f>
        <v>COMPETITOR</v>
      </c>
      <c r="F282" s="15" t="str">
        <f>IFERROR(__xludf.DUMMYFUNCTION("""COMPUTED_VALUE"""),"Listicle")</f>
        <v>Listicle</v>
      </c>
      <c r="G282" s="15" t="b">
        <f>IFERROR(__xludf.DUMMYFUNCTION("""COMPUTED_VALUE"""),FALSE)</f>
        <v>0</v>
      </c>
      <c r="H282" s="15" t="str">
        <f>IFERROR(__xludf.DUMMYFUNCTION("""COMPUTED_VALUE"""),"Cometly, Measured, Rockerbox, Northbeam, Recast, Haus")</f>
        <v>Cometly, Measured, Rockerbox, Northbeam, Recast, Haus</v>
      </c>
      <c r="I282" s="15">
        <f>IFERROR(__xludf.DUMMYFUNCTION("""COMPUTED_VALUE"""),5.0)</f>
        <v>5</v>
      </c>
      <c r="J282" s="15">
        <f>IFERROR(__xludf.DUMMYFUNCTION("""COMPUTED_VALUE"""),0.0)</f>
        <v>0</v>
      </c>
      <c r="K282" s="15">
        <f>IFERROR(__xludf.DUMMYFUNCTION("""COMPUTED_VALUE"""),0.4)</f>
        <v>0.4</v>
      </c>
      <c r="L282" s="15"/>
    </row>
    <row r="283" ht="15.75" customHeight="1">
      <c r="A283" s="14" t="str">
        <f>IFERROR(__xludf.DUMMYFUNCTION("""COMPUTED_VALUE"""),"https://www.designrush.com/agency/social-media-marketing/uk")</f>
        <v>https://www.designrush.com/agency/social-media-marketing/uk</v>
      </c>
      <c r="B283" s="15" t="str">
        <f>IFERROR(__xludf.DUMMYFUNCTION("""COMPUTED_VALUE"""),"Top Social Media Marketing Companies in the United Kingdom | 2026")</f>
        <v>Top Social Media Marketing Companies in the United Kingdom | 2026</v>
      </c>
      <c r="C283" s="14" t="str">
        <f>IFERROR(__xludf.DUMMYFUNCTION("""COMPUTED_VALUE"""),"designrush.com")</f>
        <v>designrush.com</v>
      </c>
      <c r="D283" s="15" t="str">
        <f>IFERROR(__xludf.DUMMYFUNCTION("""COMPUTED_VALUE"""),"CATEGORY_PAGE")</f>
        <v>CATEGORY_PAGE</v>
      </c>
      <c r="E283" s="15" t="str">
        <f>IFERROR(__xludf.DUMMYFUNCTION("""COMPUTED_VALUE"""),"CORPORATE")</f>
        <v>CORPORATE</v>
      </c>
      <c r="F283" s="15" t="str">
        <f>IFERROR(__xludf.DUMMYFUNCTION("""COMPUTED_VALUE"""),"Category Page")</f>
        <v>Category Page</v>
      </c>
      <c r="G283" s="15" t="b">
        <f>IFERROR(__xludf.DUMMYFUNCTION("""COMPUTED_VALUE"""),FALSE)</f>
        <v>0</v>
      </c>
      <c r="H283" s="15" t="str">
        <f>IFERROR(__xludf.DUMMYFUNCTION("""COMPUTED_VALUE"""),"WebFX, Nielsen, Bird Marketing, Genie Crawl, Favoured, Impression, The SEO Works")</f>
        <v>WebFX, Nielsen, Bird Marketing, Genie Crawl, Favoured, Impression, The SEO Works</v>
      </c>
      <c r="I283" s="15">
        <f>IFERROR(__xludf.DUMMYFUNCTION("""COMPUTED_VALUE"""),5.0)</f>
        <v>5</v>
      </c>
      <c r="J283" s="15">
        <f>IFERROR(__xludf.DUMMYFUNCTION("""COMPUTED_VALUE"""),0.0)</f>
        <v>0</v>
      </c>
      <c r="K283" s="15">
        <f>IFERROR(__xludf.DUMMYFUNCTION("""COMPUTED_VALUE"""),0.0)</f>
        <v>0</v>
      </c>
      <c r="L283" s="15"/>
    </row>
    <row r="284" ht="15.75" customHeight="1">
      <c r="A284" s="14" t="str">
        <f>IFERROR(__xludf.DUMMYFUNCTION("""COMPUTED_VALUE"""),"https://digitalmarketingsupermarket.com/blog/best-ai-marketing-agencies-2026/")</f>
        <v>https://digitalmarketingsupermarket.com/blog/best-ai-marketing-agencies-2026/</v>
      </c>
      <c r="B284" s="15"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284" s="14" t="str">
        <f>IFERROR(__xludf.DUMMYFUNCTION("""COMPUTED_VALUE"""),"digitalmarketingsupermarket.com")</f>
        <v>digitalmarketingsupermarket.com</v>
      </c>
      <c r="D284" s="15" t="str">
        <f>IFERROR(__xludf.DUMMYFUNCTION("""COMPUTED_VALUE"""),"LISTICLE")</f>
        <v>LISTICLE</v>
      </c>
      <c r="E284" s="15" t="str">
        <f>IFERROR(__xludf.DUMMYFUNCTION("""COMPUTED_VALUE"""),"REFERENCE")</f>
        <v>REFERENCE</v>
      </c>
      <c r="F284" s="15" t="str">
        <f>IFERROR(__xludf.DUMMYFUNCTION("""COMPUTED_VALUE"""),"Listicle")</f>
        <v>Listicle</v>
      </c>
      <c r="G284" s="15" t="b">
        <f>IFERROR(__xludf.DUMMYFUNCTION("""COMPUTED_VALUE"""),FALSE)</f>
        <v>0</v>
      </c>
      <c r="H284" s="15" t="str">
        <f>IFERROR(__xludf.DUMMYFUNCTION("""COMPUTED_VALUE"""),"Superside, Single Grain, Dept, NoGood, Ninja Promo, Omniscient Digital, Hallam, Favoured")</f>
        <v>Superside, Single Grain, Dept, NoGood, Ninja Promo, Omniscient Digital, Hallam, Favoured</v>
      </c>
      <c r="I284" s="15">
        <f>IFERROR(__xludf.DUMMYFUNCTION("""COMPUTED_VALUE"""),5.0)</f>
        <v>5</v>
      </c>
      <c r="J284" s="15">
        <f>IFERROR(__xludf.DUMMYFUNCTION("""COMPUTED_VALUE"""),0.0)</f>
        <v>0</v>
      </c>
      <c r="K284" s="15">
        <f>IFERROR(__xludf.DUMMYFUNCTION("""COMPUTED_VALUE"""),0.4)</f>
        <v>0.4</v>
      </c>
      <c r="L284" s="15"/>
    </row>
    <row r="285" ht="15.75" customHeight="1">
      <c r="A285" s="14" t="str">
        <f>IFERROR(__xludf.DUMMYFUNCTION("""COMPUTED_VALUE"""),"https://directiveconsulting.com/uk/blog/25-best-paid-media-agencies-that-turn-ad-spend-into-revenue/")</f>
        <v>https://directiveconsulting.com/uk/blog/25-best-paid-media-agencies-that-turn-ad-spend-into-revenue/</v>
      </c>
      <c r="B285" s="15" t="str">
        <f>IFERROR(__xludf.DUMMYFUNCTION("""COMPUTED_VALUE"""),"25 Best Paid Media Agencies For B2B - Directive")</f>
        <v>25 Best Paid Media Agencies For B2B - Directive</v>
      </c>
      <c r="C285" s="14" t="str">
        <f>IFERROR(__xludf.DUMMYFUNCTION("""COMPUTED_VALUE"""),"directiveconsulting.com")</f>
        <v>directiveconsulting.com</v>
      </c>
      <c r="D285" s="15" t="str">
        <f>IFERROR(__xludf.DUMMYFUNCTION("""COMPUTED_VALUE"""),"LISTICLE")</f>
        <v>LISTICLE</v>
      </c>
      <c r="E285" s="15" t="str">
        <f>IFERROR(__xludf.DUMMYFUNCTION("""COMPUTED_VALUE"""),"COMPETITOR")</f>
        <v>COMPETITOR</v>
      </c>
      <c r="F285" s="15" t="str">
        <f>IFERROR(__xludf.DUMMYFUNCTION("""COMPUTED_VALUE"""),"Listicle")</f>
        <v>Listicle</v>
      </c>
      <c r="G285" s="15" t="b">
        <f>IFERROR(__xludf.DUMMYFUNCTION("""COMPUTED_VALUE"""),FALSE)</f>
        <v>0</v>
      </c>
      <c r="H285" s="15" t="str">
        <f>IFERROR(__xludf.DUMMYFUNCTION("""COMPUTED_VALUE"""),"Directive Consulting, Jellyfish, Brainlabs, Dept, Wpromote, Merkle, WebFX, Disruptive Advertising, Dentsu, Impression")</f>
        <v>Directive Consulting, Jellyfish, Brainlabs, Dept, Wpromote, Merkle, WebFX, Disruptive Advertising, Dentsu, Impression</v>
      </c>
      <c r="I285" s="15">
        <f>IFERROR(__xludf.DUMMYFUNCTION("""COMPUTED_VALUE"""),5.0)</f>
        <v>5</v>
      </c>
      <c r="J285" s="15">
        <f>IFERROR(__xludf.DUMMYFUNCTION("""COMPUTED_VALUE"""),0.0)</f>
        <v>0</v>
      </c>
      <c r="K285" s="15">
        <f>IFERROR(__xludf.DUMMYFUNCTION("""COMPUTED_VALUE"""),0.4)</f>
        <v>0.4</v>
      </c>
      <c r="L285" s="15"/>
    </row>
    <row r="286" ht="15.75" customHeight="1">
      <c r="A286" s="14" t="str">
        <f>IFERROR(__xludf.DUMMYFUNCTION("""COMPUTED_VALUE"""),"https://www.ecomone.com/insights/best-ppc-agencies/")</f>
        <v>https://www.ecomone.com/insights/best-ppc-agencies/</v>
      </c>
      <c r="B286" s="15" t="str">
        <f>IFERROR(__xludf.DUMMYFUNCTION("""COMPUTED_VALUE"""),"Top 10 Best PPC Agencies in the UK | eComOne")</f>
        <v>Top 10 Best PPC Agencies in the UK | eComOne</v>
      </c>
      <c r="C286" s="14" t="str">
        <f>IFERROR(__xludf.DUMMYFUNCTION("""COMPUTED_VALUE"""),"ecomone.com")</f>
        <v>ecomone.com</v>
      </c>
      <c r="D286" s="15" t="str">
        <f>IFERROR(__xludf.DUMMYFUNCTION("""COMPUTED_VALUE"""),"LISTICLE")</f>
        <v>LISTICLE</v>
      </c>
      <c r="E286" s="15" t="str">
        <f>IFERROR(__xludf.DUMMYFUNCTION("""COMPUTED_VALUE"""),"CORPORATE")</f>
        <v>CORPORATE</v>
      </c>
      <c r="F286" s="15" t="str">
        <f>IFERROR(__xludf.DUMMYFUNCTION("""COMPUTED_VALUE"""),"Listicle")</f>
        <v>Listicle</v>
      </c>
      <c r="G286" s="15" t="b">
        <f>IFERROR(__xludf.DUMMYFUNCTION("""COMPUTED_VALUE"""),FALSE)</f>
        <v>0</v>
      </c>
      <c r="H286" s="15" t="str">
        <f>IFERROR(__xludf.DUMMYFUNCTION("""COMPUTED_VALUE"""),"Found, Brainlabs, Bind Media, Propeller, ROAST, Push, Push Group, The Social Shepherd")</f>
        <v>Found, Brainlabs, Bind Media, Propeller, ROAST, Push, Push Group, The Social Shepherd</v>
      </c>
      <c r="I286" s="15">
        <f>IFERROR(__xludf.DUMMYFUNCTION("""COMPUTED_VALUE"""),5.0)</f>
        <v>5</v>
      </c>
      <c r="J286" s="15">
        <f>IFERROR(__xludf.DUMMYFUNCTION("""COMPUTED_VALUE"""),0.0)</f>
        <v>0</v>
      </c>
      <c r="K286" s="15">
        <f>IFERROR(__xludf.DUMMYFUNCTION("""COMPUTED_VALUE"""),1.0)</f>
        <v>1</v>
      </c>
      <c r="L286" s="15"/>
    </row>
    <row r="287" ht="15.75" customHeight="1">
      <c r="A287" s="14" t="str">
        <f>IFERROR(__xludf.DUMMYFUNCTION("""COMPUTED_VALUE"""),"https://www.found.co.uk/blog/best-generative-engine-optimisation-agencies/")</f>
        <v>https://www.found.co.uk/blog/best-generative-engine-optimisation-agencies/</v>
      </c>
      <c r="B287" s="15" t="str">
        <f>IFERROR(__xludf.DUMMYFUNCTION("""COMPUTED_VALUE"""),"The Best Generative Engine Optimisation (GEO) Agencies 2026 \| Found")</f>
        <v>The Best Generative Engine Optimisation (GEO) Agencies 2026 \| Found</v>
      </c>
      <c r="C287" s="14" t="str">
        <f>IFERROR(__xludf.DUMMYFUNCTION("""COMPUTED_VALUE"""),"found.co.uk")</f>
        <v>found.co.uk</v>
      </c>
      <c r="D287" s="15" t="str">
        <f>IFERROR(__xludf.DUMMYFUNCTION("""COMPUTED_VALUE"""),"LISTICLE")</f>
        <v>LISTICLE</v>
      </c>
      <c r="E287" s="15" t="str">
        <f>IFERROR(__xludf.DUMMYFUNCTION("""COMPUTED_VALUE"""),"CORPORATE")</f>
        <v>CORPORATE</v>
      </c>
      <c r="F287" s="15" t="str">
        <f>IFERROR(__xludf.DUMMYFUNCTION("""COMPUTED_VALUE"""),"Listicle")</f>
        <v>Listicle</v>
      </c>
      <c r="G287" s="15" t="b">
        <f>IFERROR(__xludf.DUMMYFUNCTION("""COMPUTED_VALUE"""),FALSE)</f>
        <v>0</v>
      </c>
      <c r="H287" s="15" t="str">
        <f>IFERROR(__xludf.DUMMYFUNCTION("""COMPUTED_VALUE"""),"Found, Jellyfish, Propellernet, Propeller, Hallam")</f>
        <v>Found, Jellyfish, Propellernet, Propeller, Hallam</v>
      </c>
      <c r="I287" s="15">
        <f>IFERROR(__xludf.DUMMYFUNCTION("""COMPUTED_VALUE"""),5.0)</f>
        <v>5</v>
      </c>
      <c r="J287" s="15">
        <f>IFERROR(__xludf.DUMMYFUNCTION("""COMPUTED_VALUE"""),0.0)</f>
        <v>0</v>
      </c>
      <c r="K287" s="15">
        <f>IFERROR(__xludf.DUMMYFUNCTION("""COMPUTED_VALUE"""),1.0)</f>
        <v>1</v>
      </c>
      <c r="L287" s="15"/>
    </row>
    <row r="288" ht="15.75" customHeight="1">
      <c r="A288" s="14" t="str">
        <f>IFERROR(__xludf.DUMMYFUNCTION("""COMPUTED_VALUE"""),"https://www.goodfirms.co/advertising-companies/creative/uk")</f>
        <v>https://www.goodfirms.co/advertising-companies/creative/uk</v>
      </c>
      <c r="B288" s="15" t="str">
        <f>IFERROR(__xludf.DUMMYFUNCTION("""COMPUTED_VALUE"""),"Top Creative Agencies in the United Kingdom - 2026 Reviews | Goodfirms")</f>
        <v>Top Creative Agencies in the United Kingdom - 2026 Reviews | Goodfirms</v>
      </c>
      <c r="C288" s="14" t="str">
        <f>IFERROR(__xludf.DUMMYFUNCTION("""COMPUTED_VALUE"""),"goodfirms.co")</f>
        <v>goodfirms.co</v>
      </c>
      <c r="D288" s="15" t="str">
        <f>IFERROR(__xludf.DUMMYFUNCTION("""COMPUTED_VALUE"""),"CATEGORY_PAGE")</f>
        <v>CATEGORY_PAGE</v>
      </c>
      <c r="E288" s="15" t="str">
        <f>IFERROR(__xludf.DUMMYFUNCTION("""COMPUTED_VALUE"""),"UGC")</f>
        <v>UGC</v>
      </c>
      <c r="F288" s="15" t="str">
        <f>IFERROR(__xludf.DUMMYFUNCTION("""COMPUTED_VALUE"""),"Category Page")</f>
        <v>Category Page</v>
      </c>
      <c r="G288" s="15" t="b">
        <f>IFERROR(__xludf.DUMMYFUNCTION("""COMPUTED_VALUE"""),FALSE)</f>
        <v>0</v>
      </c>
      <c r="H288" s="15" t="str">
        <f>IFERROR(__xludf.DUMMYFUNCTION("""COMPUTED_VALUE"""),"Haus, Found")</f>
        <v>Haus, Found</v>
      </c>
      <c r="I288" s="15">
        <f>IFERROR(__xludf.DUMMYFUNCTION("""COMPUTED_VALUE"""),5.0)</f>
        <v>5</v>
      </c>
      <c r="J288" s="15">
        <f>IFERROR(__xludf.DUMMYFUNCTION("""COMPUTED_VALUE"""),0.0)</f>
        <v>0</v>
      </c>
      <c r="K288" s="15">
        <f>IFERROR(__xludf.DUMMYFUNCTION("""COMPUTED_VALUE"""),0.0)</f>
        <v>0</v>
      </c>
      <c r="L288" s="15"/>
    </row>
    <row r="289" ht="15.75" customHeight="1">
      <c r="A289" s="14" t="str">
        <f>IFERROR(__xludf.DUMMYFUNCTION("""COMPUTED_VALUE"""),"https://www.goodfirms.co/directory/country/top-digital-marketing-companies/advertising-ppc/uk")</f>
        <v>https://www.goodfirms.co/directory/country/top-digital-marketing-companies/advertising-ppc/uk</v>
      </c>
      <c r="B289" s="15" t="str">
        <f>IFERROR(__xludf.DUMMYFUNCTION("""COMPUTED_VALUE"""),"Top PPC Agencies in the UK - 2026 Reviews | Goodfirms")</f>
        <v>Top PPC Agencies in the UK - 2026 Reviews | Goodfirms</v>
      </c>
      <c r="C289" s="14" t="str">
        <f>IFERROR(__xludf.DUMMYFUNCTION("""COMPUTED_VALUE"""),"goodfirms.co")</f>
        <v>goodfirms.co</v>
      </c>
      <c r="D289" s="15" t="str">
        <f>IFERROR(__xludf.DUMMYFUNCTION("""COMPUTED_VALUE"""),"CATEGORY_PAGE")</f>
        <v>CATEGORY_PAGE</v>
      </c>
      <c r="E289" s="15" t="str">
        <f>IFERROR(__xludf.DUMMYFUNCTION("""COMPUTED_VALUE"""),"UGC")</f>
        <v>UGC</v>
      </c>
      <c r="F289" s="15" t="str">
        <f>IFERROR(__xludf.DUMMYFUNCTION("""COMPUTED_VALUE"""),"Category Page")</f>
        <v>Category Page</v>
      </c>
      <c r="G289" s="15" t="b">
        <f>IFERROR(__xludf.DUMMYFUNCTION("""COMPUTED_VALUE"""),FALSE)</f>
        <v>0</v>
      </c>
      <c r="H289" s="15" t="str">
        <f>IFERROR(__xludf.DUMMYFUNCTION("""COMPUTED_VALUE"""),"WebFX, The SEO Works, Bird Marketing, Push, Found")</f>
        <v>WebFX, The SEO Works, Bird Marketing, Push, Found</v>
      </c>
      <c r="I289" s="15">
        <f>IFERROR(__xludf.DUMMYFUNCTION("""COMPUTED_VALUE"""),5.0)</f>
        <v>5</v>
      </c>
      <c r="J289" s="15">
        <f>IFERROR(__xludf.DUMMYFUNCTION("""COMPUTED_VALUE"""),0.0)</f>
        <v>0</v>
      </c>
      <c r="K289" s="15">
        <f>IFERROR(__xludf.DUMMYFUNCTION("""COMPUTED_VALUE"""),0.0)</f>
        <v>0</v>
      </c>
      <c r="L289" s="15"/>
    </row>
    <row r="290" ht="15.75" customHeight="1">
      <c r="A290" s="14" t="str">
        <f>IFERROR(__xludf.DUMMYFUNCTION("""COMPUTED_VALUE"""),"https://www.inbeat.co/articles/marketing-agencies-in-uk/")</f>
        <v>https://www.inbeat.co/articles/marketing-agencies-in-uk/</v>
      </c>
      <c r="B290" s="15" t="str">
        <f>IFERROR(__xludf.DUMMYFUNCTION("""COMPUTED_VALUE"""),"16 Best Marketing Agencies in the UK as of 2026")</f>
        <v>16 Best Marketing Agencies in the UK as of 2026</v>
      </c>
      <c r="C290" s="14" t="str">
        <f>IFERROR(__xludf.DUMMYFUNCTION("""COMPUTED_VALUE"""),"inbeat.co")</f>
        <v>inbeat.co</v>
      </c>
      <c r="D290" s="15" t="str">
        <f>IFERROR(__xludf.DUMMYFUNCTION("""COMPUTED_VALUE"""),"LISTICLE")</f>
        <v>LISTICLE</v>
      </c>
      <c r="E290" s="15" t="str">
        <f>IFERROR(__xludf.DUMMYFUNCTION("""COMPUTED_VALUE"""),"CORPORATE")</f>
        <v>CORPORATE</v>
      </c>
      <c r="F290" s="15" t="str">
        <f>IFERROR(__xludf.DUMMYFUNCTION("""COMPUTED_VALUE"""),"Listicle")</f>
        <v>Listicle</v>
      </c>
      <c r="G290" s="15" t="b">
        <f>IFERROR(__xludf.DUMMYFUNCTION("""COMPUTED_VALUE"""),FALSE)</f>
        <v>0</v>
      </c>
      <c r="H290" s="15" t="str">
        <f>IFERROR(__xludf.DUMMYFUNCTION("""COMPUTED_VALUE"""),"inBeat, M3.agency, Dept, Ninja Promo, Nielsen, iCrossing, NP Digital, Push, Huge, Found, Make Agency")</f>
        <v>inBeat, M3.agency, Dept, Ninja Promo, Nielsen, iCrossing, NP Digital, Push, Huge, Found, Make Agency</v>
      </c>
      <c r="I290" s="15">
        <f>IFERROR(__xludf.DUMMYFUNCTION("""COMPUTED_VALUE"""),5.0)</f>
        <v>5</v>
      </c>
      <c r="J290" s="15">
        <f>IFERROR(__xludf.DUMMYFUNCTION("""COMPUTED_VALUE"""),0.0)</f>
        <v>0</v>
      </c>
      <c r="K290" s="15">
        <f>IFERROR(__xludf.DUMMYFUNCTION("""COMPUTED_VALUE"""),0.4)</f>
        <v>0.4</v>
      </c>
      <c r="L290" s="15"/>
    </row>
    <row r="291" ht="15.75" customHeight="1">
      <c r="A291" s="14" t="str">
        <f>IFERROR(__xludf.DUMMYFUNCTION("""COMPUTED_VALUE"""),"https://www.magnetic-london.co.uk/post/best-digital-marketing-agencies-in-the-uk-for-2026-what-they-do-why-it-matters-and-top-picks")</f>
        <v>https://www.magnetic-london.co.uk/post/best-digital-marketing-agencies-in-the-uk-for-2026-what-they-do-why-it-matters-and-top-picks</v>
      </c>
      <c r="B291" s="15" t="str">
        <f>IFERROR(__xludf.DUMMYFUNCTION("""COMPUTED_VALUE"""),"Best Digital Marketing Agencies in the UK for 2026: What They Do, Why It Matters, and Top Picks")</f>
        <v>Best Digital Marketing Agencies in the UK for 2026: What They Do, Why It Matters, and Top Picks</v>
      </c>
      <c r="C291" s="14" t="str">
        <f>IFERROR(__xludf.DUMMYFUNCTION("""COMPUTED_VALUE"""),"magnetic-london.co.uk")</f>
        <v>magnetic-london.co.uk</v>
      </c>
      <c r="D291" s="15" t="str">
        <f>IFERROR(__xludf.DUMMYFUNCTION("""COMPUTED_VALUE"""),"LISTICLE")</f>
        <v>LISTICLE</v>
      </c>
      <c r="E291" s="15" t="str">
        <f>IFERROR(__xludf.DUMMYFUNCTION("""COMPUTED_VALUE"""),"CORPORATE")</f>
        <v>CORPORATE</v>
      </c>
      <c r="F291" s="15" t="str">
        <f>IFERROR(__xludf.DUMMYFUNCTION("""COMPUTED_VALUE"""),"Listicle")</f>
        <v>Listicle</v>
      </c>
      <c r="G291" s="15" t="b">
        <f>IFERROR(__xludf.DUMMYFUNCTION("""COMPUTED_VALUE"""),FALSE)</f>
        <v>0</v>
      </c>
      <c r="H291" s="15" t="str">
        <f>IFERROR(__xludf.DUMMYFUNCTION("""COMPUTED_VALUE"""),"Push, Hallam, Impression, M3.agency, Brainlabs")</f>
        <v>Push, Hallam, Impression, M3.agency, Brainlabs</v>
      </c>
      <c r="I291" s="15">
        <f>IFERROR(__xludf.DUMMYFUNCTION("""COMPUTED_VALUE"""),5.0)</f>
        <v>5</v>
      </c>
      <c r="J291" s="15">
        <f>IFERROR(__xludf.DUMMYFUNCTION("""COMPUTED_VALUE"""),0.0)</f>
        <v>0</v>
      </c>
      <c r="K291" s="15">
        <f>IFERROR(__xludf.DUMMYFUNCTION("""COMPUTED_VALUE"""),0.4)</f>
        <v>0.4</v>
      </c>
      <c r="L291" s="15"/>
    </row>
    <row r="292" ht="15.75" customHeight="1">
      <c r="A292" s="14" t="str">
        <f>IFERROR(__xludf.DUMMYFUNCTION("""COMPUTED_VALUE"""),"https://ninjapromo.io/top-digital-marketing-agencies-in-the-uk")</f>
        <v>https://ninjapromo.io/top-digital-marketing-agencies-in-the-uk</v>
      </c>
      <c r="B292" s="15" t="str">
        <f>IFERROR(__xludf.DUMMYFUNCTION("""COMPUTED_VALUE"""),"14 Best Digital Marketing Agencies in the UK for 2026")</f>
        <v>14 Best Digital Marketing Agencies in the UK for 2026</v>
      </c>
      <c r="C292" s="14" t="str">
        <f>IFERROR(__xludf.DUMMYFUNCTION("""COMPUTED_VALUE"""),"ninjapromo.io")</f>
        <v>ninjapromo.io</v>
      </c>
      <c r="D292" s="15" t="str">
        <f>IFERROR(__xludf.DUMMYFUNCTION("""COMPUTED_VALUE"""),"LISTICLE")</f>
        <v>LISTICLE</v>
      </c>
      <c r="E292" s="15" t="str">
        <f>IFERROR(__xludf.DUMMYFUNCTION("""COMPUTED_VALUE"""),"COMPETITOR")</f>
        <v>COMPETITOR</v>
      </c>
      <c r="F292" s="15" t="str">
        <f>IFERROR(__xludf.DUMMYFUNCTION("""COMPUTED_VALUE"""),"Listicle")</f>
        <v>Listicle</v>
      </c>
      <c r="G292" s="15" t="b">
        <f>IFERROR(__xludf.DUMMYFUNCTION("""COMPUTED_VALUE"""),FALSE)</f>
        <v>0</v>
      </c>
      <c r="H292" s="15" t="str">
        <f>IFERROR(__xludf.DUMMYFUNCTION("""COMPUTED_VALUE"""),"Ninja Promo, Publicis Groupe, Push, Push Group, Impression, LOCALiQ, Passion Digital, Dept")</f>
        <v>Ninja Promo, Publicis Groupe, Push, Push Group, Impression, LOCALiQ, Passion Digital, Dept</v>
      </c>
      <c r="I292" s="15">
        <f>IFERROR(__xludf.DUMMYFUNCTION("""COMPUTED_VALUE"""),5.0)</f>
        <v>5</v>
      </c>
      <c r="J292" s="15">
        <f>IFERROR(__xludf.DUMMYFUNCTION("""COMPUTED_VALUE"""),0.0)</f>
        <v>0</v>
      </c>
      <c r="K292" s="15">
        <f>IFERROR(__xludf.DUMMYFUNCTION("""COMPUTED_VALUE"""),0.0)</f>
        <v>0</v>
      </c>
      <c r="L292" s="15"/>
    </row>
    <row r="293" ht="15.75" customHeight="1">
      <c r="A293" s="14" t="str">
        <f>IFERROR(__xludf.DUMMYFUNCTION("""COMPUTED_VALUE"""),"https://www.nutshell.com/blog/top-geo-agencies")</f>
        <v>https://www.nutshell.com/blog/top-geo-agencies</v>
      </c>
      <c r="B293" s="15" t="str">
        <f>IFERROR(__xludf.DUMMYFUNCTION("""COMPUTED_VALUE"""),"The 10 Top GEO Agencies of 2026 (Reviewed)")</f>
        <v>The 10 Top GEO Agencies of 2026 (Reviewed)</v>
      </c>
      <c r="C293" s="14" t="str">
        <f>IFERROR(__xludf.DUMMYFUNCTION("""COMPUTED_VALUE"""),"nutshell.com")</f>
        <v>nutshell.com</v>
      </c>
      <c r="D293" s="15" t="str">
        <f>IFERROR(__xludf.DUMMYFUNCTION("""COMPUTED_VALUE"""),"LISTICLE")</f>
        <v>LISTICLE</v>
      </c>
      <c r="E293" s="15" t="str">
        <f>IFERROR(__xludf.DUMMYFUNCTION("""COMPUTED_VALUE"""),"CORPORATE")</f>
        <v>CORPORATE</v>
      </c>
      <c r="F293" s="15" t="str">
        <f>IFERROR(__xludf.DUMMYFUNCTION("""COMPUTED_VALUE"""),"Listicle")</f>
        <v>Listicle</v>
      </c>
      <c r="G293" s="15" t="b">
        <f>IFERROR(__xludf.DUMMYFUNCTION("""COMPUTED_VALUE"""),FALSE)</f>
        <v>0</v>
      </c>
      <c r="H293" s="15" t="str">
        <f>IFERROR(__xludf.DUMMYFUNCTION("""COMPUTED_VALUE"""),"WebFX, Siege Media, The SEO Works")</f>
        <v>WebFX, Siege Media, The SEO Works</v>
      </c>
      <c r="I293" s="15">
        <f>IFERROR(__xludf.DUMMYFUNCTION("""COMPUTED_VALUE"""),5.0)</f>
        <v>5</v>
      </c>
      <c r="J293" s="15">
        <f>IFERROR(__xludf.DUMMYFUNCTION("""COMPUTED_VALUE"""),0.0)</f>
        <v>0</v>
      </c>
      <c r="K293" s="15">
        <f>IFERROR(__xludf.DUMMYFUNCTION("""COMPUTED_VALUE"""),0.6)</f>
        <v>0.6</v>
      </c>
      <c r="L293" s="15"/>
    </row>
    <row r="294" ht="15.75" customHeight="1">
      <c r="A294" s="14" t="str">
        <f>IFERROR(__xludf.DUMMYFUNCTION("""COMPUTED_VALUE"""),"https://www.phable.io/top-branding-agencies/top-branding-agencies-in-the-uk-2025-leaders-in-creative-identity")</f>
        <v>https://www.phable.io/top-branding-agencies/top-branding-agencies-in-the-uk-2025-leaders-in-creative-identity</v>
      </c>
      <c r="B294" s="15" t="str">
        <f>IFERROR(__xludf.DUMMYFUNCTION("""COMPUTED_VALUE"""),"Top Branding Agencies for Technology Companies in the UK in 2026: 12 Firms Reviewed by Specialism, Stage and Fit — Branding And Content Marketing For Technology")</f>
        <v>Top Branding Agencies for Technology Companies in the UK in 2026: 12 Firms Reviewed by Specialism, Stage and Fit — Branding And Content Marketing For Technology</v>
      </c>
      <c r="C294" s="14" t="str">
        <f>IFERROR(__xludf.DUMMYFUNCTION("""COMPUTED_VALUE"""),"phable.io")</f>
        <v>phable.io</v>
      </c>
      <c r="D294" s="15" t="str">
        <f>IFERROR(__xludf.DUMMYFUNCTION("""COMPUTED_VALUE"""),"LISTICLE")</f>
        <v>LISTICLE</v>
      </c>
      <c r="E294" s="15" t="str">
        <f>IFERROR(__xludf.DUMMYFUNCTION("""COMPUTED_VALUE"""),"CORPORATE")</f>
        <v>CORPORATE</v>
      </c>
      <c r="F294" s="15" t="str">
        <f>IFERROR(__xludf.DUMMYFUNCTION("""COMPUTED_VALUE"""),"Listicle")</f>
        <v>Listicle</v>
      </c>
      <c r="G294" s="15" t="b">
        <f>IFERROR(__xludf.DUMMYFUNCTION("""COMPUTED_VALUE"""),FALSE)</f>
        <v>0</v>
      </c>
      <c r="H294" s="15" t="str">
        <f>IFERROR(__xludf.DUMMYFUNCTION("""COMPUTED_VALUE"""),"Measured")</f>
        <v>Measured</v>
      </c>
      <c r="I294" s="15">
        <f>IFERROR(__xludf.DUMMYFUNCTION("""COMPUTED_VALUE"""),5.0)</f>
        <v>5</v>
      </c>
      <c r="J294" s="15">
        <f>IFERROR(__xludf.DUMMYFUNCTION("""COMPUTED_VALUE"""),0.0)</f>
        <v>0</v>
      </c>
      <c r="K294" s="15">
        <f>IFERROR(__xludf.DUMMYFUNCTION("""COMPUTED_VALUE"""),0.6)</f>
        <v>0.6</v>
      </c>
      <c r="L294" s="15"/>
    </row>
    <row r="295" ht="15.75" customHeight="1">
      <c r="A295" s="14" t="str">
        <f>IFERROR(__xludf.DUMMYFUNCTION("""COMPUTED_VALUE"""),"https://www.phable.io/top-branding-agencies/top-branding-agencies-in-the-uk-experts-in-building-iconic-identities")</f>
        <v>https://www.phable.io/top-branding-agencies/top-branding-agencies-in-the-uk-experts-in-building-iconic-identities</v>
      </c>
      <c r="B295" s="15" t="str">
        <f>IFERROR(__xludf.DUMMYFUNCTION("""COMPUTED_VALUE"""),"Top Branding Agencies in the UK | Leaders in Building Iconic Identities — Branding And Content Marketing For Technology")</f>
        <v>Top Branding Agencies in the UK | Leaders in Building Iconic Identities — Branding And Content Marketing For Technology</v>
      </c>
      <c r="C295" s="14" t="str">
        <f>IFERROR(__xludf.DUMMYFUNCTION("""COMPUTED_VALUE"""),"phable.io")</f>
        <v>phable.io</v>
      </c>
      <c r="D295" s="15" t="str">
        <f>IFERROR(__xludf.DUMMYFUNCTION("""COMPUTED_VALUE"""),"LISTICLE")</f>
        <v>LISTICLE</v>
      </c>
      <c r="E295" s="15" t="str">
        <f>IFERROR(__xludf.DUMMYFUNCTION("""COMPUTED_VALUE"""),"CORPORATE")</f>
        <v>CORPORATE</v>
      </c>
      <c r="F295" s="15" t="str">
        <f>IFERROR(__xludf.DUMMYFUNCTION("""COMPUTED_VALUE"""),"Listicle")</f>
        <v>Listicle</v>
      </c>
      <c r="G295" s="15" t="b">
        <f>IFERROR(__xludf.DUMMYFUNCTION("""COMPUTED_VALUE"""),FALSE)</f>
        <v>0</v>
      </c>
      <c r="H295" s="15" t="str">
        <f>IFERROR(__xludf.DUMMYFUNCTION("""COMPUTED_VALUE"""),"Momentum, Further Group")</f>
        <v>Momentum, Further Group</v>
      </c>
      <c r="I295" s="15">
        <f>IFERROR(__xludf.DUMMYFUNCTION("""COMPUTED_VALUE"""),5.0)</f>
        <v>5</v>
      </c>
      <c r="J295" s="15">
        <f>IFERROR(__xludf.DUMMYFUNCTION("""COMPUTED_VALUE"""),0.0)</f>
        <v>0</v>
      </c>
      <c r="K295" s="15">
        <f>IFERROR(__xludf.DUMMYFUNCTION("""COMPUTED_VALUE"""),1.0)</f>
        <v>1</v>
      </c>
      <c r="L295" s="15"/>
    </row>
    <row r="296" ht="15.75" customHeight="1">
      <c r="A296" s="14" t="str">
        <f>IFERROR(__xludf.DUMMYFUNCTION("""COMPUTED_VALUE"""),"https://ppcgeeks.co.uk/ppc/programmatic-advertising-companies/")</f>
        <v>https://ppcgeeks.co.uk/ppc/programmatic-advertising-companies/</v>
      </c>
      <c r="B296" s="15" t="str">
        <f>IFERROR(__xludf.DUMMYFUNCTION("""COMPUTED_VALUE"""),"7 Top Programmatic Advertising Companies in the UK (2026) - PPC Geeks Blog")</f>
        <v>7 Top Programmatic Advertising Companies in the UK (2026) - PPC Geeks Blog</v>
      </c>
      <c r="C296" s="14" t="str">
        <f>IFERROR(__xludf.DUMMYFUNCTION("""COMPUTED_VALUE"""),"ppcgeeks.co.uk")</f>
        <v>ppcgeeks.co.uk</v>
      </c>
      <c r="D296" s="15" t="str">
        <f>IFERROR(__xludf.DUMMYFUNCTION("""COMPUTED_VALUE"""),"LISTICLE")</f>
        <v>LISTICLE</v>
      </c>
      <c r="E296" s="15" t="str">
        <f>IFERROR(__xludf.DUMMYFUNCTION("""COMPUTED_VALUE"""),"COMPETITOR")</f>
        <v>COMPETITOR</v>
      </c>
      <c r="F296" s="15" t="str">
        <f>IFERROR(__xludf.DUMMYFUNCTION("""COMPUTED_VALUE"""),"Listicle")</f>
        <v>Listicle</v>
      </c>
      <c r="G296" s="15" t="b">
        <f>IFERROR(__xludf.DUMMYFUNCTION("""COMPUTED_VALUE"""),FALSE)</f>
        <v>0</v>
      </c>
      <c r="H296" s="15" t="str">
        <f>IFERROR(__xludf.DUMMYFUNCTION("""COMPUTED_VALUE"""),"PPC Geeks, Measured, Found")</f>
        <v>PPC Geeks, Measured, Found</v>
      </c>
      <c r="I296" s="15">
        <f>IFERROR(__xludf.DUMMYFUNCTION("""COMPUTED_VALUE"""),5.0)</f>
        <v>5</v>
      </c>
      <c r="J296" s="15">
        <f>IFERROR(__xludf.DUMMYFUNCTION("""COMPUTED_VALUE"""),0.0)</f>
        <v>0</v>
      </c>
      <c r="K296" s="15">
        <f>IFERROR(__xludf.DUMMYFUNCTION("""COMPUTED_VALUE"""),0.4)</f>
        <v>0.4</v>
      </c>
      <c r="L296" s="15"/>
    </row>
    <row r="297" ht="15.75" customHeight="1">
      <c r="A297" s="14" t="str">
        <f>IFERROR(__xludf.DUMMYFUNCTION("""COMPUTED_VALUE"""),"https://socialchameleon.com/30-marketing-agencies-uk/")</f>
        <v>https://socialchameleon.com/30-marketing-agencies-uk/</v>
      </c>
      <c r="B297" s="15" t="str">
        <f>IFERROR(__xludf.DUMMYFUNCTION("""COMPUTED_VALUE"""),"Top 30 Marketing Agencies in the UK | Social Chameleon")</f>
        <v>Top 30 Marketing Agencies in the UK | Social Chameleon</v>
      </c>
      <c r="C297" s="14" t="str">
        <f>IFERROR(__xludf.DUMMYFUNCTION("""COMPUTED_VALUE"""),"socialchameleon.com")</f>
        <v>socialchameleon.com</v>
      </c>
      <c r="D297" s="15" t="str">
        <f>IFERROR(__xludf.DUMMYFUNCTION("""COMPUTED_VALUE"""),"LISTICLE")</f>
        <v>LISTICLE</v>
      </c>
      <c r="E297" s="15" t="str">
        <f>IFERROR(__xludf.DUMMYFUNCTION("""COMPUTED_VALUE"""),"CORPORATE")</f>
        <v>CORPORATE</v>
      </c>
      <c r="F297" s="15" t="str">
        <f>IFERROR(__xludf.DUMMYFUNCTION("""COMPUTED_VALUE"""),"Listicle")</f>
        <v>Listicle</v>
      </c>
      <c r="G297" s="15" t="b">
        <f>IFERROR(__xludf.DUMMYFUNCTION("""COMPUTED_VALUE"""),FALSE)</f>
        <v>0</v>
      </c>
      <c r="H297" s="15" t="str">
        <f>IFERROR(__xludf.DUMMYFUNCTION("""COMPUTED_VALUE"""),"Found, Ogilvy, Huge, BBH London, Dentsu, Mother London, Screaming Frog, The Good Marketer")</f>
        <v>Found, Ogilvy, Huge, BBH London, Dentsu, Mother London, Screaming Frog, The Good Marketer</v>
      </c>
      <c r="I297" s="15">
        <f>IFERROR(__xludf.DUMMYFUNCTION("""COMPUTED_VALUE"""),5.0)</f>
        <v>5</v>
      </c>
      <c r="J297" s="15">
        <f>IFERROR(__xludf.DUMMYFUNCTION("""COMPUTED_VALUE"""),0.0)</f>
        <v>0</v>
      </c>
      <c r="K297" s="15">
        <f>IFERROR(__xludf.DUMMYFUNCTION("""COMPUTED_VALUE"""),1.6)</f>
        <v>1.6</v>
      </c>
      <c r="L297" s="15"/>
    </row>
    <row r="298" ht="15.75" customHeight="1">
      <c r="A298" s="14" t="str">
        <f>IFERROR(__xludf.DUMMYFUNCTION("""COMPUTED_VALUE"""),"https://www.sortlist.co.uk/branding/united-kingdom-gb")</f>
        <v>https://www.sortlist.co.uk/branding/united-kingdom-gb</v>
      </c>
      <c r="B298" s="15" t="str">
        <f>IFERROR(__xludf.DUMMYFUNCTION("""COMPUTED_VALUE"""),"The 10 Best Branding Agencies in The United Kingdom - 2026 Reviews")</f>
        <v>The 10 Best Branding Agencies in The United Kingdom - 2026 Reviews</v>
      </c>
      <c r="C298" s="14" t="str">
        <f>IFERROR(__xludf.DUMMYFUNCTION("""COMPUTED_VALUE"""),"sortlist.co.uk")</f>
        <v>sortlist.co.uk</v>
      </c>
      <c r="D298" s="15" t="str">
        <f>IFERROR(__xludf.DUMMYFUNCTION("""COMPUTED_VALUE"""),"CATEGORY_PAGE")</f>
        <v>CATEGORY_PAGE</v>
      </c>
      <c r="E298" s="15" t="str">
        <f>IFERROR(__xludf.DUMMYFUNCTION("""COMPUTED_VALUE"""),"REFERENCE")</f>
        <v>REFERENCE</v>
      </c>
      <c r="F298" s="15" t="str">
        <f>IFERROR(__xludf.DUMMYFUNCTION("""COMPUTED_VALUE"""),"Category Page")</f>
        <v>Category Page</v>
      </c>
      <c r="G298" s="15" t="b">
        <f>IFERROR(__xludf.DUMMYFUNCTION("""COMPUTED_VALUE"""),FALSE)</f>
        <v>0</v>
      </c>
      <c r="H298" s="15" t="str">
        <f>IFERROR(__xludf.DUMMYFUNCTION("""COMPUTED_VALUE"""),"Momentum, M3.agency, Found, McKinsey &amp; Company")</f>
        <v>Momentum, M3.agency, Found, McKinsey &amp; Company</v>
      </c>
      <c r="I298" s="15">
        <f>IFERROR(__xludf.DUMMYFUNCTION("""COMPUTED_VALUE"""),5.0)</f>
        <v>5</v>
      </c>
      <c r="J298" s="15">
        <f>IFERROR(__xludf.DUMMYFUNCTION("""COMPUTED_VALUE"""),0.0)</f>
        <v>0</v>
      </c>
      <c r="K298" s="15">
        <f>IFERROR(__xludf.DUMMYFUNCTION("""COMPUTED_VALUE"""),0.0)</f>
        <v>0</v>
      </c>
      <c r="L298" s="15"/>
    </row>
    <row r="299" ht="15.75" customHeight="1">
      <c r="A299" s="14" t="str">
        <f>IFERROR(__xludf.DUMMYFUNCTION("""COMPUTED_VALUE"""),"https://www.sortlist.co.uk/digital-marketing/united-kingdom-gb")</f>
        <v>https://www.sortlist.co.uk/digital-marketing/united-kingdom-gb</v>
      </c>
      <c r="B299" s="15" t="str">
        <f>IFERROR(__xludf.DUMMYFUNCTION("""COMPUTED_VALUE"""),"100+ Top Digital Marketing Agencies in the UK - 2026 Reviews")</f>
        <v>100+ Top Digital Marketing Agencies in the UK - 2026 Reviews</v>
      </c>
      <c r="C299" s="14" t="str">
        <f>IFERROR(__xludf.DUMMYFUNCTION("""COMPUTED_VALUE"""),"sortlist.co.uk")</f>
        <v>sortlist.co.uk</v>
      </c>
      <c r="D299" s="15" t="str">
        <f>IFERROR(__xludf.DUMMYFUNCTION("""COMPUTED_VALUE"""),"CATEGORY_PAGE")</f>
        <v>CATEGORY_PAGE</v>
      </c>
      <c r="E299" s="15" t="str">
        <f>IFERROR(__xludf.DUMMYFUNCTION("""COMPUTED_VALUE"""),"REFERENCE")</f>
        <v>REFERENCE</v>
      </c>
      <c r="F299" s="15" t="str">
        <f>IFERROR(__xludf.DUMMYFUNCTION("""COMPUTED_VALUE"""),"Category Page")</f>
        <v>Category Page</v>
      </c>
      <c r="G299" s="15" t="b">
        <f>IFERROR(__xludf.DUMMYFUNCTION("""COMPUTED_VALUE"""),FALSE)</f>
        <v>0</v>
      </c>
      <c r="H299" s="15" t="str">
        <f>IFERROR(__xludf.DUMMYFUNCTION("""COMPUTED_VALUE"""),"Found, Momentum, M3.agency")</f>
        <v>Found, Momentum, M3.agency</v>
      </c>
      <c r="I299" s="15">
        <f>IFERROR(__xludf.DUMMYFUNCTION("""COMPUTED_VALUE"""),5.0)</f>
        <v>5</v>
      </c>
      <c r="J299" s="15">
        <f>IFERROR(__xludf.DUMMYFUNCTION("""COMPUTED_VALUE"""),0.0)</f>
        <v>0</v>
      </c>
      <c r="K299" s="15">
        <f>IFERROR(__xludf.DUMMYFUNCTION("""COMPUTED_VALUE"""),0.0)</f>
        <v>0</v>
      </c>
      <c r="L299" s="15"/>
    </row>
    <row r="300" ht="15.75" customHeight="1">
      <c r="A300" s="14" t="str">
        <f>IFERROR(__xludf.DUMMYFUNCTION("""COMPUTED_VALUE"""),"https://www.sortlist.co.uk/media-planning/united-kingdom-gb")</f>
        <v>https://www.sortlist.co.uk/media-planning/united-kingdom-gb</v>
      </c>
      <c r="B300" s="15" t="str">
        <f>IFERROR(__xludf.DUMMYFUNCTION("""COMPUTED_VALUE"""),"The 10 Best Media Agencies in The United Kingdom - 2026 Reviews")</f>
        <v>The 10 Best Media Agencies in The United Kingdom - 2026 Reviews</v>
      </c>
      <c r="C300" s="14" t="str">
        <f>IFERROR(__xludf.DUMMYFUNCTION("""COMPUTED_VALUE"""),"sortlist.co.uk")</f>
        <v>sortlist.co.uk</v>
      </c>
      <c r="D300" s="15" t="str">
        <f>IFERROR(__xludf.DUMMYFUNCTION("""COMPUTED_VALUE"""),"CATEGORY_PAGE")</f>
        <v>CATEGORY_PAGE</v>
      </c>
      <c r="E300" s="15" t="str">
        <f>IFERROR(__xludf.DUMMYFUNCTION("""COMPUTED_VALUE"""),"REFERENCE")</f>
        <v>REFERENCE</v>
      </c>
      <c r="F300" s="15" t="str">
        <f>IFERROR(__xludf.DUMMYFUNCTION("""COMPUTED_VALUE"""),"Category Page")</f>
        <v>Category Page</v>
      </c>
      <c r="G300" s="15" t="b">
        <f>IFERROR(__xludf.DUMMYFUNCTION("""COMPUTED_VALUE"""),FALSE)</f>
        <v>0</v>
      </c>
      <c r="H300" s="15" t="str">
        <f>IFERROR(__xludf.DUMMYFUNCTION("""COMPUTED_VALUE"""),"Momentum, M3.agency, Ninja Promo, YouGov, Kantar")</f>
        <v>Momentum, M3.agency, Ninja Promo, YouGov, Kantar</v>
      </c>
      <c r="I300" s="15">
        <f>IFERROR(__xludf.DUMMYFUNCTION("""COMPUTED_VALUE"""),5.0)</f>
        <v>5</v>
      </c>
      <c r="J300" s="15">
        <f>IFERROR(__xludf.DUMMYFUNCTION("""COMPUTED_VALUE"""),0.0)</f>
        <v>0</v>
      </c>
      <c r="K300" s="15">
        <f>IFERROR(__xludf.DUMMYFUNCTION("""COMPUTED_VALUE"""),0.0)</f>
        <v>0</v>
      </c>
      <c r="L300" s="15"/>
    </row>
    <row r="301" ht="15.75" customHeight="1">
      <c r="A301" s="14" t="str">
        <f>IFERROR(__xludf.DUMMYFUNCTION("""COMPUTED_VALUE"""),"https://www.sortlist.co.uk/s/attribution-marketing/united-kingdom-gb")</f>
        <v>https://www.sortlist.co.uk/s/attribution-marketing/united-kingdom-gb</v>
      </c>
      <c r="B301" s="15" t="str">
        <f>IFERROR(__xludf.DUMMYFUNCTION("""COMPUTED_VALUE"""),"The 10 Best Attribution Marketing Agencies in The United Kingdom - 2026 Reviews")</f>
        <v>The 10 Best Attribution Marketing Agencies in The United Kingdom - 2026 Reviews</v>
      </c>
      <c r="C301" s="14" t="str">
        <f>IFERROR(__xludf.DUMMYFUNCTION("""COMPUTED_VALUE"""),"sortlist.co.uk")</f>
        <v>sortlist.co.uk</v>
      </c>
      <c r="D301" s="15" t="str">
        <f>IFERROR(__xludf.DUMMYFUNCTION("""COMPUTED_VALUE"""),"CATEGORY_PAGE")</f>
        <v>CATEGORY_PAGE</v>
      </c>
      <c r="E301" s="15" t="str">
        <f>IFERROR(__xludf.DUMMYFUNCTION("""COMPUTED_VALUE"""),"REFERENCE")</f>
        <v>REFERENCE</v>
      </c>
      <c r="F301" s="15" t="str">
        <f>IFERROR(__xludf.DUMMYFUNCTION("""COMPUTED_VALUE"""),"Category Page")</f>
        <v>Category Page</v>
      </c>
      <c r="G301" s="15" t="b">
        <f>IFERROR(__xludf.DUMMYFUNCTION("""COMPUTED_VALUE"""),FALSE)</f>
        <v>0</v>
      </c>
      <c r="H301" s="15" t="str">
        <f>IFERROR(__xludf.DUMMYFUNCTION("""COMPUTED_VALUE"""),"GA Agency")</f>
        <v>GA Agency</v>
      </c>
      <c r="I301" s="15">
        <f>IFERROR(__xludf.DUMMYFUNCTION("""COMPUTED_VALUE"""),5.0)</f>
        <v>5</v>
      </c>
      <c r="J301" s="15">
        <f>IFERROR(__xludf.DUMMYFUNCTION("""COMPUTED_VALUE"""),0.0)</f>
        <v>0</v>
      </c>
      <c r="K301" s="15">
        <f>IFERROR(__xludf.DUMMYFUNCTION("""COMPUTED_VALUE"""),0.6)</f>
        <v>0.6</v>
      </c>
      <c r="L301" s="15"/>
    </row>
    <row r="302" ht="15.75" customHeight="1">
      <c r="A302" s="14" t="str">
        <f>IFERROR(__xludf.DUMMYFUNCTION("""COMPUTED_VALUE"""),"https://www.sortlist.com/i/s/data-driven-marketing/united-kingdom-gb")</f>
        <v>https://www.sortlist.com/i/s/data-driven-marketing/united-kingdom-gb</v>
      </c>
      <c r="B302" s="15" t="str">
        <f>IFERROR(__xludf.DUMMYFUNCTION("""COMPUTED_VALUE"""),"The 10 Best Data Driven Marketing Agencies in The United Kingdom - 2026 Reviews")</f>
        <v>The 10 Best Data Driven Marketing Agencies in The United Kingdom - 2026 Reviews</v>
      </c>
      <c r="C302" s="14" t="str">
        <f>IFERROR(__xludf.DUMMYFUNCTION("""COMPUTED_VALUE"""),"sortlist.com")</f>
        <v>sortlist.com</v>
      </c>
      <c r="D302" s="15" t="str">
        <f>IFERROR(__xludf.DUMMYFUNCTION("""COMPUTED_VALUE"""),"CATEGORY_PAGE")</f>
        <v>CATEGORY_PAGE</v>
      </c>
      <c r="E302" s="15" t="str">
        <f>IFERROR(__xludf.DUMMYFUNCTION("""COMPUTED_VALUE"""),"CORPORATE")</f>
        <v>CORPORATE</v>
      </c>
      <c r="F302" s="15" t="str">
        <f>IFERROR(__xludf.DUMMYFUNCTION("""COMPUTED_VALUE"""),"Category Page")</f>
        <v>Category Page</v>
      </c>
      <c r="G302" s="15" t="b">
        <f>IFERROR(__xludf.DUMMYFUNCTION("""COMPUTED_VALUE"""),FALSE)</f>
        <v>0</v>
      </c>
      <c r="H302" s="15" t="str">
        <f>IFERROR(__xludf.DUMMYFUNCTION("""COMPUTED_VALUE"""),"Momentum, M3.agency, Ninja Promo, Bird Marketing")</f>
        <v>Momentum, M3.agency, Ninja Promo, Bird Marketing</v>
      </c>
      <c r="I302" s="15">
        <f>IFERROR(__xludf.DUMMYFUNCTION("""COMPUTED_VALUE"""),5.0)</f>
        <v>5</v>
      </c>
      <c r="J302" s="15">
        <f>IFERROR(__xludf.DUMMYFUNCTION("""COMPUTED_VALUE"""),0.0)</f>
        <v>0</v>
      </c>
      <c r="K302" s="15">
        <f>IFERROR(__xludf.DUMMYFUNCTION("""COMPUTED_VALUE"""),0.0)</f>
        <v>0</v>
      </c>
      <c r="L302" s="15"/>
    </row>
    <row r="303" ht="15.75" customHeight="1">
      <c r="A303" s="14" t="str">
        <f>IFERROR(__xludf.DUMMYFUNCTION("""COMPUTED_VALUE"""),"https://sunnypatel.co.uk/blog/top-geo-agencies/#:~:text=Rise%20at%20Seven%3A%20Best%20for,to%20earn%20national%20press%20coverage.")</f>
        <v>https://sunnypatel.co.uk/blog/top-geo-agencies/#:~:text=Rise%20at%20Seven%3A%20Best%20for,to%20earn%20national%20press%20coverage.</v>
      </c>
      <c r="B303" s="15" t="str">
        <f>IFERROR(__xludf.DUMMYFUNCTION("""COMPUTED_VALUE"""),"Top GEO Agencies UK 2026: Generative Engine Specialists | Sunny Patel")</f>
        <v>Top GEO Agencies UK 2026: Generative Engine Specialists | Sunny Patel</v>
      </c>
      <c r="C303" s="14" t="str">
        <f>IFERROR(__xludf.DUMMYFUNCTION("""COMPUTED_VALUE"""),"sunnypatel.co.uk")</f>
        <v>sunnypatel.co.uk</v>
      </c>
      <c r="D303" s="15" t="str">
        <f>IFERROR(__xludf.DUMMYFUNCTION("""COMPUTED_VALUE"""),"PROFILE")</f>
        <v>PROFILE</v>
      </c>
      <c r="E303" s="15" t="str">
        <f>IFERROR(__xludf.DUMMYFUNCTION("""COMPUTED_VALUE"""),"CORPORATE")</f>
        <v>CORPORATE</v>
      </c>
      <c r="F303" s="15" t="str">
        <f>IFERROR(__xludf.DUMMYFUNCTION("""COMPUTED_VALUE"""),"Profile")</f>
        <v>Profile</v>
      </c>
      <c r="G303" s="15" t="b">
        <f>IFERROR(__xludf.DUMMYFUNCTION("""COMPUTED_VALUE"""),FALSE)</f>
        <v>0</v>
      </c>
      <c r="H303" s="15" t="str">
        <f>IFERROR(__xludf.DUMMYFUNCTION("""COMPUTED_VALUE"""),"Rise at Seven, Builtvisible, Impression, Measured")</f>
        <v>Rise at Seven, Builtvisible, Impression, Measured</v>
      </c>
      <c r="I303" s="15">
        <f>IFERROR(__xludf.DUMMYFUNCTION("""COMPUTED_VALUE"""),5.0)</f>
        <v>5</v>
      </c>
      <c r="J303" s="15">
        <f>IFERROR(__xludf.DUMMYFUNCTION("""COMPUTED_VALUE"""),0.0)</f>
        <v>0</v>
      </c>
      <c r="K303" s="15">
        <f>IFERROR(__xludf.DUMMYFUNCTION("""COMPUTED_VALUE"""),1.6)</f>
        <v>1.6</v>
      </c>
      <c r="L303" s="15"/>
    </row>
    <row r="304" ht="15.75" customHeight="1">
      <c r="A304" s="14" t="str">
        <f>IFERROR(__xludf.DUMMYFUNCTION("""COMPUTED_VALUE"""),"https://www.thedrum.com/news/world-creative-rankings-2026-several-dublin-agencies-break-into-uk-ireland-top-spots")</f>
        <v>https://www.thedrum.com/news/world-creative-rankings-2026-several-dublin-agencies-break-into-uk-ireland-top-spots</v>
      </c>
      <c r="B304" s="15" t="str">
        <f>IFERROR(__xludf.DUMMYFUNCTION("""COMPUTED_VALUE"""),"World Creative Rankings 2026: Dublin agencies break into UK &amp;amp; Ireland top spots | The Drum")</f>
        <v>World Creative Rankings 2026: Dublin agencies break into UK &amp;amp; Ireland top spots | The Drum</v>
      </c>
      <c r="C304" s="14" t="str">
        <f>IFERROR(__xludf.DUMMYFUNCTION("""COMPUTED_VALUE"""),"thedrum.com")</f>
        <v>thedrum.com</v>
      </c>
      <c r="D304" s="15" t="str">
        <f>IFERROR(__xludf.DUMMYFUNCTION("""COMPUTED_VALUE"""),"LISTICLE")</f>
        <v>LISTICLE</v>
      </c>
      <c r="E304" s="15" t="str">
        <f>IFERROR(__xludf.DUMMYFUNCTION("""COMPUTED_VALUE"""),"EDITORIAL")</f>
        <v>EDITORIAL</v>
      </c>
      <c r="F304" s="15" t="str">
        <f>IFERROR(__xludf.DUMMYFUNCTION("""COMPUTED_VALUE"""),"Listicle")</f>
        <v>Listicle</v>
      </c>
      <c r="G304" s="15" t="b">
        <f>IFERROR(__xludf.DUMMYFUNCTION("""COMPUTED_VALUE"""),FALSE)</f>
        <v>0</v>
      </c>
      <c r="H304" s="15" t="str">
        <f>IFERROR(__xludf.DUMMYFUNCTION("""COMPUTED_VALUE"""),"Omnicom, AMV BBDO, Adam&amp;eveDDB, VCCP, BBH London")</f>
        <v>Omnicom, AMV BBDO, Adam&amp;eveDDB, VCCP, BBH London</v>
      </c>
      <c r="I304" s="15">
        <f>IFERROR(__xludf.DUMMYFUNCTION("""COMPUTED_VALUE"""),5.0)</f>
        <v>5</v>
      </c>
      <c r="J304" s="15">
        <f>IFERROR(__xludf.DUMMYFUNCTION("""COMPUTED_VALUE"""),0.0)</f>
        <v>0</v>
      </c>
      <c r="K304" s="15">
        <f>IFERROR(__xludf.DUMMYFUNCTION("""COMPUTED_VALUE"""),0.6)</f>
        <v>0.6</v>
      </c>
      <c r="L304" s="15"/>
    </row>
    <row r="305" ht="15.75" customHeight="1">
      <c r="A305" s="14" t="str">
        <f>IFERROR(__xludf.DUMMYFUNCTION("""COMPUTED_VALUE"""),"https://therubiconagency.com/technology-marketing-blog/top-10-b2b-ppc-agencies-uk/")</f>
        <v>https://therubiconagency.com/technology-marketing-blog/top-10-b2b-ppc-agencies-uk/</v>
      </c>
      <c r="B305" s="15" t="str">
        <f>IFERROR(__xludf.DUMMYFUNCTION("""COMPUTED_VALUE"""),"Top 10 B2B PPC Agencies in the UK (2026 Guide)")</f>
        <v>Top 10 B2B PPC Agencies in the UK (2026 Guide)</v>
      </c>
      <c r="C305" s="14" t="str">
        <f>IFERROR(__xludf.DUMMYFUNCTION("""COMPUTED_VALUE"""),"therubiconagency.com")</f>
        <v>therubiconagency.com</v>
      </c>
      <c r="D305" s="15" t="str">
        <f>IFERROR(__xludf.DUMMYFUNCTION("""COMPUTED_VALUE"""),"LISTICLE")</f>
        <v>LISTICLE</v>
      </c>
      <c r="E305" s="15" t="str">
        <f>IFERROR(__xludf.DUMMYFUNCTION("""COMPUTED_VALUE"""),"CORPORATE")</f>
        <v>CORPORATE</v>
      </c>
      <c r="F305" s="15" t="str">
        <f>IFERROR(__xludf.DUMMYFUNCTION("""COMPUTED_VALUE"""),"Listicle")</f>
        <v>Listicle</v>
      </c>
      <c r="G305" s="15" t="b">
        <f>IFERROR(__xludf.DUMMYFUNCTION("""COMPUTED_VALUE"""),FALSE)</f>
        <v>0</v>
      </c>
      <c r="H305" s="15" t="str">
        <f>IFERROR(__xludf.DUMMYFUNCTION("""COMPUTED_VALUE"""),"Measured, Gripped, Brainlabs, Soap Media, Directive Consulting")</f>
        <v>Measured, Gripped, Brainlabs, Soap Media, Directive Consulting</v>
      </c>
      <c r="I305" s="15">
        <f>IFERROR(__xludf.DUMMYFUNCTION("""COMPUTED_VALUE"""),5.0)</f>
        <v>5</v>
      </c>
      <c r="J305" s="15">
        <f>IFERROR(__xludf.DUMMYFUNCTION("""COMPUTED_VALUE"""),0.0)</f>
        <v>0</v>
      </c>
      <c r="K305" s="15">
        <f>IFERROR(__xludf.DUMMYFUNCTION("""COMPUTED_VALUE"""),0.2)</f>
        <v>0.2</v>
      </c>
      <c r="L305" s="15"/>
    </row>
    <row r="306" ht="15.75" customHeight="1">
      <c r="A306" s="14" t="str">
        <f>IFERROR(__xludf.DUMMYFUNCTION("""COMPUTED_VALUE"""),"https://thesocialshepherd.com/blog/creative-agencies-uk")</f>
        <v>https://thesocialshepherd.com/blog/creative-agencies-uk</v>
      </c>
      <c r="B306" s="15" t="str">
        <f>IFERROR(__xludf.DUMMYFUNCTION("""COMPUTED_VALUE"""),"The Social Shepherd | Top 17 Creative Agencies in the UK (2022)")</f>
        <v>The Social Shepherd | Top 17 Creative Agencies in the UK (2022)</v>
      </c>
      <c r="C306" s="14" t="str">
        <f>IFERROR(__xludf.DUMMYFUNCTION("""COMPUTED_VALUE"""),"thesocialshepherd.com")</f>
        <v>thesocialshepherd.com</v>
      </c>
      <c r="D306" s="15" t="str">
        <f>IFERROR(__xludf.DUMMYFUNCTION("""COMPUTED_VALUE"""),"LISTICLE")</f>
        <v>LISTICLE</v>
      </c>
      <c r="E306" s="15" t="str">
        <f>IFERROR(__xludf.DUMMYFUNCTION("""COMPUTED_VALUE"""),"COMPETITOR")</f>
        <v>COMPETITOR</v>
      </c>
      <c r="F306" s="15" t="str">
        <f>IFERROR(__xludf.DUMMYFUNCTION("""COMPUTED_VALUE"""),"Listicle")</f>
        <v>Listicle</v>
      </c>
      <c r="G306" s="15" t="b">
        <f>IFERROR(__xludf.DUMMYFUNCTION("""COMPUTED_VALUE"""),FALSE)</f>
        <v>0</v>
      </c>
      <c r="H306" s="15" t="str">
        <f>IFERROR(__xludf.DUMMYFUNCTION("""COMPUTED_VALUE"""),"The Social Shepherd, Rise at Seven")</f>
        <v>The Social Shepherd, Rise at Seven</v>
      </c>
      <c r="I306" s="15">
        <f>IFERROR(__xludf.DUMMYFUNCTION("""COMPUTED_VALUE"""),5.0)</f>
        <v>5</v>
      </c>
      <c r="J306" s="15">
        <f>IFERROR(__xludf.DUMMYFUNCTION("""COMPUTED_VALUE"""),0.0)</f>
        <v>0</v>
      </c>
      <c r="K306" s="15">
        <f>IFERROR(__xludf.DUMMYFUNCTION("""COMPUTED_VALUE"""),0.0)</f>
        <v>0</v>
      </c>
      <c r="L306" s="15"/>
    </row>
    <row r="307" ht="15.75" customHeight="1">
      <c r="A307" s="14" t="str">
        <f>IFERROR(__xludf.DUMMYFUNCTION("""COMPUTED_VALUE"""),"https://www.topseobrands.com/uk/london/best-display-advertising-firms")</f>
        <v>https://www.topseobrands.com/uk/london/best-display-advertising-firms</v>
      </c>
      <c r="B307" s="15" t="str">
        <f>IFERROR(__xludf.DUMMYFUNCTION("""COMPUTED_VALUE"""),"Best Display Advertising Firms in London | Top SEO Brands")</f>
        <v>Best Display Advertising Firms in London | Top SEO Brands</v>
      </c>
      <c r="C307" s="14" t="str">
        <f>IFERROR(__xludf.DUMMYFUNCTION("""COMPUTED_VALUE"""),"topseobrands.com")</f>
        <v>topseobrands.com</v>
      </c>
      <c r="D307" s="15" t="str">
        <f>IFERROR(__xludf.DUMMYFUNCTION("""COMPUTED_VALUE"""),"OTHER")</f>
        <v>OTHER</v>
      </c>
      <c r="E307" s="15" t="str">
        <f>IFERROR(__xludf.DUMMYFUNCTION("""COMPUTED_VALUE"""),"REFERENCE")</f>
        <v>REFERENCE</v>
      </c>
      <c r="F307" s="15" t="str">
        <f>IFERROR(__xludf.DUMMYFUNCTION("""COMPUTED_VALUE"""),"Other")</f>
        <v>Other</v>
      </c>
      <c r="G307" s="15" t="b">
        <f>IFERROR(__xludf.DUMMYFUNCTION("""COMPUTED_VALUE"""),FALSE)</f>
        <v>0</v>
      </c>
      <c r="H307" s="15" t="str">
        <f>IFERROR(__xludf.DUMMYFUNCTION("""COMPUTED_VALUE"""),"Found")</f>
        <v>Found</v>
      </c>
      <c r="I307" s="15">
        <f>IFERROR(__xludf.DUMMYFUNCTION("""COMPUTED_VALUE"""),5.0)</f>
        <v>5</v>
      </c>
      <c r="J307" s="15">
        <f>IFERROR(__xludf.DUMMYFUNCTION("""COMPUTED_VALUE"""),0.0)</f>
        <v>0</v>
      </c>
      <c r="K307" s="15">
        <f>IFERROR(__xludf.DUMMYFUNCTION("""COMPUTED_VALUE"""),0.0)</f>
        <v>0</v>
      </c>
      <c r="L307" s="15"/>
    </row>
    <row r="308" ht="15.75" customHeight="1">
      <c r="A308" s="14" t="str">
        <f>IFERROR(__xludf.DUMMYFUNCTION("""COMPUTED_VALUE"""),"https://arramton.com/blogs/performance-marketing-agencies")</f>
        <v>https://arramton.com/blogs/performance-marketing-agencies</v>
      </c>
      <c r="B308" s="15" t="str">
        <f>IFERROR(__xludf.DUMMYFUNCTION("""COMPUTED_VALUE"""),"Top Performance Marketing Agencies in the UK \| 2025 Guide")</f>
        <v>Top Performance Marketing Agencies in the UK \| 2025 Guide</v>
      </c>
      <c r="C308" s="14" t="str">
        <f>IFERROR(__xludf.DUMMYFUNCTION("""COMPUTED_VALUE"""),"arramton.com")</f>
        <v>arramton.com</v>
      </c>
      <c r="D308" s="15" t="str">
        <f>IFERROR(__xludf.DUMMYFUNCTION("""COMPUTED_VALUE"""),"LISTICLE")</f>
        <v>LISTICLE</v>
      </c>
      <c r="E308" s="15" t="str">
        <f>IFERROR(__xludf.DUMMYFUNCTION("""COMPUTED_VALUE"""),"CORPORATE")</f>
        <v>CORPORATE</v>
      </c>
      <c r="F308" s="15" t="str">
        <f>IFERROR(__xludf.DUMMYFUNCTION("""COMPUTED_VALUE"""),"Listicle")</f>
        <v>Listicle</v>
      </c>
      <c r="G308" s="15" t="b">
        <f>IFERROR(__xludf.DUMMYFUNCTION("""COMPUTED_VALUE"""),FALSE)</f>
        <v>0</v>
      </c>
      <c r="H308" s="15" t="str">
        <f>IFERROR(__xludf.DUMMYFUNCTION("""COMPUTED_VALUE"""),"Impression, Found, Croud, Gravity Global, Push, Push Group")</f>
        <v>Impression, Found, Croud, Gravity Global, Push, Push Group</v>
      </c>
      <c r="I308" s="15">
        <f>IFERROR(__xludf.DUMMYFUNCTION("""COMPUTED_VALUE"""),4.0)</f>
        <v>4</v>
      </c>
      <c r="J308" s="15">
        <f>IFERROR(__xludf.DUMMYFUNCTION("""COMPUTED_VALUE"""),0.0)</f>
        <v>0</v>
      </c>
      <c r="K308" s="15">
        <f>IFERROR(__xludf.DUMMYFUNCTION("""COMPUTED_VALUE"""),1.0)</f>
        <v>1</v>
      </c>
      <c r="L308" s="15"/>
    </row>
    <row r="309" ht="15.75" customHeight="1">
      <c r="A309" s="14" t="str">
        <f>IFERROR(__xludf.DUMMYFUNCTION("""COMPUTED_VALUE"""),"https://clutch.co/agencies/branding/uk")</f>
        <v>https://clutch.co/agencies/branding/uk</v>
      </c>
      <c r="B309" s="15" t="str">
        <f>IFERROR(__xludf.DUMMYFUNCTION("""COMPUTED_VALUE"""),"Top Branding Agencies in the United Kingdom - Jul 2026 Rankings \| Clutch.co")</f>
        <v>Top Branding Agencies in the United Kingdom - Jul 2026 Rankings \| Clutch.co</v>
      </c>
      <c r="C309" s="14" t="str">
        <f>IFERROR(__xludf.DUMMYFUNCTION("""COMPUTED_VALUE"""),"clutch.co")</f>
        <v>clutch.co</v>
      </c>
      <c r="D309" s="15" t="str">
        <f>IFERROR(__xludf.DUMMYFUNCTION("""COMPUTED_VALUE"""),"CATEGORY_PAGE")</f>
        <v>CATEGORY_PAGE</v>
      </c>
      <c r="E309" s="15" t="str">
        <f>IFERROR(__xludf.DUMMYFUNCTION("""COMPUTED_VALUE"""),"CORPORATE")</f>
        <v>CORPORATE</v>
      </c>
      <c r="F309" s="15" t="str">
        <f>IFERROR(__xludf.DUMMYFUNCTION("""COMPUTED_VALUE"""),"Category Page")</f>
        <v>Category Page</v>
      </c>
      <c r="G309" s="15" t="b">
        <f>IFERROR(__xludf.DUMMYFUNCTION("""COMPUTED_VALUE"""),FALSE)</f>
        <v>0</v>
      </c>
      <c r="H309" s="15" t="str">
        <f>IFERROR(__xludf.DUMMYFUNCTION("""COMPUTED_VALUE"""),"Chello, Impression, Polaris, Favoured, Found")</f>
        <v>Chello, Impression, Polaris, Favoured, Found</v>
      </c>
      <c r="I309" s="15">
        <f>IFERROR(__xludf.DUMMYFUNCTION("""COMPUTED_VALUE"""),4.0)</f>
        <v>4</v>
      </c>
      <c r="J309" s="15">
        <f>IFERROR(__xludf.DUMMYFUNCTION("""COMPUTED_VALUE"""),0.0)</f>
        <v>0</v>
      </c>
      <c r="K309" s="15">
        <f>IFERROR(__xludf.DUMMYFUNCTION("""COMPUTED_VALUE"""),2.0)</f>
        <v>2</v>
      </c>
      <c r="L309" s="15"/>
    </row>
    <row r="310" ht="15.75" customHeight="1">
      <c r="A310" s="14" t="str">
        <f>IFERROR(__xludf.DUMMYFUNCTION("""COMPUTED_VALUE"""),"https://clutch.co/agencies/ppc/advertising-industry/uk")</f>
        <v>https://clutch.co/agencies/ppc/advertising-industry/uk</v>
      </c>
      <c r="B310" s="15" t="str">
        <f>IFERROR(__xludf.DUMMYFUNCTION("""COMPUTED_VALUE"""),"Top PPC Agencies for Ad Agencies in the United Kingdom - Jul 2026 Rankings \| Clutch.co")</f>
        <v>Top PPC Agencies for Ad Agencies in the United Kingdom - Jul 2026 Rankings \| Clutch.co</v>
      </c>
      <c r="C310" s="14" t="str">
        <f>IFERROR(__xludf.DUMMYFUNCTION("""COMPUTED_VALUE"""),"clutch.co")</f>
        <v>clutch.co</v>
      </c>
      <c r="D310" s="15" t="str">
        <f>IFERROR(__xludf.DUMMYFUNCTION("""COMPUTED_VALUE"""),"CATEGORY_PAGE")</f>
        <v>CATEGORY_PAGE</v>
      </c>
      <c r="E310" s="15" t="str">
        <f>IFERROR(__xludf.DUMMYFUNCTION("""COMPUTED_VALUE"""),"CORPORATE")</f>
        <v>CORPORATE</v>
      </c>
      <c r="F310" s="15" t="str">
        <f>IFERROR(__xludf.DUMMYFUNCTION("""COMPUTED_VALUE"""),"Category Page")</f>
        <v>Category Page</v>
      </c>
      <c r="G310" s="15" t="b">
        <f>IFERROR(__xludf.DUMMYFUNCTION("""COMPUTED_VALUE"""),FALSE)</f>
        <v>0</v>
      </c>
      <c r="H310" s="15" t="str">
        <f>IFERROR(__xludf.DUMMYFUNCTION("""COMPUTED_VALUE"""),"Launch Online, Ninja Promo, M3.agency, ClickSlice, Gripped, Genie Crawl, Impression")</f>
        <v>Launch Online, Ninja Promo, M3.agency, ClickSlice, Gripped, Genie Crawl, Impression</v>
      </c>
      <c r="I310" s="15">
        <f>IFERROR(__xludf.DUMMYFUNCTION("""COMPUTED_VALUE"""),4.0)</f>
        <v>4</v>
      </c>
      <c r="J310" s="15">
        <f>IFERROR(__xludf.DUMMYFUNCTION("""COMPUTED_VALUE"""),0.0)</f>
        <v>0</v>
      </c>
      <c r="K310" s="15">
        <f>IFERROR(__xludf.DUMMYFUNCTION("""COMPUTED_VALUE"""),0.75)</f>
        <v>0.75</v>
      </c>
      <c r="L310" s="15"/>
    </row>
    <row r="311" ht="15.75" customHeight="1">
      <c r="A311" s="14" t="str">
        <f>IFERROR(__xludf.DUMMYFUNCTION("""COMPUTED_VALUE"""),"https://clutch.co/agencies/ppc/display/uk/england/london")</f>
        <v>https://clutch.co/agencies/ppc/display/uk/england/london</v>
      </c>
      <c r="B311" s="15" t="str">
        <f>IFERROR(__xludf.DUMMYFUNCTION("""COMPUTED_VALUE"""),"Top Display Advertising Agencies - Jul 2026 Rankings \| Clutch.co")</f>
        <v>Top Display Advertising Agencies - Jul 2026 Rankings \| Clutch.co</v>
      </c>
      <c r="C311" s="14" t="str">
        <f>IFERROR(__xludf.DUMMYFUNCTION("""COMPUTED_VALUE"""),"clutch.co")</f>
        <v>clutch.co</v>
      </c>
      <c r="D311" s="15" t="str">
        <f>IFERROR(__xludf.DUMMYFUNCTION("""COMPUTED_VALUE"""),"CATEGORY_PAGE")</f>
        <v>CATEGORY_PAGE</v>
      </c>
      <c r="E311" s="15" t="str">
        <f>IFERROR(__xludf.DUMMYFUNCTION("""COMPUTED_VALUE"""),"CORPORATE")</f>
        <v>CORPORATE</v>
      </c>
      <c r="F311" s="15" t="str">
        <f>IFERROR(__xludf.DUMMYFUNCTION("""COMPUTED_VALUE"""),"Category Page")</f>
        <v>Category Page</v>
      </c>
      <c r="G311" s="15" t="b">
        <f>IFERROR(__xludf.DUMMYFUNCTION("""COMPUTED_VALUE"""),FALSE)</f>
        <v>0</v>
      </c>
      <c r="H311" s="15" t="str">
        <f>IFERROR(__xludf.DUMMYFUNCTION("""COMPUTED_VALUE"""),"Ninja Promo, Soap Media, Huge, Found, The SEO Works, GA Agency")</f>
        <v>Ninja Promo, Soap Media, Huge, Found, The SEO Works, GA Agency</v>
      </c>
      <c r="I311" s="15">
        <f>IFERROR(__xludf.DUMMYFUNCTION("""COMPUTED_VALUE"""),4.0)</f>
        <v>4</v>
      </c>
      <c r="J311" s="15">
        <f>IFERROR(__xludf.DUMMYFUNCTION("""COMPUTED_VALUE"""),0.0)</f>
        <v>0</v>
      </c>
      <c r="K311" s="15">
        <f>IFERROR(__xludf.DUMMYFUNCTION("""COMPUTED_VALUE"""),0.0)</f>
        <v>0</v>
      </c>
      <c r="L311" s="15"/>
    </row>
    <row r="312" ht="15.75" customHeight="1">
      <c r="A312" s="14" t="str">
        <f>IFERROR(__xludf.DUMMYFUNCTION("""COMPUTED_VALUE"""),"https://www.designrush.com/agency/ad-agencies/uk")</f>
        <v>https://www.designrush.com/agency/ad-agencies/uk</v>
      </c>
      <c r="B312" s="15" t="str">
        <f>IFERROR(__xludf.DUMMYFUNCTION("""COMPUTED_VALUE"""),"Top Advertising Agencies in the United Kingdom | 2026")</f>
        <v>Top Advertising Agencies in the United Kingdom | 2026</v>
      </c>
      <c r="C312" s="14" t="str">
        <f>IFERROR(__xludf.DUMMYFUNCTION("""COMPUTED_VALUE"""),"designrush.com")</f>
        <v>designrush.com</v>
      </c>
      <c r="D312" s="15" t="str">
        <f>IFERROR(__xludf.DUMMYFUNCTION("""COMPUTED_VALUE"""),"CATEGORY_PAGE")</f>
        <v>CATEGORY_PAGE</v>
      </c>
      <c r="E312" s="15" t="str">
        <f>IFERROR(__xludf.DUMMYFUNCTION("""COMPUTED_VALUE"""),"CORPORATE")</f>
        <v>CORPORATE</v>
      </c>
      <c r="F312" s="15" t="str">
        <f>IFERROR(__xludf.DUMMYFUNCTION("""COMPUTED_VALUE"""),"Category Page")</f>
        <v>Category Page</v>
      </c>
      <c r="G312" s="15" t="b">
        <f>IFERROR(__xludf.DUMMYFUNCTION("""COMPUTED_VALUE"""),FALSE)</f>
        <v>0</v>
      </c>
      <c r="H312" s="15" t="str">
        <f>IFERROR(__xludf.DUMMYFUNCTION("""COMPUTED_VALUE"""),"Favoured, PPC Geeks, Passion Digital")</f>
        <v>Favoured, PPC Geeks, Passion Digital</v>
      </c>
      <c r="I312" s="15">
        <f>IFERROR(__xludf.DUMMYFUNCTION("""COMPUTED_VALUE"""),4.0)</f>
        <v>4</v>
      </c>
      <c r="J312" s="15">
        <f>IFERROR(__xludf.DUMMYFUNCTION("""COMPUTED_VALUE"""),0.0)</f>
        <v>0</v>
      </c>
      <c r="K312" s="15">
        <f>IFERROR(__xludf.DUMMYFUNCTION("""COMPUTED_VALUE"""),0.0)</f>
        <v>0</v>
      </c>
      <c r="L312" s="15"/>
    </row>
    <row r="313" ht="15.75" customHeight="1">
      <c r="A313" s="14" t="str">
        <f>IFERROR(__xludf.DUMMYFUNCTION("""COMPUTED_VALUE"""),"https://linea-analytics.com/articles/best-marketing-mix-modeling-tools-uk/article.html")</f>
        <v>https://linea-analytics.com/articles/best-marketing-mix-modeling-tools-uk/article.html</v>
      </c>
      <c r="B313" s="15" t="str">
        <f>IFERROR(__xludf.DUMMYFUNCTION("""COMPUTED_VALUE"""),"Linea Analytics - Top 6 Marketing Mix Modelling Tools for UK Brands in 2026")</f>
        <v>Linea Analytics - Top 6 Marketing Mix Modelling Tools for UK Brands in 2026</v>
      </c>
      <c r="C313" s="14" t="str">
        <f>IFERROR(__xludf.DUMMYFUNCTION("""COMPUTED_VALUE"""),"linea-analytics.com")</f>
        <v>linea-analytics.com</v>
      </c>
      <c r="D313" s="15" t="str">
        <f>IFERROR(__xludf.DUMMYFUNCTION("""COMPUTED_VALUE"""),"LISTICLE")</f>
        <v>LISTICLE</v>
      </c>
      <c r="E313" s="15" t="str">
        <f>IFERROR(__xludf.DUMMYFUNCTION("""COMPUTED_VALUE"""),"CORPORATE")</f>
        <v>CORPORATE</v>
      </c>
      <c r="F313" s="15" t="str">
        <f>IFERROR(__xludf.DUMMYFUNCTION("""COMPUTED_VALUE"""),"Listicle")</f>
        <v>Listicle</v>
      </c>
      <c r="G313" s="15" t="b">
        <f>IFERROR(__xludf.DUMMYFUNCTION("""COMPUTED_VALUE"""),FALSE)</f>
        <v>0</v>
      </c>
      <c r="H313" s="15" t="str">
        <f>IFERROR(__xludf.DUMMYFUNCTION("""COMPUTED_VALUE"""),"Ekimetrics")</f>
        <v>Ekimetrics</v>
      </c>
      <c r="I313" s="15">
        <f>IFERROR(__xludf.DUMMYFUNCTION("""COMPUTED_VALUE"""),4.0)</f>
        <v>4</v>
      </c>
      <c r="J313" s="15">
        <f>IFERROR(__xludf.DUMMYFUNCTION("""COMPUTED_VALUE"""),0.0)</f>
        <v>0</v>
      </c>
      <c r="K313" s="15">
        <f>IFERROR(__xludf.DUMMYFUNCTION("""COMPUTED_VALUE"""),0.25)</f>
        <v>0.25</v>
      </c>
      <c r="L313" s="15"/>
    </row>
    <row r="314" ht="15.75" customHeight="1">
      <c r="A314" s="14" t="str">
        <f>IFERROR(__xludf.DUMMYFUNCTION("""COMPUTED_VALUE"""),"https://macreativeag.com/digital-marketing/uk-top-digital-marketing-agencies/")</f>
        <v>https://macreativeag.com/digital-marketing/uk-top-digital-marketing-agencies/</v>
      </c>
      <c r="B314" s="15" t="str">
        <f>IFERROR(__xludf.DUMMYFUNCTION("""COMPUTED_VALUE"""),"Top 10 Digital Marketing Agencies in the UK (2026) - Best for Startups &amp;amp; SMEs")</f>
        <v>Top 10 Digital Marketing Agencies in the UK (2026) - Best for Startups &amp;amp; SMEs</v>
      </c>
      <c r="C314" s="14" t="str">
        <f>IFERROR(__xludf.DUMMYFUNCTION("""COMPUTED_VALUE"""),"macreativeag.com")</f>
        <v>macreativeag.com</v>
      </c>
      <c r="D314" s="15" t="str">
        <f>IFERROR(__xludf.DUMMYFUNCTION("""COMPUTED_VALUE"""),"LISTICLE")</f>
        <v>LISTICLE</v>
      </c>
      <c r="E314" s="15" t="str">
        <f>IFERROR(__xludf.DUMMYFUNCTION("""COMPUTED_VALUE"""),"CORPORATE")</f>
        <v>CORPORATE</v>
      </c>
      <c r="F314" s="15" t="str">
        <f>IFERROR(__xludf.DUMMYFUNCTION("""COMPUTED_VALUE"""),"Listicle")</f>
        <v>Listicle</v>
      </c>
      <c r="G314" s="15" t="b">
        <f>IFERROR(__xludf.DUMMYFUNCTION("""COMPUTED_VALUE"""),FALSE)</f>
        <v>0</v>
      </c>
      <c r="H314" s="15" t="str">
        <f>IFERROR(__xludf.DUMMYFUNCTION("""COMPUTED_VALUE"""),"WebFX, Disruptive Advertising, Ninja Promo, Ignite Visibility, The Social Shepherd, Found, Gripped")</f>
        <v>WebFX, Disruptive Advertising, Ninja Promo, Ignite Visibility, The Social Shepherd, Found, Gripped</v>
      </c>
      <c r="I314" s="15">
        <f>IFERROR(__xludf.DUMMYFUNCTION("""COMPUTED_VALUE"""),4.0)</f>
        <v>4</v>
      </c>
      <c r="J314" s="15">
        <f>IFERROR(__xludf.DUMMYFUNCTION("""COMPUTED_VALUE"""),0.0)</f>
        <v>0</v>
      </c>
      <c r="K314" s="15">
        <f>IFERROR(__xludf.DUMMYFUNCTION("""COMPUTED_VALUE"""),0.0)</f>
        <v>0</v>
      </c>
      <c r="L314" s="15"/>
    </row>
    <row r="315" ht="15.75" customHeight="1">
      <c r="A315" s="14" t="str">
        <f>IFERROR(__xludf.DUMMYFUNCTION("""COMPUTED_VALUE"""),"https://www.marketingagencyindex.com/uk/services/ppc")</f>
        <v>https://www.marketingagencyindex.com/uk/services/ppc</v>
      </c>
      <c r="B315" s="15" t="str">
        <f>IFERROR(__xludf.DUMMYFUNCTION("""COMPUTED_VALUE"""),"Best PPC Agencies in the UK | Agency Index")</f>
        <v>Best PPC Agencies in the UK | Agency Index</v>
      </c>
      <c r="C315" s="14" t="str">
        <f>IFERROR(__xludf.DUMMYFUNCTION("""COMPUTED_VALUE"""),"marketingagencyindex.com")</f>
        <v>marketingagencyindex.com</v>
      </c>
      <c r="D315" s="15" t="str">
        <f>IFERROR(__xludf.DUMMYFUNCTION("""COMPUTED_VALUE"""),"CATEGORY_PAGE")</f>
        <v>CATEGORY_PAGE</v>
      </c>
      <c r="E315" s="15" t="str">
        <f>IFERROR(__xludf.DUMMYFUNCTION("""COMPUTED_VALUE"""),"UGC")</f>
        <v>UGC</v>
      </c>
      <c r="F315" s="15" t="str">
        <f>IFERROR(__xludf.DUMMYFUNCTION("""COMPUTED_VALUE"""),"Category Page")</f>
        <v>Category Page</v>
      </c>
      <c r="G315" s="15" t="b">
        <f>IFERROR(__xludf.DUMMYFUNCTION("""COMPUTED_VALUE"""),FALSE)</f>
        <v>0</v>
      </c>
      <c r="H315" s="15" t="str">
        <f>IFERROR(__xludf.DUMMYFUNCTION("""COMPUTED_VALUE"""),"Momentum")</f>
        <v>Momentum</v>
      </c>
      <c r="I315" s="15">
        <f>IFERROR(__xludf.DUMMYFUNCTION("""COMPUTED_VALUE"""),4.0)</f>
        <v>4</v>
      </c>
      <c r="J315" s="15">
        <f>IFERROR(__xludf.DUMMYFUNCTION("""COMPUTED_VALUE"""),0.0)</f>
        <v>0</v>
      </c>
      <c r="K315" s="15">
        <f>IFERROR(__xludf.DUMMYFUNCTION("""COMPUTED_VALUE"""),0.0)</f>
        <v>0</v>
      </c>
      <c r="L315" s="15"/>
    </row>
    <row r="316" ht="15.75" customHeight="1">
      <c r="A316" s="14" t="str">
        <f>IFERROR(__xludf.DUMMYFUNCTION("""COMPUTED_VALUE"""),"https://nogood.io/blog/performance-marketing-agencies/")</f>
        <v>https://nogood.io/blog/performance-marketing-agencies/</v>
      </c>
      <c r="B316" s="15" t="str">
        <f>IFERROR(__xludf.DUMMYFUNCTION("""COMPUTED_VALUE"""),"Top Performance Marketing Agencies in 2026 | NoGood")</f>
        <v>Top Performance Marketing Agencies in 2026 | NoGood</v>
      </c>
      <c r="C316" s="14" t="str">
        <f>IFERROR(__xludf.DUMMYFUNCTION("""COMPUTED_VALUE"""),"nogood.io")</f>
        <v>nogood.io</v>
      </c>
      <c r="D316" s="15" t="str">
        <f>IFERROR(__xludf.DUMMYFUNCTION("""COMPUTED_VALUE"""),"LISTICLE")</f>
        <v>LISTICLE</v>
      </c>
      <c r="E316" s="15" t="str">
        <f>IFERROR(__xludf.DUMMYFUNCTION("""COMPUTED_VALUE"""),"COMPETITOR")</f>
        <v>COMPETITOR</v>
      </c>
      <c r="F316" s="15" t="str">
        <f>IFERROR(__xludf.DUMMYFUNCTION("""COMPUTED_VALUE"""),"Listicle")</f>
        <v>Listicle</v>
      </c>
      <c r="G316" s="15" t="b">
        <f>IFERROR(__xludf.DUMMYFUNCTION("""COMPUTED_VALUE"""),FALSE)</f>
        <v>0</v>
      </c>
      <c r="H316" s="15" t="str">
        <f>IFERROR(__xludf.DUMMYFUNCTION("""COMPUTED_VALUE"""),"NoGood, inBeat, Ignite Visibility, Disruptive Advertising, Wpromote, Power Digital, Monks, Measured, Found, Directive Consulting, Huge")</f>
        <v>NoGood, inBeat, Ignite Visibility, Disruptive Advertising, Wpromote, Power Digital, Monks, Measured, Found, Directive Consulting, Huge</v>
      </c>
      <c r="I316" s="15">
        <f>IFERROR(__xludf.DUMMYFUNCTION("""COMPUTED_VALUE"""),4.0)</f>
        <v>4</v>
      </c>
      <c r="J316" s="15">
        <f>IFERROR(__xludf.DUMMYFUNCTION("""COMPUTED_VALUE"""),0.0)</f>
        <v>0</v>
      </c>
      <c r="K316" s="15">
        <f>IFERROR(__xludf.DUMMYFUNCTION("""COMPUTED_VALUE"""),0.5)</f>
        <v>0.5</v>
      </c>
      <c r="L316" s="15"/>
    </row>
    <row r="317" ht="15.75" customHeight="1">
      <c r="A317" s="14" t="str">
        <f>IFERROR(__xludf.DUMMYFUNCTION("""COMPUTED_VALUE"""),"https://nogood.io/blog/social-media-marketing-agency-london/")</f>
        <v>https://nogood.io/blog/social-media-marketing-agency-london/</v>
      </c>
      <c r="B317" s="15" t="str">
        <f>IFERROR(__xludf.DUMMYFUNCTION("""COMPUTED_VALUE"""),"Top 10 Social Media Marketing Agencies London (2026) | NoGood")</f>
        <v>Top 10 Social Media Marketing Agencies London (2026) | NoGood</v>
      </c>
      <c r="C317" s="14" t="str">
        <f>IFERROR(__xludf.DUMMYFUNCTION("""COMPUTED_VALUE"""),"nogood.io")</f>
        <v>nogood.io</v>
      </c>
      <c r="D317" s="15" t="str">
        <f>IFERROR(__xludf.DUMMYFUNCTION("""COMPUTED_VALUE"""),"LISTICLE")</f>
        <v>LISTICLE</v>
      </c>
      <c r="E317" s="15" t="str">
        <f>IFERROR(__xludf.DUMMYFUNCTION("""COMPUTED_VALUE"""),"COMPETITOR")</f>
        <v>COMPETITOR</v>
      </c>
      <c r="F317" s="15" t="str">
        <f>IFERROR(__xludf.DUMMYFUNCTION("""COMPUTED_VALUE"""),"Listicle")</f>
        <v>Listicle</v>
      </c>
      <c r="G317" s="15" t="b">
        <f>IFERROR(__xludf.DUMMYFUNCTION("""COMPUTED_VALUE"""),FALSE)</f>
        <v>0</v>
      </c>
      <c r="H317" s="15" t="str">
        <f>IFERROR(__xludf.DUMMYFUNCTION("""COMPUTED_VALUE"""),"NoGood, Social Chain, The Social Shepherd, Born Social, Make Agency")</f>
        <v>NoGood, Social Chain, The Social Shepherd, Born Social, Make Agency</v>
      </c>
      <c r="I317" s="15">
        <f>IFERROR(__xludf.DUMMYFUNCTION("""COMPUTED_VALUE"""),4.0)</f>
        <v>4</v>
      </c>
      <c r="J317" s="15">
        <f>IFERROR(__xludf.DUMMYFUNCTION("""COMPUTED_VALUE"""),0.0)</f>
        <v>0</v>
      </c>
      <c r="K317" s="15">
        <f>IFERROR(__xludf.DUMMYFUNCTION("""COMPUTED_VALUE"""),1.0)</f>
        <v>1</v>
      </c>
      <c r="L317" s="15"/>
    </row>
    <row r="318" ht="15.75" customHeight="1">
      <c r="A318" s="14" t="str">
        <f>IFERROR(__xludf.DUMMYFUNCTION("""COMPUTED_VALUE"""),"https://oyik.ai/automation/the-top-consulting-firms-in-the-uk-for-ai-gen-ai-services/")</f>
        <v>https://oyik.ai/automation/the-top-consulting-firms-in-the-uk-for-ai-gen-ai-services/</v>
      </c>
      <c r="B318" s="15" t="str">
        <f>IFERROR(__xludf.DUMMYFUNCTION("""COMPUTED_VALUE"""),"Top AI Consulting Firms in the UK | Oyik.AI")</f>
        <v>Top AI Consulting Firms in the UK | Oyik.AI</v>
      </c>
      <c r="C318" s="14" t="str">
        <f>IFERROR(__xludf.DUMMYFUNCTION("""COMPUTED_VALUE"""),"oyik.ai")</f>
        <v>oyik.ai</v>
      </c>
      <c r="D318" s="15" t="str">
        <f>IFERROR(__xludf.DUMMYFUNCTION("""COMPUTED_VALUE"""),"LISTICLE")</f>
        <v>LISTICLE</v>
      </c>
      <c r="E318" s="15" t="str">
        <f>IFERROR(__xludf.DUMMYFUNCTION("""COMPUTED_VALUE"""),"CORPORATE")</f>
        <v>CORPORATE</v>
      </c>
      <c r="F318" s="15" t="str">
        <f>IFERROR(__xludf.DUMMYFUNCTION("""COMPUTED_VALUE"""),"Listicle")</f>
        <v>Listicle</v>
      </c>
      <c r="G318" s="15" t="b">
        <f>IFERROR(__xludf.DUMMYFUNCTION("""COMPUTED_VALUE"""),FALSE)</f>
        <v>0</v>
      </c>
      <c r="H318" s="15" t="str">
        <f>IFERROR(__xludf.DUMMYFUNCTION("""COMPUTED_VALUE"""),"PwC, EY")</f>
        <v>PwC, EY</v>
      </c>
      <c r="I318" s="15">
        <f>IFERROR(__xludf.DUMMYFUNCTION("""COMPUTED_VALUE"""),4.0)</f>
        <v>4</v>
      </c>
      <c r="J318" s="15">
        <f>IFERROR(__xludf.DUMMYFUNCTION("""COMPUTED_VALUE"""),0.0)</f>
        <v>0</v>
      </c>
      <c r="K318" s="15">
        <f>IFERROR(__xludf.DUMMYFUNCTION("""COMPUTED_VALUE"""),0.25)</f>
        <v>0.25</v>
      </c>
      <c r="L318" s="15"/>
    </row>
    <row r="319" ht="15.75" customHeight="1">
      <c r="A319" s="14" t="str">
        <f>IFERROR(__xludf.DUMMYFUNCTION("""COMPUTED_VALUE"""),"https://piperocket.digital/list/best-paid-social-agencies/")</f>
        <v>https://piperocket.digital/list/best-paid-social-agencies/</v>
      </c>
      <c r="B319" s="15" t="str">
        <f>IFERROR(__xludf.DUMMYFUNCTION("""COMPUTED_VALUE"""),"9 Best Paid Social Agencies for 2026 (Honest Review)")</f>
        <v>9 Best Paid Social Agencies for 2026 (Honest Review)</v>
      </c>
      <c r="C319" s="15" t="str">
        <f>IFERROR(__xludf.DUMMYFUNCTION("""COMPUTED_VALUE"""),"piperocket.digital")</f>
        <v>piperocket.digital</v>
      </c>
      <c r="D319" s="15" t="str">
        <f>IFERROR(__xludf.DUMMYFUNCTION("""COMPUTED_VALUE"""),"LISTICLE")</f>
        <v>LISTICLE</v>
      </c>
      <c r="E319" s="15" t="str">
        <f>IFERROR(__xludf.DUMMYFUNCTION("""COMPUTED_VALUE"""),"CORPORATE")</f>
        <v>CORPORATE</v>
      </c>
      <c r="F319" s="15" t="str">
        <f>IFERROR(__xludf.DUMMYFUNCTION("""COMPUTED_VALUE"""),"Listicle")</f>
        <v>Listicle</v>
      </c>
      <c r="G319" s="15" t="b">
        <f>IFERROR(__xludf.DUMMYFUNCTION("""COMPUTED_VALUE"""),FALSE)</f>
        <v>0</v>
      </c>
      <c r="H319" s="15" t="str">
        <f>IFERROR(__xludf.DUMMYFUNCTION("""COMPUTED_VALUE"""),"Directive Consulting, NoGood, Measured")</f>
        <v>Directive Consulting, NoGood, Measured</v>
      </c>
      <c r="I319" s="15">
        <f>IFERROR(__xludf.DUMMYFUNCTION("""COMPUTED_VALUE"""),4.0)</f>
        <v>4</v>
      </c>
      <c r="J319" s="15">
        <f>IFERROR(__xludf.DUMMYFUNCTION("""COMPUTED_VALUE"""),0.0)</f>
        <v>0</v>
      </c>
      <c r="K319" s="15">
        <f>IFERROR(__xludf.DUMMYFUNCTION("""COMPUTED_VALUE"""),0.0)</f>
        <v>0</v>
      </c>
      <c r="L319" s="15"/>
    </row>
    <row r="320" ht="15.75" customHeight="1">
      <c r="A320" s="14" t="str">
        <f>IFERROR(__xludf.DUMMYFUNCTION("""COMPUTED_VALUE"""),"https://www.reddit.com/r/PPC/comments/1tkc7rr/which_ppc_agencies_are_actually_considered_the/")</f>
        <v>https://www.reddit.com/r/PPC/comments/1tkc7rr/which_ppc_agencies_are_actually_considered_the/</v>
      </c>
      <c r="B320" s="15" t="str">
        <f>IFERROR(__xludf.DUMMYFUNCTION("""COMPUTED_VALUE"""),"Which PPC agencies are actually considered the best right now?")</f>
        <v>Which PPC agencies are actually considered the best right now?</v>
      </c>
      <c r="C320" s="14" t="str">
        <f>IFERROR(__xludf.DUMMYFUNCTION("""COMPUTED_VALUE"""),"reddit.com")</f>
        <v>reddit.com</v>
      </c>
      <c r="D320" s="15" t="str">
        <f>IFERROR(__xludf.DUMMYFUNCTION("""COMPUTED_VALUE"""),"DISCUSSION")</f>
        <v>DISCUSSION</v>
      </c>
      <c r="E320" s="15" t="str">
        <f>IFERROR(__xludf.DUMMYFUNCTION("""COMPUTED_VALUE"""),"UGC")</f>
        <v>UGC</v>
      </c>
      <c r="F320" s="15" t="str">
        <f>IFERROR(__xludf.DUMMYFUNCTION("""COMPUTED_VALUE"""),"Discussion")</f>
        <v>Discussion</v>
      </c>
      <c r="G320" s="15" t="b">
        <f>IFERROR(__xludf.DUMMYFUNCTION("""COMPUTED_VALUE"""),FALSE)</f>
        <v>0</v>
      </c>
      <c r="H320" s="15" t="str">
        <f>IFERROR(__xludf.DUMMYFUNCTION("""COMPUTED_VALUE"""),"Dentsu, Measured, WPP, Omnicom")</f>
        <v>Dentsu, Measured, WPP, Omnicom</v>
      </c>
      <c r="I320" s="15">
        <f>IFERROR(__xludf.DUMMYFUNCTION("""COMPUTED_VALUE"""),4.0)</f>
        <v>4</v>
      </c>
      <c r="J320" s="15">
        <f>IFERROR(__xludf.DUMMYFUNCTION("""COMPUTED_VALUE"""),0.0)</f>
        <v>0</v>
      </c>
      <c r="K320" s="15">
        <f>IFERROR(__xludf.DUMMYFUNCTION("""COMPUTED_VALUE"""),1.5)</f>
        <v>1.5</v>
      </c>
      <c r="L320" s="15"/>
    </row>
    <row r="321" ht="15.75" customHeight="1">
      <c r="A321" s="14" t="str">
        <f>IFERROR(__xludf.DUMMYFUNCTION("""COMPUTED_VALUE"""),"https://www.rzlt.io/blog/best-ai-marketing-agencies-in-2026-the-definitive-guide-by-specialty#:~:text=That%20is%20not%20how%20this%20works%20here.,top.%20%2D%20HikeMyTraffic%3A%20Award%2DWinning%20AI%20Digital%20Marketing.")</f>
        <v>https://www.rzlt.io/blog/best-ai-marketing-agencies-in-2026-the-definitive-guide-by-specialty#:~:text=That%20is%20not%20how%20this%20works%20here.,top.%20%2D%20HikeMyTraffic%3A%20Award%2DWinning%20AI%20Digital%20Marketing.</v>
      </c>
      <c r="B321" s="15" t="str">
        <f>IFERROR(__xludf.DUMMYFUNCTION("""COMPUTED_VALUE"""),"Best AI Marketing Agencies in 2026: The Definitive Guide")</f>
        <v>Best AI Marketing Agencies in 2026: The Definitive Guide</v>
      </c>
      <c r="C321" s="14" t="str">
        <f>IFERROR(__xludf.DUMMYFUNCTION("""COMPUTED_VALUE"""),"rzlt.io")</f>
        <v>rzlt.io</v>
      </c>
      <c r="D321" s="15" t="str">
        <f>IFERROR(__xludf.DUMMYFUNCTION("""COMPUTED_VALUE"""),"LISTICLE")</f>
        <v>LISTICLE</v>
      </c>
      <c r="E321" s="15" t="str">
        <f>IFERROR(__xludf.DUMMYFUNCTION("""COMPUTED_VALUE"""),"CORPORATE")</f>
        <v>CORPORATE</v>
      </c>
      <c r="F321" s="15" t="str">
        <f>IFERROR(__xludf.DUMMYFUNCTION("""COMPUTED_VALUE"""),"Listicle")</f>
        <v>Listicle</v>
      </c>
      <c r="G321" s="15" t="b">
        <f>IFERROR(__xludf.DUMMYFUNCTION("""COMPUTED_VALUE"""),FALSE)</f>
        <v>0</v>
      </c>
      <c r="H321" s="15" t="str">
        <f>IFERROR(__xludf.DUMMYFUNCTION("""COMPUTED_VALUE"""),"Monks, NoGood, Superside, Wpromote, Polaris, Jellyfish")</f>
        <v>Monks, NoGood, Superside, Wpromote, Polaris, Jellyfish</v>
      </c>
      <c r="I321" s="15">
        <f>IFERROR(__xludf.DUMMYFUNCTION("""COMPUTED_VALUE"""),4.0)</f>
        <v>4</v>
      </c>
      <c r="J321" s="15">
        <f>IFERROR(__xludf.DUMMYFUNCTION("""COMPUTED_VALUE"""),0.0)</f>
        <v>0</v>
      </c>
      <c r="K321" s="15">
        <f>IFERROR(__xludf.DUMMYFUNCTION("""COMPUTED_VALUE"""),2.5)</f>
        <v>2.5</v>
      </c>
      <c r="L321" s="15"/>
    </row>
    <row r="322" ht="15.75" customHeight="1">
      <c r="A322" s="14" t="str">
        <f>IFERROR(__xludf.DUMMYFUNCTION("""COMPUTED_VALUE"""),"https://septemai.com/blog/top-ai-consulting-firms-companies-uk-2026")</f>
        <v>https://septemai.com/blog/top-ai-consulting-firms-companies-uk-2026</v>
      </c>
      <c r="B322" s="15" t="str">
        <f>IFERROR(__xludf.DUMMYFUNCTION("""COMPUTED_VALUE"""),"Top AI Consulting Firms &amp;amp; Companies UK 2026 | SeptemAI")</f>
        <v>Top AI Consulting Firms &amp;amp; Companies UK 2026 | SeptemAI</v>
      </c>
      <c r="C322" s="14" t="str">
        <f>IFERROR(__xludf.DUMMYFUNCTION("""COMPUTED_VALUE"""),"septemai.com")</f>
        <v>septemai.com</v>
      </c>
      <c r="D322" s="15" t="str">
        <f>IFERROR(__xludf.DUMMYFUNCTION("""COMPUTED_VALUE"""),"LISTICLE")</f>
        <v>LISTICLE</v>
      </c>
      <c r="E322" s="15" t="str">
        <f>IFERROR(__xludf.DUMMYFUNCTION("""COMPUTED_VALUE"""),"CORPORATE")</f>
        <v>CORPORATE</v>
      </c>
      <c r="F322" s="15" t="str">
        <f>IFERROR(__xludf.DUMMYFUNCTION("""COMPUTED_VALUE"""),"Listicle")</f>
        <v>Listicle</v>
      </c>
      <c r="G322" s="15" t="b">
        <f>IFERROR(__xludf.DUMMYFUNCTION("""COMPUTED_VALUE"""),FALSE)</f>
        <v>0</v>
      </c>
      <c r="H322" s="15" t="str">
        <f>IFERROR(__xludf.DUMMYFUNCTION("""COMPUTED_VALUE"""),"EY")</f>
        <v>EY</v>
      </c>
      <c r="I322" s="15">
        <f>IFERROR(__xludf.DUMMYFUNCTION("""COMPUTED_VALUE"""),4.0)</f>
        <v>4</v>
      </c>
      <c r="J322" s="15">
        <f>IFERROR(__xludf.DUMMYFUNCTION("""COMPUTED_VALUE"""),0.0)</f>
        <v>0</v>
      </c>
      <c r="K322" s="15">
        <f>IFERROR(__xludf.DUMMYFUNCTION("""COMPUTED_VALUE"""),0.0)</f>
        <v>0</v>
      </c>
      <c r="L322" s="15"/>
    </row>
    <row r="323" ht="15.75" customHeight="1">
      <c r="A323" s="14" t="str">
        <f>IFERROR(__xludf.DUMMYFUNCTION("""COMPUTED_VALUE"""),"https://www.softwaresuggest.com/services/marketing-analytics-companies/uk")</f>
        <v>https://www.softwaresuggest.com/services/marketing-analytics-companies/uk</v>
      </c>
      <c r="B323" s="15" t="str">
        <f>IFERROR(__xludf.DUMMYFUNCTION("""COMPUTED_VALUE"""),"Top Marketing analytics Companies in the UK for 2025")</f>
        <v>Top Marketing analytics Companies in the UK for 2025</v>
      </c>
      <c r="C323" s="14" t="str">
        <f>IFERROR(__xludf.DUMMYFUNCTION("""COMPUTED_VALUE"""),"softwaresuggest.com")</f>
        <v>softwaresuggest.com</v>
      </c>
      <c r="D323" s="15" t="str">
        <f>IFERROR(__xludf.DUMMYFUNCTION("""COMPUTED_VALUE"""),"CATEGORY_PAGE")</f>
        <v>CATEGORY_PAGE</v>
      </c>
      <c r="E323" s="15" t="str">
        <f>IFERROR(__xludf.DUMMYFUNCTION("""COMPUTED_VALUE"""),"REFERENCE")</f>
        <v>REFERENCE</v>
      </c>
      <c r="F323" s="15" t="str">
        <f>IFERROR(__xludf.DUMMYFUNCTION("""COMPUTED_VALUE"""),"Category Page")</f>
        <v>Category Page</v>
      </c>
      <c r="G323" s="15" t="b">
        <f>IFERROR(__xludf.DUMMYFUNCTION("""COMPUTED_VALUE"""),FALSE)</f>
        <v>0</v>
      </c>
      <c r="H323" s="15" t="str">
        <f>IFERROR(__xludf.DUMMYFUNCTION("""COMPUTED_VALUE"""),"Disrupt Marketing")</f>
        <v>Disrupt Marketing</v>
      </c>
      <c r="I323" s="15">
        <f>IFERROR(__xludf.DUMMYFUNCTION("""COMPUTED_VALUE"""),4.0)</f>
        <v>4</v>
      </c>
      <c r="J323" s="15">
        <f>IFERROR(__xludf.DUMMYFUNCTION("""COMPUTED_VALUE"""),0.0)</f>
        <v>0</v>
      </c>
      <c r="K323" s="15">
        <f>IFERROR(__xludf.DUMMYFUNCTION("""COMPUTED_VALUE"""),0.0)</f>
        <v>0</v>
      </c>
      <c r="L323" s="15"/>
    </row>
    <row r="324" ht="15.75" customHeight="1">
      <c r="A324" s="14" t="str">
        <f>IFERROR(__xludf.DUMMYFUNCTION("""COMPUTED_VALUE"""),"https://www.sortlist.co.uk/s/ai-marketing/england-england-gb")</f>
        <v>https://www.sortlist.co.uk/s/ai-marketing/england-england-gb</v>
      </c>
      <c r="B324" s="15" t="str">
        <f>IFERROR(__xludf.DUMMYFUNCTION("""COMPUTED_VALUE"""),"The 10 Best AI Marketing Companies in England - 2026 Reviews")</f>
        <v>The 10 Best AI Marketing Companies in England - 2026 Reviews</v>
      </c>
      <c r="C324" s="14" t="str">
        <f>IFERROR(__xludf.DUMMYFUNCTION("""COMPUTED_VALUE"""),"sortlist.co.uk")</f>
        <v>sortlist.co.uk</v>
      </c>
      <c r="D324" s="15" t="str">
        <f>IFERROR(__xludf.DUMMYFUNCTION("""COMPUTED_VALUE"""),"CATEGORY_PAGE")</f>
        <v>CATEGORY_PAGE</v>
      </c>
      <c r="E324" s="15" t="str">
        <f>IFERROR(__xludf.DUMMYFUNCTION("""COMPUTED_VALUE"""),"REFERENCE")</f>
        <v>REFERENCE</v>
      </c>
      <c r="F324" s="15" t="str">
        <f>IFERROR(__xludf.DUMMYFUNCTION("""COMPUTED_VALUE"""),"Category Page")</f>
        <v>Category Page</v>
      </c>
      <c r="G324" s="15" t="b">
        <f>IFERROR(__xludf.DUMMYFUNCTION("""COMPUTED_VALUE"""),FALSE)</f>
        <v>0</v>
      </c>
      <c r="H324" s="15"/>
      <c r="I324" s="15">
        <f>IFERROR(__xludf.DUMMYFUNCTION("""COMPUTED_VALUE"""),4.0)</f>
        <v>4</v>
      </c>
      <c r="J324" s="15">
        <f>IFERROR(__xludf.DUMMYFUNCTION("""COMPUTED_VALUE"""),0.0)</f>
        <v>0</v>
      </c>
      <c r="K324" s="15">
        <f>IFERROR(__xludf.DUMMYFUNCTION("""COMPUTED_VALUE"""),0.0)</f>
        <v>0</v>
      </c>
      <c r="L324" s="15"/>
    </row>
    <row r="325" ht="15.75" customHeight="1">
      <c r="A325" s="14"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B325" s="15" t="str">
        <f>IFERROR(__xludf.DUMMYFUNCTION("""COMPUTED_VALUE"""),"The 10 Best Attribution Marketing Agencies in England - 2026 Reviews")</f>
        <v>The 10 Best Attribution Marketing Agencies in England - 2026 Reviews</v>
      </c>
      <c r="C325" s="14" t="str">
        <f>IFERROR(__xludf.DUMMYFUNCTION("""COMPUTED_VALUE"""),"sortlist.co.uk")</f>
        <v>sortlist.co.uk</v>
      </c>
      <c r="D325" s="15" t="str">
        <f>IFERROR(__xludf.DUMMYFUNCTION("""COMPUTED_VALUE"""),"CATEGORY_PAGE")</f>
        <v>CATEGORY_PAGE</v>
      </c>
      <c r="E325" s="15" t="str">
        <f>IFERROR(__xludf.DUMMYFUNCTION("""COMPUTED_VALUE"""),"REFERENCE")</f>
        <v>REFERENCE</v>
      </c>
      <c r="F325" s="15" t="str">
        <f>IFERROR(__xludf.DUMMYFUNCTION("""COMPUTED_VALUE"""),"Category Page")</f>
        <v>Category Page</v>
      </c>
      <c r="G325" s="15" t="b">
        <f>IFERROR(__xludf.DUMMYFUNCTION("""COMPUTED_VALUE"""),FALSE)</f>
        <v>0</v>
      </c>
      <c r="H325" s="15" t="str">
        <f>IFERROR(__xludf.DUMMYFUNCTION("""COMPUTED_VALUE"""),"GA Agency")</f>
        <v>GA Agency</v>
      </c>
      <c r="I325" s="15">
        <f>IFERROR(__xludf.DUMMYFUNCTION("""COMPUTED_VALUE"""),4.0)</f>
        <v>4</v>
      </c>
      <c r="J325" s="15">
        <f>IFERROR(__xludf.DUMMYFUNCTION("""COMPUTED_VALUE"""),0.0)</f>
        <v>0</v>
      </c>
      <c r="K325" s="15">
        <f>IFERROR(__xludf.DUMMYFUNCTION("""COMPUTED_VALUE"""),0.75)</f>
        <v>0.75</v>
      </c>
      <c r="L325" s="15"/>
    </row>
    <row r="326" ht="15.75" customHeight="1">
      <c r="A326" s="14" t="str">
        <f>IFERROR(__xludf.DUMMYFUNCTION("""COMPUTED_VALUE"""),"https://www.sortlist.co.uk/s/marketing-analytics/west-midlands-england-gb")</f>
        <v>https://www.sortlist.co.uk/s/marketing-analytics/west-midlands-england-gb</v>
      </c>
      <c r="B326" s="15" t="str">
        <f>IFERROR(__xludf.DUMMYFUNCTION("""COMPUTED_VALUE"""),"The 10 Best Marketing Analytics Companies in West Midlands - 2026 Reviews")</f>
        <v>The 10 Best Marketing Analytics Companies in West Midlands - 2026 Reviews</v>
      </c>
      <c r="C326" s="14" t="str">
        <f>IFERROR(__xludf.DUMMYFUNCTION("""COMPUTED_VALUE"""),"sortlist.co.uk")</f>
        <v>sortlist.co.uk</v>
      </c>
      <c r="D326" s="15" t="str">
        <f>IFERROR(__xludf.DUMMYFUNCTION("""COMPUTED_VALUE"""),"CATEGORY_PAGE")</f>
        <v>CATEGORY_PAGE</v>
      </c>
      <c r="E326" s="15" t="str">
        <f>IFERROR(__xludf.DUMMYFUNCTION("""COMPUTED_VALUE"""),"REFERENCE")</f>
        <v>REFERENCE</v>
      </c>
      <c r="F326" s="15" t="str">
        <f>IFERROR(__xludf.DUMMYFUNCTION("""COMPUTED_VALUE"""),"Category Page")</f>
        <v>Category Page</v>
      </c>
      <c r="G326" s="15" t="b">
        <f>IFERROR(__xludf.DUMMYFUNCTION("""COMPUTED_VALUE"""),FALSE)</f>
        <v>0</v>
      </c>
      <c r="H326" s="15" t="str">
        <f>IFERROR(__xludf.DUMMYFUNCTION("""COMPUTED_VALUE"""),"Momentum, M3.agency, Ninja Promo")</f>
        <v>Momentum, M3.agency, Ninja Promo</v>
      </c>
      <c r="I326" s="15">
        <f>IFERROR(__xludf.DUMMYFUNCTION("""COMPUTED_VALUE"""),4.0)</f>
        <v>4</v>
      </c>
      <c r="J326" s="15">
        <f>IFERROR(__xludf.DUMMYFUNCTION("""COMPUTED_VALUE"""),0.0)</f>
        <v>0</v>
      </c>
      <c r="K326" s="15">
        <f>IFERROR(__xludf.DUMMYFUNCTION("""COMPUTED_VALUE"""),0.0)</f>
        <v>0</v>
      </c>
      <c r="L326" s="15"/>
    </row>
    <row r="327" ht="15.75" customHeight="1">
      <c r="A327" s="14" t="str">
        <f>IFERROR(__xludf.DUMMYFUNCTION("""COMPUTED_VALUE"""),"https://www.thesmallbizexpert.co.uk/blog/best-ai-seo-agencies-uk")</f>
        <v>https://www.thesmallbizexpert.co.uk/blog/best-ai-seo-agencies-uk</v>
      </c>
      <c r="B327" s="15" t="str">
        <f>IFERROR(__xludf.DUMMYFUNCTION("""COMPUTED_VALUE"""),"Best AI SEO Agencies UK | The Small Biz Expert")</f>
        <v>Best AI SEO Agencies UK | The Small Biz Expert</v>
      </c>
      <c r="C327" s="14" t="str">
        <f>IFERROR(__xludf.DUMMYFUNCTION("""COMPUTED_VALUE"""),"thesmallbizexpert.co.uk")</f>
        <v>thesmallbizexpert.co.uk</v>
      </c>
      <c r="D327" s="15" t="str">
        <f>IFERROR(__xludf.DUMMYFUNCTION("""COMPUTED_VALUE"""),"LISTICLE")</f>
        <v>LISTICLE</v>
      </c>
      <c r="E327" s="15" t="str">
        <f>IFERROR(__xludf.DUMMYFUNCTION("""COMPUTED_VALUE"""),"CORPORATE")</f>
        <v>CORPORATE</v>
      </c>
      <c r="F327" s="15" t="str">
        <f>IFERROR(__xludf.DUMMYFUNCTION("""COMPUTED_VALUE"""),"Listicle")</f>
        <v>Listicle</v>
      </c>
      <c r="G327" s="15" t="b">
        <f>IFERROR(__xludf.DUMMYFUNCTION("""COMPUTED_VALUE"""),FALSE)</f>
        <v>0</v>
      </c>
      <c r="H327" s="15" t="str">
        <f>IFERROR(__xludf.DUMMYFUNCTION("""COMPUTED_VALUE"""),"Found, The SEO Works, Click Intelligence, Impression, Propellernet, Rise at Seven")</f>
        <v>Found, The SEO Works, Click Intelligence, Impression, Propellernet, Rise at Seven</v>
      </c>
      <c r="I327" s="15">
        <f>IFERROR(__xludf.DUMMYFUNCTION("""COMPUTED_VALUE"""),4.0)</f>
        <v>4</v>
      </c>
      <c r="J327" s="15">
        <f>IFERROR(__xludf.DUMMYFUNCTION("""COMPUTED_VALUE"""),0.0)</f>
        <v>0</v>
      </c>
      <c r="K327" s="15">
        <f>IFERROR(__xludf.DUMMYFUNCTION("""COMPUTED_VALUE"""),0.5)</f>
        <v>0.5</v>
      </c>
      <c r="L327" s="15"/>
    </row>
    <row r="328" ht="15.75" customHeight="1">
      <c r="A328" s="14" t="str">
        <f>IFERROR(__xludf.DUMMYFUNCTION("""COMPUTED_VALUE"""),"https://agencies.semrush.com/list/market-analysis/united-kingdom/")</f>
        <v>https://agencies.semrush.com/list/market-analysis/united-kingdom/</v>
      </c>
      <c r="B328" s="15" t="str">
        <f>IFERROR(__xludf.DUMMYFUNCTION("""COMPUTED_VALUE"""),"Best Market Research Companies in United Kingdom 2026 | Semrush")</f>
        <v>Best Market Research Companies in United Kingdom 2026 | Semrush</v>
      </c>
      <c r="C328" s="14" t="str">
        <f>IFERROR(__xludf.DUMMYFUNCTION("""COMPUTED_VALUE"""),"semrush.com")</f>
        <v>semrush.com</v>
      </c>
      <c r="D328" s="15" t="str">
        <f>IFERROR(__xludf.DUMMYFUNCTION("""COMPUTED_VALUE"""),"CATEGORY_PAGE")</f>
        <v>CATEGORY_PAGE</v>
      </c>
      <c r="E328" s="15" t="str">
        <f>IFERROR(__xludf.DUMMYFUNCTION("""COMPUTED_VALUE"""),"CORPORATE")</f>
        <v>CORPORATE</v>
      </c>
      <c r="F328" s="15" t="str">
        <f>IFERROR(__xludf.DUMMYFUNCTION("""COMPUTED_VALUE"""),"Category Page")</f>
        <v>Category Page</v>
      </c>
      <c r="G328" s="15" t="b">
        <f>IFERROR(__xludf.DUMMYFUNCTION("""COMPUTED_VALUE"""),FALSE)</f>
        <v>0</v>
      </c>
      <c r="H328" s="15" t="str">
        <f>IFERROR(__xludf.DUMMYFUNCTION("""COMPUTED_VALUE"""),"Found, GA Agency, Huge")</f>
        <v>Found, GA Agency, Huge</v>
      </c>
      <c r="I328" s="15">
        <f>IFERROR(__xludf.DUMMYFUNCTION("""COMPUTED_VALUE"""),3.0)</f>
        <v>3</v>
      </c>
      <c r="J328" s="15">
        <f>IFERROR(__xludf.DUMMYFUNCTION("""COMPUTED_VALUE"""),0.0)</f>
        <v>0</v>
      </c>
      <c r="K328" s="15">
        <f>IFERROR(__xludf.DUMMYFUNCTION("""COMPUTED_VALUE"""),0.0)</f>
        <v>0</v>
      </c>
      <c r="L328" s="15"/>
    </row>
    <row r="329" ht="15.75" customHeight="1">
      <c r="A329" s="14" t="str">
        <f>IFERROR(__xludf.DUMMYFUNCTION("""COMPUTED_VALUE"""),"https://agencylist.com/data-and-analytics/gb/")</f>
        <v>https://agencylist.com/data-and-analytics/gb/</v>
      </c>
      <c r="B329" s="15" t="str">
        <f>IFERROR(__xludf.DUMMYFUNCTION("""COMPUTED_VALUE"""),"Top Data and Analytics Agencies in United Kingdom")</f>
        <v>Top Data and Analytics Agencies in United Kingdom</v>
      </c>
      <c r="C329" s="14" t="str">
        <f>IFERROR(__xludf.DUMMYFUNCTION("""COMPUTED_VALUE"""),"agencylist.com")</f>
        <v>agencylist.com</v>
      </c>
      <c r="D329" s="15" t="str">
        <f>IFERROR(__xludf.DUMMYFUNCTION("""COMPUTED_VALUE"""),"CATEGORY_PAGE")</f>
        <v>CATEGORY_PAGE</v>
      </c>
      <c r="E329" s="15" t="str">
        <f>IFERROR(__xludf.DUMMYFUNCTION("""COMPUTED_VALUE"""),"REFERENCE")</f>
        <v>REFERENCE</v>
      </c>
      <c r="F329" s="15" t="str">
        <f>IFERROR(__xludf.DUMMYFUNCTION("""COMPUTED_VALUE"""),"Category Page")</f>
        <v>Category Page</v>
      </c>
      <c r="G329" s="15" t="b">
        <f>IFERROR(__xludf.DUMMYFUNCTION("""COMPUTED_VALUE"""),FALSE)</f>
        <v>0</v>
      </c>
      <c r="H329" s="15"/>
      <c r="I329" s="15">
        <f>IFERROR(__xludf.DUMMYFUNCTION("""COMPUTED_VALUE"""),3.0)</f>
        <v>3</v>
      </c>
      <c r="J329" s="15">
        <f>IFERROR(__xludf.DUMMYFUNCTION("""COMPUTED_VALUE"""),0.0)</f>
        <v>0</v>
      </c>
      <c r="K329" s="15">
        <f>IFERROR(__xludf.DUMMYFUNCTION("""COMPUTED_VALUE"""),0.0)</f>
        <v>0</v>
      </c>
      <c r="L329" s="15"/>
    </row>
    <row r="330" ht="15.75" customHeight="1">
      <c r="A330" s="14" t="str">
        <f>IFERROR(__xludf.DUMMYFUNCTION("""COMPUTED_VALUE"""),"https://aisuperior.com/ai-consulting-companies-in-the-uk/")</f>
        <v>https://aisuperior.com/ai-consulting-companies-in-the-uk/</v>
      </c>
      <c r="B330" s="15" t="str">
        <f>IFERROR(__xludf.DUMMYFUNCTION("""COMPUTED_VALUE"""),"19 Best AI Consulting Companies in the UK (2026)")</f>
        <v>19 Best AI Consulting Companies in the UK (2026)</v>
      </c>
      <c r="C330" s="14" t="str">
        <f>IFERROR(__xludf.DUMMYFUNCTION("""COMPUTED_VALUE"""),"aisuperior.com")</f>
        <v>aisuperior.com</v>
      </c>
      <c r="D330" s="15" t="str">
        <f>IFERROR(__xludf.DUMMYFUNCTION("""COMPUTED_VALUE"""),"LISTICLE")</f>
        <v>LISTICLE</v>
      </c>
      <c r="E330" s="15" t="str">
        <f>IFERROR(__xludf.DUMMYFUNCTION("""COMPUTED_VALUE"""),"OTHER")</f>
        <v>OTHER</v>
      </c>
      <c r="F330" s="15" t="str">
        <f>IFERROR(__xludf.DUMMYFUNCTION("""COMPUTED_VALUE"""),"Listicle")</f>
        <v>Listicle</v>
      </c>
      <c r="G330" s="15" t="b">
        <f>IFERROR(__xludf.DUMMYFUNCTION("""COMPUTED_VALUE"""),FALSE)</f>
        <v>0</v>
      </c>
      <c r="H330" s="15"/>
      <c r="I330" s="15">
        <f>IFERROR(__xludf.DUMMYFUNCTION("""COMPUTED_VALUE"""),3.0)</f>
        <v>3</v>
      </c>
      <c r="J330" s="15">
        <f>IFERROR(__xludf.DUMMYFUNCTION("""COMPUTED_VALUE"""),0.0)</f>
        <v>0</v>
      </c>
      <c r="K330" s="15">
        <f>IFERROR(__xludf.DUMMYFUNCTION("""COMPUTED_VALUE"""),0.0)</f>
        <v>0</v>
      </c>
      <c r="L330" s="15"/>
    </row>
    <row r="331" ht="15.75" customHeight="1">
      <c r="A331" s="14" t="str">
        <f>IFERROR(__xludf.DUMMYFUNCTION("""COMPUTED_VALUE"""),"https://www.b2bmarketing.net/reports/top-b2b-marketing-agencies-uk-2026/")</f>
        <v>https://www.b2bmarketing.net/reports/top-b2b-marketing-agencies-uk-2026/</v>
      </c>
      <c r="B331" s="15" t="str">
        <f>IFERROR(__xludf.DUMMYFUNCTION("""COMPUTED_VALUE"""),"Top Marketing Agencies In The UK 2026 - B2B Marketing")</f>
        <v>Top Marketing Agencies In The UK 2026 - B2B Marketing</v>
      </c>
      <c r="C331" s="14" t="str">
        <f>IFERROR(__xludf.DUMMYFUNCTION("""COMPUTED_VALUE"""),"b2bmarketing.net")</f>
        <v>b2bmarketing.net</v>
      </c>
      <c r="D331" s="15" t="str">
        <f>IFERROR(__xludf.DUMMYFUNCTION("""COMPUTED_VALUE"""),"LISTICLE")</f>
        <v>LISTICLE</v>
      </c>
      <c r="E331" s="15" t="str">
        <f>IFERROR(__xludf.DUMMYFUNCTION("""COMPUTED_VALUE"""),"INSTITUTIONAL")</f>
        <v>INSTITUTIONAL</v>
      </c>
      <c r="F331" s="15" t="str">
        <f>IFERROR(__xludf.DUMMYFUNCTION("""COMPUTED_VALUE"""),"Listicle")</f>
        <v>Listicle</v>
      </c>
      <c r="G331" s="15" t="b">
        <f>IFERROR(__xludf.DUMMYFUNCTION("""COMPUTED_VALUE"""),FALSE)</f>
        <v>0</v>
      </c>
      <c r="H331" s="15" t="str">
        <f>IFERROR(__xludf.DUMMYFUNCTION("""COMPUTED_VALUE"""),"Dentsu, Gravity Global, Transmission")</f>
        <v>Dentsu, Gravity Global, Transmission</v>
      </c>
      <c r="I331" s="15">
        <f>IFERROR(__xludf.DUMMYFUNCTION("""COMPUTED_VALUE"""),3.0)</f>
        <v>3</v>
      </c>
      <c r="J331" s="15">
        <f>IFERROR(__xludf.DUMMYFUNCTION("""COMPUTED_VALUE"""),0.0)</f>
        <v>0</v>
      </c>
      <c r="K331" s="15">
        <f>IFERROR(__xludf.DUMMYFUNCTION("""COMPUTED_VALUE"""),0.0)</f>
        <v>0</v>
      </c>
      <c r="L331" s="15"/>
    </row>
    <row r="332" ht="15.75" customHeight="1">
      <c r="A332" s="14" t="str">
        <f>IFERROR(__xludf.DUMMYFUNCTION("""COMPUTED_VALUE"""),"https://www.bbntimes.com/companies/top-10-uk-based-ai-consulting-firms-2025")</f>
        <v>https://www.bbntimes.com/companies/top-10-uk-based-ai-consulting-firms-2025</v>
      </c>
      <c r="B332" s="15" t="str">
        <f>IFERROR(__xludf.DUMMYFUNCTION("""COMPUTED_VALUE"""),"Top 10 UK-Based AI Consulting Firms (2025)")</f>
        <v>Top 10 UK-Based AI Consulting Firms (2025)</v>
      </c>
      <c r="C332" s="14" t="str">
        <f>IFERROR(__xludf.DUMMYFUNCTION("""COMPUTED_VALUE"""),"bbntimes.com")</f>
        <v>bbntimes.com</v>
      </c>
      <c r="D332" s="15" t="str">
        <f>IFERROR(__xludf.DUMMYFUNCTION("""COMPUTED_VALUE"""),"LISTICLE")</f>
        <v>LISTICLE</v>
      </c>
      <c r="E332" s="15" t="str">
        <f>IFERROR(__xludf.DUMMYFUNCTION("""COMPUTED_VALUE"""),"EDITORIAL")</f>
        <v>EDITORIAL</v>
      </c>
      <c r="F332" s="15" t="str">
        <f>IFERROR(__xludf.DUMMYFUNCTION("""COMPUTED_VALUE"""),"Listicle")</f>
        <v>Listicle</v>
      </c>
      <c r="G332" s="15" t="b">
        <f>IFERROR(__xludf.DUMMYFUNCTION("""COMPUTED_VALUE"""),FALSE)</f>
        <v>0</v>
      </c>
      <c r="H332" s="15" t="str">
        <f>IFERROR(__xludf.DUMMYFUNCTION("""COMPUTED_VALUE"""),"QuantumBlack, EY, Found")</f>
        <v>QuantumBlack, EY, Found</v>
      </c>
      <c r="I332" s="15">
        <f>IFERROR(__xludf.DUMMYFUNCTION("""COMPUTED_VALUE"""),3.0)</f>
        <v>3</v>
      </c>
      <c r="J332" s="15">
        <f>IFERROR(__xludf.DUMMYFUNCTION("""COMPUTED_VALUE"""),0.0)</f>
        <v>0</v>
      </c>
      <c r="K332" s="15">
        <f>IFERROR(__xludf.DUMMYFUNCTION("""COMPUTED_VALUE"""),0.0)</f>
        <v>0</v>
      </c>
      <c r="L332" s="15"/>
    </row>
    <row r="333" ht="15.75" customHeight="1">
      <c r="A333" s="14" t="str">
        <f>IFERROR(__xludf.DUMMYFUNCTION("""COMPUTED_VALUE"""),"https://bird.co.uk/")</f>
        <v>https://bird.co.uk/</v>
      </c>
      <c r="B333" s="15" t="str">
        <f>IFERROR(__xludf.DUMMYFUNCTION("""COMPUTED_VALUE"""),"Full Service Digital Marketing Agency UK - Award Winning - Top Rated - Bird Marketing")</f>
        <v>Full Service Digital Marketing Agency UK - Award Winning - Top Rated - Bird Marketing</v>
      </c>
      <c r="C333" s="14" t="str">
        <f>IFERROR(__xludf.DUMMYFUNCTION("""COMPUTED_VALUE"""),"bird.co.uk")</f>
        <v>bird.co.uk</v>
      </c>
      <c r="D333" s="15" t="str">
        <f>IFERROR(__xludf.DUMMYFUNCTION("""COMPUTED_VALUE"""),"HOMEPAGE")</f>
        <v>HOMEPAGE</v>
      </c>
      <c r="E333" s="15" t="str">
        <f>IFERROR(__xludf.DUMMYFUNCTION("""COMPUTED_VALUE"""),"CORPORATE")</f>
        <v>CORPORATE</v>
      </c>
      <c r="F333" s="15" t="str">
        <f>IFERROR(__xludf.DUMMYFUNCTION("""COMPUTED_VALUE"""),"Homepage")</f>
        <v>Homepage</v>
      </c>
      <c r="G333" s="15" t="b">
        <f>IFERROR(__xludf.DUMMYFUNCTION("""COMPUTED_VALUE"""),FALSE)</f>
        <v>0</v>
      </c>
      <c r="H333" s="15" t="str">
        <f>IFERROR(__xludf.DUMMYFUNCTION("""COMPUTED_VALUE"""),"Bird Marketing")</f>
        <v>Bird Marketing</v>
      </c>
      <c r="I333" s="15">
        <f>IFERROR(__xludf.DUMMYFUNCTION("""COMPUTED_VALUE"""),3.0)</f>
        <v>3</v>
      </c>
      <c r="J333" s="15">
        <f>IFERROR(__xludf.DUMMYFUNCTION("""COMPUTED_VALUE"""),0.0)</f>
        <v>0</v>
      </c>
      <c r="K333" s="15">
        <f>IFERROR(__xludf.DUMMYFUNCTION("""COMPUTED_VALUE"""),1.0)</f>
        <v>1</v>
      </c>
      <c r="L333" s="15"/>
    </row>
    <row r="334" ht="15.75" customHeight="1">
      <c r="A334" s="14" t="str">
        <f>IFERROR(__xludf.DUMMYFUNCTION("""COMPUTED_VALUE"""),"https://blog.tenaciousmarketing.co.uk/top-15-best-geo-agencies-in-the-uk-2026")</f>
        <v>https://blog.tenaciousmarketing.co.uk/top-15-best-geo-agencies-in-the-uk-2026</v>
      </c>
      <c r="B334" s="15" t="str">
        <f>IFERROR(__xludf.DUMMYFUNCTION("""COMPUTED_VALUE"""),"Top 15 GEO Agencies in the UK for 2026 |AI Search Visibility")</f>
        <v>Top 15 GEO Agencies in the UK for 2026 |AI Search Visibility</v>
      </c>
      <c r="C334" s="14" t="str">
        <f>IFERROR(__xludf.DUMMYFUNCTION("""COMPUTED_VALUE"""),"tenaciousmarketing.co.uk")</f>
        <v>tenaciousmarketing.co.uk</v>
      </c>
      <c r="D334" s="15" t="str">
        <f>IFERROR(__xludf.DUMMYFUNCTION("""COMPUTED_VALUE"""),"LISTICLE")</f>
        <v>LISTICLE</v>
      </c>
      <c r="E334" s="15" t="str">
        <f>IFERROR(__xludf.DUMMYFUNCTION("""COMPUTED_VALUE"""),"CORPORATE")</f>
        <v>CORPORATE</v>
      </c>
      <c r="F334" s="15" t="str">
        <f>IFERROR(__xludf.DUMMYFUNCTION("""COMPUTED_VALUE"""),"Listicle")</f>
        <v>Listicle</v>
      </c>
      <c r="G334" s="15" t="b">
        <f>IFERROR(__xludf.DUMMYFUNCTION("""COMPUTED_VALUE"""),FALSE)</f>
        <v>0</v>
      </c>
      <c r="H334" s="15" t="str">
        <f>IFERROR(__xludf.DUMMYFUNCTION("""COMPUTED_VALUE"""),"Measured, Charle Agency, Blue Array, The SEO Works, Impression, Digital Landscope, Rise at Seven, Propellernet, Builtvisible, Hallam, Journey Further, Found")</f>
        <v>Measured, Charle Agency, Blue Array, The SEO Works, Impression, Digital Landscope, Rise at Seven, Propellernet, Builtvisible, Hallam, Journey Further, Found</v>
      </c>
      <c r="I334" s="15">
        <f>IFERROR(__xludf.DUMMYFUNCTION("""COMPUTED_VALUE"""),3.0)</f>
        <v>3</v>
      </c>
      <c r="J334" s="15">
        <f>IFERROR(__xludf.DUMMYFUNCTION("""COMPUTED_VALUE"""),0.0)</f>
        <v>0</v>
      </c>
      <c r="K334" s="15">
        <f>IFERROR(__xludf.DUMMYFUNCTION("""COMPUTED_VALUE"""),0.67)</f>
        <v>0.67</v>
      </c>
      <c r="L334" s="15"/>
    </row>
    <row r="335" ht="15.75" customHeight="1">
      <c r="A335" s="14" t="str">
        <f>IFERROR(__xludf.DUMMYFUNCTION("""COMPUTED_VALUE"""),"https://carlosalbamedia.co.uk/best-marketing-agency-uk/")</f>
        <v>https://carlosalbamedia.co.uk/best-marketing-agency-uk/</v>
      </c>
      <c r="B335" s="15" t="str">
        <f>IFERROR(__xludf.DUMMYFUNCTION("""COMPUTED_VALUE"""),"7 Best Marketing Agency UK Picks for 2026 – Carlos Alba Media")</f>
        <v>7 Best Marketing Agency UK Picks for 2026 – Carlos Alba Media</v>
      </c>
      <c r="C335" s="14" t="str">
        <f>IFERROR(__xludf.DUMMYFUNCTION("""COMPUTED_VALUE"""),"carlosalbamedia.co.uk")</f>
        <v>carlosalbamedia.co.uk</v>
      </c>
      <c r="D335" s="15" t="str">
        <f>IFERROR(__xludf.DUMMYFUNCTION("""COMPUTED_VALUE"""),"LISTICLE")</f>
        <v>LISTICLE</v>
      </c>
      <c r="E335" s="15" t="str">
        <f>IFERROR(__xludf.DUMMYFUNCTION("""COMPUTED_VALUE"""),"CORPORATE")</f>
        <v>CORPORATE</v>
      </c>
      <c r="F335" s="15" t="str">
        <f>IFERROR(__xludf.DUMMYFUNCTION("""COMPUTED_VALUE"""),"Listicle")</f>
        <v>Listicle</v>
      </c>
      <c r="G335" s="15" t="b">
        <f>IFERROR(__xludf.DUMMYFUNCTION("""COMPUTED_VALUE"""),FALSE)</f>
        <v>0</v>
      </c>
      <c r="H335" s="15" t="str">
        <f>IFERROR(__xludf.DUMMYFUNCTION("""COMPUTED_VALUE"""),"Jellyfish, Brainlabs, VCCP, Mother London, AMV BBDO, Impression, Rise at Seven, Momentum")</f>
        <v>Jellyfish, Brainlabs, VCCP, Mother London, AMV BBDO, Impression, Rise at Seven, Momentum</v>
      </c>
      <c r="I335" s="15">
        <f>IFERROR(__xludf.DUMMYFUNCTION("""COMPUTED_VALUE"""),3.0)</f>
        <v>3</v>
      </c>
      <c r="J335" s="15">
        <f>IFERROR(__xludf.DUMMYFUNCTION("""COMPUTED_VALUE"""),0.0)</f>
        <v>0</v>
      </c>
      <c r="K335" s="15">
        <f>IFERROR(__xludf.DUMMYFUNCTION("""COMPUTED_VALUE"""),1.0)</f>
        <v>1</v>
      </c>
      <c r="L335" s="15"/>
    </row>
    <row r="336" ht="15.75" customHeight="1">
      <c r="A336" s="14" t="str">
        <f>IFERROR(__xludf.DUMMYFUNCTION("""COMPUTED_VALUE"""),"https://carmatec.co.uk/blog/top-10-ai-consultancies-in-the-uk/")</f>
        <v>https://carmatec.co.uk/blog/top-10-ai-consultancies-in-the-uk/</v>
      </c>
      <c r="B336" s="15" t="str">
        <f>IFERROR(__xludf.DUMMYFUNCTION("""COMPUTED_VALUE"""),"Top 10 AI Consultancies in the UK (2026) - Carmatec Digital UK")</f>
        <v>Top 10 AI Consultancies in the UK (2026) - Carmatec Digital UK</v>
      </c>
      <c r="C336" s="14" t="str">
        <f>IFERROR(__xludf.DUMMYFUNCTION("""COMPUTED_VALUE"""),"carmatec.co.uk")</f>
        <v>carmatec.co.uk</v>
      </c>
      <c r="D336" s="15" t="str">
        <f>IFERROR(__xludf.DUMMYFUNCTION("""COMPUTED_VALUE"""),"LISTICLE")</f>
        <v>LISTICLE</v>
      </c>
      <c r="E336" s="15" t="str">
        <f>IFERROR(__xludf.DUMMYFUNCTION("""COMPUTED_VALUE"""),"CORPORATE")</f>
        <v>CORPORATE</v>
      </c>
      <c r="F336" s="15" t="str">
        <f>IFERROR(__xludf.DUMMYFUNCTION("""COMPUTED_VALUE"""),"Listicle")</f>
        <v>Listicle</v>
      </c>
      <c r="G336" s="15" t="b">
        <f>IFERROR(__xludf.DUMMYFUNCTION("""COMPUTED_VALUE"""),FALSE)</f>
        <v>0</v>
      </c>
      <c r="H336" s="15" t="str">
        <f>IFERROR(__xludf.DUMMYFUNCTION("""COMPUTED_VALUE"""),"WPP, Transmission")</f>
        <v>WPP, Transmission</v>
      </c>
      <c r="I336" s="15">
        <f>IFERROR(__xludf.DUMMYFUNCTION("""COMPUTED_VALUE"""),3.0)</f>
        <v>3</v>
      </c>
      <c r="J336" s="15">
        <f>IFERROR(__xludf.DUMMYFUNCTION("""COMPUTED_VALUE"""),0.0)</f>
        <v>0</v>
      </c>
      <c r="K336" s="15">
        <f>IFERROR(__xludf.DUMMYFUNCTION("""COMPUTED_VALUE"""),0.67)</f>
        <v>0.67</v>
      </c>
      <c r="L336" s="15"/>
    </row>
    <row r="337" ht="15.75" customHeight="1">
      <c r="A337" s="14" t="str">
        <f>IFERROR(__xludf.DUMMYFUNCTION("""COMPUTED_VALUE"""),"https://www.clickslice.co.uk/best-social-media-agencies-uk/")</f>
        <v>https://www.clickslice.co.uk/best-social-media-agencies-uk/</v>
      </c>
      <c r="B337" s="15" t="str">
        <f>IFERROR(__xludf.DUMMYFUNCTION("""COMPUTED_VALUE"""),"10 Best Social Media Agencies in the UK (2026 Review)")</f>
        <v>10 Best Social Media Agencies in the UK (2026 Review)</v>
      </c>
      <c r="C337" s="14" t="str">
        <f>IFERROR(__xludf.DUMMYFUNCTION("""COMPUTED_VALUE"""),"clickslice.co.uk")</f>
        <v>clickslice.co.uk</v>
      </c>
      <c r="D337" s="15" t="str">
        <f>IFERROR(__xludf.DUMMYFUNCTION("""COMPUTED_VALUE"""),"LISTICLE")</f>
        <v>LISTICLE</v>
      </c>
      <c r="E337" s="15" t="str">
        <f>IFERROR(__xludf.DUMMYFUNCTION("""COMPUTED_VALUE"""),"COMPETITOR")</f>
        <v>COMPETITOR</v>
      </c>
      <c r="F337" s="15" t="str">
        <f>IFERROR(__xludf.DUMMYFUNCTION("""COMPUTED_VALUE"""),"Listicle")</f>
        <v>Listicle</v>
      </c>
      <c r="G337" s="15" t="b">
        <f>IFERROR(__xludf.DUMMYFUNCTION("""COMPUTED_VALUE"""),FALSE)</f>
        <v>0</v>
      </c>
      <c r="H337" s="15" t="str">
        <f>IFERROR(__xludf.DUMMYFUNCTION("""COMPUTED_VALUE"""),"ClickSlice, The Social Shepherd, Propeller")</f>
        <v>ClickSlice, The Social Shepherd, Propeller</v>
      </c>
      <c r="I337" s="15">
        <f>IFERROR(__xludf.DUMMYFUNCTION("""COMPUTED_VALUE"""),3.0)</f>
        <v>3</v>
      </c>
      <c r="J337" s="15">
        <f>IFERROR(__xludf.DUMMYFUNCTION("""COMPUTED_VALUE"""),0.0)</f>
        <v>0</v>
      </c>
      <c r="K337" s="15">
        <f>IFERROR(__xludf.DUMMYFUNCTION("""COMPUTED_VALUE"""),0.0)</f>
        <v>0</v>
      </c>
      <c r="L337" s="15"/>
    </row>
    <row r="338" ht="15.75" customHeight="1">
      <c r="A338" s="14" t="str">
        <f>IFERROR(__xludf.DUMMYFUNCTION("""COMPUTED_VALUE"""),"https://www.clickslice.co.uk/top-geo-agencies-uk/")</f>
        <v>https://www.clickslice.co.uk/top-geo-agencies-uk/</v>
      </c>
      <c r="B338" s="15" t="str">
        <f>IFERROR(__xludf.DUMMYFUNCTION("""COMPUTED_VALUE"""),"Top 10 GEO Agencies UK (2026 Review)")</f>
        <v>Top 10 GEO Agencies UK (2026 Review)</v>
      </c>
      <c r="C338" s="14" t="str">
        <f>IFERROR(__xludf.DUMMYFUNCTION("""COMPUTED_VALUE"""),"clickslice.co.uk")</f>
        <v>clickslice.co.uk</v>
      </c>
      <c r="D338" s="15" t="str">
        <f>IFERROR(__xludf.DUMMYFUNCTION("""COMPUTED_VALUE"""),"LISTICLE")</f>
        <v>LISTICLE</v>
      </c>
      <c r="E338" s="15" t="str">
        <f>IFERROR(__xludf.DUMMYFUNCTION("""COMPUTED_VALUE"""),"COMPETITOR")</f>
        <v>COMPETITOR</v>
      </c>
      <c r="F338" s="15" t="str">
        <f>IFERROR(__xludf.DUMMYFUNCTION("""COMPUTED_VALUE"""),"Listicle")</f>
        <v>Listicle</v>
      </c>
      <c r="G338" s="15" t="b">
        <f>IFERROR(__xludf.DUMMYFUNCTION("""COMPUTED_VALUE"""),FALSE)</f>
        <v>0</v>
      </c>
      <c r="H338" s="15" t="str">
        <f>IFERROR(__xludf.DUMMYFUNCTION("""COMPUTED_VALUE"""),"ClickSlice, Exposure Ninja, Propellernet, Builtvisible, Bird Marketing")</f>
        <v>ClickSlice, Exposure Ninja, Propellernet, Builtvisible, Bird Marketing</v>
      </c>
      <c r="I338" s="15">
        <f>IFERROR(__xludf.DUMMYFUNCTION("""COMPUTED_VALUE"""),3.0)</f>
        <v>3</v>
      </c>
      <c r="J338" s="15">
        <f>IFERROR(__xludf.DUMMYFUNCTION("""COMPUTED_VALUE"""),0.0)</f>
        <v>0</v>
      </c>
      <c r="K338" s="15">
        <f>IFERROR(__xludf.DUMMYFUNCTION("""COMPUTED_VALUE"""),2.33)</f>
        <v>2.33</v>
      </c>
      <c r="L338" s="15"/>
    </row>
    <row r="339" ht="15.75" customHeight="1">
      <c r="A339" s="14" t="str">
        <f>IFERROR(__xludf.DUMMYFUNCTION("""COMPUTED_VALUE"""),"https://clutch.co/agencies/ppc/display/uk?page=2")</f>
        <v>https://clutch.co/agencies/ppc/display/uk?page=2</v>
      </c>
      <c r="B339" s="15" t="str">
        <f>IFERROR(__xludf.DUMMYFUNCTION("""COMPUTED_VALUE"""),"Page 2 - Top Display Advertising Services in the United Kingdom - Jul 2026 Rankings \| Clutch.co")</f>
        <v>Page 2 - Top Display Advertising Services in the United Kingdom - Jul 2026 Rankings \| Clutch.co</v>
      </c>
      <c r="C339" s="14" t="str">
        <f>IFERROR(__xludf.DUMMYFUNCTION("""COMPUTED_VALUE"""),"clutch.co")</f>
        <v>clutch.co</v>
      </c>
      <c r="D339" s="15" t="str">
        <f>IFERROR(__xludf.DUMMYFUNCTION("""COMPUTED_VALUE"""),"CATEGORY_PAGE")</f>
        <v>CATEGORY_PAGE</v>
      </c>
      <c r="E339" s="15" t="str">
        <f>IFERROR(__xludf.DUMMYFUNCTION("""COMPUTED_VALUE"""),"CORPORATE")</f>
        <v>CORPORATE</v>
      </c>
      <c r="F339" s="15" t="str">
        <f>IFERROR(__xludf.DUMMYFUNCTION("""COMPUTED_VALUE"""),"Category Page")</f>
        <v>Category Page</v>
      </c>
      <c r="G339" s="15" t="b">
        <f>IFERROR(__xludf.DUMMYFUNCTION("""COMPUTED_VALUE"""),FALSE)</f>
        <v>0</v>
      </c>
      <c r="H339" s="15" t="str">
        <f>IFERROR(__xludf.DUMMYFUNCTION("""COMPUTED_VALUE"""),"Ninja Promo, Soap Media, The SEO Works, GA Agency, Bind Media, Found")</f>
        <v>Ninja Promo, Soap Media, The SEO Works, GA Agency, Bind Media, Found</v>
      </c>
      <c r="I339" s="15">
        <f>IFERROR(__xludf.DUMMYFUNCTION("""COMPUTED_VALUE"""),3.0)</f>
        <v>3</v>
      </c>
      <c r="J339" s="15">
        <f>IFERROR(__xludf.DUMMYFUNCTION("""COMPUTED_VALUE"""),0.0)</f>
        <v>0</v>
      </c>
      <c r="K339" s="15">
        <f>IFERROR(__xludf.DUMMYFUNCTION("""COMPUTED_VALUE"""),0.0)</f>
        <v>0</v>
      </c>
      <c r="L339" s="15"/>
    </row>
    <row r="340" ht="15.75" customHeight="1">
      <c r="A340" s="14" t="str">
        <f>IFERROR(__xludf.DUMMYFUNCTION("""COMPUTED_VALUE"""),"https://www.cognitute.org/blogs/top-ai-strategy-consulting-firms-globally")</f>
        <v>https://www.cognitute.org/blogs/top-ai-strategy-consulting-firms-globally</v>
      </c>
      <c r="B340" s="15" t="str">
        <f>IFERROR(__xludf.DUMMYFUNCTION("""COMPUTED_VALUE"""),"Top AI Strategy Consulting Firms Globally for Enterprise Transformation | 2026")</f>
        <v>Top AI Strategy Consulting Firms Globally for Enterprise Transformation | 2026</v>
      </c>
      <c r="C340" s="14" t="str">
        <f>IFERROR(__xludf.DUMMYFUNCTION("""COMPUTED_VALUE"""),"cognitute.org")</f>
        <v>cognitute.org</v>
      </c>
      <c r="D340" s="15" t="str">
        <f>IFERROR(__xludf.DUMMYFUNCTION("""COMPUTED_VALUE"""),"LISTICLE")</f>
        <v>LISTICLE</v>
      </c>
      <c r="E340" s="15" t="str">
        <f>IFERROR(__xludf.DUMMYFUNCTION("""COMPUTED_VALUE"""),"INSTITUTIONAL")</f>
        <v>INSTITUTIONAL</v>
      </c>
      <c r="F340" s="15" t="str">
        <f>IFERROR(__xludf.DUMMYFUNCTION("""COMPUTED_VALUE"""),"Listicle")</f>
        <v>Listicle</v>
      </c>
      <c r="G340" s="15" t="b">
        <f>IFERROR(__xludf.DUMMYFUNCTION("""COMPUTED_VALUE"""),FALSE)</f>
        <v>0</v>
      </c>
      <c r="H340" s="15" t="str">
        <f>IFERROR(__xludf.DUMMYFUNCTION("""COMPUTED_VALUE"""),"Found, QuantumBlack, EY, PwC, Disrupt Marketing")</f>
        <v>Found, QuantumBlack, EY, PwC, Disrupt Marketing</v>
      </c>
      <c r="I340" s="15">
        <f>IFERROR(__xludf.DUMMYFUNCTION("""COMPUTED_VALUE"""),3.0)</f>
        <v>3</v>
      </c>
      <c r="J340" s="15">
        <f>IFERROR(__xludf.DUMMYFUNCTION("""COMPUTED_VALUE"""),0.0)</f>
        <v>0</v>
      </c>
      <c r="K340" s="15">
        <f>IFERROR(__xludf.DUMMYFUNCTION("""COMPUTED_VALUE"""),0.0)</f>
        <v>0</v>
      </c>
      <c r="L340" s="15"/>
    </row>
    <row r="341" ht="15.75" customHeight="1">
      <c r="A341" s="14" t="str">
        <f>IFERROR(__xludf.DUMMYFUNCTION("""COMPUTED_VALUE"""),"https://www.goodfirms.co/advertising-companies/creative/uk?sort_by=rating")</f>
        <v>https://www.goodfirms.co/advertising-companies/creative/uk?sort_by=rating</v>
      </c>
      <c r="B341" s="15" t="str">
        <f>IFERROR(__xludf.DUMMYFUNCTION("""COMPUTED_VALUE"""),"Top Creative Agencies in the United Kingdom - 2026 Reviews | Goodfirms")</f>
        <v>Top Creative Agencies in the United Kingdom - 2026 Reviews | Goodfirms</v>
      </c>
      <c r="C341" s="14" t="str">
        <f>IFERROR(__xludf.DUMMYFUNCTION("""COMPUTED_VALUE"""),"goodfirms.co")</f>
        <v>goodfirms.co</v>
      </c>
      <c r="D341" s="15" t="str">
        <f>IFERROR(__xludf.DUMMYFUNCTION("""COMPUTED_VALUE"""),"CATEGORY_PAGE")</f>
        <v>CATEGORY_PAGE</v>
      </c>
      <c r="E341" s="15" t="str">
        <f>IFERROR(__xludf.DUMMYFUNCTION("""COMPUTED_VALUE"""),"UGC")</f>
        <v>UGC</v>
      </c>
      <c r="F341" s="15" t="str">
        <f>IFERROR(__xludf.DUMMYFUNCTION("""COMPUTED_VALUE"""),"Category Page")</f>
        <v>Category Page</v>
      </c>
      <c r="G341" s="15" t="b">
        <f>IFERROR(__xludf.DUMMYFUNCTION("""COMPUTED_VALUE"""),FALSE)</f>
        <v>0</v>
      </c>
      <c r="H341" s="15" t="str">
        <f>IFERROR(__xludf.DUMMYFUNCTION("""COMPUTED_VALUE"""),"Impression, Found")</f>
        <v>Impression, Found</v>
      </c>
      <c r="I341" s="15">
        <f>IFERROR(__xludf.DUMMYFUNCTION("""COMPUTED_VALUE"""),3.0)</f>
        <v>3</v>
      </c>
      <c r="J341" s="15">
        <f>IFERROR(__xludf.DUMMYFUNCTION("""COMPUTED_VALUE"""),0.0)</f>
        <v>0</v>
      </c>
      <c r="K341" s="15">
        <f>IFERROR(__xludf.DUMMYFUNCTION("""COMPUTED_VALUE"""),0.0)</f>
        <v>0</v>
      </c>
      <c r="L341" s="15"/>
    </row>
    <row r="342" ht="15.75" customHeight="1">
      <c r="A342" s="14" t="str">
        <f>IFERROR(__xludf.DUMMYFUNCTION("""COMPUTED_VALUE"""),"https://www.goodfirms.co/directory/country/top-digital-marketing-companies/gb?sort_by=rating")</f>
        <v>https://www.goodfirms.co/directory/country/top-digital-marketing-companies/gb?sort_by=rating</v>
      </c>
      <c r="B342" s="15" t="str">
        <f>IFERROR(__xludf.DUMMYFUNCTION("""COMPUTED_VALUE"""),"Top Digital Marketing Agencies in UK - 2026 Reviews | Goodfirms")</f>
        <v>Top Digital Marketing Agencies in UK - 2026 Reviews | Goodfirms</v>
      </c>
      <c r="C342" s="14" t="str">
        <f>IFERROR(__xludf.DUMMYFUNCTION("""COMPUTED_VALUE"""),"goodfirms.co")</f>
        <v>goodfirms.co</v>
      </c>
      <c r="D342" s="15" t="str">
        <f>IFERROR(__xludf.DUMMYFUNCTION("""COMPUTED_VALUE"""),"OTHER")</f>
        <v>OTHER</v>
      </c>
      <c r="E342" s="15" t="str">
        <f>IFERROR(__xludf.DUMMYFUNCTION("""COMPUTED_VALUE"""),"UGC")</f>
        <v>UGC</v>
      </c>
      <c r="F342" s="15" t="str">
        <f>IFERROR(__xludf.DUMMYFUNCTION("""COMPUTED_VALUE"""),"Other")</f>
        <v>Other</v>
      </c>
      <c r="G342" s="15" t="b">
        <f>IFERROR(__xludf.DUMMYFUNCTION("""COMPUTED_VALUE"""),FALSE)</f>
        <v>0</v>
      </c>
      <c r="H342" s="15" t="str">
        <f>IFERROR(__xludf.DUMMYFUNCTION("""COMPUTED_VALUE"""),"Bird Marketing, Found")</f>
        <v>Bird Marketing, Found</v>
      </c>
      <c r="I342" s="15">
        <f>IFERROR(__xludf.DUMMYFUNCTION("""COMPUTED_VALUE"""),3.0)</f>
        <v>3</v>
      </c>
      <c r="J342" s="15">
        <f>IFERROR(__xludf.DUMMYFUNCTION("""COMPUTED_VALUE"""),0.0)</f>
        <v>0</v>
      </c>
      <c r="K342" s="15">
        <f>IFERROR(__xludf.DUMMYFUNCTION("""COMPUTED_VALUE"""),0.0)</f>
        <v>0</v>
      </c>
      <c r="L342" s="15"/>
    </row>
    <row r="343" ht="15.75" customHeight="1">
      <c r="A343" s="14" t="str">
        <f>IFERROR(__xludf.DUMMYFUNCTION("""COMPUTED_VALUE"""),"https://growth-labs.co.uk/best-uk-digital-marketing-agencies-2026/")</f>
        <v>https://growth-labs.co.uk/best-uk-digital-marketing-agencies-2026/</v>
      </c>
      <c r="B343" s="15" t="str">
        <f>IFERROR(__xludf.DUMMYFUNCTION("""COMPUTED_VALUE"""),"Best UK Digital Marketing Agencies 2026 | Growthlabs")</f>
        <v>Best UK Digital Marketing Agencies 2026 | Growthlabs</v>
      </c>
      <c r="C343" s="14" t="str">
        <f>IFERROR(__xludf.DUMMYFUNCTION("""COMPUTED_VALUE"""),"growth-labs.co.uk")</f>
        <v>growth-labs.co.uk</v>
      </c>
      <c r="D343" s="15" t="str">
        <f>IFERROR(__xludf.DUMMYFUNCTION("""COMPUTED_VALUE"""),"LISTICLE")</f>
        <v>LISTICLE</v>
      </c>
      <c r="E343" s="15" t="str">
        <f>IFERROR(__xludf.DUMMYFUNCTION("""COMPUTED_VALUE"""),"CORPORATE")</f>
        <v>CORPORATE</v>
      </c>
      <c r="F343" s="15" t="str">
        <f>IFERROR(__xludf.DUMMYFUNCTION("""COMPUTED_VALUE"""),"Listicle")</f>
        <v>Listicle</v>
      </c>
      <c r="G343" s="15" t="b">
        <f>IFERROR(__xludf.DUMMYFUNCTION("""COMPUTED_VALUE"""),FALSE)</f>
        <v>0</v>
      </c>
      <c r="H343" s="15" t="str">
        <f>IFERROR(__xludf.DUMMYFUNCTION("""COMPUTED_VALUE"""),"Hallam, Momentum, Impression, ROAST, Push, Brainlabs, M3.agency, Rise at Seven, Found, The SEO Works")</f>
        <v>Hallam, Momentum, Impression, ROAST, Push, Brainlabs, M3.agency, Rise at Seven, Found, The SEO Works</v>
      </c>
      <c r="I343" s="15">
        <f>IFERROR(__xludf.DUMMYFUNCTION("""COMPUTED_VALUE"""),3.0)</f>
        <v>3</v>
      </c>
      <c r="J343" s="15">
        <f>IFERROR(__xludf.DUMMYFUNCTION("""COMPUTED_VALUE"""),0.0)</f>
        <v>0</v>
      </c>
      <c r="K343" s="15">
        <f>IFERROR(__xludf.DUMMYFUNCTION("""COMPUTED_VALUE"""),1.0)</f>
        <v>1</v>
      </c>
      <c r="L343" s="15"/>
    </row>
    <row r="344" ht="15.75" customHeight="1">
      <c r="A344" s="14" t="str">
        <f>IFERROR(__xludf.DUMMYFUNCTION("""COMPUTED_VALUE"""),"https://www.happyhourproductions.co.uk/insights/top-creative-agencies-2026")</f>
        <v>https://www.happyhourproductions.co.uk/insights/top-creative-agencies-2026</v>
      </c>
      <c r="B344" s="15" t="str">
        <f>IFERROR(__xludf.DUMMYFUNCTION("""COMPUTED_VALUE"""),"Happy Hour Ranked in Campaign Magazine's Top 20 UK Creative Agencies for 2026 | Happy Hour Productions")</f>
        <v>Happy Hour Ranked in Campaign Magazine's Top 20 UK Creative Agencies for 2026 | Happy Hour Productions</v>
      </c>
      <c r="C344" s="14" t="str">
        <f>IFERROR(__xludf.DUMMYFUNCTION("""COMPUTED_VALUE"""),"happyhourproductions.co.uk")</f>
        <v>happyhourproductions.co.uk</v>
      </c>
      <c r="D344" s="15" t="str">
        <f>IFERROR(__xludf.DUMMYFUNCTION("""COMPUTED_VALUE"""),"ARTICLE")</f>
        <v>ARTICLE</v>
      </c>
      <c r="E344" s="15" t="str">
        <f>IFERROR(__xludf.DUMMYFUNCTION("""COMPUTED_VALUE"""),"CORPORATE")</f>
        <v>CORPORATE</v>
      </c>
      <c r="F344" s="15" t="str">
        <f>IFERROR(__xludf.DUMMYFUNCTION("""COMPUTED_VALUE"""),"Article")</f>
        <v>Article</v>
      </c>
      <c r="G344" s="15" t="b">
        <f>IFERROR(__xludf.DUMMYFUNCTION("""COMPUTED_VALUE"""),FALSE)</f>
        <v>0</v>
      </c>
      <c r="H344" s="15" t="str">
        <f>IFERROR(__xludf.DUMMYFUNCTION("""COMPUTED_VALUE"""),"Huge")</f>
        <v>Huge</v>
      </c>
      <c r="I344" s="15">
        <f>IFERROR(__xludf.DUMMYFUNCTION("""COMPUTED_VALUE"""),3.0)</f>
        <v>3</v>
      </c>
      <c r="J344" s="15">
        <f>IFERROR(__xludf.DUMMYFUNCTION("""COMPUTED_VALUE"""),0.0)</f>
        <v>0</v>
      </c>
      <c r="K344" s="15">
        <f>IFERROR(__xludf.DUMMYFUNCTION("""COMPUTED_VALUE"""),0.0)</f>
        <v>0</v>
      </c>
      <c r="L344" s="15"/>
    </row>
    <row r="345" ht="15.75" customHeight="1">
      <c r="A345" s="14" t="str">
        <f>IFERROR(__xludf.DUMMYFUNCTION("""COMPUTED_VALUE"""),"https://indexly.ai/blog/top-10-seo-agencies-in-london/")</f>
        <v>https://indexly.ai/blog/top-10-seo-agencies-in-london/</v>
      </c>
      <c r="B345" s="15" t="str">
        <f>IFERROR(__xludf.DUMMYFUNCTION("""COMPUTED_VALUE"""),"10 Best SEO Agencies in London (2026 Pricing, Reviews &amp; Services)")</f>
        <v>10 Best SEO Agencies in London (2026 Pricing, Reviews &amp; Services)</v>
      </c>
      <c r="C345" s="14" t="str">
        <f>IFERROR(__xludf.DUMMYFUNCTION("""COMPUTED_VALUE"""),"indexly.ai")</f>
        <v>indexly.ai</v>
      </c>
      <c r="D345" s="15" t="str">
        <f>IFERROR(__xludf.DUMMYFUNCTION("""COMPUTED_VALUE"""),"LISTICLE")</f>
        <v>LISTICLE</v>
      </c>
      <c r="E345" s="15" t="str">
        <f>IFERROR(__xludf.DUMMYFUNCTION("""COMPUTED_VALUE"""),"CORPORATE")</f>
        <v>CORPORATE</v>
      </c>
      <c r="F345" s="15" t="str">
        <f>IFERROR(__xludf.DUMMYFUNCTION("""COMPUTED_VALUE"""),"Listicle")</f>
        <v>Listicle</v>
      </c>
      <c r="G345" s="15" t="b">
        <f>IFERROR(__xludf.DUMMYFUNCTION("""COMPUTED_VALUE"""),FALSE)</f>
        <v>0</v>
      </c>
      <c r="H345" s="15" t="str">
        <f>IFERROR(__xludf.DUMMYFUNCTION("""COMPUTED_VALUE"""),"Directive Consulting, Impression, Found, ClickSlice, Bird Marketing, Dentsu, The SEO Works, Croud, The Good Marketer")</f>
        <v>Directive Consulting, Impression, Found, ClickSlice, Bird Marketing, Dentsu, The SEO Works, Croud, The Good Marketer</v>
      </c>
      <c r="I345" s="15">
        <f>IFERROR(__xludf.DUMMYFUNCTION("""COMPUTED_VALUE"""),3.0)</f>
        <v>3</v>
      </c>
      <c r="J345" s="15">
        <f>IFERROR(__xludf.DUMMYFUNCTION("""COMPUTED_VALUE"""),0.0)</f>
        <v>0</v>
      </c>
      <c r="K345" s="15">
        <f>IFERROR(__xludf.DUMMYFUNCTION("""COMPUTED_VALUE"""),0.67)</f>
        <v>0.67</v>
      </c>
      <c r="L345" s="15"/>
    </row>
    <row r="346" ht="15.75" customHeight="1">
      <c r="A346" s="14" t="str">
        <f>IFERROR(__xludf.DUMMYFUNCTION("""COMPUTED_VALUE"""),"https://www.jdrgroup.co.uk/blog/best-ppc-agency-uk")</f>
        <v>https://www.jdrgroup.co.uk/blog/best-ppc-agency-uk</v>
      </c>
      <c r="B346" s="15" t="str">
        <f>IFERROR(__xludf.DUMMYFUNCTION("""COMPUTED_VALUE"""),"12 Of The Best PPC &amp;amp; Google Ads Agencies In The UK - JDR Group")</f>
        <v>12 Of The Best PPC &amp;amp; Google Ads Agencies In The UK - JDR Group</v>
      </c>
      <c r="C346" s="14" t="str">
        <f>IFERROR(__xludf.DUMMYFUNCTION("""COMPUTED_VALUE"""),"jdrgroup.co.uk")</f>
        <v>jdrgroup.co.uk</v>
      </c>
      <c r="D346" s="15" t="str">
        <f>IFERROR(__xludf.DUMMYFUNCTION("""COMPUTED_VALUE"""),"LISTICLE")</f>
        <v>LISTICLE</v>
      </c>
      <c r="E346" s="15" t="str">
        <f>IFERROR(__xludf.DUMMYFUNCTION("""COMPUTED_VALUE"""),"CORPORATE")</f>
        <v>CORPORATE</v>
      </c>
      <c r="F346" s="15" t="str">
        <f>IFERROR(__xludf.DUMMYFUNCTION("""COMPUTED_VALUE"""),"Listicle")</f>
        <v>Listicle</v>
      </c>
      <c r="G346" s="15" t="b">
        <f>IFERROR(__xludf.DUMMYFUNCTION("""COMPUTED_VALUE"""),FALSE)</f>
        <v>0</v>
      </c>
      <c r="H346" s="15" t="str">
        <f>IFERROR(__xludf.DUMMYFUNCTION("""COMPUTED_VALUE"""),"Huge, Momentum, Found, Measured, Push, Push Group, PPC Geeks, Impression, Soap Media")</f>
        <v>Huge, Momentum, Found, Measured, Push, Push Group, PPC Geeks, Impression, Soap Media</v>
      </c>
      <c r="I346" s="15">
        <f>IFERROR(__xludf.DUMMYFUNCTION("""COMPUTED_VALUE"""),3.0)</f>
        <v>3</v>
      </c>
      <c r="J346" s="15">
        <f>IFERROR(__xludf.DUMMYFUNCTION("""COMPUTED_VALUE"""),0.0)</f>
        <v>0</v>
      </c>
      <c r="K346" s="15">
        <f>IFERROR(__xludf.DUMMYFUNCTION("""COMPUTED_VALUE"""),1.0)</f>
        <v>1</v>
      </c>
      <c r="L346" s="15"/>
    </row>
    <row r="347" ht="15.75" customHeight="1">
      <c r="A347" s="14" t="str">
        <f>IFERROR(__xludf.DUMMYFUNCTION("""COMPUTED_VALUE"""),"https://www.marketingagencyindex.com/uk/services/programmatic")</f>
        <v>https://www.marketingagencyindex.com/uk/services/programmatic</v>
      </c>
      <c r="B347" s="15" t="str">
        <f>IFERROR(__xludf.DUMMYFUNCTION("""COMPUTED_VALUE"""),"Best Programmatic Agencies in the UK | Agency Index")</f>
        <v>Best Programmatic Agencies in the UK | Agency Index</v>
      </c>
      <c r="C347" s="14" t="str">
        <f>IFERROR(__xludf.DUMMYFUNCTION("""COMPUTED_VALUE"""),"marketingagencyindex.com")</f>
        <v>marketingagencyindex.com</v>
      </c>
      <c r="D347" s="15" t="str">
        <f>IFERROR(__xludf.DUMMYFUNCTION("""COMPUTED_VALUE"""),"PROFILE")</f>
        <v>PROFILE</v>
      </c>
      <c r="E347" s="15" t="str">
        <f>IFERROR(__xludf.DUMMYFUNCTION("""COMPUTED_VALUE"""),"UGC")</f>
        <v>UGC</v>
      </c>
      <c r="F347" s="15" t="str">
        <f>IFERROR(__xludf.DUMMYFUNCTION("""COMPUTED_VALUE"""),"Profile")</f>
        <v>Profile</v>
      </c>
      <c r="G347" s="15" t="b">
        <f>IFERROR(__xludf.DUMMYFUNCTION("""COMPUTED_VALUE"""),FALSE)</f>
        <v>0</v>
      </c>
      <c r="H347" s="15" t="str">
        <f>IFERROR(__xludf.DUMMYFUNCTION("""COMPUTED_VALUE"""),"Found, Measured, Propellernet, Saatchi &amp; Saatchi, Jellyfish, Brandtech, GroupM, Omnicom, Dentsu, Push")</f>
        <v>Found, Measured, Propellernet, Saatchi &amp; Saatchi, Jellyfish, Brandtech, GroupM, Omnicom, Dentsu, Push</v>
      </c>
      <c r="I347" s="15">
        <f>IFERROR(__xludf.DUMMYFUNCTION("""COMPUTED_VALUE"""),3.0)</f>
        <v>3</v>
      </c>
      <c r="J347" s="15">
        <f>IFERROR(__xludf.DUMMYFUNCTION("""COMPUTED_VALUE"""),0.0)</f>
        <v>0</v>
      </c>
      <c r="K347" s="15">
        <f>IFERROR(__xludf.DUMMYFUNCTION("""COMPUTED_VALUE"""),1.0)</f>
        <v>1</v>
      </c>
      <c r="L347" s="15"/>
    </row>
    <row r="348" ht="15.75" customHeight="1">
      <c r="A348" s="14" t="str">
        <f>IFERROR(__xludf.DUMMYFUNCTION("""COMPUTED_VALUE"""),"https://www.mida.so/cro-agency/service/a-b-testing")</f>
        <v>https://www.mida.so/cro-agency/service/a-b-testing</v>
      </c>
      <c r="B348" s="15" t="str">
        <f>IFERROR(__xludf.DUMMYFUNCTION("""COMPUTED_VALUE"""),"Top 95 CRO Agencies Offering A/B testing (2026) | Mida")</f>
        <v>Top 95 CRO Agencies Offering A/B testing (2026) | Mida</v>
      </c>
      <c r="C348" s="14" t="str">
        <f>IFERROR(__xludf.DUMMYFUNCTION("""COMPUTED_VALUE"""),"mida.so")</f>
        <v>mida.so</v>
      </c>
      <c r="D348" s="15" t="str">
        <f>IFERROR(__xludf.DUMMYFUNCTION("""COMPUTED_VALUE"""),"CATEGORY_PAGE")</f>
        <v>CATEGORY_PAGE</v>
      </c>
      <c r="E348" s="15" t="str">
        <f>IFERROR(__xludf.DUMMYFUNCTION("""COMPUTED_VALUE"""),"CORPORATE")</f>
        <v>CORPORATE</v>
      </c>
      <c r="F348" s="15" t="str">
        <f>IFERROR(__xludf.DUMMYFUNCTION("""COMPUTED_VALUE"""),"Category Page")</f>
        <v>Category Page</v>
      </c>
      <c r="G348" s="15" t="b">
        <f>IFERROR(__xludf.DUMMYFUNCTION("""COMPUTED_VALUE"""),FALSE)</f>
        <v>0</v>
      </c>
      <c r="H348" s="15" t="str">
        <f>IFERROR(__xludf.DUMMYFUNCTION("""COMPUTED_VALUE"""),"Impression, Journey Further, NoGood, Open Partners, Tinuiti")</f>
        <v>Impression, Journey Further, NoGood, Open Partners, Tinuiti</v>
      </c>
      <c r="I348" s="15">
        <f>IFERROR(__xludf.DUMMYFUNCTION("""COMPUTED_VALUE"""),3.0)</f>
        <v>3</v>
      </c>
      <c r="J348" s="15">
        <f>IFERROR(__xludf.DUMMYFUNCTION("""COMPUTED_VALUE"""),0.0)</f>
        <v>0</v>
      </c>
      <c r="K348" s="15">
        <f>IFERROR(__xludf.DUMMYFUNCTION("""COMPUTED_VALUE"""),3.0)</f>
        <v>3</v>
      </c>
      <c r="L348" s="15"/>
    </row>
    <row r="349" ht="15.75" customHeight="1">
      <c r="A349" s="14" t="str">
        <f>IFERROR(__xludf.DUMMYFUNCTION("""COMPUTED_VALUE"""),"https://www.munro.agency/best-ai-seo-agencies-in-the-uk/")</f>
        <v>https://www.munro.agency/best-ai-seo-agencies-in-the-uk/</v>
      </c>
      <c r="B349" s="15" t="str">
        <f>IFERROR(__xludf.DUMMYFUNCTION("""COMPUTED_VALUE"""),"20 Best AI SEO Agencies in the UK")</f>
        <v>20 Best AI SEO Agencies in the UK</v>
      </c>
      <c r="C349" s="15" t="str">
        <f>IFERROR(__xludf.DUMMYFUNCTION("""COMPUTED_VALUE"""),"munro.agency")</f>
        <v>munro.agency</v>
      </c>
      <c r="D349" s="15" t="str">
        <f>IFERROR(__xludf.DUMMYFUNCTION("""COMPUTED_VALUE"""),"LISTICLE")</f>
        <v>LISTICLE</v>
      </c>
      <c r="E349" s="15" t="str">
        <f>IFERROR(__xludf.DUMMYFUNCTION("""COMPUTED_VALUE"""),"CORPORATE")</f>
        <v>CORPORATE</v>
      </c>
      <c r="F349" s="15" t="str">
        <f>IFERROR(__xludf.DUMMYFUNCTION("""COMPUTED_VALUE"""),"Listicle")</f>
        <v>Listicle</v>
      </c>
      <c r="G349" s="15" t="b">
        <f>IFERROR(__xludf.DUMMYFUNCTION("""COMPUTED_VALUE"""),FALSE)</f>
        <v>0</v>
      </c>
      <c r="H349" s="15" t="str">
        <f>IFERROR(__xludf.DUMMYFUNCTION("""COMPUTED_VALUE"""),"Found, Blue Array, Varn, Click Intelligence, Momentum, Bird Marketing, Exposure Ninja, Builtvisible, Genie Crawl, Passion Digital, Koozai")</f>
        <v>Found, Blue Array, Varn, Click Intelligence, Momentum, Bird Marketing, Exposure Ninja, Builtvisible, Genie Crawl, Passion Digital, Koozai</v>
      </c>
      <c r="I349" s="15">
        <f>IFERROR(__xludf.DUMMYFUNCTION("""COMPUTED_VALUE"""),3.0)</f>
        <v>3</v>
      </c>
      <c r="J349" s="15">
        <f>IFERROR(__xludf.DUMMYFUNCTION("""COMPUTED_VALUE"""),0.0)</f>
        <v>0</v>
      </c>
      <c r="K349" s="15">
        <f>IFERROR(__xludf.DUMMYFUNCTION("""COMPUTED_VALUE"""),0.0)</f>
        <v>0</v>
      </c>
      <c r="L349" s="15"/>
    </row>
    <row r="350" ht="15.75" customHeight="1">
      <c r="A350" s="14" t="str">
        <f>IFERROR(__xludf.DUMMYFUNCTION("""COMPUTED_VALUE"""),"https://neuraladx.com/best-ai-search-optimisation-agency-saas-companies-uk/")</f>
        <v>https://neuraladx.com/best-ai-search-optimisation-agency-saas-companies-uk/</v>
      </c>
      <c r="B350" s="15" t="str">
        <f>IFERROR(__xludf.DUMMYFUNCTION("""COMPUTED_VALUE"""),"Best AI Search Optimisation Agency for SaaS Companies UK")</f>
        <v>Best AI Search Optimisation Agency for SaaS Companies UK</v>
      </c>
      <c r="C350" s="14" t="str">
        <f>IFERROR(__xludf.DUMMYFUNCTION("""COMPUTED_VALUE"""),"neuraladx.com")</f>
        <v>neuraladx.com</v>
      </c>
      <c r="D350" s="15" t="str">
        <f>IFERROR(__xludf.DUMMYFUNCTION("""COMPUTED_VALUE"""),"OTHER")</f>
        <v>OTHER</v>
      </c>
      <c r="E350" s="15" t="str">
        <f>IFERROR(__xludf.DUMMYFUNCTION("""COMPUTED_VALUE"""),"UGC")</f>
        <v>UGC</v>
      </c>
      <c r="F350" s="15" t="str">
        <f>IFERROR(__xludf.DUMMYFUNCTION("""COMPUTED_VALUE"""),"Other")</f>
        <v>Other</v>
      </c>
      <c r="G350" s="15" t="b">
        <f>IFERROR(__xludf.DUMMYFUNCTION("""COMPUTED_VALUE"""),FALSE)</f>
        <v>0</v>
      </c>
      <c r="H350" s="15" t="str">
        <f>IFERROR(__xludf.DUMMYFUNCTION("""COMPUTED_VALUE"""),"Measured, QuantumBlack, Found, Siege Media")</f>
        <v>Measured, QuantumBlack, Found, Siege Media</v>
      </c>
      <c r="I350" s="15">
        <f>IFERROR(__xludf.DUMMYFUNCTION("""COMPUTED_VALUE"""),3.0)</f>
        <v>3</v>
      </c>
      <c r="J350" s="15">
        <f>IFERROR(__xludf.DUMMYFUNCTION("""COMPUTED_VALUE"""),0.0)</f>
        <v>0</v>
      </c>
      <c r="K350" s="15">
        <f>IFERROR(__xludf.DUMMYFUNCTION("""COMPUTED_VALUE"""),1.0)</f>
        <v>1</v>
      </c>
      <c r="L350" s="15"/>
    </row>
    <row r="351" ht="15.75" customHeight="1">
      <c r="A351" s="14" t="str">
        <f>IFERROR(__xludf.DUMMYFUNCTION("""COMPUTED_VALUE"""),"https://onelittleweb.com/top-agencies/top-performance-marketing-agencies/")</f>
        <v>https://onelittleweb.com/top-agencies/top-performance-marketing-agencies/</v>
      </c>
      <c r="B351" s="15" t="str">
        <f>IFERROR(__xludf.DUMMYFUNCTION("""COMPUTED_VALUE"""),"Top Performance Marketing Agencies 2026 – Ranked &amp;amp; Reviewed")</f>
        <v>Top Performance Marketing Agencies 2026 – Ranked &amp;amp; Reviewed</v>
      </c>
      <c r="C351" s="14" t="str">
        <f>IFERROR(__xludf.DUMMYFUNCTION("""COMPUTED_VALUE"""),"onelittleweb.com")</f>
        <v>onelittleweb.com</v>
      </c>
      <c r="D351" s="15" t="str">
        <f>IFERROR(__xludf.DUMMYFUNCTION("""COMPUTED_VALUE"""),"LISTICLE")</f>
        <v>LISTICLE</v>
      </c>
      <c r="E351" s="15" t="str">
        <f>IFERROR(__xludf.DUMMYFUNCTION("""COMPUTED_VALUE"""),"CORPORATE")</f>
        <v>CORPORATE</v>
      </c>
      <c r="F351" s="15" t="str">
        <f>IFERROR(__xludf.DUMMYFUNCTION("""COMPUTED_VALUE"""),"Listicle")</f>
        <v>Listicle</v>
      </c>
      <c r="G351" s="15" t="b">
        <f>IFERROR(__xludf.DUMMYFUNCTION("""COMPUTED_VALUE"""),FALSE)</f>
        <v>0</v>
      </c>
      <c r="H351" s="15" t="str">
        <f>IFERROR(__xludf.DUMMYFUNCTION("""COMPUTED_VALUE"""),"Impression, WebFX, Disruptive Advertising, Dept, ClickSlice, Found")</f>
        <v>Impression, WebFX, Disruptive Advertising, Dept, ClickSlice, Found</v>
      </c>
      <c r="I351" s="15">
        <f>IFERROR(__xludf.DUMMYFUNCTION("""COMPUTED_VALUE"""),3.0)</f>
        <v>3</v>
      </c>
      <c r="J351" s="15">
        <f>IFERROR(__xludf.DUMMYFUNCTION("""COMPUTED_VALUE"""),0.0)</f>
        <v>0</v>
      </c>
      <c r="K351" s="15">
        <f>IFERROR(__xludf.DUMMYFUNCTION("""COMPUTED_VALUE"""),0.67)</f>
        <v>0.67</v>
      </c>
      <c r="L351" s="15"/>
    </row>
    <row r="352" ht="15.75" customHeight="1">
      <c r="A352" s="14" t="str">
        <f>IFERROR(__xludf.DUMMYFUNCTION("""COMPUTED_VALUE"""),"https://oxdpr.com/creative-strategy-agencies/#:~:text=strategy%20agencies%20worldwide.-,Superside,5x%20faster%20than%20traditional%20agencies.")</f>
        <v>https://oxdpr.com/creative-strategy-agencies/#:~:text=strategy%20agencies%20worldwide.-,Superside,5x%20faster%20than%20traditional%20agencies.</v>
      </c>
      <c r="B352" s="15" t="str">
        <f>IFERROR(__xludf.DUMMYFUNCTION("""COMPUTED_VALUE"""),"Top 7 Creative Strategy Agencies Shaping Brands in 2026 - OXDPR - Digital Marketing")</f>
        <v>Top 7 Creative Strategy Agencies Shaping Brands in 2026 - OXDPR - Digital Marketing</v>
      </c>
      <c r="C352" s="14" t="str">
        <f>IFERROR(__xludf.DUMMYFUNCTION("""COMPUTED_VALUE"""),"oxdpr.com")</f>
        <v>oxdpr.com</v>
      </c>
      <c r="D352" s="15" t="str">
        <f>IFERROR(__xludf.DUMMYFUNCTION("""COMPUTED_VALUE"""),"LISTICLE")</f>
        <v>LISTICLE</v>
      </c>
      <c r="E352" s="15" t="str">
        <f>IFERROR(__xludf.DUMMYFUNCTION("""COMPUTED_VALUE"""),"CORPORATE")</f>
        <v>CORPORATE</v>
      </c>
      <c r="F352" s="15" t="str">
        <f>IFERROR(__xludf.DUMMYFUNCTION("""COMPUTED_VALUE"""),"Listicle")</f>
        <v>Listicle</v>
      </c>
      <c r="G352" s="15" t="b">
        <f>IFERROR(__xludf.DUMMYFUNCTION("""COMPUTED_VALUE"""),FALSE)</f>
        <v>0</v>
      </c>
      <c r="H352" s="15" t="str">
        <f>IFERROR(__xludf.DUMMYFUNCTION("""COMPUTED_VALUE"""),"Superside, inBeat, Ogilvy, Mother London, Accenture Song, Measured, Found")</f>
        <v>Superside, inBeat, Ogilvy, Mother London, Accenture Song, Measured, Found</v>
      </c>
      <c r="I352" s="15">
        <f>IFERROR(__xludf.DUMMYFUNCTION("""COMPUTED_VALUE"""),3.0)</f>
        <v>3</v>
      </c>
      <c r="J352" s="15">
        <f>IFERROR(__xludf.DUMMYFUNCTION("""COMPUTED_VALUE"""),0.0)</f>
        <v>0</v>
      </c>
      <c r="K352" s="15">
        <f>IFERROR(__xludf.DUMMYFUNCTION("""COMPUTED_VALUE"""),1.0)</f>
        <v>1</v>
      </c>
      <c r="L352" s="15"/>
    </row>
    <row r="353" ht="15.75" customHeight="1">
      <c r="A353" s="14" t="str">
        <f>IFERROR(__xludf.DUMMYFUNCTION("""COMPUTED_VALUE"""),"https://pearllemon.com/top-performance-marketing-agencies-uk/")</f>
        <v>https://pearllemon.com/top-performance-marketing-agencies-uk/</v>
      </c>
      <c r="B353" s="15" t="str">
        <f>IFERROR(__xludf.DUMMYFUNCTION("""COMPUTED_VALUE"""),"Top 10 Performance Marketing Agencies In UK (2025)")</f>
        <v>Top 10 Performance Marketing Agencies In UK (2025)</v>
      </c>
      <c r="C353" s="14" t="str">
        <f>IFERROR(__xludf.DUMMYFUNCTION("""COMPUTED_VALUE"""),"pearllemon.com")</f>
        <v>pearllemon.com</v>
      </c>
      <c r="D353" s="15" t="str">
        <f>IFERROR(__xludf.DUMMYFUNCTION("""COMPUTED_VALUE"""),"LISTICLE")</f>
        <v>LISTICLE</v>
      </c>
      <c r="E353" s="15" t="str">
        <f>IFERROR(__xludf.DUMMYFUNCTION("""COMPUTED_VALUE"""),"CORPORATE")</f>
        <v>CORPORATE</v>
      </c>
      <c r="F353" s="15" t="str">
        <f>IFERROR(__xludf.DUMMYFUNCTION("""COMPUTED_VALUE"""),"Listicle")</f>
        <v>Listicle</v>
      </c>
      <c r="G353" s="15" t="b">
        <f>IFERROR(__xludf.DUMMYFUNCTION("""COMPUTED_VALUE"""),FALSE)</f>
        <v>0</v>
      </c>
      <c r="H353" s="15" t="str">
        <f>IFERROR(__xludf.DUMMYFUNCTION("""COMPUTED_VALUE"""),"Favoured, The SEO Works, ROAST")</f>
        <v>Favoured, The SEO Works, ROAST</v>
      </c>
      <c r="I353" s="15">
        <f>IFERROR(__xludf.DUMMYFUNCTION("""COMPUTED_VALUE"""),3.0)</f>
        <v>3</v>
      </c>
      <c r="J353" s="15">
        <f>IFERROR(__xludf.DUMMYFUNCTION("""COMPUTED_VALUE"""),0.0)</f>
        <v>0</v>
      </c>
      <c r="K353" s="15">
        <f>IFERROR(__xludf.DUMMYFUNCTION("""COMPUTED_VALUE"""),0.33)</f>
        <v>0.33</v>
      </c>
      <c r="L353" s="15"/>
    </row>
    <row r="354" ht="15.75" customHeight="1">
      <c r="A354" s="14" t="str">
        <f>IFERROR(__xludf.DUMMYFUNCTION("""COMPUTED_VALUE"""),"https://www.rank4ai.co.uk/research/rankings/best-ai-search-agencies-uk/")</f>
        <v>https://www.rank4ai.co.uk/research/rankings/best-ai-search-agencies-uk/</v>
      </c>
      <c r="B354" s="15" t="str">
        <f>IFERROR(__xludf.DUMMYFUNCTION("""COMPUTED_VALUE"""),"Best AI Search Agencies UK 2026 | Rank4AI")</f>
        <v>Best AI Search Agencies UK 2026 | Rank4AI</v>
      </c>
      <c r="C354" s="14" t="str">
        <f>IFERROR(__xludf.DUMMYFUNCTION("""COMPUTED_VALUE"""),"rank4ai.co.uk")</f>
        <v>rank4ai.co.uk</v>
      </c>
      <c r="D354" s="15" t="str">
        <f>IFERROR(__xludf.DUMMYFUNCTION("""COMPUTED_VALUE"""),"LISTICLE")</f>
        <v>LISTICLE</v>
      </c>
      <c r="E354" s="15" t="str">
        <f>IFERROR(__xludf.DUMMYFUNCTION("""COMPUTED_VALUE"""),"COMPETITOR")</f>
        <v>COMPETITOR</v>
      </c>
      <c r="F354" s="15" t="str">
        <f>IFERROR(__xludf.DUMMYFUNCTION("""COMPUTED_VALUE"""),"Listicle")</f>
        <v>Listicle</v>
      </c>
      <c r="G354" s="15" t="b">
        <f>IFERROR(__xludf.DUMMYFUNCTION("""COMPUTED_VALUE"""),FALSE)</f>
        <v>0</v>
      </c>
      <c r="H354" s="15" t="str">
        <f>IFERROR(__xludf.DUMMYFUNCTION("""COMPUTED_VALUE"""),"Rank4AI, Varn, Found, Buried Agency")</f>
        <v>Rank4AI, Varn, Found, Buried Agency</v>
      </c>
      <c r="I354" s="15">
        <f>IFERROR(__xludf.DUMMYFUNCTION("""COMPUTED_VALUE"""),3.0)</f>
        <v>3</v>
      </c>
      <c r="J354" s="15">
        <f>IFERROR(__xludf.DUMMYFUNCTION("""COMPUTED_VALUE"""),0.0)</f>
        <v>0</v>
      </c>
      <c r="K354" s="15">
        <f>IFERROR(__xludf.DUMMYFUNCTION("""COMPUTED_VALUE"""),1.33)</f>
        <v>1.33</v>
      </c>
      <c r="L354" s="15"/>
    </row>
    <row r="355" ht="15.75" customHeight="1">
      <c r="A355" s="14" t="str">
        <f>IFERROR(__xludf.DUMMYFUNCTION("""COMPUTED_VALUE"""),"https://rocketium.ai/academy/all/ai-tools-scaling-creative-production")</f>
        <v>https://rocketium.ai/academy/all/ai-tools-scaling-creative-production</v>
      </c>
      <c r="B355" s="15" t="str">
        <f>IFERROR(__xludf.DUMMYFUNCTION("""COMPUTED_VALUE"""),"Top 6 AI tools for scaling creative production in 2026")</f>
        <v>Top 6 AI tools for scaling creative production in 2026</v>
      </c>
      <c r="C355" s="14" t="str">
        <f>IFERROR(__xludf.DUMMYFUNCTION("""COMPUTED_VALUE"""),"rocketium.ai")</f>
        <v>rocketium.ai</v>
      </c>
      <c r="D355" s="15" t="str">
        <f>IFERROR(__xludf.DUMMYFUNCTION("""COMPUTED_VALUE"""),"LISTICLE")</f>
        <v>LISTICLE</v>
      </c>
      <c r="E355" s="15" t="str">
        <f>IFERROR(__xludf.DUMMYFUNCTION("""COMPUTED_VALUE"""),"CORPORATE")</f>
        <v>CORPORATE</v>
      </c>
      <c r="F355" s="15" t="str">
        <f>IFERROR(__xludf.DUMMYFUNCTION("""COMPUTED_VALUE"""),"Listicle")</f>
        <v>Listicle</v>
      </c>
      <c r="G355" s="15" t="b">
        <f>IFERROR(__xludf.DUMMYFUNCTION("""COMPUTED_VALUE"""),FALSE)</f>
        <v>0</v>
      </c>
      <c r="H355" s="15" t="str">
        <f>IFERROR(__xludf.DUMMYFUNCTION("""COMPUTED_VALUE"""),"Superside")</f>
        <v>Superside</v>
      </c>
      <c r="I355" s="15">
        <f>IFERROR(__xludf.DUMMYFUNCTION("""COMPUTED_VALUE"""),3.0)</f>
        <v>3</v>
      </c>
      <c r="J355" s="15">
        <f>IFERROR(__xludf.DUMMYFUNCTION("""COMPUTED_VALUE"""),0.0)</f>
        <v>0</v>
      </c>
      <c r="K355" s="15">
        <f>IFERROR(__xludf.DUMMYFUNCTION("""COMPUTED_VALUE"""),0.67)</f>
        <v>0.67</v>
      </c>
      <c r="L355" s="15"/>
    </row>
    <row r="356" ht="15.75" customHeight="1">
      <c r="A356" s="14" t="str">
        <f>IFERROR(__xludf.DUMMYFUNCTION("""COMPUTED_VALUE"""),"https://seocompare.co.uk/ai-search-agencies-uk/")</f>
        <v>https://seocompare.co.uk/ai-search-agencies-uk/</v>
      </c>
      <c r="B356" s="15" t="str">
        <f>IFERROR(__xludf.DUMMYFUNCTION("""COMPUTED_VALUE"""),"19 Best AI SEO Agencies UK | SEOCompare")</f>
        <v>19 Best AI SEO Agencies UK | SEOCompare</v>
      </c>
      <c r="C356" s="14" t="str">
        <f>IFERROR(__xludf.DUMMYFUNCTION("""COMPUTED_VALUE"""),"seocompare.co.uk")</f>
        <v>seocompare.co.uk</v>
      </c>
      <c r="D356" s="15" t="str">
        <f>IFERROR(__xludf.DUMMYFUNCTION("""COMPUTED_VALUE"""),"OTHER")</f>
        <v>OTHER</v>
      </c>
      <c r="E356" s="15" t="str">
        <f>IFERROR(__xludf.DUMMYFUNCTION("""COMPUTED_VALUE"""),"EDITORIAL")</f>
        <v>EDITORIAL</v>
      </c>
      <c r="F356" s="15" t="str">
        <f>IFERROR(__xludf.DUMMYFUNCTION("""COMPUTED_VALUE"""),"Other")</f>
        <v>Other</v>
      </c>
      <c r="G356" s="15" t="b">
        <f>IFERROR(__xludf.DUMMYFUNCTION("""COMPUTED_VALUE"""),FALSE)</f>
        <v>0</v>
      </c>
      <c r="H356" s="15" t="str">
        <f>IFERROR(__xludf.DUMMYFUNCTION("""COMPUTED_VALUE"""),"Rank4AI, ClickSlice, Propeller, Screaming Frog, Blue Array, Passion Digital, Impression, Builtvisible")</f>
        <v>Rank4AI, ClickSlice, Propeller, Screaming Frog, Blue Array, Passion Digital, Impression, Builtvisible</v>
      </c>
      <c r="I356" s="15">
        <f>IFERROR(__xludf.DUMMYFUNCTION("""COMPUTED_VALUE"""),3.0)</f>
        <v>3</v>
      </c>
      <c r="J356" s="15">
        <f>IFERROR(__xludf.DUMMYFUNCTION("""COMPUTED_VALUE"""),0.0)</f>
        <v>0</v>
      </c>
      <c r="K356" s="15">
        <f>IFERROR(__xludf.DUMMYFUNCTION("""COMPUTED_VALUE"""),0.0)</f>
        <v>0</v>
      </c>
      <c r="L356" s="15"/>
    </row>
    <row r="357" ht="15.75" customHeight="1">
      <c r="A357" s="14" t="str">
        <f>IFERROR(__xludf.DUMMYFUNCTION("""COMPUTED_VALUE"""),"https://www.seoworks.com/lists/the-20-best-geo-agencies/")</f>
        <v>https://www.seoworks.com/lists/the-20-best-geo-agencies/</v>
      </c>
      <c r="B357" s="15" t="str">
        <f>IFERROR(__xludf.DUMMYFUNCTION("""COMPUTED_VALUE"""),"20 Best GEO Agencies (2026) | The SEO Works")</f>
        <v>20 Best GEO Agencies (2026) | The SEO Works</v>
      </c>
      <c r="C357" s="14" t="str">
        <f>IFERROR(__xludf.DUMMYFUNCTION("""COMPUTED_VALUE"""),"seoworks.com")</f>
        <v>seoworks.com</v>
      </c>
      <c r="D357" s="15" t="str">
        <f>IFERROR(__xludf.DUMMYFUNCTION("""COMPUTED_VALUE"""),"LISTICLE")</f>
        <v>LISTICLE</v>
      </c>
      <c r="E357" s="15" t="str">
        <f>IFERROR(__xludf.DUMMYFUNCTION("""COMPUTED_VALUE"""),"CORPORATE")</f>
        <v>CORPORATE</v>
      </c>
      <c r="F357" s="15" t="str">
        <f>IFERROR(__xludf.DUMMYFUNCTION("""COMPUTED_VALUE"""),"Listicle")</f>
        <v>Listicle</v>
      </c>
      <c r="G357" s="15" t="b">
        <f>IFERROR(__xludf.DUMMYFUNCTION("""COMPUTED_VALUE"""),FALSE)</f>
        <v>0</v>
      </c>
      <c r="H357" s="15" t="str">
        <f>IFERROR(__xludf.DUMMYFUNCTION("""COMPUTED_VALUE"""),"The SEO Works, Omniscient Digital, GA Agency, Exposure Ninja")</f>
        <v>The SEO Works, Omniscient Digital, GA Agency, Exposure Ninja</v>
      </c>
      <c r="I357" s="15">
        <f>IFERROR(__xludf.DUMMYFUNCTION("""COMPUTED_VALUE"""),3.0)</f>
        <v>3</v>
      </c>
      <c r="J357" s="15">
        <f>IFERROR(__xludf.DUMMYFUNCTION("""COMPUTED_VALUE"""),0.0)</f>
        <v>0</v>
      </c>
      <c r="K357" s="15">
        <f>IFERROR(__xludf.DUMMYFUNCTION("""COMPUTED_VALUE"""),0.0)</f>
        <v>0</v>
      </c>
      <c r="L357" s="15"/>
    </row>
    <row r="358" ht="15.75" customHeight="1">
      <c r="A358" s="14" t="str">
        <f>IFERROR(__xludf.DUMMYFUNCTION("""COMPUTED_VALUE"""),"https://smacient.com/top-ai-marketing-agencies-in-the-uk/")</f>
        <v>https://smacient.com/top-ai-marketing-agencies-in-the-uk/</v>
      </c>
      <c r="B358" s="15" t="str">
        <f>IFERROR(__xludf.DUMMYFUNCTION("""COMPUTED_VALUE"""),"Top AI Marketing Agencies in the UK - Smacient")</f>
        <v>Top AI Marketing Agencies in the UK - Smacient</v>
      </c>
      <c r="C358" s="14" t="str">
        <f>IFERROR(__xludf.DUMMYFUNCTION("""COMPUTED_VALUE"""),"smacient.com")</f>
        <v>smacient.com</v>
      </c>
      <c r="D358" s="15" t="str">
        <f>IFERROR(__xludf.DUMMYFUNCTION("""COMPUTED_VALUE"""),"LISTICLE")</f>
        <v>LISTICLE</v>
      </c>
      <c r="E358" s="15" t="str">
        <f>IFERROR(__xludf.DUMMYFUNCTION("""COMPUTED_VALUE"""),"CORPORATE")</f>
        <v>CORPORATE</v>
      </c>
      <c r="F358" s="15" t="str">
        <f>IFERROR(__xludf.DUMMYFUNCTION("""COMPUTED_VALUE"""),"Listicle")</f>
        <v>Listicle</v>
      </c>
      <c r="G358" s="15" t="b">
        <f>IFERROR(__xludf.DUMMYFUNCTION("""COMPUTED_VALUE"""),FALSE)</f>
        <v>0</v>
      </c>
      <c r="H358" s="15" t="str">
        <f>IFERROR(__xludf.DUMMYFUNCTION("""COMPUTED_VALUE"""),"Impression, Open Partners, Brainlabs, Hallam, Koozai, Found")</f>
        <v>Impression, Open Partners, Brainlabs, Hallam, Koozai, Found</v>
      </c>
      <c r="I358" s="15">
        <f>IFERROR(__xludf.DUMMYFUNCTION("""COMPUTED_VALUE"""),3.0)</f>
        <v>3</v>
      </c>
      <c r="J358" s="15">
        <f>IFERROR(__xludf.DUMMYFUNCTION("""COMPUTED_VALUE"""),0.0)</f>
        <v>0</v>
      </c>
      <c r="K358" s="15">
        <f>IFERROR(__xludf.DUMMYFUNCTION("""COMPUTED_VALUE"""),0.67)</f>
        <v>0.67</v>
      </c>
      <c r="L358" s="15"/>
    </row>
    <row r="359" ht="15.75" customHeight="1">
      <c r="A359" s="14" t="str">
        <f>IFERROR(__xludf.DUMMYFUNCTION("""COMPUTED_VALUE"""),"https://softblues.io/blog/best-ai-consulting-companies-uk")</f>
        <v>https://softblues.io/blog/best-ai-consulting-companies-uk</v>
      </c>
      <c r="B359" s="15" t="str">
        <f>IFERROR(__xludf.DUMMYFUNCTION("""COMPUTED_VALUE"""),"Best AI Consulting Companies in the UK (2026): Who's Good at What | SoftBlues Blog")</f>
        <v>Best AI Consulting Companies in the UK (2026): Who's Good at What | SoftBlues Blog</v>
      </c>
      <c r="C359" s="14" t="str">
        <f>IFERROR(__xludf.DUMMYFUNCTION("""COMPUTED_VALUE"""),"softblues.io")</f>
        <v>softblues.io</v>
      </c>
      <c r="D359" s="15" t="str">
        <f>IFERROR(__xludf.DUMMYFUNCTION("""COMPUTED_VALUE"""),"LISTICLE")</f>
        <v>LISTICLE</v>
      </c>
      <c r="E359" s="15" t="str">
        <f>IFERROR(__xludf.DUMMYFUNCTION("""COMPUTED_VALUE"""),"OTHER")</f>
        <v>OTHER</v>
      </c>
      <c r="F359" s="15" t="str">
        <f>IFERROR(__xludf.DUMMYFUNCTION("""COMPUTED_VALUE"""),"Listicle")</f>
        <v>Listicle</v>
      </c>
      <c r="G359" s="15" t="b">
        <f>IFERROR(__xludf.DUMMYFUNCTION("""COMPUTED_VALUE"""),FALSE)</f>
        <v>0</v>
      </c>
      <c r="H359" s="15" t="str">
        <f>IFERROR(__xludf.DUMMYFUNCTION("""COMPUTED_VALUE"""),"EY, PwC, QuantumBlack")</f>
        <v>EY, PwC, QuantumBlack</v>
      </c>
      <c r="I359" s="15">
        <f>IFERROR(__xludf.DUMMYFUNCTION("""COMPUTED_VALUE"""),3.0)</f>
        <v>3</v>
      </c>
      <c r="J359" s="15">
        <f>IFERROR(__xludf.DUMMYFUNCTION("""COMPUTED_VALUE"""),0.0)</f>
        <v>0</v>
      </c>
      <c r="K359" s="15">
        <f>IFERROR(__xludf.DUMMYFUNCTION("""COMPUTED_VALUE"""),1.0)</f>
        <v>1</v>
      </c>
      <c r="L359" s="15"/>
    </row>
    <row r="360" ht="15.75" customHeight="1">
      <c r="A360" s="14" t="str">
        <f>IFERROR(__xludf.DUMMYFUNCTION("""COMPUTED_VALUE"""),"https://www.sortlist.co.uk/s/data-driven-marketing/united-kingdom-gb")</f>
        <v>https://www.sortlist.co.uk/s/data-driven-marketing/united-kingdom-gb</v>
      </c>
      <c r="B360" s="15" t="str">
        <f>IFERROR(__xludf.DUMMYFUNCTION("""COMPUTED_VALUE"""),"The 10 Best Data Driven Marketing Agencies in The United Kingdom - 2026 Reviews")</f>
        <v>The 10 Best Data Driven Marketing Agencies in The United Kingdom - 2026 Reviews</v>
      </c>
      <c r="C360" s="14" t="str">
        <f>IFERROR(__xludf.DUMMYFUNCTION("""COMPUTED_VALUE"""),"sortlist.co.uk")</f>
        <v>sortlist.co.uk</v>
      </c>
      <c r="D360" s="15" t="str">
        <f>IFERROR(__xludf.DUMMYFUNCTION("""COMPUTED_VALUE"""),"CATEGORY_PAGE")</f>
        <v>CATEGORY_PAGE</v>
      </c>
      <c r="E360" s="15" t="str">
        <f>IFERROR(__xludf.DUMMYFUNCTION("""COMPUTED_VALUE"""),"REFERENCE")</f>
        <v>REFERENCE</v>
      </c>
      <c r="F360" s="15" t="str">
        <f>IFERROR(__xludf.DUMMYFUNCTION("""COMPUTED_VALUE"""),"Category Page")</f>
        <v>Category Page</v>
      </c>
      <c r="G360" s="15" t="b">
        <f>IFERROR(__xludf.DUMMYFUNCTION("""COMPUTED_VALUE"""),FALSE)</f>
        <v>0</v>
      </c>
      <c r="H360" s="15" t="str">
        <f>IFERROR(__xludf.DUMMYFUNCTION("""COMPUTED_VALUE"""),"Momentum, M3.agency, Ninja Promo, Bird Marketing")</f>
        <v>Momentum, M3.agency, Ninja Promo, Bird Marketing</v>
      </c>
      <c r="I360" s="15">
        <f>IFERROR(__xludf.DUMMYFUNCTION("""COMPUTED_VALUE"""),3.0)</f>
        <v>3</v>
      </c>
      <c r="J360" s="15">
        <f>IFERROR(__xludf.DUMMYFUNCTION("""COMPUTED_VALUE"""),0.0)</f>
        <v>0</v>
      </c>
      <c r="K360" s="15">
        <f>IFERROR(__xludf.DUMMYFUNCTION("""COMPUTED_VALUE"""),0.0)</f>
        <v>0</v>
      </c>
      <c r="L360" s="15"/>
    </row>
    <row r="361" ht="15.75" customHeight="1">
      <c r="A361" s="14" t="str">
        <f>IFERROR(__xludf.DUMMYFUNCTION("""COMPUTED_VALUE"""),"https://staging.polarisagency.com/marketing-insights/best-geo-services-uk/")</f>
        <v>https://staging.polarisagency.com/marketing-insights/best-geo-services-uk/</v>
      </c>
      <c r="B361" s="15" t="str">
        <f>IFERROR(__xludf.DUMMYFUNCTION("""COMPUTED_VALUE"""),"The 10 Best GEO Agencies in the UK | Agency Reviews")</f>
        <v>The 10 Best GEO Agencies in the UK | Agency Reviews</v>
      </c>
      <c r="C361" s="14" t="str">
        <f>IFERROR(__xludf.DUMMYFUNCTION("""COMPUTED_VALUE"""),"polarisagency.com")</f>
        <v>polarisagency.com</v>
      </c>
      <c r="D361" s="15" t="str">
        <f>IFERROR(__xludf.DUMMYFUNCTION("""COMPUTED_VALUE"""),"PRODUCT_PAGE")</f>
        <v>PRODUCT_PAGE</v>
      </c>
      <c r="E361" s="15" t="str">
        <f>IFERROR(__xludf.DUMMYFUNCTION("""COMPUTED_VALUE"""),"COMPETITOR")</f>
        <v>COMPETITOR</v>
      </c>
      <c r="F361" s="15" t="str">
        <f>IFERROR(__xludf.DUMMYFUNCTION("""COMPUTED_VALUE"""),"Product Page")</f>
        <v>Product Page</v>
      </c>
      <c r="G361" s="15" t="b">
        <f>IFERROR(__xludf.DUMMYFUNCTION("""COMPUTED_VALUE"""),FALSE)</f>
        <v>0</v>
      </c>
      <c r="H361" s="15" t="str">
        <f>IFERROR(__xludf.DUMMYFUNCTION("""COMPUTED_VALUE"""),"Polaris, Passion Digital, Found, Blue Array, Siege Media, Charle Agency, The SEO Works, Directive Consulting")</f>
        <v>Polaris, Passion Digital, Found, Blue Array, Siege Media, Charle Agency, The SEO Works, Directive Consulting</v>
      </c>
      <c r="I361" s="15">
        <f>IFERROR(__xludf.DUMMYFUNCTION("""COMPUTED_VALUE"""),3.0)</f>
        <v>3</v>
      </c>
      <c r="J361" s="15">
        <f>IFERROR(__xludf.DUMMYFUNCTION("""COMPUTED_VALUE"""),0.0)</f>
        <v>0</v>
      </c>
      <c r="K361" s="15">
        <f>IFERROR(__xludf.DUMMYFUNCTION("""COMPUTED_VALUE"""),0.0)</f>
        <v>0</v>
      </c>
      <c r="L361" s="15"/>
    </row>
    <row r="362" ht="15.75" customHeight="1">
      <c r="A362" s="14" t="str">
        <f>IFERROR(__xludf.DUMMYFUNCTION("""COMPUTED_VALUE"""),"https://thegraygency.com/the-11-top-paid-social-agencies-for-social-media-growth/")</f>
        <v>https://thegraygency.com/the-11-top-paid-social-agencies-for-social-media-growth/</v>
      </c>
      <c r="B362" s="15" t="str">
        <f>IFERROR(__xludf.DUMMYFUNCTION("""COMPUTED_VALUE"""),"The 11 Top Paid Social Agencies for Social Media Growth - The Graygency")</f>
        <v>The 11 Top Paid Social Agencies for Social Media Growth - The Graygency</v>
      </c>
      <c r="C362" s="14" t="str">
        <f>IFERROR(__xludf.DUMMYFUNCTION("""COMPUTED_VALUE"""),"thegraygency.com")</f>
        <v>thegraygency.com</v>
      </c>
      <c r="D362" s="15" t="str">
        <f>IFERROR(__xludf.DUMMYFUNCTION("""COMPUTED_VALUE"""),"LISTICLE")</f>
        <v>LISTICLE</v>
      </c>
      <c r="E362" s="15" t="str">
        <f>IFERROR(__xludf.DUMMYFUNCTION("""COMPUTED_VALUE"""),"CORPORATE")</f>
        <v>CORPORATE</v>
      </c>
      <c r="F362" s="15" t="str">
        <f>IFERROR(__xludf.DUMMYFUNCTION("""COMPUTED_VALUE"""),"Listicle")</f>
        <v>Listicle</v>
      </c>
      <c r="G362" s="15" t="b">
        <f>IFERROR(__xludf.DUMMYFUNCTION("""COMPUTED_VALUE"""),FALSE)</f>
        <v>0</v>
      </c>
      <c r="H362" s="15" t="str">
        <f>IFERROR(__xludf.DUMMYFUNCTION("""COMPUTED_VALUE"""),"Soap Media, We Are Social, Huge, Ninja Promo, The Social Shepherd")</f>
        <v>Soap Media, We Are Social, Huge, Ninja Promo, The Social Shepherd</v>
      </c>
      <c r="I362" s="15">
        <f>IFERROR(__xludf.DUMMYFUNCTION("""COMPUTED_VALUE"""),3.0)</f>
        <v>3</v>
      </c>
      <c r="J362" s="15">
        <f>IFERROR(__xludf.DUMMYFUNCTION("""COMPUTED_VALUE"""),0.0)</f>
        <v>0</v>
      </c>
      <c r="K362" s="15">
        <f>IFERROR(__xludf.DUMMYFUNCTION("""COMPUTED_VALUE"""),0.0)</f>
        <v>0</v>
      </c>
      <c r="L362" s="15"/>
    </row>
    <row r="363" ht="15.75" customHeight="1">
      <c r="A363" s="14" t="str">
        <f>IFERROR(__xludf.DUMMYFUNCTION("""COMPUTED_VALUE"""),"https://www.thegrowthsyndicate.com/agencies/best-b2b-performance-marketing-agencies-europe")</f>
        <v>https://www.thegrowthsyndicate.com/agencies/best-b2b-performance-marketing-agencies-europe</v>
      </c>
      <c r="B363" s="15" t="str">
        <f>IFERROR(__xludf.DUMMYFUNCTION("""COMPUTED_VALUE"""),"The 12 Best B2B Performance Marketing Agencies in Europe")</f>
        <v>The 12 Best B2B Performance Marketing Agencies in Europe</v>
      </c>
      <c r="C363" s="14" t="str">
        <f>IFERROR(__xludf.DUMMYFUNCTION("""COMPUTED_VALUE"""),"thegrowthsyndicate.com")</f>
        <v>thegrowthsyndicate.com</v>
      </c>
      <c r="D363" s="15" t="str">
        <f>IFERROR(__xludf.DUMMYFUNCTION("""COMPUTED_VALUE"""),"LISTICLE")</f>
        <v>LISTICLE</v>
      </c>
      <c r="E363" s="15" t="str">
        <f>IFERROR(__xludf.DUMMYFUNCTION("""COMPUTED_VALUE"""),"CORPORATE")</f>
        <v>CORPORATE</v>
      </c>
      <c r="F363" s="15" t="str">
        <f>IFERROR(__xludf.DUMMYFUNCTION("""COMPUTED_VALUE"""),"Listicle")</f>
        <v>Listicle</v>
      </c>
      <c r="G363" s="15" t="b">
        <f>IFERROR(__xludf.DUMMYFUNCTION("""COMPUTED_VALUE"""),TRUE)</f>
        <v>1</v>
      </c>
      <c r="H363" s="15" t="str">
        <f>IFERROR(__xludf.DUMMYFUNCTION("""COMPUTED_VALUE"""),"Brainlabs, WPP, GroupM, Incubeta, Croud, Born Social, Measured, Havas Market UK, Huge, Publicis Groupe, Omnicom, Dentsu, Merkle, Impression")</f>
        <v>Brainlabs, WPP, GroupM, Incubeta, Croud, Born Social, Measured, Havas Market UK, Huge, Publicis Groupe, Omnicom, Dentsu, Merkle, Impression</v>
      </c>
      <c r="I363" s="15">
        <f>IFERROR(__xludf.DUMMYFUNCTION("""COMPUTED_VALUE"""),3.0)</f>
        <v>3</v>
      </c>
      <c r="J363" s="15">
        <f>IFERROR(__xludf.DUMMYFUNCTION("""COMPUTED_VALUE"""),0.0)</f>
        <v>0</v>
      </c>
      <c r="K363" s="15">
        <f>IFERROR(__xludf.DUMMYFUNCTION("""COMPUTED_VALUE"""),1.0)</f>
        <v>1</v>
      </c>
      <c r="L363" s="15"/>
    </row>
    <row r="364" ht="15.75" customHeight="1">
      <c r="A364" s="14" t="str">
        <f>IFERROR(__xludf.DUMMYFUNCTION("""COMPUTED_VALUE"""),"https://themanifest.com/advertising/agencies/uk")</f>
        <v>https://themanifest.com/advertising/agencies/uk</v>
      </c>
      <c r="B364" s="15" t="str">
        <f>IFERROR(__xludf.DUMMYFUNCTION("""COMPUTED_VALUE"""),"The Best Advertising Companies in United Kingdom - Jul 2026 | The Manifest")</f>
        <v>The Best Advertising Companies in United Kingdom - Jul 2026 | The Manifest</v>
      </c>
      <c r="C364" s="14" t="str">
        <f>IFERROR(__xludf.DUMMYFUNCTION("""COMPUTED_VALUE"""),"themanifest.com")</f>
        <v>themanifest.com</v>
      </c>
      <c r="D364" s="15" t="str">
        <f>IFERROR(__xludf.DUMMYFUNCTION("""COMPUTED_VALUE"""),"LISTICLE")</f>
        <v>LISTICLE</v>
      </c>
      <c r="E364" s="15" t="str">
        <f>IFERROR(__xludf.DUMMYFUNCTION("""COMPUTED_VALUE"""),"REFERENCE")</f>
        <v>REFERENCE</v>
      </c>
      <c r="F364" s="15" t="str">
        <f>IFERROR(__xludf.DUMMYFUNCTION("""COMPUTED_VALUE"""),"Listicle")</f>
        <v>Listicle</v>
      </c>
      <c r="G364" s="15" t="b">
        <f>IFERROR(__xludf.DUMMYFUNCTION("""COMPUTED_VALUE"""),FALSE)</f>
        <v>0</v>
      </c>
      <c r="H364" s="15" t="str">
        <f>IFERROR(__xludf.DUMMYFUNCTION("""COMPUTED_VALUE"""),"Ninja Promo, ROAST, Favoured, M3.agency, Chello, The SEO Works")</f>
        <v>Ninja Promo, ROAST, Favoured, M3.agency, Chello, The SEO Works</v>
      </c>
      <c r="I364" s="15">
        <f>IFERROR(__xludf.DUMMYFUNCTION("""COMPUTED_VALUE"""),3.0)</f>
        <v>3</v>
      </c>
      <c r="J364" s="15">
        <f>IFERROR(__xludf.DUMMYFUNCTION("""COMPUTED_VALUE"""),0.0)</f>
        <v>0</v>
      </c>
      <c r="K364" s="15">
        <f>IFERROR(__xludf.DUMMYFUNCTION("""COMPUTED_VALUE"""),0.33)</f>
        <v>0.33</v>
      </c>
      <c r="L364" s="15"/>
    </row>
    <row r="365" ht="15.75" customHeight="1">
      <c r="A365" s="14" t="str">
        <f>IFERROR(__xludf.DUMMYFUNCTION("""COMPUTED_VALUE"""),"https://thesocialshepherd.com/blog/top-advertising-agencies-uk")</f>
        <v>https://thesocialshepherd.com/blog/top-advertising-agencies-uk</v>
      </c>
      <c r="B365" s="15" t="str">
        <f>IFERROR(__xludf.DUMMYFUNCTION("""COMPUTED_VALUE"""),"The Social Shepherd | Top 17 Advertising Agencies in the UK | The…")</f>
        <v>The Social Shepherd | Top 17 Advertising Agencies in the UK | The…</v>
      </c>
      <c r="C365" s="14" t="str">
        <f>IFERROR(__xludf.DUMMYFUNCTION("""COMPUTED_VALUE"""),"thesocialshepherd.com")</f>
        <v>thesocialshepherd.com</v>
      </c>
      <c r="D365" s="15" t="str">
        <f>IFERROR(__xludf.DUMMYFUNCTION("""COMPUTED_VALUE"""),"LISTICLE")</f>
        <v>LISTICLE</v>
      </c>
      <c r="E365" s="15" t="str">
        <f>IFERROR(__xludf.DUMMYFUNCTION("""COMPUTED_VALUE"""),"COMPETITOR")</f>
        <v>COMPETITOR</v>
      </c>
      <c r="F365" s="15" t="str">
        <f>IFERROR(__xludf.DUMMYFUNCTION("""COMPUTED_VALUE"""),"Listicle")</f>
        <v>Listicle</v>
      </c>
      <c r="G365" s="15" t="b">
        <f>IFERROR(__xludf.DUMMYFUNCTION("""COMPUTED_VALUE"""),FALSE)</f>
        <v>0</v>
      </c>
      <c r="H365" s="15" t="str">
        <f>IFERROR(__xludf.DUMMYFUNCTION("""COMPUTED_VALUE"""),"The Social Shepherd, BBH London, Dentsu, Ogilvy")</f>
        <v>The Social Shepherd, BBH London, Dentsu, Ogilvy</v>
      </c>
      <c r="I365" s="15">
        <f>IFERROR(__xludf.DUMMYFUNCTION("""COMPUTED_VALUE"""),3.0)</f>
        <v>3</v>
      </c>
      <c r="J365" s="15">
        <f>IFERROR(__xludf.DUMMYFUNCTION("""COMPUTED_VALUE"""),0.0)</f>
        <v>0</v>
      </c>
      <c r="K365" s="15">
        <f>IFERROR(__xludf.DUMMYFUNCTION("""COMPUTED_VALUE"""),0.0)</f>
        <v>0</v>
      </c>
      <c r="L365" s="15"/>
    </row>
    <row r="366" ht="15.75" customHeight="1">
      <c r="A366" s="14" t="str">
        <f>IFERROR(__xludf.DUMMYFUNCTION("""COMPUTED_VALUE"""),"https://ultrascout.ai/guides/agency-directory/")</f>
        <v>https://ultrascout.ai/guides/agency-directory/</v>
      </c>
      <c r="B366" s="15" t="str">
        <f>IFERROR(__xludf.DUMMYFUNCTION("""COMPUTED_VALUE"""),"Top GEO &amp;amp; AEO Agencies UK 2026: Definitive Guide | #1 UltraScout")</f>
        <v>Top GEO &amp;amp; AEO Agencies UK 2026: Definitive Guide | #1 UltraScout</v>
      </c>
      <c r="C366" s="14" t="str">
        <f>IFERROR(__xludf.DUMMYFUNCTION("""COMPUTED_VALUE"""),"ultrascout.ai")</f>
        <v>ultrascout.ai</v>
      </c>
      <c r="D366" s="15" t="str">
        <f>IFERROR(__xludf.DUMMYFUNCTION("""COMPUTED_VALUE"""),"LISTICLE")</f>
        <v>LISTICLE</v>
      </c>
      <c r="E366" s="15" t="str">
        <f>IFERROR(__xludf.DUMMYFUNCTION("""COMPUTED_VALUE"""),"CORPORATE")</f>
        <v>CORPORATE</v>
      </c>
      <c r="F366" s="15" t="str">
        <f>IFERROR(__xludf.DUMMYFUNCTION("""COMPUTED_VALUE"""),"Listicle")</f>
        <v>Listicle</v>
      </c>
      <c r="G366" s="15" t="b">
        <f>IFERROR(__xludf.DUMMYFUNCTION("""COMPUTED_VALUE"""),FALSE)</f>
        <v>0</v>
      </c>
      <c r="H366" s="15" t="str">
        <f>IFERROR(__xludf.DUMMYFUNCTION("""COMPUTED_VALUE"""),"Charle Agency, ClickSlice, The SEO Works, Gain Theory")</f>
        <v>Charle Agency, ClickSlice, The SEO Works, Gain Theory</v>
      </c>
      <c r="I366" s="15">
        <f>IFERROR(__xludf.DUMMYFUNCTION("""COMPUTED_VALUE"""),3.0)</f>
        <v>3</v>
      </c>
      <c r="J366" s="15">
        <f>IFERROR(__xludf.DUMMYFUNCTION("""COMPUTED_VALUE"""),0.0)</f>
        <v>0</v>
      </c>
      <c r="K366" s="15">
        <f>IFERROR(__xludf.DUMMYFUNCTION("""COMPUTED_VALUE"""),0.0)</f>
        <v>0</v>
      </c>
      <c r="L366" s="15"/>
    </row>
    <row r="367" ht="15.75" customHeight="1">
      <c r="A367" s="14" t="str">
        <f>IFERROR(__xludf.DUMMYFUNCTION("""COMPUTED_VALUE"""),"https://www.webtonic.io/blog/best-ppc-agencies-uk")</f>
        <v>https://www.webtonic.io/blog/best-ppc-agencies-uk</v>
      </c>
      <c r="B367" s="15" t="str">
        <f>IFERROR(__xludf.DUMMYFUNCTION("""COMPUTED_VALUE"""),"The 44 Best PPC Agencies in the UK as of 2026")</f>
        <v>The 44 Best PPC Agencies in the UK as of 2026</v>
      </c>
      <c r="C367" s="14" t="str">
        <f>IFERROR(__xludf.DUMMYFUNCTION("""COMPUTED_VALUE"""),"webtonic.io")</f>
        <v>webtonic.io</v>
      </c>
      <c r="D367" s="15" t="str">
        <f>IFERROR(__xludf.DUMMYFUNCTION("""COMPUTED_VALUE"""),"LISTICLE")</f>
        <v>LISTICLE</v>
      </c>
      <c r="E367" s="15" t="str">
        <f>IFERROR(__xludf.DUMMYFUNCTION("""COMPUTED_VALUE"""),"CORPORATE")</f>
        <v>CORPORATE</v>
      </c>
      <c r="F367" s="15" t="str">
        <f>IFERROR(__xludf.DUMMYFUNCTION("""COMPUTED_VALUE"""),"Listicle")</f>
        <v>Listicle</v>
      </c>
      <c r="G367" s="15" t="b">
        <f>IFERROR(__xludf.DUMMYFUNCTION("""COMPUTED_VALUE"""),FALSE)</f>
        <v>0</v>
      </c>
      <c r="H367" s="15" t="str">
        <f>IFERROR(__xludf.DUMMYFUNCTION("""COMPUTED_VALUE"""),"PPC Geeks, Bind Media, Impression, Found, The SEO Works, Gripped, Hallam, Croud, The Social Shepherd, Koozai, Soap Media, Push, Push Group, Launch Online, The Good Marketer, LOCALiQ, Passion Digital, ClickSlice, NP Digital")</f>
        <v>PPC Geeks, Bind Media, Impression, Found, The SEO Works, Gripped, Hallam, Croud, The Social Shepherd, Koozai, Soap Media, Push, Push Group, Launch Online, The Good Marketer, LOCALiQ, Passion Digital, ClickSlice, NP Digital</v>
      </c>
      <c r="I367" s="15">
        <f>IFERROR(__xludf.DUMMYFUNCTION("""COMPUTED_VALUE"""),3.0)</f>
        <v>3</v>
      </c>
      <c r="J367" s="15">
        <f>IFERROR(__xludf.DUMMYFUNCTION("""COMPUTED_VALUE"""),0.0)</f>
        <v>0</v>
      </c>
      <c r="K367" s="15">
        <f>IFERROR(__xludf.DUMMYFUNCTION("""COMPUTED_VALUE"""),2.67)</f>
        <v>2.67</v>
      </c>
      <c r="L367" s="15"/>
    </row>
    <row r="368" ht="15.75" customHeight="1">
      <c r="A368" s="14" t="str">
        <f>IFERROR(__xludf.DUMMYFUNCTION("""COMPUTED_VALUE"""),"https://www.wowinfotech.co.uk/blog/google-ads-agency-uk")</f>
        <v>https://www.wowinfotech.co.uk/blog/google-ads-agency-uk</v>
      </c>
      <c r="B368" s="15" t="str">
        <f>IFERROR(__xludf.DUMMYFUNCTION("""COMPUTED_VALUE"""),"10 Best Google Ads Agency UK [Updated List 2026]")</f>
        <v>10 Best Google Ads Agency UK [Updated List 2026]</v>
      </c>
      <c r="C368" s="14" t="str">
        <f>IFERROR(__xludf.DUMMYFUNCTION("""COMPUTED_VALUE"""),"wowinfotech.co.uk")</f>
        <v>wowinfotech.co.uk</v>
      </c>
      <c r="D368" s="15" t="str">
        <f>IFERROR(__xludf.DUMMYFUNCTION("""COMPUTED_VALUE"""),"LISTICLE")</f>
        <v>LISTICLE</v>
      </c>
      <c r="E368" s="15" t="str">
        <f>IFERROR(__xludf.DUMMYFUNCTION("""COMPUTED_VALUE"""),"CORPORATE")</f>
        <v>CORPORATE</v>
      </c>
      <c r="F368" s="15" t="str">
        <f>IFERROR(__xludf.DUMMYFUNCTION("""COMPUTED_VALUE"""),"Listicle")</f>
        <v>Listicle</v>
      </c>
      <c r="G368" s="15" t="b">
        <f>IFERROR(__xludf.DUMMYFUNCTION("""COMPUTED_VALUE"""),FALSE)</f>
        <v>0</v>
      </c>
      <c r="H368" s="15" t="str">
        <f>IFERROR(__xludf.DUMMYFUNCTION("""COMPUTED_VALUE"""),"The Social Shepherd, Impression, Hallam, Found")</f>
        <v>The Social Shepherd, Impression, Hallam, Found</v>
      </c>
      <c r="I368" s="15">
        <f>IFERROR(__xludf.DUMMYFUNCTION("""COMPUTED_VALUE"""),3.0)</f>
        <v>3</v>
      </c>
      <c r="J368" s="15">
        <f>IFERROR(__xludf.DUMMYFUNCTION("""COMPUTED_VALUE"""),0.0)</f>
        <v>0</v>
      </c>
      <c r="K368" s="15">
        <f>IFERROR(__xludf.DUMMYFUNCTION("""COMPUTED_VALUE"""),0.67)</f>
        <v>0.67</v>
      </c>
      <c r="L368" s="15"/>
    </row>
    <row r="369" ht="15.75" customHeight="1">
      <c r="A369" s="14" t="str">
        <f>IFERROR(__xludf.DUMMYFUNCTION("""COMPUTED_VALUE"""),"https://www.youtube.com/watch?v=5K95qPc0HJs")</f>
        <v>https://www.youtube.com/watch?v=5K95qPc0HJs</v>
      </c>
      <c r="B369" s="15" t="str">
        <f>IFERROR(__xludf.DUMMYFUNCTION("""COMPUTED_VALUE"""),"Top 10 AI Digital Marketing Agencies in UK | AI Agents Will Change Digital Marketing")</f>
        <v>Top 10 AI Digital Marketing Agencies in UK | AI Agents Will Change Digital Marketing</v>
      </c>
      <c r="C369" s="14" t="str">
        <f>IFERROR(__xludf.DUMMYFUNCTION("""COMPUTED_VALUE"""),"youtube.com")</f>
        <v>youtube.com</v>
      </c>
      <c r="D369" s="15" t="str">
        <f>IFERROR(__xludf.DUMMYFUNCTION("""COMPUTED_VALUE"""),"LISTICLE")</f>
        <v>LISTICLE</v>
      </c>
      <c r="E369" s="15" t="str">
        <f>IFERROR(__xludf.DUMMYFUNCTION("""COMPUTED_VALUE"""),"UGC")</f>
        <v>UGC</v>
      </c>
      <c r="F369" s="15" t="str">
        <f>IFERROR(__xludf.DUMMYFUNCTION("""COMPUTED_VALUE"""),"Listicle")</f>
        <v>Listicle</v>
      </c>
      <c r="G369" s="15" t="b">
        <f>IFERROR(__xludf.DUMMYFUNCTION("""COMPUTED_VALUE"""),FALSE)</f>
        <v>0</v>
      </c>
      <c r="H369" s="15" t="str">
        <f>IFERROR(__xludf.DUMMYFUNCTION("""COMPUTED_VALUE"""),"The Good Marketer, Found")</f>
        <v>The Good Marketer, Found</v>
      </c>
      <c r="I369" s="15">
        <f>IFERROR(__xludf.DUMMYFUNCTION("""COMPUTED_VALUE"""),3.0)</f>
        <v>3</v>
      </c>
      <c r="J369" s="15">
        <f>IFERROR(__xludf.DUMMYFUNCTION("""COMPUTED_VALUE"""),0.0)</f>
        <v>0</v>
      </c>
      <c r="K369" s="15">
        <f>IFERROR(__xludf.DUMMYFUNCTION("""COMPUTED_VALUE"""),1.0)</f>
        <v>1</v>
      </c>
      <c r="L369" s="15"/>
    </row>
    <row r="370" ht="15.75" customHeight="1">
      <c r="A370" s="14" t="str">
        <f>IFERROR(__xludf.DUMMYFUNCTION("""COMPUTED_VALUE"""),"https://www.youtube.com/watch?v=fdPFLXFJlwo&amp;t=55")</f>
        <v>https://www.youtube.com/watch?v=fdPFLXFJlwo&amp;t=55</v>
      </c>
      <c r="B370" s="15" t="str">
        <f>IFERROR(__xludf.DUMMYFUNCTION("""COMPUTED_VALUE"""),"6 Best Revenue Attribution Agencies for B2B SaaS in 2026")</f>
        <v>6 Best Revenue Attribution Agencies for B2B SaaS in 2026</v>
      </c>
      <c r="C370" s="14" t="str">
        <f>IFERROR(__xludf.DUMMYFUNCTION("""COMPUTED_VALUE"""),"youtube.com")</f>
        <v>youtube.com</v>
      </c>
      <c r="D370" s="15" t="str">
        <f>IFERROR(__xludf.DUMMYFUNCTION("""COMPUTED_VALUE"""),"LISTICLE")</f>
        <v>LISTICLE</v>
      </c>
      <c r="E370" s="15" t="str">
        <f>IFERROR(__xludf.DUMMYFUNCTION("""COMPUTED_VALUE"""),"UGC")</f>
        <v>UGC</v>
      </c>
      <c r="F370" s="15" t="str">
        <f>IFERROR(__xludf.DUMMYFUNCTION("""COMPUTED_VALUE"""),"Listicle")</f>
        <v>Listicle</v>
      </c>
      <c r="G370" s="15" t="b">
        <f>IFERROR(__xludf.DUMMYFUNCTION("""COMPUTED_VALUE"""),FALSE)</f>
        <v>0</v>
      </c>
      <c r="H370" s="15" t="str">
        <f>IFERROR(__xludf.DUMMYFUNCTION("""COMPUTED_VALUE"""),"GrowthSpree, NoGood, Single Grain, Disruptive Advertising, Wpromote, Polaris")</f>
        <v>GrowthSpree, NoGood, Single Grain, Disruptive Advertising, Wpromote, Polaris</v>
      </c>
      <c r="I370" s="15">
        <f>IFERROR(__xludf.DUMMYFUNCTION("""COMPUTED_VALUE"""),3.0)</f>
        <v>3</v>
      </c>
      <c r="J370" s="15">
        <f>IFERROR(__xludf.DUMMYFUNCTION("""COMPUTED_VALUE"""),0.0)</f>
        <v>0</v>
      </c>
      <c r="K370" s="15">
        <f>IFERROR(__xludf.DUMMYFUNCTION("""COMPUTED_VALUE"""),1.0)</f>
        <v>1</v>
      </c>
      <c r="L370" s="15"/>
    </row>
    <row r="371" ht="15.75" customHeight="1">
      <c r="A371" s="14" t="str">
        <f>IFERROR(__xludf.DUMMYFUNCTION("""COMPUTED_VALUE"""),"https://www.10seos.com/gb/display-advertising-companies-in-uk")</f>
        <v>https://www.10seos.com/gb/display-advertising-companies-in-uk</v>
      </c>
      <c r="B371" s="15" t="str">
        <f>IFERROR(__xludf.DUMMYFUNCTION("""COMPUTED_VALUE"""),"Top 10 Display Advertising Companies For Best Services. UK | July 2026")</f>
        <v>Top 10 Display Advertising Companies For Best Services. UK | July 2026</v>
      </c>
      <c r="C371" s="14" t="str">
        <f>IFERROR(__xludf.DUMMYFUNCTION("""COMPUTED_VALUE"""),"10seos.com")</f>
        <v>10seos.com</v>
      </c>
      <c r="D371" s="15" t="str">
        <f>IFERROR(__xludf.DUMMYFUNCTION("""COMPUTED_VALUE"""),"OTHER")</f>
        <v>OTHER</v>
      </c>
      <c r="E371" s="15" t="str">
        <f>IFERROR(__xludf.DUMMYFUNCTION("""COMPUTED_VALUE"""),"REFERENCE")</f>
        <v>REFERENCE</v>
      </c>
      <c r="F371" s="15" t="str">
        <f>IFERROR(__xludf.DUMMYFUNCTION("""COMPUTED_VALUE"""),"Other")</f>
        <v>Other</v>
      </c>
      <c r="G371" s="15" t="b">
        <f>IFERROR(__xludf.DUMMYFUNCTION("""COMPUTED_VALUE"""),FALSE)</f>
        <v>0</v>
      </c>
      <c r="H371" s="15" t="str">
        <f>IFERROR(__xludf.DUMMYFUNCTION("""COMPUTED_VALUE"""),"The SEO Works")</f>
        <v>The SEO Works</v>
      </c>
      <c r="I371" s="15">
        <f>IFERROR(__xludf.DUMMYFUNCTION("""COMPUTED_VALUE"""),2.0)</f>
        <v>2</v>
      </c>
      <c r="J371" s="15">
        <f>IFERROR(__xludf.DUMMYFUNCTION("""COMPUTED_VALUE"""),0.0)</f>
        <v>0</v>
      </c>
      <c r="K371" s="15">
        <f>IFERROR(__xludf.DUMMYFUNCTION("""COMPUTED_VALUE"""),0.0)</f>
        <v>0</v>
      </c>
      <c r="L371" s="15"/>
    </row>
    <row r="372" ht="15.75" customHeight="1">
      <c r="A372" s="14" t="str">
        <f>IFERROR(__xludf.DUMMYFUNCTION("""COMPUTED_VALUE"""),"https://www.abbacustechnologies.com/top-ecommerce-development-companies-in-the-uk/")</f>
        <v>https://www.abbacustechnologies.com/top-ecommerce-development-companies-in-the-uk/</v>
      </c>
      <c r="B372" s="15" t="str">
        <f>IFERROR(__xludf.DUMMYFUNCTION("""COMPUTED_VALUE"""),"Top Ecommerce Development Companies in the UK")</f>
        <v>Top Ecommerce Development Companies in the UK</v>
      </c>
      <c r="C372" s="14" t="str">
        <f>IFERROR(__xludf.DUMMYFUNCTION("""COMPUTED_VALUE"""),"abbacustechnologies.com")</f>
        <v>abbacustechnologies.com</v>
      </c>
      <c r="D372" s="15" t="str">
        <f>IFERROR(__xludf.DUMMYFUNCTION("""COMPUTED_VALUE"""),"LISTICLE")</f>
        <v>LISTICLE</v>
      </c>
      <c r="E372" s="15" t="str">
        <f>IFERROR(__xludf.DUMMYFUNCTION("""COMPUTED_VALUE"""),"CORPORATE")</f>
        <v>CORPORATE</v>
      </c>
      <c r="F372" s="15" t="str">
        <f>IFERROR(__xludf.DUMMYFUNCTION("""COMPUTED_VALUE"""),"Listicle")</f>
        <v>Listicle</v>
      </c>
      <c r="G372" s="15" t="b">
        <f>IFERROR(__xludf.DUMMYFUNCTION("""COMPUTED_VALUE"""),FALSE)</f>
        <v>0</v>
      </c>
      <c r="H372" s="15"/>
      <c r="I372" s="15">
        <f>IFERROR(__xludf.DUMMYFUNCTION("""COMPUTED_VALUE"""),2.0)</f>
        <v>2</v>
      </c>
      <c r="J372" s="15">
        <f>IFERROR(__xludf.DUMMYFUNCTION("""COMPUTED_VALUE"""),0.0)</f>
        <v>0</v>
      </c>
      <c r="K372" s="15">
        <f>IFERROR(__xludf.DUMMYFUNCTION("""COMPUTED_VALUE"""),1.0)</f>
        <v>1</v>
      </c>
      <c r="L372" s="15"/>
    </row>
    <row r="373" ht="15.75" customHeight="1">
      <c r="A373" s="14" t="str">
        <f>IFERROR(__xludf.DUMMYFUNCTION("""COMPUTED_VALUE"""),"https://agencies.semrush.com/list/ai-optimization/london-city/mid-business/")</f>
        <v>https://agencies.semrush.com/list/ai-optimization/london-city/mid-business/</v>
      </c>
      <c r="B373" s="15" t="str">
        <f>IFERROR(__xludf.DUMMYFUNCTION("""COMPUTED_VALUE"""),"Best AI Search Optimization Agencies for Mid Business in London 2026 | Semrush")</f>
        <v>Best AI Search Optimization Agencies for Mid Business in London 2026 | Semrush</v>
      </c>
      <c r="C373" s="14" t="str">
        <f>IFERROR(__xludf.DUMMYFUNCTION("""COMPUTED_VALUE"""),"semrush.com")</f>
        <v>semrush.com</v>
      </c>
      <c r="D373" s="15" t="str">
        <f>IFERROR(__xludf.DUMMYFUNCTION("""COMPUTED_VALUE"""),"CATEGORY_PAGE")</f>
        <v>CATEGORY_PAGE</v>
      </c>
      <c r="E373" s="15" t="str">
        <f>IFERROR(__xludf.DUMMYFUNCTION("""COMPUTED_VALUE"""),"CORPORATE")</f>
        <v>CORPORATE</v>
      </c>
      <c r="F373" s="15" t="str">
        <f>IFERROR(__xludf.DUMMYFUNCTION("""COMPUTED_VALUE"""),"Category Page")</f>
        <v>Category Page</v>
      </c>
      <c r="G373" s="15" t="b">
        <f>IFERROR(__xludf.DUMMYFUNCTION("""COMPUTED_VALUE"""),FALSE)</f>
        <v>0</v>
      </c>
      <c r="H373" s="15" t="str">
        <f>IFERROR(__xludf.DUMMYFUNCTION("""COMPUTED_VALUE"""),"Found, Measured, Passion Digital, The SEO Works, Gravity Global, ROAST")</f>
        <v>Found, Measured, Passion Digital, The SEO Works, Gravity Global, ROAST</v>
      </c>
      <c r="I373" s="15">
        <f>IFERROR(__xludf.DUMMYFUNCTION("""COMPUTED_VALUE"""),2.0)</f>
        <v>2</v>
      </c>
      <c r="J373" s="15">
        <f>IFERROR(__xludf.DUMMYFUNCTION("""COMPUTED_VALUE"""),0.0)</f>
        <v>0</v>
      </c>
      <c r="K373" s="15">
        <f>IFERROR(__xludf.DUMMYFUNCTION("""COMPUTED_VALUE"""),0.0)</f>
        <v>0</v>
      </c>
      <c r="L373" s="15"/>
    </row>
    <row r="374" ht="15.75" customHeight="1">
      <c r="A374" s="14" t="str">
        <f>IFERROR(__xludf.DUMMYFUNCTION("""COMPUTED_VALUE"""),"https://agencies.semrush.com/list/analytics-data-science/london-city/")</f>
        <v>https://agencies.semrush.com/list/analytics-data-science/london-city/</v>
      </c>
      <c r="B374" s="15" t="str">
        <f>IFERROR(__xludf.DUMMYFUNCTION("""COMPUTED_VALUE"""),"Best Data Analytics Services in London 2026 | Semrush")</f>
        <v>Best Data Analytics Services in London 2026 | Semrush</v>
      </c>
      <c r="C374" s="14" t="str">
        <f>IFERROR(__xludf.DUMMYFUNCTION("""COMPUTED_VALUE"""),"semrush.com")</f>
        <v>semrush.com</v>
      </c>
      <c r="D374" s="15" t="str">
        <f>IFERROR(__xludf.DUMMYFUNCTION("""COMPUTED_VALUE"""),"CATEGORY_PAGE")</f>
        <v>CATEGORY_PAGE</v>
      </c>
      <c r="E374" s="15" t="str">
        <f>IFERROR(__xludf.DUMMYFUNCTION("""COMPUTED_VALUE"""),"CORPORATE")</f>
        <v>CORPORATE</v>
      </c>
      <c r="F374" s="15" t="str">
        <f>IFERROR(__xludf.DUMMYFUNCTION("""COMPUTED_VALUE"""),"Category Page")</f>
        <v>Category Page</v>
      </c>
      <c r="G374" s="15" t="b">
        <f>IFERROR(__xludf.DUMMYFUNCTION("""COMPUTED_VALUE"""),FALSE)</f>
        <v>0</v>
      </c>
      <c r="H374" s="15" t="str">
        <f>IFERROR(__xludf.DUMMYFUNCTION("""COMPUTED_VALUE"""),"The SEO Works, Found, Measured")</f>
        <v>The SEO Works, Found, Measured</v>
      </c>
      <c r="I374" s="15">
        <f>IFERROR(__xludf.DUMMYFUNCTION("""COMPUTED_VALUE"""),2.0)</f>
        <v>2</v>
      </c>
      <c r="J374" s="15">
        <f>IFERROR(__xludf.DUMMYFUNCTION("""COMPUTED_VALUE"""),0.0)</f>
        <v>0</v>
      </c>
      <c r="K374" s="15">
        <f>IFERROR(__xludf.DUMMYFUNCTION("""COMPUTED_VALUE"""),0.0)</f>
        <v>0</v>
      </c>
      <c r="L374" s="15"/>
    </row>
    <row r="375" ht="15.75" customHeight="1">
      <c r="A375" s="14" t="str">
        <f>IFERROR(__xludf.DUMMYFUNCTION("""COMPUTED_VALUE"""),"https://agencies.semrush.com/list/ppc/london-city/")</f>
        <v>https://agencies.semrush.com/list/ppc/london-city/</v>
      </c>
      <c r="B375" s="15" t="str">
        <f>IFERROR(__xludf.DUMMYFUNCTION("""COMPUTED_VALUE"""),"Best PPC Agencies in London 2026 | Semrush")</f>
        <v>Best PPC Agencies in London 2026 | Semrush</v>
      </c>
      <c r="C375" s="14" t="str">
        <f>IFERROR(__xludf.DUMMYFUNCTION("""COMPUTED_VALUE"""),"semrush.com")</f>
        <v>semrush.com</v>
      </c>
      <c r="D375" s="15" t="str">
        <f>IFERROR(__xludf.DUMMYFUNCTION("""COMPUTED_VALUE"""),"CATEGORY_PAGE")</f>
        <v>CATEGORY_PAGE</v>
      </c>
      <c r="E375" s="15" t="str">
        <f>IFERROR(__xludf.DUMMYFUNCTION("""COMPUTED_VALUE"""),"CORPORATE")</f>
        <v>CORPORATE</v>
      </c>
      <c r="F375" s="15" t="str">
        <f>IFERROR(__xludf.DUMMYFUNCTION("""COMPUTED_VALUE"""),"Category Page")</f>
        <v>Category Page</v>
      </c>
      <c r="G375" s="15" t="b">
        <f>IFERROR(__xludf.DUMMYFUNCTION("""COMPUTED_VALUE"""),FALSE)</f>
        <v>0</v>
      </c>
      <c r="H375" s="15" t="str">
        <f>IFERROR(__xludf.DUMMYFUNCTION("""COMPUTED_VALUE"""),"Impression, Passion Digital, Found, GA Agency, The SEO Works, ROAST")</f>
        <v>Impression, Passion Digital, Found, GA Agency, The SEO Works, ROAST</v>
      </c>
      <c r="I375" s="15">
        <f>IFERROR(__xludf.DUMMYFUNCTION("""COMPUTED_VALUE"""),2.0)</f>
        <v>2</v>
      </c>
      <c r="J375" s="15">
        <f>IFERROR(__xludf.DUMMYFUNCTION("""COMPUTED_VALUE"""),0.0)</f>
        <v>0</v>
      </c>
      <c r="K375" s="15">
        <f>IFERROR(__xludf.DUMMYFUNCTION("""COMPUTED_VALUE"""),0.0)</f>
        <v>0</v>
      </c>
      <c r="L375" s="15"/>
    </row>
    <row r="376" ht="15.75" customHeight="1">
      <c r="A376" s="14" t="str">
        <f>IFERROR(__xludf.DUMMYFUNCTION("""COMPUTED_VALUE"""),"https://agencies.semrush.com/list/programmatic-advertising/united-kingdom/")</f>
        <v>https://agencies.semrush.com/list/programmatic-advertising/united-kingdom/</v>
      </c>
      <c r="B376" s="15" t="str">
        <f>IFERROR(__xludf.DUMMYFUNCTION("""COMPUTED_VALUE"""),"Best Programmatic Advertising Agencies in United Kingdom 2026 | Semrush")</f>
        <v>Best Programmatic Advertising Agencies in United Kingdom 2026 | Semrush</v>
      </c>
      <c r="C376" s="14" t="str">
        <f>IFERROR(__xludf.DUMMYFUNCTION("""COMPUTED_VALUE"""),"semrush.com")</f>
        <v>semrush.com</v>
      </c>
      <c r="D376" s="15" t="str">
        <f>IFERROR(__xludf.DUMMYFUNCTION("""COMPUTED_VALUE"""),"CATEGORY_PAGE")</f>
        <v>CATEGORY_PAGE</v>
      </c>
      <c r="E376" s="15" t="str">
        <f>IFERROR(__xludf.DUMMYFUNCTION("""COMPUTED_VALUE"""),"CORPORATE")</f>
        <v>CORPORATE</v>
      </c>
      <c r="F376" s="15" t="str">
        <f>IFERROR(__xludf.DUMMYFUNCTION("""COMPUTED_VALUE"""),"Category Page")</f>
        <v>Category Page</v>
      </c>
      <c r="G376" s="15" t="b">
        <f>IFERROR(__xludf.DUMMYFUNCTION("""COMPUTED_VALUE"""),FALSE)</f>
        <v>0</v>
      </c>
      <c r="H376" s="15" t="str">
        <f>IFERROR(__xludf.DUMMYFUNCTION("""COMPUTED_VALUE"""),"Found, Passion Digital, GA Agency, The SEO Works, ROAST")</f>
        <v>Found, Passion Digital, GA Agency, The SEO Works, ROAST</v>
      </c>
      <c r="I376" s="15">
        <f>IFERROR(__xludf.DUMMYFUNCTION("""COMPUTED_VALUE"""),2.0)</f>
        <v>2</v>
      </c>
      <c r="J376" s="15">
        <f>IFERROR(__xludf.DUMMYFUNCTION("""COMPUTED_VALUE"""),0.0)</f>
        <v>0</v>
      </c>
      <c r="K376" s="15">
        <f>IFERROR(__xludf.DUMMYFUNCTION("""COMPUTED_VALUE"""),0.0)</f>
        <v>0</v>
      </c>
      <c r="L376" s="15"/>
    </row>
    <row r="377" ht="15.75" customHeight="1">
      <c r="A377" s="14" t="str">
        <f>IFERROR(__xludf.DUMMYFUNCTION("""COMPUTED_VALUE"""),"https://agencylist.com/services/programmatic-display-and-video/gb/")</f>
        <v>https://agencylist.com/services/programmatic-display-and-video/gb/</v>
      </c>
      <c r="B377" s="15" t="str">
        <f>IFERROR(__xludf.DUMMYFUNCTION("""COMPUTED_VALUE"""),"Top Programmatic Display and Video Agencies in United Kingdom")</f>
        <v>Top Programmatic Display and Video Agencies in United Kingdom</v>
      </c>
      <c r="C377" s="14" t="str">
        <f>IFERROR(__xludf.DUMMYFUNCTION("""COMPUTED_VALUE"""),"agencylist.com")</f>
        <v>agencylist.com</v>
      </c>
      <c r="D377" s="15" t="str">
        <f>IFERROR(__xludf.DUMMYFUNCTION("""COMPUTED_VALUE"""),"CATEGORY_PAGE")</f>
        <v>CATEGORY_PAGE</v>
      </c>
      <c r="E377" s="15" t="str">
        <f>IFERROR(__xludf.DUMMYFUNCTION("""COMPUTED_VALUE"""),"REFERENCE")</f>
        <v>REFERENCE</v>
      </c>
      <c r="F377" s="15" t="str">
        <f>IFERROR(__xludf.DUMMYFUNCTION("""COMPUTED_VALUE"""),"Category Page")</f>
        <v>Category Page</v>
      </c>
      <c r="G377" s="15" t="b">
        <f>IFERROR(__xludf.DUMMYFUNCTION("""COMPUTED_VALUE"""),FALSE)</f>
        <v>0</v>
      </c>
      <c r="H377" s="15"/>
      <c r="I377" s="15">
        <f>IFERROR(__xludf.DUMMYFUNCTION("""COMPUTED_VALUE"""),2.0)</f>
        <v>2</v>
      </c>
      <c r="J377" s="15">
        <f>IFERROR(__xludf.DUMMYFUNCTION("""COMPUTED_VALUE"""),0.0)</f>
        <v>0</v>
      </c>
      <c r="K377" s="15">
        <f>IFERROR(__xludf.DUMMYFUNCTION("""COMPUTED_VALUE"""),0.0)</f>
        <v>0</v>
      </c>
      <c r="L377" s="15"/>
    </row>
    <row r="378" ht="15.75" customHeight="1">
      <c r="A378" s="14" t="str">
        <f>IFERROR(__xludf.DUMMYFUNCTION("""COMPUTED_VALUE"""),"https://bird.co.uk/social-media/")</f>
        <v>https://bird.co.uk/social-media/</v>
      </c>
      <c r="B378" s="15" t="str">
        <f>IFERROR(__xludf.DUMMYFUNCTION("""COMPUTED_VALUE"""),"Top Social Media Agency UK - Award Winning - UK Based")</f>
        <v>Top Social Media Agency UK - Award Winning - UK Based</v>
      </c>
      <c r="C378" s="14" t="str">
        <f>IFERROR(__xludf.DUMMYFUNCTION("""COMPUTED_VALUE"""),"bird.co.uk")</f>
        <v>bird.co.uk</v>
      </c>
      <c r="D378" s="15" t="str">
        <f>IFERROR(__xludf.DUMMYFUNCTION("""COMPUTED_VALUE"""),"PRODUCT_PAGE")</f>
        <v>PRODUCT_PAGE</v>
      </c>
      <c r="E378" s="15" t="str">
        <f>IFERROR(__xludf.DUMMYFUNCTION("""COMPUTED_VALUE"""),"CORPORATE")</f>
        <v>CORPORATE</v>
      </c>
      <c r="F378" s="15" t="str">
        <f>IFERROR(__xludf.DUMMYFUNCTION("""COMPUTED_VALUE"""),"Product Page")</f>
        <v>Product Page</v>
      </c>
      <c r="G378" s="15" t="b">
        <f>IFERROR(__xludf.DUMMYFUNCTION("""COMPUTED_VALUE"""),FALSE)</f>
        <v>0</v>
      </c>
      <c r="H378" s="15" t="str">
        <f>IFERROR(__xludf.DUMMYFUNCTION("""COMPUTED_VALUE"""),"Bird Marketing")</f>
        <v>Bird Marketing</v>
      </c>
      <c r="I378" s="15">
        <f>IFERROR(__xludf.DUMMYFUNCTION("""COMPUTED_VALUE"""),2.0)</f>
        <v>2</v>
      </c>
      <c r="J378" s="15">
        <f>IFERROR(__xludf.DUMMYFUNCTION("""COMPUTED_VALUE"""),0.0)</f>
        <v>0</v>
      </c>
      <c r="K378" s="15">
        <f>IFERROR(__xludf.DUMMYFUNCTION("""COMPUTED_VALUE"""),1.0)</f>
        <v>1</v>
      </c>
      <c r="L378" s="15"/>
    </row>
    <row r="379" ht="15.75" customHeight="1">
      <c r="A379" s="14" t="str">
        <f>IFERROR(__xludf.DUMMYFUNCTION("""COMPUTED_VALUE"""),"https://brillmedia.co/resources/best-display-advertising-agencies/")</f>
        <v>https://brillmedia.co/resources/best-display-advertising-agencies/</v>
      </c>
      <c r="B379" s="15" t="str">
        <f>IFERROR(__xludf.DUMMYFUNCTION("""COMPUTED_VALUE"""),"Best Display Advertising Agencies | Brill Media")</f>
        <v>Best Display Advertising Agencies | Brill Media</v>
      </c>
      <c r="C379" s="14" t="str">
        <f>IFERROR(__xludf.DUMMYFUNCTION("""COMPUTED_VALUE"""),"brillmedia.co")</f>
        <v>brillmedia.co</v>
      </c>
      <c r="D379" s="15" t="str">
        <f>IFERROR(__xludf.DUMMYFUNCTION("""COMPUTED_VALUE"""),"LISTICLE")</f>
        <v>LISTICLE</v>
      </c>
      <c r="E379" s="15" t="str">
        <f>IFERROR(__xludf.DUMMYFUNCTION("""COMPUTED_VALUE"""),"CORPORATE")</f>
        <v>CORPORATE</v>
      </c>
      <c r="F379" s="15" t="str">
        <f>IFERROR(__xludf.DUMMYFUNCTION("""COMPUTED_VALUE"""),"Listicle")</f>
        <v>Listicle</v>
      </c>
      <c r="G379" s="15" t="b">
        <f>IFERROR(__xludf.DUMMYFUNCTION("""COMPUTED_VALUE"""),FALSE)</f>
        <v>0</v>
      </c>
      <c r="H379" s="15" t="str">
        <f>IFERROR(__xludf.DUMMYFUNCTION("""COMPUTED_VALUE"""),"WebFX")</f>
        <v>WebFX</v>
      </c>
      <c r="I379" s="15">
        <f>IFERROR(__xludf.DUMMYFUNCTION("""COMPUTED_VALUE"""),2.0)</f>
        <v>2</v>
      </c>
      <c r="J379" s="15">
        <f>IFERROR(__xludf.DUMMYFUNCTION("""COMPUTED_VALUE"""),0.0)</f>
        <v>0</v>
      </c>
      <c r="K379" s="15">
        <f>IFERROR(__xludf.DUMMYFUNCTION("""COMPUTED_VALUE"""),1.5)</f>
        <v>1.5</v>
      </c>
      <c r="L379" s="15"/>
    </row>
    <row r="380" ht="15.75" customHeight="1">
      <c r="A380" s="14" t="str">
        <f>IFERROR(__xludf.DUMMYFUNCTION("""COMPUTED_VALUE"""),"https://cellsior.com/best-analytics-agencies-uk/")</f>
        <v>https://cellsior.com/best-analytics-agencies-uk/</v>
      </c>
      <c r="B380" s="15" t="str">
        <f>IFERROR(__xludf.DUMMYFUNCTION("""COMPUTED_VALUE"""),"Best Analytics and Reporting Agencies in the UK")</f>
        <v>Best Analytics and Reporting Agencies in the UK</v>
      </c>
      <c r="C380" s="14" t="str">
        <f>IFERROR(__xludf.DUMMYFUNCTION("""COMPUTED_VALUE"""),"cellsior.com")</f>
        <v>cellsior.com</v>
      </c>
      <c r="D380" s="15" t="str">
        <f>IFERROR(__xludf.DUMMYFUNCTION("""COMPUTED_VALUE"""),"LISTICLE")</f>
        <v>LISTICLE</v>
      </c>
      <c r="E380" s="15" t="str">
        <f>IFERROR(__xludf.DUMMYFUNCTION("""COMPUTED_VALUE"""),"CORPORATE")</f>
        <v>CORPORATE</v>
      </c>
      <c r="F380" s="15" t="str">
        <f>IFERROR(__xludf.DUMMYFUNCTION("""COMPUTED_VALUE"""),"Listicle")</f>
        <v>Listicle</v>
      </c>
      <c r="G380" s="15" t="b">
        <f>IFERROR(__xludf.DUMMYFUNCTION("""COMPUTED_VALUE"""),FALSE)</f>
        <v>0</v>
      </c>
      <c r="H380" s="15" t="str">
        <f>IFERROR(__xludf.DUMMYFUNCTION("""COMPUTED_VALUE"""),"Measurelab, Anicca Digital, Screaming Frog")</f>
        <v>Measurelab, Anicca Digital, Screaming Frog</v>
      </c>
      <c r="I380" s="15">
        <f>IFERROR(__xludf.DUMMYFUNCTION("""COMPUTED_VALUE"""),2.0)</f>
        <v>2</v>
      </c>
      <c r="J380" s="15">
        <f>IFERROR(__xludf.DUMMYFUNCTION("""COMPUTED_VALUE"""),0.0)</f>
        <v>0</v>
      </c>
      <c r="K380" s="15">
        <f>IFERROR(__xludf.DUMMYFUNCTION("""COMPUTED_VALUE"""),0.0)</f>
        <v>0</v>
      </c>
      <c r="L380" s="15"/>
    </row>
    <row r="381" ht="15.75" customHeight="1">
      <c r="A381" s="14" t="str">
        <f>IFERROR(__xludf.DUMMYFUNCTION("""COMPUTED_VALUE"""),"https://www.clickintelligence.co.uk/guides/agency-lists/seo/best-aeo-seo-agencies/")</f>
        <v>https://www.clickintelligence.co.uk/guides/agency-lists/seo/best-aeo-seo-agencies/</v>
      </c>
      <c r="B381" s="15" t="str">
        <f>IFERROR(__xludf.DUMMYFUNCTION("""COMPUTED_VALUE"""),"6 Best AEO SEO Agencies and Companies (2026) — UK, US &amp;amp; Global")</f>
        <v>6 Best AEO SEO Agencies and Companies (2026) — UK, US &amp;amp; Global</v>
      </c>
      <c r="C381" s="14" t="str">
        <f>IFERROR(__xludf.DUMMYFUNCTION("""COMPUTED_VALUE"""),"clickintelligence.co.uk")</f>
        <v>clickintelligence.co.uk</v>
      </c>
      <c r="D381" s="15" t="str">
        <f>IFERROR(__xludf.DUMMYFUNCTION("""COMPUTED_VALUE"""),"LISTICLE")</f>
        <v>LISTICLE</v>
      </c>
      <c r="E381" s="15" t="str">
        <f>IFERROR(__xludf.DUMMYFUNCTION("""COMPUTED_VALUE"""),"COMPETITOR")</f>
        <v>COMPETITOR</v>
      </c>
      <c r="F381" s="15" t="str">
        <f>IFERROR(__xludf.DUMMYFUNCTION("""COMPUTED_VALUE"""),"Listicle")</f>
        <v>Listicle</v>
      </c>
      <c r="G381" s="15" t="b">
        <f>IFERROR(__xludf.DUMMYFUNCTION("""COMPUTED_VALUE"""),FALSE)</f>
        <v>0</v>
      </c>
      <c r="H381" s="15" t="str">
        <f>IFERROR(__xludf.DUMMYFUNCTION("""COMPUTED_VALUE"""),"Click Intelligence, Whitehat, The SEO Works, Found")</f>
        <v>Click Intelligence, Whitehat, The SEO Works, Found</v>
      </c>
      <c r="I381" s="15">
        <f>IFERROR(__xludf.DUMMYFUNCTION("""COMPUTED_VALUE"""),2.0)</f>
        <v>2</v>
      </c>
      <c r="J381" s="15">
        <f>IFERROR(__xludf.DUMMYFUNCTION("""COMPUTED_VALUE"""),0.0)</f>
        <v>0</v>
      </c>
      <c r="K381" s="15">
        <f>IFERROR(__xludf.DUMMYFUNCTION("""COMPUTED_VALUE"""),2.0)</f>
        <v>2</v>
      </c>
      <c r="L381" s="15"/>
    </row>
    <row r="382" ht="15.75" customHeight="1">
      <c r="A382" s="14" t="str">
        <f>IFERROR(__xludf.DUMMYFUNCTION("""COMPUTED_VALUE"""),"https://www.clickslice.co.uk/best-generative-engine-optimisation-specialist-uk/")</f>
        <v>https://www.clickslice.co.uk/best-generative-engine-optimisation-specialist-uk/</v>
      </c>
      <c r="B382" s="15" t="str">
        <f>IFERROR(__xludf.DUMMYFUNCTION("""COMPUTED_VALUE"""),"7 Best GEO (Generative Engine Optimisation) Specialists in the UK for 2025")</f>
        <v>7 Best GEO (Generative Engine Optimisation) Specialists in the UK for 2025</v>
      </c>
      <c r="C382" s="14" t="str">
        <f>IFERROR(__xludf.DUMMYFUNCTION("""COMPUTED_VALUE"""),"clickslice.co.uk")</f>
        <v>clickslice.co.uk</v>
      </c>
      <c r="D382" s="15" t="str">
        <f>IFERROR(__xludf.DUMMYFUNCTION("""COMPUTED_VALUE"""),"LISTICLE")</f>
        <v>LISTICLE</v>
      </c>
      <c r="E382" s="15" t="str">
        <f>IFERROR(__xludf.DUMMYFUNCTION("""COMPUTED_VALUE"""),"COMPETITOR")</f>
        <v>COMPETITOR</v>
      </c>
      <c r="F382" s="15" t="str">
        <f>IFERROR(__xludf.DUMMYFUNCTION("""COMPUTED_VALUE"""),"Listicle")</f>
        <v>Listicle</v>
      </c>
      <c r="G382" s="15" t="b">
        <f>IFERROR(__xludf.DUMMYFUNCTION("""COMPUTED_VALUE"""),FALSE)</f>
        <v>0</v>
      </c>
      <c r="H382" s="15" t="str">
        <f>IFERROR(__xludf.DUMMYFUNCTION("""COMPUTED_VALUE"""),"ClickSlice")</f>
        <v>ClickSlice</v>
      </c>
      <c r="I382" s="15">
        <f>IFERROR(__xludf.DUMMYFUNCTION("""COMPUTED_VALUE"""),2.0)</f>
        <v>2</v>
      </c>
      <c r="J382" s="15">
        <f>IFERROR(__xludf.DUMMYFUNCTION("""COMPUTED_VALUE"""),0.0)</f>
        <v>0</v>
      </c>
      <c r="K382" s="15">
        <f>IFERROR(__xludf.DUMMYFUNCTION("""COMPUTED_VALUE"""),0.0)</f>
        <v>0</v>
      </c>
      <c r="L382" s="15"/>
    </row>
    <row r="383" ht="15.75" customHeight="1">
      <c r="A383" s="14" t="str">
        <f>IFERROR(__xludf.DUMMYFUNCTION("""COMPUTED_VALUE"""),"https://clutch.co/agencies")</f>
        <v>https://clutch.co/agencies</v>
      </c>
      <c r="B383" s="15" t="str">
        <f>IFERROR(__xludf.DUMMYFUNCTION("""COMPUTED_VALUE"""),"Top Advertising Agencies &amp;amp; Marketing Companies - Jul 2026 Rankings | Clutch.co")</f>
        <v>Top Advertising Agencies &amp;amp; Marketing Companies - Jul 2026 Rankings | Clutch.co</v>
      </c>
      <c r="C383" s="14" t="str">
        <f>IFERROR(__xludf.DUMMYFUNCTION("""COMPUTED_VALUE"""),"clutch.co")</f>
        <v>clutch.co</v>
      </c>
      <c r="D383" s="15" t="str">
        <f>IFERROR(__xludf.DUMMYFUNCTION("""COMPUTED_VALUE"""),"CATEGORY_PAGE")</f>
        <v>CATEGORY_PAGE</v>
      </c>
      <c r="E383" s="15" t="str">
        <f>IFERROR(__xludf.DUMMYFUNCTION("""COMPUTED_VALUE"""),"CORPORATE")</f>
        <v>CORPORATE</v>
      </c>
      <c r="F383" s="15" t="str">
        <f>IFERROR(__xludf.DUMMYFUNCTION("""COMPUTED_VALUE"""),"Category Page")</f>
        <v>Category Page</v>
      </c>
      <c r="G383" s="15" t="b">
        <f>IFERROR(__xludf.DUMMYFUNCTION("""COMPUTED_VALUE"""),FALSE)</f>
        <v>0</v>
      </c>
      <c r="H383" s="15" t="str">
        <f>IFERROR(__xludf.DUMMYFUNCTION("""COMPUTED_VALUE"""),"Power Digital, Ignite Visibility, Favoured, Ninja Promo, WebFX, Chello, ROAST, M3.agency, The SEO Works")</f>
        <v>Power Digital, Ignite Visibility, Favoured, Ninja Promo, WebFX, Chello, ROAST, M3.agency, The SEO Works</v>
      </c>
      <c r="I383" s="15">
        <f>IFERROR(__xludf.DUMMYFUNCTION("""COMPUTED_VALUE"""),2.0)</f>
        <v>2</v>
      </c>
      <c r="J383" s="15">
        <f>IFERROR(__xludf.DUMMYFUNCTION("""COMPUTED_VALUE"""),0.0)</f>
        <v>0</v>
      </c>
      <c r="K383" s="15">
        <f>IFERROR(__xludf.DUMMYFUNCTION("""COMPUTED_VALUE"""),0.0)</f>
        <v>0</v>
      </c>
      <c r="L383" s="15"/>
    </row>
    <row r="384" ht="15.75" customHeight="1">
      <c r="A384" s="14" t="str">
        <f>IFERROR(__xludf.DUMMYFUNCTION("""COMPUTED_VALUE"""),"https://clutch.co/agencies/market-research/shopper-marketing/uk")</f>
        <v>https://clutch.co/agencies/market-research/shopper-marketing/uk</v>
      </c>
      <c r="B384" s="15" t="str">
        <f>IFERROR(__xludf.DUMMYFUNCTION("""COMPUTED_VALUE"""),"Top Shopper Marketing Agencies in the United Kingdom - Jul 2026 Rankings | Clutch.co")</f>
        <v>Top Shopper Marketing Agencies in the United Kingdom - Jul 2026 Rankings | Clutch.co</v>
      </c>
      <c r="C384" s="14" t="str">
        <f>IFERROR(__xludf.DUMMYFUNCTION("""COMPUTED_VALUE"""),"clutch.co")</f>
        <v>clutch.co</v>
      </c>
      <c r="D384" s="15" t="str">
        <f>IFERROR(__xludf.DUMMYFUNCTION("""COMPUTED_VALUE"""),"PROFILE")</f>
        <v>PROFILE</v>
      </c>
      <c r="E384" s="15" t="str">
        <f>IFERROR(__xludf.DUMMYFUNCTION("""COMPUTED_VALUE"""),"CORPORATE")</f>
        <v>CORPORATE</v>
      </c>
      <c r="F384" s="15" t="str">
        <f>IFERROR(__xludf.DUMMYFUNCTION("""COMPUTED_VALUE"""),"Profile")</f>
        <v>Profile</v>
      </c>
      <c r="G384" s="15" t="b">
        <f>IFERROR(__xludf.DUMMYFUNCTION("""COMPUTED_VALUE"""),FALSE)</f>
        <v>0</v>
      </c>
      <c r="H384" s="15"/>
      <c r="I384" s="15">
        <f>IFERROR(__xludf.DUMMYFUNCTION("""COMPUTED_VALUE"""),2.0)</f>
        <v>2</v>
      </c>
      <c r="J384" s="15">
        <f>IFERROR(__xludf.DUMMYFUNCTION("""COMPUTED_VALUE"""),0.0)</f>
        <v>0</v>
      </c>
      <c r="K384" s="15">
        <f>IFERROR(__xludf.DUMMYFUNCTION("""COMPUTED_VALUE"""),0.0)</f>
        <v>0</v>
      </c>
      <c r="L384" s="15"/>
    </row>
    <row r="385" ht="15.75" customHeight="1">
      <c r="A385" s="14" t="str">
        <f>IFERROR(__xludf.DUMMYFUNCTION("""COMPUTED_VALUE"""),"https://clutch.co/agencies/ppc/display/uk/england")</f>
        <v>https://clutch.co/agencies/ppc/display/uk/england</v>
      </c>
      <c r="B385" s="15" t="str">
        <f>IFERROR(__xludf.DUMMYFUNCTION("""COMPUTED_VALUE"""),"Top Display Advertising Agencies - Jul 2026 Rankings \| Clutch.co")</f>
        <v>Top Display Advertising Agencies - Jul 2026 Rankings \| Clutch.co</v>
      </c>
      <c r="C385" s="14" t="str">
        <f>IFERROR(__xludf.DUMMYFUNCTION("""COMPUTED_VALUE"""),"clutch.co")</f>
        <v>clutch.co</v>
      </c>
      <c r="D385" s="15" t="str">
        <f>IFERROR(__xludf.DUMMYFUNCTION("""COMPUTED_VALUE"""),"CATEGORY_PAGE")</f>
        <v>CATEGORY_PAGE</v>
      </c>
      <c r="E385" s="15" t="str">
        <f>IFERROR(__xludf.DUMMYFUNCTION("""COMPUTED_VALUE"""),"CORPORATE")</f>
        <v>CORPORATE</v>
      </c>
      <c r="F385" s="15" t="str">
        <f>IFERROR(__xludf.DUMMYFUNCTION("""COMPUTED_VALUE"""),"Category Page")</f>
        <v>Category Page</v>
      </c>
      <c r="G385" s="15" t="b">
        <f>IFERROR(__xludf.DUMMYFUNCTION("""COMPUTED_VALUE"""),FALSE)</f>
        <v>0</v>
      </c>
      <c r="H385" s="15" t="str">
        <f>IFERROR(__xludf.DUMMYFUNCTION("""COMPUTED_VALUE"""),"Ninja Promo, Soap Media, Found, The SEO Works, GA Agency")</f>
        <v>Ninja Promo, Soap Media, Found, The SEO Works, GA Agency</v>
      </c>
      <c r="I385" s="15">
        <f>IFERROR(__xludf.DUMMYFUNCTION("""COMPUTED_VALUE"""),2.0)</f>
        <v>2</v>
      </c>
      <c r="J385" s="15">
        <f>IFERROR(__xludf.DUMMYFUNCTION("""COMPUTED_VALUE"""),0.0)</f>
        <v>0</v>
      </c>
      <c r="K385" s="15">
        <f>IFERROR(__xludf.DUMMYFUNCTION("""COMPUTED_VALUE"""),0.5)</f>
        <v>0.5</v>
      </c>
      <c r="L385" s="15"/>
    </row>
    <row r="386" ht="15.75" customHeight="1">
      <c r="A386" s="14" t="str">
        <f>IFERROR(__xludf.DUMMYFUNCTION("""COMPUTED_VALUE"""),"https://clutch.co/agencies/social-media-marketing/influencer/uk")</f>
        <v>https://clutch.co/agencies/social-media-marketing/influencer/uk</v>
      </c>
      <c r="B386" s="15" t="str">
        <f>IFERROR(__xludf.DUMMYFUNCTION("""COMPUTED_VALUE"""),"Top Influencer Advertising Agencies in the United Kingdom - Jul 2026 Rankings \| Clutch.co")</f>
        <v>Top Influencer Advertising Agencies in the United Kingdom - Jul 2026 Rankings \| Clutch.co</v>
      </c>
      <c r="C386" s="14" t="str">
        <f>IFERROR(__xludf.DUMMYFUNCTION("""COMPUTED_VALUE"""),"clutch.co")</f>
        <v>clutch.co</v>
      </c>
      <c r="D386" s="15" t="str">
        <f>IFERROR(__xludf.DUMMYFUNCTION("""COMPUTED_VALUE"""),"PROFILE")</f>
        <v>PROFILE</v>
      </c>
      <c r="E386" s="15" t="str">
        <f>IFERROR(__xludf.DUMMYFUNCTION("""COMPUTED_VALUE"""),"CORPORATE")</f>
        <v>CORPORATE</v>
      </c>
      <c r="F386" s="15" t="str">
        <f>IFERROR(__xludf.DUMMYFUNCTION("""COMPUTED_VALUE"""),"Profile")</f>
        <v>Profile</v>
      </c>
      <c r="G386" s="15" t="b">
        <f>IFERROR(__xludf.DUMMYFUNCTION("""COMPUTED_VALUE"""),FALSE)</f>
        <v>0</v>
      </c>
      <c r="H386" s="15" t="str">
        <f>IFERROR(__xludf.DUMMYFUNCTION("""COMPUTED_VALUE"""),"Ninja Promo, Favoured, Found, Momentum, Propeller, Impression")</f>
        <v>Ninja Promo, Favoured, Found, Momentum, Propeller, Impression</v>
      </c>
      <c r="I386" s="15">
        <f>IFERROR(__xludf.DUMMYFUNCTION("""COMPUTED_VALUE"""),2.0)</f>
        <v>2</v>
      </c>
      <c r="J386" s="15">
        <f>IFERROR(__xludf.DUMMYFUNCTION("""COMPUTED_VALUE"""),0.0)</f>
        <v>0</v>
      </c>
      <c r="K386" s="15">
        <f>IFERROR(__xludf.DUMMYFUNCTION("""COMPUTED_VALUE"""),0.0)</f>
        <v>0</v>
      </c>
      <c r="L386" s="15"/>
    </row>
    <row r="387" ht="15.75" customHeight="1">
      <c r="A387" s="14" t="str">
        <f>IFERROR(__xludf.DUMMYFUNCTION("""COMPUTED_VALUE"""),"https://clutch.co/consulting/ai/uk?page=3")</f>
        <v>https://clutch.co/consulting/ai/uk?page=3</v>
      </c>
      <c r="B387" s="15" t="str">
        <f>IFERROR(__xludf.DUMMYFUNCTION("""COMPUTED_VALUE"""),"Page 3 - Top AI Consultants in the United Kingdom - Jul 2026 Rankings \| Clutch.co")</f>
        <v>Page 3 - Top AI Consultants in the United Kingdom - Jul 2026 Rankings \| Clutch.co</v>
      </c>
      <c r="C387" s="14" t="str">
        <f>IFERROR(__xludf.DUMMYFUNCTION("""COMPUTED_VALUE"""),"clutch.co")</f>
        <v>clutch.co</v>
      </c>
      <c r="D387" s="15" t="str">
        <f>IFERROR(__xludf.DUMMYFUNCTION("""COMPUTED_VALUE"""),"CATEGORY_PAGE")</f>
        <v>CATEGORY_PAGE</v>
      </c>
      <c r="E387" s="15" t="str">
        <f>IFERROR(__xludf.DUMMYFUNCTION("""COMPUTED_VALUE"""),"CORPORATE")</f>
        <v>CORPORATE</v>
      </c>
      <c r="F387" s="15" t="str">
        <f>IFERROR(__xludf.DUMMYFUNCTION("""COMPUTED_VALUE"""),"Category Page")</f>
        <v>Category Page</v>
      </c>
      <c r="G387" s="15" t="b">
        <f>IFERROR(__xludf.DUMMYFUNCTION("""COMPUTED_VALUE"""),FALSE)</f>
        <v>0</v>
      </c>
      <c r="H387" s="15" t="str">
        <f>IFERROR(__xludf.DUMMYFUNCTION("""COMPUTED_VALUE"""),"Found, Impression")</f>
        <v>Found, Impression</v>
      </c>
      <c r="I387" s="15">
        <f>IFERROR(__xludf.DUMMYFUNCTION("""COMPUTED_VALUE"""),2.0)</f>
        <v>2</v>
      </c>
      <c r="J387" s="15">
        <f>IFERROR(__xludf.DUMMYFUNCTION("""COMPUTED_VALUE"""),0.0)</f>
        <v>0</v>
      </c>
      <c r="K387" s="15">
        <f>IFERROR(__xludf.DUMMYFUNCTION("""COMPUTED_VALUE"""),0.0)</f>
        <v>0</v>
      </c>
      <c r="L387" s="15"/>
    </row>
    <row r="388" ht="15.75" customHeight="1">
      <c r="A388" s="14" t="str">
        <f>IFERROR(__xludf.DUMMYFUNCTION("""COMPUTED_VALUE"""),"https://www.designrush.com/agency/digital-marketing/artificial-intelligence")</f>
        <v>https://www.designrush.com/agency/digital-marketing/artificial-intelligence</v>
      </c>
      <c r="B388" s="15" t="str">
        <f>IFERROR(__xludf.DUMMYFUNCTION("""COMPUTED_VALUE"""),"Top AI Marketing Companies in 2026")</f>
        <v>Top AI Marketing Companies in 2026</v>
      </c>
      <c r="C388" s="14" t="str">
        <f>IFERROR(__xludf.DUMMYFUNCTION("""COMPUTED_VALUE"""),"designrush.com")</f>
        <v>designrush.com</v>
      </c>
      <c r="D388" s="15" t="str">
        <f>IFERROR(__xludf.DUMMYFUNCTION("""COMPUTED_VALUE"""),"LISTICLE")</f>
        <v>LISTICLE</v>
      </c>
      <c r="E388" s="15" t="str">
        <f>IFERROR(__xludf.DUMMYFUNCTION("""COMPUTED_VALUE"""),"CORPORATE")</f>
        <v>CORPORATE</v>
      </c>
      <c r="F388" s="15" t="str">
        <f>IFERROR(__xludf.DUMMYFUNCTION("""COMPUTED_VALUE"""),"Listicle")</f>
        <v>Listicle</v>
      </c>
      <c r="G388" s="15" t="b">
        <f>IFERROR(__xludf.DUMMYFUNCTION("""COMPUTED_VALUE"""),FALSE)</f>
        <v>0</v>
      </c>
      <c r="H388" s="15" t="str">
        <f>IFERROR(__xludf.DUMMYFUNCTION("""COMPUTED_VALUE"""),"Single Grain, Jellyfish, Push, Huge, Found, Disruptive Advertising, Ninja Promo, PwC, Impression, WebFX")</f>
        <v>Single Grain, Jellyfish, Push, Huge, Found, Disruptive Advertising, Ninja Promo, PwC, Impression, WebFX</v>
      </c>
      <c r="I388" s="15">
        <f>IFERROR(__xludf.DUMMYFUNCTION("""COMPUTED_VALUE"""),2.0)</f>
        <v>2</v>
      </c>
      <c r="J388" s="15">
        <f>IFERROR(__xludf.DUMMYFUNCTION("""COMPUTED_VALUE"""),0.0)</f>
        <v>0</v>
      </c>
      <c r="K388" s="15">
        <f>IFERROR(__xludf.DUMMYFUNCTION("""COMPUTED_VALUE"""),0.0)</f>
        <v>0</v>
      </c>
      <c r="L388" s="15"/>
    </row>
    <row r="389" ht="15.75" customHeight="1">
      <c r="A389" s="14" t="str">
        <f>IFERROR(__xludf.DUMMYFUNCTION("""COMPUTED_VALUE"""),"https://www.designrush.com/agency/digital-marketing/performance-marketing-agencies")</f>
        <v>https://www.designrush.com/agency/digital-marketing/performance-marketing-agencies</v>
      </c>
      <c r="B389" s="15" t="str">
        <f>IFERROR(__xludf.DUMMYFUNCTION("""COMPUTED_VALUE"""),"Top Performance Marketing Agencies in 2026")</f>
        <v>Top Performance Marketing Agencies in 2026</v>
      </c>
      <c r="C389" s="14" t="str">
        <f>IFERROR(__xludf.DUMMYFUNCTION("""COMPUTED_VALUE"""),"designrush.com")</f>
        <v>designrush.com</v>
      </c>
      <c r="D389" s="15" t="str">
        <f>IFERROR(__xludf.DUMMYFUNCTION("""COMPUTED_VALUE"""),"LISTICLE")</f>
        <v>LISTICLE</v>
      </c>
      <c r="E389" s="15" t="str">
        <f>IFERROR(__xludf.DUMMYFUNCTION("""COMPUTED_VALUE"""),"CORPORATE")</f>
        <v>CORPORATE</v>
      </c>
      <c r="F389" s="15" t="str">
        <f>IFERROR(__xludf.DUMMYFUNCTION("""COMPUTED_VALUE"""),"Listicle")</f>
        <v>Listicle</v>
      </c>
      <c r="G389" s="15" t="b">
        <f>IFERROR(__xludf.DUMMYFUNCTION("""COMPUTED_VALUE"""),FALSE)</f>
        <v>0</v>
      </c>
      <c r="H389" s="15" t="str">
        <f>IFERROR(__xludf.DUMMYFUNCTION("""COMPUTED_VALUE"""),"Wpromote, Polaris, NoGood, Power Digital, Found, Huge, Push, Disruptive Advertising, Impression, PwC, Propeller, Dept")</f>
        <v>Wpromote, Polaris, NoGood, Power Digital, Found, Huge, Push, Disruptive Advertising, Impression, PwC, Propeller, Dept</v>
      </c>
      <c r="I389" s="15">
        <f>IFERROR(__xludf.DUMMYFUNCTION("""COMPUTED_VALUE"""),2.0)</f>
        <v>2</v>
      </c>
      <c r="J389" s="15">
        <f>IFERROR(__xludf.DUMMYFUNCTION("""COMPUTED_VALUE"""),0.0)</f>
        <v>0</v>
      </c>
      <c r="K389" s="15">
        <f>IFERROR(__xludf.DUMMYFUNCTION("""COMPUTED_VALUE"""),0.0)</f>
        <v>0</v>
      </c>
      <c r="L389" s="15"/>
    </row>
    <row r="390" ht="15.75" customHeight="1">
      <c r="A390" s="14" t="str">
        <f>IFERROR(__xludf.DUMMYFUNCTION("""COMPUTED_VALUE"""),"https://www.designrush.com/agency/paid-media-pay-per-click/display-advertising-agency")</f>
        <v>https://www.designrush.com/agency/paid-media-pay-per-click/display-advertising-agency</v>
      </c>
      <c r="B390" s="15" t="str">
        <f>IFERROR(__xludf.DUMMYFUNCTION("""COMPUTED_VALUE"""),"Top Display Advertising Agencies in 2026")</f>
        <v>Top Display Advertising Agencies in 2026</v>
      </c>
      <c r="C390" s="14" t="str">
        <f>IFERROR(__xludf.DUMMYFUNCTION("""COMPUTED_VALUE"""),"designrush.com")</f>
        <v>designrush.com</v>
      </c>
      <c r="D390" s="15" t="str">
        <f>IFERROR(__xludf.DUMMYFUNCTION("""COMPUTED_VALUE"""),"LISTICLE")</f>
        <v>LISTICLE</v>
      </c>
      <c r="E390" s="15" t="str">
        <f>IFERROR(__xludf.DUMMYFUNCTION("""COMPUTED_VALUE"""),"CORPORATE")</f>
        <v>CORPORATE</v>
      </c>
      <c r="F390" s="15" t="str">
        <f>IFERROR(__xludf.DUMMYFUNCTION("""COMPUTED_VALUE"""),"Listicle")</f>
        <v>Listicle</v>
      </c>
      <c r="G390" s="15" t="b">
        <f>IFERROR(__xludf.DUMMYFUNCTION("""COMPUTED_VALUE"""),FALSE)</f>
        <v>0</v>
      </c>
      <c r="H390" s="15" t="str">
        <f>IFERROR(__xludf.DUMMYFUNCTION("""COMPUTED_VALUE"""),"Push, Huge, Disruptive Advertising, Bird Marketing, Impression, WebFX, Found")</f>
        <v>Push, Huge, Disruptive Advertising, Bird Marketing, Impression, WebFX, Found</v>
      </c>
      <c r="I390" s="15">
        <f>IFERROR(__xludf.DUMMYFUNCTION("""COMPUTED_VALUE"""),2.0)</f>
        <v>2</v>
      </c>
      <c r="J390" s="15">
        <f>IFERROR(__xludf.DUMMYFUNCTION("""COMPUTED_VALUE"""),0.0)</f>
        <v>0</v>
      </c>
      <c r="K390" s="15">
        <f>IFERROR(__xludf.DUMMYFUNCTION("""COMPUTED_VALUE"""),1.0)</f>
        <v>1</v>
      </c>
      <c r="L390" s="15"/>
    </row>
    <row r="391" ht="15.75" customHeight="1">
      <c r="A391" s="14" t="str">
        <f>IFERROR(__xludf.DUMMYFUNCTION("""COMPUTED_VALUE"""),"https://digiscorp.com/best-ai-consulting-firms-in-london-top-ai-experts-for-your-business/")</f>
        <v>https://digiscorp.com/best-ai-consulting-firms-in-london-top-ai-experts-for-your-business/</v>
      </c>
      <c r="B391" s="15" t="str">
        <f>IFERROR(__xludf.DUMMYFUNCTION("""COMPUTED_VALUE"""),"Best AI Consulting Firms in London")</f>
        <v>Best AI Consulting Firms in London</v>
      </c>
      <c r="C391" s="14" t="str">
        <f>IFERROR(__xludf.DUMMYFUNCTION("""COMPUTED_VALUE"""),"digiscorp.com")</f>
        <v>digiscorp.com</v>
      </c>
      <c r="D391" s="15" t="str">
        <f>IFERROR(__xludf.DUMMYFUNCTION("""COMPUTED_VALUE"""),"LISTICLE")</f>
        <v>LISTICLE</v>
      </c>
      <c r="E391" s="15" t="str">
        <f>IFERROR(__xludf.DUMMYFUNCTION("""COMPUTED_VALUE"""),"CORPORATE")</f>
        <v>CORPORATE</v>
      </c>
      <c r="F391" s="15" t="str">
        <f>IFERROR(__xludf.DUMMYFUNCTION("""COMPUTED_VALUE"""),"Listicle")</f>
        <v>Listicle</v>
      </c>
      <c r="G391" s="15" t="b">
        <f>IFERROR(__xludf.DUMMYFUNCTION("""COMPUTED_VALUE"""),FALSE)</f>
        <v>0</v>
      </c>
      <c r="H391" s="15" t="str">
        <f>IFERROR(__xludf.DUMMYFUNCTION("""COMPUTED_VALUE"""),"QuantumBlack")</f>
        <v>QuantumBlack</v>
      </c>
      <c r="I391" s="15">
        <f>IFERROR(__xludf.DUMMYFUNCTION("""COMPUTED_VALUE"""),2.0)</f>
        <v>2</v>
      </c>
      <c r="J391" s="15">
        <f>IFERROR(__xludf.DUMMYFUNCTION("""COMPUTED_VALUE"""),0.0)</f>
        <v>0</v>
      </c>
      <c r="K391" s="15">
        <f>IFERROR(__xludf.DUMMYFUNCTION("""COMPUTED_VALUE"""),0.5)</f>
        <v>0.5</v>
      </c>
      <c r="L391" s="15"/>
    </row>
    <row r="392" ht="15.75" customHeight="1">
      <c r="A392" s="14" t="str">
        <f>IFERROR(__xludf.DUMMYFUNCTION("""COMPUTED_VALUE"""),"https://www.digitalagencyleaders.net/blog/best-ai-seo-agencies-uk")</f>
        <v>https://www.digitalagencyleaders.net/blog/best-ai-seo-agencies-uk</v>
      </c>
      <c r="B392" s="15" t="str">
        <f>IFERROR(__xludf.DUMMYFUNCTION("""COMPUTED_VALUE"""),"The 15 Best AI SEO Agencies in the UK (2026): GEO &amp;amp; AEO Specialists Ranked — Digital Agency Leaders Blog")</f>
        <v>The 15 Best AI SEO Agencies in the UK (2026): GEO &amp;amp; AEO Specialists Ranked — Digital Agency Leaders Blog</v>
      </c>
      <c r="C392" s="14" t="str">
        <f>IFERROR(__xludf.DUMMYFUNCTION("""COMPUTED_VALUE"""),"digitalagencyleaders.net")</f>
        <v>digitalagencyleaders.net</v>
      </c>
      <c r="D392" s="15" t="str">
        <f>IFERROR(__xludf.DUMMYFUNCTION("""COMPUTED_VALUE"""),"LISTICLE")</f>
        <v>LISTICLE</v>
      </c>
      <c r="E392" s="15" t="str">
        <f>IFERROR(__xludf.DUMMYFUNCTION("""COMPUTED_VALUE"""),"REFERENCE")</f>
        <v>REFERENCE</v>
      </c>
      <c r="F392" s="15" t="str">
        <f>IFERROR(__xludf.DUMMYFUNCTION("""COMPUTED_VALUE"""),"Listicle")</f>
        <v>Listicle</v>
      </c>
      <c r="G392" s="15" t="b">
        <f>IFERROR(__xludf.DUMMYFUNCTION("""COMPUTED_VALUE"""),FALSE)</f>
        <v>0</v>
      </c>
      <c r="H392" s="15" t="str">
        <f>IFERROR(__xludf.DUMMYFUNCTION("""COMPUTED_VALUE"""),"The SEO Works, Momentum, Found, Measured, Blue Array, Rise at Seven, Exposure Ninja, Impression, Passion Digital, Polaris, ClickSlice, Panovista Marketing, Hallam")</f>
        <v>The SEO Works, Momentum, Found, Measured, Blue Array, Rise at Seven, Exposure Ninja, Impression, Passion Digital, Polaris, ClickSlice, Panovista Marketing, Hallam</v>
      </c>
      <c r="I392" s="15">
        <f>IFERROR(__xludf.DUMMYFUNCTION("""COMPUTED_VALUE"""),2.0)</f>
        <v>2</v>
      </c>
      <c r="J392" s="15">
        <f>IFERROR(__xludf.DUMMYFUNCTION("""COMPUTED_VALUE"""),0.0)</f>
        <v>0</v>
      </c>
      <c r="K392" s="15">
        <f>IFERROR(__xludf.DUMMYFUNCTION("""COMPUTED_VALUE"""),3.0)</f>
        <v>3</v>
      </c>
      <c r="L392" s="15"/>
    </row>
    <row r="393" ht="15.75" customHeight="1">
      <c r="A393" s="14" t="str">
        <f>IFERROR(__xludf.DUMMYFUNCTION("""COMPUTED_VALUE"""),"https://digitalagencynetwork.com/agencies/uk/online-advertising/")</f>
        <v>https://digitalagencynetwork.com/agencies/uk/online-advertising/</v>
      </c>
      <c r="B393" s="15" t="str">
        <f>IFERROR(__xludf.DUMMYFUNCTION("""COMPUTED_VALUE"""),"Best Online Advertising Agencies in UK")</f>
        <v>Best Online Advertising Agencies in UK</v>
      </c>
      <c r="C393" s="14" t="str">
        <f>IFERROR(__xludf.DUMMYFUNCTION("""COMPUTED_VALUE"""),"digitalagencynetwork.com")</f>
        <v>digitalagencynetwork.com</v>
      </c>
      <c r="D393" s="15" t="str">
        <f>IFERROR(__xludf.DUMMYFUNCTION("""COMPUTED_VALUE"""),"LISTICLE")</f>
        <v>LISTICLE</v>
      </c>
      <c r="E393" s="15" t="str">
        <f>IFERROR(__xludf.DUMMYFUNCTION("""COMPUTED_VALUE"""),"REFERENCE")</f>
        <v>REFERENCE</v>
      </c>
      <c r="F393" s="15" t="str">
        <f>IFERROR(__xludf.DUMMYFUNCTION("""COMPUTED_VALUE"""),"Listicle")</f>
        <v>Listicle</v>
      </c>
      <c r="G393" s="15" t="b">
        <f>IFERROR(__xludf.DUMMYFUNCTION("""COMPUTED_VALUE"""),FALSE)</f>
        <v>0</v>
      </c>
      <c r="H393" s="15" t="str">
        <f>IFERROR(__xludf.DUMMYFUNCTION("""COMPUTED_VALUE"""),"Favoured, GA Agency, Measured, Propeller, M3.agency, Bird Marketing, Passion Digital")</f>
        <v>Favoured, GA Agency, Measured, Propeller, M3.agency, Bird Marketing, Passion Digital</v>
      </c>
      <c r="I393" s="15">
        <f>IFERROR(__xludf.DUMMYFUNCTION("""COMPUTED_VALUE"""),2.0)</f>
        <v>2</v>
      </c>
      <c r="J393" s="15">
        <f>IFERROR(__xludf.DUMMYFUNCTION("""COMPUTED_VALUE"""),0.0)</f>
        <v>0</v>
      </c>
      <c r="K393" s="15">
        <f>IFERROR(__xludf.DUMMYFUNCTION("""COMPUTED_VALUE"""),0.5)</f>
        <v>0.5</v>
      </c>
      <c r="L393" s="15"/>
    </row>
    <row r="394" ht="15.75" customHeight="1">
      <c r="A394" s="14" t="str">
        <f>IFERROR(__xludf.DUMMYFUNCTION("""COMPUTED_VALUE"""),"https://digitalagencynetwork.com/agencies/usa/ai-marketing/")</f>
        <v>https://digitalagencynetwork.com/agencies/usa/ai-marketing/</v>
      </c>
      <c r="B394" s="15" t="str">
        <f>IFERROR(__xludf.DUMMYFUNCTION("""COMPUTED_VALUE"""),"Top AI Marketing Agencies in USA (2026)")</f>
        <v>Top AI Marketing Agencies in USA (2026)</v>
      </c>
      <c r="C394" s="14" t="str">
        <f>IFERROR(__xludf.DUMMYFUNCTION("""COMPUTED_VALUE"""),"digitalagencynetwork.com")</f>
        <v>digitalagencynetwork.com</v>
      </c>
      <c r="D394" s="15" t="str">
        <f>IFERROR(__xludf.DUMMYFUNCTION("""COMPUTED_VALUE"""),"PROFILE")</f>
        <v>PROFILE</v>
      </c>
      <c r="E394" s="15" t="str">
        <f>IFERROR(__xludf.DUMMYFUNCTION("""COMPUTED_VALUE"""),"REFERENCE")</f>
        <v>REFERENCE</v>
      </c>
      <c r="F394" s="15" t="str">
        <f>IFERROR(__xludf.DUMMYFUNCTION("""COMPUTED_VALUE"""),"Profile")</f>
        <v>Profile</v>
      </c>
      <c r="G394" s="15" t="b">
        <f>IFERROR(__xludf.DUMMYFUNCTION("""COMPUTED_VALUE"""),FALSE)</f>
        <v>0</v>
      </c>
      <c r="H394" s="15" t="str">
        <f>IFERROR(__xludf.DUMMYFUNCTION("""COMPUTED_VALUE"""),"Favoured, NoGood, Ignite Visibility, Propeller, Ninja Promo, Bird Marketing, ROAST, Found, Impression")</f>
        <v>Favoured, NoGood, Ignite Visibility, Propeller, Ninja Promo, Bird Marketing, ROAST, Found, Impression</v>
      </c>
      <c r="I394" s="15">
        <f>IFERROR(__xludf.DUMMYFUNCTION("""COMPUTED_VALUE"""),2.0)</f>
        <v>2</v>
      </c>
      <c r="J394" s="15">
        <f>IFERROR(__xludf.DUMMYFUNCTION("""COMPUTED_VALUE"""),0.0)</f>
        <v>0</v>
      </c>
      <c r="K394" s="15">
        <f>IFERROR(__xludf.DUMMYFUNCTION("""COMPUTED_VALUE"""),0.0)</f>
        <v>0</v>
      </c>
      <c r="L394" s="15"/>
    </row>
    <row r="395" ht="15.75" customHeight="1">
      <c r="A395" s="14" t="str">
        <f>IFERROR(__xludf.DUMMYFUNCTION("""COMPUTED_VALUE"""),"https://digitalmarketingcompanyinlondon.com/best-10-paid-media-agencies-in-london-2025/")</f>
        <v>https://digitalmarketingcompanyinlondon.com/best-10-paid-media-agencies-in-london-2025/</v>
      </c>
      <c r="B395" s="15" t="str">
        <f>IFERROR(__xludf.DUMMYFUNCTION("""COMPUTED_VALUE"""),"Best 10 Paid Media Agencies in London (2025) – Digital Marketing Company in London")</f>
        <v>Best 10 Paid Media Agencies in London (2025) – Digital Marketing Company in London</v>
      </c>
      <c r="C395" s="14" t="str">
        <f>IFERROR(__xludf.DUMMYFUNCTION("""COMPUTED_VALUE"""),"digitalmarketingcompanyinlondon.com")</f>
        <v>digitalmarketingcompanyinlondon.com</v>
      </c>
      <c r="D395" s="15" t="str">
        <f>IFERROR(__xludf.DUMMYFUNCTION("""COMPUTED_VALUE"""),"LISTICLE")</f>
        <v>LISTICLE</v>
      </c>
      <c r="E395" s="15" t="str">
        <f>IFERROR(__xludf.DUMMYFUNCTION("""COMPUTED_VALUE"""),"CORPORATE")</f>
        <v>CORPORATE</v>
      </c>
      <c r="F395" s="15" t="str">
        <f>IFERROR(__xludf.DUMMYFUNCTION("""COMPUTED_VALUE"""),"Listicle")</f>
        <v>Listicle</v>
      </c>
      <c r="G395" s="15" t="b">
        <f>IFERROR(__xludf.DUMMYFUNCTION("""COMPUTED_VALUE"""),FALSE)</f>
        <v>0</v>
      </c>
      <c r="H395" s="15" t="str">
        <f>IFERROR(__xludf.DUMMYFUNCTION("""COMPUTED_VALUE"""),"Found, ROAST, Croud, Jellyfish, Favoured, The Good Marketer, Impression, Passion Digital")</f>
        <v>Found, ROAST, Croud, Jellyfish, Favoured, The Good Marketer, Impression, Passion Digital</v>
      </c>
      <c r="I395" s="15">
        <f>IFERROR(__xludf.DUMMYFUNCTION("""COMPUTED_VALUE"""),2.0)</f>
        <v>2</v>
      </c>
      <c r="J395" s="15">
        <f>IFERROR(__xludf.DUMMYFUNCTION("""COMPUTED_VALUE"""),0.0)</f>
        <v>0</v>
      </c>
      <c r="K395" s="15">
        <f>IFERROR(__xludf.DUMMYFUNCTION("""COMPUTED_VALUE"""),0.0)</f>
        <v>0</v>
      </c>
      <c r="L395" s="15"/>
    </row>
    <row r="396" ht="15.75" customHeight="1">
      <c r="A396" s="14" t="str">
        <f>IFERROR(__xludf.DUMMYFUNCTION("""COMPUTED_VALUE"""),"https://directiveconsulting.com/blog/top-performance-marketing-agencies/")</f>
        <v>https://directiveconsulting.com/blog/top-performance-marketing-agencies/</v>
      </c>
      <c r="B396" s="15" t="str">
        <f>IFERROR(__xludf.DUMMYFUNCTION("""COMPUTED_VALUE"""),"18 Best Performance Marketing Agencies For B2B - Directive")</f>
        <v>18 Best Performance Marketing Agencies For B2B - Directive</v>
      </c>
      <c r="C396" s="14" t="str">
        <f>IFERROR(__xludf.DUMMYFUNCTION("""COMPUTED_VALUE"""),"directiveconsulting.com")</f>
        <v>directiveconsulting.com</v>
      </c>
      <c r="D396" s="15" t="str">
        <f>IFERROR(__xludf.DUMMYFUNCTION("""COMPUTED_VALUE"""),"LISTICLE")</f>
        <v>LISTICLE</v>
      </c>
      <c r="E396" s="15" t="str">
        <f>IFERROR(__xludf.DUMMYFUNCTION("""COMPUTED_VALUE"""),"COMPETITOR")</f>
        <v>COMPETITOR</v>
      </c>
      <c r="F396" s="15" t="str">
        <f>IFERROR(__xludf.DUMMYFUNCTION("""COMPUTED_VALUE"""),"Listicle")</f>
        <v>Listicle</v>
      </c>
      <c r="G396" s="15" t="b">
        <f>IFERROR(__xludf.DUMMYFUNCTION("""COMPUTED_VALUE"""),FALSE)</f>
        <v>0</v>
      </c>
      <c r="H396"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396" s="15">
        <f>IFERROR(__xludf.DUMMYFUNCTION("""COMPUTED_VALUE"""),2.0)</f>
        <v>2</v>
      </c>
      <c r="J396" s="15">
        <f>IFERROR(__xludf.DUMMYFUNCTION("""COMPUTED_VALUE"""),0.0)</f>
        <v>0</v>
      </c>
      <c r="K396" s="15">
        <f>IFERROR(__xludf.DUMMYFUNCTION("""COMPUTED_VALUE"""),1.5)</f>
        <v>1.5</v>
      </c>
      <c r="L396" s="15"/>
    </row>
    <row r="397" ht="15.75" customHeight="1">
      <c r="A397" s="14" t="str">
        <f>IFERROR(__xludf.DUMMYFUNCTION("""COMPUTED_VALUE"""),"https://directiveconsulting.com/uk/blog/25-best-advertising-agencies-built-for-media-momentum/")</f>
        <v>https://directiveconsulting.com/uk/blog/25-best-advertising-agencies-built-for-media-momentum/</v>
      </c>
      <c r="B397" s="15" t="str">
        <f>IFERROR(__xludf.DUMMYFUNCTION("""COMPUTED_VALUE"""),"25 Best Advertising Agencies For B2B - Directive")</f>
        <v>25 Best Advertising Agencies For B2B - Directive</v>
      </c>
      <c r="C397" s="14" t="str">
        <f>IFERROR(__xludf.DUMMYFUNCTION("""COMPUTED_VALUE"""),"directiveconsulting.com")</f>
        <v>directiveconsulting.com</v>
      </c>
      <c r="D397" s="15" t="str">
        <f>IFERROR(__xludf.DUMMYFUNCTION("""COMPUTED_VALUE"""),"LISTICLE")</f>
        <v>LISTICLE</v>
      </c>
      <c r="E397" s="15" t="str">
        <f>IFERROR(__xludf.DUMMYFUNCTION("""COMPUTED_VALUE"""),"COMPETITOR")</f>
        <v>COMPETITOR</v>
      </c>
      <c r="F397" s="15" t="str">
        <f>IFERROR(__xludf.DUMMYFUNCTION("""COMPUTED_VALUE"""),"Listicle")</f>
        <v>Listicle</v>
      </c>
      <c r="G397" s="15" t="b">
        <f>IFERROR(__xludf.DUMMYFUNCTION("""COMPUTED_VALUE"""),FALSE)</f>
        <v>0</v>
      </c>
      <c r="H397" s="15" t="str">
        <f>IFERROR(__xludf.DUMMYFUNCTION("""COMPUTED_VALUE"""),"Directive Consulting, Momentum, Tinuiti, PMG, Jellyfish, Wpromote, Merkle, Croud, Impression, Monks, AKQA, Measured")</f>
        <v>Directive Consulting, Momentum, Tinuiti, PMG, Jellyfish, Wpromote, Merkle, Croud, Impression, Monks, AKQA, Measured</v>
      </c>
      <c r="I397" s="15">
        <f>IFERROR(__xludf.DUMMYFUNCTION("""COMPUTED_VALUE"""),2.0)</f>
        <v>2</v>
      </c>
      <c r="J397" s="15">
        <f>IFERROR(__xludf.DUMMYFUNCTION("""COMPUTED_VALUE"""),0.0)</f>
        <v>0</v>
      </c>
      <c r="K397" s="15">
        <f>IFERROR(__xludf.DUMMYFUNCTION("""COMPUTED_VALUE"""),0.5)</f>
        <v>0.5</v>
      </c>
      <c r="L397" s="15"/>
    </row>
    <row r="398" ht="15.75" customHeight="1">
      <c r="A398" s="14" t="str">
        <f>IFERROR(__xludf.DUMMYFUNCTION("""COMPUTED_VALUE"""),"https://eintelligenceweb.com/blog/top-generative-engine-optimisation-geo-agencies/")</f>
        <v>https://eintelligenceweb.com/blog/top-generative-engine-optimisation-geo-agencies/</v>
      </c>
      <c r="B398" s="15" t="str">
        <f>IFERROR(__xludf.DUMMYFUNCTION("""COMPUTED_VALUE"""),"Top Generative Engine Optimisation (GEO) Agencies in UK")</f>
        <v>Top Generative Engine Optimisation (GEO) Agencies in UK</v>
      </c>
      <c r="C398" s="14" t="str">
        <f>IFERROR(__xludf.DUMMYFUNCTION("""COMPUTED_VALUE"""),"eintelligenceweb.com")</f>
        <v>eintelligenceweb.com</v>
      </c>
      <c r="D398" s="15" t="str">
        <f>IFERROR(__xludf.DUMMYFUNCTION("""COMPUTED_VALUE"""),"LISTICLE")</f>
        <v>LISTICLE</v>
      </c>
      <c r="E398" s="15" t="str">
        <f>IFERROR(__xludf.DUMMYFUNCTION("""COMPUTED_VALUE"""),"CORPORATE")</f>
        <v>CORPORATE</v>
      </c>
      <c r="F398" s="15" t="str">
        <f>IFERROR(__xludf.DUMMYFUNCTION("""COMPUTED_VALUE"""),"Listicle")</f>
        <v>Listicle</v>
      </c>
      <c r="G398" s="15" t="b">
        <f>IFERROR(__xludf.DUMMYFUNCTION("""COMPUTED_VALUE"""),FALSE)</f>
        <v>0</v>
      </c>
      <c r="H398" s="15" t="str">
        <f>IFERROR(__xludf.DUMMYFUNCTION("""COMPUTED_VALUE"""),"ClickSlice, Blue Array, Huge")</f>
        <v>ClickSlice, Blue Array, Huge</v>
      </c>
      <c r="I398" s="15">
        <f>IFERROR(__xludf.DUMMYFUNCTION("""COMPUTED_VALUE"""),2.0)</f>
        <v>2</v>
      </c>
      <c r="J398" s="15">
        <f>IFERROR(__xludf.DUMMYFUNCTION("""COMPUTED_VALUE"""),0.0)</f>
        <v>0</v>
      </c>
      <c r="K398" s="15">
        <f>IFERROR(__xludf.DUMMYFUNCTION("""COMPUTED_VALUE"""),2.5)</f>
        <v>2.5</v>
      </c>
      <c r="L398" s="15"/>
    </row>
    <row r="399" ht="15.75" customHeight="1">
      <c r="A399" s="14" t="str">
        <f>IFERROR(__xludf.DUMMYFUNCTION("""COMPUTED_VALUE"""),"https://www.fieldtrip.agency/post/top-geo-agencies#:~:text=First%20Page%20Sage%20has%20built,%2C%20Alcoa%2C%20and%20U.S.%20Bancorp.")</f>
        <v>https://www.fieldtrip.agency/post/top-geo-agencies#:~:text=First%20Page%20Sage%20has%20built,%2C%20Alcoa%2C%20and%20U.S.%20Bancorp.</v>
      </c>
      <c r="B399" s="15" t="str">
        <f>IFERROR(__xludf.DUMMYFUNCTION("""COMPUTED_VALUE"""),"Top Generative Engine Optimization (GEO) Agencies for Brands in AI Search")</f>
        <v>Top Generative Engine Optimization (GEO) Agencies for Brands in AI Search</v>
      </c>
      <c r="C399" s="15" t="str">
        <f>IFERROR(__xludf.DUMMYFUNCTION("""COMPUTED_VALUE"""),"fieldtrip.agency")</f>
        <v>fieldtrip.agency</v>
      </c>
      <c r="D399" s="15" t="str">
        <f>IFERROR(__xludf.DUMMYFUNCTION("""COMPUTED_VALUE"""),"LISTICLE")</f>
        <v>LISTICLE</v>
      </c>
      <c r="E399" s="15" t="str">
        <f>IFERROR(__xludf.DUMMYFUNCTION("""COMPUTED_VALUE"""),"CORPORATE")</f>
        <v>CORPORATE</v>
      </c>
      <c r="F399" s="15" t="str">
        <f>IFERROR(__xludf.DUMMYFUNCTION("""COMPUTED_VALUE"""),"Listicle")</f>
        <v>Listicle</v>
      </c>
      <c r="G399" s="15" t="b">
        <f>IFERROR(__xludf.DUMMYFUNCTION("""COMPUTED_VALUE"""),FALSE)</f>
        <v>0</v>
      </c>
      <c r="H399" s="15" t="str">
        <f>IFERROR(__xludf.DUMMYFUNCTION("""COMPUTED_VALUE"""),"Siege Media, WebFX, NP Digital, Omniscient Digital, Measured, Found, inBeat")</f>
        <v>Siege Media, WebFX, NP Digital, Omniscient Digital, Measured, Found, inBeat</v>
      </c>
      <c r="I399" s="15">
        <f>IFERROR(__xludf.DUMMYFUNCTION("""COMPUTED_VALUE"""),2.0)</f>
        <v>2</v>
      </c>
      <c r="J399" s="15">
        <f>IFERROR(__xludf.DUMMYFUNCTION("""COMPUTED_VALUE"""),0.0)</f>
        <v>0</v>
      </c>
      <c r="K399" s="15">
        <f>IFERROR(__xludf.DUMMYFUNCTION("""COMPUTED_VALUE"""),0.5)</f>
        <v>0.5</v>
      </c>
      <c r="L399" s="15"/>
    </row>
    <row r="400" ht="15.75" customHeight="1">
      <c r="A400" s="14" t="str">
        <f>IFERROR(__xludf.DUMMYFUNCTION("""COMPUTED_VALUE"""),"https://www.goodfirms.co/advertising-companies/creative/uk?page=2")</f>
        <v>https://www.goodfirms.co/advertising-companies/creative/uk?page=2</v>
      </c>
      <c r="B400" s="15" t="str">
        <f>IFERROR(__xludf.DUMMYFUNCTION("""COMPUTED_VALUE"""),"Top Creative Agencies in the United Kingdom - 2026 Reviews | Goodfirms")</f>
        <v>Top Creative Agencies in the United Kingdom - 2026 Reviews | Goodfirms</v>
      </c>
      <c r="C400" s="14" t="str">
        <f>IFERROR(__xludf.DUMMYFUNCTION("""COMPUTED_VALUE"""),"goodfirms.co")</f>
        <v>goodfirms.co</v>
      </c>
      <c r="D400" s="15" t="str">
        <f>IFERROR(__xludf.DUMMYFUNCTION("""COMPUTED_VALUE"""),"CATEGORY_PAGE")</f>
        <v>CATEGORY_PAGE</v>
      </c>
      <c r="E400" s="15" t="str">
        <f>IFERROR(__xludf.DUMMYFUNCTION("""COMPUTED_VALUE"""),"UGC")</f>
        <v>UGC</v>
      </c>
      <c r="F400" s="15" t="str">
        <f>IFERROR(__xludf.DUMMYFUNCTION("""COMPUTED_VALUE"""),"Category Page")</f>
        <v>Category Page</v>
      </c>
      <c r="G400" s="15" t="b">
        <f>IFERROR(__xludf.DUMMYFUNCTION("""COMPUTED_VALUE"""),FALSE)</f>
        <v>0</v>
      </c>
      <c r="H400" s="15" t="str">
        <f>IFERROR(__xludf.DUMMYFUNCTION("""COMPUTED_VALUE"""),"The Social Shepherd, Mother London, Huge, Impression, Found")</f>
        <v>The Social Shepherd, Mother London, Huge, Impression, Found</v>
      </c>
      <c r="I400" s="15">
        <f>IFERROR(__xludf.DUMMYFUNCTION("""COMPUTED_VALUE"""),2.0)</f>
        <v>2</v>
      </c>
      <c r="J400" s="15">
        <f>IFERROR(__xludf.DUMMYFUNCTION("""COMPUTED_VALUE"""),0.0)</f>
        <v>0</v>
      </c>
      <c r="K400" s="15">
        <f>IFERROR(__xludf.DUMMYFUNCTION("""COMPUTED_VALUE"""),0.0)</f>
        <v>0</v>
      </c>
      <c r="L400" s="15"/>
    </row>
    <row r="401" ht="15.75" customHeight="1">
      <c r="A401" s="14" t="str">
        <f>IFERROR(__xludf.DUMMYFUNCTION("""COMPUTED_VALUE"""),"https://www.goodfirms.co/directory/country/top-digital-marketing-companies/advertising-ppc/uk?sort_by=reviews")</f>
        <v>https://www.goodfirms.co/directory/country/top-digital-marketing-companies/advertising-ppc/uk?sort_by=reviews</v>
      </c>
      <c r="B401" s="15" t="str">
        <f>IFERROR(__xludf.DUMMYFUNCTION("""COMPUTED_VALUE"""),"Top PPC Agencies in the UK - 2026 Reviews | Goodfirms")</f>
        <v>Top PPC Agencies in the UK - 2026 Reviews | Goodfirms</v>
      </c>
      <c r="C401" s="14" t="str">
        <f>IFERROR(__xludf.DUMMYFUNCTION("""COMPUTED_VALUE"""),"goodfirms.co")</f>
        <v>goodfirms.co</v>
      </c>
      <c r="D401" s="15" t="str">
        <f>IFERROR(__xludf.DUMMYFUNCTION("""COMPUTED_VALUE"""),"PROFILE")</f>
        <v>PROFILE</v>
      </c>
      <c r="E401" s="15" t="str">
        <f>IFERROR(__xludf.DUMMYFUNCTION("""COMPUTED_VALUE"""),"UGC")</f>
        <v>UGC</v>
      </c>
      <c r="F401" s="15" t="str">
        <f>IFERROR(__xludf.DUMMYFUNCTION("""COMPUTED_VALUE"""),"Profile")</f>
        <v>Profile</v>
      </c>
      <c r="G401" s="15" t="b">
        <f>IFERROR(__xludf.DUMMYFUNCTION("""COMPUTED_VALUE"""),FALSE)</f>
        <v>0</v>
      </c>
      <c r="H401" s="15" t="str">
        <f>IFERROR(__xludf.DUMMYFUNCTION("""COMPUTED_VALUE"""),"Bird Marketing, WebFX, Found")</f>
        <v>Bird Marketing, WebFX, Found</v>
      </c>
      <c r="I401" s="15">
        <f>IFERROR(__xludf.DUMMYFUNCTION("""COMPUTED_VALUE"""),2.0)</f>
        <v>2</v>
      </c>
      <c r="J401" s="15">
        <f>IFERROR(__xludf.DUMMYFUNCTION("""COMPUTED_VALUE"""),0.0)</f>
        <v>0</v>
      </c>
      <c r="K401" s="15">
        <f>IFERROR(__xludf.DUMMYFUNCTION("""COMPUTED_VALUE"""),0.0)</f>
        <v>0</v>
      </c>
      <c r="L401" s="15"/>
    </row>
    <row r="402" ht="15.75" customHeight="1">
      <c r="A402" s="14" t="str">
        <f>IFERROR(__xludf.DUMMYFUNCTION("""COMPUTED_VALUE"""),"https://www.groupcaliber.com/top-reputation-monitoring-tools-and-why-stakeholder-intelligence-is-next/")</f>
        <v>https://www.groupcaliber.com/top-reputation-monitoring-tools-and-why-stakeholder-intelligence-is-next/</v>
      </c>
      <c r="B402" s="15" t="str">
        <f>IFERROR(__xludf.DUMMYFUNCTION("""COMPUTED_VALUE"""),"Top Reputation Monitoring Tools 2026 | Caliber")</f>
        <v>Top Reputation Monitoring Tools 2026 | Caliber</v>
      </c>
      <c r="C402" s="14" t="str">
        <f>IFERROR(__xludf.DUMMYFUNCTION("""COMPUTED_VALUE"""),"groupcaliber.com")</f>
        <v>groupcaliber.com</v>
      </c>
      <c r="D402" s="15" t="str">
        <f>IFERROR(__xludf.DUMMYFUNCTION("""COMPUTED_VALUE"""),"LISTICLE")</f>
        <v>LISTICLE</v>
      </c>
      <c r="E402" s="15" t="str">
        <f>IFERROR(__xludf.DUMMYFUNCTION("""COMPUTED_VALUE"""),"CORPORATE")</f>
        <v>CORPORATE</v>
      </c>
      <c r="F402" s="15" t="str">
        <f>IFERROR(__xludf.DUMMYFUNCTION("""COMPUTED_VALUE"""),"Listicle")</f>
        <v>Listicle</v>
      </c>
      <c r="G402" s="15" t="b">
        <f>IFERROR(__xludf.DUMMYFUNCTION("""COMPUTED_VALUE"""),FALSE)</f>
        <v>0</v>
      </c>
      <c r="H402" s="15" t="str">
        <f>IFERROR(__xludf.DUMMYFUNCTION("""COMPUTED_VALUE"""),"YouGov, Kantar")</f>
        <v>YouGov, Kantar</v>
      </c>
      <c r="I402" s="15">
        <f>IFERROR(__xludf.DUMMYFUNCTION("""COMPUTED_VALUE"""),2.0)</f>
        <v>2</v>
      </c>
      <c r="J402" s="15">
        <f>IFERROR(__xludf.DUMMYFUNCTION("""COMPUTED_VALUE"""),0.0)</f>
        <v>0</v>
      </c>
      <c r="K402" s="15">
        <f>IFERROR(__xludf.DUMMYFUNCTION("""COMPUTED_VALUE"""),1.0)</f>
        <v>1</v>
      </c>
      <c r="L402" s="15"/>
    </row>
    <row r="403" ht="15.75" customHeight="1">
      <c r="A403" s="14" t="str">
        <f>IFERROR(__xludf.DUMMYFUNCTION("""COMPUTED_VALUE"""),"https://hawkemedia.com/insights/top-performance-marketing-agencies/")</f>
        <v>https://hawkemedia.com/insights/top-performance-marketing-agencies/</v>
      </c>
      <c r="B403" s="15" t="str">
        <f>IFERROR(__xludf.DUMMYFUNCTION("""COMPUTED_VALUE"""),"Top 25 Performance Marketing Agencies In The U.S. 2026 | Hawke Media")</f>
        <v>Top 25 Performance Marketing Agencies In The U.S. 2026 | Hawke Media</v>
      </c>
      <c r="C403" s="14" t="str">
        <f>IFERROR(__xludf.DUMMYFUNCTION("""COMPUTED_VALUE"""),"hawkemedia.com")</f>
        <v>hawkemedia.com</v>
      </c>
      <c r="D403" s="15" t="str">
        <f>IFERROR(__xludf.DUMMYFUNCTION("""COMPUTED_VALUE"""),"LISTICLE")</f>
        <v>LISTICLE</v>
      </c>
      <c r="E403" s="15" t="str">
        <f>IFERROR(__xludf.DUMMYFUNCTION("""COMPUTED_VALUE"""),"COMPETITOR")</f>
        <v>COMPETITOR</v>
      </c>
      <c r="F403" s="15" t="str">
        <f>IFERROR(__xludf.DUMMYFUNCTION("""COMPUTED_VALUE"""),"Listicle")</f>
        <v>Listicle</v>
      </c>
      <c r="G403" s="15" t="b">
        <f>IFERROR(__xludf.DUMMYFUNCTION("""COMPUTED_VALUE"""),FALSE)</f>
        <v>0</v>
      </c>
      <c r="H403" s="15" t="str">
        <f>IFERROR(__xludf.DUMMYFUNCTION("""COMPUTED_VALUE"""),"Hawke Media, Tinuiti, Wpromote, Power Digital, WebFX, Measured, Disruptive Advertising, Ignite Visibility, NP Digital, New Engen, NoGood, Ogilvy, Monks, Merkle, Siege Media")</f>
        <v>Hawke Media, Tinuiti, Wpromote, Power Digital, WebFX, Measured, Disruptive Advertising, Ignite Visibility, NP Digital, New Engen, NoGood, Ogilvy, Monks, Merkle, Siege Media</v>
      </c>
      <c r="I403" s="15">
        <f>IFERROR(__xludf.DUMMYFUNCTION("""COMPUTED_VALUE"""),2.0)</f>
        <v>2</v>
      </c>
      <c r="J403" s="15">
        <f>IFERROR(__xludf.DUMMYFUNCTION("""COMPUTED_VALUE"""),0.0)</f>
        <v>0</v>
      </c>
      <c r="K403" s="15">
        <f>IFERROR(__xludf.DUMMYFUNCTION("""COMPUTED_VALUE"""),1.0)</f>
        <v>1</v>
      </c>
      <c r="L403" s="15"/>
    </row>
    <row r="404" ht="15.75" customHeight="1">
      <c r="A404" s="14" t="str">
        <f>IFERROR(__xludf.DUMMYFUNCTION("""COMPUTED_VALUE"""),"https://hikemytraffic.com/ai-digital-marketing-agencies-in-uk/")</f>
        <v>https://hikemytraffic.com/ai-digital-marketing-agencies-in-uk/</v>
      </c>
      <c r="B404" s="15" t="str">
        <f>IFERROR(__xludf.DUMMYFUNCTION("""COMPUTED_VALUE"""),"Top 10 AI Digital Marketing Agencies in UK (2026)")</f>
        <v>Top 10 AI Digital Marketing Agencies in UK (2026)</v>
      </c>
      <c r="C404" s="14" t="str">
        <f>IFERROR(__xludf.DUMMYFUNCTION("""COMPUTED_VALUE"""),"hikemytraffic.com")</f>
        <v>hikemytraffic.com</v>
      </c>
      <c r="D404" s="15" t="str">
        <f>IFERROR(__xludf.DUMMYFUNCTION("""COMPUTED_VALUE"""),"LISTICLE")</f>
        <v>LISTICLE</v>
      </c>
      <c r="E404" s="15" t="str">
        <f>IFERROR(__xludf.DUMMYFUNCTION("""COMPUTED_VALUE"""),"CORPORATE")</f>
        <v>CORPORATE</v>
      </c>
      <c r="F404" s="15" t="str">
        <f>IFERROR(__xludf.DUMMYFUNCTION("""COMPUTED_VALUE"""),"Listicle")</f>
        <v>Listicle</v>
      </c>
      <c r="G404" s="15" t="b">
        <f>IFERROR(__xludf.DUMMYFUNCTION("""COMPUTED_VALUE"""),FALSE)</f>
        <v>0</v>
      </c>
      <c r="H404" s="15" t="str">
        <f>IFERROR(__xludf.DUMMYFUNCTION("""COMPUTED_VALUE"""),"Found, The Good Marketer, Dentsu")</f>
        <v>Found, The Good Marketer, Dentsu</v>
      </c>
      <c r="I404" s="15">
        <f>IFERROR(__xludf.DUMMYFUNCTION("""COMPUTED_VALUE"""),2.0)</f>
        <v>2</v>
      </c>
      <c r="J404" s="15">
        <f>IFERROR(__xludf.DUMMYFUNCTION("""COMPUTED_VALUE"""),0.0)</f>
        <v>0</v>
      </c>
      <c r="K404" s="15">
        <f>IFERROR(__xludf.DUMMYFUNCTION("""COMPUTED_VALUE"""),0.5)</f>
        <v>0.5</v>
      </c>
      <c r="L404" s="15"/>
    </row>
    <row r="405" ht="15.75" customHeight="1">
      <c r="A405" s="14" t="str">
        <f>IFERROR(__xludf.DUMMYFUNCTION("""COMPUTED_VALUE"""),"https://hikemytraffic.com/ai-digital-marketing-services-in-uk/")</f>
        <v>https://hikemytraffic.com/ai-digital-marketing-services-in-uk/</v>
      </c>
      <c r="B405" s="15" t="str">
        <f>IFERROR(__xludf.DUMMYFUNCTION("""COMPUTED_VALUE"""),"20 Best AI Digital Marketing Services in UK")</f>
        <v>20 Best AI Digital Marketing Services in UK</v>
      </c>
      <c r="C405" s="14" t="str">
        <f>IFERROR(__xludf.DUMMYFUNCTION("""COMPUTED_VALUE"""),"hikemytraffic.com")</f>
        <v>hikemytraffic.com</v>
      </c>
      <c r="D405" s="15" t="str">
        <f>IFERROR(__xludf.DUMMYFUNCTION("""COMPUTED_VALUE"""),"LISTICLE")</f>
        <v>LISTICLE</v>
      </c>
      <c r="E405" s="15" t="str">
        <f>IFERROR(__xludf.DUMMYFUNCTION("""COMPUTED_VALUE"""),"CORPORATE")</f>
        <v>CORPORATE</v>
      </c>
      <c r="F405" s="15" t="str">
        <f>IFERROR(__xludf.DUMMYFUNCTION("""COMPUTED_VALUE"""),"Listicle")</f>
        <v>Listicle</v>
      </c>
      <c r="G405" s="15" t="b">
        <f>IFERROR(__xludf.DUMMYFUNCTION("""COMPUTED_VALUE"""),FALSE)</f>
        <v>0</v>
      </c>
      <c r="H405" s="15" t="str">
        <f>IFERROR(__xludf.DUMMYFUNCTION("""COMPUTED_VALUE"""),"Gripped, The Social Shepherd, Found, The Good Marketer, Bird Marketing")</f>
        <v>Gripped, The Social Shepherd, Found, The Good Marketer, Bird Marketing</v>
      </c>
      <c r="I405" s="15">
        <f>IFERROR(__xludf.DUMMYFUNCTION("""COMPUTED_VALUE"""),2.0)</f>
        <v>2</v>
      </c>
      <c r="J405" s="15">
        <f>IFERROR(__xludf.DUMMYFUNCTION("""COMPUTED_VALUE"""),0.0)</f>
        <v>0</v>
      </c>
      <c r="K405" s="15">
        <f>IFERROR(__xludf.DUMMYFUNCTION("""COMPUTED_VALUE"""),0.5)</f>
        <v>0.5</v>
      </c>
      <c r="L405" s="15"/>
    </row>
    <row r="406" ht="15.75" customHeight="1">
      <c r="A406" s="14" t="str">
        <f>IFERROR(__xludf.DUMMYFUNCTION("""COMPUTED_VALUE"""),"https://ikon.london/articles/best-creative-agencies")</f>
        <v>https://ikon.london/articles/best-creative-agencies</v>
      </c>
      <c r="B406" s="15" t="str">
        <f>IFERROR(__xludf.DUMMYFUNCTION("""COMPUTED_VALUE"""),"Best Creative Agencies in London &amp;amp; Beyond | 2026 | Top 10")</f>
        <v>Best Creative Agencies in London &amp;amp; Beyond | 2026 | Top 10</v>
      </c>
      <c r="C406" s="15" t="str">
        <f>IFERROR(__xludf.DUMMYFUNCTION("""COMPUTED_VALUE"""),"ikon.london")</f>
        <v>ikon.london</v>
      </c>
      <c r="D406" s="15" t="str">
        <f>IFERROR(__xludf.DUMMYFUNCTION("""COMPUTED_VALUE"""),"LISTICLE")</f>
        <v>LISTICLE</v>
      </c>
      <c r="E406" s="15" t="str">
        <f>IFERROR(__xludf.DUMMYFUNCTION("""COMPUTED_VALUE"""),"CORPORATE")</f>
        <v>CORPORATE</v>
      </c>
      <c r="F406" s="15" t="str">
        <f>IFERROR(__xludf.DUMMYFUNCTION("""COMPUTED_VALUE"""),"Listicle")</f>
        <v>Listicle</v>
      </c>
      <c r="G406" s="15" t="b">
        <f>IFERROR(__xludf.DUMMYFUNCTION("""COMPUTED_VALUE"""),FALSE)</f>
        <v>0</v>
      </c>
      <c r="H406" s="15" t="str">
        <f>IFERROR(__xludf.DUMMYFUNCTION("""COMPUTED_VALUE"""),"AKQA, Ogilvy, Mother London")</f>
        <v>AKQA, Ogilvy, Mother London</v>
      </c>
      <c r="I406" s="15">
        <f>IFERROR(__xludf.DUMMYFUNCTION("""COMPUTED_VALUE"""),2.0)</f>
        <v>2</v>
      </c>
      <c r="J406" s="15">
        <f>IFERROR(__xludf.DUMMYFUNCTION("""COMPUTED_VALUE"""),0.0)</f>
        <v>0</v>
      </c>
      <c r="K406" s="15">
        <f>IFERROR(__xludf.DUMMYFUNCTION("""COMPUTED_VALUE"""),0.0)</f>
        <v>0</v>
      </c>
      <c r="L406" s="15"/>
    </row>
    <row r="407" ht="15.75" customHeight="1">
      <c r="A407" s="14" t="str">
        <f>IFERROR(__xludf.DUMMYFUNCTION("""COMPUTED_VALUE"""),"https://inbeat.agency/blog/top-creative-agencies")</f>
        <v>https://inbeat.agency/blog/top-creative-agencies</v>
      </c>
      <c r="B407" s="15" t="str">
        <f>IFERROR(__xludf.DUMMYFUNCTION("""COMPUTED_VALUE"""),"Top 16 Creative Agencies Setting the Standard in 2026 - inBeat Agency")</f>
        <v>Top 16 Creative Agencies Setting the Standard in 2026 - inBeat Agency</v>
      </c>
      <c r="C407" s="15" t="str">
        <f>IFERROR(__xludf.DUMMYFUNCTION("""COMPUTED_VALUE"""),"inbeat.agency")</f>
        <v>inbeat.agency</v>
      </c>
      <c r="D407" s="15" t="str">
        <f>IFERROR(__xludf.DUMMYFUNCTION("""COMPUTED_VALUE"""),"LISTICLE")</f>
        <v>LISTICLE</v>
      </c>
      <c r="E407" s="15" t="str">
        <f>IFERROR(__xludf.DUMMYFUNCTION("""COMPUTED_VALUE"""),"COMPETITOR")</f>
        <v>COMPETITOR</v>
      </c>
      <c r="F407" s="15" t="str">
        <f>IFERROR(__xludf.DUMMYFUNCTION("""COMPUTED_VALUE"""),"Listicle")</f>
        <v>Listicle</v>
      </c>
      <c r="G407" s="15" t="b">
        <f>IFERROR(__xludf.DUMMYFUNCTION("""COMPUTED_VALUE"""),FALSE)</f>
        <v>0</v>
      </c>
      <c r="H407" s="15" t="str">
        <f>IFERROR(__xludf.DUMMYFUNCTION("""COMPUTED_VALUE"""),"inBeat, Nielsen, WPP, Dept, Momentum, Ogilvy")</f>
        <v>inBeat, Nielsen, WPP, Dept, Momentum, Ogilvy</v>
      </c>
      <c r="I407" s="15">
        <f>IFERROR(__xludf.DUMMYFUNCTION("""COMPUTED_VALUE"""),2.0)</f>
        <v>2</v>
      </c>
      <c r="J407" s="15">
        <f>IFERROR(__xludf.DUMMYFUNCTION("""COMPUTED_VALUE"""),0.0)</f>
        <v>0</v>
      </c>
      <c r="K407" s="15">
        <f>IFERROR(__xludf.DUMMYFUNCTION("""COMPUTED_VALUE"""),0.5)</f>
        <v>0.5</v>
      </c>
      <c r="L407" s="15"/>
    </row>
    <row r="408" ht="15.75" customHeight="1">
      <c r="A408" s="14" t="str">
        <f>IFERROR(__xludf.DUMMYFUNCTION("""COMPUTED_VALUE"""),"https://inbeat.agency/blog/top-marketing-analytics-agencies")</f>
        <v>https://inbeat.agency/blog/top-marketing-analytics-agencies</v>
      </c>
      <c r="B408" s="15" t="str">
        <f>IFERROR(__xludf.DUMMYFUNCTION("""COMPUTED_VALUE"""),"Top 15 Marketing Analytics Agencies Defining 2026 - inBeat Agency")</f>
        <v>Top 15 Marketing Analytics Agencies Defining 2026 - inBeat Agency</v>
      </c>
      <c r="C408" s="15" t="str">
        <f>IFERROR(__xludf.DUMMYFUNCTION("""COMPUTED_VALUE"""),"inbeat.agency")</f>
        <v>inbeat.agency</v>
      </c>
      <c r="D408" s="15" t="str">
        <f>IFERROR(__xludf.DUMMYFUNCTION("""COMPUTED_VALUE"""),"LISTICLE")</f>
        <v>LISTICLE</v>
      </c>
      <c r="E408" s="15" t="str">
        <f>IFERROR(__xludf.DUMMYFUNCTION("""COMPUTED_VALUE"""),"COMPETITOR")</f>
        <v>COMPETITOR</v>
      </c>
      <c r="F408" s="15" t="str">
        <f>IFERROR(__xludf.DUMMYFUNCTION("""COMPUTED_VALUE"""),"Listicle")</f>
        <v>Listicle</v>
      </c>
      <c r="G408" s="15" t="b">
        <f>IFERROR(__xludf.DUMMYFUNCTION("""COMPUTED_VALUE"""),FALSE)</f>
        <v>0</v>
      </c>
      <c r="H408" s="15" t="str">
        <f>IFERROR(__xludf.DUMMYFUNCTION("""COMPUTED_VALUE"""),"inBeat, Nielsen, NP Digital, Artefact, Momentum, Found, WebFX")</f>
        <v>inBeat, Nielsen, NP Digital, Artefact, Momentum, Found, WebFX</v>
      </c>
      <c r="I408" s="15">
        <f>IFERROR(__xludf.DUMMYFUNCTION("""COMPUTED_VALUE"""),2.0)</f>
        <v>2</v>
      </c>
      <c r="J408" s="15">
        <f>IFERROR(__xludf.DUMMYFUNCTION("""COMPUTED_VALUE"""),0.0)</f>
        <v>0</v>
      </c>
      <c r="K408" s="15">
        <f>IFERROR(__xludf.DUMMYFUNCTION("""COMPUTED_VALUE"""),1.0)</f>
        <v>1</v>
      </c>
      <c r="L408" s="15"/>
    </row>
    <row r="409" ht="15.75" customHeight="1">
      <c r="A409" s="14" t="str">
        <f>IFERROR(__xludf.DUMMYFUNCTION("""COMPUTED_VALUE"""),"https://www.inbeat.co/articles/advertising-agencies-in-the-uk/")</f>
        <v>https://www.inbeat.co/articles/advertising-agencies-in-the-uk/</v>
      </c>
      <c r="B409" s="15" t="str">
        <f>IFERROR(__xludf.DUMMYFUNCTION("""COMPUTED_VALUE"""),"Top 20 Advertising Agencies in the UK as of 2026")</f>
        <v>Top 20 Advertising Agencies in the UK as of 2026</v>
      </c>
      <c r="C409" s="14" t="str">
        <f>IFERROR(__xludf.DUMMYFUNCTION("""COMPUTED_VALUE"""),"inbeat.co")</f>
        <v>inbeat.co</v>
      </c>
      <c r="D409" s="15" t="str">
        <f>IFERROR(__xludf.DUMMYFUNCTION("""COMPUTED_VALUE"""),"LISTICLE")</f>
        <v>LISTICLE</v>
      </c>
      <c r="E409" s="15" t="str">
        <f>IFERROR(__xludf.DUMMYFUNCTION("""COMPUTED_VALUE"""),"CORPORATE")</f>
        <v>CORPORATE</v>
      </c>
      <c r="F409" s="15" t="str">
        <f>IFERROR(__xludf.DUMMYFUNCTION("""COMPUTED_VALUE"""),"Listicle")</f>
        <v>Listicle</v>
      </c>
      <c r="G409" s="15" t="b">
        <f>IFERROR(__xludf.DUMMYFUNCTION("""COMPUTED_VALUE"""),FALSE)</f>
        <v>0</v>
      </c>
      <c r="H409" s="15" t="str">
        <f>IFERROR(__xludf.DUMMYFUNCTION("""COMPUTED_VALUE"""),"inBeat, The Social Shepherd, Adam&amp;eveDDB, BBH London, Disrupt Marketing, Measured, PPC Geeks, Favoured, Found")</f>
        <v>inBeat, The Social Shepherd, Adam&amp;eveDDB, BBH London, Disrupt Marketing, Measured, PPC Geeks, Favoured, Found</v>
      </c>
      <c r="I409" s="15">
        <f>IFERROR(__xludf.DUMMYFUNCTION("""COMPUTED_VALUE"""),2.0)</f>
        <v>2</v>
      </c>
      <c r="J409" s="15">
        <f>IFERROR(__xludf.DUMMYFUNCTION("""COMPUTED_VALUE"""),0.0)</f>
        <v>0</v>
      </c>
      <c r="K409" s="15">
        <f>IFERROR(__xludf.DUMMYFUNCTION("""COMPUTED_VALUE"""),2.0)</f>
        <v>2</v>
      </c>
      <c r="L409" s="15"/>
    </row>
    <row r="410" ht="15.75" customHeight="1">
      <c r="A410" s="14" t="str">
        <f>IFERROR(__xludf.DUMMYFUNCTION("""COMPUTED_VALUE"""),"https://influencermarketinghub.com/ai-marketing-agencies/")</f>
        <v>https://influencermarketinghub.com/ai-marketing-agencies/</v>
      </c>
      <c r="B410" s="15" t="str">
        <f>IFERROR(__xludf.DUMMYFUNCTION("""COMPUTED_VALUE"""),"Best AI Marketing Agencies For 2026")</f>
        <v>Best AI Marketing Agencies For 2026</v>
      </c>
      <c r="C410" s="14" t="str">
        <f>IFERROR(__xludf.DUMMYFUNCTION("""COMPUTED_VALUE"""),"influencermarketinghub.com")</f>
        <v>influencermarketinghub.com</v>
      </c>
      <c r="D410" s="15" t="str">
        <f>IFERROR(__xludf.DUMMYFUNCTION("""COMPUTED_VALUE"""),"LISTICLE")</f>
        <v>LISTICLE</v>
      </c>
      <c r="E410" s="15" t="str">
        <f>IFERROR(__xludf.DUMMYFUNCTION("""COMPUTED_VALUE"""),"REFERENCE")</f>
        <v>REFERENCE</v>
      </c>
      <c r="F410" s="15" t="str">
        <f>IFERROR(__xludf.DUMMYFUNCTION("""COMPUTED_VALUE"""),"Listicle")</f>
        <v>Listicle</v>
      </c>
      <c r="G410" s="15" t="b">
        <f>IFERROR(__xludf.DUMMYFUNCTION("""COMPUTED_VALUE"""),FALSE)</f>
        <v>0</v>
      </c>
      <c r="H410" s="15" t="str">
        <f>IFERROR(__xludf.DUMMYFUNCTION("""COMPUTED_VALUE"""),"McKinsey &amp; Company, Momentum, Found, Wpromote, Dentsu")</f>
        <v>McKinsey &amp; Company, Momentum, Found, Wpromote, Dentsu</v>
      </c>
      <c r="I410" s="15">
        <f>IFERROR(__xludf.DUMMYFUNCTION("""COMPUTED_VALUE"""),2.0)</f>
        <v>2</v>
      </c>
      <c r="J410" s="15">
        <f>IFERROR(__xludf.DUMMYFUNCTION("""COMPUTED_VALUE"""),0.0)</f>
        <v>0</v>
      </c>
      <c r="K410" s="15">
        <f>IFERROR(__xludf.DUMMYFUNCTION("""COMPUTED_VALUE"""),0.0)</f>
        <v>0</v>
      </c>
      <c r="L410" s="15"/>
    </row>
    <row r="411" ht="15.75" customHeight="1">
      <c r="A411" s="14" t="str">
        <f>IFERROR(__xludf.DUMMYFUNCTION("""COMPUTED_VALUE"""),"https://itprofiles.com/services/ppc/uk")</f>
        <v>https://itprofiles.com/services/ppc/uk</v>
      </c>
      <c r="B411" s="15" t="str">
        <f>IFERROR(__xludf.DUMMYFUNCTION("""COMPUTED_VALUE"""),"Top 100+ PPC Companies in United Kingdom - Jul 2026 Rankings | ITProfiles")</f>
        <v>Top 100+ PPC Companies in United Kingdom - Jul 2026 Rankings | ITProfiles</v>
      </c>
      <c r="C411" s="14" t="str">
        <f>IFERROR(__xludf.DUMMYFUNCTION("""COMPUTED_VALUE"""),"itprofiles.com")</f>
        <v>itprofiles.com</v>
      </c>
      <c r="D411" s="15" t="str">
        <f>IFERROR(__xludf.DUMMYFUNCTION("""COMPUTED_VALUE"""),"OTHER")</f>
        <v>OTHER</v>
      </c>
      <c r="E411" s="15" t="str">
        <f>IFERROR(__xludf.DUMMYFUNCTION("""COMPUTED_VALUE"""),"REFERENCE")</f>
        <v>REFERENCE</v>
      </c>
      <c r="F411" s="15" t="str">
        <f>IFERROR(__xludf.DUMMYFUNCTION("""COMPUTED_VALUE"""),"Other")</f>
        <v>Other</v>
      </c>
      <c r="G411" s="15" t="b">
        <f>IFERROR(__xludf.DUMMYFUNCTION("""COMPUTED_VALUE"""),FALSE)</f>
        <v>0</v>
      </c>
      <c r="H411" s="15" t="str">
        <f>IFERROR(__xludf.DUMMYFUNCTION("""COMPUTED_VALUE"""),"The SEO Works, Soap Media, Found")</f>
        <v>The SEO Works, Soap Media, Found</v>
      </c>
      <c r="I411" s="15">
        <f>IFERROR(__xludf.DUMMYFUNCTION("""COMPUTED_VALUE"""),2.0)</f>
        <v>2</v>
      </c>
      <c r="J411" s="15">
        <f>IFERROR(__xludf.DUMMYFUNCTION("""COMPUTED_VALUE"""),0.0)</f>
        <v>0</v>
      </c>
      <c r="K411" s="15">
        <f>IFERROR(__xludf.DUMMYFUNCTION("""COMPUTED_VALUE"""),0.0)</f>
        <v>0</v>
      </c>
      <c r="L411" s="15"/>
    </row>
    <row r="412" ht="15.75" customHeight="1">
      <c r="A412" s="14" t="str">
        <f>IFERROR(__xludf.DUMMYFUNCTION("""COMPUTED_VALUE"""),"https://www.latentview.com/glossary/incrementality-testing/")</f>
        <v>https://www.latentview.com/glossary/incrementality-testing/</v>
      </c>
      <c r="B412" s="15" t="str">
        <f>IFERROR(__xludf.DUMMYFUNCTION("""COMPUTED_VALUE"""),"What Is Incrementality Testing? Purpose, Best Practices &amp;amp; Frameworks")</f>
        <v>What Is Incrementality Testing? Purpose, Best Practices &amp;amp; Frameworks</v>
      </c>
      <c r="C412" s="14" t="str">
        <f>IFERROR(__xludf.DUMMYFUNCTION("""COMPUTED_VALUE"""),"latentview.com")</f>
        <v>latentview.com</v>
      </c>
      <c r="D412" s="15" t="str">
        <f>IFERROR(__xludf.DUMMYFUNCTION("""COMPUTED_VALUE"""),"HOW_TO_GUIDE")</f>
        <v>HOW_TO_GUIDE</v>
      </c>
      <c r="E412" s="15" t="str">
        <f>IFERROR(__xludf.DUMMYFUNCTION("""COMPUTED_VALUE"""),"CORPORATE")</f>
        <v>CORPORATE</v>
      </c>
      <c r="F412" s="15" t="str">
        <f>IFERROR(__xludf.DUMMYFUNCTION("""COMPUTED_VALUE"""),"How-To Guide")</f>
        <v>How-To Guide</v>
      </c>
      <c r="G412" s="15" t="b">
        <f>IFERROR(__xludf.DUMMYFUNCTION("""COMPUTED_VALUE"""),FALSE)</f>
        <v>0</v>
      </c>
      <c r="H412" s="15" t="str">
        <f>IFERROR(__xludf.DUMMYFUNCTION("""COMPUTED_VALUE"""),"Measured, Haus, Recast, Push")</f>
        <v>Measured, Haus, Recast, Push</v>
      </c>
      <c r="I412" s="15">
        <f>IFERROR(__xludf.DUMMYFUNCTION("""COMPUTED_VALUE"""),2.0)</f>
        <v>2</v>
      </c>
      <c r="J412" s="15">
        <f>IFERROR(__xludf.DUMMYFUNCTION("""COMPUTED_VALUE"""),0.0)</f>
        <v>0</v>
      </c>
      <c r="K412" s="15">
        <f>IFERROR(__xludf.DUMMYFUNCTION("""COMPUTED_VALUE"""),1.0)</f>
        <v>1</v>
      </c>
      <c r="L412" s="15"/>
    </row>
    <row r="413" ht="15.75" customHeight="1">
      <c r="A413" s="14" t="str">
        <f>IFERROR(__xludf.DUMMYFUNCTION("""COMPUTED_VALUE"""),"https://www.m1-project.com/blog/10-best-ai-marketing-agencies-in-depth-comparison")</f>
        <v>https://www.m1-project.com/blog/10-best-ai-marketing-agencies-in-depth-comparison</v>
      </c>
      <c r="B413" s="15" t="str">
        <f>IFERROR(__xludf.DUMMYFUNCTION("""COMPUTED_VALUE"""),"10 Best AI Marketing Agencies: In-Depth Comparison | M1-Project")</f>
        <v>10 Best AI Marketing Agencies: In-Depth Comparison | M1-Project</v>
      </c>
      <c r="C413" s="14" t="str">
        <f>IFERROR(__xludf.DUMMYFUNCTION("""COMPUTED_VALUE"""),"m1-project.com")</f>
        <v>m1-project.com</v>
      </c>
      <c r="D413" s="15" t="str">
        <f>IFERROR(__xludf.DUMMYFUNCTION("""COMPUTED_VALUE"""),"LISTICLE")</f>
        <v>LISTICLE</v>
      </c>
      <c r="E413" s="15" t="str">
        <f>IFERROR(__xludf.DUMMYFUNCTION("""COMPUTED_VALUE"""),"CORPORATE")</f>
        <v>CORPORATE</v>
      </c>
      <c r="F413" s="15" t="str">
        <f>IFERROR(__xludf.DUMMYFUNCTION("""COMPUTED_VALUE"""),"Listicle")</f>
        <v>Listicle</v>
      </c>
      <c r="G413" s="15" t="b">
        <f>IFERROR(__xludf.DUMMYFUNCTION("""COMPUTED_VALUE"""),FALSE)</f>
        <v>0</v>
      </c>
      <c r="H413" s="15" t="str">
        <f>IFERROR(__xludf.DUMMYFUNCTION("""COMPUTED_VALUE"""),"Ninja Promo, Ignite Visibility, Found, Push, Measured")</f>
        <v>Ninja Promo, Ignite Visibility, Found, Push, Measured</v>
      </c>
      <c r="I413" s="15">
        <f>IFERROR(__xludf.DUMMYFUNCTION("""COMPUTED_VALUE"""),2.0)</f>
        <v>2</v>
      </c>
      <c r="J413" s="15">
        <f>IFERROR(__xludf.DUMMYFUNCTION("""COMPUTED_VALUE"""),0.0)</f>
        <v>0</v>
      </c>
      <c r="K413" s="15">
        <f>IFERROR(__xludf.DUMMYFUNCTION("""COMPUTED_VALUE"""),0.0)</f>
        <v>0</v>
      </c>
      <c r="L413" s="15"/>
    </row>
    <row r="414" ht="15.75" customHeight="1">
      <c r="A414" s="14" t="str">
        <f>IFERROR(__xludf.DUMMYFUNCTION("""COMPUTED_VALUE"""),"https://madebyshape.co.uk/web-design-blog/the-best-social-media-agencies-in-the-uk/")</f>
        <v>https://madebyshape.co.uk/web-design-blog/the-best-social-media-agencies-in-the-uk/</v>
      </c>
      <c r="B414" s="15" t="str">
        <f>IFERROR(__xludf.DUMMYFUNCTION("""COMPUTED_VALUE"""),"The Best Social Media Agencies in the UK | MadeByShape")</f>
        <v>The Best Social Media Agencies in the UK | MadeByShape</v>
      </c>
      <c r="C414" s="14" t="str">
        <f>IFERROR(__xludf.DUMMYFUNCTION("""COMPUTED_VALUE"""),"madebyshape.co.uk")</f>
        <v>madebyshape.co.uk</v>
      </c>
      <c r="D414" s="15" t="str">
        <f>IFERROR(__xludf.DUMMYFUNCTION("""COMPUTED_VALUE"""),"LISTICLE")</f>
        <v>LISTICLE</v>
      </c>
      <c r="E414" s="15" t="str">
        <f>IFERROR(__xludf.DUMMYFUNCTION("""COMPUTED_VALUE"""),"CORPORATE")</f>
        <v>CORPORATE</v>
      </c>
      <c r="F414" s="15" t="str">
        <f>IFERROR(__xludf.DUMMYFUNCTION("""COMPUTED_VALUE"""),"Listicle")</f>
        <v>Listicle</v>
      </c>
      <c r="G414" s="15" t="b">
        <f>IFERROR(__xludf.DUMMYFUNCTION("""COMPUTED_VALUE"""),FALSE)</f>
        <v>0</v>
      </c>
      <c r="H414" s="15" t="str">
        <f>IFERROR(__xludf.DUMMYFUNCTION("""COMPUTED_VALUE"""),"The Good Marketer")</f>
        <v>The Good Marketer</v>
      </c>
      <c r="I414" s="15">
        <f>IFERROR(__xludf.DUMMYFUNCTION("""COMPUTED_VALUE"""),2.0)</f>
        <v>2</v>
      </c>
      <c r="J414" s="15">
        <f>IFERROR(__xludf.DUMMYFUNCTION("""COMPUTED_VALUE"""),0.0)</f>
        <v>0</v>
      </c>
      <c r="K414" s="15">
        <f>IFERROR(__xludf.DUMMYFUNCTION("""COMPUTED_VALUE"""),1.0)</f>
        <v>1</v>
      </c>
      <c r="L414" s="15"/>
    </row>
    <row r="415" ht="15.75" customHeight="1">
      <c r="A415" s="14" t="str">
        <f>IFERROR(__xludf.DUMMYFUNCTION("""COMPUTED_VALUE"""),"https://www.marketingagencyindex.com/uk/services/creative")</f>
        <v>https://www.marketingagencyindex.com/uk/services/creative</v>
      </c>
      <c r="B415" s="15" t="str">
        <f>IFERROR(__xludf.DUMMYFUNCTION("""COMPUTED_VALUE"""),"Best Creative Agencies in the UK | Agency Index")</f>
        <v>Best Creative Agencies in the UK | Agency Index</v>
      </c>
      <c r="C415" s="14" t="str">
        <f>IFERROR(__xludf.DUMMYFUNCTION("""COMPUTED_VALUE"""),"marketingagencyindex.com")</f>
        <v>marketingagencyindex.com</v>
      </c>
      <c r="D415" s="15" t="str">
        <f>IFERROR(__xludf.DUMMYFUNCTION("""COMPUTED_VALUE"""),"CATEGORY_PAGE")</f>
        <v>CATEGORY_PAGE</v>
      </c>
      <c r="E415" s="15" t="str">
        <f>IFERROR(__xludf.DUMMYFUNCTION("""COMPUTED_VALUE"""),"UGC")</f>
        <v>UGC</v>
      </c>
      <c r="F415" s="15" t="str">
        <f>IFERROR(__xludf.DUMMYFUNCTION("""COMPUTED_VALUE"""),"Category Page")</f>
        <v>Category Page</v>
      </c>
      <c r="G415" s="15" t="b">
        <f>IFERROR(__xludf.DUMMYFUNCTION("""COMPUTED_VALUE"""),FALSE)</f>
        <v>0</v>
      </c>
      <c r="H415" s="15" t="str">
        <f>IFERROR(__xludf.DUMMYFUNCTION("""COMPUTED_VALUE"""),"Momentum, Mother London, Adam&amp;eveDDB")</f>
        <v>Momentum, Mother London, Adam&amp;eveDDB</v>
      </c>
      <c r="I415" s="15">
        <f>IFERROR(__xludf.DUMMYFUNCTION("""COMPUTED_VALUE"""),2.0)</f>
        <v>2</v>
      </c>
      <c r="J415" s="15">
        <f>IFERROR(__xludf.DUMMYFUNCTION("""COMPUTED_VALUE"""),0.0)</f>
        <v>0</v>
      </c>
      <c r="K415" s="15">
        <f>IFERROR(__xludf.DUMMYFUNCTION("""COMPUTED_VALUE"""),0.0)</f>
        <v>0</v>
      </c>
      <c r="L415" s="15"/>
    </row>
    <row r="416" ht="15.75" customHeight="1">
      <c r="A416" s="14" t="str">
        <f>IFERROR(__xludf.DUMMYFUNCTION("""COMPUTED_VALUE"""),"https://marketingsignals.com/best-geo-agency-2026-the-top-generative-engine-optimisation-agencies-ranked/")</f>
        <v>https://marketingsignals.com/best-geo-agency-2026-the-top-generative-engine-optimisation-agencies-ranked/</v>
      </c>
      <c r="B416" s="15" t="str">
        <f>IFERROR(__xludf.DUMMYFUNCTION("""COMPUTED_VALUE"""),"Best GEO Agency 2026: The Top Generative Engine Optimisation Agencies Ranked - Marketing Signals")</f>
        <v>Best GEO Agency 2026: The Top Generative Engine Optimisation Agencies Ranked - Marketing Signals</v>
      </c>
      <c r="C416" s="14" t="str">
        <f>IFERROR(__xludf.DUMMYFUNCTION("""COMPUTED_VALUE"""),"marketingsignals.com")</f>
        <v>marketingsignals.com</v>
      </c>
      <c r="D416" s="15" t="str">
        <f>IFERROR(__xludf.DUMMYFUNCTION("""COMPUTED_VALUE"""),"LISTICLE")</f>
        <v>LISTICLE</v>
      </c>
      <c r="E416" s="15" t="str">
        <f>IFERROR(__xludf.DUMMYFUNCTION("""COMPUTED_VALUE"""),"CORPORATE")</f>
        <v>CORPORATE</v>
      </c>
      <c r="F416" s="15" t="str">
        <f>IFERROR(__xludf.DUMMYFUNCTION("""COMPUTED_VALUE"""),"Listicle")</f>
        <v>Listicle</v>
      </c>
      <c r="G416" s="15" t="b">
        <f>IFERROR(__xludf.DUMMYFUNCTION("""COMPUTED_VALUE"""),FALSE)</f>
        <v>0</v>
      </c>
      <c r="H416" s="15" t="str">
        <f>IFERROR(__xludf.DUMMYFUNCTION("""COMPUTED_VALUE"""),"Single Grain, Measured, Transmission")</f>
        <v>Single Grain, Measured, Transmission</v>
      </c>
      <c r="I416" s="15">
        <f>IFERROR(__xludf.DUMMYFUNCTION("""COMPUTED_VALUE"""),2.0)</f>
        <v>2</v>
      </c>
      <c r="J416" s="15">
        <f>IFERROR(__xludf.DUMMYFUNCTION("""COMPUTED_VALUE"""),0.0)</f>
        <v>0</v>
      </c>
      <c r="K416" s="15">
        <f>IFERROR(__xludf.DUMMYFUNCTION("""COMPUTED_VALUE"""),0.0)</f>
        <v>0</v>
      </c>
      <c r="L416" s="15"/>
    </row>
    <row r="417" ht="15.75" customHeight="1">
      <c r="A417" s="14" t="str">
        <f>IFERROR(__xludf.DUMMYFUNCTION("""COMPUTED_VALUE"""),"https://www.mintcopywritingstudios.com/blog/ai-search-optimization-geo-agencies")</f>
        <v>https://www.mintcopywritingstudios.com/blog/ai-search-optimization-geo-agencies</v>
      </c>
      <c r="B417" s="15" t="str">
        <f>IFERROR(__xludf.DUMMYFUNCTION("""COMPUTED_VALUE"""),"Top Generative Engine Optimization (GEO) Agencies in 2026: 10+ AI Search Specialists Compared | Mint Studios")</f>
        <v>Top Generative Engine Optimization (GEO) Agencies in 2026: 10+ AI Search Specialists Compared | Mint Studios</v>
      </c>
      <c r="C417" s="14" t="str">
        <f>IFERROR(__xludf.DUMMYFUNCTION("""COMPUTED_VALUE"""),"mintcopywritingstudios.com")</f>
        <v>mintcopywritingstudios.com</v>
      </c>
      <c r="D417" s="15" t="str">
        <f>IFERROR(__xludf.DUMMYFUNCTION("""COMPUTED_VALUE"""),"LISTICLE")</f>
        <v>LISTICLE</v>
      </c>
      <c r="E417" s="15" t="str">
        <f>IFERROR(__xludf.DUMMYFUNCTION("""COMPUTED_VALUE"""),"CORPORATE")</f>
        <v>CORPORATE</v>
      </c>
      <c r="F417" s="15" t="str">
        <f>IFERROR(__xludf.DUMMYFUNCTION("""COMPUTED_VALUE"""),"Listicle")</f>
        <v>Listicle</v>
      </c>
      <c r="G417" s="15" t="b">
        <f>IFERROR(__xludf.DUMMYFUNCTION("""COMPUTED_VALUE"""),FALSE)</f>
        <v>0</v>
      </c>
      <c r="H417" s="15" t="str">
        <f>IFERROR(__xludf.DUMMYFUNCTION("""COMPUTED_VALUE"""),"Found, NoGood, WebFX, The SEO Works, Siege Media, Omniscient Digital, Single Grain, Huge, Measured")</f>
        <v>Found, NoGood, WebFX, The SEO Works, Siege Media, Omniscient Digital, Single Grain, Huge, Measured</v>
      </c>
      <c r="I417" s="15">
        <f>IFERROR(__xludf.DUMMYFUNCTION("""COMPUTED_VALUE"""),2.0)</f>
        <v>2</v>
      </c>
      <c r="J417" s="15">
        <f>IFERROR(__xludf.DUMMYFUNCTION("""COMPUTED_VALUE"""),0.0)</f>
        <v>0</v>
      </c>
      <c r="K417" s="15">
        <f>IFERROR(__xludf.DUMMYFUNCTION("""COMPUTED_VALUE"""),0.0)</f>
        <v>0</v>
      </c>
      <c r="L417" s="15"/>
    </row>
    <row r="418" ht="15.75" customHeight="1">
      <c r="A418" s="14"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418" s="15" t="str">
        <f>IFERROR(__xludf.DUMMYFUNCTION("""COMPUTED_VALUE"""),"15 Best Answer Engine Optimization Agencies: AEO Insights Company Rankings for 2026")</f>
        <v>15 Best Answer Engine Optimization Agencies: AEO Insights Company Rankings for 2026</v>
      </c>
      <c r="C418" s="14" t="str">
        <f>IFERROR(__xludf.DUMMYFUNCTION("""COMPUTED_VALUE"""),"modernmarketingpartners.com")</f>
        <v>modernmarketingpartners.com</v>
      </c>
      <c r="D418" s="15" t="str">
        <f>IFERROR(__xludf.DUMMYFUNCTION("""COMPUTED_VALUE"""),"LISTICLE")</f>
        <v>LISTICLE</v>
      </c>
      <c r="E418" s="15" t="str">
        <f>IFERROR(__xludf.DUMMYFUNCTION("""COMPUTED_VALUE"""),"CORPORATE")</f>
        <v>CORPORATE</v>
      </c>
      <c r="F418" s="15" t="str">
        <f>IFERROR(__xludf.DUMMYFUNCTION("""COMPUTED_VALUE"""),"Listicle")</f>
        <v>Listicle</v>
      </c>
      <c r="G418" s="15" t="b">
        <f>IFERROR(__xludf.DUMMYFUNCTION("""COMPUTED_VALUE"""),FALSE)</f>
        <v>0</v>
      </c>
      <c r="H418" s="15" t="str">
        <f>IFERROR(__xludf.DUMMYFUNCTION("""COMPUTED_VALUE"""),"Siege Media, Single Grain, Omniscient Digital, NoGood")</f>
        <v>Siege Media, Single Grain, Omniscient Digital, NoGood</v>
      </c>
      <c r="I418" s="15">
        <f>IFERROR(__xludf.DUMMYFUNCTION("""COMPUTED_VALUE"""),2.0)</f>
        <v>2</v>
      </c>
      <c r="J418" s="15">
        <f>IFERROR(__xludf.DUMMYFUNCTION("""COMPUTED_VALUE"""),0.0)</f>
        <v>0</v>
      </c>
      <c r="K418" s="15">
        <f>IFERROR(__xludf.DUMMYFUNCTION("""COMPUTED_VALUE"""),0.0)</f>
        <v>0</v>
      </c>
      <c r="L418" s="15"/>
    </row>
    <row r="419" ht="15.75" customHeight="1">
      <c r="A419" s="14" t="str">
        <f>IFERROR(__xludf.DUMMYFUNCTION("""COMPUTED_VALUE"""),"https://www.moreaboutadvertising.com/2025/03/saatchi-saatchi-tops-uk-billings-table-publicis-is-top-group/")</f>
        <v>https://www.moreaboutadvertising.com/2025/03/saatchi-saatchi-tops-uk-billings-table-publicis-is-top-group/</v>
      </c>
      <c r="B419" s="15" t="str">
        <f>IFERROR(__xludf.DUMMYFUNCTION("""COMPUTED_VALUE"""),"Saatchi &amp; Saatchi tops UK billings table, Publicis is top group - More About Advertising")</f>
        <v>Saatchi &amp; Saatchi tops UK billings table, Publicis is top group - More About Advertising</v>
      </c>
      <c r="C419" s="14" t="str">
        <f>IFERROR(__xludf.DUMMYFUNCTION("""COMPUTED_VALUE"""),"moreaboutadvertising.com")</f>
        <v>moreaboutadvertising.com</v>
      </c>
      <c r="D419" s="15" t="str">
        <f>IFERROR(__xludf.DUMMYFUNCTION("""COMPUTED_VALUE"""),"OTHER")</f>
        <v>OTHER</v>
      </c>
      <c r="E419" s="15" t="str">
        <f>IFERROR(__xludf.DUMMYFUNCTION("""COMPUTED_VALUE"""),"OTHER")</f>
        <v>OTHER</v>
      </c>
      <c r="F419" s="15" t="str">
        <f>IFERROR(__xludf.DUMMYFUNCTION("""COMPUTED_VALUE"""),"Other")</f>
        <v>Other</v>
      </c>
      <c r="G419" s="15" t="b">
        <f>IFERROR(__xludf.DUMMYFUNCTION("""COMPUTED_VALUE"""),FALSE)</f>
        <v>0</v>
      </c>
      <c r="H419" s="15" t="str">
        <f>IFERROR(__xludf.DUMMYFUNCTION("""COMPUTED_VALUE"""),"Nielsen, Saatchi &amp; Saatchi, VCCP, BBH London, Publicis Groupe, WPP, Ogilvy, Omnicom, Adam&amp;eveDDB, AMV BBDO, Lucky Generals")</f>
        <v>Nielsen, Saatchi &amp; Saatchi, VCCP, BBH London, Publicis Groupe, WPP, Ogilvy, Omnicom, Adam&amp;eveDDB, AMV BBDO, Lucky Generals</v>
      </c>
      <c r="I419" s="15">
        <f>IFERROR(__xludf.DUMMYFUNCTION("""COMPUTED_VALUE"""),2.0)</f>
        <v>2</v>
      </c>
      <c r="J419" s="15">
        <f>IFERROR(__xludf.DUMMYFUNCTION("""COMPUTED_VALUE"""),0.0)</f>
        <v>0</v>
      </c>
      <c r="K419" s="15">
        <f>IFERROR(__xludf.DUMMYFUNCTION("""COMPUTED_VALUE"""),0.0)</f>
        <v>0</v>
      </c>
      <c r="L419" s="15"/>
    </row>
    <row r="420" ht="15.75" customHeight="1">
      <c r="A420" s="14" t="str">
        <f>IFERROR(__xludf.DUMMYFUNCTION("""COMPUTED_VALUE"""),"https://mqlflow.com/")</f>
        <v>https://mqlflow.com/</v>
      </c>
      <c r="B420" s="15" t="str">
        <f>IFERROR(__xludf.DUMMYFUNCTION("""COMPUTED_VALUE"""),"Best AI Automation Agency UK | MQLFlow")</f>
        <v>Best AI Automation Agency UK | MQLFlow</v>
      </c>
      <c r="C420" s="14" t="str">
        <f>IFERROR(__xludf.DUMMYFUNCTION("""COMPUTED_VALUE"""),"mqlflow.com")</f>
        <v>mqlflow.com</v>
      </c>
      <c r="D420" s="15" t="str">
        <f>IFERROR(__xludf.DUMMYFUNCTION("""COMPUTED_VALUE"""),"HOMEPAGE")</f>
        <v>HOMEPAGE</v>
      </c>
      <c r="E420" s="15" t="str">
        <f>IFERROR(__xludf.DUMMYFUNCTION("""COMPUTED_VALUE"""),"CORPORATE")</f>
        <v>CORPORATE</v>
      </c>
      <c r="F420" s="15" t="str">
        <f>IFERROR(__xludf.DUMMYFUNCTION("""COMPUTED_VALUE"""),"Homepage")</f>
        <v>Homepage</v>
      </c>
      <c r="G420" s="15" t="b">
        <f>IFERROR(__xludf.DUMMYFUNCTION("""COMPUTED_VALUE"""),FALSE)</f>
        <v>0</v>
      </c>
      <c r="H420" s="15"/>
      <c r="I420" s="15">
        <f>IFERROR(__xludf.DUMMYFUNCTION("""COMPUTED_VALUE"""),2.0)</f>
        <v>2</v>
      </c>
      <c r="J420" s="15">
        <f>IFERROR(__xludf.DUMMYFUNCTION("""COMPUTED_VALUE"""),0.0)</f>
        <v>0</v>
      </c>
      <c r="K420" s="15">
        <f>IFERROR(__xludf.DUMMYFUNCTION("""COMPUTED_VALUE"""),0.5)</f>
        <v>0.5</v>
      </c>
      <c r="L420" s="15"/>
    </row>
    <row r="421" ht="15.75" customHeight="1">
      <c r="A421" s="14" t="str">
        <f>IFERROR(__xludf.DUMMYFUNCTION("""COMPUTED_VALUE"""),"https://www.munro.agency/best-digital-marketing-agencies-in-london/")</f>
        <v>https://www.munro.agency/best-digital-marketing-agencies-in-london/</v>
      </c>
      <c r="B421" s="15" t="str">
        <f>IFERROR(__xludf.DUMMYFUNCTION("""COMPUTED_VALUE"""),"10 Best Digital Marketing Agencies in London for 2026")</f>
        <v>10 Best Digital Marketing Agencies in London for 2026</v>
      </c>
      <c r="C421" s="15" t="str">
        <f>IFERROR(__xludf.DUMMYFUNCTION("""COMPUTED_VALUE"""),"munro.agency")</f>
        <v>munro.agency</v>
      </c>
      <c r="D421" s="15" t="str">
        <f>IFERROR(__xludf.DUMMYFUNCTION("""COMPUTED_VALUE"""),"LISTICLE")</f>
        <v>LISTICLE</v>
      </c>
      <c r="E421" s="15" t="str">
        <f>IFERROR(__xludf.DUMMYFUNCTION("""COMPUTED_VALUE"""),"CORPORATE")</f>
        <v>CORPORATE</v>
      </c>
      <c r="F421" s="15" t="str">
        <f>IFERROR(__xludf.DUMMYFUNCTION("""COMPUTED_VALUE"""),"Listicle")</f>
        <v>Listicle</v>
      </c>
      <c r="G421" s="15" t="b">
        <f>IFERROR(__xludf.DUMMYFUNCTION("""COMPUTED_VALUE"""),FALSE)</f>
        <v>0</v>
      </c>
      <c r="H421" s="15" t="str">
        <f>IFERROR(__xludf.DUMMYFUNCTION("""COMPUTED_VALUE"""),"Found, Croud, Born Social, ROAST")</f>
        <v>Found, Croud, Born Social, ROAST</v>
      </c>
      <c r="I421" s="15">
        <f>IFERROR(__xludf.DUMMYFUNCTION("""COMPUTED_VALUE"""),2.0)</f>
        <v>2</v>
      </c>
      <c r="J421" s="15">
        <f>IFERROR(__xludf.DUMMYFUNCTION("""COMPUTED_VALUE"""),0.0)</f>
        <v>0</v>
      </c>
      <c r="K421" s="15">
        <f>IFERROR(__xludf.DUMMYFUNCTION("""COMPUTED_VALUE"""),1.0)</f>
        <v>1</v>
      </c>
      <c r="L421" s="15"/>
    </row>
    <row r="422" ht="15.75" customHeight="1">
      <c r="A422" s="14" t="str">
        <f>IFERROR(__xludf.DUMMYFUNCTION("""COMPUTED_VALUE"""),"https://www.munro.agency/insights/top-marketing-companies-in-the-world/")</f>
        <v>https://www.munro.agency/insights/top-marketing-companies-in-the-world/</v>
      </c>
      <c r="B422" s="15" t="str">
        <f>IFERROR(__xludf.DUMMYFUNCTION("""COMPUTED_VALUE"""),"Top 50 Marketing Companies in the World Ranked by Revenue - The Munro Agency")</f>
        <v>Top 50 Marketing Companies in the World Ranked by Revenue - The Munro Agency</v>
      </c>
      <c r="C422" s="15" t="str">
        <f>IFERROR(__xludf.DUMMYFUNCTION("""COMPUTED_VALUE"""),"munro.agency")</f>
        <v>munro.agency</v>
      </c>
      <c r="D422" s="15" t="str">
        <f>IFERROR(__xludf.DUMMYFUNCTION("""COMPUTED_VALUE"""),"LISTICLE")</f>
        <v>LISTICLE</v>
      </c>
      <c r="E422" s="15" t="str">
        <f>IFERROR(__xludf.DUMMYFUNCTION("""COMPUTED_VALUE"""),"CORPORATE")</f>
        <v>CORPORATE</v>
      </c>
      <c r="F422" s="15" t="str">
        <f>IFERROR(__xludf.DUMMYFUNCTION("""COMPUTED_VALUE"""),"Listicle")</f>
        <v>Listicle</v>
      </c>
      <c r="G422" s="15" t="b">
        <f>IFERROR(__xludf.DUMMYFUNCTION("""COMPUTED_VALUE"""),FALSE)</f>
        <v>0</v>
      </c>
      <c r="H422" s="15" t="str">
        <f>IFERROR(__xludf.DUMMYFUNCTION("""COMPUTED_VALUE"""),"Croud, Saatchi &amp; Saatchi, AKQA, Ogilvy, WPP, Dentsu, Omnicom, Publicis Groupe, Accenture Song, Deloitte Digital, PwC, EY")</f>
        <v>Croud, Saatchi &amp; Saatchi, AKQA, Ogilvy, WPP, Dentsu, Omnicom, Publicis Groupe, Accenture Song, Deloitte Digital, PwC, EY</v>
      </c>
      <c r="I422" s="15">
        <f>IFERROR(__xludf.DUMMYFUNCTION("""COMPUTED_VALUE"""),2.0)</f>
        <v>2</v>
      </c>
      <c r="J422" s="15">
        <f>IFERROR(__xludf.DUMMYFUNCTION("""COMPUTED_VALUE"""),0.0)</f>
        <v>0</v>
      </c>
      <c r="K422" s="15">
        <f>IFERROR(__xludf.DUMMYFUNCTION("""COMPUTED_VALUE"""),1.0)</f>
        <v>1</v>
      </c>
      <c r="L422" s="15"/>
    </row>
    <row r="423" ht="15.75" customHeight="1">
      <c r="A423" s="14" t="str">
        <f>IFERROR(__xludf.DUMMYFUNCTION("""COMPUTED_VALUE"""),"https://netmonkeys.co.uk/top-10-ai-gen-ai-consultancy-firms-in-the-uk-netmonkeys")</f>
        <v>https://netmonkeys.co.uk/top-10-ai-gen-ai-consultancy-firms-in-the-uk-netmonkeys</v>
      </c>
      <c r="B423" s="15" t="str">
        <f>IFERROR(__xludf.DUMMYFUNCTION("""COMPUTED_VALUE"""),"Top 10 AI &amp;amp; Gen AI Consultancy Firms in the UK | NetMonkeys")</f>
        <v>Top 10 AI &amp;amp; Gen AI Consultancy Firms in the UK | NetMonkeys</v>
      </c>
      <c r="C423" s="14" t="str">
        <f>IFERROR(__xludf.DUMMYFUNCTION("""COMPUTED_VALUE"""),"netmonkeys.co.uk")</f>
        <v>netmonkeys.co.uk</v>
      </c>
      <c r="D423" s="15" t="str">
        <f>IFERROR(__xludf.DUMMYFUNCTION("""COMPUTED_VALUE"""),"LISTICLE")</f>
        <v>LISTICLE</v>
      </c>
      <c r="E423" s="15" t="str">
        <f>IFERROR(__xludf.DUMMYFUNCTION("""COMPUTED_VALUE"""),"CORPORATE")</f>
        <v>CORPORATE</v>
      </c>
      <c r="F423" s="15" t="str">
        <f>IFERROR(__xludf.DUMMYFUNCTION("""COMPUTED_VALUE"""),"Listicle")</f>
        <v>Listicle</v>
      </c>
      <c r="G423" s="15" t="b">
        <f>IFERROR(__xludf.DUMMYFUNCTION("""COMPUTED_VALUE"""),FALSE)</f>
        <v>0</v>
      </c>
      <c r="H423" s="15" t="str">
        <f>IFERROR(__xludf.DUMMYFUNCTION("""COMPUTED_VALUE"""),"EY, PwC")</f>
        <v>EY, PwC</v>
      </c>
      <c r="I423" s="15">
        <f>IFERROR(__xludf.DUMMYFUNCTION("""COMPUTED_VALUE"""),2.0)</f>
        <v>2</v>
      </c>
      <c r="J423" s="15">
        <f>IFERROR(__xludf.DUMMYFUNCTION("""COMPUTED_VALUE"""),0.0)</f>
        <v>0</v>
      </c>
      <c r="K423" s="15">
        <f>IFERROR(__xludf.DUMMYFUNCTION("""COMPUTED_VALUE"""),0.0)</f>
        <v>0</v>
      </c>
      <c r="L423" s="15"/>
    </row>
    <row r="424" ht="15.75" customHeight="1">
      <c r="A424" s="14" t="str">
        <f>IFERROR(__xludf.DUMMYFUNCTION("""COMPUTED_VALUE"""),"https://neuraladx.com/best-ai-search-optimisation-agency-property-companies-uk/")</f>
        <v>https://neuraladx.com/best-ai-search-optimisation-agency-property-companies-uk/</v>
      </c>
      <c r="B424" s="15" t="str">
        <f>IFERROR(__xludf.DUMMYFUNCTION("""COMPUTED_VALUE"""),"Best AI Search Optimisation Agency for Property Companies UK")</f>
        <v>Best AI Search Optimisation Agency for Property Companies UK</v>
      </c>
      <c r="C424" s="14" t="str">
        <f>IFERROR(__xludf.DUMMYFUNCTION("""COMPUTED_VALUE"""),"neuraladx.com")</f>
        <v>neuraladx.com</v>
      </c>
      <c r="D424" s="15" t="str">
        <f>IFERROR(__xludf.DUMMYFUNCTION("""COMPUTED_VALUE"""),"OTHER")</f>
        <v>OTHER</v>
      </c>
      <c r="E424" s="15" t="str">
        <f>IFERROR(__xludf.DUMMYFUNCTION("""COMPUTED_VALUE"""),"UGC")</f>
        <v>UGC</v>
      </c>
      <c r="F424" s="15" t="str">
        <f>IFERROR(__xludf.DUMMYFUNCTION("""COMPUTED_VALUE"""),"Other")</f>
        <v>Other</v>
      </c>
      <c r="G424" s="15" t="b">
        <f>IFERROR(__xludf.DUMMYFUNCTION("""COMPUTED_VALUE"""),FALSE)</f>
        <v>0</v>
      </c>
      <c r="H424" s="15" t="str">
        <f>IFERROR(__xludf.DUMMYFUNCTION("""COMPUTED_VALUE"""),"PwC, Siege Media, Found, Deloitte Digital")</f>
        <v>PwC, Siege Media, Found, Deloitte Digital</v>
      </c>
      <c r="I424" s="15">
        <f>IFERROR(__xludf.DUMMYFUNCTION("""COMPUTED_VALUE"""),2.0)</f>
        <v>2</v>
      </c>
      <c r="J424" s="15">
        <f>IFERROR(__xludf.DUMMYFUNCTION("""COMPUTED_VALUE"""),0.0)</f>
        <v>0</v>
      </c>
      <c r="K424" s="15">
        <f>IFERROR(__xludf.DUMMYFUNCTION("""COMPUTED_VALUE"""),1.0)</f>
        <v>1</v>
      </c>
      <c r="L424" s="15"/>
    </row>
    <row r="425" ht="15.75" customHeight="1">
      <c r="A425" s="14" t="str">
        <f>IFERROR(__xludf.DUMMYFUNCTION("""COMPUTED_VALUE"""),"https://neuraladx.com/top-10-geo-agencies-uk/")</f>
        <v>https://neuraladx.com/top-10-geo-agencies-uk/</v>
      </c>
      <c r="B425" s="15" t="str">
        <f>IFERROR(__xludf.DUMMYFUNCTION("""COMPUTED_VALUE"""),"Top 10 GEO Agencies UK for ChatGPT, Perplexity, Copilot &amp;amp; Google AI Mode")</f>
        <v>Top 10 GEO Agencies UK for ChatGPT, Perplexity, Copilot &amp;amp; Google AI Mode</v>
      </c>
      <c r="C425" s="14" t="str">
        <f>IFERROR(__xludf.DUMMYFUNCTION("""COMPUTED_VALUE"""),"neuraladx.com")</f>
        <v>neuraladx.com</v>
      </c>
      <c r="D425" s="15" t="str">
        <f>IFERROR(__xludf.DUMMYFUNCTION("""COMPUTED_VALUE"""),"LISTICLE")</f>
        <v>LISTICLE</v>
      </c>
      <c r="E425" s="15" t="str">
        <f>IFERROR(__xludf.DUMMYFUNCTION("""COMPUTED_VALUE"""),"UGC")</f>
        <v>UGC</v>
      </c>
      <c r="F425" s="15" t="str">
        <f>IFERROR(__xludf.DUMMYFUNCTION("""COMPUTED_VALUE"""),"Listicle")</f>
        <v>Listicle</v>
      </c>
      <c r="G425" s="15" t="b">
        <f>IFERROR(__xludf.DUMMYFUNCTION("""COMPUTED_VALUE"""),FALSE)</f>
        <v>0</v>
      </c>
      <c r="H425" s="15" t="str">
        <f>IFERROR(__xludf.DUMMYFUNCTION("""COMPUTED_VALUE"""),"Impression, Blue Array, Koozai, Hallam, Found, Builtvisible")</f>
        <v>Impression, Blue Array, Koozai, Hallam, Found, Builtvisible</v>
      </c>
      <c r="I425" s="15">
        <f>IFERROR(__xludf.DUMMYFUNCTION("""COMPUTED_VALUE"""),2.0)</f>
        <v>2</v>
      </c>
      <c r="J425" s="15">
        <f>IFERROR(__xludf.DUMMYFUNCTION("""COMPUTED_VALUE"""),0.0)</f>
        <v>0</v>
      </c>
      <c r="K425" s="15">
        <f>IFERROR(__xludf.DUMMYFUNCTION("""COMPUTED_VALUE"""),1.0)</f>
        <v>1</v>
      </c>
      <c r="L425" s="15"/>
    </row>
    <row r="426" ht="15.75" customHeight="1">
      <c r="A426" s="14" t="str">
        <f>IFERROR(__xludf.DUMMYFUNCTION("""COMPUTED_VALUE"""),"https://nogood.io/blog/ai-marketing-agency/")</f>
        <v>https://nogood.io/blog/ai-marketing-agency/</v>
      </c>
      <c r="B426" s="15" t="str">
        <f>IFERROR(__xludf.DUMMYFUNCTION("""COMPUTED_VALUE"""),"Top 5 AI Marketing Agencies for Growth in 2026 | NoGood")</f>
        <v>Top 5 AI Marketing Agencies for Growth in 2026 | NoGood</v>
      </c>
      <c r="C426" s="14" t="str">
        <f>IFERROR(__xludf.DUMMYFUNCTION("""COMPUTED_VALUE"""),"nogood.io")</f>
        <v>nogood.io</v>
      </c>
      <c r="D426" s="15" t="str">
        <f>IFERROR(__xludf.DUMMYFUNCTION("""COMPUTED_VALUE"""),"LISTICLE")</f>
        <v>LISTICLE</v>
      </c>
      <c r="E426" s="15" t="str">
        <f>IFERROR(__xludf.DUMMYFUNCTION("""COMPUTED_VALUE"""),"COMPETITOR")</f>
        <v>COMPETITOR</v>
      </c>
      <c r="F426" s="15" t="str">
        <f>IFERROR(__xludf.DUMMYFUNCTION("""COMPUTED_VALUE"""),"Listicle")</f>
        <v>Listicle</v>
      </c>
      <c r="G426" s="15" t="b">
        <f>IFERROR(__xludf.DUMMYFUNCTION("""COMPUTED_VALUE"""),FALSE)</f>
        <v>0</v>
      </c>
      <c r="H426" s="15" t="str">
        <f>IFERROR(__xludf.DUMMYFUNCTION("""COMPUTED_VALUE"""),"NoGood, Single Grain, inBeat")</f>
        <v>NoGood, Single Grain, inBeat</v>
      </c>
      <c r="I426" s="15">
        <f>IFERROR(__xludf.DUMMYFUNCTION("""COMPUTED_VALUE"""),2.0)</f>
        <v>2</v>
      </c>
      <c r="J426" s="15">
        <f>IFERROR(__xludf.DUMMYFUNCTION("""COMPUTED_VALUE"""),0.0)</f>
        <v>0</v>
      </c>
      <c r="K426" s="15">
        <f>IFERROR(__xludf.DUMMYFUNCTION("""COMPUTED_VALUE"""),1.0)</f>
        <v>1</v>
      </c>
      <c r="L426" s="15"/>
    </row>
    <row r="427" ht="15.75" customHeight="1">
      <c r="A427" s="14" t="str">
        <f>IFERROR(__xludf.DUMMYFUNCTION("""COMPUTED_VALUE"""),"https://www.noisemediagroup.co.uk/insights/the-best-social-media-marketing-agencies-in-london-2026")</f>
        <v>https://www.noisemediagroup.co.uk/insights/the-best-social-media-marketing-agencies-in-london-2026</v>
      </c>
      <c r="B427" s="15" t="str">
        <f>IFERROR(__xludf.DUMMYFUNCTION("""COMPUTED_VALUE"""),"The Best Social Media Marketing Agencies in London (2026)")</f>
        <v>The Best Social Media Marketing Agencies in London (2026)</v>
      </c>
      <c r="C427" s="14" t="str">
        <f>IFERROR(__xludf.DUMMYFUNCTION("""COMPUTED_VALUE"""),"noisemediagroup.co.uk")</f>
        <v>noisemediagroup.co.uk</v>
      </c>
      <c r="D427" s="15" t="str">
        <f>IFERROR(__xludf.DUMMYFUNCTION("""COMPUTED_VALUE"""),"LISTICLE")</f>
        <v>LISTICLE</v>
      </c>
      <c r="E427" s="15" t="str">
        <f>IFERROR(__xludf.DUMMYFUNCTION("""COMPUTED_VALUE"""),"CORPORATE")</f>
        <v>CORPORATE</v>
      </c>
      <c r="F427" s="15" t="str">
        <f>IFERROR(__xludf.DUMMYFUNCTION("""COMPUTED_VALUE"""),"Listicle")</f>
        <v>Listicle</v>
      </c>
      <c r="G427" s="15" t="b">
        <f>IFERROR(__xludf.DUMMYFUNCTION("""COMPUTED_VALUE"""),FALSE)</f>
        <v>0</v>
      </c>
      <c r="H427" s="15" t="str">
        <f>IFERROR(__xludf.DUMMYFUNCTION("""COMPUTED_VALUE"""),"The Social Shepherd, Born Social, Croud, Social Chain, We Are Social, Dept, Disrupt Marketing")</f>
        <v>The Social Shepherd, Born Social, Croud, Social Chain, We Are Social, Dept, Disrupt Marketing</v>
      </c>
      <c r="I427" s="15">
        <f>IFERROR(__xludf.DUMMYFUNCTION("""COMPUTED_VALUE"""),2.0)</f>
        <v>2</v>
      </c>
      <c r="J427" s="15">
        <f>IFERROR(__xludf.DUMMYFUNCTION("""COMPUTED_VALUE"""),0.0)</f>
        <v>0</v>
      </c>
      <c r="K427" s="15">
        <f>IFERROR(__xludf.DUMMYFUNCTION("""COMPUTED_VALUE"""),1.5)</f>
        <v>1.5</v>
      </c>
      <c r="L427" s="15"/>
    </row>
    <row r="428" ht="15.75" customHeight="1">
      <c r="A428" s="14" t="str">
        <f>IFERROR(__xludf.DUMMYFUNCTION("""COMPUTED_VALUE"""),"https://www.noisemediagroup.co.uk/insights/the-best-tiktok-marketing-agencies-in-the-uk-2026")</f>
        <v>https://www.noisemediagroup.co.uk/insights/the-best-tiktok-marketing-agencies-in-the-uk-2026</v>
      </c>
      <c r="B428" s="15" t="str">
        <f>IFERROR(__xludf.DUMMYFUNCTION("""COMPUTED_VALUE"""),"The Best TikTok Marketing Agencies in the UK (2026)")</f>
        <v>The Best TikTok Marketing Agencies in the UK (2026)</v>
      </c>
      <c r="C428" s="14" t="str">
        <f>IFERROR(__xludf.DUMMYFUNCTION("""COMPUTED_VALUE"""),"noisemediagroup.co.uk")</f>
        <v>noisemediagroup.co.uk</v>
      </c>
      <c r="D428" s="15" t="str">
        <f>IFERROR(__xludf.DUMMYFUNCTION("""COMPUTED_VALUE"""),"LISTICLE")</f>
        <v>LISTICLE</v>
      </c>
      <c r="E428" s="15" t="str">
        <f>IFERROR(__xludf.DUMMYFUNCTION("""COMPUTED_VALUE"""),"CORPORATE")</f>
        <v>CORPORATE</v>
      </c>
      <c r="F428" s="15" t="str">
        <f>IFERROR(__xludf.DUMMYFUNCTION("""COMPUTED_VALUE"""),"Listicle")</f>
        <v>Listicle</v>
      </c>
      <c r="G428" s="15" t="b">
        <f>IFERROR(__xludf.DUMMYFUNCTION("""COMPUTED_VALUE"""),FALSE)</f>
        <v>0</v>
      </c>
      <c r="H428" s="15" t="str">
        <f>IFERROR(__xludf.DUMMYFUNCTION("""COMPUTED_VALUE"""),"The Social Shepherd, Disrupt Marketing, Social Chain, Brainlabs, Momentum")</f>
        <v>The Social Shepherd, Disrupt Marketing, Social Chain, Brainlabs, Momentum</v>
      </c>
      <c r="I428" s="15">
        <f>IFERROR(__xludf.DUMMYFUNCTION("""COMPUTED_VALUE"""),2.0)</f>
        <v>2</v>
      </c>
      <c r="J428" s="15">
        <f>IFERROR(__xludf.DUMMYFUNCTION("""COMPUTED_VALUE"""),0.0)</f>
        <v>0</v>
      </c>
      <c r="K428" s="15">
        <f>IFERROR(__xludf.DUMMYFUNCTION("""COMPUTED_VALUE"""),1.0)</f>
        <v>1</v>
      </c>
      <c r="L428" s="15"/>
    </row>
    <row r="429" ht="15.75" customHeight="1">
      <c r="A429" s="14" t="str">
        <f>IFERROR(__xludf.DUMMYFUNCTION("""COMPUTED_VALUE"""),"https://www.omnius.so/blog/best-answer-engine-optimization-agencies")</f>
        <v>https://www.omnius.so/blog/best-answer-engine-optimization-agencies</v>
      </c>
      <c r="B429" s="15" t="str">
        <f>IFERROR(__xludf.DUMMYFUNCTION("""COMPUTED_VALUE"""),"16 Best Answer Engine Optimization (AEO) Agencies in 2026")</f>
        <v>16 Best Answer Engine Optimization (AEO) Agencies in 2026</v>
      </c>
      <c r="C429" s="14" t="str">
        <f>IFERROR(__xludf.DUMMYFUNCTION("""COMPUTED_VALUE"""),"omnius.so")</f>
        <v>omnius.so</v>
      </c>
      <c r="D429" s="15" t="str">
        <f>IFERROR(__xludf.DUMMYFUNCTION("""COMPUTED_VALUE"""),"LISTICLE")</f>
        <v>LISTICLE</v>
      </c>
      <c r="E429" s="15" t="str">
        <f>IFERROR(__xludf.DUMMYFUNCTION("""COMPUTED_VALUE"""),"OTHER")</f>
        <v>OTHER</v>
      </c>
      <c r="F429" s="15" t="str">
        <f>IFERROR(__xludf.DUMMYFUNCTION("""COMPUTED_VALUE"""),"Listicle")</f>
        <v>Listicle</v>
      </c>
      <c r="G429" s="15" t="b">
        <f>IFERROR(__xludf.DUMMYFUNCTION("""COMPUTED_VALUE"""),FALSE)</f>
        <v>0</v>
      </c>
      <c r="H429" s="15" t="str">
        <f>IFERROR(__xludf.DUMMYFUNCTION("""COMPUTED_VALUE"""),"Omniscient Digital, Single Grain, Found")</f>
        <v>Omniscient Digital, Single Grain, Found</v>
      </c>
      <c r="I429" s="15">
        <f>IFERROR(__xludf.DUMMYFUNCTION("""COMPUTED_VALUE"""),2.0)</f>
        <v>2</v>
      </c>
      <c r="J429" s="15">
        <f>IFERROR(__xludf.DUMMYFUNCTION("""COMPUTED_VALUE"""),0.0)</f>
        <v>0</v>
      </c>
      <c r="K429" s="15">
        <f>IFERROR(__xludf.DUMMYFUNCTION("""COMPUTED_VALUE"""),0.0)</f>
        <v>0</v>
      </c>
      <c r="L429" s="15"/>
    </row>
    <row r="430" ht="15.75" customHeight="1">
      <c r="A430" s="14" t="str">
        <f>IFERROR(__xludf.DUMMYFUNCTION("""COMPUTED_VALUE"""),"https://open.partners/open-partners-insights/top-uk-independent-marketing-agencies-5m-budgets/")</f>
        <v>https://open.partners/open-partners-insights/top-uk-independent-marketing-agencies-5m-budgets/</v>
      </c>
      <c r="B430" s="15" t="str">
        <f>IFERROR(__xludf.DUMMYFUNCTION("""COMPUTED_VALUE"""),"Top UK Marketing Agencies for £5m+ Budgets | Open Partners")</f>
        <v>Top UK Marketing Agencies for £5m+ Budgets | Open Partners</v>
      </c>
      <c r="C430" s="15" t="str">
        <f>IFERROR(__xludf.DUMMYFUNCTION("""COMPUTED_VALUE"""),"open.partners")</f>
        <v>open.partners</v>
      </c>
      <c r="D430" s="15" t="str">
        <f>IFERROR(__xludf.DUMMYFUNCTION("""COMPUTED_VALUE"""),"LISTICLE")</f>
        <v>LISTICLE</v>
      </c>
      <c r="E430" s="15" t="str">
        <f>IFERROR(__xludf.DUMMYFUNCTION("""COMPUTED_VALUE"""),"COMPETITOR")</f>
        <v>COMPETITOR</v>
      </c>
      <c r="F430" s="15" t="str">
        <f>IFERROR(__xludf.DUMMYFUNCTION("""COMPUTED_VALUE"""),"Listicle")</f>
        <v>Listicle</v>
      </c>
      <c r="G430" s="15" t="b">
        <f>IFERROR(__xludf.DUMMYFUNCTION("""COMPUTED_VALUE"""),FALSE)</f>
        <v>0</v>
      </c>
      <c r="H430" s="15" t="str">
        <f>IFERROR(__xludf.DUMMYFUNCTION("""COMPUTED_VALUE"""),"Open Partners, Brainlabs, Journey Further, Found, ROAST")</f>
        <v>Open Partners, Brainlabs, Journey Further, Found, ROAST</v>
      </c>
      <c r="I430" s="15">
        <f>IFERROR(__xludf.DUMMYFUNCTION("""COMPUTED_VALUE"""),2.0)</f>
        <v>2</v>
      </c>
      <c r="J430" s="15">
        <f>IFERROR(__xludf.DUMMYFUNCTION("""COMPUTED_VALUE"""),0.0)</f>
        <v>0</v>
      </c>
      <c r="K430" s="15">
        <f>IFERROR(__xludf.DUMMYFUNCTION("""COMPUTED_VALUE"""),0.5)</f>
        <v>0.5</v>
      </c>
      <c r="L430" s="15"/>
    </row>
    <row r="431" ht="15.75" customHeight="1">
      <c r="A431" s="14" t="str">
        <f>IFERROR(__xludf.DUMMYFUNCTION("""COMPUTED_VALUE"""),"https://orm-tech.com/blog/best-marketing-attribution-software/")</f>
        <v>https://orm-tech.com/blog/best-marketing-attribution-software/</v>
      </c>
      <c r="B431" s="15" t="str">
        <f>IFERROR(__xludf.DUMMYFUNCTION("""COMPUTED_VALUE"""),"9 Best Marketing Attribution Software for B2B (2026) | ORM")</f>
        <v>9 Best Marketing Attribution Software for B2B (2026) | ORM</v>
      </c>
      <c r="C431" s="14" t="str">
        <f>IFERROR(__xludf.DUMMYFUNCTION("""COMPUTED_VALUE"""),"orm-tech.com")</f>
        <v>orm-tech.com</v>
      </c>
      <c r="D431" s="15" t="str">
        <f>IFERROR(__xludf.DUMMYFUNCTION("""COMPUTED_VALUE"""),"LISTICLE")</f>
        <v>LISTICLE</v>
      </c>
      <c r="E431" s="15" t="str">
        <f>IFERROR(__xludf.DUMMYFUNCTION("""COMPUTED_VALUE"""),"CORPORATE")</f>
        <v>CORPORATE</v>
      </c>
      <c r="F431" s="15" t="str">
        <f>IFERROR(__xludf.DUMMYFUNCTION("""COMPUTED_VALUE"""),"Listicle")</f>
        <v>Listicle</v>
      </c>
      <c r="G431" s="15" t="b">
        <f>IFERROR(__xludf.DUMMYFUNCTION("""COMPUTED_VALUE"""),FALSE)</f>
        <v>0</v>
      </c>
      <c r="H431" s="15"/>
      <c r="I431" s="15">
        <f>IFERROR(__xludf.DUMMYFUNCTION("""COMPUTED_VALUE"""),2.0)</f>
        <v>2</v>
      </c>
      <c r="J431" s="15">
        <f>IFERROR(__xludf.DUMMYFUNCTION("""COMPUTED_VALUE"""),0.0)</f>
        <v>0</v>
      </c>
      <c r="K431" s="15">
        <f>IFERROR(__xludf.DUMMYFUNCTION("""COMPUTED_VALUE"""),0.5)</f>
        <v>0.5</v>
      </c>
      <c r="L431" s="15"/>
    </row>
    <row r="432" ht="15.75" customHeight="1">
      <c r="A432" s="14" t="str">
        <f>IFERROR(__xludf.DUMMYFUNCTION("""COMPUTED_VALUE"""),"https://www.outrightcrm.com/blog/roi-focused-digital-marketing-agencies/")</f>
        <v>https://www.outrightcrm.com/blog/roi-focused-digital-marketing-agencies/</v>
      </c>
      <c r="B432" s="15" t="str">
        <f>IFERROR(__xludf.DUMMYFUNCTION("""COMPUTED_VALUE"""),"15 Best ROI-Focused Digital Marketing Firms in 2026 | OutrightCRM")</f>
        <v>15 Best ROI-Focused Digital Marketing Firms in 2026 | OutrightCRM</v>
      </c>
      <c r="C432" s="14" t="str">
        <f>IFERROR(__xludf.DUMMYFUNCTION("""COMPUTED_VALUE"""),"outrightcrm.com")</f>
        <v>outrightcrm.com</v>
      </c>
      <c r="D432" s="15" t="str">
        <f>IFERROR(__xludf.DUMMYFUNCTION("""COMPUTED_VALUE"""),"LISTICLE")</f>
        <v>LISTICLE</v>
      </c>
      <c r="E432" s="15" t="str">
        <f>IFERROR(__xludf.DUMMYFUNCTION("""COMPUTED_VALUE"""),"CORPORATE")</f>
        <v>CORPORATE</v>
      </c>
      <c r="F432" s="15" t="str">
        <f>IFERROR(__xludf.DUMMYFUNCTION("""COMPUTED_VALUE"""),"Listicle")</f>
        <v>Listicle</v>
      </c>
      <c r="G432" s="15" t="b">
        <f>IFERROR(__xludf.DUMMYFUNCTION("""COMPUTED_VALUE"""),FALSE)</f>
        <v>0</v>
      </c>
      <c r="H432" s="15" t="str">
        <f>IFERROR(__xludf.DUMMYFUNCTION("""COMPUTED_VALUE"""),"Disruptive Advertising, Power Digital, Wpromote, Ignite Visibility, Directive Consulting, Jellyfish, Merkle, NP Digital, Huge, Push")</f>
        <v>Disruptive Advertising, Power Digital, Wpromote, Ignite Visibility, Directive Consulting, Jellyfish, Merkle, NP Digital, Huge, Push</v>
      </c>
      <c r="I432" s="15">
        <f>IFERROR(__xludf.DUMMYFUNCTION("""COMPUTED_VALUE"""),2.0)</f>
        <v>2</v>
      </c>
      <c r="J432" s="15">
        <f>IFERROR(__xludf.DUMMYFUNCTION("""COMPUTED_VALUE"""),0.0)</f>
        <v>0</v>
      </c>
      <c r="K432" s="15">
        <f>IFERROR(__xludf.DUMMYFUNCTION("""COMPUTED_VALUE"""),0.5)</f>
        <v>0.5</v>
      </c>
      <c r="L432" s="15"/>
    </row>
    <row r="433" ht="15.75" customHeight="1">
      <c r="A433" s="14" t="str">
        <f>IFERROR(__xludf.DUMMYFUNCTION("""COMPUTED_VALUE"""),"https://phosailabs.com/blog/best-ai-consulting-firms-marketing-agencies")</f>
        <v>https://phosailabs.com/blog/best-ai-consulting-firms-marketing-agencies</v>
      </c>
      <c r="B433" s="15" t="str">
        <f>IFERROR(__xludf.DUMMYFUNCTION("""COMPUTED_VALUE"""),"Best AI Consulting for Marketing Agencies (2026)")</f>
        <v>Best AI Consulting for Marketing Agencies (2026)</v>
      </c>
      <c r="C433" s="14" t="str">
        <f>IFERROR(__xludf.DUMMYFUNCTION("""COMPUTED_VALUE"""),"phosailabs.com")</f>
        <v>phosailabs.com</v>
      </c>
      <c r="D433" s="15" t="str">
        <f>IFERROR(__xludf.DUMMYFUNCTION("""COMPUTED_VALUE"""),"LISTICLE")</f>
        <v>LISTICLE</v>
      </c>
      <c r="E433" s="15" t="str">
        <f>IFERROR(__xludf.DUMMYFUNCTION("""COMPUTED_VALUE"""),"CORPORATE")</f>
        <v>CORPORATE</v>
      </c>
      <c r="F433" s="15" t="str">
        <f>IFERROR(__xludf.DUMMYFUNCTION("""COMPUTED_VALUE"""),"Listicle")</f>
        <v>Listicle</v>
      </c>
      <c r="G433" s="15" t="b">
        <f>IFERROR(__xludf.DUMMYFUNCTION("""COMPUTED_VALUE"""),FALSE)</f>
        <v>0</v>
      </c>
      <c r="H433" s="15"/>
      <c r="I433" s="15">
        <f>IFERROR(__xludf.DUMMYFUNCTION("""COMPUTED_VALUE"""),2.0)</f>
        <v>2</v>
      </c>
      <c r="J433" s="15">
        <f>IFERROR(__xludf.DUMMYFUNCTION("""COMPUTED_VALUE"""),0.0)</f>
        <v>0</v>
      </c>
      <c r="K433" s="15">
        <f>IFERROR(__xludf.DUMMYFUNCTION("""COMPUTED_VALUE"""),1.0)</f>
        <v>1</v>
      </c>
      <c r="L433" s="15"/>
    </row>
    <row r="434" ht="15.75" customHeight="1">
      <c r="A434" s="14" t="str">
        <f>IFERROR(__xludf.DUMMYFUNCTION("""COMPUTED_VALUE"""),"https://pinpoint-media.global/insights/best-10-digital-marketing-companies-in-the-uk-2026")</f>
        <v>https://pinpoint-media.global/insights/best-10-digital-marketing-companies-in-the-uk-2026</v>
      </c>
      <c r="B434" s="15" t="str">
        <f>IFERROR(__xludf.DUMMYFUNCTION("""COMPUTED_VALUE"""),"Best 10 Digital Marketing Companies in the UK for 2026 | PinPoint Media")</f>
        <v>Best 10 Digital Marketing Companies in the UK for 2026 | PinPoint Media</v>
      </c>
      <c r="C434" s="15" t="str">
        <f>IFERROR(__xludf.DUMMYFUNCTION("""COMPUTED_VALUE"""),"pinpoint-media.global")</f>
        <v>pinpoint-media.global</v>
      </c>
      <c r="D434" s="15" t="str">
        <f>IFERROR(__xludf.DUMMYFUNCTION("""COMPUTED_VALUE"""),"LISTICLE")</f>
        <v>LISTICLE</v>
      </c>
      <c r="E434" s="15" t="str">
        <f>IFERROR(__xludf.DUMMYFUNCTION("""COMPUTED_VALUE"""),"COMPETITOR")</f>
        <v>COMPETITOR</v>
      </c>
      <c r="F434" s="15" t="str">
        <f>IFERROR(__xludf.DUMMYFUNCTION("""COMPUTED_VALUE"""),"Listicle")</f>
        <v>Listicle</v>
      </c>
      <c r="G434" s="15" t="b">
        <f>IFERROR(__xludf.DUMMYFUNCTION("""COMPUTED_VALUE"""),FALSE)</f>
        <v>0</v>
      </c>
      <c r="H434" s="15" t="str">
        <f>IFERROR(__xludf.DUMMYFUNCTION("""COMPUTED_VALUE"""),"PinPoint Media, Found, Social Chain, Born Social, Impression, Hallam, Croud, Brainlabs, Koozai, The SEO Works")</f>
        <v>PinPoint Media, Found, Social Chain, Born Social, Impression, Hallam, Croud, Brainlabs, Koozai, The SEO Works</v>
      </c>
      <c r="I434" s="15">
        <f>IFERROR(__xludf.DUMMYFUNCTION("""COMPUTED_VALUE"""),2.0)</f>
        <v>2</v>
      </c>
      <c r="J434" s="15">
        <f>IFERROR(__xludf.DUMMYFUNCTION("""COMPUTED_VALUE"""),0.0)</f>
        <v>0</v>
      </c>
      <c r="K434" s="15">
        <f>IFERROR(__xludf.DUMMYFUNCTION("""COMPUTED_VALUE"""),1.0)</f>
        <v>1</v>
      </c>
      <c r="L434" s="15"/>
    </row>
    <row r="435" ht="15.75" customHeight="1">
      <c r="A435" s="14" t="str">
        <f>IFERROR(__xludf.DUMMYFUNCTION("""COMPUTED_VALUE"""),"https://ppcgeeks.co.uk/ppc/top-7-google-ads-agencies-in-the-uk-for-exceptional-ppc-results/")</f>
        <v>https://ppcgeeks.co.uk/ppc/top-7-google-ads-agencies-in-the-uk-for-exceptional-ppc-results/</v>
      </c>
      <c r="B435" s="15" t="str">
        <f>IFERROR(__xludf.DUMMYFUNCTION("""COMPUTED_VALUE"""),"Top 7 Google Ads Agencies in the UK: Achieve Exceptional Results")</f>
        <v>Top 7 Google Ads Agencies in the UK: Achieve Exceptional Results</v>
      </c>
      <c r="C435" s="14" t="str">
        <f>IFERROR(__xludf.DUMMYFUNCTION("""COMPUTED_VALUE"""),"ppcgeeks.co.uk")</f>
        <v>ppcgeeks.co.uk</v>
      </c>
      <c r="D435" s="15" t="str">
        <f>IFERROR(__xludf.DUMMYFUNCTION("""COMPUTED_VALUE"""),"LISTICLE")</f>
        <v>LISTICLE</v>
      </c>
      <c r="E435" s="15" t="str">
        <f>IFERROR(__xludf.DUMMYFUNCTION("""COMPUTED_VALUE"""),"COMPETITOR")</f>
        <v>COMPETITOR</v>
      </c>
      <c r="F435" s="15" t="str">
        <f>IFERROR(__xludf.DUMMYFUNCTION("""COMPUTED_VALUE"""),"Listicle")</f>
        <v>Listicle</v>
      </c>
      <c r="G435" s="15" t="b">
        <f>IFERROR(__xludf.DUMMYFUNCTION("""COMPUTED_VALUE"""),FALSE)</f>
        <v>0</v>
      </c>
      <c r="H435" s="15" t="str">
        <f>IFERROR(__xludf.DUMMYFUNCTION("""COMPUTED_VALUE"""),"PPC Geeks, Push, Push Group, Impression, Found")</f>
        <v>PPC Geeks, Push, Push Group, Impression, Found</v>
      </c>
      <c r="I435" s="15">
        <f>IFERROR(__xludf.DUMMYFUNCTION("""COMPUTED_VALUE"""),2.0)</f>
        <v>2</v>
      </c>
      <c r="J435" s="15">
        <f>IFERROR(__xludf.DUMMYFUNCTION("""COMPUTED_VALUE"""),0.0)</f>
        <v>0</v>
      </c>
      <c r="K435" s="15">
        <f>IFERROR(__xludf.DUMMYFUNCTION("""COMPUTED_VALUE"""),1.0)</f>
        <v>1</v>
      </c>
      <c r="L435" s="15"/>
    </row>
    <row r="436" ht="15.75" customHeight="1">
      <c r="A436" s="14" t="str">
        <f>IFERROR(__xludf.DUMMYFUNCTION("""COMPUTED_VALUE"""),"https://www.rank4ai.co.uk/research/rankings/top-ai-search-visibility-agencies-2026/")</f>
        <v>https://www.rank4ai.co.uk/research/rankings/top-ai-search-visibility-agencies-2026/</v>
      </c>
      <c r="B436" s="15" t="str">
        <f>IFERROR(__xludf.DUMMYFUNCTION("""COMPUTED_VALUE"""),"Top AI Search Visibility Agencies UK 2026 | Rank4AI")</f>
        <v>Top AI Search Visibility Agencies UK 2026 | Rank4AI</v>
      </c>
      <c r="C436" s="14" t="str">
        <f>IFERROR(__xludf.DUMMYFUNCTION("""COMPUTED_VALUE"""),"rank4ai.co.uk")</f>
        <v>rank4ai.co.uk</v>
      </c>
      <c r="D436" s="15" t="str">
        <f>IFERROR(__xludf.DUMMYFUNCTION("""COMPUTED_VALUE"""),"LISTICLE")</f>
        <v>LISTICLE</v>
      </c>
      <c r="E436" s="15" t="str">
        <f>IFERROR(__xludf.DUMMYFUNCTION("""COMPUTED_VALUE"""),"COMPETITOR")</f>
        <v>COMPETITOR</v>
      </c>
      <c r="F436" s="15" t="str">
        <f>IFERROR(__xludf.DUMMYFUNCTION("""COMPUTED_VALUE"""),"Listicle")</f>
        <v>Listicle</v>
      </c>
      <c r="G436" s="15" t="b">
        <f>IFERROR(__xludf.DUMMYFUNCTION("""COMPUTED_VALUE"""),FALSE)</f>
        <v>0</v>
      </c>
      <c r="H436" s="15" t="str">
        <f>IFERROR(__xludf.DUMMYFUNCTION("""COMPUTED_VALUE"""),"Rank4AI, Varn, Impression, Builtvisible, Found")</f>
        <v>Rank4AI, Varn, Impression, Builtvisible, Found</v>
      </c>
      <c r="I436" s="15">
        <f>IFERROR(__xludf.DUMMYFUNCTION("""COMPUTED_VALUE"""),2.0)</f>
        <v>2</v>
      </c>
      <c r="J436" s="15">
        <f>IFERROR(__xludf.DUMMYFUNCTION("""COMPUTED_VALUE"""),0.0)</f>
        <v>0</v>
      </c>
      <c r="K436" s="15">
        <f>IFERROR(__xludf.DUMMYFUNCTION("""COMPUTED_VALUE"""),0.0)</f>
        <v>0</v>
      </c>
      <c r="L436" s="15"/>
    </row>
    <row r="437" ht="15.75" customHeight="1">
      <c r="A437" s="14" t="str">
        <f>IFERROR(__xludf.DUMMYFUNCTION("""COMPUTED_VALUE"""),"https://www.reddit.com/r/b2bmarketing/comments/1rl47cr/the_10_best_visibility_companies_and_agencies_for/#:~:text=AEO%20Collective%20is%20good%2C%20they,3mo%20ago")</f>
        <v>https://www.reddit.com/r/b2bmarketing/comments/1rl47cr/the_10_best_visibility_companies_and_agencies_for/#:~:text=AEO%20Collective%20is%20good%2C%20they,3mo%20ago</v>
      </c>
      <c r="B437" s="15" t="str">
        <f>IFERROR(__xludf.DUMMYFUNCTION("""COMPUTED_VALUE"""),"The 10 Best Visibility Companies and Agencies for SEO and GEO?")</f>
        <v>The 10 Best Visibility Companies and Agencies for SEO and GEO?</v>
      </c>
      <c r="C437" s="14" t="str">
        <f>IFERROR(__xludf.DUMMYFUNCTION("""COMPUTED_VALUE"""),"reddit.com")</f>
        <v>reddit.com</v>
      </c>
      <c r="D437" s="15" t="str">
        <f>IFERROR(__xludf.DUMMYFUNCTION("""COMPUTED_VALUE"""),"DISCUSSION")</f>
        <v>DISCUSSION</v>
      </c>
      <c r="E437" s="15" t="str">
        <f>IFERROR(__xludf.DUMMYFUNCTION("""COMPUTED_VALUE"""),"UGC")</f>
        <v>UGC</v>
      </c>
      <c r="F437" s="15" t="str">
        <f>IFERROR(__xludf.DUMMYFUNCTION("""COMPUTED_VALUE"""),"Discussion")</f>
        <v>Discussion</v>
      </c>
      <c r="G437" s="15" t="b">
        <f>IFERROR(__xludf.DUMMYFUNCTION("""COMPUTED_VALUE"""),FALSE)</f>
        <v>0</v>
      </c>
      <c r="H437" s="15" t="str">
        <f>IFERROR(__xludf.DUMMYFUNCTION("""COMPUTED_VALUE"""),"Huge, Siege Media, Single Grain")</f>
        <v>Huge, Siege Media, Single Grain</v>
      </c>
      <c r="I437" s="15">
        <f>IFERROR(__xludf.DUMMYFUNCTION("""COMPUTED_VALUE"""),2.0)</f>
        <v>2</v>
      </c>
      <c r="J437" s="15">
        <f>IFERROR(__xludf.DUMMYFUNCTION("""COMPUTED_VALUE"""),0.0)</f>
        <v>0</v>
      </c>
      <c r="K437" s="15">
        <f>IFERROR(__xludf.DUMMYFUNCTION("""COMPUTED_VALUE"""),1.0)</f>
        <v>1</v>
      </c>
      <c r="L437" s="15"/>
    </row>
    <row r="438" ht="15.75" customHeight="1">
      <c r="A438" s="14" t="str">
        <f>IFERROR(__xludf.DUMMYFUNCTION("""COMPUTED_VALUE"""),"https://www.rightfirms.co/directory/geo-services/country/united-kingdom")</f>
        <v>https://www.rightfirms.co/directory/geo-services/country/united-kingdom</v>
      </c>
      <c r="B438" s="15" t="str">
        <f>IFERROR(__xludf.DUMMYFUNCTION("""COMPUTED_VALUE"""),"Top GEO Services Companies in the United Kingdom | RightFirms")</f>
        <v>Top GEO Services Companies in the United Kingdom | RightFirms</v>
      </c>
      <c r="C438" s="14" t="str">
        <f>IFERROR(__xludf.DUMMYFUNCTION("""COMPUTED_VALUE"""),"rightfirms.co")</f>
        <v>rightfirms.co</v>
      </c>
      <c r="D438" s="15" t="str">
        <f>IFERROR(__xludf.DUMMYFUNCTION("""COMPUTED_VALUE"""),"CATEGORY_PAGE")</f>
        <v>CATEGORY_PAGE</v>
      </c>
      <c r="E438" s="15" t="str">
        <f>IFERROR(__xludf.DUMMYFUNCTION("""COMPUTED_VALUE"""),"REFERENCE")</f>
        <v>REFERENCE</v>
      </c>
      <c r="F438" s="15" t="str">
        <f>IFERROR(__xludf.DUMMYFUNCTION("""COMPUTED_VALUE"""),"Category Page")</f>
        <v>Category Page</v>
      </c>
      <c r="G438" s="15" t="b">
        <f>IFERROR(__xludf.DUMMYFUNCTION("""COMPUTED_VALUE"""),FALSE)</f>
        <v>0</v>
      </c>
      <c r="H438" s="15" t="str">
        <f>IFERROR(__xludf.DUMMYFUNCTION("""COMPUTED_VALUE"""),"The SEO Works")</f>
        <v>The SEO Works</v>
      </c>
      <c r="I438" s="15">
        <f>IFERROR(__xludf.DUMMYFUNCTION("""COMPUTED_VALUE"""),2.0)</f>
        <v>2</v>
      </c>
      <c r="J438" s="15">
        <f>IFERROR(__xludf.DUMMYFUNCTION("""COMPUTED_VALUE"""),0.0)</f>
        <v>0</v>
      </c>
      <c r="K438" s="15">
        <f>IFERROR(__xludf.DUMMYFUNCTION("""COMPUTED_VALUE"""),0.0)</f>
        <v>0</v>
      </c>
      <c r="L438" s="15"/>
    </row>
    <row r="439" ht="15.75" customHeight="1">
      <c r="A439" s="14" t="str">
        <f>IFERROR(__xludf.DUMMYFUNCTION("""COMPUTED_VALUE"""),"https://scopicstudios.com/blog/top-performance-marketing-agencies/")</f>
        <v>https://scopicstudios.com/blog/top-performance-marketing-agencies/</v>
      </c>
      <c r="B439" s="15" t="str">
        <f>IFERROR(__xludf.DUMMYFUNCTION("""COMPUTED_VALUE"""),"Top 10 Performance Marketing Agencies for ROI in 2025")</f>
        <v>Top 10 Performance Marketing Agencies for ROI in 2025</v>
      </c>
      <c r="C439" s="14" t="str">
        <f>IFERROR(__xludf.DUMMYFUNCTION("""COMPUTED_VALUE"""),"scopicstudios.com")</f>
        <v>scopicstudios.com</v>
      </c>
      <c r="D439" s="15" t="str">
        <f>IFERROR(__xludf.DUMMYFUNCTION("""COMPUTED_VALUE"""),"LISTICLE")</f>
        <v>LISTICLE</v>
      </c>
      <c r="E439" s="15" t="str">
        <f>IFERROR(__xludf.DUMMYFUNCTION("""COMPUTED_VALUE"""),"CORPORATE")</f>
        <v>CORPORATE</v>
      </c>
      <c r="F439" s="15" t="str">
        <f>IFERROR(__xludf.DUMMYFUNCTION("""COMPUTED_VALUE"""),"Listicle")</f>
        <v>Listicle</v>
      </c>
      <c r="G439" s="15" t="b">
        <f>IFERROR(__xludf.DUMMYFUNCTION("""COMPUTED_VALUE"""),FALSE)</f>
        <v>0</v>
      </c>
      <c r="H439" s="15" t="str">
        <f>IFERROR(__xludf.DUMMYFUNCTION("""COMPUTED_VALUE"""),"Measured")</f>
        <v>Measured</v>
      </c>
      <c r="I439" s="15">
        <f>IFERROR(__xludf.DUMMYFUNCTION("""COMPUTED_VALUE"""),2.0)</f>
        <v>2</v>
      </c>
      <c r="J439" s="15">
        <f>IFERROR(__xludf.DUMMYFUNCTION("""COMPUTED_VALUE"""),0.0)</f>
        <v>0</v>
      </c>
      <c r="K439" s="15">
        <f>IFERROR(__xludf.DUMMYFUNCTION("""COMPUTED_VALUE"""),0.0)</f>
        <v>0</v>
      </c>
      <c r="L439" s="15"/>
    </row>
    <row r="440" ht="15.75" customHeight="1">
      <c r="A440" s="14" t="str">
        <f>IFERROR(__xludf.DUMMYFUNCTION("""COMPUTED_VALUE"""),"https://silverspoonagency.com/best-performance-marketing-agencies/")</f>
        <v>https://silverspoonagency.com/best-performance-marketing-agencies/</v>
      </c>
      <c r="B440" s="15" t="str">
        <f>IFERROR(__xludf.DUMMYFUNCTION("""COMPUTED_VALUE"""),"7 Best Performance marketing agencies to Drive ROI in 2026")</f>
        <v>7 Best Performance marketing agencies to Drive ROI in 2026</v>
      </c>
      <c r="C440" s="14" t="str">
        <f>IFERROR(__xludf.DUMMYFUNCTION("""COMPUTED_VALUE"""),"silverspoonagency.com")</f>
        <v>silverspoonagency.com</v>
      </c>
      <c r="D440" s="15" t="str">
        <f>IFERROR(__xludf.DUMMYFUNCTION("""COMPUTED_VALUE"""),"LISTICLE")</f>
        <v>LISTICLE</v>
      </c>
      <c r="E440" s="15" t="str">
        <f>IFERROR(__xludf.DUMMYFUNCTION("""COMPUTED_VALUE"""),"CORPORATE")</f>
        <v>CORPORATE</v>
      </c>
      <c r="F440" s="15" t="str">
        <f>IFERROR(__xludf.DUMMYFUNCTION("""COMPUTED_VALUE"""),"Listicle")</f>
        <v>Listicle</v>
      </c>
      <c r="G440" s="15" t="b">
        <f>IFERROR(__xludf.DUMMYFUNCTION("""COMPUTED_VALUE"""),FALSE)</f>
        <v>0</v>
      </c>
      <c r="H440" s="15" t="str">
        <f>IFERROR(__xludf.DUMMYFUNCTION("""COMPUTED_VALUE"""),"Found")</f>
        <v>Found</v>
      </c>
      <c r="I440" s="15">
        <f>IFERROR(__xludf.DUMMYFUNCTION("""COMPUTED_VALUE"""),2.0)</f>
        <v>2</v>
      </c>
      <c r="J440" s="15">
        <f>IFERROR(__xludf.DUMMYFUNCTION("""COMPUTED_VALUE"""),0.0)</f>
        <v>0</v>
      </c>
      <c r="K440" s="15">
        <f>IFERROR(__xludf.DUMMYFUNCTION("""COMPUTED_VALUE"""),0.0)</f>
        <v>0</v>
      </c>
      <c r="L440" s="15"/>
    </row>
    <row r="441" ht="15.75" customHeight="1">
      <c r="A441" s="14" t="str">
        <f>IFERROR(__xludf.DUMMYFUNCTION("""COMPUTED_VALUE"""),"https://socialander.com/top-digital-marketing-company-in-the-united-kingdom/")</f>
        <v>https://socialander.com/top-digital-marketing-company-in-the-united-kingdom/</v>
      </c>
      <c r="B441" s="15" t="str">
        <f>IFERROR(__xludf.DUMMYFUNCTION("""COMPUTED_VALUE"""),"Top Digital Marketing Company in the United Kingdom")</f>
        <v>Top Digital Marketing Company in the United Kingdom</v>
      </c>
      <c r="C441" s="14" t="str">
        <f>IFERROR(__xludf.DUMMYFUNCTION("""COMPUTED_VALUE"""),"socialander.com")</f>
        <v>socialander.com</v>
      </c>
      <c r="D441" s="15" t="str">
        <f>IFERROR(__xludf.DUMMYFUNCTION("""COMPUTED_VALUE"""),"LISTICLE")</f>
        <v>LISTICLE</v>
      </c>
      <c r="E441" s="15" t="str">
        <f>IFERROR(__xludf.DUMMYFUNCTION("""COMPUTED_VALUE"""),"CORPORATE")</f>
        <v>CORPORATE</v>
      </c>
      <c r="F441" s="15" t="str">
        <f>IFERROR(__xludf.DUMMYFUNCTION("""COMPUTED_VALUE"""),"Listicle")</f>
        <v>Listicle</v>
      </c>
      <c r="G441" s="15" t="b">
        <f>IFERROR(__xludf.DUMMYFUNCTION("""COMPUTED_VALUE"""),FALSE)</f>
        <v>0</v>
      </c>
      <c r="H441" s="15" t="str">
        <f>IFERROR(__xludf.DUMMYFUNCTION("""COMPUTED_VALUE"""),"Huge, Impression, M3.agency, Favoured, Soap Media, Propeller, Hallam, ROAST, Gripped, We Are Social, Found")</f>
        <v>Huge, Impression, M3.agency, Favoured, Soap Media, Propeller, Hallam, ROAST, Gripped, We Are Social, Found</v>
      </c>
      <c r="I441" s="15">
        <f>IFERROR(__xludf.DUMMYFUNCTION("""COMPUTED_VALUE"""),2.0)</f>
        <v>2</v>
      </c>
      <c r="J441" s="15">
        <f>IFERROR(__xludf.DUMMYFUNCTION("""COMPUTED_VALUE"""),0.0)</f>
        <v>0</v>
      </c>
      <c r="K441" s="15">
        <f>IFERROR(__xludf.DUMMYFUNCTION("""COMPUTED_VALUE"""),0.5)</f>
        <v>0.5</v>
      </c>
      <c r="L441" s="15"/>
    </row>
    <row r="442" ht="15.75" customHeight="1">
      <c r="A442" s="14" t="str">
        <f>IFERROR(__xludf.DUMMYFUNCTION("""COMPUTED_VALUE"""),"https://www.sortlist.co.uk/s/ai-marketing/london-england-gb")</f>
        <v>https://www.sortlist.co.uk/s/ai-marketing/london-england-gb</v>
      </c>
      <c r="B442" s="15" t="str">
        <f>IFERROR(__xludf.DUMMYFUNCTION("""COMPUTED_VALUE"""),"The 10 Best AI Marketing Companies in London - 2026 Reviews")</f>
        <v>The 10 Best AI Marketing Companies in London - 2026 Reviews</v>
      </c>
      <c r="C442" s="14" t="str">
        <f>IFERROR(__xludf.DUMMYFUNCTION("""COMPUTED_VALUE"""),"sortlist.co.uk")</f>
        <v>sortlist.co.uk</v>
      </c>
      <c r="D442" s="15" t="str">
        <f>IFERROR(__xludf.DUMMYFUNCTION("""COMPUTED_VALUE"""),"CATEGORY_PAGE")</f>
        <v>CATEGORY_PAGE</v>
      </c>
      <c r="E442" s="15" t="str">
        <f>IFERROR(__xludf.DUMMYFUNCTION("""COMPUTED_VALUE"""),"REFERENCE")</f>
        <v>REFERENCE</v>
      </c>
      <c r="F442" s="15" t="str">
        <f>IFERROR(__xludf.DUMMYFUNCTION("""COMPUTED_VALUE"""),"Category Page")</f>
        <v>Category Page</v>
      </c>
      <c r="G442" s="15" t="b">
        <f>IFERROR(__xludf.DUMMYFUNCTION("""COMPUTED_VALUE"""),FALSE)</f>
        <v>0</v>
      </c>
      <c r="H442" s="15" t="str">
        <f>IFERROR(__xludf.DUMMYFUNCTION("""COMPUTED_VALUE"""),"Hallam")</f>
        <v>Hallam</v>
      </c>
      <c r="I442" s="15">
        <f>IFERROR(__xludf.DUMMYFUNCTION("""COMPUTED_VALUE"""),2.0)</f>
        <v>2</v>
      </c>
      <c r="J442" s="15">
        <f>IFERROR(__xludf.DUMMYFUNCTION("""COMPUTED_VALUE"""),0.0)</f>
        <v>0</v>
      </c>
      <c r="K442" s="15">
        <f>IFERROR(__xludf.DUMMYFUNCTION("""COMPUTED_VALUE"""),0.0)</f>
        <v>0</v>
      </c>
      <c r="L442" s="15"/>
    </row>
    <row r="443" ht="15.75" customHeight="1">
      <c r="A443" s="14" t="str">
        <f>IFERROR(__xludf.DUMMYFUNCTION("""COMPUTED_VALUE"""),"https://www.sortlist.co.uk/s/attribution-marketing/essex-england-gb")</f>
        <v>https://www.sortlist.co.uk/s/attribution-marketing/essex-england-gb</v>
      </c>
      <c r="B443" s="15" t="str">
        <f>IFERROR(__xludf.DUMMYFUNCTION("""COMPUTED_VALUE"""),"The 10 Best Attribution Marketing Agencies in Essex - 2026 Reviews")</f>
        <v>The 10 Best Attribution Marketing Agencies in Essex - 2026 Reviews</v>
      </c>
      <c r="C443" s="14" t="str">
        <f>IFERROR(__xludf.DUMMYFUNCTION("""COMPUTED_VALUE"""),"sortlist.co.uk")</f>
        <v>sortlist.co.uk</v>
      </c>
      <c r="D443" s="15" t="str">
        <f>IFERROR(__xludf.DUMMYFUNCTION("""COMPUTED_VALUE"""),"CATEGORY_PAGE")</f>
        <v>CATEGORY_PAGE</v>
      </c>
      <c r="E443" s="15" t="str">
        <f>IFERROR(__xludf.DUMMYFUNCTION("""COMPUTED_VALUE"""),"REFERENCE")</f>
        <v>REFERENCE</v>
      </c>
      <c r="F443" s="15" t="str">
        <f>IFERROR(__xludf.DUMMYFUNCTION("""COMPUTED_VALUE"""),"Category Page")</f>
        <v>Category Page</v>
      </c>
      <c r="G443" s="15" t="b">
        <f>IFERROR(__xludf.DUMMYFUNCTION("""COMPUTED_VALUE"""),FALSE)</f>
        <v>0</v>
      </c>
      <c r="H443" s="15" t="str">
        <f>IFERROR(__xludf.DUMMYFUNCTION("""COMPUTED_VALUE"""),"GA Agency")</f>
        <v>GA Agency</v>
      </c>
      <c r="I443" s="15">
        <f>IFERROR(__xludf.DUMMYFUNCTION("""COMPUTED_VALUE"""),2.0)</f>
        <v>2</v>
      </c>
      <c r="J443" s="15">
        <f>IFERROR(__xludf.DUMMYFUNCTION("""COMPUTED_VALUE"""),0.0)</f>
        <v>0</v>
      </c>
      <c r="K443" s="15">
        <f>IFERROR(__xludf.DUMMYFUNCTION("""COMPUTED_VALUE"""),0.0)</f>
        <v>0</v>
      </c>
      <c r="L443" s="15"/>
    </row>
    <row r="444" ht="15.75" customHeight="1">
      <c r="A444" s="14" t="str">
        <f>IFERROR(__xludf.DUMMYFUNCTION("""COMPUTED_VALUE"""),"https://www.sortlist.co.uk/s/creative/england-england-gb")</f>
        <v>https://www.sortlist.co.uk/s/creative/england-england-gb</v>
      </c>
      <c r="B444" s="15" t="str">
        <f>IFERROR(__xludf.DUMMYFUNCTION("""COMPUTED_VALUE"""),"The 10 Best Creative Agencies in England - 2026 Reviews")</f>
        <v>The 10 Best Creative Agencies in England - 2026 Reviews</v>
      </c>
      <c r="C444" s="14" t="str">
        <f>IFERROR(__xludf.DUMMYFUNCTION("""COMPUTED_VALUE"""),"sortlist.co.uk")</f>
        <v>sortlist.co.uk</v>
      </c>
      <c r="D444" s="15" t="str">
        <f>IFERROR(__xludf.DUMMYFUNCTION("""COMPUTED_VALUE"""),"CATEGORY_PAGE")</f>
        <v>CATEGORY_PAGE</v>
      </c>
      <c r="E444" s="15" t="str">
        <f>IFERROR(__xludf.DUMMYFUNCTION("""COMPUTED_VALUE"""),"REFERENCE")</f>
        <v>REFERENCE</v>
      </c>
      <c r="F444" s="15" t="str">
        <f>IFERROR(__xludf.DUMMYFUNCTION("""COMPUTED_VALUE"""),"Category Page")</f>
        <v>Category Page</v>
      </c>
      <c r="G444" s="15" t="b">
        <f>IFERROR(__xludf.DUMMYFUNCTION("""COMPUTED_VALUE"""),FALSE)</f>
        <v>0</v>
      </c>
      <c r="H444" s="15" t="str">
        <f>IFERROR(__xludf.DUMMYFUNCTION("""COMPUTED_VALUE"""),"Ninja Promo, Whitehat, Momentum")</f>
        <v>Ninja Promo, Whitehat, Momentum</v>
      </c>
      <c r="I444" s="15">
        <f>IFERROR(__xludf.DUMMYFUNCTION("""COMPUTED_VALUE"""),2.0)</f>
        <v>2</v>
      </c>
      <c r="J444" s="15">
        <f>IFERROR(__xludf.DUMMYFUNCTION("""COMPUTED_VALUE"""),0.0)</f>
        <v>0</v>
      </c>
      <c r="K444" s="15">
        <f>IFERROR(__xludf.DUMMYFUNCTION("""COMPUTED_VALUE"""),0.0)</f>
        <v>0</v>
      </c>
      <c r="L444" s="15"/>
    </row>
    <row r="445" ht="15.75" customHeight="1">
      <c r="A445" s="14" t="str">
        <f>IFERROR(__xludf.DUMMYFUNCTION("""COMPUTED_VALUE"""),"https://www.sortlist.co.uk/s/digital-advertising/united-kingdom-gb")</f>
        <v>https://www.sortlist.co.uk/s/digital-advertising/united-kingdom-gb</v>
      </c>
      <c r="B445" s="15" t="str">
        <f>IFERROR(__xludf.DUMMYFUNCTION("""COMPUTED_VALUE"""),"The 10 Best Digital Advertising Agencies in The United Kingdom - 2026 Reviews")</f>
        <v>The 10 Best Digital Advertising Agencies in The United Kingdom - 2026 Reviews</v>
      </c>
      <c r="C445" s="14" t="str">
        <f>IFERROR(__xludf.DUMMYFUNCTION("""COMPUTED_VALUE"""),"sortlist.co.uk")</f>
        <v>sortlist.co.uk</v>
      </c>
      <c r="D445" s="15" t="str">
        <f>IFERROR(__xludf.DUMMYFUNCTION("""COMPUTED_VALUE"""),"CATEGORY_PAGE")</f>
        <v>CATEGORY_PAGE</v>
      </c>
      <c r="E445" s="15" t="str">
        <f>IFERROR(__xludf.DUMMYFUNCTION("""COMPUTED_VALUE"""),"REFERENCE")</f>
        <v>REFERENCE</v>
      </c>
      <c r="F445" s="15" t="str">
        <f>IFERROR(__xludf.DUMMYFUNCTION("""COMPUTED_VALUE"""),"Category Page")</f>
        <v>Category Page</v>
      </c>
      <c r="G445" s="15" t="b">
        <f>IFERROR(__xludf.DUMMYFUNCTION("""COMPUTED_VALUE"""),FALSE)</f>
        <v>0</v>
      </c>
      <c r="H445" s="15" t="str">
        <f>IFERROR(__xludf.DUMMYFUNCTION("""COMPUTED_VALUE"""),"Found, Momentum, M3.agency")</f>
        <v>Found, Momentum, M3.agency</v>
      </c>
      <c r="I445" s="15">
        <f>IFERROR(__xludf.DUMMYFUNCTION("""COMPUTED_VALUE"""),2.0)</f>
        <v>2</v>
      </c>
      <c r="J445" s="15">
        <f>IFERROR(__xludf.DUMMYFUNCTION("""COMPUTED_VALUE"""),0.0)</f>
        <v>0</v>
      </c>
      <c r="K445" s="15">
        <f>IFERROR(__xludf.DUMMYFUNCTION("""COMPUTED_VALUE"""),0.0)</f>
        <v>0</v>
      </c>
      <c r="L445" s="15"/>
    </row>
    <row r="446" ht="15.75" customHeight="1">
      <c r="A446" s="14" t="str">
        <f>IFERROR(__xludf.DUMMYFUNCTION("""COMPUTED_VALUE"""),"https://www.sortlist.co.uk/s/marketing-analytics/birmingham-england-gb")</f>
        <v>https://www.sortlist.co.uk/s/marketing-analytics/birmingham-england-gb</v>
      </c>
      <c r="B446" s="15" t="str">
        <f>IFERROR(__xludf.DUMMYFUNCTION("""COMPUTED_VALUE"""),"The 10 Best Marketing Analytics Companies in Birmingham - 2026 Reviews")</f>
        <v>The 10 Best Marketing Analytics Companies in Birmingham - 2026 Reviews</v>
      </c>
      <c r="C446" s="14" t="str">
        <f>IFERROR(__xludf.DUMMYFUNCTION("""COMPUTED_VALUE"""),"sortlist.co.uk")</f>
        <v>sortlist.co.uk</v>
      </c>
      <c r="D446" s="15" t="str">
        <f>IFERROR(__xludf.DUMMYFUNCTION("""COMPUTED_VALUE"""),"CATEGORY_PAGE")</f>
        <v>CATEGORY_PAGE</v>
      </c>
      <c r="E446" s="15" t="str">
        <f>IFERROR(__xludf.DUMMYFUNCTION("""COMPUTED_VALUE"""),"REFERENCE")</f>
        <v>REFERENCE</v>
      </c>
      <c r="F446" s="15" t="str">
        <f>IFERROR(__xludf.DUMMYFUNCTION("""COMPUTED_VALUE"""),"Category Page")</f>
        <v>Category Page</v>
      </c>
      <c r="G446" s="15" t="b">
        <f>IFERROR(__xludf.DUMMYFUNCTION("""COMPUTED_VALUE"""),FALSE)</f>
        <v>0</v>
      </c>
      <c r="H446" s="15" t="str">
        <f>IFERROR(__xludf.DUMMYFUNCTION("""COMPUTED_VALUE"""),"Momentum, M3.agency, Ninja Promo")</f>
        <v>Momentum, M3.agency, Ninja Promo</v>
      </c>
      <c r="I446" s="15">
        <f>IFERROR(__xludf.DUMMYFUNCTION("""COMPUTED_VALUE"""),2.0)</f>
        <v>2</v>
      </c>
      <c r="J446" s="15">
        <f>IFERROR(__xludf.DUMMYFUNCTION("""COMPUTED_VALUE"""),0.0)</f>
        <v>0</v>
      </c>
      <c r="K446" s="15">
        <f>IFERROR(__xludf.DUMMYFUNCTION("""COMPUTED_VALUE"""),0.0)</f>
        <v>0</v>
      </c>
      <c r="L446" s="15"/>
    </row>
    <row r="447" ht="15.75" customHeight="1">
      <c r="A447" s="14" t="str">
        <f>IFERROR(__xludf.DUMMYFUNCTION("""COMPUTED_VALUE"""),"https://www.sortlist.co.uk/s/paid-media/greater-london-england-gb")</f>
        <v>https://www.sortlist.co.uk/s/paid-media/greater-london-england-gb</v>
      </c>
      <c r="B447" s="15" t="str">
        <f>IFERROR(__xludf.DUMMYFUNCTION("""COMPUTED_VALUE"""),"The 10 Best Paid Media Agencies in Greater London - 2026 Reviews")</f>
        <v>The 10 Best Paid Media Agencies in Greater London - 2026 Reviews</v>
      </c>
      <c r="C447" s="14" t="str">
        <f>IFERROR(__xludf.DUMMYFUNCTION("""COMPUTED_VALUE"""),"sortlist.co.uk")</f>
        <v>sortlist.co.uk</v>
      </c>
      <c r="D447" s="15" t="str">
        <f>IFERROR(__xludf.DUMMYFUNCTION("""COMPUTED_VALUE"""),"CATEGORY_PAGE")</f>
        <v>CATEGORY_PAGE</v>
      </c>
      <c r="E447" s="15" t="str">
        <f>IFERROR(__xludf.DUMMYFUNCTION("""COMPUTED_VALUE"""),"REFERENCE")</f>
        <v>REFERENCE</v>
      </c>
      <c r="F447" s="15" t="str">
        <f>IFERROR(__xludf.DUMMYFUNCTION("""COMPUTED_VALUE"""),"Category Page")</f>
        <v>Category Page</v>
      </c>
      <c r="G447" s="15" t="b">
        <f>IFERROR(__xludf.DUMMYFUNCTION("""COMPUTED_VALUE"""),FALSE)</f>
        <v>0</v>
      </c>
      <c r="H447" s="15" t="str">
        <f>IFERROR(__xludf.DUMMYFUNCTION("""COMPUTED_VALUE"""),"Push, Triple Whale, Northbeam, McKinsey &amp; Company, Momentum, M3.agency")</f>
        <v>Push, Triple Whale, Northbeam, McKinsey &amp; Company, Momentum, M3.agency</v>
      </c>
      <c r="I447" s="15">
        <f>IFERROR(__xludf.DUMMYFUNCTION("""COMPUTED_VALUE"""),2.0)</f>
        <v>2</v>
      </c>
      <c r="J447" s="15">
        <f>IFERROR(__xludf.DUMMYFUNCTION("""COMPUTED_VALUE"""),0.0)</f>
        <v>0</v>
      </c>
      <c r="K447" s="15">
        <f>IFERROR(__xludf.DUMMYFUNCTION("""COMPUTED_VALUE"""),0.0)</f>
        <v>0</v>
      </c>
      <c r="L447" s="15"/>
    </row>
    <row r="448" ht="15.75" customHeight="1">
      <c r="A448" s="14" t="str">
        <f>IFERROR(__xludf.DUMMYFUNCTION("""COMPUTED_VALUE"""),"https://www.sortlist.co.uk/s/programmatic-advertising/united-kingdom-gb")</f>
        <v>https://www.sortlist.co.uk/s/programmatic-advertising/united-kingdom-gb</v>
      </c>
      <c r="B448" s="15" t="str">
        <f>IFERROR(__xludf.DUMMYFUNCTION("""COMPUTED_VALUE"""),"100+ Top Programmatic Advertising Companies in the UK - 2026 Reviews")</f>
        <v>100+ Top Programmatic Advertising Companies in the UK - 2026 Reviews</v>
      </c>
      <c r="C448" s="14" t="str">
        <f>IFERROR(__xludf.DUMMYFUNCTION("""COMPUTED_VALUE"""),"sortlist.co.uk")</f>
        <v>sortlist.co.uk</v>
      </c>
      <c r="D448" s="15" t="str">
        <f>IFERROR(__xludf.DUMMYFUNCTION("""COMPUTED_VALUE"""),"PROFILE")</f>
        <v>PROFILE</v>
      </c>
      <c r="E448" s="15" t="str">
        <f>IFERROR(__xludf.DUMMYFUNCTION("""COMPUTED_VALUE"""),"REFERENCE")</f>
        <v>REFERENCE</v>
      </c>
      <c r="F448" s="15" t="str">
        <f>IFERROR(__xludf.DUMMYFUNCTION("""COMPUTED_VALUE"""),"Profile")</f>
        <v>Profile</v>
      </c>
      <c r="G448" s="15" t="b">
        <f>IFERROR(__xludf.DUMMYFUNCTION("""COMPUTED_VALUE"""),FALSE)</f>
        <v>0</v>
      </c>
      <c r="H448" s="15" t="str">
        <f>IFERROR(__xludf.DUMMYFUNCTION("""COMPUTED_VALUE"""),"Push, Triple Whale, Northbeam, Momentum, M3.agency, Impression")</f>
        <v>Push, Triple Whale, Northbeam, Momentum, M3.agency, Impression</v>
      </c>
      <c r="I448" s="15">
        <f>IFERROR(__xludf.DUMMYFUNCTION("""COMPUTED_VALUE"""),2.0)</f>
        <v>2</v>
      </c>
      <c r="J448" s="15">
        <f>IFERROR(__xludf.DUMMYFUNCTION("""COMPUTED_VALUE"""),0.0)</f>
        <v>0</v>
      </c>
      <c r="K448" s="15">
        <f>IFERROR(__xludf.DUMMYFUNCTION("""COMPUTED_VALUE"""),0.0)</f>
        <v>0</v>
      </c>
      <c r="L448" s="15"/>
    </row>
    <row r="449" ht="15.75" customHeight="1">
      <c r="A449" s="14" t="str">
        <f>IFERROR(__xludf.DUMMYFUNCTION("""COMPUTED_VALUE"""),"https://www.sortlist.com/marketing-analytics")</f>
        <v>https://www.sortlist.com/marketing-analytics</v>
      </c>
      <c r="B449" s="15" t="str">
        <f>IFERROR(__xludf.DUMMYFUNCTION("""COMPUTED_VALUE"""),"The 100 Best Marketing Analytics Companies - 2026 Reviews")</f>
        <v>The 100 Best Marketing Analytics Companies - 2026 Reviews</v>
      </c>
      <c r="C449" s="14" t="str">
        <f>IFERROR(__xludf.DUMMYFUNCTION("""COMPUTED_VALUE"""),"sortlist.com")</f>
        <v>sortlist.com</v>
      </c>
      <c r="D449" s="15" t="str">
        <f>IFERROR(__xludf.DUMMYFUNCTION("""COMPUTED_VALUE"""),"CATEGORY_PAGE")</f>
        <v>CATEGORY_PAGE</v>
      </c>
      <c r="E449" s="15" t="str">
        <f>IFERROR(__xludf.DUMMYFUNCTION("""COMPUTED_VALUE"""),"CORPORATE")</f>
        <v>CORPORATE</v>
      </c>
      <c r="F449" s="15" t="str">
        <f>IFERROR(__xludf.DUMMYFUNCTION("""COMPUTED_VALUE"""),"Category Page")</f>
        <v>Category Page</v>
      </c>
      <c r="G449" s="15" t="b">
        <f>IFERROR(__xludf.DUMMYFUNCTION("""COMPUTED_VALUE"""),FALSE)</f>
        <v>0</v>
      </c>
      <c r="H449" s="15" t="str">
        <f>IFERROR(__xludf.DUMMYFUNCTION("""COMPUTED_VALUE"""),"Ninja Promo")</f>
        <v>Ninja Promo</v>
      </c>
      <c r="I449" s="15">
        <f>IFERROR(__xludf.DUMMYFUNCTION("""COMPUTED_VALUE"""),2.0)</f>
        <v>2</v>
      </c>
      <c r="J449" s="15">
        <f>IFERROR(__xludf.DUMMYFUNCTION("""COMPUTED_VALUE"""),0.0)</f>
        <v>0</v>
      </c>
      <c r="K449" s="15">
        <f>IFERROR(__xludf.DUMMYFUNCTION("""COMPUTED_VALUE"""),0.0)</f>
        <v>0</v>
      </c>
      <c r="L449" s="15"/>
    </row>
    <row r="450" ht="15.75" customHeight="1">
      <c r="A450" s="14" t="str">
        <f>IFERROR(__xludf.DUMMYFUNCTION("""COMPUTED_VALUE"""),"https://sourceloop.ai/blog/best-marketing-measurement-tools/")</f>
        <v>https://sourceloop.ai/blog/best-marketing-measurement-tools/</v>
      </c>
      <c r="B450" s="15" t="str">
        <f>IFERROR(__xludf.DUMMYFUNCTION("""COMPUTED_VALUE"""),"10 Best Marketing Measurement Tools: Compared in 2026 | SourceLoop")</f>
        <v>10 Best Marketing Measurement Tools: Compared in 2026 | SourceLoop</v>
      </c>
      <c r="C450" s="14" t="str">
        <f>IFERROR(__xludf.DUMMYFUNCTION("""COMPUTED_VALUE"""),"sourceloop.ai")</f>
        <v>sourceloop.ai</v>
      </c>
      <c r="D450" s="15" t="str">
        <f>IFERROR(__xludf.DUMMYFUNCTION("""COMPUTED_VALUE"""),"LISTICLE")</f>
        <v>LISTICLE</v>
      </c>
      <c r="E450" s="15" t="str">
        <f>IFERROR(__xludf.DUMMYFUNCTION("""COMPUTED_VALUE"""),"CORPORATE")</f>
        <v>CORPORATE</v>
      </c>
      <c r="F450" s="15" t="str">
        <f>IFERROR(__xludf.DUMMYFUNCTION("""COMPUTED_VALUE"""),"Listicle")</f>
        <v>Listicle</v>
      </c>
      <c r="G450" s="15" t="b">
        <f>IFERROR(__xludf.DUMMYFUNCTION("""COMPUTED_VALUE"""),FALSE)</f>
        <v>0</v>
      </c>
      <c r="H450" s="15" t="str">
        <f>IFERROR(__xludf.DUMMYFUNCTION("""COMPUTED_VALUE"""),"Northbeam, Triple Whale, Measured, Recast, Rockerbox, Sellforte, Analytic Partners, Push, Cometly, Nielsen")</f>
        <v>Northbeam, Triple Whale, Measured, Recast, Rockerbox, Sellforte, Analytic Partners, Push, Cometly, Nielsen</v>
      </c>
      <c r="I450" s="15">
        <f>IFERROR(__xludf.DUMMYFUNCTION("""COMPUTED_VALUE"""),2.0)</f>
        <v>2</v>
      </c>
      <c r="J450" s="15">
        <f>IFERROR(__xludf.DUMMYFUNCTION("""COMPUTED_VALUE"""),0.0)</f>
        <v>0</v>
      </c>
      <c r="K450" s="15">
        <f>IFERROR(__xludf.DUMMYFUNCTION("""COMPUTED_VALUE"""),0.0)</f>
        <v>0</v>
      </c>
      <c r="L450" s="15"/>
    </row>
    <row r="451" ht="15.75" customHeight="1">
      <c r="A451" s="14" t="str">
        <f>IFERROR(__xludf.DUMMYFUNCTION("""COMPUTED_VALUE"""),"https://spicyadvisory.com/blog/best-ai-consulting-firms-london-uk-2026")</f>
        <v>https://spicyadvisory.com/blog/best-ai-consulting-firms-london-uk-2026</v>
      </c>
      <c r="B451" s="15" t="str">
        <f>IFERROR(__xludf.DUMMYFUNCTION("""COMPUTED_VALUE"""),"Best AI Consulting Firms in London &amp;amp; the UK (2026): An Honest Comparison | Spicy Advisory")</f>
        <v>Best AI Consulting Firms in London &amp;amp; the UK (2026): An Honest Comparison | Spicy Advisory</v>
      </c>
      <c r="C451" s="14" t="str">
        <f>IFERROR(__xludf.DUMMYFUNCTION("""COMPUTED_VALUE"""),"spicyadvisory.com")</f>
        <v>spicyadvisory.com</v>
      </c>
      <c r="D451" s="15" t="str">
        <f>IFERROR(__xludf.DUMMYFUNCTION("""COMPUTED_VALUE"""),"COMPARISON")</f>
        <v>COMPARISON</v>
      </c>
      <c r="E451" s="15" t="str">
        <f>IFERROR(__xludf.DUMMYFUNCTION("""COMPUTED_VALUE"""),"CORPORATE")</f>
        <v>CORPORATE</v>
      </c>
      <c r="F451" s="15" t="str">
        <f>IFERROR(__xludf.DUMMYFUNCTION("""COMPUTED_VALUE"""),"Comparison")</f>
        <v>Comparison</v>
      </c>
      <c r="G451" s="15" t="b">
        <f>IFERROR(__xludf.DUMMYFUNCTION("""COMPUTED_VALUE"""),FALSE)</f>
        <v>0</v>
      </c>
      <c r="H451" s="15" t="str">
        <f>IFERROR(__xludf.DUMMYFUNCTION("""COMPUTED_VALUE"""),"QuantumBlack, Measured")</f>
        <v>QuantumBlack, Measured</v>
      </c>
      <c r="I451" s="15">
        <f>IFERROR(__xludf.DUMMYFUNCTION("""COMPUTED_VALUE"""),2.0)</f>
        <v>2</v>
      </c>
      <c r="J451" s="15">
        <f>IFERROR(__xludf.DUMMYFUNCTION("""COMPUTED_VALUE"""),0.0)</f>
        <v>0</v>
      </c>
      <c r="K451" s="15">
        <f>IFERROR(__xludf.DUMMYFUNCTION("""COMPUTED_VALUE"""),0.5)</f>
        <v>0.5</v>
      </c>
      <c r="L451" s="15"/>
    </row>
    <row r="452" ht="15.75" customHeight="1">
      <c r="A452" s="14" t="str">
        <f>IFERROR(__xludf.DUMMYFUNCTION("""COMPUTED_VALUE"""),"https://superbcompanies.com/categories/digital-marketing-companies-in-the-uk/")</f>
        <v>https://superbcompanies.com/categories/digital-marketing-companies-in-the-uk/</v>
      </c>
      <c r="B452" s="15" t="str">
        <f>IFERROR(__xludf.DUMMYFUNCTION("""COMPUTED_VALUE"""),"Top 100 Digital Marketing Companies in the United Kingdom - Jul 2026 | Ranking | SuperbCompanies")</f>
        <v>Top 100 Digital Marketing Companies in the United Kingdom - Jul 2026 | Ranking | SuperbCompanies</v>
      </c>
      <c r="C452" s="14" t="str">
        <f>IFERROR(__xludf.DUMMYFUNCTION("""COMPUTED_VALUE"""),"superbcompanies.com")</f>
        <v>superbcompanies.com</v>
      </c>
      <c r="D452" s="15" t="str">
        <f>IFERROR(__xludf.DUMMYFUNCTION("""COMPUTED_VALUE"""),"LISTICLE")</f>
        <v>LISTICLE</v>
      </c>
      <c r="E452" s="15" t="str">
        <f>IFERROR(__xludf.DUMMYFUNCTION("""COMPUTED_VALUE"""),"REFERENCE")</f>
        <v>REFERENCE</v>
      </c>
      <c r="F452" s="15" t="str">
        <f>IFERROR(__xludf.DUMMYFUNCTION("""COMPUTED_VALUE"""),"Listicle")</f>
        <v>Listicle</v>
      </c>
      <c r="G452" s="15" t="b">
        <f>IFERROR(__xludf.DUMMYFUNCTION("""COMPUTED_VALUE"""),FALSE)</f>
        <v>0</v>
      </c>
      <c r="H452" s="15" t="str">
        <f>IFERROR(__xludf.DUMMYFUNCTION("""COMPUTED_VALUE"""),"Bird Marketing, The SEO Works, Found, Impression")</f>
        <v>Bird Marketing, The SEO Works, Found, Impression</v>
      </c>
      <c r="I452" s="15">
        <f>IFERROR(__xludf.DUMMYFUNCTION("""COMPUTED_VALUE"""),2.0)</f>
        <v>2</v>
      </c>
      <c r="J452" s="15">
        <f>IFERROR(__xludf.DUMMYFUNCTION("""COMPUTED_VALUE"""),0.0)</f>
        <v>0</v>
      </c>
      <c r="K452" s="15">
        <f>IFERROR(__xludf.DUMMYFUNCTION("""COMPUTED_VALUE"""),0.0)</f>
        <v>0</v>
      </c>
      <c r="L452" s="15"/>
    </row>
    <row r="453" ht="15.75" customHeight="1">
      <c r="A453" s="14" t="str">
        <f>IFERROR(__xludf.DUMMYFUNCTION("""COMPUTED_VALUE"""),"https://techbehemoths.com/companies/google-marketing-platform/united-kingdom")</f>
        <v>https://techbehemoths.com/companies/google-marketing-platform/united-kingdom</v>
      </c>
      <c r="B453" s="15" t="str">
        <f>IFERROR(__xludf.DUMMYFUNCTION("""COMPUTED_VALUE"""),"Top 20+ Google Marketing Platform Companies in United Kingdom (2026) - TechBehemoths")</f>
        <v>Top 20+ Google Marketing Platform Companies in United Kingdom (2026) - TechBehemoths</v>
      </c>
      <c r="C453" s="14" t="str">
        <f>IFERROR(__xludf.DUMMYFUNCTION("""COMPUTED_VALUE"""),"techbehemoths.com")</f>
        <v>techbehemoths.com</v>
      </c>
      <c r="D453" s="15" t="str">
        <f>IFERROR(__xludf.DUMMYFUNCTION("""COMPUTED_VALUE"""),"OTHER")</f>
        <v>OTHER</v>
      </c>
      <c r="E453" s="15" t="str">
        <f>IFERROR(__xludf.DUMMYFUNCTION("""COMPUTED_VALUE"""),"REFERENCE")</f>
        <v>REFERENCE</v>
      </c>
      <c r="F453" s="15" t="str">
        <f>IFERROR(__xludf.DUMMYFUNCTION("""COMPUTED_VALUE"""),"Other")</f>
        <v>Other</v>
      </c>
      <c r="G453" s="15" t="b">
        <f>IFERROR(__xludf.DUMMYFUNCTION("""COMPUTED_VALUE"""),FALSE)</f>
        <v>0</v>
      </c>
      <c r="H453" s="15" t="str">
        <f>IFERROR(__xludf.DUMMYFUNCTION("""COMPUTED_VALUE"""),"Found")</f>
        <v>Found</v>
      </c>
      <c r="I453" s="15">
        <f>IFERROR(__xludf.DUMMYFUNCTION("""COMPUTED_VALUE"""),2.0)</f>
        <v>2</v>
      </c>
      <c r="J453" s="15">
        <f>IFERROR(__xludf.DUMMYFUNCTION("""COMPUTED_VALUE"""),0.0)</f>
        <v>0</v>
      </c>
      <c r="K453" s="15">
        <f>IFERROR(__xludf.DUMMYFUNCTION("""COMPUTED_VALUE"""),1.0)</f>
        <v>1</v>
      </c>
      <c r="L453" s="15"/>
    </row>
    <row r="454" ht="15.75" customHeight="1">
      <c r="A454" s="14" t="str">
        <f>IFERROR(__xludf.DUMMYFUNCTION("""COMPUTED_VALUE"""),"https://thatware.co/top-10-seo-companies-in-uk/")</f>
        <v>https://thatware.co/top-10-seo-companies-in-uk/</v>
      </c>
      <c r="B454" s="15" t="str">
        <f>IFERROR(__xludf.DUMMYFUNCTION("""COMPUTED_VALUE"""),"Top SEO Companies in UK | 10 Best UK SEO Agencies")</f>
        <v>Top SEO Companies in UK | 10 Best UK SEO Agencies</v>
      </c>
      <c r="C454" s="14" t="str">
        <f>IFERROR(__xludf.DUMMYFUNCTION("""COMPUTED_VALUE"""),"thatware.co")</f>
        <v>thatware.co</v>
      </c>
      <c r="D454" s="15" t="str">
        <f>IFERROR(__xludf.DUMMYFUNCTION("""COMPUTED_VALUE"""),"LISTICLE")</f>
        <v>LISTICLE</v>
      </c>
      <c r="E454" s="15" t="str">
        <f>IFERROR(__xludf.DUMMYFUNCTION("""COMPUTED_VALUE"""),"CORPORATE")</f>
        <v>CORPORATE</v>
      </c>
      <c r="F454" s="15" t="str">
        <f>IFERROR(__xludf.DUMMYFUNCTION("""COMPUTED_VALUE"""),"Listicle")</f>
        <v>Listicle</v>
      </c>
      <c r="G454" s="15" t="b">
        <f>IFERROR(__xludf.DUMMYFUNCTION("""COMPUTED_VALUE"""),FALSE)</f>
        <v>0</v>
      </c>
      <c r="H454" s="15" t="str">
        <f>IFERROR(__xludf.DUMMYFUNCTION("""COMPUTED_VALUE"""),"Ninja Promo, Impression, Genie Crawl, Rise at Seven, Builtvisible, Whitehat")</f>
        <v>Ninja Promo, Impression, Genie Crawl, Rise at Seven, Builtvisible, Whitehat</v>
      </c>
      <c r="I454" s="15">
        <f>IFERROR(__xludf.DUMMYFUNCTION("""COMPUTED_VALUE"""),2.0)</f>
        <v>2</v>
      </c>
      <c r="J454" s="15">
        <f>IFERROR(__xludf.DUMMYFUNCTION("""COMPUTED_VALUE"""),0.0)</f>
        <v>0</v>
      </c>
      <c r="K454" s="15">
        <f>IFERROR(__xludf.DUMMYFUNCTION("""COMPUTED_VALUE"""),1.0)</f>
        <v>1</v>
      </c>
      <c r="L454" s="15"/>
    </row>
    <row r="455" ht="15.75" customHeight="1">
      <c r="A455" s="14" t="str">
        <f>IFERROR(__xludf.DUMMYFUNCTION("""COMPUTED_VALUE"""),"https://www.thegrowthsyndicate.com/agencies/best-b2b-digital-marketing-agencies-uk")</f>
        <v>https://www.thegrowthsyndicate.com/agencies/best-b2b-digital-marketing-agencies-uk</v>
      </c>
      <c r="B455" s="15" t="str">
        <f>IFERROR(__xludf.DUMMYFUNCTION("""COMPUTED_VALUE"""),"The 11 Best B2B Digital Marketing Agencies in the UK (2026)")</f>
        <v>The 11 Best B2B Digital Marketing Agencies in the UK (2026)</v>
      </c>
      <c r="C455" s="14" t="str">
        <f>IFERROR(__xludf.DUMMYFUNCTION("""COMPUTED_VALUE"""),"thegrowthsyndicate.com")</f>
        <v>thegrowthsyndicate.com</v>
      </c>
      <c r="D455" s="15" t="str">
        <f>IFERROR(__xludf.DUMMYFUNCTION("""COMPUTED_VALUE"""),"LISTICLE")</f>
        <v>LISTICLE</v>
      </c>
      <c r="E455" s="15" t="str">
        <f>IFERROR(__xludf.DUMMYFUNCTION("""COMPUTED_VALUE"""),"CORPORATE")</f>
        <v>CORPORATE</v>
      </c>
      <c r="F455" s="15" t="str">
        <f>IFERROR(__xludf.DUMMYFUNCTION("""COMPUTED_VALUE"""),"Listicle")</f>
        <v>Listicle</v>
      </c>
      <c r="G455" s="15" t="b">
        <f>IFERROR(__xludf.DUMMYFUNCTION("""COMPUTED_VALUE"""),FALSE)</f>
        <v>0</v>
      </c>
      <c r="H455" s="15" t="str">
        <f>IFERROR(__xludf.DUMMYFUNCTION("""COMPUTED_VALUE"""),"The Social Shepherd, Propellernet, Dentsu, LOCALiQ, Found")</f>
        <v>The Social Shepherd, Propellernet, Dentsu, LOCALiQ, Found</v>
      </c>
      <c r="I455" s="15">
        <f>IFERROR(__xludf.DUMMYFUNCTION("""COMPUTED_VALUE"""),2.0)</f>
        <v>2</v>
      </c>
      <c r="J455" s="15">
        <f>IFERROR(__xludf.DUMMYFUNCTION("""COMPUTED_VALUE"""),0.0)</f>
        <v>0</v>
      </c>
      <c r="K455" s="15">
        <f>IFERROR(__xludf.DUMMYFUNCTION("""COMPUTED_VALUE"""),2.5)</f>
        <v>2.5</v>
      </c>
      <c r="L455" s="15"/>
    </row>
    <row r="456" ht="15.75" customHeight="1">
      <c r="A456" s="14" t="str">
        <f>IFERROR(__xludf.DUMMYFUNCTION("""COMPUTED_VALUE"""),"https://themanifest.com/programmatic/agencies/uk")</f>
        <v>https://themanifest.com/programmatic/agencies/uk</v>
      </c>
      <c r="B456" s="15" t="str">
        <f>IFERROR(__xludf.DUMMYFUNCTION("""COMPUTED_VALUE"""),"The Best Programmatic Advertising Companies in United Kingdom - Jun 2026 \| The Manifest")</f>
        <v>The Best Programmatic Advertising Companies in United Kingdom - Jun 2026 \| The Manifest</v>
      </c>
      <c r="C456" s="14" t="str">
        <f>IFERROR(__xludf.DUMMYFUNCTION("""COMPUTED_VALUE"""),"themanifest.com")</f>
        <v>themanifest.com</v>
      </c>
      <c r="D456" s="15" t="str">
        <f>IFERROR(__xludf.DUMMYFUNCTION("""COMPUTED_VALUE"""),"CATEGORY_PAGE")</f>
        <v>CATEGORY_PAGE</v>
      </c>
      <c r="E456" s="15" t="str">
        <f>IFERROR(__xludf.DUMMYFUNCTION("""COMPUTED_VALUE"""),"REFERENCE")</f>
        <v>REFERENCE</v>
      </c>
      <c r="F456" s="15" t="str">
        <f>IFERROR(__xludf.DUMMYFUNCTION("""COMPUTED_VALUE"""),"Category Page")</f>
        <v>Category Page</v>
      </c>
      <c r="G456" s="15" t="b">
        <f>IFERROR(__xludf.DUMMYFUNCTION("""COMPUTED_VALUE"""),FALSE)</f>
        <v>0</v>
      </c>
      <c r="H456" s="15" t="str">
        <f>IFERROR(__xludf.DUMMYFUNCTION("""COMPUTED_VALUE"""),"ROAST, Ninja Promo, The SEO Works, M3.agency")</f>
        <v>ROAST, Ninja Promo, The SEO Works, M3.agency</v>
      </c>
      <c r="I456" s="15">
        <f>IFERROR(__xludf.DUMMYFUNCTION("""COMPUTED_VALUE"""),2.0)</f>
        <v>2</v>
      </c>
      <c r="J456" s="15">
        <f>IFERROR(__xludf.DUMMYFUNCTION("""COMPUTED_VALUE"""),0.0)</f>
        <v>0</v>
      </c>
      <c r="K456" s="15">
        <f>IFERROR(__xludf.DUMMYFUNCTION("""COMPUTED_VALUE"""),0.0)</f>
        <v>0</v>
      </c>
      <c r="L456" s="15"/>
    </row>
    <row r="457" ht="15.75" customHeight="1">
      <c r="A457" s="14" t="str">
        <f>IFERROR(__xludf.DUMMYFUNCTION("""COMPUTED_VALUE"""),"https://thetechfounders.co.uk/guides/10-best-ai-readiness-assessment-platforms-available-in-2026/#:~:text=Avanade's%20assessment%20is%20informed%20by,human%20side%20of%20AI%20adoption.")</f>
        <v>https://thetechfounders.co.uk/guides/10-best-ai-readiness-assessment-platforms-available-in-2026/#:~:text=Avanade's%20assessment%20is%20informed%20by,human%20side%20of%20AI%20adoption.</v>
      </c>
      <c r="B457" s="15" t="str">
        <f>IFERROR(__xludf.DUMMYFUNCTION("""COMPUTED_VALUE"""),"10 Best AI Readiness Assessment Platforms Available in 2026 | The Tech Founders")</f>
        <v>10 Best AI Readiness Assessment Platforms Available in 2026 | The Tech Founders</v>
      </c>
      <c r="C457" s="14" t="str">
        <f>IFERROR(__xludf.DUMMYFUNCTION("""COMPUTED_VALUE"""),"thetechfounders.co.uk")</f>
        <v>thetechfounders.co.uk</v>
      </c>
      <c r="D457" s="15" t="str">
        <f>IFERROR(__xludf.DUMMYFUNCTION("""COMPUTED_VALUE"""),"LISTICLE")</f>
        <v>LISTICLE</v>
      </c>
      <c r="E457" s="15" t="str">
        <f>IFERROR(__xludf.DUMMYFUNCTION("""COMPUTED_VALUE"""),"UGC")</f>
        <v>UGC</v>
      </c>
      <c r="F457" s="15" t="str">
        <f>IFERROR(__xludf.DUMMYFUNCTION("""COMPUTED_VALUE"""),"Listicle")</f>
        <v>Listicle</v>
      </c>
      <c r="G457" s="15" t="b">
        <f>IFERROR(__xludf.DUMMYFUNCTION("""COMPUTED_VALUE"""),FALSE)</f>
        <v>0</v>
      </c>
      <c r="H457" s="15" t="str">
        <f>IFERROR(__xludf.DUMMYFUNCTION("""COMPUTED_VALUE"""),"YouGov")</f>
        <v>YouGov</v>
      </c>
      <c r="I457" s="15">
        <f>IFERROR(__xludf.DUMMYFUNCTION("""COMPUTED_VALUE"""),2.0)</f>
        <v>2</v>
      </c>
      <c r="J457" s="15">
        <f>IFERROR(__xludf.DUMMYFUNCTION("""COMPUTED_VALUE"""),0.0)</f>
        <v>0</v>
      </c>
      <c r="K457" s="15">
        <f>IFERROR(__xludf.DUMMYFUNCTION("""COMPUTED_VALUE"""),1.0)</f>
        <v>1</v>
      </c>
      <c r="L457" s="15"/>
    </row>
    <row r="458" ht="15.75" customHeight="1">
      <c r="A458" s="14" t="str">
        <f>IFERROR(__xludf.DUMMYFUNCTION("""COMPUTED_VALUE"""),"https://www.topseobrands.com/uk/best-display-advertising-firms-in-uk/page/8")</f>
        <v>https://www.topseobrands.com/uk/best-display-advertising-firms-in-uk/page/8</v>
      </c>
      <c r="B458" s="15" t="str">
        <f>IFERROR(__xludf.DUMMYFUNCTION("""COMPUTED_VALUE"""),"Best Display Advertising Firms in United Kingdom | Top SEO Brands")</f>
        <v>Best Display Advertising Firms in United Kingdom | Top SEO Brands</v>
      </c>
      <c r="C458" s="14" t="str">
        <f>IFERROR(__xludf.DUMMYFUNCTION("""COMPUTED_VALUE"""),"topseobrands.com")</f>
        <v>topseobrands.com</v>
      </c>
      <c r="D458" s="15" t="str">
        <f>IFERROR(__xludf.DUMMYFUNCTION("""COMPUTED_VALUE"""),"LISTICLE")</f>
        <v>LISTICLE</v>
      </c>
      <c r="E458" s="15" t="str">
        <f>IFERROR(__xludf.DUMMYFUNCTION("""COMPUTED_VALUE"""),"REFERENCE")</f>
        <v>REFERENCE</v>
      </c>
      <c r="F458" s="15" t="str">
        <f>IFERROR(__xludf.DUMMYFUNCTION("""COMPUTED_VALUE"""),"Listicle")</f>
        <v>Listicle</v>
      </c>
      <c r="G458" s="15" t="b">
        <f>IFERROR(__xludf.DUMMYFUNCTION("""COMPUTED_VALUE"""),FALSE)</f>
        <v>0</v>
      </c>
      <c r="H458" s="15" t="str">
        <f>IFERROR(__xludf.DUMMYFUNCTION("""COMPUTED_VALUE"""),"Found")</f>
        <v>Found</v>
      </c>
      <c r="I458" s="15">
        <f>IFERROR(__xludf.DUMMYFUNCTION("""COMPUTED_VALUE"""),2.0)</f>
        <v>2</v>
      </c>
      <c r="J458" s="15">
        <f>IFERROR(__xludf.DUMMYFUNCTION("""COMPUTED_VALUE"""),0.0)</f>
        <v>0</v>
      </c>
      <c r="K458" s="15">
        <f>IFERROR(__xludf.DUMMYFUNCTION("""COMPUTED_VALUE"""),0.0)</f>
        <v>0</v>
      </c>
      <c r="L458" s="15"/>
    </row>
    <row r="459" ht="15.75" customHeight="1">
      <c r="A459" s="14" t="str">
        <f>IFERROR(__xludf.DUMMYFUNCTION("""COMPUTED_VALUE"""),"https://www.webtonic.io/blog/top-conversion-rate-optimisation-agencies-london")</f>
        <v>https://www.webtonic.io/blog/top-conversion-rate-optimisation-agencies-london</v>
      </c>
      <c r="B459" s="15" t="str">
        <f>IFERROR(__xludf.DUMMYFUNCTION("""COMPUTED_VALUE"""),"25 Top Conversion Rate Optimisation Agencies in London for 2026")</f>
        <v>25 Top Conversion Rate Optimisation Agencies in London for 2026</v>
      </c>
      <c r="C459" s="14" t="str">
        <f>IFERROR(__xludf.DUMMYFUNCTION("""COMPUTED_VALUE"""),"webtonic.io")</f>
        <v>webtonic.io</v>
      </c>
      <c r="D459" s="15" t="str">
        <f>IFERROR(__xludf.DUMMYFUNCTION("""COMPUTED_VALUE"""),"LISTICLE")</f>
        <v>LISTICLE</v>
      </c>
      <c r="E459" s="15" t="str">
        <f>IFERROR(__xludf.DUMMYFUNCTION("""COMPUTED_VALUE"""),"CORPORATE")</f>
        <v>CORPORATE</v>
      </c>
      <c r="F459" s="15" t="str">
        <f>IFERROR(__xludf.DUMMYFUNCTION("""COMPUTED_VALUE"""),"Listicle")</f>
        <v>Listicle</v>
      </c>
      <c r="G459" s="15" t="b">
        <f>IFERROR(__xludf.DUMMYFUNCTION("""COMPUTED_VALUE"""),FALSE)</f>
        <v>0</v>
      </c>
      <c r="H459" s="15" t="str">
        <f>IFERROR(__xludf.DUMMYFUNCTION("""COMPUTED_VALUE"""),"Impression, Anicca Digital")</f>
        <v>Impression, Anicca Digital</v>
      </c>
      <c r="I459" s="15">
        <f>IFERROR(__xludf.DUMMYFUNCTION("""COMPUTED_VALUE"""),2.0)</f>
        <v>2</v>
      </c>
      <c r="J459" s="15">
        <f>IFERROR(__xludf.DUMMYFUNCTION("""COMPUTED_VALUE"""),0.0)</f>
        <v>0</v>
      </c>
      <c r="K459" s="15">
        <f>IFERROR(__xludf.DUMMYFUNCTION("""COMPUTED_VALUE"""),2.0)</f>
        <v>2</v>
      </c>
      <c r="L459" s="15"/>
    </row>
    <row r="460" ht="15.75" customHeight="1">
      <c r="A460" s="14" t="str">
        <f>IFERROR(__xludf.DUMMYFUNCTION("""COMPUTED_VALUE"""),"https://www.webtonic.io/blog/top-social-media-agencies-uk")</f>
        <v>https://www.webtonic.io/blog/top-social-media-agencies-uk</v>
      </c>
      <c r="B460" s="15" t="str">
        <f>IFERROR(__xludf.DUMMYFUNCTION("""COMPUTED_VALUE"""),"Top 48 Social Media Agencies in the UK (Reviewed in 2026)")</f>
        <v>Top 48 Social Media Agencies in the UK (Reviewed in 2026)</v>
      </c>
      <c r="C460" s="14" t="str">
        <f>IFERROR(__xludf.DUMMYFUNCTION("""COMPUTED_VALUE"""),"webtonic.io")</f>
        <v>webtonic.io</v>
      </c>
      <c r="D460" s="15" t="str">
        <f>IFERROR(__xludf.DUMMYFUNCTION("""COMPUTED_VALUE"""),"LISTICLE")</f>
        <v>LISTICLE</v>
      </c>
      <c r="E460" s="15" t="str">
        <f>IFERROR(__xludf.DUMMYFUNCTION("""COMPUTED_VALUE"""),"CORPORATE")</f>
        <v>CORPORATE</v>
      </c>
      <c r="F460" s="15" t="str">
        <f>IFERROR(__xludf.DUMMYFUNCTION("""COMPUTED_VALUE"""),"Listicle")</f>
        <v>Listicle</v>
      </c>
      <c r="G460" s="15" t="b">
        <f>IFERROR(__xludf.DUMMYFUNCTION("""COMPUTED_VALUE"""),FALSE)</f>
        <v>0</v>
      </c>
      <c r="H460" s="15" t="str">
        <f>IFERROR(__xludf.DUMMYFUNCTION("""COMPUTED_VALUE"""),"The Social Shepherd, We Are Social, Social Chain, WPP, Born Social, Brainlabs, Ninja Promo, Make Agency, Croud, The Good Marketer, Gripped, Measured, inBeat, Bird Marketing, Disrupt Marketing, Soap Media")</f>
        <v>The Social Shepherd, We Are Social, Social Chain, WPP, Born Social, Brainlabs, Ninja Promo, Make Agency, Croud, The Good Marketer, Gripped, Measured, inBeat, Bird Marketing, Disrupt Marketing, Soap Media</v>
      </c>
      <c r="I460" s="15">
        <f>IFERROR(__xludf.DUMMYFUNCTION("""COMPUTED_VALUE"""),2.0)</f>
        <v>2</v>
      </c>
      <c r="J460" s="15">
        <f>IFERROR(__xludf.DUMMYFUNCTION("""COMPUTED_VALUE"""),0.0)</f>
        <v>0</v>
      </c>
      <c r="K460" s="15">
        <f>IFERROR(__xludf.DUMMYFUNCTION("""COMPUTED_VALUE"""),1.0)</f>
        <v>1</v>
      </c>
      <c r="L460" s="15"/>
    </row>
    <row r="461" ht="15.75" customHeight="1">
      <c r="A461" s="14" t="str">
        <f>IFERROR(__xludf.DUMMYFUNCTION("""COMPUTED_VALUE"""),"https://www.20northmarketing.com/blog/top-ai-optimization-agencies")</f>
        <v>https://www.20northmarketing.com/blog/top-ai-optimization-agencies</v>
      </c>
      <c r="B461" s="15" t="str">
        <f>IFERROR(__xludf.DUMMYFUNCTION("""COMPUTED_VALUE"""),"Top AI Optimization Agencies | 20North Marketing | 20North")</f>
        <v>Top AI Optimization Agencies | 20North Marketing | 20North</v>
      </c>
      <c r="C461" s="14" t="str">
        <f>IFERROR(__xludf.DUMMYFUNCTION("""COMPUTED_VALUE"""),"20northmarketing.com")</f>
        <v>20northmarketing.com</v>
      </c>
      <c r="D461" s="15" t="str">
        <f>IFERROR(__xludf.DUMMYFUNCTION("""COMPUTED_VALUE"""),"LISTICLE")</f>
        <v>LISTICLE</v>
      </c>
      <c r="E461" s="15" t="str">
        <f>IFERROR(__xludf.DUMMYFUNCTION("""COMPUTED_VALUE"""),"CORPORATE")</f>
        <v>CORPORATE</v>
      </c>
      <c r="F461" s="15" t="str">
        <f>IFERROR(__xludf.DUMMYFUNCTION("""COMPUTED_VALUE"""),"Listicle")</f>
        <v>Listicle</v>
      </c>
      <c r="G461" s="15" t="b">
        <f>IFERROR(__xludf.DUMMYFUNCTION("""COMPUTED_VALUE"""),FALSE)</f>
        <v>0</v>
      </c>
      <c r="H461" s="15" t="str">
        <f>IFERROR(__xludf.DUMMYFUNCTION("""COMPUTED_VALUE"""),"Siege Media")</f>
        <v>Siege Media</v>
      </c>
      <c r="I461" s="15">
        <f>IFERROR(__xludf.DUMMYFUNCTION("""COMPUTED_VALUE"""),1.0)</f>
        <v>1</v>
      </c>
      <c r="J461" s="15">
        <f>IFERROR(__xludf.DUMMYFUNCTION("""COMPUTED_VALUE"""),0.0)</f>
        <v>0</v>
      </c>
      <c r="K461" s="15">
        <f>IFERROR(__xludf.DUMMYFUNCTION("""COMPUTED_VALUE"""),1.0)</f>
        <v>1</v>
      </c>
      <c r="L461" s="15"/>
    </row>
    <row r="462" ht="15.75" customHeight="1">
      <c r="A462" s="14" t="str">
        <f>IFERROR(__xludf.DUMMYFUNCTION("""COMPUTED_VALUE"""),"https://www.2pointagency.com/glossary/data-activation-and-first-party-data-strategy-a-comprehensive-guide-for-businesses/")</f>
        <v>https://www.2pointagency.com/glossary/data-activation-and-first-party-data-strategy-a-comprehensive-guide-for-businesses/</v>
      </c>
      <c r="B462" s="15"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462" s="14" t="str">
        <f>IFERROR(__xludf.DUMMYFUNCTION("""COMPUTED_VALUE"""),"2pointagency.com")</f>
        <v>2pointagency.com</v>
      </c>
      <c r="D462" s="15" t="str">
        <f>IFERROR(__xludf.DUMMYFUNCTION("""COMPUTED_VALUE"""),"HOW_TO_GUIDE")</f>
        <v>HOW_TO_GUIDE</v>
      </c>
      <c r="E462" s="15" t="str">
        <f>IFERROR(__xludf.DUMMYFUNCTION("""COMPUTED_VALUE"""),"CORPORATE")</f>
        <v>CORPORATE</v>
      </c>
      <c r="F462" s="15" t="str">
        <f>IFERROR(__xludf.DUMMYFUNCTION("""COMPUTED_VALUE"""),"How-To Guide")</f>
        <v>How-To Guide</v>
      </c>
      <c r="G462" s="15" t="b">
        <f>IFERROR(__xludf.DUMMYFUNCTION("""COMPUTED_VALUE"""),FALSE)</f>
        <v>0</v>
      </c>
      <c r="H462" s="15"/>
      <c r="I462" s="15">
        <f>IFERROR(__xludf.DUMMYFUNCTION("""COMPUTED_VALUE"""),1.0)</f>
        <v>1</v>
      </c>
      <c r="J462" s="15">
        <f>IFERROR(__xludf.DUMMYFUNCTION("""COMPUTED_VALUE"""),0.0)</f>
        <v>0</v>
      </c>
      <c r="K462" s="15">
        <f>IFERROR(__xludf.DUMMYFUNCTION("""COMPUTED_VALUE"""),0.0)</f>
        <v>0</v>
      </c>
      <c r="L462" s="15"/>
    </row>
    <row r="463" ht="15.75" customHeight="1">
      <c r="A463" s="14" t="str">
        <f>IFERROR(__xludf.DUMMYFUNCTION("""COMPUTED_VALUE"""),"https://www.303.london/blog/top-creative-agencies-uk")</f>
        <v>https://www.303.london/blog/top-creative-agencies-uk</v>
      </c>
      <c r="B463" s="15" t="str">
        <f>IFERROR(__xludf.DUMMYFUNCTION("""COMPUTED_VALUE"""),"Top Creative Agencies in the UK 2023/24")</f>
        <v>Top Creative Agencies in the UK 2023/24</v>
      </c>
      <c r="C463" s="15" t="str">
        <f>IFERROR(__xludf.DUMMYFUNCTION("""COMPUTED_VALUE"""),"303.london")</f>
        <v>303.london</v>
      </c>
      <c r="D463" s="15" t="str">
        <f>IFERROR(__xludf.DUMMYFUNCTION("""COMPUTED_VALUE"""),"LISTICLE")</f>
        <v>LISTICLE</v>
      </c>
      <c r="E463" s="15" t="str">
        <f>IFERROR(__xludf.DUMMYFUNCTION("""COMPUTED_VALUE"""),"CORPORATE")</f>
        <v>CORPORATE</v>
      </c>
      <c r="F463" s="15" t="str">
        <f>IFERROR(__xludf.DUMMYFUNCTION("""COMPUTED_VALUE"""),"Listicle")</f>
        <v>Listicle</v>
      </c>
      <c r="G463" s="15" t="b">
        <f>IFERROR(__xludf.DUMMYFUNCTION("""COMPUTED_VALUE"""),FALSE)</f>
        <v>0</v>
      </c>
      <c r="H463" s="15"/>
      <c r="I463" s="15">
        <f>IFERROR(__xludf.DUMMYFUNCTION("""COMPUTED_VALUE"""),1.0)</f>
        <v>1</v>
      </c>
      <c r="J463" s="15">
        <f>IFERROR(__xludf.DUMMYFUNCTION("""COMPUTED_VALUE"""),0.0)</f>
        <v>0</v>
      </c>
      <c r="K463" s="15">
        <f>IFERROR(__xludf.DUMMYFUNCTION("""COMPUTED_VALUE"""),0.0)</f>
        <v>0</v>
      </c>
      <c r="L463" s="15"/>
    </row>
    <row r="464" ht="15.75" customHeight="1">
      <c r="A464" s="14" t="str">
        <f>IFERROR(__xludf.DUMMYFUNCTION("""COMPUTED_VALUE"""),"https://www.50pros.com/hire/market-research")</f>
        <v>https://www.50pros.com/hire/market-research</v>
      </c>
      <c r="B464" s="15" t="str">
        <f>IFERROR(__xludf.DUMMYFUNCTION("""COMPUTED_VALUE"""),"Top Market Research Agencies to Hire in June 2026")</f>
        <v>Top Market Research Agencies to Hire in June 2026</v>
      </c>
      <c r="C464" s="14" t="str">
        <f>IFERROR(__xludf.DUMMYFUNCTION("""COMPUTED_VALUE"""),"50pros.com")</f>
        <v>50pros.com</v>
      </c>
      <c r="D464" s="15" t="str">
        <f>IFERROR(__xludf.DUMMYFUNCTION("""COMPUTED_VALUE"""),"CATEGORY_PAGE")</f>
        <v>CATEGORY_PAGE</v>
      </c>
      <c r="E464" s="15" t="str">
        <f>IFERROR(__xludf.DUMMYFUNCTION("""COMPUTED_VALUE"""),"REFERENCE")</f>
        <v>REFERENCE</v>
      </c>
      <c r="F464" s="15" t="str">
        <f>IFERROR(__xludf.DUMMYFUNCTION("""COMPUTED_VALUE"""),"Category Page")</f>
        <v>Category Page</v>
      </c>
      <c r="G464" s="15" t="b">
        <f>IFERROR(__xludf.DUMMYFUNCTION("""COMPUTED_VALUE"""),FALSE)</f>
        <v>0</v>
      </c>
      <c r="H464" s="15" t="str">
        <f>IFERROR(__xludf.DUMMYFUNCTION("""COMPUTED_VALUE"""),"Huge, Found, Push")</f>
        <v>Huge, Found, Push</v>
      </c>
      <c r="I464" s="15">
        <f>IFERROR(__xludf.DUMMYFUNCTION("""COMPUTED_VALUE"""),1.0)</f>
        <v>1</v>
      </c>
      <c r="J464" s="15">
        <f>IFERROR(__xludf.DUMMYFUNCTION("""COMPUTED_VALUE"""),0.0)</f>
        <v>0</v>
      </c>
      <c r="K464" s="15">
        <f>IFERROR(__xludf.DUMMYFUNCTION("""COMPUTED_VALUE"""),1.0)</f>
        <v>1</v>
      </c>
      <c r="L464" s="15"/>
    </row>
    <row r="465" ht="15.75" customHeight="1">
      <c r="A465" s="14" t="str">
        <f>IFERROR(__xludf.DUMMYFUNCTION("""COMPUTED_VALUE"""),"https://www.adstellar.ai/blog/media-buying-automation-tools")</f>
        <v>https://www.adstellar.ai/blog/media-buying-automation-tools</v>
      </c>
      <c r="B465" s="15" t="str">
        <f>IFERROR(__xludf.DUMMYFUNCTION("""COMPUTED_VALUE"""),"Top 9 Media Buying Automation Tools: 2026… | AdStellar")</f>
        <v>Top 9 Media Buying Automation Tools: 2026… | AdStellar</v>
      </c>
      <c r="C465" s="14" t="str">
        <f>IFERROR(__xludf.DUMMYFUNCTION("""COMPUTED_VALUE"""),"adstellar.ai")</f>
        <v>adstellar.ai</v>
      </c>
      <c r="D465" s="15" t="str">
        <f>IFERROR(__xludf.DUMMYFUNCTION("""COMPUTED_VALUE"""),"LISTICLE")</f>
        <v>LISTICLE</v>
      </c>
      <c r="E465" s="15" t="str">
        <f>IFERROR(__xludf.DUMMYFUNCTION("""COMPUTED_VALUE"""),"CORPORATE")</f>
        <v>CORPORATE</v>
      </c>
      <c r="F465" s="15" t="str">
        <f>IFERROR(__xludf.DUMMYFUNCTION("""COMPUTED_VALUE"""),"Listicle")</f>
        <v>Listicle</v>
      </c>
      <c r="G465" s="15" t="b">
        <f>IFERROR(__xludf.DUMMYFUNCTION("""COMPUTED_VALUE"""),FALSE)</f>
        <v>0</v>
      </c>
      <c r="H465" s="15" t="str">
        <f>IFERROR(__xludf.DUMMYFUNCTION("""COMPUTED_VALUE"""),"Cometly")</f>
        <v>Cometly</v>
      </c>
      <c r="I465" s="15">
        <f>IFERROR(__xludf.DUMMYFUNCTION("""COMPUTED_VALUE"""),1.0)</f>
        <v>1</v>
      </c>
      <c r="J465" s="15">
        <f>IFERROR(__xludf.DUMMYFUNCTION("""COMPUTED_VALUE"""),0.0)</f>
        <v>0</v>
      </c>
      <c r="K465" s="15">
        <f>IFERROR(__xludf.DUMMYFUNCTION("""COMPUTED_VALUE"""),0.0)</f>
        <v>0</v>
      </c>
      <c r="L465" s="15"/>
    </row>
    <row r="466" ht="15.75" customHeight="1">
      <c r="A466" s="14" t="str">
        <f>IFERROR(__xludf.DUMMYFUNCTION("""COMPUTED_VALUE"""),"https://adzooma.com/blog/top-10-advertising-agencies-in-the-uk/")</f>
        <v>https://adzooma.com/blog/top-10-advertising-agencies-in-the-uk/</v>
      </c>
      <c r="B466" s="15" t="str">
        <f>IFERROR(__xludf.DUMMYFUNCTION("""COMPUTED_VALUE"""),"Top 10 Advertising Agencies In The UK | Adzooma")</f>
        <v>Top 10 Advertising Agencies In The UK | Adzooma</v>
      </c>
      <c r="C466" s="14" t="str">
        <f>IFERROR(__xludf.DUMMYFUNCTION("""COMPUTED_VALUE"""),"adzooma.com")</f>
        <v>adzooma.com</v>
      </c>
      <c r="D466" s="15" t="str">
        <f>IFERROR(__xludf.DUMMYFUNCTION("""COMPUTED_VALUE"""),"LISTICLE")</f>
        <v>LISTICLE</v>
      </c>
      <c r="E466" s="15" t="str">
        <f>IFERROR(__xludf.DUMMYFUNCTION("""COMPUTED_VALUE"""),"CORPORATE")</f>
        <v>CORPORATE</v>
      </c>
      <c r="F466" s="15" t="str">
        <f>IFERROR(__xludf.DUMMYFUNCTION("""COMPUTED_VALUE"""),"Listicle")</f>
        <v>Listicle</v>
      </c>
      <c r="G466" s="15" t="b">
        <f>IFERROR(__xludf.DUMMYFUNCTION("""COMPUTED_VALUE"""),FALSE)</f>
        <v>0</v>
      </c>
      <c r="H466" s="15" t="str">
        <f>IFERROR(__xludf.DUMMYFUNCTION("""COMPUTED_VALUE"""),"Ogilvy, Saatchi &amp; Saatchi, The Brains, Adam&amp;eveDDB, BBH London, Found")</f>
        <v>Ogilvy, Saatchi &amp; Saatchi, The Brains, Adam&amp;eveDDB, BBH London, Found</v>
      </c>
      <c r="I466" s="15">
        <f>IFERROR(__xludf.DUMMYFUNCTION("""COMPUTED_VALUE"""),1.0)</f>
        <v>1</v>
      </c>
      <c r="J466" s="15">
        <f>IFERROR(__xludf.DUMMYFUNCTION("""COMPUTED_VALUE"""),0.0)</f>
        <v>0</v>
      </c>
      <c r="K466" s="15">
        <f>IFERROR(__xludf.DUMMYFUNCTION("""COMPUTED_VALUE"""),2.0)</f>
        <v>2</v>
      </c>
      <c r="L466" s="15"/>
    </row>
    <row r="467" ht="15.75" customHeight="1">
      <c r="A467" s="14" t="str">
        <f>IFERROR(__xludf.DUMMYFUNCTION("""COMPUTED_VALUE"""),"https://aeo-rex.com/blog/best-aeo-agencies-uk-2026")</f>
        <v>https://aeo-rex.com/blog/best-aeo-agencies-uk-2026</v>
      </c>
      <c r="B467" s="15" t="str">
        <f>IFERROR(__xludf.DUMMYFUNCTION("""COMPUTED_VALUE"""),"Best AEO Agencies in the UK (2026), Answer Engine Optimisation Consultancies Ranked")</f>
        <v>Best AEO Agencies in the UK (2026), Answer Engine Optimisation Consultancies Ranked</v>
      </c>
      <c r="C467" s="14" t="str">
        <f>IFERROR(__xludf.DUMMYFUNCTION("""COMPUTED_VALUE"""),"aeo-rex.com")</f>
        <v>aeo-rex.com</v>
      </c>
      <c r="D467" s="15" t="str">
        <f>IFERROR(__xludf.DUMMYFUNCTION("""COMPUTED_VALUE"""),"LISTICLE")</f>
        <v>LISTICLE</v>
      </c>
      <c r="E467" s="15" t="str">
        <f>IFERROR(__xludf.DUMMYFUNCTION("""COMPUTED_VALUE"""),"UGC")</f>
        <v>UGC</v>
      </c>
      <c r="F467" s="15" t="str">
        <f>IFERROR(__xludf.DUMMYFUNCTION("""COMPUTED_VALUE"""),"Listicle")</f>
        <v>Listicle</v>
      </c>
      <c r="G467" s="15" t="b">
        <f>IFERROR(__xludf.DUMMYFUNCTION("""COMPUTED_VALUE"""),FALSE)</f>
        <v>0</v>
      </c>
      <c r="H467" s="15" t="str">
        <f>IFERROR(__xludf.DUMMYFUNCTION("""COMPUTED_VALUE"""),"ClickSlice, The SEO Works, Push, Push Group, Varn")</f>
        <v>ClickSlice, The SEO Works, Push, Push Group, Varn</v>
      </c>
      <c r="I467" s="15">
        <f>IFERROR(__xludf.DUMMYFUNCTION("""COMPUTED_VALUE"""),1.0)</f>
        <v>1</v>
      </c>
      <c r="J467" s="15">
        <f>IFERROR(__xludf.DUMMYFUNCTION("""COMPUTED_VALUE"""),0.0)</f>
        <v>0</v>
      </c>
      <c r="K467" s="15">
        <f>IFERROR(__xludf.DUMMYFUNCTION("""COMPUTED_VALUE"""),0.0)</f>
        <v>0</v>
      </c>
      <c r="L467" s="15"/>
    </row>
    <row r="468" ht="15.75" customHeight="1">
      <c r="A468" s="14" t="str">
        <f>IFERROR(__xludf.DUMMYFUNCTION("""COMPUTED_VALUE"""),"https://agencies.semrush.com/list/advertising/united-kingdom/small-business/")</f>
        <v>https://agencies.semrush.com/list/advertising/united-kingdom/small-business/</v>
      </c>
      <c r="B468" s="15" t="str">
        <f>IFERROR(__xludf.DUMMYFUNCTION("""COMPUTED_VALUE"""),"Best Advertising Agencies for Small Business in United Kingdom 2026 | Semrush")</f>
        <v>Best Advertising Agencies for Small Business in United Kingdom 2026 | Semrush</v>
      </c>
      <c r="C468" s="14" t="str">
        <f>IFERROR(__xludf.DUMMYFUNCTION("""COMPUTED_VALUE"""),"semrush.com")</f>
        <v>semrush.com</v>
      </c>
      <c r="D468" s="15" t="str">
        <f>IFERROR(__xludf.DUMMYFUNCTION("""COMPUTED_VALUE"""),"CATEGORY_PAGE")</f>
        <v>CATEGORY_PAGE</v>
      </c>
      <c r="E468" s="15" t="str">
        <f>IFERROR(__xludf.DUMMYFUNCTION("""COMPUTED_VALUE"""),"CORPORATE")</f>
        <v>CORPORATE</v>
      </c>
      <c r="F468" s="15" t="str">
        <f>IFERROR(__xludf.DUMMYFUNCTION("""COMPUTED_VALUE"""),"Category Page")</f>
        <v>Category Page</v>
      </c>
      <c r="G468" s="15" t="b">
        <f>IFERROR(__xludf.DUMMYFUNCTION("""COMPUTED_VALUE"""),FALSE)</f>
        <v>0</v>
      </c>
      <c r="H468" s="15" t="str">
        <f>IFERROR(__xludf.DUMMYFUNCTION("""COMPUTED_VALUE"""),"Found, Impression, Click Intelligence, Soap Media")</f>
        <v>Found, Impression, Click Intelligence, Soap Media</v>
      </c>
      <c r="I468" s="15">
        <f>IFERROR(__xludf.DUMMYFUNCTION("""COMPUTED_VALUE"""),1.0)</f>
        <v>1</v>
      </c>
      <c r="J468" s="15">
        <f>IFERROR(__xludf.DUMMYFUNCTION("""COMPUTED_VALUE"""),0.0)</f>
        <v>0</v>
      </c>
      <c r="K468" s="15">
        <f>IFERROR(__xludf.DUMMYFUNCTION("""COMPUTED_VALUE"""),0.0)</f>
        <v>0</v>
      </c>
      <c r="L468" s="15"/>
    </row>
    <row r="469" ht="15.75" customHeight="1">
      <c r="A469" s="14" t="str">
        <f>IFERROR(__xludf.DUMMYFUNCTION("""COMPUTED_VALUE"""),"https://agencies.semrush.com/list/ai-optimization/united-kingdom/mid-business/")</f>
        <v>https://agencies.semrush.com/list/ai-optimization/united-kingdom/mid-business/</v>
      </c>
      <c r="B469" s="15" t="str">
        <f>IFERROR(__xludf.DUMMYFUNCTION("""COMPUTED_VALUE"""),"Best AI Search Optimization Agencies for Mid Business in United Kingdom 2026 | Semrush")</f>
        <v>Best AI Search Optimization Agencies for Mid Business in United Kingdom 2026 | Semrush</v>
      </c>
      <c r="C469" s="14" t="str">
        <f>IFERROR(__xludf.DUMMYFUNCTION("""COMPUTED_VALUE"""),"semrush.com")</f>
        <v>semrush.com</v>
      </c>
      <c r="D469" s="15" t="str">
        <f>IFERROR(__xludf.DUMMYFUNCTION("""COMPUTED_VALUE"""),"CATEGORY_PAGE")</f>
        <v>CATEGORY_PAGE</v>
      </c>
      <c r="E469" s="15" t="str">
        <f>IFERROR(__xludf.DUMMYFUNCTION("""COMPUTED_VALUE"""),"CORPORATE")</f>
        <v>CORPORATE</v>
      </c>
      <c r="F469" s="15" t="str">
        <f>IFERROR(__xludf.DUMMYFUNCTION("""COMPUTED_VALUE"""),"Category Page")</f>
        <v>Category Page</v>
      </c>
      <c r="G469" s="15" t="b">
        <f>IFERROR(__xludf.DUMMYFUNCTION("""COMPUTED_VALUE"""),FALSE)</f>
        <v>0</v>
      </c>
      <c r="H469" s="15" t="str">
        <f>IFERROR(__xludf.DUMMYFUNCTION("""COMPUTED_VALUE"""),"Found, Measured, Click Intelligence, Passion Digital, The SEO Works, Gravity Global, ROAST, Huge")</f>
        <v>Found, Measured, Click Intelligence, Passion Digital, The SEO Works, Gravity Global, ROAST, Huge</v>
      </c>
      <c r="I469" s="15">
        <f>IFERROR(__xludf.DUMMYFUNCTION("""COMPUTED_VALUE"""),1.0)</f>
        <v>1</v>
      </c>
      <c r="J469" s="15">
        <f>IFERROR(__xludf.DUMMYFUNCTION("""COMPUTED_VALUE"""),0.0)</f>
        <v>0</v>
      </c>
      <c r="K469" s="15">
        <f>IFERROR(__xludf.DUMMYFUNCTION("""COMPUTED_VALUE"""),0.0)</f>
        <v>0</v>
      </c>
      <c r="L469" s="15"/>
    </row>
    <row r="470" ht="15.75" customHeight="1">
      <c r="A470" s="14" t="str">
        <f>IFERROR(__xludf.DUMMYFUNCTION("""COMPUTED_VALUE"""),"https://agencies.semrush.com/list/display-advertising/")</f>
        <v>https://agencies.semrush.com/list/display-advertising/</v>
      </c>
      <c r="B470" s="15" t="str">
        <f>IFERROR(__xludf.DUMMYFUNCTION("""COMPUTED_VALUE"""),"Best Display Ads Agencies in the World 2026 | Semrush")</f>
        <v>Best Display Ads Agencies in the World 2026 | Semrush</v>
      </c>
      <c r="C470" s="14" t="str">
        <f>IFERROR(__xludf.DUMMYFUNCTION("""COMPUTED_VALUE"""),"semrush.com")</f>
        <v>semrush.com</v>
      </c>
      <c r="D470" s="15" t="str">
        <f>IFERROR(__xludf.DUMMYFUNCTION("""COMPUTED_VALUE"""),"CATEGORY_PAGE")</f>
        <v>CATEGORY_PAGE</v>
      </c>
      <c r="E470" s="15" t="str">
        <f>IFERROR(__xludf.DUMMYFUNCTION("""COMPUTED_VALUE"""),"CORPORATE")</f>
        <v>CORPORATE</v>
      </c>
      <c r="F470" s="15" t="str">
        <f>IFERROR(__xludf.DUMMYFUNCTION("""COMPUTED_VALUE"""),"Category Page")</f>
        <v>Category Page</v>
      </c>
      <c r="G470" s="15" t="b">
        <f>IFERROR(__xludf.DUMMYFUNCTION("""COMPUTED_VALUE"""),FALSE)</f>
        <v>0</v>
      </c>
      <c r="H470" s="15"/>
      <c r="I470" s="15">
        <f>IFERROR(__xludf.DUMMYFUNCTION("""COMPUTED_VALUE"""),1.0)</f>
        <v>1</v>
      </c>
      <c r="J470" s="15">
        <f>IFERROR(__xludf.DUMMYFUNCTION("""COMPUTED_VALUE"""),0.0)</f>
        <v>0</v>
      </c>
      <c r="K470" s="15">
        <f>IFERROR(__xludf.DUMMYFUNCTION("""COMPUTED_VALUE"""),0.0)</f>
        <v>0</v>
      </c>
      <c r="L470" s="15"/>
    </row>
    <row r="471" ht="15.75" customHeight="1">
      <c r="A471" s="14" t="str">
        <f>IFERROR(__xludf.DUMMYFUNCTION("""COMPUTED_VALUE"""),"https://agencies.semrush.com/list/los-angeles/")</f>
        <v>https://agencies.semrush.com/list/los-angeles/</v>
      </c>
      <c r="B471" s="15" t="str">
        <f>IFERROR(__xludf.DUMMYFUNCTION("""COMPUTED_VALUE"""),"Best Digital Marketing Agencies in Los Angeles 2026 | Semrush")</f>
        <v>Best Digital Marketing Agencies in Los Angeles 2026 | Semrush</v>
      </c>
      <c r="C471" s="14" t="str">
        <f>IFERROR(__xludf.DUMMYFUNCTION("""COMPUTED_VALUE"""),"semrush.com")</f>
        <v>semrush.com</v>
      </c>
      <c r="D471" s="15" t="str">
        <f>IFERROR(__xludf.DUMMYFUNCTION("""COMPUTED_VALUE"""),"CATEGORY_PAGE")</f>
        <v>CATEGORY_PAGE</v>
      </c>
      <c r="E471" s="15" t="str">
        <f>IFERROR(__xludf.DUMMYFUNCTION("""COMPUTED_VALUE"""),"CORPORATE")</f>
        <v>CORPORATE</v>
      </c>
      <c r="F471" s="15" t="str">
        <f>IFERROR(__xludf.DUMMYFUNCTION("""COMPUTED_VALUE"""),"Category Page")</f>
        <v>Category Page</v>
      </c>
      <c r="G471" s="15" t="b">
        <f>IFERROR(__xludf.DUMMYFUNCTION("""COMPUTED_VALUE"""),FALSE)</f>
        <v>0</v>
      </c>
      <c r="H471" s="15" t="str">
        <f>IFERROR(__xludf.DUMMYFUNCTION("""COMPUTED_VALUE"""),"Bird Marketing")</f>
        <v>Bird Marketing</v>
      </c>
      <c r="I471" s="15">
        <f>IFERROR(__xludf.DUMMYFUNCTION("""COMPUTED_VALUE"""),1.0)</f>
        <v>1</v>
      </c>
      <c r="J471" s="15">
        <f>IFERROR(__xludf.DUMMYFUNCTION("""COMPUTED_VALUE"""),0.0)</f>
        <v>0</v>
      </c>
      <c r="K471" s="15">
        <f>IFERROR(__xludf.DUMMYFUNCTION("""COMPUTED_VALUE"""),0.0)</f>
        <v>0</v>
      </c>
      <c r="L471" s="15"/>
    </row>
    <row r="472" ht="15.75" customHeight="1">
      <c r="A472" s="14" t="str">
        <f>IFERROR(__xludf.DUMMYFUNCTION("""COMPUTED_VALUE"""),"https://agencies.semrush.com/list/machine-learning-and-ai/london-city/")</f>
        <v>https://agencies.semrush.com/list/machine-learning-and-ai/london-city/</v>
      </c>
      <c r="B472" s="15" t="str">
        <f>IFERROR(__xludf.DUMMYFUNCTION("""COMPUTED_VALUE"""),"Best Machine Learning and AI Services in London 2026 | Semrush")</f>
        <v>Best Machine Learning and AI Services in London 2026 | Semrush</v>
      </c>
      <c r="C472" s="14" t="str">
        <f>IFERROR(__xludf.DUMMYFUNCTION("""COMPUTED_VALUE"""),"semrush.com")</f>
        <v>semrush.com</v>
      </c>
      <c r="D472" s="15" t="str">
        <f>IFERROR(__xludf.DUMMYFUNCTION("""COMPUTED_VALUE"""),"PROFILE")</f>
        <v>PROFILE</v>
      </c>
      <c r="E472" s="15" t="str">
        <f>IFERROR(__xludf.DUMMYFUNCTION("""COMPUTED_VALUE"""),"CORPORATE")</f>
        <v>CORPORATE</v>
      </c>
      <c r="F472" s="15" t="str">
        <f>IFERROR(__xludf.DUMMYFUNCTION("""COMPUTED_VALUE"""),"Profile")</f>
        <v>Profile</v>
      </c>
      <c r="G472" s="15" t="b">
        <f>IFERROR(__xludf.DUMMYFUNCTION("""COMPUTED_VALUE"""),FALSE)</f>
        <v>0</v>
      </c>
      <c r="H472" s="15" t="str">
        <f>IFERROR(__xludf.DUMMYFUNCTION("""COMPUTED_VALUE"""),"The SEO Works, Found, Measured")</f>
        <v>The SEO Works, Found, Measured</v>
      </c>
      <c r="I472" s="15">
        <f>IFERROR(__xludf.DUMMYFUNCTION("""COMPUTED_VALUE"""),1.0)</f>
        <v>1</v>
      </c>
      <c r="J472" s="15">
        <f>IFERROR(__xludf.DUMMYFUNCTION("""COMPUTED_VALUE"""),0.0)</f>
        <v>0</v>
      </c>
      <c r="K472" s="15">
        <f>IFERROR(__xludf.DUMMYFUNCTION("""COMPUTED_VALUE"""),0.0)</f>
        <v>0</v>
      </c>
      <c r="L472" s="15"/>
    </row>
    <row r="473" ht="15.75" customHeight="1">
      <c r="A473" s="14" t="str">
        <f>IFERROR(__xludf.DUMMYFUNCTION("""COMPUTED_VALUE"""),"https://agencies.semrush.com/list/ppc/united-kingdom/")</f>
        <v>https://agencies.semrush.com/list/ppc/united-kingdom/</v>
      </c>
      <c r="B473" s="15" t="str">
        <f>IFERROR(__xludf.DUMMYFUNCTION("""COMPUTED_VALUE"""),"Best PPC Agencies in United Kingdom 2026 | Semrush")</f>
        <v>Best PPC Agencies in United Kingdom 2026 | Semrush</v>
      </c>
      <c r="C473" s="14" t="str">
        <f>IFERROR(__xludf.DUMMYFUNCTION("""COMPUTED_VALUE"""),"semrush.com")</f>
        <v>semrush.com</v>
      </c>
      <c r="D473" s="15" t="str">
        <f>IFERROR(__xludf.DUMMYFUNCTION("""COMPUTED_VALUE"""),"CATEGORY_PAGE")</f>
        <v>CATEGORY_PAGE</v>
      </c>
      <c r="E473" s="15" t="str">
        <f>IFERROR(__xludf.DUMMYFUNCTION("""COMPUTED_VALUE"""),"CORPORATE")</f>
        <v>CORPORATE</v>
      </c>
      <c r="F473" s="15" t="str">
        <f>IFERROR(__xludf.DUMMYFUNCTION("""COMPUTED_VALUE"""),"Category Page")</f>
        <v>Category Page</v>
      </c>
      <c r="G473" s="15" t="b">
        <f>IFERROR(__xludf.DUMMYFUNCTION("""COMPUTED_VALUE"""),FALSE)</f>
        <v>0</v>
      </c>
      <c r="H473" s="15" t="str">
        <f>IFERROR(__xludf.DUMMYFUNCTION("""COMPUTED_VALUE"""),"Found, Impression, Passion Digital, Soap Media")</f>
        <v>Found, Impression, Passion Digital, Soap Media</v>
      </c>
      <c r="I473" s="15">
        <f>IFERROR(__xludf.DUMMYFUNCTION("""COMPUTED_VALUE"""),1.0)</f>
        <v>1</v>
      </c>
      <c r="J473" s="15">
        <f>IFERROR(__xludf.DUMMYFUNCTION("""COMPUTED_VALUE"""),0.0)</f>
        <v>0</v>
      </c>
      <c r="K473" s="15">
        <f>IFERROR(__xludf.DUMMYFUNCTION("""COMPUTED_VALUE"""),0.0)</f>
        <v>0</v>
      </c>
      <c r="L473" s="15"/>
    </row>
    <row r="474" ht="15.75" customHeight="1">
      <c r="A474" s="14" t="str">
        <f>IFERROR(__xludf.DUMMYFUNCTION("""COMPUTED_VALUE"""),"https://agencies.semrush.com/list/ppc/united-states/")</f>
        <v>https://agencies.semrush.com/list/ppc/united-states/</v>
      </c>
      <c r="B474" s="15" t="str">
        <f>IFERROR(__xludf.DUMMYFUNCTION("""COMPUTED_VALUE"""),"Best PPC Agencies in United States 2026 | Semrush")</f>
        <v>Best PPC Agencies in United States 2026 | Semrush</v>
      </c>
      <c r="C474" s="14" t="str">
        <f>IFERROR(__xludf.DUMMYFUNCTION("""COMPUTED_VALUE"""),"semrush.com")</f>
        <v>semrush.com</v>
      </c>
      <c r="D474" s="15" t="str">
        <f>IFERROR(__xludf.DUMMYFUNCTION("""COMPUTED_VALUE"""),"CATEGORY_PAGE")</f>
        <v>CATEGORY_PAGE</v>
      </c>
      <c r="E474" s="15" t="str">
        <f>IFERROR(__xludf.DUMMYFUNCTION("""COMPUTED_VALUE"""),"CORPORATE")</f>
        <v>CORPORATE</v>
      </c>
      <c r="F474" s="15" t="str">
        <f>IFERROR(__xludf.DUMMYFUNCTION("""COMPUTED_VALUE"""),"Category Page")</f>
        <v>Category Page</v>
      </c>
      <c r="G474" s="15" t="b">
        <f>IFERROR(__xludf.DUMMYFUNCTION("""COMPUTED_VALUE"""),FALSE)</f>
        <v>0</v>
      </c>
      <c r="H474" s="15" t="str">
        <f>IFERROR(__xludf.DUMMYFUNCTION("""COMPUTED_VALUE"""),"Whitehat")</f>
        <v>Whitehat</v>
      </c>
      <c r="I474" s="15">
        <f>IFERROR(__xludf.DUMMYFUNCTION("""COMPUTED_VALUE"""),1.0)</f>
        <v>1</v>
      </c>
      <c r="J474" s="15">
        <f>IFERROR(__xludf.DUMMYFUNCTION("""COMPUTED_VALUE"""),0.0)</f>
        <v>0</v>
      </c>
      <c r="K474" s="15">
        <f>IFERROR(__xludf.DUMMYFUNCTION("""COMPUTED_VALUE"""),1.0)</f>
        <v>1</v>
      </c>
      <c r="L474" s="15"/>
    </row>
    <row r="475" ht="15.75" customHeight="1">
      <c r="A475" s="14" t="str">
        <f>IFERROR(__xludf.DUMMYFUNCTION("""COMPUTED_VALUE"""),"https://agencylocator.io/r-ga-vs-accenture-interactive")</f>
        <v>https://agencylocator.io/r-ga-vs-accenture-interactive</v>
      </c>
      <c r="B475" s="15" t="str">
        <f>IFERROR(__xludf.DUMMYFUNCTION("""COMPUTED_VALUE"""),"R/GA vs AKQA: Which Digital Agency Suits Your Needs Best? · agencylocator")</f>
        <v>R/GA vs AKQA: Which Digital Agency Suits Your Needs Best? · agencylocator</v>
      </c>
      <c r="C475" s="14" t="str">
        <f>IFERROR(__xludf.DUMMYFUNCTION("""COMPUTED_VALUE"""),"agencylocator.io")</f>
        <v>agencylocator.io</v>
      </c>
      <c r="D475" s="15" t="str">
        <f>IFERROR(__xludf.DUMMYFUNCTION("""COMPUTED_VALUE"""),"COMPARISON")</f>
        <v>COMPARISON</v>
      </c>
      <c r="E475" s="15" t="str">
        <f>IFERROR(__xludf.DUMMYFUNCTION("""COMPUTED_VALUE"""),"CORPORATE")</f>
        <v>CORPORATE</v>
      </c>
      <c r="F475" s="15" t="str">
        <f>IFERROR(__xludf.DUMMYFUNCTION("""COMPUTED_VALUE"""),"Comparison")</f>
        <v>Comparison</v>
      </c>
      <c r="G475" s="15" t="b">
        <f>IFERROR(__xludf.DUMMYFUNCTION("""COMPUTED_VALUE"""),FALSE)</f>
        <v>0</v>
      </c>
      <c r="H475" s="15" t="str">
        <f>IFERROR(__xludf.DUMMYFUNCTION("""COMPUTED_VALUE"""),"AKQA, WPP, Deloitte Digital, Huge, Accenture Song, Push, Found")</f>
        <v>AKQA, WPP, Deloitte Digital, Huge, Accenture Song, Push, Found</v>
      </c>
      <c r="I475" s="15">
        <f>IFERROR(__xludf.DUMMYFUNCTION("""COMPUTED_VALUE"""),1.0)</f>
        <v>1</v>
      </c>
      <c r="J475" s="15">
        <f>IFERROR(__xludf.DUMMYFUNCTION("""COMPUTED_VALUE"""),0.0)</f>
        <v>0</v>
      </c>
      <c r="K475" s="15">
        <f>IFERROR(__xludf.DUMMYFUNCTION("""COMPUTED_VALUE"""),2.0)</f>
        <v>2</v>
      </c>
      <c r="L475" s="15"/>
    </row>
    <row r="476" ht="15.75" customHeight="1">
      <c r="A476" s="14" t="str">
        <f>IFERROR(__xludf.DUMMYFUNCTION("""COMPUTED_VALUE"""),"https://aigeo360.com/gis-companies-in-uk/")</f>
        <v>https://aigeo360.com/gis-companies-in-uk/</v>
      </c>
      <c r="B476" s="15" t="str">
        <f>IFERROR(__xludf.DUMMYFUNCTION("""COMPUTED_VALUE"""),"Top 10 GIS Companies in UK | Best Geospatial Firms in 2025")</f>
        <v>Top 10 GIS Companies in UK | Best Geospatial Firms in 2025</v>
      </c>
      <c r="C476" s="14" t="str">
        <f>IFERROR(__xludf.DUMMYFUNCTION("""COMPUTED_VALUE"""),"aigeo360.com")</f>
        <v>aigeo360.com</v>
      </c>
      <c r="D476" s="15" t="str">
        <f>IFERROR(__xludf.DUMMYFUNCTION("""COMPUTED_VALUE"""),"LISTICLE")</f>
        <v>LISTICLE</v>
      </c>
      <c r="E476" s="15" t="str">
        <f>IFERROR(__xludf.DUMMYFUNCTION("""COMPUTED_VALUE"""),"CORPORATE")</f>
        <v>CORPORATE</v>
      </c>
      <c r="F476" s="15" t="str">
        <f>IFERROR(__xludf.DUMMYFUNCTION("""COMPUTED_VALUE"""),"Listicle")</f>
        <v>Listicle</v>
      </c>
      <c r="G476" s="15" t="b">
        <f>IFERROR(__xludf.DUMMYFUNCTION("""COMPUTED_VALUE"""),FALSE)</f>
        <v>0</v>
      </c>
      <c r="H476" s="15"/>
      <c r="I476" s="15">
        <f>IFERROR(__xludf.DUMMYFUNCTION("""COMPUTED_VALUE"""),1.0)</f>
        <v>1</v>
      </c>
      <c r="J476" s="15">
        <f>IFERROR(__xludf.DUMMYFUNCTION("""COMPUTED_VALUE"""),0.0)</f>
        <v>0</v>
      </c>
      <c r="K476" s="15">
        <f>IFERROR(__xludf.DUMMYFUNCTION("""COMPUTED_VALUE"""),5.0)</f>
        <v>5</v>
      </c>
      <c r="L476" s="15"/>
    </row>
    <row r="477" ht="15.75" customHeight="1">
      <c r="A477" s="14" t="str">
        <f>IFERROR(__xludf.DUMMYFUNCTION("""COMPUTED_VALUE"""),"https://www.aimerce.ai/blogs/seo/top-5-incrementality-testing-tools-for-dtc-brands-in-2026")</f>
        <v>https://www.aimerce.ai/blogs/seo/top-5-incrementality-testing-tools-for-dtc-brands-in-2026</v>
      </c>
      <c r="B477" s="15" t="str">
        <f>IFERROR(__xludf.DUMMYFUNCTION("""COMPUTED_VALUE"""),"Top 5 Incrementality Testing Tools for DTC Brands in 2026")</f>
        <v>Top 5 Incrementality Testing Tools for DTC Brands in 2026</v>
      </c>
      <c r="C477" s="14" t="str">
        <f>IFERROR(__xludf.DUMMYFUNCTION("""COMPUTED_VALUE"""),"aimerce.ai")</f>
        <v>aimerce.ai</v>
      </c>
      <c r="D477" s="15" t="str">
        <f>IFERROR(__xludf.DUMMYFUNCTION("""COMPUTED_VALUE"""),"LISTICLE")</f>
        <v>LISTICLE</v>
      </c>
      <c r="E477" s="15" t="str">
        <f>IFERROR(__xludf.DUMMYFUNCTION("""COMPUTED_VALUE"""),"CORPORATE")</f>
        <v>CORPORATE</v>
      </c>
      <c r="F477" s="15" t="str">
        <f>IFERROR(__xludf.DUMMYFUNCTION("""COMPUTED_VALUE"""),"Listicle")</f>
        <v>Listicle</v>
      </c>
      <c r="G477" s="15" t="b">
        <f>IFERROR(__xludf.DUMMYFUNCTION("""COMPUTED_VALUE"""),FALSE)</f>
        <v>0</v>
      </c>
      <c r="H477" s="15" t="str">
        <f>IFERROR(__xludf.DUMMYFUNCTION("""COMPUTED_VALUE"""),"Northbeam, Triple Whale, Measured")</f>
        <v>Northbeam, Triple Whale, Measured</v>
      </c>
      <c r="I477" s="15">
        <f>IFERROR(__xludf.DUMMYFUNCTION("""COMPUTED_VALUE"""),1.0)</f>
        <v>1</v>
      </c>
      <c r="J477" s="15">
        <f>IFERROR(__xludf.DUMMYFUNCTION("""COMPUTED_VALUE"""),0.0)</f>
        <v>0</v>
      </c>
      <c r="K477" s="15">
        <f>IFERROR(__xludf.DUMMYFUNCTION("""COMPUTED_VALUE"""),0.0)</f>
        <v>0</v>
      </c>
      <c r="L477" s="15"/>
    </row>
    <row r="478" ht="15.75" customHeight="1">
      <c r="A478" s="14" t="str">
        <f>IFERROR(__xludf.DUMMYFUNCTION("""COMPUTED_VALUE"""),"https://alexbirkett.com/digital-pr-agencies/")</f>
        <v>https://alexbirkett.com/digital-pr-agencies/</v>
      </c>
      <c r="B478" s="15" t="str">
        <f>IFERROR(__xludf.DUMMYFUNCTION("""COMPUTED_VALUE"""),"The 7 Best Digital PR Agencies in 2026 - Alex Birkett")</f>
        <v>The 7 Best Digital PR Agencies in 2026 - Alex Birkett</v>
      </c>
      <c r="C478" s="14" t="str">
        <f>IFERROR(__xludf.DUMMYFUNCTION("""COMPUTED_VALUE"""),"alexbirkett.com")</f>
        <v>alexbirkett.com</v>
      </c>
      <c r="D478" s="15" t="str">
        <f>IFERROR(__xludf.DUMMYFUNCTION("""COMPUTED_VALUE"""),"LISTICLE")</f>
        <v>LISTICLE</v>
      </c>
      <c r="E478" s="15" t="str">
        <f>IFERROR(__xludf.DUMMYFUNCTION("""COMPUTED_VALUE"""),"CORPORATE")</f>
        <v>CORPORATE</v>
      </c>
      <c r="F478" s="15" t="str">
        <f>IFERROR(__xludf.DUMMYFUNCTION("""COMPUTED_VALUE"""),"Listicle")</f>
        <v>Listicle</v>
      </c>
      <c r="G478" s="15" t="b">
        <f>IFERROR(__xludf.DUMMYFUNCTION("""COMPUTED_VALUE"""),FALSE)</f>
        <v>0</v>
      </c>
      <c r="H478" s="15" t="str">
        <f>IFERROR(__xludf.DUMMYFUNCTION("""COMPUTED_VALUE"""),"Omniscient Digital, Power Digital")</f>
        <v>Omniscient Digital, Power Digital</v>
      </c>
      <c r="I478" s="15">
        <f>IFERROR(__xludf.DUMMYFUNCTION("""COMPUTED_VALUE"""),1.0)</f>
        <v>1</v>
      </c>
      <c r="J478" s="15">
        <f>IFERROR(__xludf.DUMMYFUNCTION("""COMPUTED_VALUE"""),0.0)</f>
        <v>0</v>
      </c>
      <c r="K478" s="15">
        <f>IFERROR(__xludf.DUMMYFUNCTION("""COMPUTED_VALUE"""),0.0)</f>
        <v>0</v>
      </c>
      <c r="L478" s="15"/>
    </row>
    <row r="479" ht="15.75" customHeight="1">
      <c r="A479" s="14" t="str">
        <f>IFERROR(__xludf.DUMMYFUNCTION("""COMPUTED_VALUE"""),"https://altorise.com/hub/content-marketing-agency-in-london/")</f>
        <v>https://altorise.com/hub/content-marketing-agency-in-london/</v>
      </c>
      <c r="B479" s="15" t="str">
        <f>IFERROR(__xludf.DUMMYFUNCTION("""COMPUTED_VALUE"""),"Best 15 Content Marketing Agency in London in 2026 - Altorise Hub")</f>
        <v>Best 15 Content Marketing Agency in London in 2026 - Altorise Hub</v>
      </c>
      <c r="C479" s="14" t="str">
        <f>IFERROR(__xludf.DUMMYFUNCTION("""COMPUTED_VALUE"""),"altorise.com")</f>
        <v>altorise.com</v>
      </c>
      <c r="D479" s="15" t="str">
        <f>IFERROR(__xludf.DUMMYFUNCTION("""COMPUTED_VALUE"""),"LISTICLE")</f>
        <v>LISTICLE</v>
      </c>
      <c r="E479" s="15" t="str">
        <f>IFERROR(__xludf.DUMMYFUNCTION("""COMPUTED_VALUE"""),"CORPORATE")</f>
        <v>CORPORATE</v>
      </c>
      <c r="F479" s="15" t="str">
        <f>IFERROR(__xludf.DUMMYFUNCTION("""COMPUTED_VALUE"""),"Listicle")</f>
        <v>Listicle</v>
      </c>
      <c r="G479" s="15" t="b">
        <f>IFERROR(__xludf.DUMMYFUNCTION("""COMPUTED_VALUE"""),FALSE)</f>
        <v>0</v>
      </c>
      <c r="H479" s="15" t="str">
        <f>IFERROR(__xludf.DUMMYFUNCTION("""COMPUTED_VALUE"""),"Passion Digital, The Good Marketer, The Social Shepherd, Found, NoGood, LOCALiQ, Measured")</f>
        <v>Passion Digital, The Good Marketer, The Social Shepherd, Found, NoGood, LOCALiQ, Measured</v>
      </c>
      <c r="I479" s="15">
        <f>IFERROR(__xludf.DUMMYFUNCTION("""COMPUTED_VALUE"""),1.0)</f>
        <v>1</v>
      </c>
      <c r="J479" s="15">
        <f>IFERROR(__xludf.DUMMYFUNCTION("""COMPUTED_VALUE"""),0.0)</f>
        <v>0</v>
      </c>
      <c r="K479" s="15">
        <f>IFERROR(__xludf.DUMMYFUNCTION("""COMPUTED_VALUE"""),1.0)</f>
        <v>1</v>
      </c>
      <c r="L479" s="15"/>
    </row>
    <row r="480" ht="15.75" customHeight="1">
      <c r="A480" s="14" t="str">
        <f>IFERROR(__xludf.DUMMYFUNCTION("""COMPUTED_VALUE"""),"https://www.amraandelma.com/sports-social-media-management-agencies/")</f>
        <v>https://www.amraandelma.com/sports-social-media-management-agencies/</v>
      </c>
      <c r="B480" s="15" t="str">
        <f>IFERROR(__xludf.DUMMYFUNCTION("""COMPUTED_VALUE"""),"7 BEST SPORTS SOCIAL MEDIA MANAGEMENT AGENCIES SECRETLY DOMINATING FAN CULTURE IN 2026")</f>
        <v>7 BEST SPORTS SOCIAL MEDIA MANAGEMENT AGENCIES SECRETLY DOMINATING FAN CULTURE IN 2026</v>
      </c>
      <c r="C480" s="14" t="str">
        <f>IFERROR(__xludf.DUMMYFUNCTION("""COMPUTED_VALUE"""),"amraandelma.com")</f>
        <v>amraandelma.com</v>
      </c>
      <c r="D480" s="15" t="str">
        <f>IFERROR(__xludf.DUMMYFUNCTION("""COMPUTED_VALUE"""),"LISTICLE")</f>
        <v>LISTICLE</v>
      </c>
      <c r="E480" s="15" t="str">
        <f>IFERROR(__xludf.DUMMYFUNCTION("""COMPUTED_VALUE"""),"OTHER")</f>
        <v>OTHER</v>
      </c>
      <c r="F480" s="15" t="str">
        <f>IFERROR(__xludf.DUMMYFUNCTION("""COMPUTED_VALUE"""),"Listicle")</f>
        <v>Listicle</v>
      </c>
      <c r="G480" s="15" t="b">
        <f>IFERROR(__xludf.DUMMYFUNCTION("""COMPUTED_VALUE"""),FALSE)</f>
        <v>0</v>
      </c>
      <c r="H480" s="15" t="str">
        <f>IFERROR(__xludf.DUMMYFUNCTION("""COMPUTED_VALUE"""),"Momentum, Disrupt Marketing")</f>
        <v>Momentum, Disrupt Marketing</v>
      </c>
      <c r="I480" s="15">
        <f>IFERROR(__xludf.DUMMYFUNCTION("""COMPUTED_VALUE"""),1.0)</f>
        <v>1</v>
      </c>
      <c r="J480" s="15">
        <f>IFERROR(__xludf.DUMMYFUNCTION("""COMPUTED_VALUE"""),0.0)</f>
        <v>0</v>
      </c>
      <c r="K480" s="15">
        <f>IFERROR(__xludf.DUMMYFUNCTION("""COMPUTED_VALUE"""),0.0)</f>
        <v>0</v>
      </c>
      <c r="L480" s="15"/>
    </row>
    <row r="481" ht="15.75" customHeight="1">
      <c r="A481" s="14" t="str">
        <f>IFERROR(__xludf.DUMMYFUNCTION("""COMPUTED_VALUE"""),"https://www.appearonline.co.uk/blog/best-uk-digital-marketing-agencies")</f>
        <v>https://www.appearonline.co.uk/blog/best-uk-digital-marketing-agencies</v>
      </c>
      <c r="B481" s="15" t="str">
        <f>IFERROR(__xludf.DUMMYFUNCTION("""COMPUTED_VALUE"""),"10 Best UK Digital Marketing Agencies (2026) | Appear Online")</f>
        <v>10 Best UK Digital Marketing Agencies (2026) | Appear Online</v>
      </c>
      <c r="C481" s="14" t="str">
        <f>IFERROR(__xludf.DUMMYFUNCTION("""COMPUTED_VALUE"""),"appearonline.co.uk")</f>
        <v>appearonline.co.uk</v>
      </c>
      <c r="D481" s="15" t="str">
        <f>IFERROR(__xludf.DUMMYFUNCTION("""COMPUTED_VALUE"""),"LISTICLE")</f>
        <v>LISTICLE</v>
      </c>
      <c r="E481" s="15" t="str">
        <f>IFERROR(__xludf.DUMMYFUNCTION("""COMPUTED_VALUE"""),"CORPORATE")</f>
        <v>CORPORATE</v>
      </c>
      <c r="F481" s="15" t="str">
        <f>IFERROR(__xludf.DUMMYFUNCTION("""COMPUTED_VALUE"""),"Listicle")</f>
        <v>Listicle</v>
      </c>
      <c r="G481" s="15" t="b">
        <f>IFERROR(__xludf.DUMMYFUNCTION("""COMPUTED_VALUE"""),FALSE)</f>
        <v>0</v>
      </c>
      <c r="H481" s="15" t="str">
        <f>IFERROR(__xludf.DUMMYFUNCTION("""COMPUTED_VALUE"""),"The SEO Works, Blue Array, Builtvisible, Impression, Hallam, Found, Rise at Seven")</f>
        <v>The SEO Works, Blue Array, Builtvisible, Impression, Hallam, Found, Rise at Seven</v>
      </c>
      <c r="I481" s="15">
        <f>IFERROR(__xludf.DUMMYFUNCTION("""COMPUTED_VALUE"""),1.0)</f>
        <v>1</v>
      </c>
      <c r="J481" s="15">
        <f>IFERROR(__xludf.DUMMYFUNCTION("""COMPUTED_VALUE"""),0.0)</f>
        <v>0</v>
      </c>
      <c r="K481" s="15">
        <f>IFERROR(__xludf.DUMMYFUNCTION("""COMPUTED_VALUE"""),0.0)</f>
        <v>0</v>
      </c>
      <c r="L481" s="15"/>
    </row>
    <row r="482" ht="15.75" customHeight="1">
      <c r="A482" s="14" t="str">
        <f>IFERROR(__xludf.DUMMYFUNCTION("""COMPUTED_VALUE"""),"https://auditynow.com/blog/best-ai-readiness-assessment-tools")</f>
        <v>https://auditynow.com/blog/best-ai-readiness-assessment-tools</v>
      </c>
      <c r="B482" s="15" t="str">
        <f>IFERROR(__xludf.DUMMYFUNCTION("""COMPUTED_VALUE"""),"8 Best AI Readiness Assessment Tools for Consulting Firms (2026)")</f>
        <v>8 Best AI Readiness Assessment Tools for Consulting Firms (2026)</v>
      </c>
      <c r="C482" s="14" t="str">
        <f>IFERROR(__xludf.DUMMYFUNCTION("""COMPUTED_VALUE"""),"auditynow.com")</f>
        <v>auditynow.com</v>
      </c>
      <c r="D482" s="15" t="str">
        <f>IFERROR(__xludf.DUMMYFUNCTION("""COMPUTED_VALUE"""),"LISTICLE")</f>
        <v>LISTICLE</v>
      </c>
      <c r="E482" s="15" t="str">
        <f>IFERROR(__xludf.DUMMYFUNCTION("""COMPUTED_VALUE"""),"CORPORATE")</f>
        <v>CORPORATE</v>
      </c>
      <c r="F482" s="15" t="str">
        <f>IFERROR(__xludf.DUMMYFUNCTION("""COMPUTED_VALUE"""),"Listicle")</f>
        <v>Listicle</v>
      </c>
      <c r="G482" s="15" t="b">
        <f>IFERROR(__xludf.DUMMYFUNCTION("""COMPUTED_VALUE"""),FALSE)</f>
        <v>0</v>
      </c>
      <c r="H482" s="15" t="str">
        <f>IFERROR(__xludf.DUMMYFUNCTION("""COMPUTED_VALUE"""),"Found, NoGood, Momentum")</f>
        <v>Found, NoGood, Momentum</v>
      </c>
      <c r="I482" s="15">
        <f>IFERROR(__xludf.DUMMYFUNCTION("""COMPUTED_VALUE"""),1.0)</f>
        <v>1</v>
      </c>
      <c r="J482" s="15">
        <f>IFERROR(__xludf.DUMMYFUNCTION("""COMPUTED_VALUE"""),0.0)</f>
        <v>0</v>
      </c>
      <c r="K482" s="15">
        <f>IFERROR(__xludf.DUMMYFUNCTION("""COMPUTED_VALUE"""),0.0)</f>
        <v>0</v>
      </c>
      <c r="L482" s="15"/>
    </row>
    <row r="483" ht="15.75" customHeight="1">
      <c r="A483" s="14" t="str">
        <f>IFERROR(__xludf.DUMMYFUNCTION("""COMPUTED_VALUE"""),"https://www.awarenessai.co.uk/blogs/top-geo-and-ai-visibility-agencies-in-the-uk-2026")</f>
        <v>https://www.awarenessai.co.uk/blogs/top-geo-and-ai-visibility-agencies-in-the-uk-2026</v>
      </c>
      <c r="B483" s="15" t="str">
        <f>IFERROR(__xludf.DUMMYFUNCTION("""COMPUTED_VALUE"""),"Top GEO and AI Visibility Agencies in the UK (2026) | AwarenessAI Blog")</f>
        <v>Top GEO and AI Visibility Agencies in the UK (2026) | AwarenessAI Blog</v>
      </c>
      <c r="C483" s="14" t="str">
        <f>IFERROR(__xludf.DUMMYFUNCTION("""COMPUTED_VALUE"""),"awarenessai.co.uk")</f>
        <v>awarenessai.co.uk</v>
      </c>
      <c r="D483" s="15" t="str">
        <f>IFERROR(__xludf.DUMMYFUNCTION("""COMPUTED_VALUE"""),"LISTICLE")</f>
        <v>LISTICLE</v>
      </c>
      <c r="E483" s="15" t="str">
        <f>IFERROR(__xludf.DUMMYFUNCTION("""COMPUTED_VALUE"""),"CORPORATE")</f>
        <v>CORPORATE</v>
      </c>
      <c r="F483" s="15" t="str">
        <f>IFERROR(__xludf.DUMMYFUNCTION("""COMPUTED_VALUE"""),"Listicle")</f>
        <v>Listicle</v>
      </c>
      <c r="G483" s="15" t="b">
        <f>IFERROR(__xludf.DUMMYFUNCTION("""COMPUTED_VALUE"""),FALSE)</f>
        <v>0</v>
      </c>
      <c r="H483" s="15"/>
      <c r="I483" s="15">
        <f>IFERROR(__xludf.DUMMYFUNCTION("""COMPUTED_VALUE"""),1.0)</f>
        <v>1</v>
      </c>
      <c r="J483" s="15">
        <f>IFERROR(__xludf.DUMMYFUNCTION("""COMPUTED_VALUE"""),0.0)</f>
        <v>0</v>
      </c>
      <c r="K483" s="15">
        <f>IFERROR(__xludf.DUMMYFUNCTION("""COMPUTED_VALUE"""),0.0)</f>
        <v>0</v>
      </c>
      <c r="L483" s="15"/>
    </row>
    <row r="484" ht="15.75" customHeight="1">
      <c r="A484" s="14" t="str">
        <f>IFERROR(__xludf.DUMMYFUNCTION("""COMPUTED_VALUE"""),"https://www.b2bmarketing.net/top-10-uk-marketing-agencies-blog/")</f>
        <v>https://www.b2bmarketing.net/top-10-uk-marketing-agencies-blog/</v>
      </c>
      <c r="B484" s="15" t="str">
        <f>IFERROR(__xludf.DUMMYFUNCTION("""COMPUTED_VALUE"""),"Revealed: Top 10 B2B UK Agencies 2026 - B2B Marketing")</f>
        <v>Revealed: Top 10 B2B UK Agencies 2026 - B2B Marketing</v>
      </c>
      <c r="C484" s="14" t="str">
        <f>IFERROR(__xludf.DUMMYFUNCTION("""COMPUTED_VALUE"""),"b2bmarketing.net")</f>
        <v>b2bmarketing.net</v>
      </c>
      <c r="D484" s="15" t="str">
        <f>IFERROR(__xludf.DUMMYFUNCTION("""COMPUTED_VALUE"""),"LISTICLE")</f>
        <v>LISTICLE</v>
      </c>
      <c r="E484" s="15" t="str">
        <f>IFERROR(__xludf.DUMMYFUNCTION("""COMPUTED_VALUE"""),"INSTITUTIONAL")</f>
        <v>INSTITUTIONAL</v>
      </c>
      <c r="F484" s="15" t="str">
        <f>IFERROR(__xludf.DUMMYFUNCTION("""COMPUTED_VALUE"""),"Listicle")</f>
        <v>Listicle</v>
      </c>
      <c r="G484" s="15" t="b">
        <f>IFERROR(__xludf.DUMMYFUNCTION("""COMPUTED_VALUE"""),FALSE)</f>
        <v>0</v>
      </c>
      <c r="H484" s="15" t="str">
        <f>IFERROR(__xludf.DUMMYFUNCTION("""COMPUTED_VALUE"""),"Dentsu, Gravity Global, Transmission, Momentum")</f>
        <v>Dentsu, Gravity Global, Transmission, Momentum</v>
      </c>
      <c r="I484" s="15">
        <f>IFERROR(__xludf.DUMMYFUNCTION("""COMPUTED_VALUE"""),1.0)</f>
        <v>1</v>
      </c>
      <c r="J484" s="15">
        <f>IFERROR(__xludf.DUMMYFUNCTION("""COMPUTED_VALUE"""),0.0)</f>
        <v>0</v>
      </c>
      <c r="K484" s="15">
        <f>IFERROR(__xludf.DUMMYFUNCTION("""COMPUTED_VALUE"""),0.0)</f>
        <v>0</v>
      </c>
      <c r="L484" s="15"/>
    </row>
    <row r="485" ht="15.75" customHeight="1">
      <c r="A485" s="14" t="str">
        <f>IFERROR(__xludf.DUMMYFUNCTION("""COMPUTED_VALUE"""),"https://www.back9.co.nz/how-to-find-a-certified-google-partner/")</f>
        <v>https://www.back9.co.nz/how-to-find-a-certified-google-partner/</v>
      </c>
      <c r="B485" s="15" t="str">
        <f>IFERROR(__xludf.DUMMYFUNCTION("""COMPUTED_VALUE"""),"Certified Google Partner: How to find the best one for you - Back9 Digital")</f>
        <v>Certified Google Partner: How to find the best one for you - Back9 Digital</v>
      </c>
      <c r="C485" s="14" t="str">
        <f>IFERROR(__xludf.DUMMYFUNCTION("""COMPUTED_VALUE"""),"back9.co.nz")</f>
        <v>back9.co.nz</v>
      </c>
      <c r="D485" s="15" t="str">
        <f>IFERROR(__xludf.DUMMYFUNCTION("""COMPUTED_VALUE"""),"HOW_TO_GUIDE")</f>
        <v>HOW_TO_GUIDE</v>
      </c>
      <c r="E485" s="15" t="str">
        <f>IFERROR(__xludf.DUMMYFUNCTION("""COMPUTED_VALUE"""),"CORPORATE")</f>
        <v>CORPORATE</v>
      </c>
      <c r="F485" s="15" t="str">
        <f>IFERROR(__xludf.DUMMYFUNCTION("""COMPUTED_VALUE"""),"How-To Guide")</f>
        <v>How-To Guide</v>
      </c>
      <c r="G485" s="15" t="b">
        <f>IFERROR(__xludf.DUMMYFUNCTION("""COMPUTED_VALUE"""),FALSE)</f>
        <v>0</v>
      </c>
      <c r="H485" s="15"/>
      <c r="I485" s="15">
        <f>IFERROR(__xludf.DUMMYFUNCTION("""COMPUTED_VALUE"""),1.0)</f>
        <v>1</v>
      </c>
      <c r="J485" s="15">
        <f>IFERROR(__xludf.DUMMYFUNCTION("""COMPUTED_VALUE"""),0.0)</f>
        <v>0</v>
      </c>
      <c r="K485" s="15">
        <f>IFERROR(__xludf.DUMMYFUNCTION("""COMPUTED_VALUE"""),1.0)</f>
        <v>1</v>
      </c>
      <c r="L485" s="15"/>
    </row>
    <row r="486" ht="15.75" customHeight="1">
      <c r="A486" s="14" t="str">
        <f>IFERROR(__xludf.DUMMYFUNCTION("""COMPUTED_VALUE"""),"https://belkins.io/blog/best-appointment-setting-companies-uk")</f>
        <v>https://belkins.io/blog/best-appointment-setting-companies-uk</v>
      </c>
      <c r="B486" s="15" t="str">
        <f>IFERROR(__xludf.DUMMYFUNCTION("""COMPUTED_VALUE"""),"7 Best B2B Appointment Setting Companies in UK for 2024")</f>
        <v>7 Best B2B Appointment Setting Companies in UK for 2024</v>
      </c>
      <c r="C486" s="14" t="str">
        <f>IFERROR(__xludf.DUMMYFUNCTION("""COMPUTED_VALUE"""),"belkins.io")</f>
        <v>belkins.io</v>
      </c>
      <c r="D486" s="15" t="str">
        <f>IFERROR(__xludf.DUMMYFUNCTION("""COMPUTED_VALUE"""),"LISTICLE")</f>
        <v>LISTICLE</v>
      </c>
      <c r="E486" s="15" t="str">
        <f>IFERROR(__xludf.DUMMYFUNCTION("""COMPUTED_VALUE"""),"CORPORATE")</f>
        <v>CORPORATE</v>
      </c>
      <c r="F486" s="15" t="str">
        <f>IFERROR(__xludf.DUMMYFUNCTION("""COMPUTED_VALUE"""),"Listicle")</f>
        <v>Listicle</v>
      </c>
      <c r="G486" s="15" t="b">
        <f>IFERROR(__xludf.DUMMYFUNCTION("""COMPUTED_VALUE"""),FALSE)</f>
        <v>0</v>
      </c>
      <c r="H486" s="15" t="str">
        <f>IFERROR(__xludf.DUMMYFUNCTION("""COMPUTED_VALUE"""),"Dept, Hawke Media")</f>
        <v>Dept, Hawke Media</v>
      </c>
      <c r="I486" s="15">
        <f>IFERROR(__xludf.DUMMYFUNCTION("""COMPUTED_VALUE"""),1.0)</f>
        <v>1</v>
      </c>
      <c r="J486" s="15">
        <f>IFERROR(__xludf.DUMMYFUNCTION("""COMPUTED_VALUE"""),0.0)</f>
        <v>0</v>
      </c>
      <c r="K486" s="15">
        <f>IFERROR(__xludf.DUMMYFUNCTION("""COMPUTED_VALUE"""),0.0)</f>
        <v>0</v>
      </c>
      <c r="L486" s="15"/>
    </row>
    <row r="487" ht="15.75" customHeight="1">
      <c r="A487" s="14" t="str">
        <f>IFERROR(__xludf.DUMMYFUNCTION("""COMPUTED_VALUE"""),"https://benly.ai/learn/ai-marketing/best-attribution-tools-2026")</f>
        <v>https://benly.ai/learn/ai-marketing/best-attribution-tools-2026</v>
      </c>
      <c r="B487" s="15" t="str">
        <f>IFERROR(__xludf.DUMMYFUNCTION("""COMPUTED_VALUE"""),"11 Best Marketing Attribution Tools in 2026")</f>
        <v>11 Best Marketing Attribution Tools in 2026</v>
      </c>
      <c r="C487" s="14" t="str">
        <f>IFERROR(__xludf.DUMMYFUNCTION("""COMPUTED_VALUE"""),"benly.ai")</f>
        <v>benly.ai</v>
      </c>
      <c r="D487" s="15" t="str">
        <f>IFERROR(__xludf.DUMMYFUNCTION("""COMPUTED_VALUE"""),"LISTICLE")</f>
        <v>LISTICLE</v>
      </c>
      <c r="E487" s="15" t="str">
        <f>IFERROR(__xludf.DUMMYFUNCTION("""COMPUTED_VALUE"""),"CORPORATE")</f>
        <v>CORPORATE</v>
      </c>
      <c r="F487" s="15" t="str">
        <f>IFERROR(__xludf.DUMMYFUNCTION("""COMPUTED_VALUE"""),"Listicle")</f>
        <v>Listicle</v>
      </c>
      <c r="G487" s="15" t="b">
        <f>IFERROR(__xludf.DUMMYFUNCTION("""COMPUTED_VALUE"""),FALSE)</f>
        <v>0</v>
      </c>
      <c r="H487" s="15" t="str">
        <f>IFERROR(__xludf.DUMMYFUNCTION("""COMPUTED_VALUE"""),"Northbeam, Triple Whale, Rockerbox, Measured, Ruler Analytics")</f>
        <v>Northbeam, Triple Whale, Rockerbox, Measured, Ruler Analytics</v>
      </c>
      <c r="I487" s="15">
        <f>IFERROR(__xludf.DUMMYFUNCTION("""COMPUTED_VALUE"""),1.0)</f>
        <v>1</v>
      </c>
      <c r="J487" s="15">
        <f>IFERROR(__xludf.DUMMYFUNCTION("""COMPUTED_VALUE"""),0.0)</f>
        <v>0</v>
      </c>
      <c r="K487" s="15">
        <f>IFERROR(__xludf.DUMMYFUNCTION("""COMPUTED_VALUE"""),0.0)</f>
        <v>0</v>
      </c>
      <c r="L487" s="15"/>
    </row>
    <row r="488" ht="15.75" customHeight="1">
      <c r="A488" s="14" t="str">
        <f>IFERROR(__xludf.DUMMYFUNCTION("""COMPUTED_VALUE"""),"https://beomniscient.com/blog/growth-marketing-agency/")</f>
        <v>https://beomniscient.com/blog/growth-marketing-agency/</v>
      </c>
      <c r="B488" s="15" t="str">
        <f>IFERROR(__xludf.DUMMYFUNCTION("""COMPUTED_VALUE"""),"The 16 Best Growth Marketing Agencies in 2026 - Omniscient Digital")</f>
        <v>The 16 Best Growth Marketing Agencies in 2026 - Omniscient Digital</v>
      </c>
      <c r="C488" s="14" t="str">
        <f>IFERROR(__xludf.DUMMYFUNCTION("""COMPUTED_VALUE"""),"beomniscient.com")</f>
        <v>beomniscient.com</v>
      </c>
      <c r="D488" s="15" t="str">
        <f>IFERROR(__xludf.DUMMYFUNCTION("""COMPUTED_VALUE"""),"LISTICLE")</f>
        <v>LISTICLE</v>
      </c>
      <c r="E488" s="15" t="str">
        <f>IFERROR(__xludf.DUMMYFUNCTION("""COMPUTED_VALUE"""),"COMPETITOR")</f>
        <v>COMPETITOR</v>
      </c>
      <c r="F488" s="15" t="str">
        <f>IFERROR(__xludf.DUMMYFUNCTION("""COMPUTED_VALUE"""),"Listicle")</f>
        <v>Listicle</v>
      </c>
      <c r="G488" s="15" t="b">
        <f>IFERROR(__xludf.DUMMYFUNCTION("""COMPUTED_VALUE"""),FALSE)</f>
        <v>0</v>
      </c>
      <c r="H488" s="15" t="str">
        <f>IFERROR(__xludf.DUMMYFUNCTION("""COMPUTED_VALUE"""),"Omniscient Digital, Ignite Visibility, Single Grain, Disruptive Advertising, NoGood, Directive Consulting, NP Digital, Superside, Momentum")</f>
        <v>Omniscient Digital, Ignite Visibility, Single Grain, Disruptive Advertising, NoGood, Directive Consulting, NP Digital, Superside, Momentum</v>
      </c>
      <c r="I488" s="15">
        <f>IFERROR(__xludf.DUMMYFUNCTION("""COMPUTED_VALUE"""),1.0)</f>
        <v>1</v>
      </c>
      <c r="J488" s="15">
        <f>IFERROR(__xludf.DUMMYFUNCTION("""COMPUTED_VALUE"""),0.0)</f>
        <v>0</v>
      </c>
      <c r="K488" s="15">
        <f>IFERROR(__xludf.DUMMYFUNCTION("""COMPUTED_VALUE"""),0.0)</f>
        <v>0</v>
      </c>
      <c r="L488" s="15"/>
    </row>
    <row r="489" ht="15.75" customHeight="1">
      <c r="A489" s="14" t="str">
        <f>IFERROR(__xludf.DUMMYFUNCTION("""COMPUTED_VALUE"""),"https://beomniscient.com/blog/marketing-agencies/")</f>
        <v>https://beomniscient.com/blog/marketing-agencies/</v>
      </c>
      <c r="B489" s="15" t="str">
        <f>IFERROR(__xludf.DUMMYFUNCTION("""COMPUTED_VALUE"""),"The 6 Best Marketing Agencies in 2026 - Omniscient Digital")</f>
        <v>The 6 Best Marketing Agencies in 2026 - Omniscient Digital</v>
      </c>
      <c r="C489" s="14" t="str">
        <f>IFERROR(__xludf.DUMMYFUNCTION("""COMPUTED_VALUE"""),"beomniscient.com")</f>
        <v>beomniscient.com</v>
      </c>
      <c r="D489" s="15" t="str">
        <f>IFERROR(__xludf.DUMMYFUNCTION("""COMPUTED_VALUE"""),"LISTICLE")</f>
        <v>LISTICLE</v>
      </c>
      <c r="E489" s="15" t="str">
        <f>IFERROR(__xludf.DUMMYFUNCTION("""COMPUTED_VALUE"""),"COMPETITOR")</f>
        <v>COMPETITOR</v>
      </c>
      <c r="F489" s="15" t="str">
        <f>IFERROR(__xludf.DUMMYFUNCTION("""COMPUTED_VALUE"""),"Listicle")</f>
        <v>Listicle</v>
      </c>
      <c r="G489" s="15" t="b">
        <f>IFERROR(__xludf.DUMMYFUNCTION("""COMPUTED_VALUE"""),FALSE)</f>
        <v>0</v>
      </c>
      <c r="H489" s="15" t="str">
        <f>IFERROR(__xludf.DUMMYFUNCTION("""COMPUTED_VALUE"""),"Omniscient Digital, Disruptive Advertising, NoGood")</f>
        <v>Omniscient Digital, Disruptive Advertising, NoGood</v>
      </c>
      <c r="I489" s="15">
        <f>IFERROR(__xludf.DUMMYFUNCTION("""COMPUTED_VALUE"""),1.0)</f>
        <v>1</v>
      </c>
      <c r="J489" s="15">
        <f>IFERROR(__xludf.DUMMYFUNCTION("""COMPUTED_VALUE"""),0.0)</f>
        <v>0</v>
      </c>
      <c r="K489" s="15">
        <f>IFERROR(__xludf.DUMMYFUNCTION("""COMPUTED_VALUE"""),0.0)</f>
        <v>0</v>
      </c>
      <c r="L489" s="15"/>
    </row>
    <row r="490" ht="15.75" customHeight="1">
      <c r="A490" s="14" t="str">
        <f>IFERROR(__xludf.DUMMYFUNCTION("""COMPUTED_VALUE"""),"https://best-ai-readiness-assessments.com/")</f>
        <v>https://best-ai-readiness-assessments.com/</v>
      </c>
      <c r="B490" s="15" t="str">
        <f>IFERROR(__xludf.DUMMYFUNCTION("""COMPUTED_VALUE"""),"Best AI Readiness Assessments of 2026: Top 9 Ranked")</f>
        <v>Best AI Readiness Assessments of 2026: Top 9 Ranked</v>
      </c>
      <c r="C490" s="14" t="str">
        <f>IFERROR(__xludf.DUMMYFUNCTION("""COMPUTED_VALUE"""),"best-ai-readiness-assessments.com")</f>
        <v>best-ai-readiness-assessments.com</v>
      </c>
      <c r="D490" s="15" t="str">
        <f>IFERROR(__xludf.DUMMYFUNCTION("""COMPUTED_VALUE"""),"HOMEPAGE")</f>
        <v>HOMEPAGE</v>
      </c>
      <c r="E490" s="15" t="str">
        <f>IFERROR(__xludf.DUMMYFUNCTION("""COMPUTED_VALUE"""),"EDITORIAL")</f>
        <v>EDITORIAL</v>
      </c>
      <c r="F490" s="15" t="str">
        <f>IFERROR(__xludf.DUMMYFUNCTION("""COMPUTED_VALUE"""),"Homepage")</f>
        <v>Homepage</v>
      </c>
      <c r="G490" s="15" t="b">
        <f>IFERROR(__xludf.DUMMYFUNCTION("""COMPUTED_VALUE"""),FALSE)</f>
        <v>0</v>
      </c>
      <c r="H490" s="15" t="str">
        <f>IFERROR(__xludf.DUMMYFUNCTION("""COMPUTED_VALUE"""),"Deloitte Digital")</f>
        <v>Deloitte Digital</v>
      </c>
      <c r="I490" s="15">
        <f>IFERROR(__xludf.DUMMYFUNCTION("""COMPUTED_VALUE"""),1.0)</f>
        <v>1</v>
      </c>
      <c r="J490" s="15">
        <f>IFERROR(__xludf.DUMMYFUNCTION("""COMPUTED_VALUE"""),0.0)</f>
        <v>0</v>
      </c>
      <c r="K490" s="15">
        <f>IFERROR(__xludf.DUMMYFUNCTION("""COMPUTED_VALUE"""),0.0)</f>
        <v>0</v>
      </c>
      <c r="L490" s="15"/>
    </row>
    <row r="491" ht="15.75" customHeight="1">
      <c r="A491" s="14" t="str">
        <f>IFERROR(__xludf.DUMMYFUNCTION("""COMPUTED_VALUE"""),"https://www.bizzabo.com/blog/top-uk-event-agencies")</f>
        <v>https://www.bizzabo.com/blog/top-uk-event-agencies</v>
      </c>
      <c r="B491" s="15" t="str">
        <f>IFERROR(__xludf.DUMMYFUNCTION("""COMPUTED_VALUE"""),"The Top UK Event Agencies for 2024")</f>
        <v>The Top UK Event Agencies for 2024</v>
      </c>
      <c r="C491" s="14" t="str">
        <f>IFERROR(__xludf.DUMMYFUNCTION("""COMPUTED_VALUE"""),"bizzabo.com")</f>
        <v>bizzabo.com</v>
      </c>
      <c r="D491" s="15" t="str">
        <f>IFERROR(__xludf.DUMMYFUNCTION("""COMPUTED_VALUE"""),"LISTICLE")</f>
        <v>LISTICLE</v>
      </c>
      <c r="E491" s="15" t="str">
        <f>IFERROR(__xludf.DUMMYFUNCTION("""COMPUTED_VALUE"""),"CORPORATE")</f>
        <v>CORPORATE</v>
      </c>
      <c r="F491" s="15" t="str">
        <f>IFERROR(__xludf.DUMMYFUNCTION("""COMPUTED_VALUE"""),"Listicle")</f>
        <v>Listicle</v>
      </c>
      <c r="G491" s="15" t="b">
        <f>IFERROR(__xludf.DUMMYFUNCTION("""COMPUTED_VALUE"""),FALSE)</f>
        <v>0</v>
      </c>
      <c r="H491" s="15" t="str">
        <f>IFERROR(__xludf.DUMMYFUNCTION("""COMPUTED_VALUE"""),"Adam&amp;eveDDB, AMV BBDO, BBH London, Push, Lucky Generals, Merkle, Mother London, Saatchi &amp; Saatchi, VCCP, WPP")</f>
        <v>Adam&amp;eveDDB, AMV BBDO, BBH London, Push, Lucky Generals, Merkle, Mother London, Saatchi &amp; Saatchi, VCCP, WPP</v>
      </c>
      <c r="I491" s="15">
        <f>IFERROR(__xludf.DUMMYFUNCTION("""COMPUTED_VALUE"""),1.0)</f>
        <v>1</v>
      </c>
      <c r="J491" s="15">
        <f>IFERROR(__xludf.DUMMYFUNCTION("""COMPUTED_VALUE"""),0.0)</f>
        <v>0</v>
      </c>
      <c r="K491" s="15">
        <f>IFERROR(__xludf.DUMMYFUNCTION("""COMPUTED_VALUE"""),0.0)</f>
        <v>0</v>
      </c>
      <c r="L491" s="15"/>
    </row>
    <row r="492" ht="15.75" customHeight="1">
      <c r="A492" s="14" t="str">
        <f>IFERROR(__xludf.DUMMYFUNCTION("""COMPUTED_VALUE"""),"https://www.blendb2b.com/resources/best-aeo-agencies-for-b2b-companies")</f>
        <v>https://www.blendb2b.com/resources/best-aeo-agencies-for-b2b-companies</v>
      </c>
      <c r="B492" s="15" t="str">
        <f>IFERROR(__xludf.DUMMYFUNCTION("""COMPUTED_VALUE"""),"The 6 best B2B AEO agencies in 2026")</f>
        <v>The 6 best B2B AEO agencies in 2026</v>
      </c>
      <c r="C492" s="14" t="str">
        <f>IFERROR(__xludf.DUMMYFUNCTION("""COMPUTED_VALUE"""),"blendb2b.com")</f>
        <v>blendb2b.com</v>
      </c>
      <c r="D492" s="15" t="str">
        <f>IFERROR(__xludf.DUMMYFUNCTION("""COMPUTED_VALUE"""),"LISTICLE")</f>
        <v>LISTICLE</v>
      </c>
      <c r="E492" s="15" t="str">
        <f>IFERROR(__xludf.DUMMYFUNCTION("""COMPUTED_VALUE"""),"CORPORATE")</f>
        <v>CORPORATE</v>
      </c>
      <c r="F492" s="15" t="str">
        <f>IFERROR(__xludf.DUMMYFUNCTION("""COMPUTED_VALUE"""),"Listicle")</f>
        <v>Listicle</v>
      </c>
      <c r="G492" s="15" t="b">
        <f>IFERROR(__xludf.DUMMYFUNCTION("""COMPUTED_VALUE"""),FALSE)</f>
        <v>0</v>
      </c>
      <c r="H492" s="15" t="str">
        <f>IFERROR(__xludf.DUMMYFUNCTION("""COMPUTED_VALUE"""),"Passion Digital, Single Grain, Siege Media, Measured")</f>
        <v>Passion Digital, Single Grain, Siege Media, Measured</v>
      </c>
      <c r="I492" s="15">
        <f>IFERROR(__xludf.DUMMYFUNCTION("""COMPUTED_VALUE"""),1.0)</f>
        <v>1</v>
      </c>
      <c r="J492" s="15">
        <f>IFERROR(__xludf.DUMMYFUNCTION("""COMPUTED_VALUE"""),0.0)</f>
        <v>0</v>
      </c>
      <c r="K492" s="15">
        <f>IFERROR(__xludf.DUMMYFUNCTION("""COMPUTED_VALUE"""),0.0)</f>
        <v>0</v>
      </c>
      <c r="L492" s="15"/>
    </row>
    <row r="493" ht="15.75" customHeight="1">
      <c r="A493" s="14" t="str">
        <f>IFERROR(__xludf.DUMMYFUNCTION("""COMPUTED_VALUE"""),"https://www.bluearray.co.uk/agency-directory/best-influencer-agencies-in-the-uk/")</f>
        <v>https://www.bluearray.co.uk/agency-directory/best-influencer-agencies-in-the-uk/</v>
      </c>
      <c r="B493" s="15" t="str">
        <f>IFERROR(__xludf.DUMMYFUNCTION("""COMPUTED_VALUE"""),"Best Influencer Agencies in the UK - Blue Array SEO")</f>
        <v>Best Influencer Agencies in the UK - Blue Array SEO</v>
      </c>
      <c r="C493" s="14" t="str">
        <f>IFERROR(__xludf.DUMMYFUNCTION("""COMPUTED_VALUE"""),"bluearray.co.uk")</f>
        <v>bluearray.co.uk</v>
      </c>
      <c r="D493" s="15" t="str">
        <f>IFERROR(__xludf.DUMMYFUNCTION("""COMPUTED_VALUE"""),"LISTICLE")</f>
        <v>LISTICLE</v>
      </c>
      <c r="E493" s="15" t="str">
        <f>IFERROR(__xludf.DUMMYFUNCTION("""COMPUTED_VALUE"""),"COMPETITOR")</f>
        <v>COMPETITOR</v>
      </c>
      <c r="F493" s="15" t="str">
        <f>IFERROR(__xludf.DUMMYFUNCTION("""COMPUTED_VALUE"""),"Listicle")</f>
        <v>Listicle</v>
      </c>
      <c r="G493" s="15" t="b">
        <f>IFERROR(__xludf.DUMMYFUNCTION("""COMPUTED_VALUE"""),FALSE)</f>
        <v>0</v>
      </c>
      <c r="H493" s="15" t="str">
        <f>IFERROR(__xludf.DUMMYFUNCTION("""COMPUTED_VALUE"""),"Blue Array, Disrupt Marketing, Push")</f>
        <v>Blue Array, Disrupt Marketing, Push</v>
      </c>
      <c r="I493" s="15">
        <f>IFERROR(__xludf.DUMMYFUNCTION("""COMPUTED_VALUE"""),1.0)</f>
        <v>1</v>
      </c>
      <c r="J493" s="15">
        <f>IFERROR(__xludf.DUMMYFUNCTION("""COMPUTED_VALUE"""),0.0)</f>
        <v>0</v>
      </c>
      <c r="K493" s="15">
        <f>IFERROR(__xludf.DUMMYFUNCTION("""COMPUTED_VALUE"""),0.0)</f>
        <v>0</v>
      </c>
      <c r="L493" s="15"/>
    </row>
    <row r="494" ht="15.75" customHeight="1">
      <c r="A494" s="14" t="str">
        <f>IFERROR(__xludf.DUMMYFUNCTION("""COMPUTED_VALUE"""),"https://blueprintdemand.com/top-10-display-advertising-agency-partners-for-2026/")</f>
        <v>https://blueprintdemand.com/top-10-display-advertising-agency-partners-for-2026/</v>
      </c>
      <c r="B494" s="15" t="str">
        <f>IFERROR(__xludf.DUMMYFUNCTION("""COMPUTED_VALUE"""),"10 Best B2B Display Advertising Agency Partners (2026) – Blueprint Demand: Demand Generation Experts")</f>
        <v>10 Best B2B Display Advertising Agency Partners (2026) – Blueprint Demand: Demand Generation Experts</v>
      </c>
      <c r="C494" s="14" t="str">
        <f>IFERROR(__xludf.DUMMYFUNCTION("""COMPUTED_VALUE"""),"blueprintdemand.com")</f>
        <v>blueprintdemand.com</v>
      </c>
      <c r="D494" s="15" t="str">
        <f>IFERROR(__xludf.DUMMYFUNCTION("""COMPUTED_VALUE"""),"LISTICLE")</f>
        <v>LISTICLE</v>
      </c>
      <c r="E494" s="15" t="str">
        <f>IFERROR(__xludf.DUMMYFUNCTION("""COMPUTED_VALUE"""),"CORPORATE")</f>
        <v>CORPORATE</v>
      </c>
      <c r="F494" s="15" t="str">
        <f>IFERROR(__xludf.DUMMYFUNCTION("""COMPUTED_VALUE"""),"Listicle")</f>
        <v>Listicle</v>
      </c>
      <c r="G494" s="15" t="b">
        <f>IFERROR(__xludf.DUMMYFUNCTION("""COMPUTED_VALUE"""),FALSE)</f>
        <v>0</v>
      </c>
      <c r="H494" s="15" t="str">
        <f>IFERROR(__xludf.DUMMYFUNCTION("""COMPUTED_VALUE"""),"Measured, Impression, Momentum, Single Grain")</f>
        <v>Measured, Impression, Momentum, Single Grain</v>
      </c>
      <c r="I494" s="15">
        <f>IFERROR(__xludf.DUMMYFUNCTION("""COMPUTED_VALUE"""),1.0)</f>
        <v>1</v>
      </c>
      <c r="J494" s="15">
        <f>IFERROR(__xludf.DUMMYFUNCTION("""COMPUTED_VALUE"""),0.0)</f>
        <v>0</v>
      </c>
      <c r="K494" s="15">
        <f>IFERROR(__xludf.DUMMYFUNCTION("""COMPUTED_VALUE"""),1.0)</f>
        <v>1</v>
      </c>
      <c r="L494" s="15"/>
    </row>
    <row r="495" ht="15.75" customHeight="1">
      <c r="A495" s="14" t="str">
        <f>IFERROR(__xludf.DUMMYFUNCTION("""COMPUTED_VALUE"""),"https://www.brandedagency.com/blog/top-digital-marketing-agencies")</f>
        <v>https://www.brandedagency.com/blog/top-digital-marketing-agencies</v>
      </c>
      <c r="B495" s="15" t="str">
        <f>IFERROR(__xludf.DUMMYFUNCTION("""COMPUTED_VALUE"""),"Best Digital Marketing Agencies for Growth in 2026")</f>
        <v>Best Digital Marketing Agencies for Growth in 2026</v>
      </c>
      <c r="C495" s="14" t="str">
        <f>IFERROR(__xludf.DUMMYFUNCTION("""COMPUTED_VALUE"""),"brandedagency.com")</f>
        <v>brandedagency.com</v>
      </c>
      <c r="D495" s="15" t="str">
        <f>IFERROR(__xludf.DUMMYFUNCTION("""COMPUTED_VALUE"""),"LISTICLE")</f>
        <v>LISTICLE</v>
      </c>
      <c r="E495" s="15" t="str">
        <f>IFERROR(__xludf.DUMMYFUNCTION("""COMPUTED_VALUE"""),"CORPORATE")</f>
        <v>CORPORATE</v>
      </c>
      <c r="F495" s="15" t="str">
        <f>IFERROR(__xludf.DUMMYFUNCTION("""COMPUTED_VALUE"""),"Listicle")</f>
        <v>Listicle</v>
      </c>
      <c r="G495" s="15" t="b">
        <f>IFERROR(__xludf.DUMMYFUNCTION("""COMPUTED_VALUE"""),FALSE)</f>
        <v>0</v>
      </c>
      <c r="H495" s="15" t="str">
        <f>IFERROR(__xludf.DUMMYFUNCTION("""COMPUTED_VALUE"""),"Found, Measured, WebFX, Ignite Visibility, Ninja Promo")</f>
        <v>Found, Measured, WebFX, Ignite Visibility, Ninja Promo</v>
      </c>
      <c r="I495" s="15">
        <f>IFERROR(__xludf.DUMMYFUNCTION("""COMPUTED_VALUE"""),1.0)</f>
        <v>1</v>
      </c>
      <c r="J495" s="15">
        <f>IFERROR(__xludf.DUMMYFUNCTION("""COMPUTED_VALUE"""),0.0)</f>
        <v>0</v>
      </c>
      <c r="K495" s="15">
        <f>IFERROR(__xludf.DUMMYFUNCTION("""COMPUTED_VALUE"""),2.0)</f>
        <v>2</v>
      </c>
      <c r="L495" s="15"/>
    </row>
    <row r="496" ht="15.75" customHeight="1">
      <c r="A496" s="14" t="str">
        <f>IFERROR(__xludf.DUMMYFUNCTION("""COMPUTED_VALUE"""),"https://www.brandsandagencies.co.uk/news-insights/uk-best-integrated-marketing-agencies/")</f>
        <v>https://www.brandsandagencies.co.uk/news-insights/uk-best-integrated-marketing-agencies/</v>
      </c>
      <c r="B496" s="15" t="str">
        <f>IFERROR(__xludf.DUMMYFUNCTION("""COMPUTED_VALUE"""),"Top UK Integrated Marketing Agencies 2025 | Insight guide | Brands &amp;amp; Agencies")</f>
        <v>Top UK Integrated Marketing Agencies 2025 | Insight guide | Brands &amp;amp; Agencies</v>
      </c>
      <c r="C496" s="14" t="str">
        <f>IFERROR(__xludf.DUMMYFUNCTION("""COMPUTED_VALUE"""),"brandsandagencies.co.uk")</f>
        <v>brandsandagencies.co.uk</v>
      </c>
      <c r="D496" s="15" t="str">
        <f>IFERROR(__xludf.DUMMYFUNCTION("""COMPUTED_VALUE"""),"LISTICLE")</f>
        <v>LISTICLE</v>
      </c>
      <c r="E496" s="15" t="str">
        <f>IFERROR(__xludf.DUMMYFUNCTION("""COMPUTED_VALUE"""),"REFERENCE")</f>
        <v>REFERENCE</v>
      </c>
      <c r="F496" s="15" t="str">
        <f>IFERROR(__xludf.DUMMYFUNCTION("""COMPUTED_VALUE"""),"Listicle")</f>
        <v>Listicle</v>
      </c>
      <c r="G496" s="15" t="b">
        <f>IFERROR(__xludf.DUMMYFUNCTION("""COMPUTED_VALUE"""),FALSE)</f>
        <v>0</v>
      </c>
      <c r="H496" s="15" t="str">
        <f>IFERROR(__xludf.DUMMYFUNCTION("""COMPUTED_VALUE"""),"MSQ Partners, WPP, Soap Media")</f>
        <v>MSQ Partners, WPP, Soap Media</v>
      </c>
      <c r="I496" s="15">
        <f>IFERROR(__xludf.DUMMYFUNCTION("""COMPUTED_VALUE"""),1.0)</f>
        <v>1</v>
      </c>
      <c r="J496" s="15">
        <f>IFERROR(__xludf.DUMMYFUNCTION("""COMPUTED_VALUE"""),0.0)</f>
        <v>0</v>
      </c>
      <c r="K496" s="15">
        <f>IFERROR(__xludf.DUMMYFUNCTION("""COMPUTED_VALUE"""),0.0)</f>
        <v>0</v>
      </c>
      <c r="L496" s="15"/>
    </row>
    <row r="497" ht="15.75" customHeight="1">
      <c r="A497" s="14" t="str">
        <f>IFERROR(__xludf.DUMMYFUNCTION("""COMPUTED_VALUE"""),"https://brandspeak.co.uk/blog/top-10-market-research-agencies/")</f>
        <v>https://brandspeak.co.uk/blog/top-10-market-research-agencies/</v>
      </c>
      <c r="B497" s="15" t="str">
        <f>IFERROR(__xludf.DUMMYFUNCTION("""COMPUTED_VALUE"""),"Best Market Research Agencies in the UK (2026) \| Compared &amp; Reviewed")</f>
        <v>Best Market Research Agencies in the UK (2026) \| Compared &amp; Reviewed</v>
      </c>
      <c r="C497" s="14" t="str">
        <f>IFERROR(__xludf.DUMMYFUNCTION("""COMPUTED_VALUE"""),"brandspeak.co.uk")</f>
        <v>brandspeak.co.uk</v>
      </c>
      <c r="D497" s="15" t="str">
        <f>IFERROR(__xludf.DUMMYFUNCTION("""COMPUTED_VALUE"""),"LISTICLE")</f>
        <v>LISTICLE</v>
      </c>
      <c r="E497" s="15" t="str">
        <f>IFERROR(__xludf.DUMMYFUNCTION("""COMPUTED_VALUE"""),"CORPORATE")</f>
        <v>CORPORATE</v>
      </c>
      <c r="F497" s="15" t="str">
        <f>IFERROR(__xludf.DUMMYFUNCTION("""COMPUTED_VALUE"""),"Listicle")</f>
        <v>Listicle</v>
      </c>
      <c r="G497" s="15" t="b">
        <f>IFERROR(__xludf.DUMMYFUNCTION("""COMPUTED_VALUE"""),FALSE)</f>
        <v>0</v>
      </c>
      <c r="H497" s="15" t="str">
        <f>IFERROR(__xludf.DUMMYFUNCTION("""COMPUTED_VALUE"""),"Kantar, Accenture Song, YouGov")</f>
        <v>Kantar, Accenture Song, YouGov</v>
      </c>
      <c r="I497" s="15">
        <f>IFERROR(__xludf.DUMMYFUNCTION("""COMPUTED_VALUE"""),1.0)</f>
        <v>1</v>
      </c>
      <c r="J497" s="15">
        <f>IFERROR(__xludf.DUMMYFUNCTION("""COMPUTED_VALUE"""),0.0)</f>
        <v>0</v>
      </c>
      <c r="K497" s="15">
        <f>IFERROR(__xludf.DUMMYFUNCTION("""COMPUTED_VALUE"""),0.0)</f>
        <v>0</v>
      </c>
      <c r="L497" s="15"/>
    </row>
    <row r="498" ht="15.75" customHeight="1">
      <c r="A498" s="14" t="str">
        <f>IFERROR(__xludf.DUMMYFUNCTION("""COMPUTED_VALUE"""),"https://brentonway.com/blog/top-performance-marketing-agencies")</f>
        <v>https://brentonway.com/blog/top-performance-marketing-agencies</v>
      </c>
      <c r="B498" s="15" t="str">
        <f>IFERROR(__xludf.DUMMYFUNCTION("""COMPUTED_VALUE"""),"Top 25 Performance Marketing Agencies in 2026 | Brenton Way")</f>
        <v>Top 25 Performance Marketing Agencies in 2026 | Brenton Way</v>
      </c>
      <c r="C498" s="14" t="str">
        <f>IFERROR(__xludf.DUMMYFUNCTION("""COMPUTED_VALUE"""),"brentonway.com")</f>
        <v>brentonway.com</v>
      </c>
      <c r="D498" s="15" t="str">
        <f>IFERROR(__xludf.DUMMYFUNCTION("""COMPUTED_VALUE"""),"LISTICLE")</f>
        <v>LISTICLE</v>
      </c>
      <c r="E498" s="15" t="str">
        <f>IFERROR(__xludf.DUMMYFUNCTION("""COMPUTED_VALUE"""),"CORPORATE")</f>
        <v>CORPORATE</v>
      </c>
      <c r="F498" s="15" t="str">
        <f>IFERROR(__xludf.DUMMYFUNCTION("""COMPUTED_VALUE"""),"Listicle")</f>
        <v>Listicle</v>
      </c>
      <c r="G498" s="15" t="b">
        <f>IFERROR(__xludf.DUMMYFUNCTION("""COMPUTED_VALUE"""),FALSE)</f>
        <v>0</v>
      </c>
      <c r="H498" s="15" t="str">
        <f>IFERROR(__xludf.DUMMYFUNCTION("""COMPUTED_VALUE"""),"Push, NoGood, inBeat, Disruptive Advertising, Directive Consulting, Power Digital")</f>
        <v>Push, NoGood, inBeat, Disruptive Advertising, Directive Consulting, Power Digital</v>
      </c>
      <c r="I498" s="15">
        <f>IFERROR(__xludf.DUMMYFUNCTION("""COMPUTED_VALUE"""),1.0)</f>
        <v>1</v>
      </c>
      <c r="J498" s="15">
        <f>IFERROR(__xludf.DUMMYFUNCTION("""COMPUTED_VALUE"""),0.0)</f>
        <v>0</v>
      </c>
      <c r="K498" s="15">
        <f>IFERROR(__xludf.DUMMYFUNCTION("""COMPUTED_VALUE"""),0.0)</f>
        <v>0</v>
      </c>
      <c r="L498" s="15"/>
    </row>
    <row r="499" ht="15.75" customHeight="1">
      <c r="A499" s="14" t="str">
        <f>IFERROR(__xludf.DUMMYFUNCTION("""COMPUTED_VALUE"""),"https://brysa.co.uk/insights/top-ai-consulting-companies-uk")</f>
        <v>https://brysa.co.uk/insights/top-ai-consulting-companies-uk</v>
      </c>
      <c r="B499" s="15" t="str">
        <f>IFERROR(__xludf.DUMMYFUNCTION("""COMPUTED_VALUE"""),"Top AI Transformation Consulting Companies in the UK")</f>
        <v>Top AI Transformation Consulting Companies in the UK</v>
      </c>
      <c r="C499" s="14" t="str">
        <f>IFERROR(__xludf.DUMMYFUNCTION("""COMPUTED_VALUE"""),"brysa.co.uk")</f>
        <v>brysa.co.uk</v>
      </c>
      <c r="D499" s="15" t="str">
        <f>IFERROR(__xludf.DUMMYFUNCTION("""COMPUTED_VALUE"""),"LISTICLE")</f>
        <v>LISTICLE</v>
      </c>
      <c r="E499" s="15" t="str">
        <f>IFERROR(__xludf.DUMMYFUNCTION("""COMPUTED_VALUE"""),"CORPORATE")</f>
        <v>CORPORATE</v>
      </c>
      <c r="F499" s="15" t="str">
        <f>IFERROR(__xludf.DUMMYFUNCTION("""COMPUTED_VALUE"""),"Listicle")</f>
        <v>Listicle</v>
      </c>
      <c r="G499" s="15" t="b">
        <f>IFERROR(__xludf.DUMMYFUNCTION("""COMPUTED_VALUE"""),FALSE)</f>
        <v>0</v>
      </c>
      <c r="H499" s="15" t="str">
        <f>IFERROR(__xludf.DUMMYFUNCTION("""COMPUTED_VALUE"""),"EY, PwC")</f>
        <v>EY, PwC</v>
      </c>
      <c r="I499" s="15">
        <f>IFERROR(__xludf.DUMMYFUNCTION("""COMPUTED_VALUE"""),1.0)</f>
        <v>1</v>
      </c>
      <c r="J499" s="15">
        <f>IFERROR(__xludf.DUMMYFUNCTION("""COMPUTED_VALUE"""),0.0)</f>
        <v>0</v>
      </c>
      <c r="K499" s="15">
        <f>IFERROR(__xludf.DUMMYFUNCTION("""COMPUTED_VALUE"""),0.0)</f>
        <v>0</v>
      </c>
      <c r="L499" s="15"/>
    </row>
    <row r="500" ht="15.75" customHeight="1">
      <c r="A500" s="14" t="str">
        <f>IFERROR(__xludf.DUMMYFUNCTION("""COMPUTED_VALUE"""),"https://business.adobe.com/blog/basics/marketing-attribution")</f>
        <v>https://business.adobe.com/blog/basics/marketing-attribution</v>
      </c>
      <c r="B500" s="15" t="str">
        <f>IFERROR(__xludf.DUMMYFUNCTION("""COMPUTED_VALUE"""),"Marketing attribution — models and best practices")</f>
        <v>Marketing attribution — models and best practices</v>
      </c>
      <c r="C500" s="14" t="str">
        <f>IFERROR(__xludf.DUMMYFUNCTION("""COMPUTED_VALUE"""),"adobe.com")</f>
        <v>adobe.com</v>
      </c>
      <c r="D500" s="15" t="str">
        <f>IFERROR(__xludf.DUMMYFUNCTION("""COMPUTED_VALUE"""),"ARTICLE")</f>
        <v>ARTICLE</v>
      </c>
      <c r="E500" s="15" t="str">
        <f>IFERROR(__xludf.DUMMYFUNCTION("""COMPUTED_VALUE"""),"CORPORATE")</f>
        <v>CORPORATE</v>
      </c>
      <c r="F500" s="15" t="str">
        <f>IFERROR(__xludf.DUMMYFUNCTION("""COMPUTED_VALUE"""),"Article")</f>
        <v>Article</v>
      </c>
      <c r="G500" s="15" t="b">
        <f>IFERROR(__xludf.DUMMYFUNCTION("""COMPUTED_VALUE"""),FALSE)</f>
        <v>0</v>
      </c>
      <c r="H500" s="15" t="str">
        <f>IFERROR(__xludf.DUMMYFUNCTION("""COMPUTED_VALUE"""),"Push")</f>
        <v>Push</v>
      </c>
      <c r="I500" s="15">
        <f>IFERROR(__xludf.DUMMYFUNCTION("""COMPUTED_VALUE"""),1.0)</f>
        <v>1</v>
      </c>
      <c r="J500" s="15">
        <f>IFERROR(__xludf.DUMMYFUNCTION("""COMPUTED_VALUE"""),0.0)</f>
        <v>0</v>
      </c>
      <c r="K500" s="15">
        <f>IFERROR(__xludf.DUMMYFUNCTION("""COMPUTED_VALUE"""),0.0)</f>
        <v>0</v>
      </c>
      <c r="L500" s="15"/>
    </row>
    <row r="501" ht="15.75" customHeight="1">
      <c r="A501" s="14" t="str">
        <f>IFERROR(__xludf.DUMMYFUNCTION("""COMPUTED_VALUE"""),"https://www.businessofapps.com/marketplace/performance-marketing/")</f>
        <v>https://www.businessofapps.com/marketplace/performance-marketing/</v>
      </c>
      <c r="B501" s="15" t="str">
        <f>IFERROR(__xludf.DUMMYFUNCTION("""COMPUTED_VALUE"""),"Top Performance Marketing Agencies (2026) - Business of Apps")</f>
        <v>Top Performance Marketing Agencies (2026) - Business of Apps</v>
      </c>
      <c r="C501" s="14" t="str">
        <f>IFERROR(__xludf.DUMMYFUNCTION("""COMPUTED_VALUE"""),"businessofapps.com")</f>
        <v>businessofapps.com</v>
      </c>
      <c r="D501" s="15" t="str">
        <f>IFERROR(__xludf.DUMMYFUNCTION("""COMPUTED_VALUE"""),"CATEGORY_PAGE")</f>
        <v>CATEGORY_PAGE</v>
      </c>
      <c r="E501" s="15" t="str">
        <f>IFERROR(__xludf.DUMMYFUNCTION("""COMPUTED_VALUE"""),"EDITORIAL")</f>
        <v>EDITORIAL</v>
      </c>
      <c r="F501" s="15" t="str">
        <f>IFERROR(__xludf.DUMMYFUNCTION("""COMPUTED_VALUE"""),"Category Page")</f>
        <v>Category Page</v>
      </c>
      <c r="G501" s="15" t="b">
        <f>IFERROR(__xludf.DUMMYFUNCTION("""COMPUTED_VALUE"""),TRUE)</f>
        <v>1</v>
      </c>
      <c r="H501" s="15" t="str">
        <f>IFERROR(__xludf.DUMMYFUNCTION("""COMPUTED_VALUE"""),"Push, The Social Shepherd, Measured, Favoured, Incubeta")</f>
        <v>Push, The Social Shepherd, Measured, Favoured, Incubeta</v>
      </c>
      <c r="I501" s="15">
        <f>IFERROR(__xludf.DUMMYFUNCTION("""COMPUTED_VALUE"""),1.0)</f>
        <v>1</v>
      </c>
      <c r="J501" s="15">
        <f>IFERROR(__xludf.DUMMYFUNCTION("""COMPUTED_VALUE"""),0.0)</f>
        <v>0</v>
      </c>
      <c r="K501" s="15">
        <f>IFERROR(__xludf.DUMMYFUNCTION("""COMPUTED_VALUE"""),0.0)</f>
        <v>0</v>
      </c>
      <c r="L501" s="15"/>
    </row>
    <row r="502" ht="15.75" customHeight="1">
      <c r="A502" s="14" t="str">
        <f>IFERROR(__xludf.DUMMYFUNCTION("""COMPUTED_VALUE"""),"https://careerfoundry.com/en/blog/digital-marketing/top-digital-marketing-agencies/")</f>
        <v>https://careerfoundry.com/en/blog/digital-marketing/top-digital-marketing-agencies/</v>
      </c>
      <c r="B502" s="15" t="str">
        <f>IFERROR(__xludf.DUMMYFUNCTION("""COMPUTED_VALUE"""),"The Top 10 Best Digital Marketing Agencies in the World")</f>
        <v>The Top 10 Best Digital Marketing Agencies in the World</v>
      </c>
      <c r="C502" s="14" t="str">
        <f>IFERROR(__xludf.DUMMYFUNCTION("""COMPUTED_VALUE"""),"careerfoundry.com")</f>
        <v>careerfoundry.com</v>
      </c>
      <c r="D502" s="15" t="str">
        <f>IFERROR(__xludf.DUMMYFUNCTION("""COMPUTED_VALUE"""),"LISTICLE")</f>
        <v>LISTICLE</v>
      </c>
      <c r="E502" s="15" t="str">
        <f>IFERROR(__xludf.DUMMYFUNCTION("""COMPUTED_VALUE"""),"INSTITUTIONAL")</f>
        <v>INSTITUTIONAL</v>
      </c>
      <c r="F502" s="15" t="str">
        <f>IFERROR(__xludf.DUMMYFUNCTION("""COMPUTED_VALUE"""),"Listicle")</f>
        <v>Listicle</v>
      </c>
      <c r="G502" s="15" t="b">
        <f>IFERROR(__xludf.DUMMYFUNCTION("""COMPUTED_VALUE"""),FALSE)</f>
        <v>0</v>
      </c>
      <c r="H502" s="15" t="str">
        <f>IFERROR(__xludf.DUMMYFUNCTION("""COMPUTED_VALUE"""),"Momentum, Huge, WebFX, Disruptive Advertising, WPP, Ogilvy, GroupM, Omnicom, Publicis Groupe, Dentsu")</f>
        <v>Momentum, Huge, WebFX, Disruptive Advertising, WPP, Ogilvy, GroupM, Omnicom, Publicis Groupe, Dentsu</v>
      </c>
      <c r="I502" s="15">
        <f>IFERROR(__xludf.DUMMYFUNCTION("""COMPUTED_VALUE"""),1.0)</f>
        <v>1</v>
      </c>
      <c r="J502" s="15">
        <f>IFERROR(__xludf.DUMMYFUNCTION("""COMPUTED_VALUE"""),0.0)</f>
        <v>0</v>
      </c>
      <c r="K502" s="15">
        <f>IFERROR(__xludf.DUMMYFUNCTION("""COMPUTED_VALUE"""),1.0)</f>
        <v>1</v>
      </c>
      <c r="L502" s="15"/>
    </row>
    <row r="503" ht="15.75" customHeight="1">
      <c r="A503" s="14" t="str">
        <f>IFERROR(__xludf.DUMMYFUNCTION("""COMPUTED_VALUE"""),"https://www.causalityengine.ai/resources/best-incrementality-testing-platforms")</f>
        <v>https://www.causalityengine.ai/resources/best-incrementality-testing-platforms</v>
      </c>
      <c r="B503" s="15" t="str">
        <f>IFERROR(__xludf.DUMMYFUNCTION("""COMPUTED_VALUE"""),"Best Incrementality Testing Platforms for True ROI. Causality Engine")</f>
        <v>Best Incrementality Testing Platforms for True ROI. Causality Engine</v>
      </c>
      <c r="C503" s="14" t="str">
        <f>IFERROR(__xludf.DUMMYFUNCTION("""COMPUTED_VALUE"""),"causalityengine.ai")</f>
        <v>causalityengine.ai</v>
      </c>
      <c r="D503" s="15" t="str">
        <f>IFERROR(__xludf.DUMMYFUNCTION("""COMPUTED_VALUE"""),"LISTICLE")</f>
        <v>LISTICLE</v>
      </c>
      <c r="E503" s="15" t="str">
        <f>IFERROR(__xludf.DUMMYFUNCTION("""COMPUTED_VALUE"""),"CORPORATE")</f>
        <v>CORPORATE</v>
      </c>
      <c r="F503" s="15" t="str">
        <f>IFERROR(__xludf.DUMMYFUNCTION("""COMPUTED_VALUE"""),"Listicle")</f>
        <v>Listicle</v>
      </c>
      <c r="G503" s="15" t="b">
        <f>IFERROR(__xludf.DUMMYFUNCTION("""COMPUTED_VALUE"""),FALSE)</f>
        <v>0</v>
      </c>
      <c r="H503" s="15" t="str">
        <f>IFERROR(__xludf.DUMMYFUNCTION("""COMPUTED_VALUE"""),"Measured, Recast, Triple Whale, Northbeam, Rockerbox")</f>
        <v>Measured, Recast, Triple Whale, Northbeam, Rockerbox</v>
      </c>
      <c r="I503" s="15">
        <f>IFERROR(__xludf.DUMMYFUNCTION("""COMPUTED_VALUE"""),1.0)</f>
        <v>1</v>
      </c>
      <c r="J503" s="15">
        <f>IFERROR(__xludf.DUMMYFUNCTION("""COMPUTED_VALUE"""),0.0)</f>
        <v>0</v>
      </c>
      <c r="K503" s="15">
        <f>IFERROR(__xludf.DUMMYFUNCTION("""COMPUTED_VALUE"""),0.0)</f>
        <v>0</v>
      </c>
      <c r="L503" s="15"/>
    </row>
    <row r="504" ht="15.75" customHeight="1">
      <c r="A504" s="14" t="str">
        <f>IFERROR(__xludf.DUMMYFUNCTION("""COMPUTED_VALUE"""),"https://cdp.com/glossary/data-management-platform-dmp-vendors/")</f>
        <v>https://cdp.com/glossary/data-management-platform-dmp-vendors/</v>
      </c>
      <c r="B504" s="15" t="str">
        <f>IFERROR(__xludf.DUMMYFUNCTION("""COMPUTED_VALUE"""),"DMP Vendors 2026: Top Data Management Platforms | CDP.com")</f>
        <v>DMP Vendors 2026: Top Data Management Platforms | CDP.com</v>
      </c>
      <c r="C504" s="14" t="str">
        <f>IFERROR(__xludf.DUMMYFUNCTION("""COMPUTED_VALUE"""),"cdp.com")</f>
        <v>cdp.com</v>
      </c>
      <c r="D504" s="15" t="str">
        <f>IFERROR(__xludf.DUMMYFUNCTION("""COMPUTED_VALUE"""),"LISTICLE")</f>
        <v>LISTICLE</v>
      </c>
      <c r="E504" s="15" t="str">
        <f>IFERROR(__xludf.DUMMYFUNCTION("""COMPUTED_VALUE"""),"REFERENCE")</f>
        <v>REFERENCE</v>
      </c>
      <c r="F504" s="15" t="str">
        <f>IFERROR(__xludf.DUMMYFUNCTION("""COMPUTED_VALUE"""),"Listicle")</f>
        <v>Listicle</v>
      </c>
      <c r="G504" s="15" t="b">
        <f>IFERROR(__xludf.DUMMYFUNCTION("""COMPUTED_VALUE"""),FALSE)</f>
        <v>0</v>
      </c>
      <c r="H504" s="15" t="str">
        <f>IFERROR(__xludf.DUMMYFUNCTION("""COMPUTED_VALUE"""),"Neustar, Nielsen")</f>
        <v>Neustar, Nielsen</v>
      </c>
      <c r="I504" s="15">
        <f>IFERROR(__xludf.DUMMYFUNCTION("""COMPUTED_VALUE"""),1.0)</f>
        <v>1</v>
      </c>
      <c r="J504" s="15">
        <f>IFERROR(__xludf.DUMMYFUNCTION("""COMPUTED_VALUE"""),0.0)</f>
        <v>0</v>
      </c>
      <c r="K504" s="15">
        <f>IFERROR(__xludf.DUMMYFUNCTION("""COMPUTED_VALUE"""),0.0)</f>
        <v>0</v>
      </c>
      <c r="L504" s="15"/>
    </row>
    <row r="505" ht="15.75" customHeight="1">
      <c r="A505" s="14" t="str">
        <f>IFERROR(__xludf.DUMMYFUNCTION("""COMPUTED_VALUE"""),"https://ceek.co.uk/")</f>
        <v>https://ceek.co.uk/</v>
      </c>
      <c r="B505" s="15" t="str">
        <f>IFERROR(__xludf.DUMMYFUNCTION("""COMPUTED_VALUE"""),"CEEK Marketing \| Best Digital Marketing Agency In London")</f>
        <v>CEEK Marketing \| Best Digital Marketing Agency In London</v>
      </c>
      <c r="C505" s="14" t="str">
        <f>IFERROR(__xludf.DUMMYFUNCTION("""COMPUTED_VALUE"""),"ceek.co.uk")</f>
        <v>ceek.co.uk</v>
      </c>
      <c r="D505" s="15" t="str">
        <f>IFERROR(__xludf.DUMMYFUNCTION("""COMPUTED_VALUE"""),"HOMEPAGE")</f>
        <v>HOMEPAGE</v>
      </c>
      <c r="E505" s="15" t="str">
        <f>IFERROR(__xludf.DUMMYFUNCTION("""COMPUTED_VALUE"""),"CORPORATE")</f>
        <v>CORPORATE</v>
      </c>
      <c r="F505" s="15" t="str">
        <f>IFERROR(__xludf.DUMMYFUNCTION("""COMPUTED_VALUE"""),"Homepage")</f>
        <v>Homepage</v>
      </c>
      <c r="G505" s="15" t="b">
        <f>IFERROR(__xludf.DUMMYFUNCTION("""COMPUTED_VALUE"""),FALSE)</f>
        <v>0</v>
      </c>
      <c r="H505" s="15" t="str">
        <f>IFERROR(__xludf.DUMMYFUNCTION("""COMPUTED_VALUE"""),"Push, Measured")</f>
        <v>Push, Measured</v>
      </c>
      <c r="I505" s="15">
        <f>IFERROR(__xludf.DUMMYFUNCTION("""COMPUTED_VALUE"""),1.0)</f>
        <v>1</v>
      </c>
      <c r="J505" s="15">
        <f>IFERROR(__xludf.DUMMYFUNCTION("""COMPUTED_VALUE"""),0.0)</f>
        <v>0</v>
      </c>
      <c r="K505" s="15">
        <f>IFERROR(__xludf.DUMMYFUNCTION("""COMPUTED_VALUE"""),1.0)</f>
        <v>1</v>
      </c>
      <c r="L505" s="15"/>
    </row>
    <row r="506" ht="15.75" customHeight="1">
      <c r="A506" s="14" t="str">
        <f>IFERROR(__xludf.DUMMYFUNCTION("""COMPUTED_VALUE"""),"https://www.clickintelligence.co.uk/guides/agency-lists/seo/best-geo-seo-agencies/")</f>
        <v>https://www.clickintelligence.co.uk/guides/agency-lists/seo/best-geo-seo-agencies/</v>
      </c>
      <c r="B506" s="15" t="str">
        <f>IFERROR(__xludf.DUMMYFUNCTION("""COMPUTED_VALUE"""),"6 Best GEO SEO Companies and Agencies (2026) — UK, US &amp; Global")</f>
        <v>6 Best GEO SEO Companies and Agencies (2026) — UK, US &amp; Global</v>
      </c>
      <c r="C506" s="14" t="str">
        <f>IFERROR(__xludf.DUMMYFUNCTION("""COMPUTED_VALUE"""),"clickintelligence.co.uk")</f>
        <v>clickintelligence.co.uk</v>
      </c>
      <c r="D506" s="15" t="str">
        <f>IFERROR(__xludf.DUMMYFUNCTION("""COMPUTED_VALUE"""),"LISTICLE")</f>
        <v>LISTICLE</v>
      </c>
      <c r="E506" s="15" t="str">
        <f>IFERROR(__xludf.DUMMYFUNCTION("""COMPUTED_VALUE"""),"COMPETITOR")</f>
        <v>COMPETITOR</v>
      </c>
      <c r="F506" s="15" t="str">
        <f>IFERROR(__xludf.DUMMYFUNCTION("""COMPUTED_VALUE"""),"Listicle")</f>
        <v>Listicle</v>
      </c>
      <c r="G506" s="15" t="b">
        <f>IFERROR(__xludf.DUMMYFUNCTION("""COMPUTED_VALUE"""),FALSE)</f>
        <v>0</v>
      </c>
      <c r="H506" s="15" t="str">
        <f>IFERROR(__xludf.DUMMYFUNCTION("""COMPUTED_VALUE"""),"Click Intelligence, Whitehat, Huge")</f>
        <v>Click Intelligence, Whitehat, Huge</v>
      </c>
      <c r="I506" s="15">
        <f>IFERROR(__xludf.DUMMYFUNCTION("""COMPUTED_VALUE"""),1.0)</f>
        <v>1</v>
      </c>
      <c r="J506" s="15">
        <f>IFERROR(__xludf.DUMMYFUNCTION("""COMPUTED_VALUE"""),0.0)</f>
        <v>0</v>
      </c>
      <c r="K506" s="15">
        <f>IFERROR(__xludf.DUMMYFUNCTION("""COMPUTED_VALUE"""),0.0)</f>
        <v>0</v>
      </c>
      <c r="L506" s="15"/>
    </row>
    <row r="507" ht="15.75" customHeight="1">
      <c r="A507" s="14" t="str">
        <f>IFERROR(__xludf.DUMMYFUNCTION("""COMPUTED_VALUE"""),"https://clicksgeek.com/best-marketing-agency-for-roi/")</f>
        <v>https://clicksgeek.com/best-marketing-agency-for-roi/</v>
      </c>
      <c r="B507" s="15" t="str">
        <f>IFERROR(__xludf.DUMMYFUNCTION("""COMPUTED_VALUE"""),"Best Marketing Agency For ROI: 7 Proven Strategies")</f>
        <v>Best Marketing Agency For ROI: 7 Proven Strategies</v>
      </c>
      <c r="C507" s="14" t="str">
        <f>IFERROR(__xludf.DUMMYFUNCTION("""COMPUTED_VALUE"""),"clicksgeek.com")</f>
        <v>clicksgeek.com</v>
      </c>
      <c r="D507" s="15" t="str">
        <f>IFERROR(__xludf.DUMMYFUNCTION("""COMPUTED_VALUE"""),"HOW_TO_GUIDE")</f>
        <v>HOW_TO_GUIDE</v>
      </c>
      <c r="E507" s="15" t="str">
        <f>IFERROR(__xludf.DUMMYFUNCTION("""COMPUTED_VALUE"""),"CORPORATE")</f>
        <v>CORPORATE</v>
      </c>
      <c r="F507" s="15" t="str">
        <f>IFERROR(__xludf.DUMMYFUNCTION("""COMPUTED_VALUE"""),"How-To Guide")</f>
        <v>How-To Guide</v>
      </c>
      <c r="G507" s="15" t="b">
        <f>IFERROR(__xludf.DUMMYFUNCTION("""COMPUTED_VALUE"""),FALSE)</f>
        <v>0</v>
      </c>
      <c r="H507" s="15"/>
      <c r="I507" s="15">
        <f>IFERROR(__xludf.DUMMYFUNCTION("""COMPUTED_VALUE"""),1.0)</f>
        <v>1</v>
      </c>
      <c r="J507" s="15">
        <f>IFERROR(__xludf.DUMMYFUNCTION("""COMPUTED_VALUE"""),0.0)</f>
        <v>0</v>
      </c>
      <c r="K507" s="15">
        <f>IFERROR(__xludf.DUMMYFUNCTION("""COMPUTED_VALUE"""),0.0)</f>
        <v>0</v>
      </c>
      <c r="L507" s="15"/>
    </row>
    <row r="508" ht="15.75" customHeight="1">
      <c r="A508" s="14" t="str">
        <f>IFERROR(__xludf.DUMMYFUNCTION("""COMPUTED_VALUE"""),"https://clicksgeek.com/best-paid-advertising-platforms-for-small-business/")</f>
        <v>https://clicksgeek.com/best-paid-advertising-platforms-for-small-business/</v>
      </c>
      <c r="B508" s="15" t="str">
        <f>IFERROR(__xludf.DUMMYFUNCTION("""COMPUTED_VALUE"""),"Best Paid Advertising Platforms For Small Business 2026")</f>
        <v>Best Paid Advertising Platforms For Small Business 2026</v>
      </c>
      <c r="C508" s="14" t="str">
        <f>IFERROR(__xludf.DUMMYFUNCTION("""COMPUTED_VALUE"""),"clicksgeek.com")</f>
        <v>clicksgeek.com</v>
      </c>
      <c r="D508" s="15" t="str">
        <f>IFERROR(__xludf.DUMMYFUNCTION("""COMPUTED_VALUE"""),"LISTICLE")</f>
        <v>LISTICLE</v>
      </c>
      <c r="E508" s="15" t="str">
        <f>IFERROR(__xludf.DUMMYFUNCTION("""COMPUTED_VALUE"""),"CORPORATE")</f>
        <v>CORPORATE</v>
      </c>
      <c r="F508" s="15" t="str">
        <f>IFERROR(__xludf.DUMMYFUNCTION("""COMPUTED_VALUE"""),"Listicle")</f>
        <v>Listicle</v>
      </c>
      <c r="G508" s="15" t="b">
        <f>IFERROR(__xludf.DUMMYFUNCTION("""COMPUTED_VALUE"""),FALSE)</f>
        <v>0</v>
      </c>
      <c r="H508" s="15" t="str">
        <f>IFERROR(__xludf.DUMMYFUNCTION("""COMPUTED_VALUE"""),"Impression")</f>
        <v>Impression</v>
      </c>
      <c r="I508" s="15">
        <f>IFERROR(__xludf.DUMMYFUNCTION("""COMPUTED_VALUE"""),1.0)</f>
        <v>1</v>
      </c>
      <c r="J508" s="15">
        <f>IFERROR(__xludf.DUMMYFUNCTION("""COMPUTED_VALUE"""),0.0)</f>
        <v>0</v>
      </c>
      <c r="K508" s="15">
        <f>IFERROR(__xludf.DUMMYFUNCTION("""COMPUTED_VALUE"""),1.0)</f>
        <v>1</v>
      </c>
      <c r="L508" s="15"/>
    </row>
    <row r="509" ht="15.75" customHeight="1">
      <c r="A509" s="14" t="str">
        <f>IFERROR(__xludf.DUMMYFUNCTION("""COMPUTED_VALUE"""),"https://clicksgeek.com/best-roi-digital-marketing-agencies/")</f>
        <v>https://clicksgeek.com/best-roi-digital-marketing-agencies/</v>
      </c>
      <c r="B509" s="15" t="str">
        <f>IFERROR(__xludf.DUMMYFUNCTION("""COMPUTED_VALUE"""),"Best ROI Digital Marketing Agencies: Expert Guide 2026")</f>
        <v>Best ROI Digital Marketing Agencies: Expert Guide 2026</v>
      </c>
      <c r="C509" s="14" t="str">
        <f>IFERROR(__xludf.DUMMYFUNCTION("""COMPUTED_VALUE"""),"clicksgeek.com")</f>
        <v>clicksgeek.com</v>
      </c>
      <c r="D509" s="15" t="str">
        <f>IFERROR(__xludf.DUMMYFUNCTION("""COMPUTED_VALUE"""),"LISTICLE")</f>
        <v>LISTICLE</v>
      </c>
      <c r="E509" s="15" t="str">
        <f>IFERROR(__xludf.DUMMYFUNCTION("""COMPUTED_VALUE"""),"CORPORATE")</f>
        <v>CORPORATE</v>
      </c>
      <c r="F509" s="15" t="str">
        <f>IFERROR(__xludf.DUMMYFUNCTION("""COMPUTED_VALUE"""),"Listicle")</f>
        <v>Listicle</v>
      </c>
      <c r="G509" s="15" t="b">
        <f>IFERROR(__xludf.DUMMYFUNCTION("""COMPUTED_VALUE"""),FALSE)</f>
        <v>0</v>
      </c>
      <c r="H509" s="15" t="str">
        <f>IFERROR(__xludf.DUMMYFUNCTION("""COMPUTED_VALUE"""),"Push")</f>
        <v>Push</v>
      </c>
      <c r="I509" s="15">
        <f>IFERROR(__xludf.DUMMYFUNCTION("""COMPUTED_VALUE"""),1.0)</f>
        <v>1</v>
      </c>
      <c r="J509" s="15">
        <f>IFERROR(__xludf.DUMMYFUNCTION("""COMPUTED_VALUE"""),0.0)</f>
        <v>0</v>
      </c>
      <c r="K509" s="15">
        <f>IFERROR(__xludf.DUMMYFUNCTION("""COMPUTED_VALUE"""),0.0)</f>
        <v>0</v>
      </c>
      <c r="L509" s="15"/>
    </row>
    <row r="510" ht="15.75" customHeight="1">
      <c r="A510" s="14" t="str">
        <f>IFERROR(__xludf.DUMMYFUNCTION("""COMPUTED_VALUE"""),"https://clicksgeek.com/best-roi-focused-marketing-agencies/")</f>
        <v>https://clicksgeek.com/best-roi-focused-marketing-agencies/</v>
      </c>
      <c r="B510" s="15" t="str">
        <f>IFERROR(__xludf.DUMMYFUNCTION("""COMPUTED_VALUE"""),"Best ROI Focused Marketing Agencies: 2026 Guide &amp;amp; Tips")</f>
        <v>Best ROI Focused Marketing Agencies: 2026 Guide &amp;amp; Tips</v>
      </c>
      <c r="C510" s="14" t="str">
        <f>IFERROR(__xludf.DUMMYFUNCTION("""COMPUTED_VALUE"""),"clicksgeek.com")</f>
        <v>clicksgeek.com</v>
      </c>
      <c r="D510" s="15" t="str">
        <f>IFERROR(__xludf.DUMMYFUNCTION("""COMPUTED_VALUE"""),"LISTICLE")</f>
        <v>LISTICLE</v>
      </c>
      <c r="E510" s="15" t="str">
        <f>IFERROR(__xludf.DUMMYFUNCTION("""COMPUTED_VALUE"""),"CORPORATE")</f>
        <v>CORPORATE</v>
      </c>
      <c r="F510" s="15" t="str">
        <f>IFERROR(__xludf.DUMMYFUNCTION("""COMPUTED_VALUE"""),"Listicle")</f>
        <v>Listicle</v>
      </c>
      <c r="G510" s="15" t="b">
        <f>IFERROR(__xludf.DUMMYFUNCTION("""COMPUTED_VALUE"""),FALSE)</f>
        <v>0</v>
      </c>
      <c r="H510" s="15" t="str">
        <f>IFERROR(__xludf.DUMMYFUNCTION("""COMPUTED_VALUE"""),"Momentum")</f>
        <v>Momentum</v>
      </c>
      <c r="I510" s="15">
        <f>IFERROR(__xludf.DUMMYFUNCTION("""COMPUTED_VALUE"""),1.0)</f>
        <v>1</v>
      </c>
      <c r="J510" s="15">
        <f>IFERROR(__xludf.DUMMYFUNCTION("""COMPUTED_VALUE"""),0.0)</f>
        <v>0</v>
      </c>
      <c r="K510" s="15">
        <f>IFERROR(__xludf.DUMMYFUNCTION("""COMPUTED_VALUE"""),0.0)</f>
        <v>0</v>
      </c>
      <c r="L510" s="15"/>
    </row>
    <row r="511" ht="15.75" customHeight="1">
      <c r="A511" s="14" t="str">
        <f>IFERROR(__xludf.DUMMYFUNCTION("""COMPUTED_VALUE"""),"https://clicksgeek.com/best-roi-focused-marketing-agency/")</f>
        <v>https://clicksgeek.com/best-roi-focused-marketing-agency/</v>
      </c>
      <c r="B511" s="15" t="str">
        <f>IFERROR(__xludf.DUMMYFUNCTION("""COMPUTED_VALUE"""),"Best ROI Focused Marketing Agency: 7 Proven Strategies")</f>
        <v>Best ROI Focused Marketing Agency: 7 Proven Strategies</v>
      </c>
      <c r="C511" s="14" t="str">
        <f>IFERROR(__xludf.DUMMYFUNCTION("""COMPUTED_VALUE"""),"clicksgeek.com")</f>
        <v>clicksgeek.com</v>
      </c>
      <c r="D511" s="15" t="str">
        <f>IFERROR(__xludf.DUMMYFUNCTION("""COMPUTED_VALUE"""),"LISTICLE")</f>
        <v>LISTICLE</v>
      </c>
      <c r="E511" s="15" t="str">
        <f>IFERROR(__xludf.DUMMYFUNCTION("""COMPUTED_VALUE"""),"CORPORATE")</f>
        <v>CORPORATE</v>
      </c>
      <c r="F511" s="15" t="str">
        <f>IFERROR(__xludf.DUMMYFUNCTION("""COMPUTED_VALUE"""),"Listicle")</f>
        <v>Listicle</v>
      </c>
      <c r="G511" s="15" t="b">
        <f>IFERROR(__xludf.DUMMYFUNCTION("""COMPUTED_VALUE"""),FALSE)</f>
        <v>0</v>
      </c>
      <c r="H511" s="15"/>
      <c r="I511" s="15">
        <f>IFERROR(__xludf.DUMMYFUNCTION("""COMPUTED_VALUE"""),1.0)</f>
        <v>1</v>
      </c>
      <c r="J511" s="15">
        <f>IFERROR(__xludf.DUMMYFUNCTION("""COMPUTED_VALUE"""),0.0)</f>
        <v>0</v>
      </c>
      <c r="K511" s="15">
        <f>IFERROR(__xludf.DUMMYFUNCTION("""COMPUTED_VALUE"""),0.0)</f>
        <v>0</v>
      </c>
      <c r="L511" s="15"/>
    </row>
    <row r="512" ht="15.75" customHeight="1">
      <c r="A512" s="14" t="str">
        <f>IFERROR(__xludf.DUMMYFUNCTION("""COMPUTED_VALUE"""),"https://clicksgeek.com/best-roi-marketing-agencies/")</f>
        <v>https://clicksgeek.com/best-roi-marketing-agencies/</v>
      </c>
      <c r="B512" s="15" t="str">
        <f>IFERROR(__xludf.DUMMYFUNCTION("""COMPUTED_VALUE"""),"Best ROI Marketing Agencies: 7 Proven Strategies 2026")</f>
        <v>Best ROI Marketing Agencies: 7 Proven Strategies 2026</v>
      </c>
      <c r="C512" s="14" t="str">
        <f>IFERROR(__xludf.DUMMYFUNCTION("""COMPUTED_VALUE"""),"clicksgeek.com")</f>
        <v>clicksgeek.com</v>
      </c>
      <c r="D512" s="15" t="str">
        <f>IFERROR(__xludf.DUMMYFUNCTION("""COMPUTED_VALUE"""),"LISTICLE")</f>
        <v>LISTICLE</v>
      </c>
      <c r="E512" s="15" t="str">
        <f>IFERROR(__xludf.DUMMYFUNCTION("""COMPUTED_VALUE"""),"CORPORATE")</f>
        <v>CORPORATE</v>
      </c>
      <c r="F512" s="15" t="str">
        <f>IFERROR(__xludf.DUMMYFUNCTION("""COMPUTED_VALUE"""),"Listicle")</f>
        <v>Listicle</v>
      </c>
      <c r="G512" s="15" t="b">
        <f>IFERROR(__xludf.DUMMYFUNCTION("""COMPUTED_VALUE"""),FALSE)</f>
        <v>0</v>
      </c>
      <c r="H512" s="15" t="str">
        <f>IFERROR(__xludf.DUMMYFUNCTION("""COMPUTED_VALUE"""),"Measured, Push")</f>
        <v>Measured, Push</v>
      </c>
      <c r="I512" s="15">
        <f>IFERROR(__xludf.DUMMYFUNCTION("""COMPUTED_VALUE"""),1.0)</f>
        <v>1</v>
      </c>
      <c r="J512" s="15">
        <f>IFERROR(__xludf.DUMMYFUNCTION("""COMPUTED_VALUE"""),0.0)</f>
        <v>0</v>
      </c>
      <c r="K512" s="15">
        <f>IFERROR(__xludf.DUMMYFUNCTION("""COMPUTED_VALUE"""),0.0)</f>
        <v>0</v>
      </c>
      <c r="L512" s="15"/>
    </row>
    <row r="513" ht="15.75" customHeight="1">
      <c r="A513" s="14" t="str">
        <f>IFERROR(__xludf.DUMMYFUNCTION("""COMPUTED_VALUE"""),"https://www.clickslice.co.uk/best-ecommerce-seo-agencies-uk/")</f>
        <v>https://www.clickslice.co.uk/best-ecommerce-seo-agencies-uk/</v>
      </c>
      <c r="B513" s="15" t="str">
        <f>IFERROR(__xludf.DUMMYFUNCTION("""COMPUTED_VALUE"""),"10 Best eCommerce SEO Agencies in the UK 2026")</f>
        <v>10 Best eCommerce SEO Agencies in the UK 2026</v>
      </c>
      <c r="C513" s="14" t="str">
        <f>IFERROR(__xludf.DUMMYFUNCTION("""COMPUTED_VALUE"""),"clickslice.co.uk")</f>
        <v>clickslice.co.uk</v>
      </c>
      <c r="D513" s="15" t="str">
        <f>IFERROR(__xludf.DUMMYFUNCTION("""COMPUTED_VALUE"""),"LISTICLE")</f>
        <v>LISTICLE</v>
      </c>
      <c r="E513" s="15" t="str">
        <f>IFERROR(__xludf.DUMMYFUNCTION("""COMPUTED_VALUE"""),"COMPETITOR")</f>
        <v>COMPETITOR</v>
      </c>
      <c r="F513" s="15" t="str">
        <f>IFERROR(__xludf.DUMMYFUNCTION("""COMPUTED_VALUE"""),"Listicle")</f>
        <v>Listicle</v>
      </c>
      <c r="G513" s="15" t="b">
        <f>IFERROR(__xludf.DUMMYFUNCTION("""COMPUTED_VALUE"""),FALSE)</f>
        <v>0</v>
      </c>
      <c r="H513" s="15" t="str">
        <f>IFERROR(__xludf.DUMMYFUNCTION("""COMPUTED_VALUE"""),"ClickSlice, Rise at Seven, Builtvisible, Brainlabs, Screaming Frog")</f>
        <v>ClickSlice, Rise at Seven, Builtvisible, Brainlabs, Screaming Frog</v>
      </c>
      <c r="I513" s="15">
        <f>IFERROR(__xludf.DUMMYFUNCTION("""COMPUTED_VALUE"""),1.0)</f>
        <v>1</v>
      </c>
      <c r="J513" s="15">
        <f>IFERROR(__xludf.DUMMYFUNCTION("""COMPUTED_VALUE"""),0.0)</f>
        <v>0</v>
      </c>
      <c r="K513" s="15">
        <f>IFERROR(__xludf.DUMMYFUNCTION("""COMPUTED_VALUE"""),1.0)</f>
        <v>1</v>
      </c>
      <c r="L513" s="15"/>
    </row>
    <row r="514" ht="15.75" customHeight="1">
      <c r="A514" s="14" t="str">
        <f>IFERROR(__xludf.DUMMYFUNCTION("""COMPUTED_VALUE"""),"https://clickstrike.com/blog/ai-marketing-agencies/")</f>
        <v>https://clickstrike.com/blog/ai-marketing-agencies/</v>
      </c>
      <c r="B514" s="15" t="str">
        <f>IFERROR(__xludf.DUMMYFUNCTION("""COMPUTED_VALUE"""),"Top AI Marketing Agencies in 2026: 7 Best Partners for AI Companies | Clickstrike")</f>
        <v>Top AI Marketing Agencies in 2026: 7 Best Partners for AI Companies | Clickstrike</v>
      </c>
      <c r="C514" s="14" t="str">
        <f>IFERROR(__xludf.DUMMYFUNCTION("""COMPUTED_VALUE"""),"clickstrike.com")</f>
        <v>clickstrike.com</v>
      </c>
      <c r="D514" s="15" t="str">
        <f>IFERROR(__xludf.DUMMYFUNCTION("""COMPUTED_VALUE"""),"LISTICLE")</f>
        <v>LISTICLE</v>
      </c>
      <c r="E514" s="15" t="str">
        <f>IFERROR(__xludf.DUMMYFUNCTION("""COMPUTED_VALUE"""),"CORPORATE")</f>
        <v>CORPORATE</v>
      </c>
      <c r="F514" s="15" t="str">
        <f>IFERROR(__xludf.DUMMYFUNCTION("""COMPUTED_VALUE"""),"Listicle")</f>
        <v>Listicle</v>
      </c>
      <c r="G514" s="15" t="b">
        <f>IFERROR(__xludf.DUMMYFUNCTION("""COMPUTED_VALUE"""),FALSE)</f>
        <v>0</v>
      </c>
      <c r="H514" s="15" t="str">
        <f>IFERROR(__xludf.DUMMYFUNCTION("""COMPUTED_VALUE"""),"NoGood, Directive Consulting, Single Grain, Ninja Promo, Found")</f>
        <v>NoGood, Directive Consulting, Single Grain, Ninja Promo, Found</v>
      </c>
      <c r="I514" s="15">
        <f>IFERROR(__xludf.DUMMYFUNCTION("""COMPUTED_VALUE"""),1.0)</f>
        <v>1</v>
      </c>
      <c r="J514" s="15">
        <f>IFERROR(__xludf.DUMMYFUNCTION("""COMPUTED_VALUE"""),0.0)</f>
        <v>0</v>
      </c>
      <c r="K514" s="15">
        <f>IFERROR(__xludf.DUMMYFUNCTION("""COMPUTED_VALUE"""),0.0)</f>
        <v>0</v>
      </c>
      <c r="L514" s="15"/>
    </row>
    <row r="515" ht="15.75" customHeight="1">
      <c r="A515" s="14" t="str">
        <f>IFERROR(__xludf.DUMMYFUNCTION("""COMPUTED_VALUE"""),"https://clutch.co/agencies/account-based-marketing/uk")</f>
        <v>https://clutch.co/agencies/account-based-marketing/uk</v>
      </c>
      <c r="B515" s="15" t="str">
        <f>IFERROR(__xludf.DUMMYFUNCTION("""COMPUTED_VALUE"""),"Top Account Based Marketing Agencies in the United Kingdom - Jul 2026 Rankings \| Clutch.co")</f>
        <v>Top Account Based Marketing Agencies in the United Kingdom - Jul 2026 Rankings \| Clutch.co</v>
      </c>
      <c r="C515" s="14" t="str">
        <f>IFERROR(__xludf.DUMMYFUNCTION("""COMPUTED_VALUE"""),"clutch.co")</f>
        <v>clutch.co</v>
      </c>
      <c r="D515" s="15" t="str">
        <f>IFERROR(__xludf.DUMMYFUNCTION("""COMPUTED_VALUE"""),"CATEGORY_PAGE")</f>
        <v>CATEGORY_PAGE</v>
      </c>
      <c r="E515" s="15" t="str">
        <f>IFERROR(__xludf.DUMMYFUNCTION("""COMPUTED_VALUE"""),"CORPORATE")</f>
        <v>CORPORATE</v>
      </c>
      <c r="F515" s="15" t="str">
        <f>IFERROR(__xludf.DUMMYFUNCTION("""COMPUTED_VALUE"""),"Category Page")</f>
        <v>Category Page</v>
      </c>
      <c r="G515" s="15" t="b">
        <f>IFERROR(__xludf.DUMMYFUNCTION("""COMPUTED_VALUE"""),FALSE)</f>
        <v>0</v>
      </c>
      <c r="H515" s="15" t="str">
        <f>IFERROR(__xludf.DUMMYFUNCTION("""COMPUTED_VALUE"""),"Found, Gripped, Momentum")</f>
        <v>Found, Gripped, Momentum</v>
      </c>
      <c r="I515" s="15">
        <f>IFERROR(__xludf.DUMMYFUNCTION("""COMPUTED_VALUE"""),1.0)</f>
        <v>1</v>
      </c>
      <c r="J515" s="15">
        <f>IFERROR(__xludf.DUMMYFUNCTION("""COMPUTED_VALUE"""),0.0)</f>
        <v>0</v>
      </c>
      <c r="K515" s="15">
        <f>IFERROR(__xludf.DUMMYFUNCTION("""COMPUTED_VALUE"""),0.0)</f>
        <v>0</v>
      </c>
      <c r="L515" s="15"/>
    </row>
    <row r="516" ht="15.75" customHeight="1">
      <c r="A516" s="14" t="str">
        <f>IFERROR(__xludf.DUMMYFUNCTION("""COMPUTED_VALUE"""),"https://clutch.co/agencies/conversion-optimization/uk")</f>
        <v>https://clutch.co/agencies/conversion-optimization/uk</v>
      </c>
      <c r="B516" s="15" t="str">
        <f>IFERROR(__xludf.DUMMYFUNCTION("""COMPUTED_VALUE"""),"Top Conversion Rate Optimization Services in the United Kingdom - Jul 2026 Rankings \| Clutch.co")</f>
        <v>Top Conversion Rate Optimization Services in the United Kingdom - Jul 2026 Rankings \| Clutch.co</v>
      </c>
      <c r="C516" s="14" t="str">
        <f>IFERROR(__xludf.DUMMYFUNCTION("""COMPUTED_VALUE"""),"clutch.co")</f>
        <v>clutch.co</v>
      </c>
      <c r="D516" s="15" t="str">
        <f>IFERROR(__xludf.DUMMYFUNCTION("""COMPUTED_VALUE"""),"CATEGORY_PAGE")</f>
        <v>CATEGORY_PAGE</v>
      </c>
      <c r="E516" s="15" t="str">
        <f>IFERROR(__xludf.DUMMYFUNCTION("""COMPUTED_VALUE"""),"CORPORATE")</f>
        <v>CORPORATE</v>
      </c>
      <c r="F516" s="15" t="str">
        <f>IFERROR(__xludf.DUMMYFUNCTION("""COMPUTED_VALUE"""),"Category Page")</f>
        <v>Category Page</v>
      </c>
      <c r="G516" s="15" t="b">
        <f>IFERROR(__xludf.DUMMYFUNCTION("""COMPUTED_VALUE"""),FALSE)</f>
        <v>0</v>
      </c>
      <c r="H516" s="15" t="str">
        <f>IFERROR(__xludf.DUMMYFUNCTION("""COMPUTED_VALUE"""),"Soap Media, Launch Online, Propeller, Found, Gripped, Bind Media")</f>
        <v>Soap Media, Launch Online, Propeller, Found, Gripped, Bind Media</v>
      </c>
      <c r="I516" s="15">
        <f>IFERROR(__xludf.DUMMYFUNCTION("""COMPUTED_VALUE"""),1.0)</f>
        <v>1</v>
      </c>
      <c r="J516" s="15">
        <f>IFERROR(__xludf.DUMMYFUNCTION("""COMPUTED_VALUE"""),0.0)</f>
        <v>0</v>
      </c>
      <c r="K516" s="15">
        <f>IFERROR(__xludf.DUMMYFUNCTION("""COMPUTED_VALUE"""),0.0)</f>
        <v>0</v>
      </c>
      <c r="L516" s="15"/>
    </row>
    <row r="517" ht="15.75" customHeight="1">
      <c r="A517" s="14"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B517" s="15" t="str">
        <f>IFERROR(__xludf.DUMMYFUNCTION("""COMPUTED_VALUE"""),"Best Digital Marketing Agencies - Jul 2026 Rankings \| Clutch.co")</f>
        <v>Best Digital Marketing Agencies - Jul 2026 Rankings \| Clutch.co</v>
      </c>
      <c r="C517" s="14" t="str">
        <f>IFERROR(__xludf.DUMMYFUNCTION("""COMPUTED_VALUE"""),"clutch.co")</f>
        <v>clutch.co</v>
      </c>
      <c r="D517" s="15" t="str">
        <f>IFERROR(__xludf.DUMMYFUNCTION("""COMPUTED_VALUE"""),"CATEGORY_PAGE")</f>
        <v>CATEGORY_PAGE</v>
      </c>
      <c r="E517" s="15" t="str">
        <f>IFERROR(__xludf.DUMMYFUNCTION("""COMPUTED_VALUE"""),"CORPORATE")</f>
        <v>CORPORATE</v>
      </c>
      <c r="F517" s="15" t="str">
        <f>IFERROR(__xludf.DUMMYFUNCTION("""COMPUTED_VALUE"""),"Category Page")</f>
        <v>Category Page</v>
      </c>
      <c r="G517" s="15" t="b">
        <f>IFERROR(__xludf.DUMMYFUNCTION("""COMPUTED_VALUE"""),FALSE)</f>
        <v>0</v>
      </c>
      <c r="H517" s="15"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I517" s="15">
        <f>IFERROR(__xludf.DUMMYFUNCTION("""COMPUTED_VALUE"""),1.0)</f>
        <v>1</v>
      </c>
      <c r="J517" s="15">
        <f>IFERROR(__xludf.DUMMYFUNCTION("""COMPUTED_VALUE"""),0.0)</f>
        <v>0</v>
      </c>
      <c r="K517" s="15">
        <f>IFERROR(__xludf.DUMMYFUNCTION("""COMPUTED_VALUE"""),2.0)</f>
        <v>2</v>
      </c>
      <c r="L517" s="15"/>
    </row>
    <row r="518" ht="15.75" customHeight="1">
      <c r="A518" s="14" t="str">
        <f>IFERROR(__xludf.DUMMYFUNCTION("""COMPUTED_VALUE"""),"https://clutch.co/agencies/digital-marketing/enterprise/uk/england/london")</f>
        <v>https://clutch.co/agencies/digital-marketing/enterprise/uk/england/london</v>
      </c>
      <c r="B518" s="15" t="str">
        <f>IFERROR(__xludf.DUMMYFUNCTION("""COMPUTED_VALUE"""),"Top Digital Marketing Agencies for Enterprise in London - Jul 2026 Rankings \| Clutch.co")</f>
        <v>Top Digital Marketing Agencies for Enterprise in London - Jul 2026 Rankings \| Clutch.co</v>
      </c>
      <c r="C518" s="14" t="str">
        <f>IFERROR(__xludf.DUMMYFUNCTION("""COMPUTED_VALUE"""),"clutch.co")</f>
        <v>clutch.co</v>
      </c>
      <c r="D518" s="15" t="str">
        <f>IFERROR(__xludf.DUMMYFUNCTION("""COMPUTED_VALUE"""),"CATEGORY_PAGE")</f>
        <v>CATEGORY_PAGE</v>
      </c>
      <c r="E518" s="15" t="str">
        <f>IFERROR(__xludf.DUMMYFUNCTION("""COMPUTED_VALUE"""),"CORPORATE")</f>
        <v>CORPORATE</v>
      </c>
      <c r="F518" s="15" t="str">
        <f>IFERROR(__xludf.DUMMYFUNCTION("""COMPUTED_VALUE"""),"Category Page")</f>
        <v>Category Page</v>
      </c>
      <c r="G518" s="15" t="b">
        <f>IFERROR(__xludf.DUMMYFUNCTION("""COMPUTED_VALUE"""),FALSE)</f>
        <v>0</v>
      </c>
      <c r="H518" s="15" t="str">
        <f>IFERROR(__xludf.DUMMYFUNCTION("""COMPUTED_VALUE"""),"Impression, M3.agency, Ninja Promo, ROAST, Favoured, GA Agency, Propeller, Bird Marketing, Found")</f>
        <v>Impression, M3.agency, Ninja Promo, ROAST, Favoured, GA Agency, Propeller, Bird Marketing, Found</v>
      </c>
      <c r="I518" s="15">
        <f>IFERROR(__xludf.DUMMYFUNCTION("""COMPUTED_VALUE"""),1.0)</f>
        <v>1</v>
      </c>
      <c r="J518" s="15">
        <f>IFERROR(__xludf.DUMMYFUNCTION("""COMPUTED_VALUE"""),0.0)</f>
        <v>0</v>
      </c>
      <c r="K518" s="15">
        <f>IFERROR(__xludf.DUMMYFUNCTION("""COMPUTED_VALUE"""),1.0)</f>
        <v>1</v>
      </c>
      <c r="L518" s="15"/>
    </row>
    <row r="519" ht="15.75" customHeight="1">
      <c r="A519" s="14" t="str">
        <f>IFERROR(__xludf.DUMMYFUNCTION("""COMPUTED_VALUE"""),"https://clutch.co/agencies/market-research/uk")</f>
        <v>https://clutch.co/agencies/market-research/uk</v>
      </c>
      <c r="B519" s="15" t="str">
        <f>IFERROR(__xludf.DUMMYFUNCTION("""COMPUTED_VALUE"""),"Top Market Research Companies in the United Kingdom - Jul 2026 Rankings \| Clutch.co")</f>
        <v>Top Market Research Companies in the United Kingdom - Jul 2026 Rankings \| Clutch.co</v>
      </c>
      <c r="C519" s="14" t="str">
        <f>IFERROR(__xludf.DUMMYFUNCTION("""COMPUTED_VALUE"""),"clutch.co")</f>
        <v>clutch.co</v>
      </c>
      <c r="D519" s="15" t="str">
        <f>IFERROR(__xludf.DUMMYFUNCTION("""COMPUTED_VALUE"""),"CATEGORY_PAGE")</f>
        <v>CATEGORY_PAGE</v>
      </c>
      <c r="E519" s="15" t="str">
        <f>IFERROR(__xludf.DUMMYFUNCTION("""COMPUTED_VALUE"""),"CORPORATE")</f>
        <v>CORPORATE</v>
      </c>
      <c r="F519" s="15" t="str">
        <f>IFERROR(__xludf.DUMMYFUNCTION("""COMPUTED_VALUE"""),"Category Page")</f>
        <v>Category Page</v>
      </c>
      <c r="G519" s="15" t="b">
        <f>IFERROR(__xludf.DUMMYFUNCTION("""COMPUTED_VALUE"""),FALSE)</f>
        <v>0</v>
      </c>
      <c r="H519" s="15" t="str">
        <f>IFERROR(__xludf.DUMMYFUNCTION("""COMPUTED_VALUE"""),"Found")</f>
        <v>Found</v>
      </c>
      <c r="I519" s="15">
        <f>IFERROR(__xludf.DUMMYFUNCTION("""COMPUTED_VALUE"""),1.0)</f>
        <v>1</v>
      </c>
      <c r="J519" s="15">
        <f>IFERROR(__xludf.DUMMYFUNCTION("""COMPUTED_VALUE"""),0.0)</f>
        <v>0</v>
      </c>
      <c r="K519" s="15">
        <f>IFERROR(__xludf.DUMMYFUNCTION("""COMPUTED_VALUE"""),0.0)</f>
        <v>0</v>
      </c>
      <c r="L519" s="15"/>
    </row>
    <row r="520" ht="15.75" customHeight="1">
      <c r="A520" s="14" t="str">
        <f>IFERROR(__xludf.DUMMYFUNCTION("""COMPUTED_VALUE"""),"https://clutch.co/agencies/performance-marketing%3Fpage%3D0")</f>
        <v>https://clutch.co/agencies/performance-marketing%3Fpage%3D0</v>
      </c>
      <c r="B520" s="15" t="str">
        <f>IFERROR(__xludf.DUMMYFUNCTION("""COMPUTED_VALUE"""),"Top Performance Marketing Agencies - Jul 2026 Rankings \| Clutch.co")</f>
        <v>Top Performance Marketing Agencies - Jul 2026 Rankings \| Clutch.co</v>
      </c>
      <c r="C520" s="14" t="str">
        <f>IFERROR(__xludf.DUMMYFUNCTION("""COMPUTED_VALUE"""),"clutch.co")</f>
        <v>clutch.co</v>
      </c>
      <c r="D520" s="15" t="str">
        <f>IFERROR(__xludf.DUMMYFUNCTION("""COMPUTED_VALUE"""),"LISTICLE")</f>
        <v>LISTICLE</v>
      </c>
      <c r="E520" s="15" t="str">
        <f>IFERROR(__xludf.DUMMYFUNCTION("""COMPUTED_VALUE"""),"CORPORATE")</f>
        <v>CORPORATE</v>
      </c>
      <c r="F520" s="15" t="str">
        <f>IFERROR(__xludf.DUMMYFUNCTION("""COMPUTED_VALUE"""),"Listicle")</f>
        <v>Listicle</v>
      </c>
      <c r="G520" s="15" t="b">
        <f>IFERROR(__xludf.DUMMYFUNCTION("""COMPUTED_VALUE"""),FALSE)</f>
        <v>0</v>
      </c>
      <c r="H520" s="15" t="str">
        <f>IFERROR(__xludf.DUMMYFUNCTION("""COMPUTED_VALUE"""),"Disruptive Advertising, Launch Online, Momentum, GA Agency, Found")</f>
        <v>Disruptive Advertising, Launch Online, Momentum, GA Agency, Found</v>
      </c>
      <c r="I520" s="15">
        <f>IFERROR(__xludf.DUMMYFUNCTION("""COMPUTED_VALUE"""),1.0)</f>
        <v>1</v>
      </c>
      <c r="J520" s="15">
        <f>IFERROR(__xludf.DUMMYFUNCTION("""COMPUTED_VALUE"""),0.0)</f>
        <v>0</v>
      </c>
      <c r="K520" s="15">
        <f>IFERROR(__xludf.DUMMYFUNCTION("""COMPUTED_VALUE"""),0.0)</f>
        <v>0</v>
      </c>
      <c r="L520" s="15"/>
    </row>
    <row r="521" ht="15.75" customHeight="1">
      <c r="A521" s="14" t="str">
        <f>IFERROR(__xludf.DUMMYFUNCTION("""COMPUTED_VALUE"""),"https://clutch.co/agencies/ppc/display%3Fpage%3D0")</f>
        <v>https://clutch.co/agencies/ppc/display%3Fpage%3D0</v>
      </c>
      <c r="B521" s="15" t="str">
        <f>IFERROR(__xludf.DUMMYFUNCTION("""COMPUTED_VALUE"""),"Top Display Advertising Agencies - Jul 2026 Rankings | Clutch.co")</f>
        <v>Top Display Advertising Agencies - Jul 2026 Rankings | Clutch.co</v>
      </c>
      <c r="C521" s="14" t="str">
        <f>IFERROR(__xludf.DUMMYFUNCTION("""COMPUTED_VALUE"""),"clutch.co")</f>
        <v>clutch.co</v>
      </c>
      <c r="D521" s="15" t="str">
        <f>IFERROR(__xludf.DUMMYFUNCTION("""COMPUTED_VALUE"""),"PROFILE")</f>
        <v>PROFILE</v>
      </c>
      <c r="E521" s="15" t="str">
        <f>IFERROR(__xludf.DUMMYFUNCTION("""COMPUTED_VALUE"""),"CORPORATE")</f>
        <v>CORPORATE</v>
      </c>
      <c r="F521" s="15" t="str">
        <f>IFERROR(__xludf.DUMMYFUNCTION("""COMPUTED_VALUE"""),"Profile")</f>
        <v>Profile</v>
      </c>
      <c r="G521" s="15" t="b">
        <f>IFERROR(__xludf.DUMMYFUNCTION("""COMPUTED_VALUE"""),FALSE)</f>
        <v>0</v>
      </c>
      <c r="H521" s="15" t="str">
        <f>IFERROR(__xludf.DUMMYFUNCTION("""COMPUTED_VALUE"""),"Ninja Promo, Soap Media, Found, Impression, Huge, The SEO Works, GA Agency")</f>
        <v>Ninja Promo, Soap Media, Found, Impression, Huge, The SEO Works, GA Agency</v>
      </c>
      <c r="I521" s="15">
        <f>IFERROR(__xludf.DUMMYFUNCTION("""COMPUTED_VALUE"""),1.0)</f>
        <v>1</v>
      </c>
      <c r="J521" s="15">
        <f>IFERROR(__xludf.DUMMYFUNCTION("""COMPUTED_VALUE"""),0.0)</f>
        <v>0</v>
      </c>
      <c r="K521" s="15">
        <f>IFERROR(__xludf.DUMMYFUNCTION("""COMPUTED_VALUE"""),0.0)</f>
        <v>0</v>
      </c>
      <c r="L521" s="15"/>
    </row>
    <row r="522" ht="15.75" customHeight="1">
      <c r="A522" s="14" t="str">
        <f>IFERROR(__xludf.DUMMYFUNCTION("""COMPUTED_VALUE"""),"https://clutch.co/agencies/ppc/uk/england/nottingham")</f>
        <v>https://clutch.co/agencies/ppc/uk/england/nottingham</v>
      </c>
      <c r="B522" s="15" t="str">
        <f>IFERROR(__xludf.DUMMYFUNCTION("""COMPUTED_VALUE"""),"Top PPC Agencies - Jul 2026 Rankings \| Clutch.co")</f>
        <v>Top PPC Agencies - Jul 2026 Rankings \| Clutch.co</v>
      </c>
      <c r="C522" s="14" t="str">
        <f>IFERROR(__xludf.DUMMYFUNCTION("""COMPUTED_VALUE"""),"clutch.co")</f>
        <v>clutch.co</v>
      </c>
      <c r="D522" s="15" t="str">
        <f>IFERROR(__xludf.DUMMYFUNCTION("""COMPUTED_VALUE"""),"CATEGORY_PAGE")</f>
        <v>CATEGORY_PAGE</v>
      </c>
      <c r="E522" s="15" t="str">
        <f>IFERROR(__xludf.DUMMYFUNCTION("""COMPUTED_VALUE"""),"CORPORATE")</f>
        <v>CORPORATE</v>
      </c>
      <c r="F522" s="15" t="str">
        <f>IFERROR(__xludf.DUMMYFUNCTION("""COMPUTED_VALUE"""),"Category Page")</f>
        <v>Category Page</v>
      </c>
      <c r="G522" s="15" t="b">
        <f>IFERROR(__xludf.DUMMYFUNCTION("""COMPUTED_VALUE"""),FALSE)</f>
        <v>0</v>
      </c>
      <c r="H522" s="15" t="str">
        <f>IFERROR(__xludf.DUMMYFUNCTION("""COMPUTED_VALUE"""),"Propeller, Disruptive Advertising, Single Grain, Launch Online, Ninja Promo")</f>
        <v>Propeller, Disruptive Advertising, Single Grain, Launch Online, Ninja Promo</v>
      </c>
      <c r="I522" s="15">
        <f>IFERROR(__xludf.DUMMYFUNCTION("""COMPUTED_VALUE"""),1.0)</f>
        <v>1</v>
      </c>
      <c r="J522" s="15">
        <f>IFERROR(__xludf.DUMMYFUNCTION("""COMPUTED_VALUE"""),0.0)</f>
        <v>0</v>
      </c>
      <c r="K522" s="15">
        <f>IFERROR(__xludf.DUMMYFUNCTION("""COMPUTED_VALUE"""),0.0)</f>
        <v>0</v>
      </c>
      <c r="L522" s="15"/>
    </row>
    <row r="523" ht="15.75" customHeight="1">
      <c r="A523" s="14" t="str">
        <f>IFERROR(__xludf.DUMMYFUNCTION("""COMPUTED_VALUE"""),"https://clutch.co/agencies/programmatic/uk/england/london")</f>
        <v>https://clutch.co/agencies/programmatic/uk/england/london</v>
      </c>
      <c r="B523" s="15" t="str">
        <f>IFERROR(__xludf.DUMMYFUNCTION("""COMPUTED_VALUE"""),"Top Programmatic Advertising Agencies in London - Jul 2026 Rankings \| Clutch.co")</f>
        <v>Top Programmatic Advertising Agencies in London - Jul 2026 Rankings \| Clutch.co</v>
      </c>
      <c r="C523" s="14" t="str">
        <f>IFERROR(__xludf.DUMMYFUNCTION("""COMPUTED_VALUE"""),"clutch.co")</f>
        <v>clutch.co</v>
      </c>
      <c r="D523" s="15" t="str">
        <f>IFERROR(__xludf.DUMMYFUNCTION("""COMPUTED_VALUE"""),"CATEGORY_PAGE")</f>
        <v>CATEGORY_PAGE</v>
      </c>
      <c r="E523" s="15" t="str">
        <f>IFERROR(__xludf.DUMMYFUNCTION("""COMPUTED_VALUE"""),"CORPORATE")</f>
        <v>CORPORATE</v>
      </c>
      <c r="F523" s="15" t="str">
        <f>IFERROR(__xludf.DUMMYFUNCTION("""COMPUTED_VALUE"""),"Category Page")</f>
        <v>Category Page</v>
      </c>
      <c r="G523" s="15" t="b">
        <f>IFERROR(__xludf.DUMMYFUNCTION("""COMPUTED_VALUE"""),FALSE)</f>
        <v>0</v>
      </c>
      <c r="H523" s="15" t="str">
        <f>IFERROR(__xludf.DUMMYFUNCTION("""COMPUTED_VALUE"""),"ROAST, Ninja Promo, Push, WPP, Omnicom")</f>
        <v>ROAST, Ninja Promo, Push, WPP, Omnicom</v>
      </c>
      <c r="I523" s="15">
        <f>IFERROR(__xludf.DUMMYFUNCTION("""COMPUTED_VALUE"""),1.0)</f>
        <v>1</v>
      </c>
      <c r="J523" s="15">
        <f>IFERROR(__xludf.DUMMYFUNCTION("""COMPUTED_VALUE"""),0.0)</f>
        <v>0</v>
      </c>
      <c r="K523" s="15">
        <f>IFERROR(__xludf.DUMMYFUNCTION("""COMPUTED_VALUE"""),2.0)</f>
        <v>2</v>
      </c>
      <c r="L523" s="15"/>
    </row>
    <row r="524" ht="15.75" customHeight="1">
      <c r="A524" s="14" t="str">
        <f>IFERROR(__xludf.DUMMYFUNCTION("""COMPUTED_VALUE"""),"https://clutch.co/agencies/programmatic/uk/england/manchester")</f>
        <v>https://clutch.co/agencies/programmatic/uk/england/manchester</v>
      </c>
      <c r="B524" s="15" t="str">
        <f>IFERROR(__xludf.DUMMYFUNCTION("""COMPUTED_VALUE"""),"Top Programmatic Advertising Companies in Manchester - Jul 2026 Rankings \| Clutch.co")</f>
        <v>Top Programmatic Advertising Companies in Manchester - Jul 2026 Rankings \| Clutch.co</v>
      </c>
      <c r="C524" s="14" t="str">
        <f>IFERROR(__xludf.DUMMYFUNCTION("""COMPUTED_VALUE"""),"clutch.co")</f>
        <v>clutch.co</v>
      </c>
      <c r="D524" s="15" t="str">
        <f>IFERROR(__xludf.DUMMYFUNCTION("""COMPUTED_VALUE"""),"OTHER")</f>
        <v>OTHER</v>
      </c>
      <c r="E524" s="15" t="str">
        <f>IFERROR(__xludf.DUMMYFUNCTION("""COMPUTED_VALUE"""),"CORPORATE")</f>
        <v>CORPORATE</v>
      </c>
      <c r="F524" s="15" t="str">
        <f>IFERROR(__xludf.DUMMYFUNCTION("""COMPUTED_VALUE"""),"Other")</f>
        <v>Other</v>
      </c>
      <c r="G524" s="15" t="b">
        <f>IFERROR(__xludf.DUMMYFUNCTION("""COMPUTED_VALUE"""),FALSE)</f>
        <v>0</v>
      </c>
      <c r="H524" s="15" t="str">
        <f>IFERROR(__xludf.DUMMYFUNCTION("""COMPUTED_VALUE"""),"M3.agency, The SEO Works")</f>
        <v>M3.agency, The SEO Works</v>
      </c>
      <c r="I524" s="15">
        <f>IFERROR(__xludf.DUMMYFUNCTION("""COMPUTED_VALUE"""),1.0)</f>
        <v>1</v>
      </c>
      <c r="J524" s="15">
        <f>IFERROR(__xludf.DUMMYFUNCTION("""COMPUTED_VALUE"""),0.0)</f>
        <v>0</v>
      </c>
      <c r="K524" s="15">
        <f>IFERROR(__xludf.DUMMYFUNCTION("""COMPUTED_VALUE"""),0.0)</f>
        <v>0</v>
      </c>
      <c r="L524" s="15"/>
    </row>
    <row r="525" ht="15.75" customHeight="1">
      <c r="A525" s="14" t="str">
        <f>IFERROR(__xludf.DUMMYFUNCTION("""COMPUTED_VALUE"""),"https://clutch.co/agencies/programmatic/uk?page=2")</f>
        <v>https://clutch.co/agencies/programmatic/uk?page=2</v>
      </c>
      <c r="B525" s="15" t="str">
        <f>IFERROR(__xludf.DUMMYFUNCTION("""COMPUTED_VALUE"""),"Page 2 - Top Programmatic Advertising Companies in the United Kingdom - Jul 2026 Rankings \| Clutch.co")</f>
        <v>Page 2 - Top Programmatic Advertising Companies in the United Kingdom - Jul 2026 Rankings \| Clutch.co</v>
      </c>
      <c r="C525" s="14" t="str">
        <f>IFERROR(__xludf.DUMMYFUNCTION("""COMPUTED_VALUE"""),"clutch.co")</f>
        <v>clutch.co</v>
      </c>
      <c r="D525" s="15" t="str">
        <f>IFERROR(__xludf.DUMMYFUNCTION("""COMPUTED_VALUE"""),"CATEGORY_PAGE")</f>
        <v>CATEGORY_PAGE</v>
      </c>
      <c r="E525" s="15" t="str">
        <f>IFERROR(__xludf.DUMMYFUNCTION("""COMPUTED_VALUE"""),"CORPORATE")</f>
        <v>CORPORATE</v>
      </c>
      <c r="F525" s="15" t="str">
        <f>IFERROR(__xludf.DUMMYFUNCTION("""COMPUTED_VALUE"""),"Category Page")</f>
        <v>Category Page</v>
      </c>
      <c r="G525" s="15" t="b">
        <f>IFERROR(__xludf.DUMMYFUNCTION("""COMPUTED_VALUE"""),FALSE)</f>
        <v>0</v>
      </c>
      <c r="H525" s="15" t="str">
        <f>IFERROR(__xludf.DUMMYFUNCTION("""COMPUTED_VALUE"""),"ROAST, Ninja Promo, The SEO Works, M3.agency")</f>
        <v>ROAST, Ninja Promo, The SEO Works, M3.agency</v>
      </c>
      <c r="I525" s="15">
        <f>IFERROR(__xludf.DUMMYFUNCTION("""COMPUTED_VALUE"""),1.0)</f>
        <v>1</v>
      </c>
      <c r="J525" s="15">
        <f>IFERROR(__xludf.DUMMYFUNCTION("""COMPUTED_VALUE"""),0.0)</f>
        <v>0</v>
      </c>
      <c r="K525" s="15">
        <f>IFERROR(__xludf.DUMMYFUNCTION("""COMPUTED_VALUE"""),0.0)</f>
        <v>0</v>
      </c>
      <c r="L525" s="15"/>
    </row>
    <row r="526" ht="15.75" customHeight="1">
      <c r="A526" s="14" t="str">
        <f>IFERROR(__xludf.DUMMYFUNCTION("""COMPUTED_VALUE"""),"https://clutch.co/agencies/social-media-marketing/tik-tok/uk")</f>
        <v>https://clutch.co/agencies/social-media-marketing/tik-tok/uk</v>
      </c>
      <c r="B526" s="15" t="str">
        <f>IFERROR(__xludf.DUMMYFUNCTION("""COMPUTED_VALUE"""),"Top TikTok Advertising Agencies in the United Kingdom - Jul 2026 Rankings \| Clutch.co")</f>
        <v>Top TikTok Advertising Agencies in the United Kingdom - Jul 2026 Rankings \| Clutch.co</v>
      </c>
      <c r="C526" s="14" t="str">
        <f>IFERROR(__xludf.DUMMYFUNCTION("""COMPUTED_VALUE"""),"clutch.co")</f>
        <v>clutch.co</v>
      </c>
      <c r="D526" s="15" t="str">
        <f>IFERROR(__xludf.DUMMYFUNCTION("""COMPUTED_VALUE"""),"CATEGORY_PAGE")</f>
        <v>CATEGORY_PAGE</v>
      </c>
      <c r="E526" s="15" t="str">
        <f>IFERROR(__xludf.DUMMYFUNCTION("""COMPUTED_VALUE"""),"CORPORATE")</f>
        <v>CORPORATE</v>
      </c>
      <c r="F526" s="15" t="str">
        <f>IFERROR(__xludf.DUMMYFUNCTION("""COMPUTED_VALUE"""),"Category Page")</f>
        <v>Category Page</v>
      </c>
      <c r="G526" s="15" t="b">
        <f>IFERROR(__xludf.DUMMYFUNCTION("""COMPUTED_VALUE"""),FALSE)</f>
        <v>0</v>
      </c>
      <c r="H526" s="15" t="str">
        <f>IFERROR(__xludf.DUMMYFUNCTION("""COMPUTED_VALUE"""),"Favoured, Ninja Promo, Soap Media, M3.agency, Huge, Propeller, Impression, Found")</f>
        <v>Favoured, Ninja Promo, Soap Media, M3.agency, Huge, Propeller, Impression, Found</v>
      </c>
      <c r="I526" s="15">
        <f>IFERROR(__xludf.DUMMYFUNCTION("""COMPUTED_VALUE"""),1.0)</f>
        <v>1</v>
      </c>
      <c r="J526" s="15">
        <f>IFERROR(__xludf.DUMMYFUNCTION("""COMPUTED_VALUE"""),0.0)</f>
        <v>0</v>
      </c>
      <c r="K526" s="15">
        <f>IFERROR(__xludf.DUMMYFUNCTION("""COMPUTED_VALUE"""),2.0)</f>
        <v>2</v>
      </c>
      <c r="L526" s="15"/>
    </row>
    <row r="527" ht="15.75" customHeight="1">
      <c r="A527" s="14" t="str">
        <f>IFERROR(__xludf.DUMMYFUNCTION("""COMPUTED_VALUE"""),"https://clutch.co/developers/ecommerce")</f>
        <v>https://clutch.co/developers/ecommerce</v>
      </c>
      <c r="B527" s="15" t="str">
        <f>IFERROR(__xludf.DUMMYFUNCTION("""COMPUTED_VALUE"""),"Top E-Commerce Development Agencies - Jul 2026 Rankings | Clutch.co")</f>
        <v>Top E-Commerce Development Agencies - Jul 2026 Rankings | Clutch.co</v>
      </c>
      <c r="C527" s="14" t="str">
        <f>IFERROR(__xludf.DUMMYFUNCTION("""COMPUTED_VALUE"""),"clutch.co")</f>
        <v>clutch.co</v>
      </c>
      <c r="D527" s="15" t="str">
        <f>IFERROR(__xludf.DUMMYFUNCTION("""COMPUTED_VALUE"""),"CATEGORY_PAGE")</f>
        <v>CATEGORY_PAGE</v>
      </c>
      <c r="E527" s="15" t="str">
        <f>IFERROR(__xludf.DUMMYFUNCTION("""COMPUTED_VALUE"""),"CORPORATE")</f>
        <v>CORPORATE</v>
      </c>
      <c r="F527" s="15" t="str">
        <f>IFERROR(__xludf.DUMMYFUNCTION("""COMPUTED_VALUE"""),"Category Page")</f>
        <v>Category Page</v>
      </c>
      <c r="G527" s="15" t="b">
        <f>IFERROR(__xludf.DUMMYFUNCTION("""COMPUTED_VALUE"""),FALSE)</f>
        <v>0</v>
      </c>
      <c r="H527" s="15" t="str">
        <f>IFERROR(__xludf.DUMMYFUNCTION("""COMPUTED_VALUE"""),"Found, Launch Online")</f>
        <v>Found, Launch Online</v>
      </c>
      <c r="I527" s="15">
        <f>IFERROR(__xludf.DUMMYFUNCTION("""COMPUTED_VALUE"""),1.0)</f>
        <v>1</v>
      </c>
      <c r="J527" s="15">
        <f>IFERROR(__xludf.DUMMYFUNCTION("""COMPUTED_VALUE"""),0.0)</f>
        <v>0</v>
      </c>
      <c r="K527" s="15">
        <f>IFERROR(__xludf.DUMMYFUNCTION("""COMPUTED_VALUE"""),1.0)</f>
        <v>1</v>
      </c>
      <c r="L527" s="15"/>
    </row>
    <row r="528" ht="15.75" customHeight="1">
      <c r="A528" s="14" t="str">
        <f>IFERROR(__xludf.DUMMYFUNCTION("""COMPUTED_VALUE"""),"https://clutch.co/seo-firms/amazon/uk")</f>
        <v>https://clutch.co/seo-firms/amazon/uk</v>
      </c>
      <c r="B528" s="15" t="str">
        <f>IFERROR(__xludf.DUMMYFUNCTION("""COMPUTED_VALUE"""),"Top Amazon SEO Services in the United Kingdom - Jul 2026 Rankings \| Clutch.co")</f>
        <v>Top Amazon SEO Services in the United Kingdom - Jul 2026 Rankings \| Clutch.co</v>
      </c>
      <c r="C528" s="14" t="str">
        <f>IFERROR(__xludf.DUMMYFUNCTION("""COMPUTED_VALUE"""),"clutch.co")</f>
        <v>clutch.co</v>
      </c>
      <c r="D528" s="15" t="str">
        <f>IFERROR(__xludf.DUMMYFUNCTION("""COMPUTED_VALUE"""),"CATEGORY_PAGE")</f>
        <v>CATEGORY_PAGE</v>
      </c>
      <c r="E528" s="15" t="str">
        <f>IFERROR(__xludf.DUMMYFUNCTION("""COMPUTED_VALUE"""),"CORPORATE")</f>
        <v>CORPORATE</v>
      </c>
      <c r="F528" s="15" t="str">
        <f>IFERROR(__xludf.DUMMYFUNCTION("""COMPUTED_VALUE"""),"Category Page")</f>
        <v>Category Page</v>
      </c>
      <c r="G528" s="15" t="b">
        <f>IFERROR(__xludf.DUMMYFUNCTION("""COMPUTED_VALUE"""),FALSE)</f>
        <v>0</v>
      </c>
      <c r="H528" s="15" t="str">
        <f>IFERROR(__xludf.DUMMYFUNCTION("""COMPUTED_VALUE"""),"IDHL")</f>
        <v>IDHL</v>
      </c>
      <c r="I528" s="15">
        <f>IFERROR(__xludf.DUMMYFUNCTION("""COMPUTED_VALUE"""),1.0)</f>
        <v>1</v>
      </c>
      <c r="J528" s="15">
        <f>IFERROR(__xludf.DUMMYFUNCTION("""COMPUTED_VALUE"""),0.0)</f>
        <v>0</v>
      </c>
      <c r="K528" s="15">
        <f>IFERROR(__xludf.DUMMYFUNCTION("""COMPUTED_VALUE"""),1.0)</f>
        <v>1</v>
      </c>
      <c r="L528" s="15"/>
    </row>
    <row r="529" ht="15.75" customHeight="1">
      <c r="A529" s="14" t="str">
        <f>IFERROR(__xludf.DUMMYFUNCTION("""COMPUTED_VALUE"""),"https://clutch.co/seo-firms/link-building")</f>
        <v>https://clutch.co/seo-firms/link-building</v>
      </c>
      <c r="B529" s="15" t="str">
        <f>IFERROR(__xludf.DUMMYFUNCTION("""COMPUTED_VALUE"""),"Top Link Building Companies - Jul 2026 Rankings \| Clutch.co")</f>
        <v>Top Link Building Companies - Jul 2026 Rankings \| Clutch.co</v>
      </c>
      <c r="C529" s="14" t="str">
        <f>IFERROR(__xludf.DUMMYFUNCTION("""COMPUTED_VALUE"""),"clutch.co")</f>
        <v>clutch.co</v>
      </c>
      <c r="D529" s="15" t="str">
        <f>IFERROR(__xludf.DUMMYFUNCTION("""COMPUTED_VALUE"""),"CATEGORY_PAGE")</f>
        <v>CATEGORY_PAGE</v>
      </c>
      <c r="E529" s="15" t="str">
        <f>IFERROR(__xludf.DUMMYFUNCTION("""COMPUTED_VALUE"""),"CORPORATE")</f>
        <v>CORPORATE</v>
      </c>
      <c r="F529" s="15" t="str">
        <f>IFERROR(__xludf.DUMMYFUNCTION("""COMPUTED_VALUE"""),"Category Page")</f>
        <v>Category Page</v>
      </c>
      <c r="G529" s="15" t="b">
        <f>IFERROR(__xludf.DUMMYFUNCTION("""COMPUTED_VALUE"""),FALSE)</f>
        <v>0</v>
      </c>
      <c r="H529" s="15" t="str">
        <f>IFERROR(__xludf.DUMMYFUNCTION("""COMPUTED_VALUE"""),"Bird Marketing, WebFX, Ignite Visibility, Huge")</f>
        <v>Bird Marketing, WebFX, Ignite Visibility, Huge</v>
      </c>
      <c r="I529" s="15">
        <f>IFERROR(__xludf.DUMMYFUNCTION("""COMPUTED_VALUE"""),1.0)</f>
        <v>1</v>
      </c>
      <c r="J529" s="15">
        <f>IFERROR(__xludf.DUMMYFUNCTION("""COMPUTED_VALUE"""),0.0)</f>
        <v>0</v>
      </c>
      <c r="K529" s="15">
        <f>IFERROR(__xludf.DUMMYFUNCTION("""COMPUTED_VALUE"""),1.0)</f>
        <v>1</v>
      </c>
      <c r="L529" s="15"/>
    </row>
    <row r="530" ht="15.75" customHeight="1">
      <c r="A530" s="14" t="str">
        <f>IFERROR(__xludf.DUMMYFUNCTION("""COMPUTED_VALUE"""),"https://www.cometly.com/post/agency-marketing-attribution-tools")</f>
        <v>https://www.cometly.com/post/agency-marketing-attribution-tools</v>
      </c>
      <c r="B530" s="15" t="str">
        <f>IFERROR(__xludf.DUMMYFUNCTION("""COMPUTED_VALUE"""),"Top Agency Marketing Attribution Tools for 2026 Tips")</f>
        <v>Top Agency Marketing Attribution Tools for 2026 Tips</v>
      </c>
      <c r="C530" s="14" t="str">
        <f>IFERROR(__xludf.DUMMYFUNCTION("""COMPUTED_VALUE"""),"cometly.com")</f>
        <v>cometly.com</v>
      </c>
      <c r="D530" s="15" t="str">
        <f>IFERROR(__xludf.DUMMYFUNCTION("""COMPUTED_VALUE"""),"LISTICLE")</f>
        <v>LISTICLE</v>
      </c>
      <c r="E530" s="15" t="str">
        <f>IFERROR(__xludf.DUMMYFUNCTION("""COMPUTED_VALUE"""),"COMPETITOR")</f>
        <v>COMPETITOR</v>
      </c>
      <c r="F530" s="15" t="str">
        <f>IFERROR(__xludf.DUMMYFUNCTION("""COMPUTED_VALUE"""),"Listicle")</f>
        <v>Listicle</v>
      </c>
      <c r="G530" s="15" t="b">
        <f>IFERROR(__xludf.DUMMYFUNCTION("""COMPUTED_VALUE"""),FALSE)</f>
        <v>0</v>
      </c>
      <c r="H530" s="15" t="str">
        <f>IFERROR(__xludf.DUMMYFUNCTION("""COMPUTED_VALUE"""),"Cometly, Triple Whale, Northbeam, Rockerbox, Ruler Analytics")</f>
        <v>Cometly, Triple Whale, Northbeam, Rockerbox, Ruler Analytics</v>
      </c>
      <c r="I530" s="15">
        <f>IFERROR(__xludf.DUMMYFUNCTION("""COMPUTED_VALUE"""),1.0)</f>
        <v>1</v>
      </c>
      <c r="J530" s="15">
        <f>IFERROR(__xludf.DUMMYFUNCTION("""COMPUTED_VALUE"""),0.0)</f>
        <v>0</v>
      </c>
      <c r="K530" s="15">
        <f>IFERROR(__xludf.DUMMYFUNCTION("""COMPUTED_VALUE"""),2.0)</f>
        <v>2</v>
      </c>
      <c r="L530" s="15"/>
    </row>
    <row r="531" ht="15.75" customHeight="1">
      <c r="A531" s="14" t="str">
        <f>IFERROR(__xludf.DUMMYFUNCTION("""COMPUTED_VALUE"""),"https://www.cometly.com/post/ai-powered-ad-optimization-platform")</f>
        <v>https://www.cometly.com/post/ai-powered-ad-optimization-platform</v>
      </c>
      <c r="B531" s="15" t="str">
        <f>IFERROR(__xludf.DUMMYFUNCTION("""COMPUTED_VALUE"""),"9 Best AI Powered Ad Optimization Platforms 2026 Guide")</f>
        <v>9 Best AI Powered Ad Optimization Platforms 2026 Guide</v>
      </c>
      <c r="C531" s="14" t="str">
        <f>IFERROR(__xludf.DUMMYFUNCTION("""COMPUTED_VALUE"""),"cometly.com")</f>
        <v>cometly.com</v>
      </c>
      <c r="D531" s="15" t="str">
        <f>IFERROR(__xludf.DUMMYFUNCTION("""COMPUTED_VALUE"""),"LISTICLE")</f>
        <v>LISTICLE</v>
      </c>
      <c r="E531" s="15" t="str">
        <f>IFERROR(__xludf.DUMMYFUNCTION("""COMPUTED_VALUE"""),"COMPETITOR")</f>
        <v>COMPETITOR</v>
      </c>
      <c r="F531" s="15" t="str">
        <f>IFERROR(__xludf.DUMMYFUNCTION("""COMPUTED_VALUE"""),"Listicle")</f>
        <v>Listicle</v>
      </c>
      <c r="G531" s="15" t="b">
        <f>IFERROR(__xludf.DUMMYFUNCTION("""COMPUTED_VALUE"""),FALSE)</f>
        <v>0</v>
      </c>
      <c r="H531" s="15" t="str">
        <f>IFERROR(__xludf.DUMMYFUNCTION("""COMPUTED_VALUE"""),"Cometly, Impression")</f>
        <v>Cometly, Impression</v>
      </c>
      <c r="I531" s="15">
        <f>IFERROR(__xludf.DUMMYFUNCTION("""COMPUTED_VALUE"""),1.0)</f>
        <v>1</v>
      </c>
      <c r="J531" s="15">
        <f>IFERROR(__xludf.DUMMYFUNCTION("""COMPUTED_VALUE"""),0.0)</f>
        <v>0</v>
      </c>
      <c r="K531" s="15">
        <f>IFERROR(__xludf.DUMMYFUNCTION("""COMPUTED_VALUE"""),0.0)</f>
        <v>0</v>
      </c>
      <c r="L531" s="15"/>
    </row>
    <row r="532" ht="15.75" customHeight="1">
      <c r="A532" s="14" t="str">
        <f>IFERROR(__xludf.DUMMYFUNCTION("""COMPUTED_VALUE"""),"https://www.cometly.com/post/attribution-platforms-for-agencies")</f>
        <v>https://www.cometly.com/post/attribution-platforms-for-agencies</v>
      </c>
      <c r="B532" s="15" t="str">
        <f>IFERROR(__xludf.DUMMYFUNCTION("""COMPUTED_VALUE"""),"Top Attribution Platforms For Agencies: 2026 Guide")</f>
        <v>Top Attribution Platforms For Agencies: 2026 Guide</v>
      </c>
      <c r="C532" s="14" t="str">
        <f>IFERROR(__xludf.DUMMYFUNCTION("""COMPUTED_VALUE"""),"cometly.com")</f>
        <v>cometly.com</v>
      </c>
      <c r="D532" s="15" t="str">
        <f>IFERROR(__xludf.DUMMYFUNCTION("""COMPUTED_VALUE"""),"LISTICLE")</f>
        <v>LISTICLE</v>
      </c>
      <c r="E532" s="15" t="str">
        <f>IFERROR(__xludf.DUMMYFUNCTION("""COMPUTED_VALUE"""),"COMPETITOR")</f>
        <v>COMPETITOR</v>
      </c>
      <c r="F532" s="15" t="str">
        <f>IFERROR(__xludf.DUMMYFUNCTION("""COMPUTED_VALUE"""),"Listicle")</f>
        <v>Listicle</v>
      </c>
      <c r="G532" s="15" t="b">
        <f>IFERROR(__xludf.DUMMYFUNCTION("""COMPUTED_VALUE"""),FALSE)</f>
        <v>0</v>
      </c>
      <c r="H532" s="15" t="str">
        <f>IFERROR(__xludf.DUMMYFUNCTION("""COMPUTED_VALUE"""),"Cometly, Triple Whale, Northbeam, Rockerbox, Ruler Analytics")</f>
        <v>Cometly, Triple Whale, Northbeam, Rockerbox, Ruler Analytics</v>
      </c>
      <c r="I532" s="15">
        <f>IFERROR(__xludf.DUMMYFUNCTION("""COMPUTED_VALUE"""),1.0)</f>
        <v>1</v>
      </c>
      <c r="J532" s="15">
        <f>IFERROR(__xludf.DUMMYFUNCTION("""COMPUTED_VALUE"""),0.0)</f>
        <v>0</v>
      </c>
      <c r="K532" s="15">
        <f>IFERROR(__xludf.DUMMYFUNCTION("""COMPUTED_VALUE"""),1.0)</f>
        <v>1</v>
      </c>
      <c r="L532" s="15"/>
    </row>
    <row r="533" ht="15.75" customHeight="1">
      <c r="A533" s="14" t="str">
        <f>IFERROR(__xludf.DUMMYFUNCTION("""COMPUTED_VALUE"""),"https://www.cometly.com/post/attribution-tools-for-digital-marketing-agencies")</f>
        <v>https://www.cometly.com/post/attribution-tools-for-digital-marketing-agencies</v>
      </c>
      <c r="B533" s="15" t="str">
        <f>IFERROR(__xludf.DUMMYFUNCTION("""COMPUTED_VALUE"""),"9 Best Attribution Tools For Digital Marketing Agencies")</f>
        <v>9 Best Attribution Tools For Digital Marketing Agencies</v>
      </c>
      <c r="C533" s="14" t="str">
        <f>IFERROR(__xludf.DUMMYFUNCTION("""COMPUTED_VALUE"""),"cometly.com")</f>
        <v>cometly.com</v>
      </c>
      <c r="D533" s="15" t="str">
        <f>IFERROR(__xludf.DUMMYFUNCTION("""COMPUTED_VALUE"""),"LISTICLE")</f>
        <v>LISTICLE</v>
      </c>
      <c r="E533" s="15" t="str">
        <f>IFERROR(__xludf.DUMMYFUNCTION("""COMPUTED_VALUE"""),"COMPETITOR")</f>
        <v>COMPETITOR</v>
      </c>
      <c r="F533" s="15" t="str">
        <f>IFERROR(__xludf.DUMMYFUNCTION("""COMPUTED_VALUE"""),"Listicle")</f>
        <v>Listicle</v>
      </c>
      <c r="G533" s="15" t="b">
        <f>IFERROR(__xludf.DUMMYFUNCTION("""COMPUTED_VALUE"""),FALSE)</f>
        <v>0</v>
      </c>
      <c r="H533" s="15" t="str">
        <f>IFERROR(__xludf.DUMMYFUNCTION("""COMPUTED_VALUE"""),"Cometly, Triple Whale, Northbeam, Rockerbox, Ruler Analytics")</f>
        <v>Cometly, Triple Whale, Northbeam, Rockerbox, Ruler Analytics</v>
      </c>
      <c r="I533" s="15">
        <f>IFERROR(__xludf.DUMMYFUNCTION("""COMPUTED_VALUE"""),1.0)</f>
        <v>1</v>
      </c>
      <c r="J533" s="15">
        <f>IFERROR(__xludf.DUMMYFUNCTION("""COMPUTED_VALUE"""),0.0)</f>
        <v>0</v>
      </c>
      <c r="K533" s="15">
        <f>IFERROR(__xludf.DUMMYFUNCTION("""COMPUTED_VALUE"""),0.0)</f>
        <v>0</v>
      </c>
      <c r="L533" s="15"/>
    </row>
    <row r="534" ht="15.75" customHeight="1">
      <c r="A534" s="14" t="str">
        <f>IFERROR(__xludf.DUMMYFUNCTION("""COMPUTED_VALUE"""),"https://www.cometly.com/post/first-party-data-tracking-solutions")</f>
        <v>https://www.cometly.com/post/first-party-data-tracking-solutions</v>
      </c>
      <c r="B534" s="15" t="str">
        <f>IFERROR(__xludf.DUMMYFUNCTION("""COMPUTED_VALUE"""),"9 Best First Party Data Tracking Solutions for 2026")</f>
        <v>9 Best First Party Data Tracking Solutions for 2026</v>
      </c>
      <c r="C534" s="14" t="str">
        <f>IFERROR(__xludf.DUMMYFUNCTION("""COMPUTED_VALUE"""),"cometly.com")</f>
        <v>cometly.com</v>
      </c>
      <c r="D534" s="15" t="str">
        <f>IFERROR(__xludf.DUMMYFUNCTION("""COMPUTED_VALUE"""),"LISTICLE")</f>
        <v>LISTICLE</v>
      </c>
      <c r="E534" s="15" t="str">
        <f>IFERROR(__xludf.DUMMYFUNCTION("""COMPUTED_VALUE"""),"COMPETITOR")</f>
        <v>COMPETITOR</v>
      </c>
      <c r="F534" s="15" t="str">
        <f>IFERROR(__xludf.DUMMYFUNCTION("""COMPUTED_VALUE"""),"Listicle")</f>
        <v>Listicle</v>
      </c>
      <c r="G534" s="15" t="b">
        <f>IFERROR(__xludf.DUMMYFUNCTION("""COMPUTED_VALUE"""),FALSE)</f>
        <v>0</v>
      </c>
      <c r="H534" s="15" t="str">
        <f>IFERROR(__xludf.DUMMYFUNCTION("""COMPUTED_VALUE"""),"Cometly, Push")</f>
        <v>Cometly, Push</v>
      </c>
      <c r="I534" s="15">
        <f>IFERROR(__xludf.DUMMYFUNCTION("""COMPUTED_VALUE"""),1.0)</f>
        <v>1</v>
      </c>
      <c r="J534" s="15">
        <f>IFERROR(__xludf.DUMMYFUNCTION("""COMPUTED_VALUE"""),0.0)</f>
        <v>0</v>
      </c>
      <c r="K534" s="15">
        <f>IFERROR(__xludf.DUMMYFUNCTION("""COMPUTED_VALUE"""),1.0)</f>
        <v>1</v>
      </c>
      <c r="L534" s="15"/>
    </row>
    <row r="535" ht="15.75" customHeight="1">
      <c r="A535" s="14" t="str">
        <f>IFERROR(__xludf.DUMMYFUNCTION("""COMPUTED_VALUE"""),"https://www.cometly.com/post/incrementality-testing-software")</f>
        <v>https://www.cometly.com/post/incrementality-testing-software</v>
      </c>
      <c r="B535" s="15" t="str">
        <f>IFERROR(__xludf.DUMMYFUNCTION("""COMPUTED_VALUE"""),"Best Incrementality Testing Software Tools Guide 2026")</f>
        <v>Best Incrementality Testing Software Tools Guide 2026</v>
      </c>
      <c r="C535" s="14" t="str">
        <f>IFERROR(__xludf.DUMMYFUNCTION("""COMPUTED_VALUE"""),"cometly.com")</f>
        <v>cometly.com</v>
      </c>
      <c r="D535" s="15" t="str">
        <f>IFERROR(__xludf.DUMMYFUNCTION("""COMPUTED_VALUE"""),"LISTICLE")</f>
        <v>LISTICLE</v>
      </c>
      <c r="E535" s="15" t="str">
        <f>IFERROR(__xludf.DUMMYFUNCTION("""COMPUTED_VALUE"""),"COMPETITOR")</f>
        <v>COMPETITOR</v>
      </c>
      <c r="F535" s="15" t="str">
        <f>IFERROR(__xludf.DUMMYFUNCTION("""COMPUTED_VALUE"""),"Listicle")</f>
        <v>Listicle</v>
      </c>
      <c r="G535" s="15" t="b">
        <f>IFERROR(__xludf.DUMMYFUNCTION("""COMPUTED_VALUE"""),FALSE)</f>
        <v>0</v>
      </c>
      <c r="H535" s="15" t="str">
        <f>IFERROR(__xludf.DUMMYFUNCTION("""COMPUTED_VALUE"""),"Cometly, Measured, Rockerbox, Northbeam, Haus, Recast")</f>
        <v>Cometly, Measured, Rockerbox, Northbeam, Haus, Recast</v>
      </c>
      <c r="I535" s="15">
        <f>IFERROR(__xludf.DUMMYFUNCTION("""COMPUTED_VALUE"""),1.0)</f>
        <v>1</v>
      </c>
      <c r="J535" s="15">
        <f>IFERROR(__xludf.DUMMYFUNCTION("""COMPUTED_VALUE"""),0.0)</f>
        <v>0</v>
      </c>
      <c r="K535" s="15">
        <f>IFERROR(__xludf.DUMMYFUNCTION("""COMPUTED_VALUE"""),1.0)</f>
        <v>1</v>
      </c>
      <c r="L535" s="15"/>
    </row>
    <row r="536" ht="15.75" customHeight="1">
      <c r="A536" s="14" t="str">
        <f>IFERROR(__xludf.DUMMYFUNCTION("""COMPUTED_VALUE"""),"https://www.cometly.com/post/marketing-attribution-platforms-for-agencies")</f>
        <v>https://www.cometly.com/post/marketing-attribution-platforms-for-agencies</v>
      </c>
      <c r="B536" s="15" t="str">
        <f>IFERROR(__xludf.DUMMYFUNCTION("""COMPUTED_VALUE"""),"Best Marketing Attribution Platforms For Agencies 2026")</f>
        <v>Best Marketing Attribution Platforms For Agencies 2026</v>
      </c>
      <c r="C536" s="14" t="str">
        <f>IFERROR(__xludf.DUMMYFUNCTION("""COMPUTED_VALUE"""),"cometly.com")</f>
        <v>cometly.com</v>
      </c>
      <c r="D536" s="15" t="str">
        <f>IFERROR(__xludf.DUMMYFUNCTION("""COMPUTED_VALUE"""),"LISTICLE")</f>
        <v>LISTICLE</v>
      </c>
      <c r="E536" s="15" t="str">
        <f>IFERROR(__xludf.DUMMYFUNCTION("""COMPUTED_VALUE"""),"COMPETITOR")</f>
        <v>COMPETITOR</v>
      </c>
      <c r="F536" s="15" t="str">
        <f>IFERROR(__xludf.DUMMYFUNCTION("""COMPUTED_VALUE"""),"Listicle")</f>
        <v>Listicle</v>
      </c>
      <c r="G536" s="15" t="b">
        <f>IFERROR(__xludf.DUMMYFUNCTION("""COMPUTED_VALUE"""),FALSE)</f>
        <v>0</v>
      </c>
      <c r="H536" s="15" t="str">
        <f>IFERROR(__xludf.DUMMYFUNCTION("""COMPUTED_VALUE"""),"Cometly, Triple Whale, Northbeam, Rockerbox, Ruler Analytics")</f>
        <v>Cometly, Triple Whale, Northbeam, Rockerbox, Ruler Analytics</v>
      </c>
      <c r="I536" s="15">
        <f>IFERROR(__xludf.DUMMYFUNCTION("""COMPUTED_VALUE"""),1.0)</f>
        <v>1</v>
      </c>
      <c r="J536" s="15">
        <f>IFERROR(__xludf.DUMMYFUNCTION("""COMPUTED_VALUE"""),0.0)</f>
        <v>0</v>
      </c>
      <c r="K536" s="15">
        <f>IFERROR(__xludf.DUMMYFUNCTION("""COMPUTED_VALUE"""),1.0)</f>
        <v>1</v>
      </c>
      <c r="L536" s="15"/>
    </row>
    <row r="537" ht="15.75" customHeight="1">
      <c r="A537" s="14" t="str">
        <f>IFERROR(__xludf.DUMMYFUNCTION("""COMPUTED_VALUE"""),"https://www.cometly.com/post/media-buying-optimization-tool")</f>
        <v>https://www.cometly.com/post/media-buying-optimization-tool</v>
      </c>
      <c r="B537" s="15" t="str">
        <f>IFERROR(__xludf.DUMMYFUNCTION("""COMPUTED_VALUE"""),"Best Media Buying Optimization Tool for Ad Teams 2026")</f>
        <v>Best Media Buying Optimization Tool for Ad Teams 2026</v>
      </c>
      <c r="C537" s="14" t="str">
        <f>IFERROR(__xludf.DUMMYFUNCTION("""COMPUTED_VALUE"""),"cometly.com")</f>
        <v>cometly.com</v>
      </c>
      <c r="D537" s="15" t="str">
        <f>IFERROR(__xludf.DUMMYFUNCTION("""COMPUTED_VALUE"""),"LISTICLE")</f>
        <v>LISTICLE</v>
      </c>
      <c r="E537" s="15" t="str">
        <f>IFERROR(__xludf.DUMMYFUNCTION("""COMPUTED_VALUE"""),"COMPETITOR")</f>
        <v>COMPETITOR</v>
      </c>
      <c r="F537" s="15" t="str">
        <f>IFERROR(__xludf.DUMMYFUNCTION("""COMPUTED_VALUE"""),"Listicle")</f>
        <v>Listicle</v>
      </c>
      <c r="G537" s="15" t="b">
        <f>IFERROR(__xludf.DUMMYFUNCTION("""COMPUTED_VALUE"""),FALSE)</f>
        <v>0</v>
      </c>
      <c r="H537" s="15" t="str">
        <f>IFERROR(__xludf.DUMMYFUNCTION("""COMPUTED_VALUE"""),"Cometly, Momentum, Northbeam")</f>
        <v>Cometly, Momentum, Northbeam</v>
      </c>
      <c r="I537" s="15">
        <f>IFERROR(__xludf.DUMMYFUNCTION("""COMPUTED_VALUE"""),1.0)</f>
        <v>1</v>
      </c>
      <c r="J537" s="15">
        <f>IFERROR(__xludf.DUMMYFUNCTION("""COMPUTED_VALUE"""),0.0)</f>
        <v>0</v>
      </c>
      <c r="K537" s="15">
        <f>IFERROR(__xludf.DUMMYFUNCTION("""COMPUTED_VALUE"""),0.0)</f>
        <v>0</v>
      </c>
      <c r="L537" s="15"/>
    </row>
    <row r="538" ht="15.75" customHeight="1">
      <c r="A538" s="14" t="str">
        <f>IFERROR(__xludf.DUMMYFUNCTION("""COMPUTED_VALUE"""),"https://companies.london/performance-marketing-companies/")</f>
        <v>https://companies.london/performance-marketing-companies/</v>
      </c>
      <c r="B538" s="15" t="str">
        <f>IFERROR(__xludf.DUMMYFUNCTION("""COMPUTED_VALUE"""),"Top 10 Performance Marketing Companies in London | ROI Driven")</f>
        <v>Top 10 Performance Marketing Companies in London | ROI Driven</v>
      </c>
      <c r="C538" s="15" t="str">
        <f>IFERROR(__xludf.DUMMYFUNCTION("""COMPUTED_VALUE"""),"companies.london")</f>
        <v>companies.london</v>
      </c>
      <c r="D538" s="15" t="str">
        <f>IFERROR(__xludf.DUMMYFUNCTION("""COMPUTED_VALUE"""),"LISTICLE")</f>
        <v>LISTICLE</v>
      </c>
      <c r="E538" s="15" t="str">
        <f>IFERROR(__xludf.DUMMYFUNCTION("""COMPUTED_VALUE"""),"REFERENCE")</f>
        <v>REFERENCE</v>
      </c>
      <c r="F538" s="15" t="str">
        <f>IFERROR(__xludf.DUMMYFUNCTION("""COMPUTED_VALUE"""),"Listicle")</f>
        <v>Listicle</v>
      </c>
      <c r="G538" s="15" t="b">
        <f>IFERROR(__xludf.DUMMYFUNCTION("""COMPUTED_VALUE"""),FALSE)</f>
        <v>0</v>
      </c>
      <c r="H538" s="15" t="str">
        <f>IFERROR(__xludf.DUMMYFUNCTION("""COMPUTED_VALUE"""),"inBeat, The Social Shepherd, PMG, Bind Media")</f>
        <v>inBeat, The Social Shepherd, PMG, Bind Media</v>
      </c>
      <c r="I538" s="15">
        <f>IFERROR(__xludf.DUMMYFUNCTION("""COMPUTED_VALUE"""),1.0)</f>
        <v>1</v>
      </c>
      <c r="J538" s="15">
        <f>IFERROR(__xludf.DUMMYFUNCTION("""COMPUTED_VALUE"""),0.0)</f>
        <v>0</v>
      </c>
      <c r="K538" s="15">
        <f>IFERROR(__xludf.DUMMYFUNCTION("""COMPUTED_VALUE"""),3.0)</f>
        <v>3</v>
      </c>
      <c r="L538" s="15"/>
    </row>
    <row r="539" ht="15.75" customHeight="1">
      <c r="A539" s="14" t="str">
        <f>IFERROR(__xludf.DUMMYFUNCTION("""COMPUTED_VALUE"""),"https://www.consultancy.eu/news/7008/googles-top-emea-premier-partner-digital-marketing-consultancies")</f>
        <v>https://www.consultancy.eu/news/7008/googles-top-emea-premier-partner-digital-marketing-consultancies</v>
      </c>
      <c r="B539" s="15" t="str">
        <f>IFERROR(__xludf.DUMMYFUNCTION("""COMPUTED_VALUE"""),"Google’s top EMEA premier partner digital marketing consultancies")</f>
        <v>Google’s top EMEA premier partner digital marketing consultancies</v>
      </c>
      <c r="C539" s="15" t="str">
        <f>IFERROR(__xludf.DUMMYFUNCTION("""COMPUTED_VALUE"""),"consultancy.eu")</f>
        <v>consultancy.eu</v>
      </c>
      <c r="D539" s="15" t="str">
        <f>IFERROR(__xludf.DUMMYFUNCTION("""COMPUTED_VALUE"""),"ARTICLE")</f>
        <v>ARTICLE</v>
      </c>
      <c r="E539" s="15" t="str">
        <f>IFERROR(__xludf.DUMMYFUNCTION("""COMPUTED_VALUE"""),"REFERENCE")</f>
        <v>REFERENCE</v>
      </c>
      <c r="F539" s="15" t="str">
        <f>IFERROR(__xludf.DUMMYFUNCTION("""COMPUTED_VALUE"""),"Article")</f>
        <v>Article</v>
      </c>
      <c r="G539" s="15" t="b">
        <f>IFERROR(__xludf.DUMMYFUNCTION("""COMPUTED_VALUE"""),FALSE)</f>
        <v>0</v>
      </c>
      <c r="H539" s="15" t="str">
        <f>IFERROR(__xludf.DUMMYFUNCTION("""COMPUTED_VALUE"""),"Merkle, Croud, Labelium, Brainlabs, Jellyfish, Artefact")</f>
        <v>Merkle, Croud, Labelium, Brainlabs, Jellyfish, Artefact</v>
      </c>
      <c r="I539" s="15">
        <f>IFERROR(__xludf.DUMMYFUNCTION("""COMPUTED_VALUE"""),1.0)</f>
        <v>1</v>
      </c>
      <c r="J539" s="15">
        <f>IFERROR(__xludf.DUMMYFUNCTION("""COMPUTED_VALUE"""),0.0)</f>
        <v>0</v>
      </c>
      <c r="K539" s="15">
        <f>IFERROR(__xludf.DUMMYFUNCTION("""COMPUTED_VALUE"""),1.0)</f>
        <v>1</v>
      </c>
      <c r="L539" s="15"/>
    </row>
    <row r="540" ht="15.75" customHeight="1">
      <c r="A540" s="14" t="str">
        <f>IFERROR(__xludf.DUMMYFUNCTION("""COMPUTED_VALUE"""),"https://www.consultancy.uk/rankings/top-consulting-firms-in-the-uk-by-area-of-expertise/marketing#:~:text=Simon%2DKucher%20is%20a%20global,Publicis%20Sapient")</f>
        <v>https://www.consultancy.uk/rankings/top-consulting-firms-in-the-uk-by-area-of-expertise/marketing#:~:text=Simon%2DKucher%20is%20a%20global,Publicis%20Sapient</v>
      </c>
      <c r="B540" s="15" t="str">
        <f>IFERROR(__xludf.DUMMYFUNCTION("""COMPUTED_VALUE"""),"Top Marketing consulting firms in the UK")</f>
        <v>Top Marketing consulting firms in the UK</v>
      </c>
      <c r="C540" s="14" t="str">
        <f>IFERROR(__xludf.DUMMYFUNCTION("""COMPUTED_VALUE"""),"consultancy.uk")</f>
        <v>consultancy.uk</v>
      </c>
      <c r="D540" s="15" t="str">
        <f>IFERROR(__xludf.DUMMYFUNCTION("""COMPUTED_VALUE"""),"OTHER")</f>
        <v>OTHER</v>
      </c>
      <c r="E540" s="15" t="str">
        <f>IFERROR(__xludf.DUMMYFUNCTION("""COMPUTED_VALUE"""),"REFERENCE")</f>
        <v>REFERENCE</v>
      </c>
      <c r="F540" s="15" t="str">
        <f>IFERROR(__xludf.DUMMYFUNCTION("""COMPUTED_VALUE"""),"Other")</f>
        <v>Other</v>
      </c>
      <c r="G540" s="15" t="b">
        <f>IFERROR(__xludf.DUMMYFUNCTION("""COMPUTED_VALUE"""),FALSE)</f>
        <v>0</v>
      </c>
      <c r="H540" s="15" t="str">
        <f>IFERROR(__xludf.DUMMYFUNCTION("""COMPUTED_VALUE"""),"EY, Ogilvy, Kantar, PwC, McKinsey &amp; Company, Merkle, Artefact, Ekimetrics")</f>
        <v>EY, Ogilvy, Kantar, PwC, McKinsey &amp; Company, Merkle, Artefact, Ekimetrics</v>
      </c>
      <c r="I540" s="15">
        <f>IFERROR(__xludf.DUMMYFUNCTION("""COMPUTED_VALUE"""),1.0)</f>
        <v>1</v>
      </c>
      <c r="J540" s="15">
        <f>IFERROR(__xludf.DUMMYFUNCTION("""COMPUTED_VALUE"""),0.0)</f>
        <v>0</v>
      </c>
      <c r="K540" s="15">
        <f>IFERROR(__xludf.DUMMYFUNCTION("""COMPUTED_VALUE"""),1.0)</f>
        <v>1</v>
      </c>
      <c r="L540" s="15"/>
    </row>
    <row r="541" ht="15.75" customHeight="1">
      <c r="A541" s="14" t="str">
        <f>IFERROR(__xludf.DUMMYFUNCTION("""COMPUTED_VALUE"""),"https://coolnerdsmarketing.com/top-creative-agencies-us/")</f>
        <v>https://coolnerdsmarketing.com/top-creative-agencies-us/</v>
      </c>
      <c r="B541" s="15" t="str">
        <f>IFERROR(__xludf.DUMMYFUNCTION("""COMPUTED_VALUE"""),"Top 15 Creative Agencies in the U.S. (2026)")</f>
        <v>Top 15 Creative Agencies in the U.S. (2026)</v>
      </c>
      <c r="C541" s="14" t="str">
        <f>IFERROR(__xludf.DUMMYFUNCTION("""COMPUTED_VALUE"""),"coolnerdsmarketing.com")</f>
        <v>coolnerdsmarketing.com</v>
      </c>
      <c r="D541" s="15" t="str">
        <f>IFERROR(__xludf.DUMMYFUNCTION("""COMPUTED_VALUE"""),"LISTICLE")</f>
        <v>LISTICLE</v>
      </c>
      <c r="E541" s="15" t="str">
        <f>IFERROR(__xludf.DUMMYFUNCTION("""COMPUTED_VALUE"""),"CORPORATE")</f>
        <v>CORPORATE</v>
      </c>
      <c r="F541" s="15" t="str">
        <f>IFERROR(__xludf.DUMMYFUNCTION("""COMPUTED_VALUE"""),"Listicle")</f>
        <v>Listicle</v>
      </c>
      <c r="G541" s="15" t="b">
        <f>IFERROR(__xludf.DUMMYFUNCTION("""COMPUTED_VALUE"""),FALSE)</f>
        <v>0</v>
      </c>
      <c r="H541" s="15" t="str">
        <f>IFERROR(__xludf.DUMMYFUNCTION("""COMPUTED_VALUE"""),"Dentsu, Momentum")</f>
        <v>Dentsu, Momentum</v>
      </c>
      <c r="I541" s="15">
        <f>IFERROR(__xludf.DUMMYFUNCTION("""COMPUTED_VALUE"""),1.0)</f>
        <v>1</v>
      </c>
      <c r="J541" s="15">
        <f>IFERROR(__xludf.DUMMYFUNCTION("""COMPUTED_VALUE"""),0.0)</f>
        <v>0</v>
      </c>
      <c r="K541" s="15">
        <f>IFERROR(__xludf.DUMMYFUNCTION("""COMPUTED_VALUE"""),0.0)</f>
        <v>0</v>
      </c>
      <c r="L541" s="15"/>
    </row>
    <row r="542" ht="15.75" customHeight="1">
      <c r="A542" s="14" t="str">
        <f>IFERROR(__xludf.DUMMYFUNCTION("""COMPUTED_VALUE"""),"https://www.cornishwebservices.co.uk/articles/marketing/Top-10-Social-Media-Agencies-in-the-UK-in-2026.html")</f>
        <v>https://www.cornishwebservices.co.uk/articles/marketing/Top-10-Social-Media-Agencies-in-the-UK-in-2026.html</v>
      </c>
      <c r="B542" s="15" t="str">
        <f>IFERROR(__xludf.DUMMYFUNCTION("""COMPUTED_VALUE"""),"Top 10 Social Media Agencies in the UK (2026)")</f>
        <v>Top 10 Social Media Agencies in the UK (2026)</v>
      </c>
      <c r="C542" s="14" t="str">
        <f>IFERROR(__xludf.DUMMYFUNCTION("""COMPUTED_VALUE"""),"cornishwebservices.co.uk")</f>
        <v>cornishwebservices.co.uk</v>
      </c>
      <c r="D542" s="15" t="str">
        <f>IFERROR(__xludf.DUMMYFUNCTION("""COMPUTED_VALUE"""),"LISTICLE")</f>
        <v>LISTICLE</v>
      </c>
      <c r="E542" s="15" t="str">
        <f>IFERROR(__xludf.DUMMYFUNCTION("""COMPUTED_VALUE"""),"CORPORATE")</f>
        <v>CORPORATE</v>
      </c>
      <c r="F542" s="15" t="str">
        <f>IFERROR(__xludf.DUMMYFUNCTION("""COMPUTED_VALUE"""),"Listicle")</f>
        <v>Listicle</v>
      </c>
      <c r="G542" s="15" t="b">
        <f>IFERROR(__xludf.DUMMYFUNCTION("""COMPUTED_VALUE"""),FALSE)</f>
        <v>0</v>
      </c>
      <c r="H542" s="15" t="str">
        <f>IFERROR(__xludf.DUMMYFUNCTION("""COMPUTED_VALUE"""),"Social Chain, We Are Social, Jellyfish, Passion Digital")</f>
        <v>Social Chain, We Are Social, Jellyfish, Passion Digital</v>
      </c>
      <c r="I542" s="15">
        <f>IFERROR(__xludf.DUMMYFUNCTION("""COMPUTED_VALUE"""),1.0)</f>
        <v>1</v>
      </c>
      <c r="J542" s="15">
        <f>IFERROR(__xludf.DUMMYFUNCTION("""COMPUTED_VALUE"""),0.0)</f>
        <v>0</v>
      </c>
      <c r="K542" s="15">
        <f>IFERROR(__xludf.DUMMYFUNCTION("""COMPUTED_VALUE"""),0.0)</f>
        <v>0</v>
      </c>
      <c r="L542" s="15"/>
    </row>
    <row r="543" ht="15.75" customHeight="1">
      <c r="A543" s="14" t="str">
        <f>IFERROR(__xludf.DUMMYFUNCTION("""COMPUTED_VALUE"""),"https://www.cornishwebservices.co.uk/articles/marketing/Top-Digital-Marketing-Agencies-in-the-UK.html")</f>
        <v>https://www.cornishwebservices.co.uk/articles/marketing/Top-Digital-Marketing-Agencies-in-the-UK.html</v>
      </c>
      <c r="B543" s="15" t="str">
        <f>IFERROR(__xludf.DUMMYFUNCTION("""COMPUTED_VALUE"""),"Top Digital Marketing Agencies in the UK (2026)")</f>
        <v>Top Digital Marketing Agencies in the UK (2026)</v>
      </c>
      <c r="C543" s="14" t="str">
        <f>IFERROR(__xludf.DUMMYFUNCTION("""COMPUTED_VALUE"""),"cornishwebservices.co.uk")</f>
        <v>cornishwebservices.co.uk</v>
      </c>
      <c r="D543" s="15" t="str">
        <f>IFERROR(__xludf.DUMMYFUNCTION("""COMPUTED_VALUE"""),"LISTICLE")</f>
        <v>LISTICLE</v>
      </c>
      <c r="E543" s="15" t="str">
        <f>IFERROR(__xludf.DUMMYFUNCTION("""COMPUTED_VALUE"""),"CORPORATE")</f>
        <v>CORPORATE</v>
      </c>
      <c r="F543" s="15" t="str">
        <f>IFERROR(__xludf.DUMMYFUNCTION("""COMPUTED_VALUE"""),"Listicle")</f>
        <v>Listicle</v>
      </c>
      <c r="G543" s="15" t="b">
        <f>IFERROR(__xludf.DUMMYFUNCTION("""COMPUTED_VALUE"""),FALSE)</f>
        <v>0</v>
      </c>
      <c r="H543" s="15" t="str">
        <f>IFERROR(__xludf.DUMMYFUNCTION("""COMPUTED_VALUE"""),"Impression, Brainlabs, Hallam, Found, Croud")</f>
        <v>Impression, Brainlabs, Hallam, Found, Croud</v>
      </c>
      <c r="I543" s="15">
        <f>IFERROR(__xludf.DUMMYFUNCTION("""COMPUTED_VALUE"""),1.0)</f>
        <v>1</v>
      </c>
      <c r="J543" s="15">
        <f>IFERROR(__xludf.DUMMYFUNCTION("""COMPUTED_VALUE"""),0.0)</f>
        <v>0</v>
      </c>
      <c r="K543" s="15">
        <f>IFERROR(__xludf.DUMMYFUNCTION("""COMPUTED_VALUE"""),0.0)</f>
        <v>0</v>
      </c>
      <c r="L543" s="15"/>
    </row>
    <row r="544" ht="15.75" customHeight="1">
      <c r="A544" s="14" t="str">
        <f>IFERROR(__xludf.DUMMYFUNCTION("""COMPUTED_VALUE"""),"https://corsactech.com/cloud-migration-service-providers")</f>
        <v>https://corsactech.com/cloud-migration-service-providers</v>
      </c>
      <c r="B544" s="15" t="str">
        <f>IFERROR(__xludf.DUMMYFUNCTION("""COMPUTED_VALUE"""),"Best 22 Cloud Migration Service Providers to Watch in 2026")</f>
        <v>Best 22 Cloud Migration Service Providers to Watch in 2026</v>
      </c>
      <c r="C544" s="14" t="str">
        <f>IFERROR(__xludf.DUMMYFUNCTION("""COMPUTED_VALUE"""),"corsactech.com")</f>
        <v>corsactech.com</v>
      </c>
      <c r="D544" s="15" t="str">
        <f>IFERROR(__xludf.DUMMYFUNCTION("""COMPUTED_VALUE"""),"PRODUCT_PAGE")</f>
        <v>PRODUCT_PAGE</v>
      </c>
      <c r="E544" s="15" t="str">
        <f>IFERROR(__xludf.DUMMYFUNCTION("""COMPUTED_VALUE"""),"CORPORATE")</f>
        <v>CORPORATE</v>
      </c>
      <c r="F544" s="15" t="str">
        <f>IFERROR(__xludf.DUMMYFUNCTION("""COMPUTED_VALUE"""),"Product Page")</f>
        <v>Product Page</v>
      </c>
      <c r="G544" s="15" t="b">
        <f>IFERROR(__xludf.DUMMYFUNCTION("""COMPUTED_VALUE"""),FALSE)</f>
        <v>0</v>
      </c>
      <c r="H544" s="15"/>
      <c r="I544" s="15">
        <f>IFERROR(__xludf.DUMMYFUNCTION("""COMPUTED_VALUE"""),1.0)</f>
        <v>1</v>
      </c>
      <c r="J544" s="15">
        <f>IFERROR(__xludf.DUMMYFUNCTION("""COMPUTED_VALUE"""),0.0)</f>
        <v>0</v>
      </c>
      <c r="K544" s="15">
        <f>IFERROR(__xludf.DUMMYFUNCTION("""COMPUTED_VALUE"""),0.0)</f>
        <v>0</v>
      </c>
      <c r="L544" s="15"/>
    </row>
    <row r="545" ht="15.75" customHeight="1">
      <c r="A545" s="14" t="str">
        <f>IFERROR(__xludf.DUMMYFUNCTION("""COMPUTED_VALUE"""),"https://www.creativecorner.studio/blog/best-marketing-agencies-in-europe")</f>
        <v>https://www.creativecorner.studio/blog/best-marketing-agencies-in-europe</v>
      </c>
      <c r="B545" s="15" t="str">
        <f>IFERROR(__xludf.DUMMYFUNCTION("""COMPUTED_VALUE"""),"11 Best Marketing Agencies in Europe [2026]")</f>
        <v>11 Best Marketing Agencies in Europe [2026]</v>
      </c>
      <c r="C545" s="15" t="str">
        <f>IFERROR(__xludf.DUMMYFUNCTION("""COMPUTED_VALUE"""),"creativecorner.studio")</f>
        <v>creativecorner.studio</v>
      </c>
      <c r="D545" s="15" t="str">
        <f>IFERROR(__xludf.DUMMYFUNCTION("""COMPUTED_VALUE"""),"LISTICLE")</f>
        <v>LISTICLE</v>
      </c>
      <c r="E545" s="15" t="str">
        <f>IFERROR(__xludf.DUMMYFUNCTION("""COMPUTED_VALUE"""),"CORPORATE")</f>
        <v>CORPORATE</v>
      </c>
      <c r="F545" s="15" t="str">
        <f>IFERROR(__xludf.DUMMYFUNCTION("""COMPUTED_VALUE"""),"Listicle")</f>
        <v>Listicle</v>
      </c>
      <c r="G545" s="15" t="b">
        <f>IFERROR(__xludf.DUMMYFUNCTION("""COMPUTED_VALUE"""),FALSE)</f>
        <v>0</v>
      </c>
      <c r="H545" s="15" t="str">
        <f>IFERROR(__xludf.DUMMYFUNCTION("""COMPUTED_VALUE"""),"Found, The Social Shepherd, Saatchi &amp; Saatchi")</f>
        <v>Found, The Social Shepherd, Saatchi &amp; Saatchi</v>
      </c>
      <c r="I545" s="15">
        <f>IFERROR(__xludf.DUMMYFUNCTION("""COMPUTED_VALUE"""),1.0)</f>
        <v>1</v>
      </c>
      <c r="J545" s="15">
        <f>IFERROR(__xludf.DUMMYFUNCTION("""COMPUTED_VALUE"""),0.0)</f>
        <v>0</v>
      </c>
      <c r="K545" s="15">
        <f>IFERROR(__xludf.DUMMYFUNCTION("""COMPUTED_VALUE"""),0.0)</f>
        <v>0</v>
      </c>
      <c r="L545" s="15"/>
    </row>
    <row r="546" ht="15.75" customHeight="1">
      <c r="A546" s="14" t="str">
        <f>IFERROR(__xludf.DUMMYFUNCTION("""COMPUTED_VALUE"""),"https://www.creativemarketingltd.co.uk/blog/top-fashion-marketing-agencies")</f>
        <v>https://www.creativemarketingltd.co.uk/blog/top-fashion-marketing-agencies</v>
      </c>
      <c r="B546" s="15" t="str">
        <f>IFERROR(__xludf.DUMMYFUNCTION("""COMPUTED_VALUE"""),"Top 20 Fashion Marketing Agencies in the UK (2026)")</f>
        <v>Top 20 Fashion Marketing Agencies in the UK (2026)</v>
      </c>
      <c r="C546" s="14" t="str">
        <f>IFERROR(__xludf.DUMMYFUNCTION("""COMPUTED_VALUE"""),"creativemarketingltd.co.uk")</f>
        <v>creativemarketingltd.co.uk</v>
      </c>
      <c r="D546" s="15" t="str">
        <f>IFERROR(__xludf.DUMMYFUNCTION("""COMPUTED_VALUE"""),"LISTICLE")</f>
        <v>LISTICLE</v>
      </c>
      <c r="E546" s="15" t="str">
        <f>IFERROR(__xludf.DUMMYFUNCTION("""COMPUTED_VALUE"""),"CORPORATE")</f>
        <v>CORPORATE</v>
      </c>
      <c r="F546" s="15" t="str">
        <f>IFERROR(__xludf.DUMMYFUNCTION("""COMPUTED_VALUE"""),"Listicle")</f>
        <v>Listicle</v>
      </c>
      <c r="G546" s="15" t="b">
        <f>IFERROR(__xludf.DUMMYFUNCTION("""COMPUTED_VALUE"""),FALSE)</f>
        <v>0</v>
      </c>
      <c r="H546" s="15"/>
      <c r="I546" s="15">
        <f>IFERROR(__xludf.DUMMYFUNCTION("""COMPUTED_VALUE"""),1.0)</f>
        <v>1</v>
      </c>
      <c r="J546" s="15">
        <f>IFERROR(__xludf.DUMMYFUNCTION("""COMPUTED_VALUE"""),0.0)</f>
        <v>0</v>
      </c>
      <c r="K546" s="15">
        <f>IFERROR(__xludf.DUMMYFUNCTION("""COMPUTED_VALUE"""),1.0)</f>
        <v>1</v>
      </c>
      <c r="L546" s="15"/>
    </row>
    <row r="547" ht="15.75" customHeight="1">
      <c r="A547" s="14" t="str">
        <f>IFERROR(__xludf.DUMMYFUNCTION("""COMPUTED_VALUE"""),"https://www.darkroomagency.com/observatory/best-performance-marketing-agencies-in-2026")</f>
        <v>https://www.darkroomagency.com/observatory/best-performance-marketing-agencies-in-2026</v>
      </c>
      <c r="B547" s="15" t="str">
        <f>IFERROR(__xludf.DUMMYFUNCTION("""COMPUTED_VALUE"""),"Best Performance Marketing Agencies for Ecommerce in 2026")</f>
        <v>Best Performance Marketing Agencies for Ecommerce in 2026</v>
      </c>
      <c r="C547" s="14" t="str">
        <f>IFERROR(__xludf.DUMMYFUNCTION("""COMPUTED_VALUE"""),"darkroomagency.com")</f>
        <v>darkroomagency.com</v>
      </c>
      <c r="D547" s="15" t="str">
        <f>IFERROR(__xludf.DUMMYFUNCTION("""COMPUTED_VALUE"""),"LISTICLE")</f>
        <v>LISTICLE</v>
      </c>
      <c r="E547" s="15" t="str">
        <f>IFERROR(__xludf.DUMMYFUNCTION("""COMPUTED_VALUE"""),"COMPETITOR")</f>
        <v>COMPETITOR</v>
      </c>
      <c r="F547" s="15" t="str">
        <f>IFERROR(__xludf.DUMMYFUNCTION("""COMPUTED_VALUE"""),"Listicle")</f>
        <v>Listicle</v>
      </c>
      <c r="G547" s="15" t="b">
        <f>IFERROR(__xludf.DUMMYFUNCTION("""COMPUTED_VALUE"""),FALSE)</f>
        <v>0</v>
      </c>
      <c r="H547" s="15" t="str">
        <f>IFERROR(__xludf.DUMMYFUNCTION("""COMPUTED_VALUE"""),"Darkroom, Tinuiti, Wpromote, Power Digital, Common Thread Collective, Disruptive Advertising, Ignite Visibility, WebFX, Measured")</f>
        <v>Darkroom, Tinuiti, Wpromote, Power Digital, Common Thread Collective, Disruptive Advertising, Ignite Visibility, WebFX, Measured</v>
      </c>
      <c r="I547" s="15">
        <f>IFERROR(__xludf.DUMMYFUNCTION("""COMPUTED_VALUE"""),1.0)</f>
        <v>1</v>
      </c>
      <c r="J547" s="15">
        <f>IFERROR(__xludf.DUMMYFUNCTION("""COMPUTED_VALUE"""),0.0)</f>
        <v>0</v>
      </c>
      <c r="K547" s="15">
        <f>IFERROR(__xludf.DUMMYFUNCTION("""COMPUTED_VALUE"""),1.0)</f>
        <v>1</v>
      </c>
      <c r="L547" s="15"/>
    </row>
    <row r="548" ht="15.75" customHeight="1">
      <c r="A548" s="14" t="str">
        <f>IFERROR(__xludf.DUMMYFUNCTION("""COMPUTED_VALUE"""),"https://www.dataally.ai/blog/top-paid-media-agencies")</f>
        <v>https://www.dataally.ai/blog/top-paid-media-agencies</v>
      </c>
      <c r="B548" s="15" t="str">
        <f>IFERROR(__xludf.DUMMYFUNCTION("""COMPUTED_VALUE"""),"Top 15 Paid Media Agencies in 2026")</f>
        <v>Top 15 Paid Media Agencies in 2026</v>
      </c>
      <c r="C548" s="14" t="str">
        <f>IFERROR(__xludf.DUMMYFUNCTION("""COMPUTED_VALUE"""),"dataally.ai")</f>
        <v>dataally.ai</v>
      </c>
      <c r="D548" s="15" t="str">
        <f>IFERROR(__xludf.DUMMYFUNCTION("""COMPUTED_VALUE"""),"LISTICLE")</f>
        <v>LISTICLE</v>
      </c>
      <c r="E548" s="15" t="str">
        <f>IFERROR(__xludf.DUMMYFUNCTION("""COMPUTED_VALUE"""),"CORPORATE")</f>
        <v>CORPORATE</v>
      </c>
      <c r="F548" s="15" t="str">
        <f>IFERROR(__xludf.DUMMYFUNCTION("""COMPUTED_VALUE"""),"Listicle")</f>
        <v>Listicle</v>
      </c>
      <c r="G548" s="15" t="b">
        <f>IFERROR(__xludf.DUMMYFUNCTION("""COMPUTED_VALUE"""),FALSE)</f>
        <v>0</v>
      </c>
      <c r="H548" s="15" t="str">
        <f>IFERROR(__xludf.DUMMYFUNCTION("""COMPUTED_VALUE"""),"Ninja Promo, inBeat, The Social Shepherd, Darkroom, Disruptive Advertising, NP Digital, WebFX, Found, Push")</f>
        <v>Ninja Promo, inBeat, The Social Shepherd, Darkroom, Disruptive Advertising, NP Digital, WebFX, Found, Push</v>
      </c>
      <c r="I548" s="15">
        <f>IFERROR(__xludf.DUMMYFUNCTION("""COMPUTED_VALUE"""),1.0)</f>
        <v>1</v>
      </c>
      <c r="J548" s="15">
        <f>IFERROR(__xludf.DUMMYFUNCTION("""COMPUTED_VALUE"""),0.0)</f>
        <v>0</v>
      </c>
      <c r="K548" s="15">
        <f>IFERROR(__xludf.DUMMYFUNCTION("""COMPUTED_VALUE"""),0.0)</f>
        <v>0</v>
      </c>
      <c r="L548" s="15"/>
    </row>
    <row r="549" ht="15.75" customHeight="1">
      <c r="A549" s="14" t="str">
        <f>IFERROR(__xludf.DUMMYFUNCTION("""COMPUTED_VALUE"""),"https://www.decentriq.com/article/best-data-management-platforms")</f>
        <v>https://www.decentriq.com/article/best-data-management-platforms</v>
      </c>
      <c r="B549" s="15" t="str">
        <f>IFERROR(__xludf.DUMMYFUNCTION("""COMPUTED_VALUE"""),"Best data management platforms for advertising (2026)")</f>
        <v>Best data management platforms for advertising (2026)</v>
      </c>
      <c r="C549" s="14" t="str">
        <f>IFERROR(__xludf.DUMMYFUNCTION("""COMPUTED_VALUE"""),"decentriq.com")</f>
        <v>decentriq.com</v>
      </c>
      <c r="D549" s="15" t="str">
        <f>IFERROR(__xludf.DUMMYFUNCTION("""COMPUTED_VALUE"""),"LISTICLE")</f>
        <v>LISTICLE</v>
      </c>
      <c r="E549" s="15" t="str">
        <f>IFERROR(__xludf.DUMMYFUNCTION("""COMPUTED_VALUE"""),"CORPORATE")</f>
        <v>CORPORATE</v>
      </c>
      <c r="F549" s="15" t="str">
        <f>IFERROR(__xludf.DUMMYFUNCTION("""COMPUTED_VALUE"""),"Listicle")</f>
        <v>Listicle</v>
      </c>
      <c r="G549" s="15" t="b">
        <f>IFERROR(__xludf.DUMMYFUNCTION("""COMPUTED_VALUE"""),FALSE)</f>
        <v>0</v>
      </c>
      <c r="H549" s="15" t="str">
        <f>IFERROR(__xludf.DUMMYFUNCTION("""COMPUTED_VALUE"""),"Found, Push, Impression")</f>
        <v>Found, Push, Impression</v>
      </c>
      <c r="I549" s="15">
        <f>IFERROR(__xludf.DUMMYFUNCTION("""COMPUTED_VALUE"""),1.0)</f>
        <v>1</v>
      </c>
      <c r="J549" s="15">
        <f>IFERROR(__xludf.DUMMYFUNCTION("""COMPUTED_VALUE"""),0.0)</f>
        <v>0</v>
      </c>
      <c r="K549" s="15">
        <f>IFERROR(__xludf.DUMMYFUNCTION("""COMPUTED_VALUE"""),0.0)</f>
        <v>0</v>
      </c>
      <c r="L549" s="15"/>
    </row>
    <row r="550" ht="15.75" customHeight="1">
      <c r="A550" s="14" t="str">
        <f>IFERROR(__xludf.DUMMYFUNCTION("""COMPUTED_VALUE"""),"https://delivix.digital/marketing/marketing-agencies-in-the-uk/")</f>
        <v>https://delivix.digital/marketing/marketing-agencies-in-the-uk/</v>
      </c>
      <c r="B550" s="15" t="str">
        <f>IFERROR(__xludf.DUMMYFUNCTION("""COMPUTED_VALUE"""),"Top 10 marketing agencies in the UK for business growth")</f>
        <v>Top 10 marketing agencies in the UK for business growth</v>
      </c>
      <c r="C550" s="15" t="str">
        <f>IFERROR(__xludf.DUMMYFUNCTION("""COMPUTED_VALUE"""),"delivix.digital")</f>
        <v>delivix.digital</v>
      </c>
      <c r="D550" s="15" t="str">
        <f>IFERROR(__xludf.DUMMYFUNCTION("""COMPUTED_VALUE"""),"LISTICLE")</f>
        <v>LISTICLE</v>
      </c>
      <c r="E550" s="15" t="str">
        <f>IFERROR(__xludf.DUMMYFUNCTION("""COMPUTED_VALUE"""),"CORPORATE")</f>
        <v>CORPORATE</v>
      </c>
      <c r="F550" s="15" t="str">
        <f>IFERROR(__xludf.DUMMYFUNCTION("""COMPUTED_VALUE"""),"Listicle")</f>
        <v>Listicle</v>
      </c>
      <c r="G550" s="15" t="b">
        <f>IFERROR(__xludf.DUMMYFUNCTION("""COMPUTED_VALUE"""),FALSE)</f>
        <v>0</v>
      </c>
      <c r="H550" s="15" t="str">
        <f>IFERROR(__xludf.DUMMYFUNCTION("""COMPUTED_VALUE"""),"The Good Marketer, Passion Digital, Found")</f>
        <v>The Good Marketer, Passion Digital, Found</v>
      </c>
      <c r="I550" s="15">
        <f>IFERROR(__xludf.DUMMYFUNCTION("""COMPUTED_VALUE"""),1.0)</f>
        <v>1</v>
      </c>
      <c r="J550" s="15">
        <f>IFERROR(__xludf.DUMMYFUNCTION("""COMPUTED_VALUE"""),0.0)</f>
        <v>0</v>
      </c>
      <c r="K550" s="15">
        <f>IFERROR(__xludf.DUMMYFUNCTION("""COMPUTED_VALUE"""),1.0)</f>
        <v>1</v>
      </c>
      <c r="L550" s="15"/>
    </row>
    <row r="551" ht="15.75" customHeight="1">
      <c r="A551" s="14" t="str">
        <f>IFERROR(__xludf.DUMMYFUNCTION("""COMPUTED_VALUE"""),"https://www.delve.ai/blog/audience-insights-tools")</f>
        <v>https://www.delve.ai/blog/audience-insights-tools</v>
      </c>
      <c r="B551" s="15" t="str">
        <f>IFERROR(__xludf.DUMMYFUNCTION("""COMPUTED_VALUE"""),"Top 13 Audience Insights Tools For Marketers in 2026 [Free+Paid]")</f>
        <v>Top 13 Audience Insights Tools For Marketers in 2026 [Free+Paid]</v>
      </c>
      <c r="C551" s="14" t="str">
        <f>IFERROR(__xludf.DUMMYFUNCTION("""COMPUTED_VALUE"""),"delve.ai")</f>
        <v>delve.ai</v>
      </c>
      <c r="D551" s="15" t="str">
        <f>IFERROR(__xludf.DUMMYFUNCTION("""COMPUTED_VALUE"""),"LISTICLE")</f>
        <v>LISTICLE</v>
      </c>
      <c r="E551" s="15" t="str">
        <f>IFERROR(__xludf.DUMMYFUNCTION("""COMPUTED_VALUE"""),"CORPORATE")</f>
        <v>CORPORATE</v>
      </c>
      <c r="F551" s="15" t="str">
        <f>IFERROR(__xludf.DUMMYFUNCTION("""COMPUTED_VALUE"""),"Listicle")</f>
        <v>Listicle</v>
      </c>
      <c r="G551" s="15" t="b">
        <f>IFERROR(__xludf.DUMMYFUNCTION("""COMPUTED_VALUE"""),FALSE)</f>
        <v>0</v>
      </c>
      <c r="H551" s="15" t="str">
        <f>IFERROR(__xludf.DUMMYFUNCTION("""COMPUTED_VALUE"""),"Momentum, YouGov")</f>
        <v>Momentum, YouGov</v>
      </c>
      <c r="I551" s="15">
        <f>IFERROR(__xludf.DUMMYFUNCTION("""COMPUTED_VALUE"""),1.0)</f>
        <v>1</v>
      </c>
      <c r="J551" s="15">
        <f>IFERROR(__xludf.DUMMYFUNCTION("""COMPUTED_VALUE"""),0.0)</f>
        <v>0</v>
      </c>
      <c r="K551" s="15">
        <f>IFERROR(__xludf.DUMMYFUNCTION("""COMPUTED_VALUE"""),1.0)</f>
        <v>1</v>
      </c>
      <c r="L551" s="15"/>
    </row>
    <row r="552" ht="15.75" customHeight="1">
      <c r="A552" s="14" t="str">
        <f>IFERROR(__xludf.DUMMYFUNCTION("""COMPUTED_VALUE"""),"https://www.designrush.com/agency/digital-marketing/analytics")</f>
        <v>https://www.designrush.com/agency/digital-marketing/analytics</v>
      </c>
      <c r="B552" s="15" t="str">
        <f>IFERROR(__xludf.DUMMYFUNCTION("""COMPUTED_VALUE"""),"Top Marketing Analytics Agencies in 2026")</f>
        <v>Top Marketing Analytics Agencies in 2026</v>
      </c>
      <c r="C552" s="14" t="str">
        <f>IFERROR(__xludf.DUMMYFUNCTION("""COMPUTED_VALUE"""),"designrush.com")</f>
        <v>designrush.com</v>
      </c>
      <c r="D552" s="15" t="str">
        <f>IFERROR(__xludf.DUMMYFUNCTION("""COMPUTED_VALUE"""),"CATEGORY_PAGE")</f>
        <v>CATEGORY_PAGE</v>
      </c>
      <c r="E552" s="15" t="str">
        <f>IFERROR(__xludf.DUMMYFUNCTION("""COMPUTED_VALUE"""),"CORPORATE")</f>
        <v>CORPORATE</v>
      </c>
      <c r="F552" s="15" t="str">
        <f>IFERROR(__xludf.DUMMYFUNCTION("""COMPUTED_VALUE"""),"Category Page")</f>
        <v>Category Page</v>
      </c>
      <c r="G552" s="15" t="b">
        <f>IFERROR(__xludf.DUMMYFUNCTION("""COMPUTED_VALUE"""),FALSE)</f>
        <v>0</v>
      </c>
      <c r="H552" s="15" t="str">
        <f>IFERROR(__xludf.DUMMYFUNCTION("""COMPUTED_VALUE"""),"Huge, Monks, Found, Ignite Visibility, Ruler Analytics")</f>
        <v>Huge, Monks, Found, Ignite Visibility, Ruler Analytics</v>
      </c>
      <c r="I552" s="15">
        <f>IFERROR(__xludf.DUMMYFUNCTION("""COMPUTED_VALUE"""),1.0)</f>
        <v>1</v>
      </c>
      <c r="J552" s="15">
        <f>IFERROR(__xludf.DUMMYFUNCTION("""COMPUTED_VALUE"""),0.0)</f>
        <v>0</v>
      </c>
      <c r="K552" s="15">
        <f>IFERROR(__xludf.DUMMYFUNCTION("""COMPUTED_VALUE"""),0.0)</f>
        <v>0</v>
      </c>
      <c r="L552" s="15"/>
    </row>
    <row r="553" ht="15.75" customHeight="1">
      <c r="A553" s="14" t="str">
        <f>IFERROR(__xludf.DUMMYFUNCTION("""COMPUTED_VALUE"""),"https://www.designrush.com/agency/digital-marketing/integrated-marketing")</f>
        <v>https://www.designrush.com/agency/digital-marketing/integrated-marketing</v>
      </c>
      <c r="B553" s="15" t="str">
        <f>IFERROR(__xludf.DUMMYFUNCTION("""COMPUTED_VALUE"""),"Top Integrated Marketing Agencies in 2026")</f>
        <v>Top Integrated Marketing Agencies in 2026</v>
      </c>
      <c r="C553" s="14" t="str">
        <f>IFERROR(__xludf.DUMMYFUNCTION("""COMPUTED_VALUE"""),"designrush.com")</f>
        <v>designrush.com</v>
      </c>
      <c r="D553" s="15" t="str">
        <f>IFERROR(__xludf.DUMMYFUNCTION("""COMPUTED_VALUE"""),"LISTICLE")</f>
        <v>LISTICLE</v>
      </c>
      <c r="E553" s="15" t="str">
        <f>IFERROR(__xludf.DUMMYFUNCTION("""COMPUTED_VALUE"""),"CORPORATE")</f>
        <v>CORPORATE</v>
      </c>
      <c r="F553" s="15" t="str">
        <f>IFERROR(__xludf.DUMMYFUNCTION("""COMPUTED_VALUE"""),"Listicle")</f>
        <v>Listicle</v>
      </c>
      <c r="G553" s="15" t="b">
        <f>IFERROR(__xludf.DUMMYFUNCTION("""COMPUTED_VALUE"""),FALSE)</f>
        <v>0</v>
      </c>
      <c r="H553" s="15" t="str">
        <f>IFERROR(__xludf.DUMMYFUNCTION("""COMPUTED_VALUE"""),"Momentum, PwC, Wpromote")</f>
        <v>Momentum, PwC, Wpromote</v>
      </c>
      <c r="I553" s="15">
        <f>IFERROR(__xludf.DUMMYFUNCTION("""COMPUTED_VALUE"""),1.0)</f>
        <v>1</v>
      </c>
      <c r="J553" s="15">
        <f>IFERROR(__xludf.DUMMYFUNCTION("""COMPUTED_VALUE"""),0.0)</f>
        <v>0</v>
      </c>
      <c r="K553" s="15">
        <f>IFERROR(__xludf.DUMMYFUNCTION("""COMPUTED_VALUE"""),0.0)</f>
        <v>0</v>
      </c>
      <c r="L553" s="15"/>
    </row>
    <row r="554" ht="15.75" customHeight="1">
      <c r="A554" s="14" t="str">
        <f>IFERROR(__xludf.DUMMYFUNCTION("""COMPUTED_VALUE"""),"https://www.devopsschool.com/blog/top-10-brand-tracking-tools-features-pros-cons-comparison/")</f>
        <v>https://www.devopsschool.com/blog/top-10-brand-tracking-tools-features-pros-cons-comparison/</v>
      </c>
      <c r="B554" s="15" t="str">
        <f>IFERROR(__xludf.DUMMYFUNCTION("""COMPUTED_VALUE"""),"Top 10 Brand Tracking Tools: Features, Pros, Cons &amp;amp; Comparison")</f>
        <v>Top 10 Brand Tracking Tools: Features, Pros, Cons &amp;amp; Comparison</v>
      </c>
      <c r="C554" s="14" t="str">
        <f>IFERROR(__xludf.DUMMYFUNCTION("""COMPUTED_VALUE"""),"devopsschool.com")</f>
        <v>devopsschool.com</v>
      </c>
      <c r="D554" s="15" t="str">
        <f>IFERROR(__xludf.DUMMYFUNCTION("""COMPUTED_VALUE"""),"LISTICLE")</f>
        <v>LISTICLE</v>
      </c>
      <c r="E554" s="15" t="str">
        <f>IFERROR(__xludf.DUMMYFUNCTION("""COMPUTED_VALUE"""),"INSTITUTIONAL")</f>
        <v>INSTITUTIONAL</v>
      </c>
      <c r="F554" s="15" t="str">
        <f>IFERROR(__xludf.DUMMYFUNCTION("""COMPUTED_VALUE"""),"Listicle")</f>
        <v>Listicle</v>
      </c>
      <c r="G554" s="15" t="b">
        <f>IFERROR(__xludf.DUMMYFUNCTION("""COMPUTED_VALUE"""),FALSE)</f>
        <v>0</v>
      </c>
      <c r="H554" s="15" t="str">
        <f>IFERROR(__xludf.DUMMYFUNCTION("""COMPUTED_VALUE"""),"YouGov, Kantar")</f>
        <v>YouGov, Kantar</v>
      </c>
      <c r="I554" s="15">
        <f>IFERROR(__xludf.DUMMYFUNCTION("""COMPUTED_VALUE"""),1.0)</f>
        <v>1</v>
      </c>
      <c r="J554" s="15">
        <f>IFERROR(__xludf.DUMMYFUNCTION("""COMPUTED_VALUE"""),0.0)</f>
        <v>0</v>
      </c>
      <c r="K554" s="15">
        <f>IFERROR(__xludf.DUMMYFUNCTION("""COMPUTED_VALUE"""),1.0)</f>
        <v>1</v>
      </c>
      <c r="L554" s="15"/>
    </row>
    <row r="555" ht="15.75" customHeight="1">
      <c r="A555" s="14" t="str">
        <f>IFERROR(__xludf.DUMMYFUNCTION("""COMPUTED_VALUE"""),"https://devsdata.com/digital-analytics-agency-top-firms/")</f>
        <v>https://devsdata.com/digital-analytics-agency-top-firms/</v>
      </c>
      <c r="B555" s="15" t="str">
        <f>IFERROR(__xludf.DUMMYFUNCTION("""COMPUTED_VALUE"""),"Digital Analytics Agency: Top 8 Firms")</f>
        <v>Digital Analytics Agency: Top 8 Firms</v>
      </c>
      <c r="C555" s="14" t="str">
        <f>IFERROR(__xludf.DUMMYFUNCTION("""COMPUTED_VALUE"""),"devsdata.com")</f>
        <v>devsdata.com</v>
      </c>
      <c r="D555" s="15" t="str">
        <f>IFERROR(__xludf.DUMMYFUNCTION("""COMPUTED_VALUE"""),"LISTICLE")</f>
        <v>LISTICLE</v>
      </c>
      <c r="E555" s="15" t="str">
        <f>IFERROR(__xludf.DUMMYFUNCTION("""COMPUTED_VALUE"""),"CORPORATE")</f>
        <v>CORPORATE</v>
      </c>
      <c r="F555" s="15" t="str">
        <f>IFERROR(__xludf.DUMMYFUNCTION("""COMPUTED_VALUE"""),"Listicle")</f>
        <v>Listicle</v>
      </c>
      <c r="G555" s="15" t="b">
        <f>IFERROR(__xludf.DUMMYFUNCTION("""COMPUTED_VALUE"""),FALSE)</f>
        <v>0</v>
      </c>
      <c r="H555" s="15" t="str">
        <f>IFERROR(__xludf.DUMMYFUNCTION("""COMPUTED_VALUE"""),"Impression")</f>
        <v>Impression</v>
      </c>
      <c r="I555" s="15">
        <f>IFERROR(__xludf.DUMMYFUNCTION("""COMPUTED_VALUE"""),1.0)</f>
        <v>1</v>
      </c>
      <c r="J555" s="15">
        <f>IFERROR(__xludf.DUMMYFUNCTION("""COMPUTED_VALUE"""),0.0)</f>
        <v>0</v>
      </c>
      <c r="K555" s="15">
        <f>IFERROR(__xludf.DUMMYFUNCTION("""COMPUTED_VALUE"""),1.0)</f>
        <v>1</v>
      </c>
      <c r="L555" s="15"/>
    </row>
    <row r="556" ht="15.75" customHeight="1">
      <c r="A556" s="14" t="str">
        <f>IFERROR(__xludf.DUMMYFUNCTION("""COMPUTED_VALUE"""),"https://digitalagencynetwork.com/agencies/london/creative/")</f>
        <v>https://digitalagencynetwork.com/agencies/london/creative/</v>
      </c>
      <c r="B556" s="15" t="str">
        <f>IFERROR(__xludf.DUMMYFUNCTION("""COMPUTED_VALUE"""),"Top Creative Agencies in London (2026)")</f>
        <v>Top Creative Agencies in London (2026)</v>
      </c>
      <c r="C556" s="14" t="str">
        <f>IFERROR(__xludf.DUMMYFUNCTION("""COMPUTED_VALUE"""),"digitalagencynetwork.com")</f>
        <v>digitalagencynetwork.com</v>
      </c>
      <c r="D556" s="15" t="str">
        <f>IFERROR(__xludf.DUMMYFUNCTION("""COMPUTED_VALUE"""),"CATEGORY_PAGE")</f>
        <v>CATEGORY_PAGE</v>
      </c>
      <c r="E556" s="15" t="str">
        <f>IFERROR(__xludf.DUMMYFUNCTION("""COMPUTED_VALUE"""),"REFERENCE")</f>
        <v>REFERENCE</v>
      </c>
      <c r="F556" s="15" t="str">
        <f>IFERROR(__xludf.DUMMYFUNCTION("""COMPUTED_VALUE"""),"Category Page")</f>
        <v>Category Page</v>
      </c>
      <c r="G556" s="15" t="b">
        <f>IFERROR(__xludf.DUMMYFUNCTION("""COMPUTED_VALUE"""),FALSE)</f>
        <v>0</v>
      </c>
      <c r="H556" s="15" t="str">
        <f>IFERROR(__xludf.DUMMYFUNCTION("""COMPUTED_VALUE"""),"Favoured, Propeller, FirstMotion, Impression, Make Agency, Bird Marketing")</f>
        <v>Favoured, Propeller, FirstMotion, Impression, Make Agency, Bird Marketing</v>
      </c>
      <c r="I556" s="15">
        <f>IFERROR(__xludf.DUMMYFUNCTION("""COMPUTED_VALUE"""),1.0)</f>
        <v>1</v>
      </c>
      <c r="J556" s="15">
        <f>IFERROR(__xludf.DUMMYFUNCTION("""COMPUTED_VALUE"""),0.0)</f>
        <v>0</v>
      </c>
      <c r="K556" s="15">
        <f>IFERROR(__xludf.DUMMYFUNCTION("""COMPUTED_VALUE"""),0.0)</f>
        <v>0</v>
      </c>
      <c r="L556" s="15"/>
    </row>
    <row r="557" ht="15.75" customHeight="1">
      <c r="A557" s="14" t="str">
        <f>IFERROR(__xludf.DUMMYFUNCTION("""COMPUTED_VALUE"""),"https://digitalagencynetwork.com/geo-agency/")</f>
        <v>https://digitalagencynetwork.com/geo-agency/</v>
      </c>
      <c r="B557" s="15" t="str">
        <f>IFERROR(__xludf.DUMMYFUNCTION("""COMPUTED_VALUE"""),"What is a GEO Agency? Top 10 GEO Agencies Leading AI Search Optimization")</f>
        <v>What is a GEO Agency? Top 10 GEO Agencies Leading AI Search Optimization</v>
      </c>
      <c r="C557" s="14" t="str">
        <f>IFERROR(__xludf.DUMMYFUNCTION("""COMPUTED_VALUE"""),"digitalagencynetwork.com")</f>
        <v>digitalagencynetwork.com</v>
      </c>
      <c r="D557" s="15" t="str">
        <f>IFERROR(__xludf.DUMMYFUNCTION("""COMPUTED_VALUE"""),"ARTICLE")</f>
        <v>ARTICLE</v>
      </c>
      <c r="E557" s="15" t="str">
        <f>IFERROR(__xludf.DUMMYFUNCTION("""COMPUTED_VALUE"""),"REFERENCE")</f>
        <v>REFERENCE</v>
      </c>
      <c r="F557" s="15" t="str">
        <f>IFERROR(__xludf.DUMMYFUNCTION("""COMPUTED_VALUE"""),"Article")</f>
        <v>Article</v>
      </c>
      <c r="G557" s="15" t="b">
        <f>IFERROR(__xludf.DUMMYFUNCTION("""COMPUTED_VALUE"""),FALSE)</f>
        <v>0</v>
      </c>
      <c r="H557" s="15" t="str">
        <f>IFERROR(__xludf.DUMMYFUNCTION("""COMPUTED_VALUE"""),"Favoured, QuantumBlack, Propeller, GA Agency, The SEO Works, Found")</f>
        <v>Favoured, QuantumBlack, Propeller, GA Agency, The SEO Works, Found</v>
      </c>
      <c r="I557" s="15">
        <f>IFERROR(__xludf.DUMMYFUNCTION("""COMPUTED_VALUE"""),1.0)</f>
        <v>1</v>
      </c>
      <c r="J557" s="15">
        <f>IFERROR(__xludf.DUMMYFUNCTION("""COMPUTED_VALUE"""),0.0)</f>
        <v>0</v>
      </c>
      <c r="K557" s="15">
        <f>IFERROR(__xludf.DUMMYFUNCTION("""COMPUTED_VALUE"""),0.0)</f>
        <v>0</v>
      </c>
      <c r="L557" s="15"/>
    </row>
    <row r="558" ht="15.75" customHeight="1">
      <c r="A558" s="14" t="str">
        <f>IFERROR(__xludf.DUMMYFUNCTION("""COMPUTED_VALUE"""),"https://www.digitallitmus.com/blog/best-linkedin-marketing-agencies-for-2024")</f>
        <v>https://www.digitallitmus.com/blog/best-linkedin-marketing-agencies-for-2024</v>
      </c>
      <c r="B558" s="15" t="str">
        <f>IFERROR(__xludf.DUMMYFUNCTION("""COMPUTED_VALUE"""),"Best LinkedIn Marketing Agencies in the UK (2025)")</f>
        <v>Best LinkedIn Marketing Agencies in the UK (2025)</v>
      </c>
      <c r="C558" s="14" t="str">
        <f>IFERROR(__xludf.DUMMYFUNCTION("""COMPUTED_VALUE"""),"digitallitmus.com")</f>
        <v>digitallitmus.com</v>
      </c>
      <c r="D558" s="15" t="str">
        <f>IFERROR(__xludf.DUMMYFUNCTION("""COMPUTED_VALUE"""),"LISTICLE")</f>
        <v>LISTICLE</v>
      </c>
      <c r="E558" s="15" t="str">
        <f>IFERROR(__xludf.DUMMYFUNCTION("""COMPUTED_VALUE"""),"CORPORATE")</f>
        <v>CORPORATE</v>
      </c>
      <c r="F558" s="15" t="str">
        <f>IFERROR(__xludf.DUMMYFUNCTION("""COMPUTED_VALUE"""),"Listicle")</f>
        <v>Listicle</v>
      </c>
      <c r="G558" s="15" t="b">
        <f>IFERROR(__xludf.DUMMYFUNCTION("""COMPUTED_VALUE"""),FALSE)</f>
        <v>0</v>
      </c>
      <c r="H558" s="15" t="str">
        <f>IFERROR(__xludf.DUMMYFUNCTION("""COMPUTED_VALUE"""),"The Good Marketer, Disruptive Advertising, The Social Shepherd")</f>
        <v>The Good Marketer, Disruptive Advertising, The Social Shepherd</v>
      </c>
      <c r="I558" s="15">
        <f>IFERROR(__xludf.DUMMYFUNCTION("""COMPUTED_VALUE"""),1.0)</f>
        <v>1</v>
      </c>
      <c r="J558" s="15">
        <f>IFERROR(__xludf.DUMMYFUNCTION("""COMPUTED_VALUE"""),0.0)</f>
        <v>0</v>
      </c>
      <c r="K558" s="15">
        <f>IFERROR(__xludf.DUMMYFUNCTION("""COMPUTED_VALUE"""),1.0)</f>
        <v>1</v>
      </c>
      <c r="L558" s="15"/>
    </row>
    <row r="559" ht="15.75" customHeight="1">
      <c r="A559" s="14" t="str">
        <f>IFERROR(__xludf.DUMMYFUNCTION("""COMPUTED_VALUE"""),"https://digitalmarketingcompanyinlondon.com/top-8-display-advertising-agencies-in-london/")</f>
        <v>https://digitalmarketingcompanyinlondon.com/top-8-display-advertising-agencies-in-london/</v>
      </c>
      <c r="B559" s="15" t="str">
        <f>IFERROR(__xludf.DUMMYFUNCTION("""COMPUTED_VALUE"""),"Top 8 Display Advertising Agencies in London – Digital Marketing Company in London")</f>
        <v>Top 8 Display Advertising Agencies in London – Digital Marketing Company in London</v>
      </c>
      <c r="C559" s="14" t="str">
        <f>IFERROR(__xludf.DUMMYFUNCTION("""COMPUTED_VALUE"""),"digitalmarketingcompanyinlondon.com")</f>
        <v>digitalmarketingcompanyinlondon.com</v>
      </c>
      <c r="D559" s="15" t="str">
        <f>IFERROR(__xludf.DUMMYFUNCTION("""COMPUTED_VALUE"""),"OTHER")</f>
        <v>OTHER</v>
      </c>
      <c r="E559" s="15" t="str">
        <f>IFERROR(__xludf.DUMMYFUNCTION("""COMPUTED_VALUE"""),"CORPORATE")</f>
        <v>CORPORATE</v>
      </c>
      <c r="F559" s="15" t="str">
        <f>IFERROR(__xludf.DUMMYFUNCTION("""COMPUTED_VALUE"""),"Other")</f>
        <v>Other</v>
      </c>
      <c r="G559" s="15" t="b">
        <f>IFERROR(__xludf.DUMMYFUNCTION("""COMPUTED_VALUE"""),FALSE)</f>
        <v>0</v>
      </c>
      <c r="H559" s="15" t="str">
        <f>IFERROR(__xludf.DUMMYFUNCTION("""COMPUTED_VALUE"""),"Found, ROAST, Croud, Passion Digital, The Good Marketer, Jellyfish, Impression, Hallam")</f>
        <v>Found, ROAST, Croud, Passion Digital, The Good Marketer, Jellyfish, Impression, Hallam</v>
      </c>
      <c r="I559" s="15">
        <f>IFERROR(__xludf.DUMMYFUNCTION("""COMPUTED_VALUE"""),1.0)</f>
        <v>1</v>
      </c>
      <c r="J559" s="15">
        <f>IFERROR(__xludf.DUMMYFUNCTION("""COMPUTED_VALUE"""),0.0)</f>
        <v>0</v>
      </c>
      <c r="K559" s="15">
        <f>IFERROR(__xludf.DUMMYFUNCTION("""COMPUTED_VALUE"""),6.0)</f>
        <v>6</v>
      </c>
      <c r="L559" s="15"/>
    </row>
    <row r="560" ht="15.75" customHeight="1">
      <c r="A560" s="14" t="str">
        <f>IFERROR(__xludf.DUMMYFUNCTION("""COMPUTED_VALUE"""),"https://www.digitalreference.co/insights/engineering-professionals/best-ai-machine-learning-consulting-services-in-the-uk")</f>
        <v>https://www.digitalreference.co/insights/engineering-professionals/best-ai-machine-learning-consulting-services-in-the-uk</v>
      </c>
      <c r="B560" s="15" t="str">
        <f>IFERROR(__xludf.DUMMYFUNCTION("""COMPUTED_VALUE"""),"Top United Kingdom AI &amp;amp; Machine Learning Consultants")</f>
        <v>Top United Kingdom AI &amp;amp; Machine Learning Consultants</v>
      </c>
      <c r="C560" s="14" t="str">
        <f>IFERROR(__xludf.DUMMYFUNCTION("""COMPUTED_VALUE"""),"digitalreference.co")</f>
        <v>digitalreference.co</v>
      </c>
      <c r="D560" s="15" t="str">
        <f>IFERROR(__xludf.DUMMYFUNCTION("""COMPUTED_VALUE"""),"LISTICLE")</f>
        <v>LISTICLE</v>
      </c>
      <c r="E560" s="15" t="str">
        <f>IFERROR(__xludf.DUMMYFUNCTION("""COMPUTED_VALUE"""),"UGC")</f>
        <v>UGC</v>
      </c>
      <c r="F560" s="15" t="str">
        <f>IFERROR(__xludf.DUMMYFUNCTION("""COMPUTED_VALUE"""),"Listicle")</f>
        <v>Listicle</v>
      </c>
      <c r="G560" s="15" t="b">
        <f>IFERROR(__xludf.DUMMYFUNCTION("""COMPUTED_VALUE"""),FALSE)</f>
        <v>0</v>
      </c>
      <c r="H560" s="15" t="str">
        <f>IFERROR(__xludf.DUMMYFUNCTION("""COMPUTED_VALUE"""),"Push")</f>
        <v>Push</v>
      </c>
      <c r="I560" s="15">
        <f>IFERROR(__xludf.DUMMYFUNCTION("""COMPUTED_VALUE"""),1.0)</f>
        <v>1</v>
      </c>
      <c r="J560" s="15">
        <f>IFERROR(__xludf.DUMMYFUNCTION("""COMPUTED_VALUE"""),0.0)</f>
        <v>0</v>
      </c>
      <c r="K560" s="15">
        <f>IFERROR(__xludf.DUMMYFUNCTION("""COMPUTED_VALUE"""),0.0)</f>
        <v>0</v>
      </c>
      <c r="L560" s="15"/>
    </row>
    <row r="561" ht="15.75" customHeight="1">
      <c r="A561" s="14" t="str">
        <f>IFERROR(__xludf.DUMMYFUNCTION("""COMPUTED_VALUE"""),"https://directiveconsulting.com/blog/17-leading-llm-agencies-powering-ai-innovation-for-modern-b2b-teams/")</f>
        <v>https://directiveconsulting.com/blog/17-leading-llm-agencies-powering-ai-innovation-for-modern-b2b-teams/</v>
      </c>
      <c r="B561" s="15" t="str">
        <f>IFERROR(__xludf.DUMMYFUNCTION("""COMPUTED_VALUE"""),"17 Best LLM Agencies For B2B - Directive")</f>
        <v>17 Best LLM Agencies For B2B - Directive</v>
      </c>
      <c r="C561" s="14" t="str">
        <f>IFERROR(__xludf.DUMMYFUNCTION("""COMPUTED_VALUE"""),"directiveconsulting.com")</f>
        <v>directiveconsulting.com</v>
      </c>
      <c r="D561" s="15" t="str">
        <f>IFERROR(__xludf.DUMMYFUNCTION("""COMPUTED_VALUE"""),"LISTICLE")</f>
        <v>LISTICLE</v>
      </c>
      <c r="E561" s="15" t="str">
        <f>IFERROR(__xludf.DUMMYFUNCTION("""COMPUTED_VALUE"""),"COMPETITOR")</f>
        <v>COMPETITOR</v>
      </c>
      <c r="F561" s="15" t="str">
        <f>IFERROR(__xludf.DUMMYFUNCTION("""COMPUTED_VALUE"""),"Listicle")</f>
        <v>Listicle</v>
      </c>
      <c r="G561" s="15" t="b">
        <f>IFERROR(__xludf.DUMMYFUNCTION("""COMPUTED_VALUE"""),FALSE)</f>
        <v>0</v>
      </c>
      <c r="H561" s="15" t="str">
        <f>IFERROR(__xludf.DUMMYFUNCTION("""COMPUTED_VALUE"""),"Directive Consulting, Measured, Momentum")</f>
        <v>Directive Consulting, Measured, Momentum</v>
      </c>
      <c r="I561" s="15">
        <f>IFERROR(__xludf.DUMMYFUNCTION("""COMPUTED_VALUE"""),1.0)</f>
        <v>1</v>
      </c>
      <c r="J561" s="15">
        <f>IFERROR(__xludf.DUMMYFUNCTION("""COMPUTED_VALUE"""),0.0)</f>
        <v>0</v>
      </c>
      <c r="K561" s="15">
        <f>IFERROR(__xludf.DUMMYFUNCTION("""COMPUTED_VALUE"""),0.0)</f>
        <v>0</v>
      </c>
      <c r="L561" s="15"/>
    </row>
    <row r="562" ht="15.75" customHeight="1">
      <c r="A562" s="14" t="str">
        <f>IFERROR(__xludf.DUMMYFUNCTION("""COMPUTED_VALUE"""),"https://directiveconsulting.com/blog/25-best-advertising-agencies-built-for-media-momentum/")</f>
        <v>https://directiveconsulting.com/blog/25-best-advertising-agencies-built-for-media-momentum/</v>
      </c>
      <c r="B562" s="15" t="str">
        <f>IFERROR(__xludf.DUMMYFUNCTION("""COMPUTED_VALUE"""),"25 Best Advertising Agencies For B2B - Directive")</f>
        <v>25 Best Advertising Agencies For B2B - Directive</v>
      </c>
      <c r="C562" s="14" t="str">
        <f>IFERROR(__xludf.DUMMYFUNCTION("""COMPUTED_VALUE"""),"directiveconsulting.com")</f>
        <v>directiveconsulting.com</v>
      </c>
      <c r="D562" s="15" t="str">
        <f>IFERROR(__xludf.DUMMYFUNCTION("""COMPUTED_VALUE"""),"LISTICLE")</f>
        <v>LISTICLE</v>
      </c>
      <c r="E562" s="15" t="str">
        <f>IFERROR(__xludf.DUMMYFUNCTION("""COMPUTED_VALUE"""),"COMPETITOR")</f>
        <v>COMPETITOR</v>
      </c>
      <c r="F562" s="15" t="str">
        <f>IFERROR(__xludf.DUMMYFUNCTION("""COMPUTED_VALUE"""),"Listicle")</f>
        <v>Listicle</v>
      </c>
      <c r="G562" s="15" t="b">
        <f>IFERROR(__xludf.DUMMYFUNCTION("""COMPUTED_VALUE"""),FALSE)</f>
        <v>0</v>
      </c>
      <c r="H562" s="15" t="str">
        <f>IFERROR(__xludf.DUMMYFUNCTION("""COMPUTED_VALUE"""),"Directive Consulting, Momentum, Tinuiti, PMG, Jellyfish, Wpromote, Merkle, Croud, Impression, Monks, AKQA, Measured")</f>
        <v>Directive Consulting, Momentum, Tinuiti, PMG, Jellyfish, Wpromote, Merkle, Croud, Impression, Monks, AKQA, Measured</v>
      </c>
      <c r="I562" s="15">
        <f>IFERROR(__xludf.DUMMYFUNCTION("""COMPUTED_VALUE"""),1.0)</f>
        <v>1</v>
      </c>
      <c r="J562" s="15">
        <f>IFERROR(__xludf.DUMMYFUNCTION("""COMPUTED_VALUE"""),0.0)</f>
        <v>0</v>
      </c>
      <c r="K562" s="15">
        <f>IFERROR(__xludf.DUMMYFUNCTION("""COMPUTED_VALUE"""),0.0)</f>
        <v>0</v>
      </c>
      <c r="L562" s="15"/>
    </row>
    <row r="563" ht="15.75" customHeight="1">
      <c r="A563" s="14" t="str">
        <f>IFERROR(__xludf.DUMMYFUNCTION("""COMPUTED_VALUE"""),"https://directiveconsulting.com/blog/25-best-paid-media-agencies-that-turn-ad-spend-into-revenue/")</f>
        <v>https://directiveconsulting.com/blog/25-best-paid-media-agencies-that-turn-ad-spend-into-revenue/</v>
      </c>
      <c r="B563" s="15" t="str">
        <f>IFERROR(__xludf.DUMMYFUNCTION("""COMPUTED_VALUE"""),"25 Best Paid Media Agencies For B2B - Directive")</f>
        <v>25 Best Paid Media Agencies For B2B - Directive</v>
      </c>
      <c r="C563" s="14" t="str">
        <f>IFERROR(__xludf.DUMMYFUNCTION("""COMPUTED_VALUE"""),"directiveconsulting.com")</f>
        <v>directiveconsulting.com</v>
      </c>
      <c r="D563" s="15" t="str">
        <f>IFERROR(__xludf.DUMMYFUNCTION("""COMPUTED_VALUE"""),"LISTICLE")</f>
        <v>LISTICLE</v>
      </c>
      <c r="E563" s="15" t="str">
        <f>IFERROR(__xludf.DUMMYFUNCTION("""COMPUTED_VALUE"""),"COMPETITOR")</f>
        <v>COMPETITOR</v>
      </c>
      <c r="F563" s="15" t="str">
        <f>IFERROR(__xludf.DUMMYFUNCTION("""COMPUTED_VALUE"""),"Listicle")</f>
        <v>Listicle</v>
      </c>
      <c r="G563" s="15" t="b">
        <f>IFERROR(__xludf.DUMMYFUNCTION("""COMPUTED_VALUE"""),FALSE)</f>
        <v>0</v>
      </c>
      <c r="H563" s="15" t="str">
        <f>IFERROR(__xludf.DUMMYFUNCTION("""COMPUTED_VALUE"""),"Directive Consulting, Jellyfish, Brainlabs, Dept, Wpromote, Merkle, WebFX, Disruptive Advertising, Dentsu, Impression")</f>
        <v>Directive Consulting, Jellyfish, Brainlabs, Dept, Wpromote, Merkle, WebFX, Disruptive Advertising, Dentsu, Impression</v>
      </c>
      <c r="I563" s="15">
        <f>IFERROR(__xludf.DUMMYFUNCTION("""COMPUTED_VALUE"""),1.0)</f>
        <v>1</v>
      </c>
      <c r="J563" s="15">
        <f>IFERROR(__xludf.DUMMYFUNCTION("""COMPUTED_VALUE"""),0.0)</f>
        <v>0</v>
      </c>
      <c r="K563" s="15">
        <f>IFERROR(__xludf.DUMMYFUNCTION("""COMPUTED_VALUE"""),0.0)</f>
        <v>0</v>
      </c>
      <c r="L563" s="15"/>
    </row>
    <row r="564" ht="15.75" customHeight="1">
      <c r="A564" s="14" t="str">
        <f>IFERROR(__xludf.DUMMYFUNCTION("""COMPUTED_VALUE"""),"https://directiveconsulting.com/uk/blog/top-25-b2b-enterprise-marketing-agencies/")</f>
        <v>https://directiveconsulting.com/uk/blog/top-25-b2b-enterprise-marketing-agencies/</v>
      </c>
      <c r="B564" s="15" t="str">
        <f>IFERROR(__xludf.DUMMYFUNCTION("""COMPUTED_VALUE"""),"25 Best Enterprise Marketing Agencies For B2B - Directive")</f>
        <v>25 Best Enterprise Marketing Agencies For B2B - Directive</v>
      </c>
      <c r="C564" s="14" t="str">
        <f>IFERROR(__xludf.DUMMYFUNCTION("""COMPUTED_VALUE"""),"directiveconsulting.com")</f>
        <v>directiveconsulting.com</v>
      </c>
      <c r="D564" s="15" t="str">
        <f>IFERROR(__xludf.DUMMYFUNCTION("""COMPUTED_VALUE"""),"LISTICLE")</f>
        <v>LISTICLE</v>
      </c>
      <c r="E564" s="15" t="str">
        <f>IFERROR(__xludf.DUMMYFUNCTION("""COMPUTED_VALUE"""),"COMPETITOR")</f>
        <v>COMPETITOR</v>
      </c>
      <c r="F564" s="15" t="str">
        <f>IFERROR(__xludf.DUMMYFUNCTION("""COMPUTED_VALUE"""),"Listicle")</f>
        <v>Listicle</v>
      </c>
      <c r="G564" s="15" t="b">
        <f>IFERROR(__xludf.DUMMYFUNCTION("""COMPUTED_VALUE"""),FALSE)</f>
        <v>0</v>
      </c>
      <c r="H564" s="15" t="str">
        <f>IFERROR(__xludf.DUMMYFUNCTION("""COMPUTED_VALUE"""),"Directive Consulting, Merkle, Accenture Song, Deloitte Digital, Wpromote, Dentsu, Ogilvy, Brainlabs, PwC, Monks, Momentum, Push")</f>
        <v>Directive Consulting, Merkle, Accenture Song, Deloitte Digital, Wpromote, Dentsu, Ogilvy, Brainlabs, PwC, Monks, Momentum, Push</v>
      </c>
      <c r="I564" s="15">
        <f>IFERROR(__xludf.DUMMYFUNCTION("""COMPUTED_VALUE"""),1.0)</f>
        <v>1</v>
      </c>
      <c r="J564" s="15">
        <f>IFERROR(__xludf.DUMMYFUNCTION("""COMPUTED_VALUE"""),0.0)</f>
        <v>0</v>
      </c>
      <c r="K564" s="15">
        <f>IFERROR(__xludf.DUMMYFUNCTION("""COMPUTED_VALUE"""),2.0)</f>
        <v>2</v>
      </c>
      <c r="L564" s="15"/>
    </row>
    <row r="565" ht="15.75" customHeight="1">
      <c r="A565" s="14" t="str">
        <f>IFERROR(__xludf.DUMMYFUNCTION("""COMPUTED_VALUE"""),"https://disruptiveadvertising.com/blog/business/top-us-digital-marketing-agencies/")</f>
        <v>https://disruptiveadvertising.com/blog/business/top-us-digital-marketing-agencies/</v>
      </c>
      <c r="B565" s="15" t="str">
        <f>IFERROR(__xludf.DUMMYFUNCTION("""COMPUTED_VALUE"""),"Top U.S. Digital Marketing Agencies In 2026 | Disruptive Advertising")</f>
        <v>Top U.S. Digital Marketing Agencies In 2026 | Disruptive Advertising</v>
      </c>
      <c r="C565" s="14" t="str">
        <f>IFERROR(__xludf.DUMMYFUNCTION("""COMPUTED_VALUE"""),"disruptiveadvertising.com")</f>
        <v>disruptiveadvertising.com</v>
      </c>
      <c r="D565" s="15" t="str">
        <f>IFERROR(__xludf.DUMMYFUNCTION("""COMPUTED_VALUE"""),"LISTICLE")</f>
        <v>LISTICLE</v>
      </c>
      <c r="E565" s="15" t="str">
        <f>IFERROR(__xludf.DUMMYFUNCTION("""COMPUTED_VALUE"""),"COMPETITOR")</f>
        <v>COMPETITOR</v>
      </c>
      <c r="F565" s="15" t="str">
        <f>IFERROR(__xludf.DUMMYFUNCTION("""COMPUTED_VALUE"""),"Listicle")</f>
        <v>Listicle</v>
      </c>
      <c r="G565" s="15" t="b">
        <f>IFERROR(__xludf.DUMMYFUNCTION("""COMPUTED_VALUE"""),FALSE)</f>
        <v>0</v>
      </c>
      <c r="H565" s="15" t="str">
        <f>IFERROR(__xludf.DUMMYFUNCTION("""COMPUTED_VALUE"""),"Disruptive Advertising, inBeat")</f>
        <v>Disruptive Advertising, inBeat</v>
      </c>
      <c r="I565" s="15">
        <f>IFERROR(__xludf.DUMMYFUNCTION("""COMPUTED_VALUE"""),1.0)</f>
        <v>1</v>
      </c>
      <c r="J565" s="15">
        <f>IFERROR(__xludf.DUMMYFUNCTION("""COMPUTED_VALUE"""),0.0)</f>
        <v>0</v>
      </c>
      <c r="K565" s="15">
        <f>IFERROR(__xludf.DUMMYFUNCTION("""COMPUTED_VALUE"""),0.0)</f>
        <v>0</v>
      </c>
      <c r="L565" s="15"/>
    </row>
    <row r="566" ht="15.75" customHeight="1">
      <c r="A566" s="14" t="str">
        <f>IFERROR(__xludf.DUMMYFUNCTION("""COMPUTED_VALUE"""),"https://eakwire.com/top-8-ai-marketing-agencies-tools-strategies/")</f>
        <v>https://eakwire.com/top-8-ai-marketing-agencies-tools-strategies/</v>
      </c>
      <c r="B566" s="15" t="str">
        <f>IFERROR(__xludf.DUMMYFUNCTION("""COMPUTED_VALUE"""),"Top 8 AI Marketing Agencies in 2026: Tools &amp;amp; Strategies")</f>
        <v>Top 8 AI Marketing Agencies in 2026: Tools &amp;amp; Strategies</v>
      </c>
      <c r="C566" s="14" t="str">
        <f>IFERROR(__xludf.DUMMYFUNCTION("""COMPUTED_VALUE"""),"eakwire.com")</f>
        <v>eakwire.com</v>
      </c>
      <c r="D566" s="15" t="str">
        <f>IFERROR(__xludf.DUMMYFUNCTION("""COMPUTED_VALUE"""),"LISTICLE")</f>
        <v>LISTICLE</v>
      </c>
      <c r="E566" s="15" t="str">
        <f>IFERROR(__xludf.DUMMYFUNCTION("""COMPUTED_VALUE"""),"CORPORATE")</f>
        <v>CORPORATE</v>
      </c>
      <c r="F566" s="15" t="str">
        <f>IFERROR(__xludf.DUMMYFUNCTION("""COMPUTED_VALUE"""),"Listicle")</f>
        <v>Listicle</v>
      </c>
      <c r="G566" s="15" t="b">
        <f>IFERROR(__xludf.DUMMYFUNCTION("""COMPUTED_VALUE"""),FALSE)</f>
        <v>0</v>
      </c>
      <c r="H566" s="15" t="str">
        <f>IFERROR(__xludf.DUMMYFUNCTION("""COMPUTED_VALUE"""),"Wpromote, Polaris, Jellyfish, NoGood, Single Grain, Tinuiti")</f>
        <v>Wpromote, Polaris, Jellyfish, NoGood, Single Grain, Tinuiti</v>
      </c>
      <c r="I566" s="15">
        <f>IFERROR(__xludf.DUMMYFUNCTION("""COMPUTED_VALUE"""),1.0)</f>
        <v>1</v>
      </c>
      <c r="J566" s="15">
        <f>IFERROR(__xludf.DUMMYFUNCTION("""COMPUTED_VALUE"""),0.0)</f>
        <v>0</v>
      </c>
      <c r="K566" s="15">
        <f>IFERROR(__xludf.DUMMYFUNCTION("""COMPUTED_VALUE"""),0.0)</f>
        <v>0</v>
      </c>
      <c r="L566" s="15"/>
    </row>
    <row r="567" ht="15.75" customHeight="1">
      <c r="A567" s="14" t="str">
        <f>IFERROR(__xludf.DUMMYFUNCTION("""COMPUTED_VALUE"""),"https://www.ecomone.com/insights/ai-seo-agencies-uk/")</f>
        <v>https://www.ecomone.com/insights/ai-seo-agencies-uk/</v>
      </c>
      <c r="B567" s="15" t="str">
        <f>IFERROR(__xludf.DUMMYFUNCTION("""COMPUTED_VALUE"""),"Top 10 AI SEO Agencies in 2026 - eComOne")</f>
        <v>Top 10 AI SEO Agencies in 2026 - eComOne</v>
      </c>
      <c r="C567" s="14" t="str">
        <f>IFERROR(__xludf.DUMMYFUNCTION("""COMPUTED_VALUE"""),"ecomone.com")</f>
        <v>ecomone.com</v>
      </c>
      <c r="D567" s="15" t="str">
        <f>IFERROR(__xludf.DUMMYFUNCTION("""COMPUTED_VALUE"""),"LISTICLE")</f>
        <v>LISTICLE</v>
      </c>
      <c r="E567" s="15" t="str">
        <f>IFERROR(__xludf.DUMMYFUNCTION("""COMPUTED_VALUE"""),"CORPORATE")</f>
        <v>CORPORATE</v>
      </c>
      <c r="F567" s="15" t="str">
        <f>IFERROR(__xludf.DUMMYFUNCTION("""COMPUTED_VALUE"""),"Listicle")</f>
        <v>Listicle</v>
      </c>
      <c r="G567" s="15" t="b">
        <f>IFERROR(__xludf.DUMMYFUNCTION("""COMPUTED_VALUE"""),FALSE)</f>
        <v>0</v>
      </c>
      <c r="H567" s="15" t="str">
        <f>IFERROR(__xludf.DUMMYFUNCTION("""COMPUTED_VALUE"""),"NP Digital, Measured")</f>
        <v>NP Digital, Measured</v>
      </c>
      <c r="I567" s="15">
        <f>IFERROR(__xludf.DUMMYFUNCTION("""COMPUTED_VALUE"""),1.0)</f>
        <v>1</v>
      </c>
      <c r="J567" s="15">
        <f>IFERROR(__xludf.DUMMYFUNCTION("""COMPUTED_VALUE"""),0.0)</f>
        <v>0</v>
      </c>
      <c r="K567" s="15">
        <f>IFERROR(__xludf.DUMMYFUNCTION("""COMPUTED_VALUE"""),2.0)</f>
        <v>2</v>
      </c>
      <c r="L567" s="15"/>
    </row>
    <row r="568" ht="15.75" customHeight="1">
      <c r="A568" s="14" t="str">
        <f>IFERROR(__xludf.DUMMYFUNCTION("""COMPUTED_VALUE"""),"https://www.ecomone.com/insights/best-facebook-advertising-agencies-uk/")</f>
        <v>https://www.ecomone.com/insights/best-facebook-advertising-agencies-uk/</v>
      </c>
      <c r="B568" s="15" t="str">
        <f>IFERROR(__xludf.DUMMYFUNCTION("""COMPUTED_VALUE"""),"10 Best Facebook Advertising Agencies in the UK 2026")</f>
        <v>10 Best Facebook Advertising Agencies in the UK 2026</v>
      </c>
      <c r="C568" s="14" t="str">
        <f>IFERROR(__xludf.DUMMYFUNCTION("""COMPUTED_VALUE"""),"ecomone.com")</f>
        <v>ecomone.com</v>
      </c>
      <c r="D568" s="15" t="str">
        <f>IFERROR(__xludf.DUMMYFUNCTION("""COMPUTED_VALUE"""),"LISTICLE")</f>
        <v>LISTICLE</v>
      </c>
      <c r="E568" s="15" t="str">
        <f>IFERROR(__xludf.DUMMYFUNCTION("""COMPUTED_VALUE"""),"CORPORATE")</f>
        <v>CORPORATE</v>
      </c>
      <c r="F568" s="15" t="str">
        <f>IFERROR(__xludf.DUMMYFUNCTION("""COMPUTED_VALUE"""),"Listicle")</f>
        <v>Listicle</v>
      </c>
      <c r="G568" s="15" t="b">
        <f>IFERROR(__xludf.DUMMYFUNCTION("""COMPUTED_VALUE"""),FALSE)</f>
        <v>0</v>
      </c>
      <c r="H568" s="15" t="str">
        <f>IFERROR(__xludf.DUMMYFUNCTION("""COMPUTED_VALUE"""),"The Social Shepherd, Push, Push Group, ClickSlice, Disruptive Advertising, Bird Marketing, The SEO Works, Triple Whale, Northbeam")</f>
        <v>The Social Shepherd, Push, Push Group, ClickSlice, Disruptive Advertising, Bird Marketing, The SEO Works, Triple Whale, Northbeam</v>
      </c>
      <c r="I568" s="15">
        <f>IFERROR(__xludf.DUMMYFUNCTION("""COMPUTED_VALUE"""),1.0)</f>
        <v>1</v>
      </c>
      <c r="J568" s="15">
        <f>IFERROR(__xludf.DUMMYFUNCTION("""COMPUTED_VALUE"""),0.0)</f>
        <v>0</v>
      </c>
      <c r="K568" s="15">
        <f>IFERROR(__xludf.DUMMYFUNCTION("""COMPUTED_VALUE"""),0.0)</f>
        <v>0</v>
      </c>
      <c r="L568" s="15"/>
    </row>
    <row r="569" ht="15.75" customHeight="1">
      <c r="A569" s="14" t="str">
        <f>IFERROR(__xludf.DUMMYFUNCTION("""COMPUTED_VALUE"""),"https://www.ecomone.com/insights/top-best-ppc-agencies-in-the-uk-2/")</f>
        <v>https://www.ecomone.com/insights/top-best-ppc-agencies-in-the-uk-2/</v>
      </c>
      <c r="B569" s="15" t="str">
        <f>IFERROR(__xludf.DUMMYFUNCTION("""COMPUTED_VALUE"""),"Top 5 Best PPC Agencies in the UK for 2025 | eComOne")</f>
        <v>Top 5 Best PPC Agencies in the UK for 2025 | eComOne</v>
      </c>
      <c r="C569" s="14" t="str">
        <f>IFERROR(__xludf.DUMMYFUNCTION("""COMPUTED_VALUE"""),"ecomone.com")</f>
        <v>ecomone.com</v>
      </c>
      <c r="D569" s="15" t="str">
        <f>IFERROR(__xludf.DUMMYFUNCTION("""COMPUTED_VALUE"""),"LISTICLE")</f>
        <v>LISTICLE</v>
      </c>
      <c r="E569" s="15" t="str">
        <f>IFERROR(__xludf.DUMMYFUNCTION("""COMPUTED_VALUE"""),"CORPORATE")</f>
        <v>CORPORATE</v>
      </c>
      <c r="F569" s="15" t="str">
        <f>IFERROR(__xludf.DUMMYFUNCTION("""COMPUTED_VALUE"""),"Listicle")</f>
        <v>Listicle</v>
      </c>
      <c r="G569" s="15" t="b">
        <f>IFERROR(__xludf.DUMMYFUNCTION("""COMPUTED_VALUE"""),FALSE)</f>
        <v>0</v>
      </c>
      <c r="H569" s="15" t="str">
        <f>IFERROR(__xludf.DUMMYFUNCTION("""COMPUTED_VALUE"""),"PPC Geeks, Bind Media, Found")</f>
        <v>PPC Geeks, Bind Media, Found</v>
      </c>
      <c r="I569" s="15">
        <f>IFERROR(__xludf.DUMMYFUNCTION("""COMPUTED_VALUE"""),1.0)</f>
        <v>1</v>
      </c>
      <c r="J569" s="15">
        <f>IFERROR(__xludf.DUMMYFUNCTION("""COMPUTED_VALUE"""),0.0)</f>
        <v>0</v>
      </c>
      <c r="K569" s="15">
        <f>IFERROR(__xludf.DUMMYFUNCTION("""COMPUTED_VALUE"""),1.0)</f>
        <v>1</v>
      </c>
      <c r="L569" s="15"/>
    </row>
    <row r="570" ht="15.75" customHeight="1">
      <c r="A570" s="14" t="str">
        <f>IFERROR(__xludf.DUMMYFUNCTION("""COMPUTED_VALUE"""),"https://ecosystem.hubspot.com/marketplace/solutions/greece")</f>
        <v>https://ecosystem.hubspot.com/marketplace/solutions/greece</v>
      </c>
      <c r="B570" s="15" t="str">
        <f>IFERROR(__xludf.DUMMYFUNCTION("""COMPUTED_VALUE"""),"The 32 Best Agencies or Service Providers in Greece \| HubSpot")</f>
        <v>The 32 Best Agencies or Service Providers in Greece \| HubSpot</v>
      </c>
      <c r="C570" s="14" t="str">
        <f>IFERROR(__xludf.DUMMYFUNCTION("""COMPUTED_VALUE"""),"hubspot.com")</f>
        <v>hubspot.com</v>
      </c>
      <c r="D570" s="15" t="str">
        <f>IFERROR(__xludf.DUMMYFUNCTION("""COMPUTED_VALUE"""),"CATEGORY_PAGE")</f>
        <v>CATEGORY_PAGE</v>
      </c>
      <c r="E570" s="15" t="str">
        <f>IFERROR(__xludf.DUMMYFUNCTION("""COMPUTED_VALUE"""),"CORPORATE")</f>
        <v>CORPORATE</v>
      </c>
      <c r="F570" s="15" t="str">
        <f>IFERROR(__xludf.DUMMYFUNCTION("""COMPUTED_VALUE"""),"Category Page")</f>
        <v>Category Page</v>
      </c>
      <c r="G570" s="15" t="b">
        <f>IFERROR(__xludf.DUMMYFUNCTION("""COMPUTED_VALUE"""),FALSE)</f>
        <v>0</v>
      </c>
      <c r="H570" s="15" t="str">
        <f>IFERROR(__xludf.DUMMYFUNCTION("""COMPUTED_VALUE"""),"Whitehat, Push")</f>
        <v>Whitehat, Push</v>
      </c>
      <c r="I570" s="15">
        <f>IFERROR(__xludf.DUMMYFUNCTION("""COMPUTED_VALUE"""),1.0)</f>
        <v>1</v>
      </c>
      <c r="J570" s="15">
        <f>IFERROR(__xludf.DUMMYFUNCTION("""COMPUTED_VALUE"""),0.0)</f>
        <v>0</v>
      </c>
      <c r="K570" s="15">
        <f>IFERROR(__xludf.DUMMYFUNCTION("""COMPUTED_VALUE"""),1.0)</f>
        <v>1</v>
      </c>
      <c r="L570" s="15"/>
    </row>
    <row r="571" ht="15.75" customHeight="1">
      <c r="A571" s="14" t="str">
        <f>IFERROR(__xludf.DUMMYFUNCTION("""COMPUTED_VALUE"""),"https://ensun.io/search/ai-consulting/united-kingdom")</f>
        <v>https://ensun.io/search/ai-consulting/united-kingdom</v>
      </c>
      <c r="B571" s="15" t="str">
        <f>IFERROR(__xludf.DUMMYFUNCTION("""COMPUTED_VALUE"""),"Top 100 AI Consulting Companies in United Kingdom (2026) \| ensun")</f>
        <v>Top 100 AI Consulting Companies in United Kingdom (2026) \| ensun</v>
      </c>
      <c r="C571" s="14" t="str">
        <f>IFERROR(__xludf.DUMMYFUNCTION("""COMPUTED_VALUE"""),"ensun.io")</f>
        <v>ensun.io</v>
      </c>
      <c r="D571" s="15" t="str">
        <f>IFERROR(__xludf.DUMMYFUNCTION("""COMPUTED_VALUE"""),"CATEGORY_PAGE")</f>
        <v>CATEGORY_PAGE</v>
      </c>
      <c r="E571" s="15" t="str">
        <f>IFERROR(__xludf.DUMMYFUNCTION("""COMPUTED_VALUE"""),"OTHER")</f>
        <v>OTHER</v>
      </c>
      <c r="F571" s="15" t="str">
        <f>IFERROR(__xludf.DUMMYFUNCTION("""COMPUTED_VALUE"""),"Category Page")</f>
        <v>Category Page</v>
      </c>
      <c r="G571" s="15" t="b">
        <f>IFERROR(__xludf.DUMMYFUNCTION("""COMPUTED_VALUE"""),FALSE)</f>
        <v>0</v>
      </c>
      <c r="H571" s="15"/>
      <c r="I571" s="15">
        <f>IFERROR(__xludf.DUMMYFUNCTION("""COMPUTED_VALUE"""),1.0)</f>
        <v>1</v>
      </c>
      <c r="J571" s="15">
        <f>IFERROR(__xludf.DUMMYFUNCTION("""COMPUTED_VALUE"""),0.0)</f>
        <v>0</v>
      </c>
      <c r="K571" s="15">
        <f>IFERROR(__xludf.DUMMYFUNCTION("""COMPUTED_VALUE"""),0.0)</f>
        <v>0</v>
      </c>
      <c r="L571" s="15"/>
    </row>
    <row r="572" ht="15.75" customHeight="1">
      <c r="A572" s="14" t="str">
        <f>IFERROR(__xludf.DUMMYFUNCTION("""COMPUTED_VALUE"""),"https://ensun.io/search/geospatial-data/united-kingdom")</f>
        <v>https://ensun.io/search/geospatial-data/united-kingdom</v>
      </c>
      <c r="B572" s="15" t="str">
        <f>IFERROR(__xludf.DUMMYFUNCTION("""COMPUTED_VALUE"""),"Top 100 Geospatial Data Companies in United Kingdom (2026) \| ensun")</f>
        <v>Top 100 Geospatial Data Companies in United Kingdom (2026) \| ensun</v>
      </c>
      <c r="C572" s="14" t="str">
        <f>IFERROR(__xludf.DUMMYFUNCTION("""COMPUTED_VALUE"""),"ensun.io")</f>
        <v>ensun.io</v>
      </c>
      <c r="D572" s="15" t="str">
        <f>IFERROR(__xludf.DUMMYFUNCTION("""COMPUTED_VALUE"""),"OTHER")</f>
        <v>OTHER</v>
      </c>
      <c r="E572" s="15" t="str">
        <f>IFERROR(__xludf.DUMMYFUNCTION("""COMPUTED_VALUE"""),"OTHER")</f>
        <v>OTHER</v>
      </c>
      <c r="F572" s="15" t="str">
        <f>IFERROR(__xludf.DUMMYFUNCTION("""COMPUTED_VALUE"""),"Other")</f>
        <v>Other</v>
      </c>
      <c r="G572" s="15" t="b">
        <f>IFERROR(__xludf.DUMMYFUNCTION("""COMPUTED_VALUE"""),FALSE)</f>
        <v>0</v>
      </c>
      <c r="H572" s="15"/>
      <c r="I572" s="15">
        <f>IFERROR(__xludf.DUMMYFUNCTION("""COMPUTED_VALUE"""),1.0)</f>
        <v>1</v>
      </c>
      <c r="J572" s="15">
        <f>IFERROR(__xludf.DUMMYFUNCTION("""COMPUTED_VALUE"""),0.0)</f>
        <v>0</v>
      </c>
      <c r="K572" s="15">
        <f>IFERROR(__xludf.DUMMYFUNCTION("""COMPUTED_VALUE"""),1.0)</f>
        <v>1</v>
      </c>
      <c r="L572" s="15"/>
    </row>
    <row r="573" ht="15.75" customHeight="1">
      <c r="A573" s="14" t="str">
        <f>IFERROR(__xludf.DUMMYFUNCTION("""COMPUTED_VALUE"""),"https://ensun.io/search/geospatial-gis/united-kingdom")</f>
        <v>https://ensun.io/search/geospatial-gis/united-kingdom</v>
      </c>
      <c r="B573" s="15" t="str">
        <f>IFERROR(__xludf.DUMMYFUNCTION("""COMPUTED_VALUE"""),"Top 100 Geospatial (Gis) Companies in United Kingdom (2026) \| ensun")</f>
        <v>Top 100 Geospatial (Gis) Companies in United Kingdom (2026) \| ensun</v>
      </c>
      <c r="C573" s="14" t="str">
        <f>IFERROR(__xludf.DUMMYFUNCTION("""COMPUTED_VALUE"""),"ensun.io")</f>
        <v>ensun.io</v>
      </c>
      <c r="D573" s="15" t="str">
        <f>IFERROR(__xludf.DUMMYFUNCTION("""COMPUTED_VALUE"""),"CATEGORY_PAGE")</f>
        <v>CATEGORY_PAGE</v>
      </c>
      <c r="E573" s="15" t="str">
        <f>IFERROR(__xludf.DUMMYFUNCTION("""COMPUTED_VALUE"""),"OTHER")</f>
        <v>OTHER</v>
      </c>
      <c r="F573" s="15" t="str">
        <f>IFERROR(__xludf.DUMMYFUNCTION("""COMPUTED_VALUE"""),"Category Page")</f>
        <v>Category Page</v>
      </c>
      <c r="G573" s="15" t="b">
        <f>IFERROR(__xludf.DUMMYFUNCTION("""COMPUTED_VALUE"""),FALSE)</f>
        <v>0</v>
      </c>
      <c r="H573" s="15"/>
      <c r="I573" s="15">
        <f>IFERROR(__xludf.DUMMYFUNCTION("""COMPUTED_VALUE"""),1.0)</f>
        <v>1</v>
      </c>
      <c r="J573" s="15">
        <f>IFERROR(__xludf.DUMMYFUNCTION("""COMPUTED_VALUE"""),0.0)</f>
        <v>0</v>
      </c>
      <c r="K573" s="15">
        <f>IFERROR(__xludf.DUMMYFUNCTION("""COMPUTED_VALUE"""),2.0)</f>
        <v>2</v>
      </c>
      <c r="L573" s="15"/>
    </row>
    <row r="574" ht="15.75" customHeight="1">
      <c r="A574" s="14" t="str">
        <f>IFERROR(__xludf.DUMMYFUNCTION("""COMPUTED_VALUE"""),"https://www.enzuzo.com/blog/best-performance-marketing-agencies")</f>
        <v>https://www.enzuzo.com/blog/best-performance-marketing-agencies</v>
      </c>
      <c r="B574" s="15" t="str">
        <f>IFERROR(__xludf.DUMMYFUNCTION("""COMPUTED_VALUE"""),"9 Top Performance Marketing Agencies [2024 Review]")</f>
        <v>9 Top Performance Marketing Agencies [2024 Review]</v>
      </c>
      <c r="C574" s="14" t="str">
        <f>IFERROR(__xludf.DUMMYFUNCTION("""COMPUTED_VALUE"""),"enzuzo.com")</f>
        <v>enzuzo.com</v>
      </c>
      <c r="D574" s="15" t="str">
        <f>IFERROR(__xludf.DUMMYFUNCTION("""COMPUTED_VALUE"""),"LISTICLE")</f>
        <v>LISTICLE</v>
      </c>
      <c r="E574" s="15" t="str">
        <f>IFERROR(__xludf.DUMMYFUNCTION("""COMPUTED_VALUE"""),"CORPORATE")</f>
        <v>CORPORATE</v>
      </c>
      <c r="F574" s="15" t="str">
        <f>IFERROR(__xludf.DUMMYFUNCTION("""COMPUTED_VALUE"""),"Listicle")</f>
        <v>Listicle</v>
      </c>
      <c r="G574" s="15" t="b">
        <f>IFERROR(__xludf.DUMMYFUNCTION("""COMPUTED_VALUE"""),FALSE)</f>
        <v>0</v>
      </c>
      <c r="H574" s="15"/>
      <c r="I574" s="15">
        <f>IFERROR(__xludf.DUMMYFUNCTION("""COMPUTED_VALUE"""),1.0)</f>
        <v>1</v>
      </c>
      <c r="J574" s="15">
        <f>IFERROR(__xludf.DUMMYFUNCTION("""COMPUTED_VALUE"""),0.0)</f>
        <v>0</v>
      </c>
      <c r="K574" s="15">
        <f>IFERROR(__xludf.DUMMYFUNCTION("""COMPUTED_VALUE"""),0.0)</f>
        <v>0</v>
      </c>
      <c r="L574" s="15"/>
    </row>
    <row r="575" ht="15.75" customHeight="1">
      <c r="A575" s="14" t="str">
        <f>IFERROR(__xludf.DUMMYFUNCTION("""COMPUTED_VALUE"""),"https://exposureninja.com/blog/best-ai-search-optimisation-agencies/")</f>
        <v>https://exposureninja.com/blog/best-ai-search-optimisation-agencies/</v>
      </c>
      <c r="B575" s="15" t="str">
        <f>IFERROR(__xludf.DUMMYFUNCTION("""COMPUTED_VALUE"""),"Best AI Search Optimisation Agencies in 2026 (Reviewed)")</f>
        <v>Best AI Search Optimisation Agencies in 2026 (Reviewed)</v>
      </c>
      <c r="C575" s="14" t="str">
        <f>IFERROR(__xludf.DUMMYFUNCTION("""COMPUTED_VALUE"""),"exposureninja.com")</f>
        <v>exposureninja.com</v>
      </c>
      <c r="D575" s="15" t="str">
        <f>IFERROR(__xludf.DUMMYFUNCTION("""COMPUTED_VALUE"""),"LISTICLE")</f>
        <v>LISTICLE</v>
      </c>
      <c r="E575" s="15" t="str">
        <f>IFERROR(__xludf.DUMMYFUNCTION("""COMPUTED_VALUE"""),"COMPETITOR")</f>
        <v>COMPETITOR</v>
      </c>
      <c r="F575" s="15" t="str">
        <f>IFERROR(__xludf.DUMMYFUNCTION("""COMPUTED_VALUE"""),"Listicle")</f>
        <v>Listicle</v>
      </c>
      <c r="G575" s="15" t="b">
        <f>IFERROR(__xludf.DUMMYFUNCTION("""COMPUTED_VALUE"""),FALSE)</f>
        <v>0</v>
      </c>
      <c r="H575" s="15" t="str">
        <f>IFERROR(__xludf.DUMMYFUNCTION("""COMPUTED_VALUE"""),"Exposure Ninja, Found, NP Digital, NoGood")</f>
        <v>Exposure Ninja, Found, NP Digital, NoGood</v>
      </c>
      <c r="I575" s="15">
        <f>IFERROR(__xludf.DUMMYFUNCTION("""COMPUTED_VALUE"""),1.0)</f>
        <v>1</v>
      </c>
      <c r="J575" s="15">
        <f>IFERROR(__xludf.DUMMYFUNCTION("""COMPUTED_VALUE"""),0.0)</f>
        <v>0</v>
      </c>
      <c r="K575" s="15">
        <f>IFERROR(__xludf.DUMMYFUNCTION("""COMPUTED_VALUE"""),1.0)</f>
        <v>1</v>
      </c>
      <c r="L575" s="15"/>
    </row>
    <row r="576" ht="15.75" customHeight="1">
      <c r="A576" s="14" t="str">
        <f>IFERROR(__xludf.DUMMYFUNCTION("""COMPUTED_VALUE"""),"https://www.f6s.com/software/category/first-party-data-activation")</f>
        <v>https://www.f6s.com/software/category/first-party-data-activation</v>
      </c>
      <c r="B576" s="15" t="str">
        <f>IFERROR(__xludf.DUMMYFUNCTION("""COMPUTED_VALUE"""),"Best First-Party Data Activation Software • March 2026 \| F6S")</f>
        <v>Best First-Party Data Activation Software • March 2026 \| F6S</v>
      </c>
      <c r="C576" s="14" t="str">
        <f>IFERROR(__xludf.DUMMYFUNCTION("""COMPUTED_VALUE"""),"f6s.com")</f>
        <v>f6s.com</v>
      </c>
      <c r="D576" s="15" t="str">
        <f>IFERROR(__xludf.DUMMYFUNCTION("""COMPUTED_VALUE"""),"OTHER")</f>
        <v>OTHER</v>
      </c>
      <c r="E576" s="15" t="str">
        <f>IFERROR(__xludf.DUMMYFUNCTION("""COMPUTED_VALUE"""),"UGC")</f>
        <v>UGC</v>
      </c>
      <c r="F576" s="15" t="str">
        <f>IFERROR(__xludf.DUMMYFUNCTION("""COMPUTED_VALUE"""),"Other")</f>
        <v>Other</v>
      </c>
      <c r="G576" s="15" t="b">
        <f>IFERROR(__xludf.DUMMYFUNCTION("""COMPUTED_VALUE"""),FALSE)</f>
        <v>0</v>
      </c>
      <c r="H576" s="15" t="str">
        <f>IFERROR(__xludf.DUMMYFUNCTION("""COMPUTED_VALUE"""),"Push")</f>
        <v>Push</v>
      </c>
      <c r="I576" s="15">
        <f>IFERROR(__xludf.DUMMYFUNCTION("""COMPUTED_VALUE"""),1.0)</f>
        <v>1</v>
      </c>
      <c r="J576" s="15">
        <f>IFERROR(__xludf.DUMMYFUNCTION("""COMPUTED_VALUE"""),0.0)</f>
        <v>0</v>
      </c>
      <c r="K576" s="15">
        <f>IFERROR(__xludf.DUMMYFUNCTION("""COMPUTED_VALUE"""),0.0)</f>
        <v>0</v>
      </c>
      <c r="L576" s="15"/>
    </row>
    <row r="577" ht="15.75" customHeight="1">
      <c r="A577" s="14" t="str">
        <f>IFERROR(__xludf.DUMMYFUNCTION("""COMPUTED_VALUE"""),"https://factoryjet.com/blog/best-seo-agencies-uk")</f>
        <v>https://factoryjet.com/blog/best-seo-agencies-uk</v>
      </c>
      <c r="B577" s="15" t="str">
        <f>IFERROR(__xludf.DUMMYFUNCTION("""COMPUTED_VALUE"""),"The 10 Best SEO Agencies in the UK (2026)")</f>
        <v>The 10 Best SEO Agencies in the UK (2026)</v>
      </c>
      <c r="C577" s="14" t="str">
        <f>IFERROR(__xludf.DUMMYFUNCTION("""COMPUTED_VALUE"""),"factoryjet.com")</f>
        <v>factoryjet.com</v>
      </c>
      <c r="D577" s="15" t="str">
        <f>IFERROR(__xludf.DUMMYFUNCTION("""COMPUTED_VALUE"""),"LISTICLE")</f>
        <v>LISTICLE</v>
      </c>
      <c r="E577" s="15" t="str">
        <f>IFERROR(__xludf.DUMMYFUNCTION("""COMPUTED_VALUE"""),"CORPORATE")</f>
        <v>CORPORATE</v>
      </c>
      <c r="F577" s="15" t="str">
        <f>IFERROR(__xludf.DUMMYFUNCTION("""COMPUTED_VALUE"""),"Listicle")</f>
        <v>Listicle</v>
      </c>
      <c r="G577" s="15" t="b">
        <f>IFERROR(__xludf.DUMMYFUNCTION("""COMPUTED_VALUE"""),FALSE)</f>
        <v>0</v>
      </c>
      <c r="H577" s="15" t="str">
        <f>IFERROR(__xludf.DUMMYFUNCTION("""COMPUTED_VALUE"""),"Brainlabs, Builtvisible, The SEO Works, Croud, Rise at Seven, Screaming Frog, Blue Array, Whitehat")</f>
        <v>Brainlabs, Builtvisible, The SEO Works, Croud, Rise at Seven, Screaming Frog, Blue Array, Whitehat</v>
      </c>
      <c r="I577" s="15">
        <f>IFERROR(__xludf.DUMMYFUNCTION("""COMPUTED_VALUE"""),1.0)</f>
        <v>1</v>
      </c>
      <c r="J577" s="15">
        <f>IFERROR(__xludf.DUMMYFUNCTION("""COMPUTED_VALUE"""),0.0)</f>
        <v>0</v>
      </c>
      <c r="K577" s="15">
        <f>IFERROR(__xludf.DUMMYFUNCTION("""COMPUTED_VALUE"""),1.0)</f>
        <v>1</v>
      </c>
      <c r="L577" s="15"/>
    </row>
    <row r="578" ht="15.75" customHeight="1">
      <c r="A578" s="14" t="str">
        <f>IFERROR(__xludf.DUMMYFUNCTION("""COMPUTED_VALUE"""),"https://www.fibbler.co/blog/b2b-marketing-attribution-software")</f>
        <v>https://www.fibbler.co/blog/b2b-marketing-attribution-software</v>
      </c>
      <c r="B578" s="15" t="str">
        <f>IFERROR(__xludf.DUMMYFUNCTION("""COMPUTED_VALUE"""),"15 Best B2B Marketing Attribution Software for 2026 | Fibbler | Fibbler")</f>
        <v>15 Best B2B Marketing Attribution Software for 2026 | Fibbler | Fibbler</v>
      </c>
      <c r="C578" s="14" t="str">
        <f>IFERROR(__xludf.DUMMYFUNCTION("""COMPUTED_VALUE"""),"fibbler.co")</f>
        <v>fibbler.co</v>
      </c>
      <c r="D578" s="15" t="str">
        <f>IFERROR(__xludf.DUMMYFUNCTION("""COMPUTED_VALUE"""),"LISTICLE")</f>
        <v>LISTICLE</v>
      </c>
      <c r="E578" s="15" t="str">
        <f>IFERROR(__xludf.DUMMYFUNCTION("""COMPUTED_VALUE"""),"OTHER")</f>
        <v>OTHER</v>
      </c>
      <c r="F578" s="15" t="str">
        <f>IFERROR(__xludf.DUMMYFUNCTION("""COMPUTED_VALUE"""),"Listicle")</f>
        <v>Listicle</v>
      </c>
      <c r="G578" s="15" t="b">
        <f>IFERROR(__xludf.DUMMYFUNCTION("""COMPUTED_VALUE"""),FALSE)</f>
        <v>0</v>
      </c>
      <c r="H578" s="15" t="str">
        <f>IFERROR(__xludf.DUMMYFUNCTION("""COMPUTED_VALUE"""),"Impression, Ruler Analytics, SegmentStream, Cometly, Found")</f>
        <v>Impression, Ruler Analytics, SegmentStream, Cometly, Found</v>
      </c>
      <c r="I578" s="15">
        <f>IFERROR(__xludf.DUMMYFUNCTION("""COMPUTED_VALUE"""),1.0)</f>
        <v>1</v>
      </c>
      <c r="J578" s="15">
        <f>IFERROR(__xludf.DUMMYFUNCTION("""COMPUTED_VALUE"""),0.0)</f>
        <v>0</v>
      </c>
      <c r="K578" s="15">
        <f>IFERROR(__xludf.DUMMYFUNCTION("""COMPUTED_VALUE"""),0.0)</f>
        <v>0</v>
      </c>
      <c r="L578" s="15"/>
    </row>
    <row r="579" ht="15.75" customHeight="1">
      <c r="A579" s="14" t="str">
        <f>IFERROR(__xludf.DUMMYFUNCTION("""COMPUTED_VALUE"""),"https://fibr.ai/geo/best-generative-engine-optimization-brands-for-ai")</f>
        <v>https://fibr.ai/geo/best-generative-engine-optimization-brands-for-ai</v>
      </c>
      <c r="B579" s="15" t="str">
        <f>IFERROR(__xludf.DUMMYFUNCTION("""COMPUTED_VALUE"""),"11 Best GEO Agencies for AI Search Visibility (2026)")</f>
        <v>11 Best GEO Agencies for AI Search Visibility (2026)</v>
      </c>
      <c r="C579" s="14" t="str">
        <f>IFERROR(__xludf.DUMMYFUNCTION("""COMPUTED_VALUE"""),"fibr.ai")</f>
        <v>fibr.ai</v>
      </c>
      <c r="D579" s="15" t="str">
        <f>IFERROR(__xludf.DUMMYFUNCTION("""COMPUTED_VALUE"""),"LISTICLE")</f>
        <v>LISTICLE</v>
      </c>
      <c r="E579" s="15" t="str">
        <f>IFERROR(__xludf.DUMMYFUNCTION("""COMPUTED_VALUE"""),"CORPORATE")</f>
        <v>CORPORATE</v>
      </c>
      <c r="F579" s="15" t="str">
        <f>IFERROR(__xludf.DUMMYFUNCTION("""COMPUTED_VALUE"""),"Listicle")</f>
        <v>Listicle</v>
      </c>
      <c r="G579" s="15" t="b">
        <f>IFERROR(__xludf.DUMMYFUNCTION("""COMPUTED_VALUE"""),FALSE)</f>
        <v>0</v>
      </c>
      <c r="H579" s="15"/>
      <c r="I579" s="15">
        <f>IFERROR(__xludf.DUMMYFUNCTION("""COMPUTED_VALUE"""),1.0)</f>
        <v>1</v>
      </c>
      <c r="J579" s="15">
        <f>IFERROR(__xludf.DUMMYFUNCTION("""COMPUTED_VALUE"""),0.0)</f>
        <v>0</v>
      </c>
      <c r="K579" s="15">
        <f>IFERROR(__xludf.DUMMYFUNCTION("""COMPUTED_VALUE"""),0.0)</f>
        <v>0</v>
      </c>
      <c r="L579" s="15"/>
    </row>
    <row r="580" ht="15.75" customHeight="1">
      <c r="A580" s="14" t="str">
        <f>IFERROR(__xludf.DUMMYFUNCTION("""COMPUTED_VALUE"""),"https://www.fieldtrip.agency/post/best-creative-agencies-for-global-brands")</f>
        <v>https://www.fieldtrip.agency/post/best-creative-agencies-for-global-brands</v>
      </c>
      <c r="B580" s="15" t="str">
        <f>IFERROR(__xludf.DUMMYFUNCTION("""COMPUTED_VALUE"""),"Top 14 Creative Agencies Powering Global Branding This Year")</f>
        <v>Top 14 Creative Agencies Powering Global Branding This Year</v>
      </c>
      <c r="C580" s="15" t="str">
        <f>IFERROR(__xludf.DUMMYFUNCTION("""COMPUTED_VALUE"""),"fieldtrip.agency")</f>
        <v>fieldtrip.agency</v>
      </c>
      <c r="D580" s="15" t="str">
        <f>IFERROR(__xludf.DUMMYFUNCTION("""COMPUTED_VALUE"""),"LISTICLE")</f>
        <v>LISTICLE</v>
      </c>
      <c r="E580" s="15" t="str">
        <f>IFERROR(__xludf.DUMMYFUNCTION("""COMPUTED_VALUE"""),"CORPORATE")</f>
        <v>CORPORATE</v>
      </c>
      <c r="F580" s="15" t="str">
        <f>IFERROR(__xludf.DUMMYFUNCTION("""COMPUTED_VALUE"""),"Listicle")</f>
        <v>Listicle</v>
      </c>
      <c r="G580" s="15" t="b">
        <f>IFERROR(__xludf.DUMMYFUNCTION("""COMPUTED_VALUE"""),FALSE)</f>
        <v>0</v>
      </c>
      <c r="H580" s="15" t="str">
        <f>IFERROR(__xludf.DUMMYFUNCTION("""COMPUTED_VALUE"""),"inBeat, Dentsu, We Are Social, Omnicom, Nielsen")</f>
        <v>inBeat, Dentsu, We Are Social, Omnicom, Nielsen</v>
      </c>
      <c r="I580" s="15">
        <f>IFERROR(__xludf.DUMMYFUNCTION("""COMPUTED_VALUE"""),1.0)</f>
        <v>1</v>
      </c>
      <c r="J580" s="15">
        <f>IFERROR(__xludf.DUMMYFUNCTION("""COMPUTED_VALUE"""),0.0)</f>
        <v>0</v>
      </c>
      <c r="K580" s="15">
        <f>IFERROR(__xludf.DUMMYFUNCTION("""COMPUTED_VALUE"""),2.0)</f>
        <v>2</v>
      </c>
      <c r="L580" s="15"/>
    </row>
    <row r="581" ht="15.75" customHeight="1">
      <c r="A581" s="14" t="str">
        <f>IFERROR(__xludf.DUMMYFUNCTION("""COMPUTED_VALUE"""),"https://firstmotion.com/insights/best-geo-agencies-in-london-10-top-partners-for-ai-search-in-2026")</f>
        <v>https://firstmotion.com/insights/best-geo-agencies-in-london-10-top-partners-for-ai-search-in-2026</v>
      </c>
      <c r="B581" s="15" t="str">
        <f>IFERROR(__xludf.DUMMYFUNCTION("""COMPUTED_VALUE"""),"Best GEO Agencies in London for AI Search (2026) | FirstMotion")</f>
        <v>Best GEO Agencies in London for AI Search (2026) | FirstMotion</v>
      </c>
      <c r="C581" s="14" t="str">
        <f>IFERROR(__xludf.DUMMYFUNCTION("""COMPUTED_VALUE"""),"firstmotion.com")</f>
        <v>firstmotion.com</v>
      </c>
      <c r="D581" s="15" t="str">
        <f>IFERROR(__xludf.DUMMYFUNCTION("""COMPUTED_VALUE"""),"LISTICLE")</f>
        <v>LISTICLE</v>
      </c>
      <c r="E581" s="15" t="str">
        <f>IFERROR(__xludf.DUMMYFUNCTION("""COMPUTED_VALUE"""),"COMPETITOR")</f>
        <v>COMPETITOR</v>
      </c>
      <c r="F581" s="15" t="str">
        <f>IFERROR(__xludf.DUMMYFUNCTION("""COMPUTED_VALUE"""),"Listicle")</f>
        <v>Listicle</v>
      </c>
      <c r="G581" s="15" t="b">
        <f>IFERROR(__xludf.DUMMYFUNCTION("""COMPUTED_VALUE"""),FALSE)</f>
        <v>0</v>
      </c>
      <c r="H581" s="15" t="str">
        <f>IFERROR(__xludf.DUMMYFUNCTION("""COMPUTED_VALUE"""),"FirstMotion, Passion Digital, Found, Bird Marketing, Exposure Ninja, Blue Array, Varn, Buried Agency, Charle Agency, Measured")</f>
        <v>FirstMotion, Passion Digital, Found, Bird Marketing, Exposure Ninja, Blue Array, Varn, Buried Agency, Charle Agency, Measured</v>
      </c>
      <c r="I581" s="15">
        <f>IFERROR(__xludf.DUMMYFUNCTION("""COMPUTED_VALUE"""),1.0)</f>
        <v>1</v>
      </c>
      <c r="J581" s="15">
        <f>IFERROR(__xludf.DUMMYFUNCTION("""COMPUTED_VALUE"""),0.0)</f>
        <v>0</v>
      </c>
      <c r="K581" s="15">
        <f>IFERROR(__xludf.DUMMYFUNCTION("""COMPUTED_VALUE"""),0.0)</f>
        <v>0</v>
      </c>
      <c r="L581" s="15"/>
    </row>
    <row r="582" ht="15.75" customHeight="1">
      <c r="A582" s="14" t="str">
        <f>IFERROR(__xludf.DUMMYFUNCTION("""COMPUTED_VALUE"""),"https://www.flyingvgroup.com/ai-marketing-agency/")</f>
        <v>https://www.flyingvgroup.com/ai-marketing-agency/</v>
      </c>
      <c r="B582" s="15" t="str">
        <f>IFERROR(__xludf.DUMMYFUNCTION("""COMPUTED_VALUE"""),"Best 18 AI Marketing Agencies in 2026 | Top AI-Powered Marketing Firms Ranked")</f>
        <v>Best 18 AI Marketing Agencies in 2026 | Top AI-Powered Marketing Firms Ranked</v>
      </c>
      <c r="C582" s="14" t="str">
        <f>IFERROR(__xludf.DUMMYFUNCTION("""COMPUTED_VALUE"""),"flyingvgroup.com")</f>
        <v>flyingvgroup.com</v>
      </c>
      <c r="D582" s="15" t="str">
        <f>IFERROR(__xludf.DUMMYFUNCTION("""COMPUTED_VALUE"""),"LISTICLE")</f>
        <v>LISTICLE</v>
      </c>
      <c r="E582" s="15" t="str">
        <f>IFERROR(__xludf.DUMMYFUNCTION("""COMPUTED_VALUE"""),"CORPORATE")</f>
        <v>CORPORATE</v>
      </c>
      <c r="F582" s="15" t="str">
        <f>IFERROR(__xludf.DUMMYFUNCTION("""COMPUTED_VALUE"""),"Listicle")</f>
        <v>Listicle</v>
      </c>
      <c r="G582" s="15" t="b">
        <f>IFERROR(__xludf.DUMMYFUNCTION("""COMPUTED_VALUE"""),FALSE)</f>
        <v>0</v>
      </c>
      <c r="H582" s="15" t="str">
        <f>IFERROR(__xludf.DUMMYFUNCTION("""COMPUTED_VALUE"""),"NoGood, Single Grain, inBeat, Monks, Found")</f>
        <v>NoGood, Single Grain, inBeat, Monks, Found</v>
      </c>
      <c r="I582" s="15">
        <f>IFERROR(__xludf.DUMMYFUNCTION("""COMPUTED_VALUE"""),1.0)</f>
        <v>1</v>
      </c>
      <c r="J582" s="15">
        <f>IFERROR(__xludf.DUMMYFUNCTION("""COMPUTED_VALUE"""),0.0)</f>
        <v>0</v>
      </c>
      <c r="K582" s="15">
        <f>IFERROR(__xludf.DUMMYFUNCTION("""COMPUTED_VALUE"""),0.0)</f>
        <v>0</v>
      </c>
      <c r="L582" s="15"/>
    </row>
    <row r="583" ht="15.75" customHeight="1">
      <c r="A583" s="14" t="str">
        <f>IFERROR(__xludf.DUMMYFUNCTION("""COMPUTED_VALUE"""),"https://www.flyingvgroup.com/franchise-marketing-agency/")</f>
        <v>https://www.flyingvgroup.com/franchise-marketing-agency/</v>
      </c>
      <c r="B583" s="15" t="str">
        <f>IFERROR(__xludf.DUMMYFUNCTION("""COMPUTED_VALUE"""),"Best 12 Franchise Marketing Agencies in 2026 – Flying V Group")</f>
        <v>Best 12 Franchise Marketing Agencies in 2026 – Flying V Group</v>
      </c>
      <c r="C583" s="14" t="str">
        <f>IFERROR(__xludf.DUMMYFUNCTION("""COMPUTED_VALUE"""),"flyingvgroup.com")</f>
        <v>flyingvgroup.com</v>
      </c>
      <c r="D583" s="15" t="str">
        <f>IFERROR(__xludf.DUMMYFUNCTION("""COMPUTED_VALUE"""),"LISTICLE")</f>
        <v>LISTICLE</v>
      </c>
      <c r="E583" s="15" t="str">
        <f>IFERROR(__xludf.DUMMYFUNCTION("""COMPUTED_VALUE"""),"CORPORATE")</f>
        <v>CORPORATE</v>
      </c>
      <c r="F583" s="15" t="str">
        <f>IFERROR(__xludf.DUMMYFUNCTION("""COMPUTED_VALUE"""),"Listicle")</f>
        <v>Listicle</v>
      </c>
      <c r="G583" s="15" t="b">
        <f>IFERROR(__xludf.DUMMYFUNCTION("""COMPUTED_VALUE"""),FALSE)</f>
        <v>0</v>
      </c>
      <c r="H583" s="15"/>
      <c r="I583" s="15">
        <f>IFERROR(__xludf.DUMMYFUNCTION("""COMPUTED_VALUE"""),1.0)</f>
        <v>1</v>
      </c>
      <c r="J583" s="15">
        <f>IFERROR(__xludf.DUMMYFUNCTION("""COMPUTED_VALUE"""),0.0)</f>
        <v>0</v>
      </c>
      <c r="K583" s="15">
        <f>IFERROR(__xludf.DUMMYFUNCTION("""COMPUTED_VALUE"""),0.0)</f>
        <v>0</v>
      </c>
      <c r="L583" s="15"/>
    </row>
    <row r="584" ht="15.75" customHeight="1">
      <c r="A584" s="14" t="str">
        <f>IFERROR(__xludf.DUMMYFUNCTION("""COMPUTED_VALUE"""),"https://www.flyingvgroup.com/programmatic-agency/")</f>
        <v>https://www.flyingvgroup.com/programmatic-agency/</v>
      </c>
      <c r="B584" s="15" t="str">
        <f>IFERROR(__xludf.DUMMYFUNCTION("""COMPUTED_VALUE"""),"Top 16 Programmatic Agencies of 2026 (Expert List) – Flying V Group")</f>
        <v>Top 16 Programmatic Agencies of 2026 (Expert List) – Flying V Group</v>
      </c>
      <c r="C584" s="14" t="str">
        <f>IFERROR(__xludf.DUMMYFUNCTION("""COMPUTED_VALUE"""),"flyingvgroup.com")</f>
        <v>flyingvgroup.com</v>
      </c>
      <c r="D584" s="15" t="str">
        <f>IFERROR(__xludf.DUMMYFUNCTION("""COMPUTED_VALUE"""),"LISTICLE")</f>
        <v>LISTICLE</v>
      </c>
      <c r="E584" s="15" t="str">
        <f>IFERROR(__xludf.DUMMYFUNCTION("""COMPUTED_VALUE"""),"CORPORATE")</f>
        <v>CORPORATE</v>
      </c>
      <c r="F584" s="15" t="str">
        <f>IFERROR(__xludf.DUMMYFUNCTION("""COMPUTED_VALUE"""),"Listicle")</f>
        <v>Listicle</v>
      </c>
      <c r="G584" s="15" t="b">
        <f>IFERROR(__xludf.DUMMYFUNCTION("""COMPUTED_VALUE"""),FALSE)</f>
        <v>0</v>
      </c>
      <c r="H584" s="15" t="str">
        <f>IFERROR(__xludf.DUMMYFUNCTION("""COMPUTED_VALUE"""),"ROAST, Single Grain, Power Digital")</f>
        <v>ROAST, Single Grain, Power Digital</v>
      </c>
      <c r="I584" s="15">
        <f>IFERROR(__xludf.DUMMYFUNCTION("""COMPUTED_VALUE"""),1.0)</f>
        <v>1</v>
      </c>
      <c r="J584" s="15">
        <f>IFERROR(__xludf.DUMMYFUNCTION("""COMPUTED_VALUE"""),0.0)</f>
        <v>0</v>
      </c>
      <c r="K584" s="15">
        <f>IFERROR(__xludf.DUMMYFUNCTION("""COMPUTED_VALUE"""),1.0)</f>
        <v>1</v>
      </c>
      <c r="L584" s="15"/>
    </row>
    <row r="585" ht="15.75" customHeight="1">
      <c r="A585" s="14" t="str">
        <f>IFERROR(__xludf.DUMMYFUNCTION("""COMPUTED_VALUE"""),"https://flypix.ai/geospatial-companies-in-london/")</f>
        <v>https://flypix.ai/geospatial-companies-in-london/</v>
      </c>
      <c r="B585" s="15" t="str">
        <f>IFERROR(__xludf.DUMMYFUNCTION("""COMPUTED_VALUE"""),"Top Geospatial Companies in London: Industry Leaders")</f>
        <v>Top Geospatial Companies in London: Industry Leaders</v>
      </c>
      <c r="C585" s="14" t="str">
        <f>IFERROR(__xludf.DUMMYFUNCTION("""COMPUTED_VALUE"""),"flypix.ai")</f>
        <v>flypix.ai</v>
      </c>
      <c r="D585" s="15" t="str">
        <f>IFERROR(__xludf.DUMMYFUNCTION("""COMPUTED_VALUE"""),"LISTICLE")</f>
        <v>LISTICLE</v>
      </c>
      <c r="E585" s="15" t="str">
        <f>IFERROR(__xludf.DUMMYFUNCTION("""COMPUTED_VALUE"""),"CORPORATE")</f>
        <v>CORPORATE</v>
      </c>
      <c r="F585" s="15" t="str">
        <f>IFERROR(__xludf.DUMMYFUNCTION("""COMPUTED_VALUE"""),"Listicle")</f>
        <v>Listicle</v>
      </c>
      <c r="G585" s="15" t="b">
        <f>IFERROR(__xludf.DUMMYFUNCTION("""COMPUTED_VALUE"""),FALSE)</f>
        <v>0</v>
      </c>
      <c r="H585" s="15"/>
      <c r="I585" s="15">
        <f>IFERROR(__xludf.DUMMYFUNCTION("""COMPUTED_VALUE"""),1.0)</f>
        <v>1</v>
      </c>
      <c r="J585" s="15">
        <f>IFERROR(__xludf.DUMMYFUNCTION("""COMPUTED_VALUE"""),0.0)</f>
        <v>0</v>
      </c>
      <c r="K585" s="15">
        <f>IFERROR(__xludf.DUMMYFUNCTION("""COMPUTED_VALUE"""),0.0)</f>
        <v>0</v>
      </c>
      <c r="L585" s="15"/>
    </row>
    <row r="586" ht="15.75" customHeight="1">
      <c r="A586" s="14" t="str">
        <f>IFERROR(__xludf.DUMMYFUNCTION("""COMPUTED_VALUE"""),"https://flypix.ai/geospatial-companies-in-the-uk/")</f>
        <v>https://flypix.ai/geospatial-companies-in-the-uk/</v>
      </c>
      <c r="B586" s="15" t="str">
        <f>IFERROR(__xludf.DUMMYFUNCTION("""COMPUTED_VALUE"""),"5 Best UK Geospatial Companies in the UK (2026)")</f>
        <v>5 Best UK Geospatial Companies in the UK (2026)</v>
      </c>
      <c r="C586" s="14" t="str">
        <f>IFERROR(__xludf.DUMMYFUNCTION("""COMPUTED_VALUE"""),"flypix.ai")</f>
        <v>flypix.ai</v>
      </c>
      <c r="D586" s="15" t="str">
        <f>IFERROR(__xludf.DUMMYFUNCTION("""COMPUTED_VALUE"""),"LISTICLE")</f>
        <v>LISTICLE</v>
      </c>
      <c r="E586" s="15" t="str">
        <f>IFERROR(__xludf.DUMMYFUNCTION("""COMPUTED_VALUE"""),"CORPORATE")</f>
        <v>CORPORATE</v>
      </c>
      <c r="F586" s="15" t="str">
        <f>IFERROR(__xludf.DUMMYFUNCTION("""COMPUTED_VALUE"""),"Listicle")</f>
        <v>Listicle</v>
      </c>
      <c r="G586" s="15" t="b">
        <f>IFERROR(__xludf.DUMMYFUNCTION("""COMPUTED_VALUE"""),FALSE)</f>
        <v>0</v>
      </c>
      <c r="H586" s="15" t="str">
        <f>IFERROR(__xludf.DUMMYFUNCTION("""COMPUTED_VALUE"""),"Push")</f>
        <v>Push</v>
      </c>
      <c r="I586" s="15">
        <f>IFERROR(__xludf.DUMMYFUNCTION("""COMPUTED_VALUE"""),1.0)</f>
        <v>1</v>
      </c>
      <c r="J586" s="15">
        <f>IFERROR(__xludf.DUMMYFUNCTION("""COMPUTED_VALUE"""),0.0)</f>
        <v>0</v>
      </c>
      <c r="K586" s="15">
        <f>IFERROR(__xludf.DUMMYFUNCTION("""COMPUTED_VALUE"""),0.0)</f>
        <v>0</v>
      </c>
      <c r="L586" s="15"/>
    </row>
    <row r="587" ht="15.75" customHeight="1">
      <c r="A587" s="14" t="str">
        <f>IFERROR(__xludf.DUMMYFUNCTION("""COMPUTED_VALUE"""),"https://fntmanagement.com/top-marketing-agencies/")</f>
        <v>https://fntmanagement.com/top-marketing-agencies/</v>
      </c>
      <c r="B587" s="15" t="str">
        <f>IFERROR(__xludf.DUMMYFUNCTION("""COMPUTED_VALUE"""),"Best Marketing Agencies 2026: Rating | Expert ROI Guide")</f>
        <v>Best Marketing Agencies 2026: Rating | Expert ROI Guide</v>
      </c>
      <c r="C587" s="14" t="str">
        <f>IFERROR(__xludf.DUMMYFUNCTION("""COMPUTED_VALUE"""),"fntmanagement.com")</f>
        <v>fntmanagement.com</v>
      </c>
      <c r="D587" s="15" t="str">
        <f>IFERROR(__xludf.DUMMYFUNCTION("""COMPUTED_VALUE"""),"LISTICLE")</f>
        <v>LISTICLE</v>
      </c>
      <c r="E587" s="15" t="str">
        <f>IFERROR(__xludf.DUMMYFUNCTION("""COMPUTED_VALUE"""),"CORPORATE")</f>
        <v>CORPORATE</v>
      </c>
      <c r="F587" s="15" t="str">
        <f>IFERROR(__xludf.DUMMYFUNCTION("""COMPUTED_VALUE"""),"Listicle")</f>
        <v>Listicle</v>
      </c>
      <c r="G587" s="15" t="b">
        <f>IFERROR(__xludf.DUMMYFUNCTION("""COMPUTED_VALUE"""),FALSE)</f>
        <v>0</v>
      </c>
      <c r="H587" s="15" t="str">
        <f>IFERROR(__xludf.DUMMYFUNCTION("""COMPUTED_VALUE"""),"Siege Media, WebFX, The Good Marketer")</f>
        <v>Siege Media, WebFX, The Good Marketer</v>
      </c>
      <c r="I587" s="15">
        <f>IFERROR(__xludf.DUMMYFUNCTION("""COMPUTED_VALUE"""),1.0)</f>
        <v>1</v>
      </c>
      <c r="J587" s="15">
        <f>IFERROR(__xludf.DUMMYFUNCTION("""COMPUTED_VALUE"""),0.0)</f>
        <v>0</v>
      </c>
      <c r="K587" s="15">
        <f>IFERROR(__xludf.DUMMYFUNCTION("""COMPUTED_VALUE"""),0.0)</f>
        <v>0</v>
      </c>
      <c r="L587" s="15"/>
    </row>
    <row r="588" ht="15.75" customHeight="1">
      <c r="A588" s="14" t="str">
        <f>IFERROR(__xludf.DUMMYFUNCTION("""COMPUTED_VALUE"""),"https://forlinux.co.uk/best-ppc-agencies-in-the-uk-for-scalable-advertising-success")</f>
        <v>https://forlinux.co.uk/best-ppc-agencies-in-the-uk-for-scalable-advertising-success</v>
      </c>
      <c r="B588" s="15" t="str">
        <f>IFERROR(__xludf.DUMMYFUNCTION("""COMPUTED_VALUE"""),"Best PPC Agencies in the UK for Scalable Advertising Success")</f>
        <v>Best PPC Agencies in the UK for Scalable Advertising Success</v>
      </c>
      <c r="C588" s="14" t="str">
        <f>IFERROR(__xludf.DUMMYFUNCTION("""COMPUTED_VALUE"""),"forlinux.co.uk")</f>
        <v>forlinux.co.uk</v>
      </c>
      <c r="D588" s="15" t="str">
        <f>IFERROR(__xludf.DUMMYFUNCTION("""COMPUTED_VALUE"""),"LISTICLE")</f>
        <v>LISTICLE</v>
      </c>
      <c r="E588" s="15" t="str">
        <f>IFERROR(__xludf.DUMMYFUNCTION("""COMPUTED_VALUE"""),"CORPORATE")</f>
        <v>CORPORATE</v>
      </c>
      <c r="F588" s="15" t="str">
        <f>IFERROR(__xludf.DUMMYFUNCTION("""COMPUTED_VALUE"""),"Listicle")</f>
        <v>Listicle</v>
      </c>
      <c r="G588" s="15" t="b">
        <f>IFERROR(__xludf.DUMMYFUNCTION("""COMPUTED_VALUE"""),FALSE)</f>
        <v>0</v>
      </c>
      <c r="H588" s="15" t="str">
        <f>IFERROR(__xludf.DUMMYFUNCTION("""COMPUTED_VALUE"""),"Brainlabs, Hallam, The Social Shepherd, PPC Geeks")</f>
        <v>Brainlabs, Hallam, The Social Shepherd, PPC Geeks</v>
      </c>
      <c r="I588" s="15">
        <f>IFERROR(__xludf.DUMMYFUNCTION("""COMPUTED_VALUE"""),1.0)</f>
        <v>1</v>
      </c>
      <c r="J588" s="15">
        <f>IFERROR(__xludf.DUMMYFUNCTION("""COMPUTED_VALUE"""),0.0)</f>
        <v>0</v>
      </c>
      <c r="K588" s="15">
        <f>IFERROR(__xludf.DUMMYFUNCTION("""COMPUTED_VALUE"""),0.0)</f>
        <v>0</v>
      </c>
      <c r="L588" s="15"/>
    </row>
    <row r="589" ht="15.75" customHeight="1">
      <c r="A589" s="14" t="str">
        <f>IFERROR(__xludf.DUMMYFUNCTION("""COMPUTED_VALUE"""),"https://www.found.co.uk/blog/top-10-ppc-agencies/")</f>
        <v>https://www.found.co.uk/blog/top-10-ppc-agencies/</v>
      </c>
      <c r="B589" s="15" t="str">
        <f>IFERROR(__xludf.DUMMYFUNCTION("""COMPUTED_VALUE"""),"Best PPC Agencies 2026 UK | Top 10 PPC Companies | Found")</f>
        <v>Best PPC Agencies 2026 UK | Top 10 PPC Companies | Found</v>
      </c>
      <c r="C589" s="14" t="str">
        <f>IFERROR(__xludf.DUMMYFUNCTION("""COMPUTED_VALUE"""),"found.co.uk")</f>
        <v>found.co.uk</v>
      </c>
      <c r="D589" s="15" t="str">
        <f>IFERROR(__xludf.DUMMYFUNCTION("""COMPUTED_VALUE"""),"LISTICLE")</f>
        <v>LISTICLE</v>
      </c>
      <c r="E589" s="15" t="str">
        <f>IFERROR(__xludf.DUMMYFUNCTION("""COMPUTED_VALUE"""),"CORPORATE")</f>
        <v>CORPORATE</v>
      </c>
      <c r="F589" s="15" t="str">
        <f>IFERROR(__xludf.DUMMYFUNCTION("""COMPUTED_VALUE"""),"Listicle")</f>
        <v>Listicle</v>
      </c>
      <c r="G589" s="15" t="b">
        <f>IFERROR(__xludf.DUMMYFUNCTION("""COMPUTED_VALUE"""),FALSE)</f>
        <v>0</v>
      </c>
      <c r="H589" s="15" t="str">
        <f>IFERROR(__xludf.DUMMYFUNCTION("""COMPUTED_VALUE"""),"Found, Propeller, Jellyfish, Impression, Journey Further, Hallam, Croud")</f>
        <v>Found, Propeller, Jellyfish, Impression, Journey Further, Hallam, Croud</v>
      </c>
      <c r="I589" s="15">
        <f>IFERROR(__xludf.DUMMYFUNCTION("""COMPUTED_VALUE"""),1.0)</f>
        <v>1</v>
      </c>
      <c r="J589" s="15">
        <f>IFERROR(__xludf.DUMMYFUNCTION("""COMPUTED_VALUE"""),0.0)</f>
        <v>0</v>
      </c>
      <c r="K589" s="15">
        <f>IFERROR(__xludf.DUMMYFUNCTION("""COMPUTED_VALUE"""),1.0)</f>
        <v>1</v>
      </c>
      <c r="L589" s="15"/>
    </row>
    <row r="590" ht="15.75" customHeight="1">
      <c r="A590" s="14" t="str">
        <f>IFERROR(__xludf.DUMMYFUNCTION("""COMPUTED_VALUE"""),"https://funnel.io/blog/top-mta-tools")</f>
        <v>https://funnel.io/blog/top-mta-tools</v>
      </c>
      <c r="B590" s="15" t="str">
        <f>IFERROR(__xludf.DUMMYFUNCTION("""COMPUTED_VALUE"""),"Top multi-touch attribution (MTA) tools for 2026")</f>
        <v>Top multi-touch attribution (MTA) tools for 2026</v>
      </c>
      <c r="C590" s="14" t="str">
        <f>IFERROR(__xludf.DUMMYFUNCTION("""COMPUTED_VALUE"""),"funnel.io")</f>
        <v>funnel.io</v>
      </c>
      <c r="D590" s="15" t="str">
        <f>IFERROR(__xludf.DUMMYFUNCTION("""COMPUTED_VALUE"""),"LISTICLE")</f>
        <v>LISTICLE</v>
      </c>
      <c r="E590" s="15" t="str">
        <f>IFERROR(__xludf.DUMMYFUNCTION("""COMPUTED_VALUE"""),"CORPORATE")</f>
        <v>CORPORATE</v>
      </c>
      <c r="F590" s="15" t="str">
        <f>IFERROR(__xludf.DUMMYFUNCTION("""COMPUTED_VALUE"""),"Listicle")</f>
        <v>Listicle</v>
      </c>
      <c r="G590" s="15" t="b">
        <f>IFERROR(__xludf.DUMMYFUNCTION("""COMPUTED_VALUE"""),FALSE)</f>
        <v>0</v>
      </c>
      <c r="H590" s="15" t="str">
        <f>IFERROR(__xludf.DUMMYFUNCTION("""COMPUTED_VALUE"""),"Found, SegmentStream, Northbeam, Push")</f>
        <v>Found, SegmentStream, Northbeam, Push</v>
      </c>
      <c r="I590" s="15">
        <f>IFERROR(__xludf.DUMMYFUNCTION("""COMPUTED_VALUE"""),1.0)</f>
        <v>1</v>
      </c>
      <c r="J590" s="15">
        <f>IFERROR(__xludf.DUMMYFUNCTION("""COMPUTED_VALUE"""),0.0)</f>
        <v>0</v>
      </c>
      <c r="K590" s="15">
        <f>IFERROR(__xludf.DUMMYFUNCTION("""COMPUTED_VALUE"""),0.0)</f>
        <v>0</v>
      </c>
      <c r="L590" s="15"/>
    </row>
    <row r="591" ht="15.75" customHeight="1">
      <c r="A591" s="14" t="str">
        <f>IFERROR(__xludf.DUMMYFUNCTION("""COMPUTED_VALUE"""),"https://www.gambitagency.co.uk/blog/the-best-ppc-agencies")</f>
        <v>https://www.gambitagency.co.uk/blog/the-best-ppc-agencies</v>
      </c>
      <c r="B591" s="15" t="str">
        <f>IFERROR(__xludf.DUMMYFUNCTION("""COMPUTED_VALUE"""),"Top 19 PPC Agencies in the UK - Gambit Agency")</f>
        <v>Top 19 PPC Agencies in the UK - Gambit Agency</v>
      </c>
      <c r="C591" s="14" t="str">
        <f>IFERROR(__xludf.DUMMYFUNCTION("""COMPUTED_VALUE"""),"gambitagency.co.uk")</f>
        <v>gambitagency.co.uk</v>
      </c>
      <c r="D591" s="15" t="str">
        <f>IFERROR(__xludf.DUMMYFUNCTION("""COMPUTED_VALUE"""),"LISTICLE")</f>
        <v>LISTICLE</v>
      </c>
      <c r="E591" s="15" t="str">
        <f>IFERROR(__xludf.DUMMYFUNCTION("""COMPUTED_VALUE"""),"CORPORATE")</f>
        <v>CORPORATE</v>
      </c>
      <c r="F591" s="15" t="str">
        <f>IFERROR(__xludf.DUMMYFUNCTION("""COMPUTED_VALUE"""),"Listicle")</f>
        <v>Listicle</v>
      </c>
      <c r="G591" s="15" t="b">
        <f>IFERROR(__xludf.DUMMYFUNCTION("""COMPUTED_VALUE"""),FALSE)</f>
        <v>0</v>
      </c>
      <c r="H591" s="15" t="str">
        <f>IFERROR(__xludf.DUMMYFUNCTION("""COMPUTED_VALUE"""),"Jellyfish, Brainlabs, Bind Media, Impression, Koozai, Croud, Push, Push Group, Disruptive Advertising, Hallam")</f>
        <v>Jellyfish, Brainlabs, Bind Media, Impression, Koozai, Croud, Push, Push Group, Disruptive Advertising, Hallam</v>
      </c>
      <c r="I591" s="15">
        <f>IFERROR(__xludf.DUMMYFUNCTION("""COMPUTED_VALUE"""),1.0)</f>
        <v>1</v>
      </c>
      <c r="J591" s="15">
        <f>IFERROR(__xludf.DUMMYFUNCTION("""COMPUTED_VALUE"""),0.0)</f>
        <v>0</v>
      </c>
      <c r="K591" s="15">
        <f>IFERROR(__xludf.DUMMYFUNCTION("""COMPUTED_VALUE"""),0.0)</f>
        <v>0</v>
      </c>
      <c r="L591" s="15"/>
    </row>
    <row r="592" ht="15.75" customHeight="1">
      <c r="A592" s="14" t="str">
        <f>IFERROR(__xludf.DUMMYFUNCTION("""COMPUTED_VALUE"""),"https://www.gartner.com/reviews/market/global-digital-marketing-agencies")</f>
        <v>https://www.gartner.com/reviews/market/global-digital-marketing-agencies</v>
      </c>
      <c r="B592" s="15" t="str">
        <f>IFERROR(__xludf.DUMMYFUNCTION("""COMPUTED_VALUE"""),"Best Global Digital Marketing Agencies Reviews 2026 | Gartner Peer Insights")</f>
        <v>Best Global Digital Marketing Agencies Reviews 2026 | Gartner Peer Insights</v>
      </c>
      <c r="C592" s="14" t="str">
        <f>IFERROR(__xludf.DUMMYFUNCTION("""COMPUTED_VALUE"""),"gartner.com")</f>
        <v>gartner.com</v>
      </c>
      <c r="D592" s="15" t="str">
        <f>IFERROR(__xludf.DUMMYFUNCTION("""COMPUTED_VALUE"""),"PROFILE")</f>
        <v>PROFILE</v>
      </c>
      <c r="E592" s="15" t="str">
        <f>IFERROR(__xludf.DUMMYFUNCTION("""COMPUTED_VALUE"""),"CORPORATE")</f>
        <v>CORPORATE</v>
      </c>
      <c r="F592" s="15" t="str">
        <f>IFERROR(__xludf.DUMMYFUNCTION("""COMPUTED_VALUE"""),"Profile")</f>
        <v>Profile</v>
      </c>
      <c r="G592" s="15" t="b">
        <f>IFERROR(__xludf.DUMMYFUNCTION("""COMPUTED_VALUE"""),FALSE)</f>
        <v>0</v>
      </c>
      <c r="H592" s="15" t="str">
        <f>IFERROR(__xludf.DUMMYFUNCTION("""COMPUTED_VALUE"""),"Accenture Song, Deloitte Digital, Huge, Merkle, AKQA, Ogilvy, iCrossing, Bird Marketing")</f>
        <v>Accenture Song, Deloitte Digital, Huge, Merkle, AKQA, Ogilvy, iCrossing, Bird Marketing</v>
      </c>
      <c r="I592" s="15">
        <f>IFERROR(__xludf.DUMMYFUNCTION("""COMPUTED_VALUE"""),1.0)</f>
        <v>1</v>
      </c>
      <c r="J592" s="15">
        <f>IFERROR(__xludf.DUMMYFUNCTION("""COMPUTED_VALUE"""),0.0)</f>
        <v>0</v>
      </c>
      <c r="K592" s="15">
        <f>IFERROR(__xludf.DUMMYFUNCTION("""COMPUTED_VALUE"""),1.0)</f>
        <v>1</v>
      </c>
      <c r="L592" s="15"/>
    </row>
    <row r="593" ht="15.75" customHeight="1">
      <c r="A593" s="14" t="str">
        <f>IFERROR(__xludf.DUMMYFUNCTION("""COMPUTED_VALUE"""),"https://www.gartner.com/reviews/market/global-digital-marketing-agencies/vendor/r-ga/product/r-ga-global-digital-marketing-services/alternatives")</f>
        <v>https://www.gartner.com/reviews/market/global-digital-marketing-agencies/vendor/r-ga/product/r-ga-global-digital-marketing-services/alternatives</v>
      </c>
      <c r="B593" s="15" t="str">
        <f>IFERROR(__xludf.DUMMYFUNCTION("""COMPUTED_VALUE"""),"Top R/GA Global Digital Marketing Services Alternatives &amp; Competitors 2026 \| Gartner Peer Insights")</f>
        <v>Top R/GA Global Digital Marketing Services Alternatives &amp; Competitors 2026 \| Gartner Peer Insights</v>
      </c>
      <c r="C593" s="14" t="str">
        <f>IFERROR(__xludf.DUMMYFUNCTION("""COMPUTED_VALUE"""),"gartner.com")</f>
        <v>gartner.com</v>
      </c>
      <c r="D593" s="15" t="str">
        <f>IFERROR(__xludf.DUMMYFUNCTION("""COMPUTED_VALUE"""),"ALTERNATIVE")</f>
        <v>ALTERNATIVE</v>
      </c>
      <c r="E593" s="15" t="str">
        <f>IFERROR(__xludf.DUMMYFUNCTION("""COMPUTED_VALUE"""),"CORPORATE")</f>
        <v>CORPORATE</v>
      </c>
      <c r="F593" s="15" t="str">
        <f>IFERROR(__xludf.DUMMYFUNCTION("""COMPUTED_VALUE"""),"Alternative")</f>
        <v>Alternative</v>
      </c>
      <c r="G593" s="15" t="b">
        <f>IFERROR(__xludf.DUMMYFUNCTION("""COMPUTED_VALUE"""),FALSE)</f>
        <v>0</v>
      </c>
      <c r="H593" s="15" t="str">
        <f>IFERROR(__xludf.DUMMYFUNCTION("""COMPUTED_VALUE"""),"Accenture Song, Huge, AKQA")</f>
        <v>Accenture Song, Huge, AKQA</v>
      </c>
      <c r="I593" s="15">
        <f>IFERROR(__xludf.DUMMYFUNCTION("""COMPUTED_VALUE"""),1.0)</f>
        <v>1</v>
      </c>
      <c r="J593" s="15">
        <f>IFERROR(__xludf.DUMMYFUNCTION("""COMPUTED_VALUE"""),0.0)</f>
        <v>0</v>
      </c>
      <c r="K593" s="15">
        <f>IFERROR(__xludf.DUMMYFUNCTION("""COMPUTED_VALUE"""),5.0)</f>
        <v>5</v>
      </c>
      <c r="L593" s="15"/>
    </row>
    <row r="594" ht="15.75" customHeight="1">
      <c r="A594" s="14" t="str">
        <f>IFERROR(__xludf.DUMMYFUNCTION("""COMPUTED_VALUE"""),"https://www.gartner.com/reviews/product/r-ga-global-digital-marketing-services/alternatives")</f>
        <v>https://www.gartner.com/reviews/product/r-ga-global-digital-marketing-services/alternatives</v>
      </c>
      <c r="B594" s="15" t="str">
        <f>IFERROR(__xludf.DUMMYFUNCTION("""COMPUTED_VALUE"""),"Top R/GA Global Digital Marketing Services Alternatives &amp;amp; Competitors 2026 | Gartner Peer Insights")</f>
        <v>Top R/GA Global Digital Marketing Services Alternatives &amp;amp; Competitors 2026 | Gartner Peer Insights</v>
      </c>
      <c r="C594" s="14" t="str">
        <f>IFERROR(__xludf.DUMMYFUNCTION("""COMPUTED_VALUE"""),"gartner.com")</f>
        <v>gartner.com</v>
      </c>
      <c r="D594" s="15" t="str">
        <f>IFERROR(__xludf.DUMMYFUNCTION("""COMPUTED_VALUE"""),"ALTERNATIVE")</f>
        <v>ALTERNATIVE</v>
      </c>
      <c r="E594" s="15" t="str">
        <f>IFERROR(__xludf.DUMMYFUNCTION("""COMPUTED_VALUE"""),"CORPORATE")</f>
        <v>CORPORATE</v>
      </c>
      <c r="F594" s="15" t="str">
        <f>IFERROR(__xludf.DUMMYFUNCTION("""COMPUTED_VALUE"""),"Alternative")</f>
        <v>Alternative</v>
      </c>
      <c r="G594" s="15" t="b">
        <f>IFERROR(__xludf.DUMMYFUNCTION("""COMPUTED_VALUE"""),FALSE)</f>
        <v>0</v>
      </c>
      <c r="H594" s="15" t="str">
        <f>IFERROR(__xludf.DUMMYFUNCTION("""COMPUTED_VALUE"""),"Accenture Song, Huge, AKQA, Merkle, Deloitte Digital")</f>
        <v>Accenture Song, Huge, AKQA, Merkle, Deloitte Digital</v>
      </c>
      <c r="I594" s="15">
        <f>IFERROR(__xludf.DUMMYFUNCTION("""COMPUTED_VALUE"""),1.0)</f>
        <v>1</v>
      </c>
      <c r="J594" s="15">
        <f>IFERROR(__xludf.DUMMYFUNCTION("""COMPUTED_VALUE"""),0.0)</f>
        <v>0</v>
      </c>
      <c r="K594" s="15">
        <f>IFERROR(__xludf.DUMMYFUNCTION("""COMPUTED_VALUE"""),0.0)</f>
        <v>0</v>
      </c>
      <c r="L594" s="15"/>
    </row>
    <row r="595" ht="15.75" customHeight="1">
      <c r="A595" s="14" t="str">
        <f>IFERROR(__xludf.DUMMYFUNCTION("""COMPUTED_VALUE"""),"https://www.gen-optima.com/geo/top-generative-ai-search-engine-optimization-agencies-2026/")</f>
        <v>https://www.gen-optima.com/geo/top-generative-ai-search-engine-optimization-agencies-2026/</v>
      </c>
      <c r="B595" s="15" t="str">
        <f>IFERROR(__xludf.DUMMYFUNCTION("""COMPUTED_VALUE"""),"Top AI Search Optimization Agencies in 2026 (Q1 2026 Update)")</f>
        <v>Top AI Search Optimization Agencies in 2026 (Q1 2026 Update)</v>
      </c>
      <c r="C595" s="14" t="str">
        <f>IFERROR(__xludf.DUMMYFUNCTION("""COMPUTED_VALUE"""),"gen-optima.com")</f>
        <v>gen-optima.com</v>
      </c>
      <c r="D595" s="15" t="str">
        <f>IFERROR(__xludf.DUMMYFUNCTION("""COMPUTED_VALUE"""),"LISTICLE")</f>
        <v>LISTICLE</v>
      </c>
      <c r="E595" s="15" t="str">
        <f>IFERROR(__xludf.DUMMYFUNCTION("""COMPUTED_VALUE"""),"CORPORATE")</f>
        <v>CORPORATE</v>
      </c>
      <c r="F595" s="15" t="str">
        <f>IFERROR(__xludf.DUMMYFUNCTION("""COMPUTED_VALUE"""),"Listicle")</f>
        <v>Listicle</v>
      </c>
      <c r="G595" s="15" t="b">
        <f>IFERROR(__xludf.DUMMYFUNCTION("""COMPUTED_VALUE"""),FALSE)</f>
        <v>0</v>
      </c>
      <c r="H595" s="15" t="str">
        <f>IFERROR(__xludf.DUMMYFUNCTION("""COMPUTED_VALUE"""),"Siege Media, Omniscient Digital, Single Grain")</f>
        <v>Siege Media, Omniscient Digital, Single Grain</v>
      </c>
      <c r="I595" s="15">
        <f>IFERROR(__xludf.DUMMYFUNCTION("""COMPUTED_VALUE"""),1.0)</f>
        <v>1</v>
      </c>
      <c r="J595" s="15">
        <f>IFERROR(__xludf.DUMMYFUNCTION("""COMPUTED_VALUE"""),0.0)</f>
        <v>0</v>
      </c>
      <c r="K595" s="15">
        <f>IFERROR(__xludf.DUMMYFUNCTION("""COMPUTED_VALUE"""),0.0)</f>
        <v>0</v>
      </c>
      <c r="L595" s="15"/>
    </row>
    <row r="596" ht="15.75" customHeight="1">
      <c r="A596" s="14" t="str">
        <f>IFERROR(__xludf.DUMMYFUNCTION("""COMPUTED_VALUE"""),"https://www.geniecrawl.com/top-50-seo-agencies-in-the-uk-2026-rankings/")</f>
        <v>https://www.geniecrawl.com/top-50-seo-agencies-in-the-uk-2026-rankings/</v>
      </c>
      <c r="B596" s="15" t="str">
        <f>IFERROR(__xludf.DUMMYFUNCTION("""COMPUTED_VALUE"""),"Top 50 Search Engine Optimisation (SEO) Agencies in the UK (2026 Rankings)")</f>
        <v>Top 50 Search Engine Optimisation (SEO) Agencies in the UK (2026 Rankings)</v>
      </c>
      <c r="C596" s="14" t="str">
        <f>IFERROR(__xludf.DUMMYFUNCTION("""COMPUTED_VALUE"""),"geniecrawl.com")</f>
        <v>geniecrawl.com</v>
      </c>
      <c r="D596" s="15" t="str">
        <f>IFERROR(__xludf.DUMMYFUNCTION("""COMPUTED_VALUE"""),"OTHER")</f>
        <v>OTHER</v>
      </c>
      <c r="E596" s="15" t="str">
        <f>IFERROR(__xludf.DUMMYFUNCTION("""COMPUTED_VALUE"""),"OTHER")</f>
        <v>OTHER</v>
      </c>
      <c r="F596" s="15" t="str">
        <f>IFERROR(__xludf.DUMMYFUNCTION("""COMPUTED_VALUE"""),"Other")</f>
        <v>Other</v>
      </c>
      <c r="G596" s="15" t="b">
        <f>IFERROR(__xludf.DUMMYFUNCTION("""COMPUTED_VALUE"""),FALSE)</f>
        <v>0</v>
      </c>
      <c r="H596" s="15" t="str">
        <f>IFERROR(__xludf.DUMMYFUNCTION("""COMPUTED_VALUE"""),"Genie Crawl, ClickSlice, The SEO Works, Bird Marketing, Found, Passion Digital, Momentum, The Good Marketer, LOCALiQ, Hallam, Push, Push Group, Propeller")</f>
        <v>Genie Crawl, ClickSlice, The SEO Works, Bird Marketing, Found, Passion Digital, Momentum, The Good Marketer, LOCALiQ, Hallam, Push, Push Group, Propeller</v>
      </c>
      <c r="I596" s="15">
        <f>IFERROR(__xludf.DUMMYFUNCTION("""COMPUTED_VALUE"""),1.0)</f>
        <v>1</v>
      </c>
      <c r="J596" s="15">
        <f>IFERROR(__xludf.DUMMYFUNCTION("""COMPUTED_VALUE"""),0.0)</f>
        <v>0</v>
      </c>
      <c r="K596" s="15">
        <f>IFERROR(__xludf.DUMMYFUNCTION("""COMPUTED_VALUE"""),0.0)</f>
        <v>0</v>
      </c>
      <c r="L596" s="15"/>
    </row>
    <row r="597" ht="15.75" customHeight="1">
      <c r="A597" s="14" t="str">
        <f>IFERROR(__xludf.DUMMYFUNCTION("""COMPUTED_VALUE"""),"https://gigawattgroup.com/insights/best-geo-agencies-in-2026-who-actually-drives-ai-visibility-and-citations/")</f>
        <v>https://gigawattgroup.com/insights/best-geo-agencies-in-2026-who-actually-drives-ai-visibility-and-citations/</v>
      </c>
      <c r="B597" s="15" t="str">
        <f>IFERROR(__xludf.DUMMYFUNCTION("""COMPUTED_VALUE"""),"Best GEO Agencies in 2026: Who Actually Drives AI Visibility and Citations - Gigawatt Group")</f>
        <v>Best GEO Agencies in 2026: Who Actually Drives AI Visibility and Citations - Gigawatt Group</v>
      </c>
      <c r="C597" s="14" t="str">
        <f>IFERROR(__xludf.DUMMYFUNCTION("""COMPUTED_VALUE"""),"gigawattgroup.com")</f>
        <v>gigawattgroup.com</v>
      </c>
      <c r="D597" s="15" t="str">
        <f>IFERROR(__xludf.DUMMYFUNCTION("""COMPUTED_VALUE"""),"LISTICLE")</f>
        <v>LISTICLE</v>
      </c>
      <c r="E597" s="15" t="str">
        <f>IFERROR(__xludf.DUMMYFUNCTION("""COMPUTED_VALUE"""),"CORPORATE")</f>
        <v>CORPORATE</v>
      </c>
      <c r="F597" s="15" t="str">
        <f>IFERROR(__xludf.DUMMYFUNCTION("""COMPUTED_VALUE"""),"Listicle")</f>
        <v>Listicle</v>
      </c>
      <c r="G597" s="15" t="b">
        <f>IFERROR(__xludf.DUMMYFUNCTION("""COMPUTED_VALUE"""),FALSE)</f>
        <v>0</v>
      </c>
      <c r="H597" s="15"/>
      <c r="I597" s="15">
        <f>IFERROR(__xludf.DUMMYFUNCTION("""COMPUTED_VALUE"""),1.0)</f>
        <v>1</v>
      </c>
      <c r="J597" s="15">
        <f>IFERROR(__xludf.DUMMYFUNCTION("""COMPUTED_VALUE"""),0.0)</f>
        <v>0</v>
      </c>
      <c r="K597" s="15">
        <f>IFERROR(__xludf.DUMMYFUNCTION("""COMPUTED_VALUE"""),0.0)</f>
        <v>0</v>
      </c>
      <c r="L597" s="15"/>
    </row>
    <row r="598" ht="15.75" customHeight="1">
      <c r="A598" s="14" t="str">
        <f>IFERROR(__xludf.DUMMYFUNCTION("""COMPUTED_VALUE"""),"https://ginitalent.com/top-10-creative-agencies-in-the-uk-2025-guide/")</f>
        <v>https://ginitalent.com/top-10-creative-agencies-in-the-uk-2025-guide/</v>
      </c>
      <c r="B598" s="15" t="str">
        <f>IFERROR(__xludf.DUMMYFUNCTION("""COMPUTED_VALUE"""),"Top 10 Creative Agencies in the UK (2025 Guide) - Gini Talent")</f>
        <v>Top 10 Creative Agencies in the UK (2025 Guide) - Gini Talent</v>
      </c>
      <c r="C598" s="14" t="str">
        <f>IFERROR(__xludf.DUMMYFUNCTION("""COMPUTED_VALUE"""),"ginitalent.com")</f>
        <v>ginitalent.com</v>
      </c>
      <c r="D598" s="15" t="str">
        <f>IFERROR(__xludf.DUMMYFUNCTION("""COMPUTED_VALUE"""),"LISTICLE")</f>
        <v>LISTICLE</v>
      </c>
      <c r="E598" s="15" t="str">
        <f>IFERROR(__xludf.DUMMYFUNCTION("""COMPUTED_VALUE"""),"CORPORATE")</f>
        <v>CORPORATE</v>
      </c>
      <c r="F598" s="15" t="str">
        <f>IFERROR(__xludf.DUMMYFUNCTION("""COMPUTED_VALUE"""),"Listicle")</f>
        <v>Listicle</v>
      </c>
      <c r="G598" s="15" t="b">
        <f>IFERROR(__xludf.DUMMYFUNCTION("""COMPUTED_VALUE"""),FALSE)</f>
        <v>0</v>
      </c>
      <c r="H598" s="15"/>
      <c r="I598" s="15">
        <f>IFERROR(__xludf.DUMMYFUNCTION("""COMPUTED_VALUE"""),1.0)</f>
        <v>1</v>
      </c>
      <c r="J598" s="15">
        <f>IFERROR(__xludf.DUMMYFUNCTION("""COMPUTED_VALUE"""),0.0)</f>
        <v>0</v>
      </c>
      <c r="K598" s="15">
        <f>IFERROR(__xludf.DUMMYFUNCTION("""COMPUTED_VALUE"""),0.0)</f>
        <v>0</v>
      </c>
      <c r="L598" s="15"/>
    </row>
    <row r="599" ht="15.75" customHeight="1">
      <c r="A599" s="14" t="str">
        <f>IFERROR(__xludf.DUMMYFUNCTION("""COMPUTED_VALUE"""),"https://www.gohighlevel.com/post/the-ai-ready-agency-what-the-top-5-are-doing-differently")</f>
        <v>https://www.gohighlevel.com/post/the-ai-ready-agency-what-the-top-5-are-doing-differently</v>
      </c>
      <c r="B599" s="15" t="str">
        <f>IFERROR(__xludf.DUMMYFUNCTION("""COMPUTED_VALUE"""),"The AI-ready agency: What the top 5% are doing differently")</f>
        <v>The AI-ready agency: What the top 5% are doing differently</v>
      </c>
      <c r="C599" s="14" t="str">
        <f>IFERROR(__xludf.DUMMYFUNCTION("""COMPUTED_VALUE"""),"gohighlevel.com")</f>
        <v>gohighlevel.com</v>
      </c>
      <c r="D599" s="15" t="str">
        <f>IFERROR(__xludf.DUMMYFUNCTION("""COMPUTED_VALUE"""),"HOW_TO_GUIDE")</f>
        <v>HOW_TO_GUIDE</v>
      </c>
      <c r="E599" s="15" t="str">
        <f>IFERROR(__xludf.DUMMYFUNCTION("""COMPUTED_VALUE"""),"CORPORATE")</f>
        <v>CORPORATE</v>
      </c>
      <c r="F599" s="15" t="str">
        <f>IFERROR(__xludf.DUMMYFUNCTION("""COMPUTED_VALUE"""),"How-To Guide")</f>
        <v>How-To Guide</v>
      </c>
      <c r="G599" s="15" t="b">
        <f>IFERROR(__xludf.DUMMYFUNCTION("""COMPUTED_VALUE"""),FALSE)</f>
        <v>0</v>
      </c>
      <c r="H599" s="15"/>
      <c r="I599" s="15">
        <f>IFERROR(__xludf.DUMMYFUNCTION("""COMPUTED_VALUE"""),1.0)</f>
        <v>1</v>
      </c>
      <c r="J599" s="15">
        <f>IFERROR(__xludf.DUMMYFUNCTION("""COMPUTED_VALUE"""),0.0)</f>
        <v>0</v>
      </c>
      <c r="K599" s="15">
        <f>IFERROR(__xludf.DUMMYFUNCTION("""COMPUTED_VALUE"""),1.0)</f>
        <v>1</v>
      </c>
      <c r="L599" s="15"/>
    </row>
    <row r="600" ht="15.75" customHeight="1">
      <c r="A600" s="14" t="str">
        <f>IFERROR(__xludf.DUMMYFUNCTION("""COMPUTED_VALUE"""),"https://www.goodfirms.co/advertising-companies/creative")</f>
        <v>https://www.goodfirms.co/advertising-companies/creative</v>
      </c>
      <c r="B600" s="15" t="str">
        <f>IFERROR(__xludf.DUMMYFUNCTION("""COMPUTED_VALUE"""),"Top Creative Agencies - 2026 Reviews | Goodfirms")</f>
        <v>Top Creative Agencies - 2026 Reviews | Goodfirms</v>
      </c>
      <c r="C600" s="14" t="str">
        <f>IFERROR(__xludf.DUMMYFUNCTION("""COMPUTED_VALUE"""),"goodfirms.co")</f>
        <v>goodfirms.co</v>
      </c>
      <c r="D600" s="15" t="str">
        <f>IFERROR(__xludf.DUMMYFUNCTION("""COMPUTED_VALUE"""),"PROFILE")</f>
        <v>PROFILE</v>
      </c>
      <c r="E600" s="15" t="str">
        <f>IFERROR(__xludf.DUMMYFUNCTION("""COMPUTED_VALUE"""),"UGC")</f>
        <v>UGC</v>
      </c>
      <c r="F600" s="15" t="str">
        <f>IFERROR(__xludf.DUMMYFUNCTION("""COMPUTED_VALUE"""),"Profile")</f>
        <v>Profile</v>
      </c>
      <c r="G600" s="15" t="b">
        <f>IFERROR(__xludf.DUMMYFUNCTION("""COMPUTED_VALUE"""),FALSE)</f>
        <v>0</v>
      </c>
      <c r="H600" s="15" t="str">
        <f>IFERROR(__xludf.DUMMYFUNCTION("""COMPUTED_VALUE"""),"Found, Daydream")</f>
        <v>Found, Daydream</v>
      </c>
      <c r="I600" s="15">
        <f>IFERROR(__xludf.DUMMYFUNCTION("""COMPUTED_VALUE"""),1.0)</f>
        <v>1</v>
      </c>
      <c r="J600" s="15">
        <f>IFERROR(__xludf.DUMMYFUNCTION("""COMPUTED_VALUE"""),0.0)</f>
        <v>0</v>
      </c>
      <c r="K600" s="15">
        <f>IFERROR(__xludf.DUMMYFUNCTION("""COMPUTED_VALUE"""),0.0)</f>
        <v>0</v>
      </c>
      <c r="L600" s="15"/>
    </row>
    <row r="601" ht="15.75" customHeight="1">
      <c r="A601" s="14" t="str">
        <f>IFERROR(__xludf.DUMMYFUNCTION("""COMPUTED_VALUE"""),"https://www.goodfirms.co/advertising-companies/creative/uk?sort_by=reviews")</f>
        <v>https://www.goodfirms.co/advertising-companies/creative/uk?sort_by=reviews</v>
      </c>
      <c r="B601" s="15" t="str">
        <f>IFERROR(__xludf.DUMMYFUNCTION("""COMPUTED_VALUE"""),"Top Creative Agencies in the United Kingdom - 2026 Reviews | Goodfirms")</f>
        <v>Top Creative Agencies in the United Kingdom - 2026 Reviews | Goodfirms</v>
      </c>
      <c r="C601" s="14" t="str">
        <f>IFERROR(__xludf.DUMMYFUNCTION("""COMPUTED_VALUE"""),"goodfirms.co")</f>
        <v>goodfirms.co</v>
      </c>
      <c r="D601" s="15" t="str">
        <f>IFERROR(__xludf.DUMMYFUNCTION("""COMPUTED_VALUE"""),"PROFILE")</f>
        <v>PROFILE</v>
      </c>
      <c r="E601" s="15" t="str">
        <f>IFERROR(__xludf.DUMMYFUNCTION("""COMPUTED_VALUE"""),"UGC")</f>
        <v>UGC</v>
      </c>
      <c r="F601" s="15" t="str">
        <f>IFERROR(__xludf.DUMMYFUNCTION("""COMPUTED_VALUE"""),"Profile")</f>
        <v>Profile</v>
      </c>
      <c r="G601" s="15" t="b">
        <f>IFERROR(__xludf.DUMMYFUNCTION("""COMPUTED_VALUE"""),FALSE)</f>
        <v>0</v>
      </c>
      <c r="H601" s="15" t="str">
        <f>IFERROR(__xludf.DUMMYFUNCTION("""COMPUTED_VALUE"""),"Impression, Found")</f>
        <v>Impression, Found</v>
      </c>
      <c r="I601" s="15">
        <f>IFERROR(__xludf.DUMMYFUNCTION("""COMPUTED_VALUE"""),1.0)</f>
        <v>1</v>
      </c>
      <c r="J601" s="15">
        <f>IFERROR(__xludf.DUMMYFUNCTION("""COMPUTED_VALUE"""),0.0)</f>
        <v>0</v>
      </c>
      <c r="K601" s="15">
        <f>IFERROR(__xludf.DUMMYFUNCTION("""COMPUTED_VALUE"""),0.0)</f>
        <v>0</v>
      </c>
      <c r="L601" s="15"/>
    </row>
    <row r="602" ht="15.75" customHeight="1">
      <c r="A602" s="14" t="str">
        <f>IFERROR(__xludf.DUMMYFUNCTION("""COMPUTED_VALUE"""),"https://www.goodfirms.co/advertising-companies/programmatic")</f>
        <v>https://www.goodfirms.co/advertising-companies/programmatic</v>
      </c>
      <c r="B602" s="15" t="str">
        <f>IFERROR(__xludf.DUMMYFUNCTION("""COMPUTED_VALUE"""),"Top Programmatic Advertising Companies - 2026 Reviews | Goodfirms")</f>
        <v>Top Programmatic Advertising Companies - 2026 Reviews | Goodfirms</v>
      </c>
      <c r="C602" s="14" t="str">
        <f>IFERROR(__xludf.DUMMYFUNCTION("""COMPUTED_VALUE"""),"goodfirms.co")</f>
        <v>goodfirms.co</v>
      </c>
      <c r="D602" s="15" t="str">
        <f>IFERROR(__xludf.DUMMYFUNCTION("""COMPUTED_VALUE"""),"CATEGORY_PAGE")</f>
        <v>CATEGORY_PAGE</v>
      </c>
      <c r="E602" s="15" t="str">
        <f>IFERROR(__xludf.DUMMYFUNCTION("""COMPUTED_VALUE"""),"UGC")</f>
        <v>UGC</v>
      </c>
      <c r="F602" s="15" t="str">
        <f>IFERROR(__xludf.DUMMYFUNCTION("""COMPUTED_VALUE"""),"Category Page")</f>
        <v>Category Page</v>
      </c>
      <c r="G602" s="15" t="b">
        <f>IFERROR(__xludf.DUMMYFUNCTION("""COMPUTED_VALUE"""),FALSE)</f>
        <v>0</v>
      </c>
      <c r="H602" s="15" t="str">
        <f>IFERROR(__xludf.DUMMYFUNCTION("""COMPUTED_VALUE"""),"The SEO Works, Found, Daydream")</f>
        <v>The SEO Works, Found, Daydream</v>
      </c>
      <c r="I602" s="15">
        <f>IFERROR(__xludf.DUMMYFUNCTION("""COMPUTED_VALUE"""),1.0)</f>
        <v>1</v>
      </c>
      <c r="J602" s="15">
        <f>IFERROR(__xludf.DUMMYFUNCTION("""COMPUTED_VALUE"""),0.0)</f>
        <v>0</v>
      </c>
      <c r="K602" s="15">
        <f>IFERROR(__xludf.DUMMYFUNCTION("""COMPUTED_VALUE"""),0.0)</f>
        <v>0</v>
      </c>
      <c r="L602" s="15"/>
    </row>
    <row r="603" ht="15.75" customHeight="1">
      <c r="A603" s="14" t="str">
        <f>IFERROR(__xludf.DUMMYFUNCTION("""COMPUTED_VALUE"""),"https://www.goodfirms.co/directory/city/top-digital-marketing-companies/advertising-ppc/london?sort_by=reviews")</f>
        <v>https://www.goodfirms.co/directory/city/top-digital-marketing-companies/advertising-ppc/london?sort_by=reviews</v>
      </c>
      <c r="B603" s="15" t="str">
        <f>IFERROR(__xludf.DUMMYFUNCTION("""COMPUTED_VALUE"""),"Top PPC Agencies in London - 2026 Reviews | Goodfirms")</f>
        <v>Top PPC Agencies in London - 2026 Reviews | Goodfirms</v>
      </c>
      <c r="C603" s="14" t="str">
        <f>IFERROR(__xludf.DUMMYFUNCTION("""COMPUTED_VALUE"""),"goodfirms.co")</f>
        <v>goodfirms.co</v>
      </c>
      <c r="D603" s="15" t="str">
        <f>IFERROR(__xludf.DUMMYFUNCTION("""COMPUTED_VALUE"""),"OTHER")</f>
        <v>OTHER</v>
      </c>
      <c r="E603" s="15" t="str">
        <f>IFERROR(__xludf.DUMMYFUNCTION("""COMPUTED_VALUE"""),"UGC")</f>
        <v>UGC</v>
      </c>
      <c r="F603" s="15" t="str">
        <f>IFERROR(__xludf.DUMMYFUNCTION("""COMPUTED_VALUE"""),"Other")</f>
        <v>Other</v>
      </c>
      <c r="G603" s="15" t="b">
        <f>IFERROR(__xludf.DUMMYFUNCTION("""COMPUTED_VALUE"""),FALSE)</f>
        <v>0</v>
      </c>
      <c r="H603" s="15" t="str">
        <f>IFERROR(__xludf.DUMMYFUNCTION("""COMPUTED_VALUE"""),"Bird Marketing, WebFX, Found")</f>
        <v>Bird Marketing, WebFX, Found</v>
      </c>
      <c r="I603" s="15">
        <f>IFERROR(__xludf.DUMMYFUNCTION("""COMPUTED_VALUE"""),1.0)</f>
        <v>1</v>
      </c>
      <c r="J603" s="15">
        <f>IFERROR(__xludf.DUMMYFUNCTION("""COMPUTED_VALUE"""),0.0)</f>
        <v>0</v>
      </c>
      <c r="K603" s="15">
        <f>IFERROR(__xludf.DUMMYFUNCTION("""COMPUTED_VALUE"""),0.0)</f>
        <v>0</v>
      </c>
      <c r="L603" s="15"/>
    </row>
    <row r="604" ht="15.75" customHeight="1">
      <c r="A604" s="14" t="str">
        <f>IFERROR(__xludf.DUMMYFUNCTION("""COMPUTED_VALUE"""),"https://www.goodfirms.co/directory/country/top-digital-marketing-companies/advertising-ppc/uk?sort_by=matrix")</f>
        <v>https://www.goodfirms.co/directory/country/top-digital-marketing-companies/advertising-ppc/uk?sort_by=matrix</v>
      </c>
      <c r="B604" s="15" t="str">
        <f>IFERROR(__xludf.DUMMYFUNCTION("""COMPUTED_VALUE"""),"Top PPC Agencies in the UK - 2026 Reviews | Goodfirms")</f>
        <v>Top PPC Agencies in the UK - 2026 Reviews | Goodfirms</v>
      </c>
      <c r="C604" s="14" t="str">
        <f>IFERROR(__xludf.DUMMYFUNCTION("""COMPUTED_VALUE"""),"goodfirms.co")</f>
        <v>goodfirms.co</v>
      </c>
      <c r="D604" s="15" t="str">
        <f>IFERROR(__xludf.DUMMYFUNCTION("""COMPUTED_VALUE"""),"OTHER")</f>
        <v>OTHER</v>
      </c>
      <c r="E604" s="15" t="str">
        <f>IFERROR(__xludf.DUMMYFUNCTION("""COMPUTED_VALUE"""),"UGC")</f>
        <v>UGC</v>
      </c>
      <c r="F604" s="15" t="str">
        <f>IFERROR(__xludf.DUMMYFUNCTION("""COMPUTED_VALUE"""),"Other")</f>
        <v>Other</v>
      </c>
      <c r="G604" s="15" t="b">
        <f>IFERROR(__xludf.DUMMYFUNCTION("""COMPUTED_VALUE"""),FALSE)</f>
        <v>0</v>
      </c>
      <c r="H604" s="15" t="str">
        <f>IFERROR(__xludf.DUMMYFUNCTION("""COMPUTED_VALUE"""),"Bird Marketing, WebFX, The SEO Works, Found")</f>
        <v>Bird Marketing, WebFX, The SEO Works, Found</v>
      </c>
      <c r="I604" s="15">
        <f>IFERROR(__xludf.DUMMYFUNCTION("""COMPUTED_VALUE"""),1.0)</f>
        <v>1</v>
      </c>
      <c r="J604" s="15">
        <f>IFERROR(__xludf.DUMMYFUNCTION("""COMPUTED_VALUE"""),0.0)</f>
        <v>0</v>
      </c>
      <c r="K604" s="15">
        <f>IFERROR(__xludf.DUMMYFUNCTION("""COMPUTED_VALUE"""),0.0)</f>
        <v>0</v>
      </c>
      <c r="L604" s="15"/>
    </row>
    <row r="605" ht="15.75" customHeight="1">
      <c r="A605" s="14" t="str">
        <f>IFERROR(__xludf.DUMMYFUNCTION("""COMPUTED_VALUE"""),"https://www.goodfirms.co/directory/country/top-digital-marketing-companies/gb?hss_channel=fbp-687194624745812utm_content%3D126613956&amp;page=2")</f>
        <v>https://www.goodfirms.co/directory/country/top-digital-marketing-companies/gb?hss_channel=fbp-687194624745812utm_content%3D126613956&amp;page=2</v>
      </c>
      <c r="B605" s="15" t="str">
        <f>IFERROR(__xludf.DUMMYFUNCTION("""COMPUTED_VALUE"""),"Top Digital Marketing Agencies in UK - 2026 Reviews | Goodfirms")</f>
        <v>Top Digital Marketing Agencies in UK - 2026 Reviews | Goodfirms</v>
      </c>
      <c r="C605" s="14" t="str">
        <f>IFERROR(__xludf.DUMMYFUNCTION("""COMPUTED_VALUE"""),"goodfirms.co")</f>
        <v>goodfirms.co</v>
      </c>
      <c r="D605" s="15" t="str">
        <f>IFERROR(__xludf.DUMMYFUNCTION("""COMPUTED_VALUE"""),"OTHER")</f>
        <v>OTHER</v>
      </c>
      <c r="E605" s="15" t="str">
        <f>IFERROR(__xludf.DUMMYFUNCTION("""COMPUTED_VALUE"""),"UGC")</f>
        <v>UGC</v>
      </c>
      <c r="F605" s="15" t="str">
        <f>IFERROR(__xludf.DUMMYFUNCTION("""COMPUTED_VALUE"""),"Other")</f>
        <v>Other</v>
      </c>
      <c r="G605" s="15" t="b">
        <f>IFERROR(__xludf.DUMMYFUNCTION("""COMPUTED_VALUE"""),FALSE)</f>
        <v>0</v>
      </c>
      <c r="H605" s="15" t="str">
        <f>IFERROR(__xludf.DUMMYFUNCTION("""COMPUTED_VALUE"""),"Whitehat, Found, Bird Marketing")</f>
        <v>Whitehat, Found, Bird Marketing</v>
      </c>
      <c r="I605" s="15">
        <f>IFERROR(__xludf.DUMMYFUNCTION("""COMPUTED_VALUE"""),1.0)</f>
        <v>1</v>
      </c>
      <c r="J605" s="15">
        <f>IFERROR(__xludf.DUMMYFUNCTION("""COMPUTED_VALUE"""),0.0)</f>
        <v>0</v>
      </c>
      <c r="K605" s="15">
        <f>IFERROR(__xludf.DUMMYFUNCTION("""COMPUTED_VALUE"""),0.0)</f>
        <v>0</v>
      </c>
      <c r="L605" s="15"/>
    </row>
    <row r="606" ht="15.75" customHeight="1">
      <c r="A606" s="14" t="str">
        <f>IFERROR(__xludf.DUMMYFUNCTION("""COMPUTED_VALUE"""),"https://www.goodfirms.co/directory/country/top-digital-marketing-companies/media-planning-buying/uk")</f>
        <v>https://www.goodfirms.co/directory/country/top-digital-marketing-companies/media-planning-buying/uk</v>
      </c>
      <c r="B606" s="15" t="str">
        <f>IFERROR(__xludf.DUMMYFUNCTION("""COMPUTED_VALUE"""),"Top Media Buying Agencies in the United Kingdom - 2026 Reviews | Goodfirms")</f>
        <v>Top Media Buying Agencies in the United Kingdom - 2026 Reviews | Goodfirms</v>
      </c>
      <c r="C606" s="14" t="str">
        <f>IFERROR(__xludf.DUMMYFUNCTION("""COMPUTED_VALUE"""),"goodfirms.co")</f>
        <v>goodfirms.co</v>
      </c>
      <c r="D606" s="15" t="str">
        <f>IFERROR(__xludf.DUMMYFUNCTION("""COMPUTED_VALUE"""),"OTHER")</f>
        <v>OTHER</v>
      </c>
      <c r="E606" s="15" t="str">
        <f>IFERROR(__xludf.DUMMYFUNCTION("""COMPUTED_VALUE"""),"UGC")</f>
        <v>UGC</v>
      </c>
      <c r="F606" s="15" t="str">
        <f>IFERROR(__xludf.DUMMYFUNCTION("""COMPUTED_VALUE"""),"Other")</f>
        <v>Other</v>
      </c>
      <c r="G606" s="15" t="b">
        <f>IFERROR(__xludf.DUMMYFUNCTION("""COMPUTED_VALUE"""),FALSE)</f>
        <v>0</v>
      </c>
      <c r="H606" s="15" t="str">
        <f>IFERROR(__xludf.DUMMYFUNCTION("""COMPUTED_VALUE"""),"WebFX, VCCP, Favoured, Omnicom, Found, Bird Marketing")</f>
        <v>WebFX, VCCP, Favoured, Omnicom, Found, Bird Marketing</v>
      </c>
      <c r="I606" s="15">
        <f>IFERROR(__xludf.DUMMYFUNCTION("""COMPUTED_VALUE"""),1.0)</f>
        <v>1</v>
      </c>
      <c r="J606" s="15">
        <f>IFERROR(__xludf.DUMMYFUNCTION("""COMPUTED_VALUE"""),0.0)</f>
        <v>0</v>
      </c>
      <c r="K606" s="15">
        <f>IFERROR(__xludf.DUMMYFUNCTION("""COMPUTED_VALUE"""),0.0)</f>
        <v>0</v>
      </c>
      <c r="L606" s="15"/>
    </row>
    <row r="607" ht="15.75" customHeight="1">
      <c r="A607" s="14" t="str">
        <f>IFERROR(__xludf.DUMMYFUNCTION("""COMPUTED_VALUE"""),"https://www.greenbook.org/market-research-firms/tracking")</f>
        <v>https://www.greenbook.org/market-research-firms/tracking</v>
      </c>
      <c r="B607" s="15" t="str">
        <f>IFERROR(__xludf.DUMMYFUNCTION("""COMPUTED_VALUE"""),"Top Tracking Research Companies — Greenbook")</f>
        <v>Top Tracking Research Companies — Greenbook</v>
      </c>
      <c r="C607" s="14" t="str">
        <f>IFERROR(__xludf.DUMMYFUNCTION("""COMPUTED_VALUE"""),"greenbook.org")</f>
        <v>greenbook.org</v>
      </c>
      <c r="D607" s="15" t="str">
        <f>IFERROR(__xludf.DUMMYFUNCTION("""COMPUTED_VALUE"""),"CATEGORY_PAGE")</f>
        <v>CATEGORY_PAGE</v>
      </c>
      <c r="E607" s="15" t="str">
        <f>IFERROR(__xludf.DUMMYFUNCTION("""COMPUTED_VALUE"""),"REFERENCE")</f>
        <v>REFERENCE</v>
      </c>
      <c r="F607" s="15" t="str">
        <f>IFERROR(__xludf.DUMMYFUNCTION("""COMPUTED_VALUE"""),"Category Page")</f>
        <v>Category Page</v>
      </c>
      <c r="G607" s="15" t="b">
        <f>IFERROR(__xludf.DUMMYFUNCTION("""COMPUTED_VALUE"""),FALSE)</f>
        <v>0</v>
      </c>
      <c r="H607" s="15" t="str">
        <f>IFERROR(__xludf.DUMMYFUNCTION("""COMPUTED_VALUE"""),"YouGov")</f>
        <v>YouGov</v>
      </c>
      <c r="I607" s="15">
        <f>IFERROR(__xludf.DUMMYFUNCTION("""COMPUTED_VALUE"""),1.0)</f>
        <v>1</v>
      </c>
      <c r="J607" s="15">
        <f>IFERROR(__xludf.DUMMYFUNCTION("""COMPUTED_VALUE"""),0.0)</f>
        <v>0</v>
      </c>
      <c r="K607" s="15">
        <f>IFERROR(__xludf.DUMMYFUNCTION("""COMPUTED_VALUE"""),0.0)</f>
        <v>0</v>
      </c>
      <c r="L607" s="15"/>
    </row>
    <row r="608" ht="15.75" customHeight="1">
      <c r="A608" s="14" t="str">
        <f>IFERROR(__xludf.DUMMYFUNCTION("""COMPUTED_VALUE"""),"https://grizzle.io/blog/best-generative-engine-optimization-agencies-for-b2b")</f>
        <v>https://grizzle.io/blog/best-generative-engine-optimization-agencies-for-b2b</v>
      </c>
      <c r="B608" s="15" t="str">
        <f>IFERROR(__xludf.DUMMYFUNCTION("""COMPUTED_VALUE"""),"6 best generative engine optimization (GEO) agencies for B2B to grow AI visibility in 2026")</f>
        <v>6 best generative engine optimization (GEO) agencies for B2B to grow AI visibility in 2026</v>
      </c>
      <c r="C608" s="14" t="str">
        <f>IFERROR(__xludf.DUMMYFUNCTION("""COMPUTED_VALUE"""),"grizzle.io")</f>
        <v>grizzle.io</v>
      </c>
      <c r="D608" s="15" t="str">
        <f>IFERROR(__xludf.DUMMYFUNCTION("""COMPUTED_VALUE"""),"LISTICLE")</f>
        <v>LISTICLE</v>
      </c>
      <c r="E608" s="15" t="str">
        <f>IFERROR(__xludf.DUMMYFUNCTION("""COMPUTED_VALUE"""),"OTHER")</f>
        <v>OTHER</v>
      </c>
      <c r="F608" s="15" t="str">
        <f>IFERROR(__xludf.DUMMYFUNCTION("""COMPUTED_VALUE"""),"Listicle")</f>
        <v>Listicle</v>
      </c>
      <c r="G608" s="15" t="b">
        <f>IFERROR(__xludf.DUMMYFUNCTION("""COMPUTED_VALUE"""),FALSE)</f>
        <v>0</v>
      </c>
      <c r="H608" s="15" t="str">
        <f>IFERROR(__xludf.DUMMYFUNCTION("""COMPUTED_VALUE"""),"Siege Media, Omniscient Digital, Found, Push, Rise at Seven, Measured, Brainlabs, Tinuiti")</f>
        <v>Siege Media, Omniscient Digital, Found, Push, Rise at Seven, Measured, Brainlabs, Tinuiti</v>
      </c>
      <c r="I608" s="15">
        <f>IFERROR(__xludf.DUMMYFUNCTION("""COMPUTED_VALUE"""),1.0)</f>
        <v>1</v>
      </c>
      <c r="J608" s="15">
        <f>IFERROR(__xludf.DUMMYFUNCTION("""COMPUTED_VALUE"""),0.0)</f>
        <v>0</v>
      </c>
      <c r="K608" s="15">
        <f>IFERROR(__xludf.DUMMYFUNCTION("""COMPUTED_VALUE"""),1.0)</f>
        <v>1</v>
      </c>
      <c r="L608" s="15"/>
    </row>
    <row r="609" ht="15.75" customHeight="1">
      <c r="A609" s="14" t="str">
        <f>IFERROR(__xludf.DUMMYFUNCTION("""COMPUTED_VALUE"""),"https://growth-labs.co.uk/top-50-uk-web-development-companies-2026-rankings/")</f>
        <v>https://growth-labs.co.uk/top-50-uk-web-development-companies-2026-rankings/</v>
      </c>
      <c r="B609" s="15" t="str">
        <f>IFERROR(__xludf.DUMMYFUNCTION("""COMPUTED_VALUE"""),"Top 50 UK Web Development Companies | 2026 Rankings | Growthlabs")</f>
        <v>Top 50 UK Web Development Companies | 2026 Rankings | Growthlabs</v>
      </c>
      <c r="C609" s="14" t="str">
        <f>IFERROR(__xludf.DUMMYFUNCTION("""COMPUTED_VALUE"""),"growth-labs.co.uk")</f>
        <v>growth-labs.co.uk</v>
      </c>
      <c r="D609" s="15" t="str">
        <f>IFERROR(__xludf.DUMMYFUNCTION("""COMPUTED_VALUE"""),"LISTICLE")</f>
        <v>LISTICLE</v>
      </c>
      <c r="E609" s="15" t="str">
        <f>IFERROR(__xludf.DUMMYFUNCTION("""COMPUTED_VALUE"""),"CORPORATE")</f>
        <v>CORPORATE</v>
      </c>
      <c r="F609" s="15" t="str">
        <f>IFERROR(__xludf.DUMMYFUNCTION("""COMPUTED_VALUE"""),"Listicle")</f>
        <v>Listicle</v>
      </c>
      <c r="G609" s="15" t="b">
        <f>IFERROR(__xludf.DUMMYFUNCTION("""COMPUTED_VALUE"""),FALSE)</f>
        <v>0</v>
      </c>
      <c r="H609" s="15" t="str">
        <f>IFERROR(__xludf.DUMMYFUNCTION("""COMPUTED_VALUE"""),"Propeller, Impression, Dept, AKQA, Hallam, Bird Marketing")</f>
        <v>Propeller, Impression, Dept, AKQA, Hallam, Bird Marketing</v>
      </c>
      <c r="I609" s="15">
        <f>IFERROR(__xludf.DUMMYFUNCTION("""COMPUTED_VALUE"""),1.0)</f>
        <v>1</v>
      </c>
      <c r="J609" s="15">
        <f>IFERROR(__xludf.DUMMYFUNCTION("""COMPUTED_VALUE"""),0.0)</f>
        <v>0</v>
      </c>
      <c r="K609" s="15">
        <f>IFERROR(__xludf.DUMMYFUNCTION("""COMPUTED_VALUE"""),1.0)</f>
        <v>1</v>
      </c>
      <c r="L609" s="15"/>
    </row>
    <row r="610" ht="15.75" customHeight="1">
      <c r="A610" s="14" t="str">
        <f>IFERROR(__xludf.DUMMYFUNCTION("""COMPUTED_VALUE"""),"https://growth.cx/blog/best-performance-marketing-agencies/")</f>
        <v>https://growth.cx/blog/best-performance-marketing-agencies/</v>
      </c>
      <c r="B610" s="15" t="str">
        <f>IFERROR(__xludf.DUMMYFUNCTION("""COMPUTED_VALUE"""),"13 Best Performance Marketing Agencies to Boost ROI in 2026")</f>
        <v>13 Best Performance Marketing Agencies to Boost ROI in 2026</v>
      </c>
      <c r="C610" s="14" t="str">
        <f>IFERROR(__xludf.DUMMYFUNCTION("""COMPUTED_VALUE"""),"growth.cx")</f>
        <v>growth.cx</v>
      </c>
      <c r="D610" s="15" t="str">
        <f>IFERROR(__xludf.DUMMYFUNCTION("""COMPUTED_VALUE"""),"LISTICLE")</f>
        <v>LISTICLE</v>
      </c>
      <c r="E610" s="15" t="str">
        <f>IFERROR(__xludf.DUMMYFUNCTION("""COMPUTED_VALUE"""),"CORPORATE")</f>
        <v>CORPORATE</v>
      </c>
      <c r="F610" s="15" t="str">
        <f>IFERROR(__xludf.DUMMYFUNCTION("""COMPUTED_VALUE"""),"Listicle")</f>
        <v>Listicle</v>
      </c>
      <c r="G610" s="15" t="b">
        <f>IFERROR(__xludf.DUMMYFUNCTION("""COMPUTED_VALUE"""),FALSE)</f>
        <v>0</v>
      </c>
      <c r="H610" s="15" t="str">
        <f>IFERROR(__xludf.DUMMYFUNCTION("""COMPUTED_VALUE"""),"Ignite Visibility, Tinuiti, NoGood, iCrossing, Wpromote")</f>
        <v>Ignite Visibility, Tinuiti, NoGood, iCrossing, Wpromote</v>
      </c>
      <c r="I610" s="15">
        <f>IFERROR(__xludf.DUMMYFUNCTION("""COMPUTED_VALUE"""),1.0)</f>
        <v>1</v>
      </c>
      <c r="J610" s="15">
        <f>IFERROR(__xludf.DUMMYFUNCTION("""COMPUTED_VALUE"""),0.0)</f>
        <v>0</v>
      </c>
      <c r="K610" s="15">
        <f>IFERROR(__xludf.DUMMYFUNCTION("""COMPUTED_VALUE"""),1.0)</f>
        <v>1</v>
      </c>
      <c r="L610" s="15"/>
    </row>
    <row r="611" ht="15.75" customHeight="1">
      <c r="A611" s="14" t="str">
        <f>IFERROR(__xludf.DUMMYFUNCTION("""COMPUTED_VALUE"""),"https://growthcurve.co/agency/digital-marketing-agency/best-growth-marketing-agencies#:~:text=Growthcurve%20gives%20you%20a%20complete,more%20shipped%20and%20fewer%20handoffs.")</f>
        <v>https://growthcurve.co/agency/digital-marketing-agency/best-growth-marketing-agencies#:~:text=Growthcurve%20gives%20you%20a%20complete,more%20shipped%20and%20fewer%20handoffs.</v>
      </c>
      <c r="B611" s="15" t="str">
        <f>IFERROR(__xludf.DUMMYFUNCTION("""COMPUTED_VALUE"""),"Best Growth Marketing Agencies | Growthcurve")</f>
        <v>Best Growth Marketing Agencies | Growthcurve</v>
      </c>
      <c r="C611" s="14" t="str">
        <f>IFERROR(__xludf.DUMMYFUNCTION("""COMPUTED_VALUE"""),"growthcurve.co")</f>
        <v>growthcurve.co</v>
      </c>
      <c r="D611" s="15" t="str">
        <f>IFERROR(__xludf.DUMMYFUNCTION("""COMPUTED_VALUE"""),"PRODUCT_PAGE")</f>
        <v>PRODUCT_PAGE</v>
      </c>
      <c r="E611" s="15" t="str">
        <f>IFERROR(__xludf.DUMMYFUNCTION("""COMPUTED_VALUE"""),"CORPORATE")</f>
        <v>CORPORATE</v>
      </c>
      <c r="F611" s="15" t="str">
        <f>IFERROR(__xludf.DUMMYFUNCTION("""COMPUTED_VALUE"""),"Product Page")</f>
        <v>Product Page</v>
      </c>
      <c r="G611" s="15" t="b">
        <f>IFERROR(__xludf.DUMMYFUNCTION("""COMPUTED_VALUE"""),FALSE)</f>
        <v>0</v>
      </c>
      <c r="H611" s="15" t="str">
        <f>IFERROR(__xludf.DUMMYFUNCTION("""COMPUTED_VALUE"""),"Found, Push")</f>
        <v>Found, Push</v>
      </c>
      <c r="I611" s="15">
        <f>IFERROR(__xludf.DUMMYFUNCTION("""COMPUTED_VALUE"""),1.0)</f>
        <v>1</v>
      </c>
      <c r="J611" s="15">
        <f>IFERROR(__xludf.DUMMYFUNCTION("""COMPUTED_VALUE"""),0.0)</f>
        <v>0</v>
      </c>
      <c r="K611" s="15">
        <f>IFERROR(__xludf.DUMMYFUNCTION("""COMPUTED_VALUE"""),1.0)</f>
        <v>1</v>
      </c>
      <c r="L611" s="15"/>
    </row>
    <row r="612" ht="15.75" customHeight="1">
      <c r="A612" s="14" t="str">
        <f>IFERROR(__xludf.DUMMYFUNCTION("""COMPUTED_VALUE"""),"https://growthmanager.ai/best-geo-agency")</f>
        <v>https://growthmanager.ai/best-geo-agency</v>
      </c>
      <c r="B612" s="15" t="str">
        <f>IFERROR(__xludf.DUMMYFUNCTION("""COMPUTED_VALUE"""),"Best GEO agencies in 2026, reviewed and ranked")</f>
        <v>Best GEO agencies in 2026, reviewed and ranked</v>
      </c>
      <c r="C612" s="14" t="str">
        <f>IFERROR(__xludf.DUMMYFUNCTION("""COMPUTED_VALUE"""),"growthmanager.ai")</f>
        <v>growthmanager.ai</v>
      </c>
      <c r="D612" s="15" t="str">
        <f>IFERROR(__xludf.DUMMYFUNCTION("""COMPUTED_VALUE"""),"LISTICLE")</f>
        <v>LISTICLE</v>
      </c>
      <c r="E612" s="15" t="str">
        <f>IFERROR(__xludf.DUMMYFUNCTION("""COMPUTED_VALUE"""),"CORPORATE")</f>
        <v>CORPORATE</v>
      </c>
      <c r="F612" s="15" t="str">
        <f>IFERROR(__xludf.DUMMYFUNCTION("""COMPUTED_VALUE"""),"Listicle")</f>
        <v>Listicle</v>
      </c>
      <c r="G612" s="15" t="b">
        <f>IFERROR(__xludf.DUMMYFUNCTION("""COMPUTED_VALUE"""),FALSE)</f>
        <v>0</v>
      </c>
      <c r="H612" s="15" t="str">
        <f>IFERROR(__xludf.DUMMYFUNCTION("""COMPUTED_VALUE"""),"Momentum")</f>
        <v>Momentum</v>
      </c>
      <c r="I612" s="15">
        <f>IFERROR(__xludf.DUMMYFUNCTION("""COMPUTED_VALUE"""),1.0)</f>
        <v>1</v>
      </c>
      <c r="J612" s="15">
        <f>IFERROR(__xludf.DUMMYFUNCTION("""COMPUTED_VALUE"""),0.0)</f>
        <v>0</v>
      </c>
      <c r="K612" s="15">
        <f>IFERROR(__xludf.DUMMYFUNCTION("""COMPUTED_VALUE"""),0.0)</f>
        <v>0</v>
      </c>
      <c r="L612" s="15"/>
    </row>
    <row r="613" ht="15.75" customHeight="1">
      <c r="A613" s="14" t="str">
        <f>IFERROR(__xludf.DUMMYFUNCTION("""COMPUTED_VALUE"""),"https://www.growthspreeofficial.com/blogs/top-6-ai-powered-b2b-saas-marketing-agencies-in-the-united-states-2026")</f>
        <v>https://www.growthspreeofficial.com/blogs/top-6-ai-powered-b2b-saas-marketing-agencies-in-the-united-states-2026</v>
      </c>
      <c r="B613" s="15" t="str">
        <f>IFERROR(__xludf.DUMMYFUNCTION("""COMPUTED_VALUE"""),"Top 6 AI-Powered B2B SaaS Marketing Agencies USA 2026")</f>
        <v>Top 6 AI-Powered B2B SaaS Marketing Agencies USA 2026</v>
      </c>
      <c r="C613" s="14" t="str">
        <f>IFERROR(__xludf.DUMMYFUNCTION("""COMPUTED_VALUE"""),"growthspreeofficial.com")</f>
        <v>growthspreeofficial.com</v>
      </c>
      <c r="D613" s="15" t="str">
        <f>IFERROR(__xludf.DUMMYFUNCTION("""COMPUTED_VALUE"""),"LISTICLE")</f>
        <v>LISTICLE</v>
      </c>
      <c r="E613" s="15" t="str">
        <f>IFERROR(__xludf.DUMMYFUNCTION("""COMPUTED_VALUE"""),"CORPORATE")</f>
        <v>CORPORATE</v>
      </c>
      <c r="F613" s="15" t="str">
        <f>IFERROR(__xludf.DUMMYFUNCTION("""COMPUTED_VALUE"""),"Listicle")</f>
        <v>Listicle</v>
      </c>
      <c r="G613" s="15" t="b">
        <f>IFERROR(__xludf.DUMMYFUNCTION("""COMPUTED_VALUE"""),FALSE)</f>
        <v>0</v>
      </c>
      <c r="H613" s="15" t="str">
        <f>IFERROR(__xludf.DUMMYFUNCTION("""COMPUTED_VALUE"""),"GrowthSpree, Measured, Found")</f>
        <v>GrowthSpree, Measured, Found</v>
      </c>
      <c r="I613" s="15">
        <f>IFERROR(__xludf.DUMMYFUNCTION("""COMPUTED_VALUE"""),1.0)</f>
        <v>1</v>
      </c>
      <c r="J613" s="15">
        <f>IFERROR(__xludf.DUMMYFUNCTION("""COMPUTED_VALUE"""),0.0)</f>
        <v>0</v>
      </c>
      <c r="K613" s="15">
        <f>IFERROR(__xludf.DUMMYFUNCTION("""COMPUTED_VALUE"""),1.0)</f>
        <v>1</v>
      </c>
      <c r="L613" s="15"/>
    </row>
    <row r="614" ht="15.75" customHeight="1">
      <c r="A614" s="14" t="str">
        <f>IFERROR(__xludf.DUMMYFUNCTION("""COMPUTED_VALUE"""),"https://www.happyhourproductions.co.uk/insights/top-tv-advertising-agencies-uk")</f>
        <v>https://www.happyhourproductions.co.uk/insights/top-tv-advertising-agencies-uk</v>
      </c>
      <c r="B614" s="15" t="str">
        <f>IFERROR(__xludf.DUMMYFUNCTION("""COMPUTED_VALUE"""),"Top 8 TV Advertising Agencies in the UK (2026) | Happy Hour Productions")</f>
        <v>Top 8 TV Advertising Agencies in the UK (2026) | Happy Hour Productions</v>
      </c>
      <c r="C614" s="14" t="str">
        <f>IFERROR(__xludf.DUMMYFUNCTION("""COMPUTED_VALUE"""),"happyhourproductions.co.uk")</f>
        <v>happyhourproductions.co.uk</v>
      </c>
      <c r="D614" s="15" t="str">
        <f>IFERROR(__xludf.DUMMYFUNCTION("""COMPUTED_VALUE"""),"OTHER")</f>
        <v>OTHER</v>
      </c>
      <c r="E614" s="15" t="str">
        <f>IFERROR(__xludf.DUMMYFUNCTION("""COMPUTED_VALUE"""),"CORPORATE")</f>
        <v>CORPORATE</v>
      </c>
      <c r="F614" s="15" t="str">
        <f>IFERROR(__xludf.DUMMYFUNCTION("""COMPUTED_VALUE"""),"Other")</f>
        <v>Other</v>
      </c>
      <c r="G614" s="15" t="b">
        <f>IFERROR(__xludf.DUMMYFUNCTION("""COMPUTED_VALUE"""),FALSE)</f>
        <v>0</v>
      </c>
      <c r="H614" s="15" t="str">
        <f>IFERROR(__xludf.DUMMYFUNCTION("""COMPUTED_VALUE"""),"Saatchi &amp; Saatchi, VCCP, BBH London, Mother London, AMV BBDO, Adam&amp;eveDDB, Found")</f>
        <v>Saatchi &amp; Saatchi, VCCP, BBH London, Mother London, AMV BBDO, Adam&amp;eveDDB, Found</v>
      </c>
      <c r="I614" s="15">
        <f>IFERROR(__xludf.DUMMYFUNCTION("""COMPUTED_VALUE"""),1.0)</f>
        <v>1</v>
      </c>
      <c r="J614" s="15">
        <f>IFERROR(__xludf.DUMMYFUNCTION("""COMPUTED_VALUE"""),0.0)</f>
        <v>0</v>
      </c>
      <c r="K614" s="15">
        <f>IFERROR(__xludf.DUMMYFUNCTION("""COMPUTED_VALUE"""),1.0)</f>
        <v>1</v>
      </c>
      <c r="L614" s="15"/>
    </row>
    <row r="615" ht="15.75" customHeight="1">
      <c r="A615" s="14" t="str">
        <f>IFERROR(__xludf.DUMMYFUNCTION("""COMPUTED_VALUE"""),"https://hashmeta.com/blog/10-best-aeo-geo-agencies-for-ai-search-optimization/")</f>
        <v>https://hashmeta.com/blog/10-best-aeo-geo-agencies-for-ai-search-optimization/</v>
      </c>
      <c r="B615" s="15" t="str">
        <f>IFERROR(__xludf.DUMMYFUNCTION("""COMPUTED_VALUE"""),"10 Best AEO/GEO Agencies for AI Search Optimization | Hashmeta")</f>
        <v>10 Best AEO/GEO Agencies for AI Search Optimization | Hashmeta</v>
      </c>
      <c r="C615" s="14" t="str">
        <f>IFERROR(__xludf.DUMMYFUNCTION("""COMPUTED_VALUE"""),"hashmeta.com")</f>
        <v>hashmeta.com</v>
      </c>
      <c r="D615" s="15" t="str">
        <f>IFERROR(__xludf.DUMMYFUNCTION("""COMPUTED_VALUE"""),"LISTICLE")</f>
        <v>LISTICLE</v>
      </c>
      <c r="E615" s="15" t="str">
        <f>IFERROR(__xludf.DUMMYFUNCTION("""COMPUTED_VALUE"""),"CORPORATE")</f>
        <v>CORPORATE</v>
      </c>
      <c r="F615" s="15" t="str">
        <f>IFERROR(__xludf.DUMMYFUNCTION("""COMPUTED_VALUE"""),"Listicle")</f>
        <v>Listicle</v>
      </c>
      <c r="G615" s="15" t="b">
        <f>IFERROR(__xludf.DUMMYFUNCTION("""COMPUTED_VALUE"""),FALSE)</f>
        <v>0</v>
      </c>
      <c r="H615" s="15" t="str">
        <f>IFERROR(__xludf.DUMMYFUNCTION("""COMPUTED_VALUE"""),"Siege Media, Blue Array, Measured")</f>
        <v>Siege Media, Blue Array, Measured</v>
      </c>
      <c r="I615" s="15">
        <f>IFERROR(__xludf.DUMMYFUNCTION("""COMPUTED_VALUE"""),1.0)</f>
        <v>1</v>
      </c>
      <c r="J615" s="15">
        <f>IFERROR(__xludf.DUMMYFUNCTION("""COMPUTED_VALUE"""),0.0)</f>
        <v>0</v>
      </c>
      <c r="K615" s="15">
        <f>IFERROR(__xludf.DUMMYFUNCTION("""COMPUTED_VALUE"""),1.0)</f>
        <v>1</v>
      </c>
      <c r="L615" s="15"/>
    </row>
    <row r="616" ht="15.75" customHeight="1">
      <c r="A616" s="14" t="str">
        <f>IFERROR(__xludf.DUMMYFUNCTION("""COMPUTED_VALUE"""),"https://hawksem.com/blog/performance-marketing-agency-list/")</f>
        <v>https://hawksem.com/blog/performance-marketing-agency-list/</v>
      </c>
      <c r="B616" s="15" t="str">
        <f>IFERROR(__xludf.DUMMYFUNCTION("""COMPUTED_VALUE"""),"Top 10 Performance Marketing Agencies in 2026")</f>
        <v>Top 10 Performance Marketing Agencies in 2026</v>
      </c>
      <c r="C616" s="14" t="str">
        <f>IFERROR(__xludf.DUMMYFUNCTION("""COMPUTED_VALUE"""),"hawksem.com")</f>
        <v>hawksem.com</v>
      </c>
      <c r="D616" s="15" t="str">
        <f>IFERROR(__xludf.DUMMYFUNCTION("""COMPUTED_VALUE"""),"LISTICLE")</f>
        <v>LISTICLE</v>
      </c>
      <c r="E616" s="15" t="str">
        <f>IFERROR(__xludf.DUMMYFUNCTION("""COMPUTED_VALUE"""),"CORPORATE")</f>
        <v>CORPORATE</v>
      </c>
      <c r="F616" s="15" t="str">
        <f>IFERROR(__xludf.DUMMYFUNCTION("""COMPUTED_VALUE"""),"Listicle")</f>
        <v>Listicle</v>
      </c>
      <c r="G616" s="15" t="b">
        <f>IFERROR(__xludf.DUMMYFUNCTION("""COMPUTED_VALUE"""),FALSE)</f>
        <v>0</v>
      </c>
      <c r="H616" s="15" t="str">
        <f>IFERROR(__xludf.DUMMYFUNCTION("""COMPUTED_VALUE"""),"Tinuiti, Merkle, Wpromote, Polaris, iCrossing")</f>
        <v>Tinuiti, Merkle, Wpromote, Polaris, iCrossing</v>
      </c>
      <c r="I616" s="15">
        <f>IFERROR(__xludf.DUMMYFUNCTION("""COMPUTED_VALUE"""),1.0)</f>
        <v>1</v>
      </c>
      <c r="J616" s="15">
        <f>IFERROR(__xludf.DUMMYFUNCTION("""COMPUTED_VALUE"""),0.0)</f>
        <v>0</v>
      </c>
      <c r="K616" s="15">
        <f>IFERROR(__xludf.DUMMYFUNCTION("""COMPUTED_VALUE"""),0.0)</f>
        <v>0</v>
      </c>
      <c r="L616" s="15"/>
    </row>
    <row r="617" ht="15.75" customHeight="1">
      <c r="A617" s="14" t="str">
        <f>IFERROR(__xludf.DUMMYFUNCTION("""COMPUTED_VALUE"""),"https://www.heydigital.co/blog/saas-marketing-agencies")</f>
        <v>https://www.heydigital.co/blog/saas-marketing-agencies</v>
      </c>
      <c r="B617" s="15" t="str">
        <f>IFERROR(__xludf.DUMMYFUNCTION("""COMPUTED_VALUE"""),"The 16 Best SaaS Marketing Agencies in 2026 | Hey Digital")</f>
        <v>The 16 Best SaaS Marketing Agencies in 2026 | Hey Digital</v>
      </c>
      <c r="C617" s="14" t="str">
        <f>IFERROR(__xludf.DUMMYFUNCTION("""COMPUTED_VALUE"""),"heydigital.co")</f>
        <v>heydigital.co</v>
      </c>
      <c r="D617" s="15" t="str">
        <f>IFERROR(__xludf.DUMMYFUNCTION("""COMPUTED_VALUE"""),"LISTICLE")</f>
        <v>LISTICLE</v>
      </c>
      <c r="E617" s="15" t="str">
        <f>IFERROR(__xludf.DUMMYFUNCTION("""COMPUTED_VALUE"""),"CORPORATE")</f>
        <v>CORPORATE</v>
      </c>
      <c r="F617" s="15" t="str">
        <f>IFERROR(__xludf.DUMMYFUNCTION("""COMPUTED_VALUE"""),"Listicle")</f>
        <v>Listicle</v>
      </c>
      <c r="G617" s="15" t="b">
        <f>IFERROR(__xludf.DUMMYFUNCTION("""COMPUTED_VALUE"""),FALSE)</f>
        <v>0</v>
      </c>
      <c r="H617" s="15" t="str">
        <f>IFERROR(__xludf.DUMMYFUNCTION("""COMPUTED_VALUE"""),"Found, Directive Consulting, NoGood, Single Grain, Omniscient Digital, Siege Media")</f>
        <v>Found, Directive Consulting, NoGood, Single Grain, Omniscient Digital, Siege Media</v>
      </c>
      <c r="I617" s="15">
        <f>IFERROR(__xludf.DUMMYFUNCTION("""COMPUTED_VALUE"""),1.0)</f>
        <v>1</v>
      </c>
      <c r="J617" s="15">
        <f>IFERROR(__xludf.DUMMYFUNCTION("""COMPUTED_VALUE"""),0.0)</f>
        <v>0</v>
      </c>
      <c r="K617" s="15">
        <f>IFERROR(__xludf.DUMMYFUNCTION("""COMPUTED_VALUE"""),0.0)</f>
        <v>0</v>
      </c>
      <c r="L617" s="15"/>
    </row>
    <row r="618" ht="15.75" customHeight="1">
      <c r="A618" s="14" t="str">
        <f>IFERROR(__xludf.DUMMYFUNCTION("""COMPUTED_VALUE"""),"https://hikemytraffic.com/ai-digital-marketing-companies-in-uk/")</f>
        <v>https://hikemytraffic.com/ai-digital-marketing-companies-in-uk/</v>
      </c>
      <c r="B618" s="15" t="str">
        <f>IFERROR(__xludf.DUMMYFUNCTION("""COMPUTED_VALUE"""),"15 Best AI Digital Marketing Companies in UK (Updated 2026)")</f>
        <v>15 Best AI Digital Marketing Companies in UK (Updated 2026)</v>
      </c>
      <c r="C618" s="14" t="str">
        <f>IFERROR(__xludf.DUMMYFUNCTION("""COMPUTED_VALUE"""),"hikemytraffic.com")</f>
        <v>hikemytraffic.com</v>
      </c>
      <c r="D618" s="15" t="str">
        <f>IFERROR(__xludf.DUMMYFUNCTION("""COMPUTED_VALUE"""),"LISTICLE")</f>
        <v>LISTICLE</v>
      </c>
      <c r="E618" s="15" t="str">
        <f>IFERROR(__xludf.DUMMYFUNCTION("""COMPUTED_VALUE"""),"CORPORATE")</f>
        <v>CORPORATE</v>
      </c>
      <c r="F618" s="15" t="str">
        <f>IFERROR(__xludf.DUMMYFUNCTION("""COMPUTED_VALUE"""),"Listicle")</f>
        <v>Listicle</v>
      </c>
      <c r="G618" s="15" t="b">
        <f>IFERROR(__xludf.DUMMYFUNCTION("""COMPUTED_VALUE"""),FALSE)</f>
        <v>0</v>
      </c>
      <c r="H618" s="15" t="str">
        <f>IFERROR(__xludf.DUMMYFUNCTION("""COMPUTED_VALUE"""),"The Good Marketer, Propeller, Soap Media")</f>
        <v>The Good Marketer, Propeller, Soap Media</v>
      </c>
      <c r="I618" s="15">
        <f>IFERROR(__xludf.DUMMYFUNCTION("""COMPUTED_VALUE"""),1.0)</f>
        <v>1</v>
      </c>
      <c r="J618" s="15">
        <f>IFERROR(__xludf.DUMMYFUNCTION("""COMPUTED_VALUE"""),0.0)</f>
        <v>0</v>
      </c>
      <c r="K618" s="15">
        <f>IFERROR(__xludf.DUMMYFUNCTION("""COMPUTED_VALUE"""),0.0)</f>
        <v>0</v>
      </c>
      <c r="L618" s="15"/>
    </row>
    <row r="619" ht="15.75" customHeight="1">
      <c r="A619" s="14" t="str">
        <f>IFERROR(__xludf.DUMMYFUNCTION("""COMPUTED_VALUE"""),"https://improvado.io/blog/multi-touch-attribution-solutions")</f>
        <v>https://improvado.io/blog/multi-touch-attribution-solutions</v>
      </c>
      <c r="B619" s="15" t="str">
        <f>IFERROR(__xludf.DUMMYFUNCTION("""COMPUTED_VALUE"""),"12 Best Multi-Touch Attribution Solutions (2026)")</f>
        <v>12 Best Multi-Touch Attribution Solutions (2026)</v>
      </c>
      <c r="C619" s="14" t="str">
        <f>IFERROR(__xludf.DUMMYFUNCTION("""COMPUTED_VALUE"""),"improvado.io")</f>
        <v>improvado.io</v>
      </c>
      <c r="D619" s="15" t="str">
        <f>IFERROR(__xludf.DUMMYFUNCTION("""COMPUTED_VALUE"""),"COMPARISON")</f>
        <v>COMPARISON</v>
      </c>
      <c r="E619" s="15" t="str">
        <f>IFERROR(__xludf.DUMMYFUNCTION("""COMPUTED_VALUE"""),"CORPORATE")</f>
        <v>CORPORATE</v>
      </c>
      <c r="F619" s="15" t="str">
        <f>IFERROR(__xludf.DUMMYFUNCTION("""COMPUTED_VALUE"""),"Comparison")</f>
        <v>Comparison</v>
      </c>
      <c r="G619" s="15" t="b">
        <f>IFERROR(__xludf.DUMMYFUNCTION("""COMPUTED_VALUE"""),FALSE)</f>
        <v>0</v>
      </c>
      <c r="H619" s="15" t="str">
        <f>IFERROR(__xludf.DUMMYFUNCTION("""COMPUTED_VALUE"""),"Rockerbox, Triple Whale, SegmentStream, Northbeam, Ruler Analytics, Neustar")</f>
        <v>Rockerbox, Triple Whale, SegmentStream, Northbeam, Ruler Analytics, Neustar</v>
      </c>
      <c r="I619" s="15">
        <f>IFERROR(__xludf.DUMMYFUNCTION("""COMPUTED_VALUE"""),1.0)</f>
        <v>1</v>
      </c>
      <c r="J619" s="15">
        <f>IFERROR(__xludf.DUMMYFUNCTION("""COMPUTED_VALUE"""),0.0)</f>
        <v>0</v>
      </c>
      <c r="K619" s="15">
        <f>IFERROR(__xludf.DUMMYFUNCTION("""COMPUTED_VALUE"""),2.0)</f>
        <v>2</v>
      </c>
      <c r="L619" s="15"/>
    </row>
    <row r="620" ht="15.75" customHeight="1">
      <c r="A620" s="14" t="str">
        <f>IFERROR(__xludf.DUMMYFUNCTION("""COMPUTED_VALUE"""),"https://inbeat.agency/blog/top-dynamic-creative-optimization-companies")</f>
        <v>https://inbeat.agency/blog/top-dynamic-creative-optimization-companies</v>
      </c>
      <c r="B620" s="15" t="str">
        <f>IFERROR(__xludf.DUMMYFUNCTION("""COMPUTED_VALUE"""),"Top 11 Dynamic Creative Optimization Companies Revolutionizing Personalized Advertising - inBeat Agency")</f>
        <v>Top 11 Dynamic Creative Optimization Companies Revolutionizing Personalized Advertising - inBeat Agency</v>
      </c>
      <c r="C620" s="15" t="str">
        <f>IFERROR(__xludf.DUMMYFUNCTION("""COMPUTED_VALUE"""),"inbeat.agency")</f>
        <v>inbeat.agency</v>
      </c>
      <c r="D620" s="15" t="str">
        <f>IFERROR(__xludf.DUMMYFUNCTION("""COMPUTED_VALUE"""),"LISTICLE")</f>
        <v>LISTICLE</v>
      </c>
      <c r="E620" s="15" t="str">
        <f>IFERROR(__xludf.DUMMYFUNCTION("""COMPUTED_VALUE"""),"COMPETITOR")</f>
        <v>COMPETITOR</v>
      </c>
      <c r="F620" s="15" t="str">
        <f>IFERROR(__xludf.DUMMYFUNCTION("""COMPUTED_VALUE"""),"Listicle")</f>
        <v>Listicle</v>
      </c>
      <c r="G620" s="15" t="b">
        <f>IFERROR(__xludf.DUMMYFUNCTION("""COMPUTED_VALUE"""),FALSE)</f>
        <v>0</v>
      </c>
      <c r="H620" s="15" t="str">
        <f>IFERROR(__xludf.DUMMYFUNCTION("""COMPUTED_VALUE"""),"inBeat, Nielsen, Impression, Momentum, Found")</f>
        <v>inBeat, Nielsen, Impression, Momentum, Found</v>
      </c>
      <c r="I620" s="15">
        <f>IFERROR(__xludf.DUMMYFUNCTION("""COMPUTED_VALUE"""),1.0)</f>
        <v>1</v>
      </c>
      <c r="J620" s="15">
        <f>IFERROR(__xludf.DUMMYFUNCTION("""COMPUTED_VALUE"""),0.0)</f>
        <v>0</v>
      </c>
      <c r="K620" s="15">
        <f>IFERROR(__xludf.DUMMYFUNCTION("""COMPUTED_VALUE"""),1.0)</f>
        <v>1</v>
      </c>
      <c r="L620" s="15"/>
    </row>
    <row r="621" ht="15.75" customHeight="1">
      <c r="A621" s="14" t="str">
        <f>IFERROR(__xludf.DUMMYFUNCTION("""COMPUTED_VALUE"""),"https://inbeat.agency/blog/top-ppc-agencies-uk")</f>
        <v>https://inbeat.agency/blog/top-ppc-agencies-uk</v>
      </c>
      <c r="B621" s="15" t="str">
        <f>IFERROR(__xludf.DUMMYFUNCTION("""COMPUTED_VALUE"""),"Top 32 PPC Agencies in the United Kingdom for 2025 - Reviewed - inBeat Agency")</f>
        <v>Top 32 PPC Agencies in the United Kingdom for 2025 - Reviewed - inBeat Agency</v>
      </c>
      <c r="C621" s="15" t="str">
        <f>IFERROR(__xludf.DUMMYFUNCTION("""COMPUTED_VALUE"""),"inbeat.agency")</f>
        <v>inbeat.agency</v>
      </c>
      <c r="D621" s="15" t="str">
        <f>IFERROR(__xludf.DUMMYFUNCTION("""COMPUTED_VALUE"""),"LISTICLE")</f>
        <v>LISTICLE</v>
      </c>
      <c r="E621" s="15" t="str">
        <f>IFERROR(__xludf.DUMMYFUNCTION("""COMPUTED_VALUE"""),"COMPETITOR")</f>
        <v>COMPETITOR</v>
      </c>
      <c r="F621" s="15" t="str">
        <f>IFERROR(__xludf.DUMMYFUNCTION("""COMPUTED_VALUE"""),"Listicle")</f>
        <v>Listicle</v>
      </c>
      <c r="G621" s="15" t="b">
        <f>IFERROR(__xludf.DUMMYFUNCTION("""COMPUTED_VALUE"""),FALSE)</f>
        <v>0</v>
      </c>
      <c r="H621" s="15" t="str">
        <f>IFERROR(__xludf.DUMMYFUNCTION("""COMPUTED_VALUE"""),"inBeat, Nielsen, PPC Geeks, Impression, Found, The SEO Works, Soap Media, Launch Online, The Good Marketer, Genie Crawl, LOCALiQ")</f>
        <v>inBeat, Nielsen, PPC Geeks, Impression, Found, The SEO Works, Soap Media, Launch Online, The Good Marketer, Genie Crawl, LOCALiQ</v>
      </c>
      <c r="I621" s="15">
        <f>IFERROR(__xludf.DUMMYFUNCTION("""COMPUTED_VALUE"""),1.0)</f>
        <v>1</v>
      </c>
      <c r="J621" s="15">
        <f>IFERROR(__xludf.DUMMYFUNCTION("""COMPUTED_VALUE"""),0.0)</f>
        <v>0</v>
      </c>
      <c r="K621" s="15">
        <f>IFERROR(__xludf.DUMMYFUNCTION("""COMPUTED_VALUE"""),0.0)</f>
        <v>0</v>
      </c>
      <c r="L621" s="15"/>
    </row>
    <row r="622" ht="15.75" customHeight="1">
      <c r="A622" s="14" t="str">
        <f>IFERROR(__xludf.DUMMYFUNCTION("""COMPUTED_VALUE"""),"https://www.inbeat.co/articles/top-performance-marketing-agencies/")</f>
        <v>https://www.inbeat.co/articles/top-performance-marketing-agencies/</v>
      </c>
      <c r="B622" s="15" t="str">
        <f>IFERROR(__xludf.DUMMYFUNCTION("""COMPUTED_VALUE"""),"Top 30 Performance Marketing Agencies for 2026 and Beyond")</f>
        <v>Top 30 Performance Marketing Agencies for 2026 and Beyond</v>
      </c>
      <c r="C622" s="14" t="str">
        <f>IFERROR(__xludf.DUMMYFUNCTION("""COMPUTED_VALUE"""),"inbeat.co")</f>
        <v>inbeat.co</v>
      </c>
      <c r="D622" s="15" t="str">
        <f>IFERROR(__xludf.DUMMYFUNCTION("""COMPUTED_VALUE"""),"LISTICLE")</f>
        <v>LISTICLE</v>
      </c>
      <c r="E622" s="15" t="str">
        <f>IFERROR(__xludf.DUMMYFUNCTION("""COMPUTED_VALUE"""),"CORPORATE")</f>
        <v>CORPORATE</v>
      </c>
      <c r="F622" s="15" t="str">
        <f>IFERROR(__xludf.DUMMYFUNCTION("""COMPUTED_VALUE"""),"Listicle")</f>
        <v>Listicle</v>
      </c>
      <c r="G622" s="15" t="b">
        <f>IFERROR(__xludf.DUMMYFUNCTION("""COMPUTED_VALUE"""),FALSE)</f>
        <v>0</v>
      </c>
      <c r="H622" s="15" t="str">
        <f>IFERROR(__xludf.DUMMYFUNCTION("""COMPUTED_VALUE"""),"inBeat, 9AM, Momentum, Tinuiti, Bark London, The Brains, Single Grain, Found")</f>
        <v>inBeat, 9AM, Momentum, Tinuiti, Bark London, The Brains, Single Grain, Found</v>
      </c>
      <c r="I622" s="15">
        <f>IFERROR(__xludf.DUMMYFUNCTION("""COMPUTED_VALUE"""),1.0)</f>
        <v>1</v>
      </c>
      <c r="J622" s="15">
        <f>IFERROR(__xludf.DUMMYFUNCTION("""COMPUTED_VALUE"""),0.0)</f>
        <v>0</v>
      </c>
      <c r="K622" s="15">
        <f>IFERROR(__xludf.DUMMYFUNCTION("""COMPUTED_VALUE"""),0.0)</f>
        <v>0</v>
      </c>
      <c r="L622" s="15"/>
    </row>
    <row r="623" ht="15.75" customHeight="1">
      <c r="A623" s="14" t="str">
        <f>IFERROR(__xludf.DUMMYFUNCTION("""COMPUTED_VALUE"""),"https://influencermarketinghub.com/geo-agencies/")</f>
        <v>https://influencermarketinghub.com/geo-agencies/</v>
      </c>
      <c r="B623" s="15" t="str">
        <f>IFERROR(__xludf.DUMMYFUNCTION("""COMPUTED_VALUE"""),"6 Best GEO Agencies Driving AI Search Visibility")</f>
        <v>6 Best GEO Agencies Driving AI Search Visibility</v>
      </c>
      <c r="C623" s="14" t="str">
        <f>IFERROR(__xludf.DUMMYFUNCTION("""COMPUTED_VALUE"""),"influencermarketinghub.com")</f>
        <v>influencermarketinghub.com</v>
      </c>
      <c r="D623" s="15" t="str">
        <f>IFERROR(__xludf.DUMMYFUNCTION("""COMPUTED_VALUE"""),"LISTICLE")</f>
        <v>LISTICLE</v>
      </c>
      <c r="E623" s="15" t="str">
        <f>IFERROR(__xludf.DUMMYFUNCTION("""COMPUTED_VALUE"""),"REFERENCE")</f>
        <v>REFERENCE</v>
      </c>
      <c r="F623" s="15" t="str">
        <f>IFERROR(__xludf.DUMMYFUNCTION("""COMPUTED_VALUE"""),"Listicle")</f>
        <v>Listicle</v>
      </c>
      <c r="G623" s="15" t="b">
        <f>IFERROR(__xludf.DUMMYFUNCTION("""COMPUTED_VALUE"""),FALSE)</f>
        <v>0</v>
      </c>
      <c r="H623" s="15" t="str">
        <f>IFERROR(__xludf.DUMMYFUNCTION("""COMPUTED_VALUE"""),"Bird Marketing, McKinsey &amp; Company, Directive Consulting")</f>
        <v>Bird Marketing, McKinsey &amp; Company, Directive Consulting</v>
      </c>
      <c r="I623" s="15">
        <f>IFERROR(__xludf.DUMMYFUNCTION("""COMPUTED_VALUE"""),1.0)</f>
        <v>1</v>
      </c>
      <c r="J623" s="15">
        <f>IFERROR(__xludf.DUMMYFUNCTION("""COMPUTED_VALUE"""),0.0)</f>
        <v>0</v>
      </c>
      <c r="K623" s="15">
        <f>IFERROR(__xludf.DUMMYFUNCTION("""COMPUTED_VALUE"""),3.0)</f>
        <v>3</v>
      </c>
      <c r="L623" s="15"/>
    </row>
    <row r="624" ht="15.75" customHeight="1">
      <c r="A624" s="14" t="str">
        <f>IFERROR(__xludf.DUMMYFUNCTION("""COMPUTED_VALUE"""),"https://influencermarketinghub.com/performance-marketing-agencies/")</f>
        <v>https://influencermarketinghub.com/performance-marketing-agencies/</v>
      </c>
      <c r="B624" s="15" t="str">
        <f>IFERROR(__xludf.DUMMYFUNCTION("""COMPUTED_VALUE"""),"Top 54 Performance Marketing Agencies to Boost Your ROI in 2026")</f>
        <v>Top 54 Performance Marketing Agencies to Boost Your ROI in 2026</v>
      </c>
      <c r="C624" s="14" t="str">
        <f>IFERROR(__xludf.DUMMYFUNCTION("""COMPUTED_VALUE"""),"influencermarketinghub.com")</f>
        <v>influencermarketinghub.com</v>
      </c>
      <c r="D624" s="15" t="str">
        <f>IFERROR(__xludf.DUMMYFUNCTION("""COMPUTED_VALUE"""),"LISTICLE")</f>
        <v>LISTICLE</v>
      </c>
      <c r="E624" s="15" t="str">
        <f>IFERROR(__xludf.DUMMYFUNCTION("""COMPUTED_VALUE"""),"REFERENCE")</f>
        <v>REFERENCE</v>
      </c>
      <c r="F624" s="15" t="str">
        <f>IFERROR(__xludf.DUMMYFUNCTION("""COMPUTED_VALUE"""),"Listicle")</f>
        <v>Listicle</v>
      </c>
      <c r="G624" s="15" t="b">
        <f>IFERROR(__xludf.DUMMYFUNCTION("""COMPUTED_VALUE"""),TRUE)</f>
        <v>1</v>
      </c>
      <c r="H624" s="15" t="str">
        <f>IFERROR(__xludf.DUMMYFUNCTION("""COMPUTED_VALUE"""),"McKinsey &amp; Company, Momentum, 9AM, Measured, WebFX, Ignite Visibility, Tinuiti, GroupM, Wpromote, Dept, Dentsu, iCrossing, Merkle, Power Digital, Croud, The Brains, Incubeta, NoGood, Disruptive Advertising, Directive Consulting")</f>
        <v>McKinsey &amp; Company, Momentum, 9AM, Measured, WebFX, Ignite Visibility, Tinuiti, GroupM, Wpromote, Dept, Dentsu, iCrossing, Merkle, Power Digital, Croud, The Brains, Incubeta, NoGood, Disruptive Advertising, Directive Consulting</v>
      </c>
      <c r="I624" s="15">
        <f>IFERROR(__xludf.DUMMYFUNCTION("""COMPUTED_VALUE"""),1.0)</f>
        <v>1</v>
      </c>
      <c r="J624" s="15">
        <f>IFERROR(__xludf.DUMMYFUNCTION("""COMPUTED_VALUE"""),0.0)</f>
        <v>0</v>
      </c>
      <c r="K624" s="15">
        <f>IFERROR(__xludf.DUMMYFUNCTION("""COMPUTED_VALUE"""),0.0)</f>
        <v>0</v>
      </c>
      <c r="L624" s="15"/>
    </row>
    <row r="625" ht="15.75" customHeight="1">
      <c r="A625" s="14" t="str">
        <f>IFERROR(__xludf.DUMMYFUNCTION("""COMPUTED_VALUE"""),"https://insanelogic.co.uk/top-uk-geo-agencies-for-scaling-visibility-in-generative-engines")</f>
        <v>https://insanelogic.co.uk/top-uk-geo-agencies-for-scaling-visibility-in-generative-engines</v>
      </c>
      <c r="B625" s="15" t="str">
        <f>IFERROR(__xludf.DUMMYFUNCTION("""COMPUTED_VALUE"""),"Top UK GEO Agencies for Scaling Visibility in Generative Engines")</f>
        <v>Top UK GEO Agencies for Scaling Visibility in Generative Engines</v>
      </c>
      <c r="C625" s="14" t="str">
        <f>IFERROR(__xludf.DUMMYFUNCTION("""COMPUTED_VALUE"""),"insanelogic.co.uk")</f>
        <v>insanelogic.co.uk</v>
      </c>
      <c r="D625" s="15" t="str">
        <f>IFERROR(__xludf.DUMMYFUNCTION("""COMPUTED_VALUE"""),"LISTICLE")</f>
        <v>LISTICLE</v>
      </c>
      <c r="E625" s="15" t="str">
        <f>IFERROR(__xludf.DUMMYFUNCTION("""COMPUTED_VALUE"""),"CORPORATE")</f>
        <v>CORPORATE</v>
      </c>
      <c r="F625" s="15" t="str">
        <f>IFERROR(__xludf.DUMMYFUNCTION("""COMPUTED_VALUE"""),"Listicle")</f>
        <v>Listicle</v>
      </c>
      <c r="G625" s="15" t="b">
        <f>IFERROR(__xludf.DUMMYFUNCTION("""COMPUTED_VALUE"""),FALSE)</f>
        <v>0</v>
      </c>
      <c r="H625" s="15" t="str">
        <f>IFERROR(__xludf.DUMMYFUNCTION("""COMPUTED_VALUE"""),"Single Grain")</f>
        <v>Single Grain</v>
      </c>
      <c r="I625" s="15">
        <f>IFERROR(__xludf.DUMMYFUNCTION("""COMPUTED_VALUE"""),1.0)</f>
        <v>1</v>
      </c>
      <c r="J625" s="15">
        <f>IFERROR(__xludf.DUMMYFUNCTION("""COMPUTED_VALUE"""),0.0)</f>
        <v>0</v>
      </c>
      <c r="K625" s="15">
        <f>IFERROR(__xludf.DUMMYFUNCTION("""COMPUTED_VALUE"""),1.0)</f>
        <v>1</v>
      </c>
      <c r="L625" s="15"/>
    </row>
    <row r="626" ht="15.75" customHeight="1">
      <c r="A626" s="14" t="str">
        <f>IFERROR(__xludf.DUMMYFUNCTION("""COMPUTED_VALUE"""),"https://insight.atlas-mapping.com/blog/top-8-gis-mapping-companies")</f>
        <v>https://insight.atlas-mapping.com/blog/top-8-gis-mapping-companies</v>
      </c>
      <c r="B626" s="15" t="str">
        <f>IFERROR(__xludf.DUMMYFUNCTION("""COMPUTED_VALUE"""),"Top 8 GIS Mapping Companies (2026)")</f>
        <v>Top 8 GIS Mapping Companies (2026)</v>
      </c>
      <c r="C626" s="14" t="str">
        <f>IFERROR(__xludf.DUMMYFUNCTION("""COMPUTED_VALUE"""),"atlas-mapping.com")</f>
        <v>atlas-mapping.com</v>
      </c>
      <c r="D626" s="15" t="str">
        <f>IFERROR(__xludf.DUMMYFUNCTION("""COMPUTED_VALUE"""),"COMPARISON")</f>
        <v>COMPARISON</v>
      </c>
      <c r="E626" s="15" t="str">
        <f>IFERROR(__xludf.DUMMYFUNCTION("""COMPUTED_VALUE"""),"CORPORATE")</f>
        <v>CORPORATE</v>
      </c>
      <c r="F626" s="15" t="str">
        <f>IFERROR(__xludf.DUMMYFUNCTION("""COMPUTED_VALUE"""),"Comparison")</f>
        <v>Comparison</v>
      </c>
      <c r="G626" s="15" t="b">
        <f>IFERROR(__xludf.DUMMYFUNCTION("""COMPUTED_VALUE"""),FALSE)</f>
        <v>0</v>
      </c>
      <c r="H626" s="15"/>
      <c r="I626" s="15">
        <f>IFERROR(__xludf.DUMMYFUNCTION("""COMPUTED_VALUE"""),1.0)</f>
        <v>1</v>
      </c>
      <c r="J626" s="15">
        <f>IFERROR(__xludf.DUMMYFUNCTION("""COMPUTED_VALUE"""),0.0)</f>
        <v>0</v>
      </c>
      <c r="K626" s="15">
        <f>IFERROR(__xludf.DUMMYFUNCTION("""COMPUTED_VALUE"""),0.0)</f>
        <v>0</v>
      </c>
      <c r="L626" s="15"/>
    </row>
    <row r="627" ht="15.75" customHeight="1">
      <c r="A627" s="14" t="str">
        <f>IFERROR(__xludf.DUMMYFUNCTION("""COMPUTED_VALUE"""),"https://www.intellectyx.com/ai-agent-development-companies-in-usa/")</f>
        <v>https://www.intellectyx.com/ai-agent-development-companies-in-usa/</v>
      </c>
      <c r="B627" s="15" t="str">
        <f>IFERROR(__xludf.DUMMYFUNCTION("""COMPUTED_VALUE"""),"Top AI Agent Development Companies in USA (2026)")</f>
        <v>Top AI Agent Development Companies in USA (2026)</v>
      </c>
      <c r="C627" s="14" t="str">
        <f>IFERROR(__xludf.DUMMYFUNCTION("""COMPUTED_VALUE"""),"intellectyx.com")</f>
        <v>intellectyx.com</v>
      </c>
      <c r="D627" s="15" t="str">
        <f>IFERROR(__xludf.DUMMYFUNCTION("""COMPUTED_VALUE"""),"LISTICLE")</f>
        <v>LISTICLE</v>
      </c>
      <c r="E627" s="15" t="str">
        <f>IFERROR(__xludf.DUMMYFUNCTION("""COMPUTED_VALUE"""),"UGC")</f>
        <v>UGC</v>
      </c>
      <c r="F627" s="15" t="str">
        <f>IFERROR(__xludf.DUMMYFUNCTION("""COMPUTED_VALUE"""),"Listicle")</f>
        <v>Listicle</v>
      </c>
      <c r="G627" s="15" t="b">
        <f>IFERROR(__xludf.DUMMYFUNCTION("""COMPUTED_VALUE"""),FALSE)</f>
        <v>0</v>
      </c>
      <c r="H627" s="15"/>
      <c r="I627" s="15">
        <f>IFERROR(__xludf.DUMMYFUNCTION("""COMPUTED_VALUE"""),1.0)</f>
        <v>1</v>
      </c>
      <c r="J627" s="15">
        <f>IFERROR(__xludf.DUMMYFUNCTION("""COMPUTED_VALUE"""),0.0)</f>
        <v>0</v>
      </c>
      <c r="K627" s="15">
        <f>IFERROR(__xludf.DUMMYFUNCTION("""COMPUTED_VALUE"""),0.0)</f>
        <v>0</v>
      </c>
      <c r="L627" s="15"/>
    </row>
    <row r="628" ht="15.75" customHeight="1">
      <c r="A628" s="14" t="str">
        <f>IFERROR(__xludf.DUMMYFUNCTION("""COMPUTED_VALUE"""),"https://itprofiles.com/services/ai-consulting/uk")</f>
        <v>https://itprofiles.com/services/ai-consulting/uk</v>
      </c>
      <c r="B628" s="15" t="str">
        <f>IFERROR(__xludf.DUMMYFUNCTION("""COMPUTED_VALUE"""),"22 Best-Rated AI Consulting Companies in United Kingdom- Jul 2026 Rankings | ITProfiles")</f>
        <v>22 Best-Rated AI Consulting Companies in United Kingdom- Jul 2026 Rankings | ITProfiles</v>
      </c>
      <c r="C628" s="14" t="str">
        <f>IFERROR(__xludf.DUMMYFUNCTION("""COMPUTED_VALUE"""),"itprofiles.com")</f>
        <v>itprofiles.com</v>
      </c>
      <c r="D628" s="15" t="str">
        <f>IFERROR(__xludf.DUMMYFUNCTION("""COMPUTED_VALUE"""),"LISTICLE")</f>
        <v>LISTICLE</v>
      </c>
      <c r="E628" s="15" t="str">
        <f>IFERROR(__xludf.DUMMYFUNCTION("""COMPUTED_VALUE"""),"REFERENCE")</f>
        <v>REFERENCE</v>
      </c>
      <c r="F628" s="15" t="str">
        <f>IFERROR(__xludf.DUMMYFUNCTION("""COMPUTED_VALUE"""),"Listicle")</f>
        <v>Listicle</v>
      </c>
      <c r="G628" s="15" t="b">
        <f>IFERROR(__xludf.DUMMYFUNCTION("""COMPUTED_VALUE"""),FALSE)</f>
        <v>0</v>
      </c>
      <c r="H628" s="15" t="str">
        <f>IFERROR(__xludf.DUMMYFUNCTION("""COMPUTED_VALUE"""),"QuantumBlack")</f>
        <v>QuantumBlack</v>
      </c>
      <c r="I628" s="15">
        <f>IFERROR(__xludf.DUMMYFUNCTION("""COMPUTED_VALUE"""),1.0)</f>
        <v>1</v>
      </c>
      <c r="J628" s="15">
        <f>IFERROR(__xludf.DUMMYFUNCTION("""COMPUTED_VALUE"""),0.0)</f>
        <v>0</v>
      </c>
      <c r="K628" s="15">
        <f>IFERROR(__xludf.DUMMYFUNCTION("""COMPUTED_VALUE"""),0.0)</f>
        <v>0</v>
      </c>
      <c r="L628" s="15"/>
    </row>
    <row r="629" ht="15.75" customHeight="1">
      <c r="A629" s="14" t="str">
        <f>IFERROR(__xludf.DUMMYFUNCTION("""COMPUTED_VALUE"""),"https://jake-jorgovan.com/blog/tiktok-marketing-agencies")</f>
        <v>https://jake-jorgovan.com/blog/tiktok-marketing-agencies</v>
      </c>
      <c r="B629" s="15" t="str">
        <f>IFERROR(__xludf.DUMMYFUNCTION("""COMPUTED_VALUE"""),"Top 30 TikTok Marketing Agencies in 2025 — Jake Jorgovan")</f>
        <v>Top 30 TikTok Marketing Agencies in 2025 — Jake Jorgovan</v>
      </c>
      <c r="C629" s="14" t="str">
        <f>IFERROR(__xludf.DUMMYFUNCTION("""COMPUTED_VALUE"""),"jake-jorgovan.com")</f>
        <v>jake-jorgovan.com</v>
      </c>
      <c r="D629" s="15" t="str">
        <f>IFERROR(__xludf.DUMMYFUNCTION("""COMPUTED_VALUE"""),"LISTICLE")</f>
        <v>LISTICLE</v>
      </c>
      <c r="E629" s="15" t="str">
        <f>IFERROR(__xludf.DUMMYFUNCTION("""COMPUTED_VALUE"""),"CORPORATE")</f>
        <v>CORPORATE</v>
      </c>
      <c r="F629" s="15" t="str">
        <f>IFERROR(__xludf.DUMMYFUNCTION("""COMPUTED_VALUE"""),"Listicle")</f>
        <v>Listicle</v>
      </c>
      <c r="G629" s="15" t="b">
        <f>IFERROR(__xludf.DUMMYFUNCTION("""COMPUTED_VALUE"""),FALSE)</f>
        <v>0</v>
      </c>
      <c r="H629" s="15" t="str">
        <f>IFERROR(__xludf.DUMMYFUNCTION("""COMPUTED_VALUE"""),"inBeat, NoGood, Measured, Power Digital, Disrupt Marketing, The Social Shepherd")</f>
        <v>inBeat, NoGood, Measured, Power Digital, Disrupt Marketing, The Social Shepherd</v>
      </c>
      <c r="I629" s="15">
        <f>IFERROR(__xludf.DUMMYFUNCTION("""COMPUTED_VALUE"""),1.0)</f>
        <v>1</v>
      </c>
      <c r="J629" s="15">
        <f>IFERROR(__xludf.DUMMYFUNCTION("""COMPUTED_VALUE"""),0.0)</f>
        <v>0</v>
      </c>
      <c r="K629" s="15">
        <f>IFERROR(__xludf.DUMMYFUNCTION("""COMPUTED_VALUE"""),1.0)</f>
        <v>1</v>
      </c>
      <c r="L629" s="15"/>
    </row>
    <row r="630" ht="15.75" customHeight="1">
      <c r="A630" s="14" t="str">
        <f>IFERROR(__xludf.DUMMYFUNCTION("""COMPUTED_VALUE"""),"https://www.k2l.co.uk/top-25-digital-marketing-agencies-in-the-uk-2024/")</f>
        <v>https://www.k2l.co.uk/top-25-digital-marketing-agencies-in-the-uk-2024/</v>
      </c>
      <c r="B630" s="15" t="str">
        <f>IFERROR(__xludf.DUMMYFUNCTION("""COMPUTED_VALUE"""),"Top 25 Digital Marketing Agencies in the UK (2024) | K2L Marketing")</f>
        <v>Top 25 Digital Marketing Agencies in the UK (2024) | K2L Marketing</v>
      </c>
      <c r="C630" s="14" t="str">
        <f>IFERROR(__xludf.DUMMYFUNCTION("""COMPUTED_VALUE"""),"k2l.co.uk")</f>
        <v>k2l.co.uk</v>
      </c>
      <c r="D630" s="15" t="str">
        <f>IFERROR(__xludf.DUMMYFUNCTION("""COMPUTED_VALUE"""),"LISTICLE")</f>
        <v>LISTICLE</v>
      </c>
      <c r="E630" s="15" t="str">
        <f>IFERROR(__xludf.DUMMYFUNCTION("""COMPUTED_VALUE"""),"CORPORATE")</f>
        <v>CORPORATE</v>
      </c>
      <c r="F630" s="15" t="str">
        <f>IFERROR(__xludf.DUMMYFUNCTION("""COMPUTED_VALUE"""),"Listicle")</f>
        <v>Listicle</v>
      </c>
      <c r="G630" s="15" t="b">
        <f>IFERROR(__xludf.DUMMYFUNCTION("""COMPUTED_VALUE"""),FALSE)</f>
        <v>0</v>
      </c>
      <c r="H630" s="15" t="str">
        <f>IFERROR(__xludf.DUMMYFUNCTION("""COMPUTED_VALUE"""),"Found, Push, Push Group, Dept, Gripped, The Brains, Huge, LOCALiQ, Saatchi &amp; Saatchi, BBH London, Transmission")</f>
        <v>Found, Push, Push Group, Dept, Gripped, The Brains, Huge, LOCALiQ, Saatchi &amp; Saatchi, BBH London, Transmission</v>
      </c>
      <c r="I630" s="15">
        <f>IFERROR(__xludf.DUMMYFUNCTION("""COMPUTED_VALUE"""),1.0)</f>
        <v>1</v>
      </c>
      <c r="J630" s="15">
        <f>IFERROR(__xludf.DUMMYFUNCTION("""COMPUTED_VALUE"""),0.0)</f>
        <v>0</v>
      </c>
      <c r="K630" s="15">
        <f>IFERROR(__xludf.DUMMYFUNCTION("""COMPUTED_VALUE"""),0.0)</f>
        <v>0</v>
      </c>
      <c r="L630" s="15"/>
    </row>
    <row r="631" ht="15.75" customHeight="1">
      <c r="A631" s="14" t="str">
        <f>IFERROR(__xludf.DUMMYFUNCTION("""COMPUTED_VALUE"""),"https://www.kaweb.co.uk/blog/best-ppc-agencies-uk")</f>
        <v>https://www.kaweb.co.uk/blog/best-ppc-agencies-uk</v>
      </c>
      <c r="B631" s="15" t="str">
        <f>IFERROR(__xludf.DUMMYFUNCTION("""COMPUTED_VALUE"""),"13 Best PPC Agencies in the UK | Kaweb 2025 Guide | Kaweb")</f>
        <v>13 Best PPC Agencies in the UK | Kaweb 2025 Guide | Kaweb</v>
      </c>
      <c r="C631" s="14" t="str">
        <f>IFERROR(__xludf.DUMMYFUNCTION("""COMPUTED_VALUE"""),"kaweb.co.uk")</f>
        <v>kaweb.co.uk</v>
      </c>
      <c r="D631" s="15" t="str">
        <f>IFERROR(__xludf.DUMMYFUNCTION("""COMPUTED_VALUE"""),"LISTICLE")</f>
        <v>LISTICLE</v>
      </c>
      <c r="E631" s="15" t="str">
        <f>IFERROR(__xludf.DUMMYFUNCTION("""COMPUTED_VALUE"""),"CORPORATE")</f>
        <v>CORPORATE</v>
      </c>
      <c r="F631" s="15" t="str">
        <f>IFERROR(__xludf.DUMMYFUNCTION("""COMPUTED_VALUE"""),"Listicle")</f>
        <v>Listicle</v>
      </c>
      <c r="G631" s="15" t="b">
        <f>IFERROR(__xludf.DUMMYFUNCTION("""COMPUTED_VALUE"""),FALSE)</f>
        <v>0</v>
      </c>
      <c r="H631" s="15" t="str">
        <f>IFERROR(__xludf.DUMMYFUNCTION("""COMPUTED_VALUE"""),"The Social Shepherd, PPC Geeks, Impression, inBeat, NP Digital, Koozai, Ninja Promo, Bind Media, Found, Push, Push Group, NoGood, Momentum")</f>
        <v>The Social Shepherd, PPC Geeks, Impression, inBeat, NP Digital, Koozai, Ninja Promo, Bind Media, Found, Push, Push Group, NoGood, Momentum</v>
      </c>
      <c r="I631" s="15">
        <f>IFERROR(__xludf.DUMMYFUNCTION("""COMPUTED_VALUE"""),1.0)</f>
        <v>1</v>
      </c>
      <c r="J631" s="15">
        <f>IFERROR(__xludf.DUMMYFUNCTION("""COMPUTED_VALUE"""),0.0)</f>
        <v>0</v>
      </c>
      <c r="K631" s="15">
        <f>IFERROR(__xludf.DUMMYFUNCTION("""COMPUTED_VALUE"""),1.0)</f>
        <v>1</v>
      </c>
      <c r="L631" s="15"/>
    </row>
    <row r="632" ht="15.75" customHeight="1">
      <c r="A632" s="14" t="str">
        <f>IFERROR(__xludf.DUMMYFUNCTION("""COMPUTED_VALUE"""),"https://lengreo.com/erotic-lead-generation-agencies/")</f>
        <v>https://lengreo.com/erotic-lead-generation-agencies/</v>
      </c>
      <c r="B632" s="15" t="str">
        <f>IFERROR(__xludf.DUMMYFUNCTION("""COMPUTED_VALUE"""),"Top 13 Erotic Lead Generation Companies (2026)")</f>
        <v>Top 13 Erotic Lead Generation Companies (2026)</v>
      </c>
      <c r="C632" s="14" t="str">
        <f>IFERROR(__xludf.DUMMYFUNCTION("""COMPUTED_VALUE"""),"lengreo.com")</f>
        <v>lengreo.com</v>
      </c>
      <c r="D632" s="15" t="str">
        <f>IFERROR(__xludf.DUMMYFUNCTION("""COMPUTED_VALUE"""),"LISTICLE")</f>
        <v>LISTICLE</v>
      </c>
      <c r="E632" s="15" t="str">
        <f>IFERROR(__xludf.DUMMYFUNCTION("""COMPUTED_VALUE"""),"CORPORATE")</f>
        <v>CORPORATE</v>
      </c>
      <c r="F632" s="15" t="str">
        <f>IFERROR(__xludf.DUMMYFUNCTION("""COMPUTED_VALUE"""),"Listicle")</f>
        <v>Listicle</v>
      </c>
      <c r="G632" s="15" t="b">
        <f>IFERROR(__xludf.DUMMYFUNCTION("""COMPUTED_VALUE"""),FALSE)</f>
        <v>0</v>
      </c>
      <c r="H632" s="15" t="str">
        <f>IFERROR(__xludf.DUMMYFUNCTION("""COMPUTED_VALUE"""),"Whitehat")</f>
        <v>Whitehat</v>
      </c>
      <c r="I632" s="15">
        <f>IFERROR(__xludf.DUMMYFUNCTION("""COMPUTED_VALUE"""),1.0)</f>
        <v>1</v>
      </c>
      <c r="J632" s="15">
        <f>IFERROR(__xludf.DUMMYFUNCTION("""COMPUTED_VALUE"""),0.0)</f>
        <v>0</v>
      </c>
      <c r="K632" s="15">
        <f>IFERROR(__xludf.DUMMYFUNCTION("""COMPUTED_VALUE"""),1.0)</f>
        <v>1</v>
      </c>
      <c r="L632" s="15"/>
    </row>
    <row r="633" ht="15.75" customHeight="1">
      <c r="A633" s="14" t="str">
        <f>IFERROR(__xludf.DUMMYFUNCTION("""COMPUTED_VALUE"""),"https://www.leverdigital.co.uk/post/best-ppc-agencies-uk")</f>
        <v>https://www.leverdigital.co.uk/post/best-ppc-agencies-uk</v>
      </c>
      <c r="B633" s="15" t="str">
        <f>IFERROR(__xludf.DUMMYFUNCTION("""COMPUTED_VALUE"""),"Best PPC Agencies UK 2026 | Lever Digital")</f>
        <v>Best PPC Agencies UK 2026 | Lever Digital</v>
      </c>
      <c r="C633" s="14" t="str">
        <f>IFERROR(__xludf.DUMMYFUNCTION("""COMPUTED_VALUE"""),"leverdigital.co.uk")</f>
        <v>leverdigital.co.uk</v>
      </c>
      <c r="D633" s="15" t="str">
        <f>IFERROR(__xludf.DUMMYFUNCTION("""COMPUTED_VALUE"""),"LISTICLE")</f>
        <v>LISTICLE</v>
      </c>
      <c r="E633" s="15" t="str">
        <f>IFERROR(__xludf.DUMMYFUNCTION("""COMPUTED_VALUE"""),"CORPORATE")</f>
        <v>CORPORATE</v>
      </c>
      <c r="F633" s="15" t="str">
        <f>IFERROR(__xludf.DUMMYFUNCTION("""COMPUTED_VALUE"""),"Listicle")</f>
        <v>Listicle</v>
      </c>
      <c r="G633" s="15" t="b">
        <f>IFERROR(__xludf.DUMMYFUNCTION("""COMPUTED_VALUE"""),FALSE)</f>
        <v>0</v>
      </c>
      <c r="H633" s="15" t="str">
        <f>IFERROR(__xludf.DUMMYFUNCTION("""COMPUTED_VALUE"""),"Impression, PPC Geeks, Brainlabs, Measured")</f>
        <v>Impression, PPC Geeks, Brainlabs, Measured</v>
      </c>
      <c r="I633" s="15">
        <f>IFERROR(__xludf.DUMMYFUNCTION("""COMPUTED_VALUE"""),1.0)</f>
        <v>1</v>
      </c>
      <c r="J633" s="15">
        <f>IFERROR(__xludf.DUMMYFUNCTION("""COMPUTED_VALUE"""),0.0)</f>
        <v>0</v>
      </c>
      <c r="K633" s="15">
        <f>IFERROR(__xludf.DUMMYFUNCTION("""COMPUTED_VALUE"""),1.0)</f>
        <v>1</v>
      </c>
      <c r="L633" s="15"/>
    </row>
    <row r="634" ht="15.75" customHeight="1">
      <c r="A634" s="14" t="str">
        <f>IFERROR(__xludf.DUMMYFUNCTION("""COMPUTED_VALUE"""),"https://www.linkedin.com/pulse/top-21-data-science-consulting-companies-2026-saurabh-sharma-kzwge")</f>
        <v>https://www.linkedin.com/pulse/top-21-data-science-consulting-companies-2026-saurabh-sharma-kzwge</v>
      </c>
      <c r="B634" s="15" t="str">
        <f>IFERROR(__xludf.DUMMYFUNCTION("""COMPUTED_VALUE"""),"Top 21 Data Science Consulting Companies in 2026")</f>
        <v>Top 21 Data Science Consulting Companies in 2026</v>
      </c>
      <c r="C634" s="14" t="str">
        <f>IFERROR(__xludf.DUMMYFUNCTION("""COMPUTED_VALUE"""),"linkedin.com")</f>
        <v>linkedin.com</v>
      </c>
      <c r="D634" s="15" t="str">
        <f>IFERROR(__xludf.DUMMYFUNCTION("""COMPUTED_VALUE"""),"LISTICLE")</f>
        <v>LISTICLE</v>
      </c>
      <c r="E634" s="15" t="str">
        <f>IFERROR(__xludf.DUMMYFUNCTION("""COMPUTED_VALUE"""),"UGC")</f>
        <v>UGC</v>
      </c>
      <c r="F634" s="15" t="str">
        <f>IFERROR(__xludf.DUMMYFUNCTION("""COMPUTED_VALUE"""),"Listicle")</f>
        <v>Listicle</v>
      </c>
      <c r="G634" s="15" t="b">
        <f>IFERROR(__xludf.DUMMYFUNCTION("""COMPUTED_VALUE"""),FALSE)</f>
        <v>0</v>
      </c>
      <c r="H634" s="15" t="str">
        <f>IFERROR(__xludf.DUMMYFUNCTION("""COMPUTED_VALUE"""),"PwC")</f>
        <v>PwC</v>
      </c>
      <c r="I634" s="15">
        <f>IFERROR(__xludf.DUMMYFUNCTION("""COMPUTED_VALUE"""),1.0)</f>
        <v>1</v>
      </c>
      <c r="J634" s="15">
        <f>IFERROR(__xludf.DUMMYFUNCTION("""COMPUTED_VALUE"""),0.0)</f>
        <v>0</v>
      </c>
      <c r="K634" s="15">
        <f>IFERROR(__xludf.DUMMYFUNCTION("""COMPUTED_VALUE"""),0.0)</f>
        <v>0</v>
      </c>
      <c r="L634" s="15"/>
    </row>
    <row r="635" ht="15.75" customHeight="1">
      <c r="A635" s="14" t="str">
        <f>IFERROR(__xludf.DUMMYFUNCTION("""COMPUTED_VALUE"""),"https://www.loudface.co/blog/best-aeo-agencies-b2b-saas-2026")</f>
        <v>https://www.loudface.co/blog/best-aeo-agencies-b2b-saas-2026</v>
      </c>
      <c r="B635" s="15" t="str">
        <f>IFERROR(__xludf.DUMMYFUNCTION("""COMPUTED_VALUE"""),"Best AEO &amp;amp; GEO Agencies for B2B SaaS in 2026 | LoudFace")</f>
        <v>Best AEO &amp;amp; GEO Agencies for B2B SaaS in 2026 | LoudFace</v>
      </c>
      <c r="C635" s="14" t="str">
        <f>IFERROR(__xludf.DUMMYFUNCTION("""COMPUTED_VALUE"""),"loudface.co")</f>
        <v>loudface.co</v>
      </c>
      <c r="D635" s="15" t="str">
        <f>IFERROR(__xludf.DUMMYFUNCTION("""COMPUTED_VALUE"""),"LISTICLE")</f>
        <v>LISTICLE</v>
      </c>
      <c r="E635" s="15" t="str">
        <f>IFERROR(__xludf.DUMMYFUNCTION("""COMPUTED_VALUE"""),"CORPORATE")</f>
        <v>CORPORATE</v>
      </c>
      <c r="F635" s="15" t="str">
        <f>IFERROR(__xludf.DUMMYFUNCTION("""COMPUTED_VALUE"""),"Listicle")</f>
        <v>Listicle</v>
      </c>
      <c r="G635" s="15" t="b">
        <f>IFERROR(__xludf.DUMMYFUNCTION("""COMPUTED_VALUE"""),FALSE)</f>
        <v>0</v>
      </c>
      <c r="H635" s="15" t="str">
        <f>IFERROR(__xludf.DUMMYFUNCTION("""COMPUTED_VALUE"""),"Siege Media, NoGood")</f>
        <v>Siege Media, NoGood</v>
      </c>
      <c r="I635" s="15">
        <f>IFERROR(__xludf.DUMMYFUNCTION("""COMPUTED_VALUE"""),1.0)</f>
        <v>1</v>
      </c>
      <c r="J635" s="15">
        <f>IFERROR(__xludf.DUMMYFUNCTION("""COMPUTED_VALUE"""),0.0)</f>
        <v>0</v>
      </c>
      <c r="K635" s="15">
        <f>IFERROR(__xludf.DUMMYFUNCTION("""COMPUTED_VALUE"""),1.0)</f>
        <v>1</v>
      </c>
      <c r="L635" s="15"/>
    </row>
    <row r="636" ht="15.75" customHeight="1">
      <c r="A636" s="14" t="str">
        <f>IFERROR(__xludf.DUMMYFUNCTION("""COMPUTED_VALUE"""),"https://lunarailab.com/blog/2026/03/04/top-5-ai-agent-adoption-agencies-in-2026/")</f>
        <v>https://lunarailab.com/blog/2026/03/04/top-5-ai-agent-adoption-agencies-in-2026/</v>
      </c>
      <c r="B636" s="15" t="str">
        <f>IFERROR(__xludf.DUMMYFUNCTION("""COMPUTED_VALUE"""),"Top 5 AI Agent Adoption Agencies in 2026 - Lunar AI Lab")</f>
        <v>Top 5 AI Agent Adoption Agencies in 2026 - Lunar AI Lab</v>
      </c>
      <c r="C636" s="14" t="str">
        <f>IFERROR(__xludf.DUMMYFUNCTION("""COMPUTED_VALUE"""),"lunarailab.com")</f>
        <v>lunarailab.com</v>
      </c>
      <c r="D636" s="15" t="str">
        <f>IFERROR(__xludf.DUMMYFUNCTION("""COMPUTED_VALUE"""),"LISTICLE")</f>
        <v>LISTICLE</v>
      </c>
      <c r="E636" s="15" t="str">
        <f>IFERROR(__xludf.DUMMYFUNCTION("""COMPUTED_VALUE"""),"CORPORATE")</f>
        <v>CORPORATE</v>
      </c>
      <c r="F636" s="15" t="str">
        <f>IFERROR(__xludf.DUMMYFUNCTION("""COMPUTED_VALUE"""),"Listicle")</f>
        <v>Listicle</v>
      </c>
      <c r="G636" s="15" t="b">
        <f>IFERROR(__xludf.DUMMYFUNCTION("""COMPUTED_VALUE"""),FALSE)</f>
        <v>0</v>
      </c>
      <c r="H636" s="15" t="str">
        <f>IFERROR(__xludf.DUMMYFUNCTION("""COMPUTED_VALUE"""),"Measured")</f>
        <v>Measured</v>
      </c>
      <c r="I636" s="15">
        <f>IFERROR(__xludf.DUMMYFUNCTION("""COMPUTED_VALUE"""),1.0)</f>
        <v>1</v>
      </c>
      <c r="J636" s="15">
        <f>IFERROR(__xludf.DUMMYFUNCTION("""COMPUTED_VALUE"""),0.0)</f>
        <v>0</v>
      </c>
      <c r="K636" s="15">
        <f>IFERROR(__xludf.DUMMYFUNCTION("""COMPUTED_VALUE"""),2.0)</f>
        <v>2</v>
      </c>
      <c r="L636" s="15"/>
    </row>
    <row r="637" ht="15.75" customHeight="1">
      <c r="A637" s="14" t="str">
        <f>IFERROR(__xludf.DUMMYFUNCTION("""COMPUTED_VALUE"""),"https://madebyshape.co.uk/web-design-blog/the-best-branding-agencies-to-work-for-in-the-uk/")</f>
        <v>https://madebyshape.co.uk/web-design-blog/the-best-branding-agencies-to-work-for-in-the-uk/</v>
      </c>
      <c r="B637" s="15" t="str">
        <f>IFERROR(__xludf.DUMMYFUNCTION("""COMPUTED_VALUE"""),"The Best Branding Agencies to Work For in the UK | MadeByShape")</f>
        <v>The Best Branding Agencies to Work For in the UK | MadeByShape</v>
      </c>
      <c r="C637" s="14" t="str">
        <f>IFERROR(__xludf.DUMMYFUNCTION("""COMPUTED_VALUE"""),"madebyshape.co.uk")</f>
        <v>madebyshape.co.uk</v>
      </c>
      <c r="D637" s="15" t="str">
        <f>IFERROR(__xludf.DUMMYFUNCTION("""COMPUTED_VALUE"""),"LISTICLE")</f>
        <v>LISTICLE</v>
      </c>
      <c r="E637" s="15" t="str">
        <f>IFERROR(__xludf.DUMMYFUNCTION("""COMPUTED_VALUE"""),"CORPORATE")</f>
        <v>CORPORATE</v>
      </c>
      <c r="F637" s="15" t="str">
        <f>IFERROR(__xludf.DUMMYFUNCTION("""COMPUTED_VALUE"""),"Listicle")</f>
        <v>Listicle</v>
      </c>
      <c r="G637" s="15" t="b">
        <f>IFERROR(__xludf.DUMMYFUNCTION("""COMPUTED_VALUE"""),FALSE)</f>
        <v>0</v>
      </c>
      <c r="H637" s="15" t="str">
        <f>IFERROR(__xludf.DUMMYFUNCTION("""COMPUTED_VALUE"""),"Push, Gripped, Found")</f>
        <v>Push, Gripped, Found</v>
      </c>
      <c r="I637" s="15">
        <f>IFERROR(__xludf.DUMMYFUNCTION("""COMPUTED_VALUE"""),1.0)</f>
        <v>1</v>
      </c>
      <c r="J637" s="15">
        <f>IFERROR(__xludf.DUMMYFUNCTION("""COMPUTED_VALUE"""),0.0)</f>
        <v>0</v>
      </c>
      <c r="K637" s="15">
        <f>IFERROR(__xludf.DUMMYFUNCTION("""COMPUTED_VALUE"""),0.0)</f>
        <v>0</v>
      </c>
      <c r="L637" s="15"/>
    </row>
    <row r="638" ht="15.75" customHeight="1">
      <c r="A638" s="14" t="str">
        <f>IFERROR(__xludf.DUMMYFUNCTION("""COMPUTED_VALUE"""),"https://marketerhire.com/blog/display-advertising-agency")</f>
        <v>https://marketerhire.com/blog/display-advertising-agency</v>
      </c>
      <c r="B638" s="15" t="str">
        <f>IFERROR(__xludf.DUMMYFUNCTION("""COMPUTED_VALUE"""),"10 Top Display Advertising Agencies to Lower CPMs and Lift Conversions")</f>
        <v>10 Top Display Advertising Agencies to Lower CPMs and Lift Conversions</v>
      </c>
      <c r="C638" s="14" t="str">
        <f>IFERROR(__xludf.DUMMYFUNCTION("""COMPUTED_VALUE"""),"marketerhire.com")</f>
        <v>marketerhire.com</v>
      </c>
      <c r="D638" s="15" t="str">
        <f>IFERROR(__xludf.DUMMYFUNCTION("""COMPUTED_VALUE"""),"LISTICLE")</f>
        <v>LISTICLE</v>
      </c>
      <c r="E638" s="15" t="str">
        <f>IFERROR(__xludf.DUMMYFUNCTION("""COMPUTED_VALUE"""),"CORPORATE")</f>
        <v>CORPORATE</v>
      </c>
      <c r="F638" s="15" t="str">
        <f>IFERROR(__xludf.DUMMYFUNCTION("""COMPUTED_VALUE"""),"Listicle")</f>
        <v>Listicle</v>
      </c>
      <c r="G638" s="15" t="b">
        <f>IFERROR(__xludf.DUMMYFUNCTION("""COMPUTED_VALUE"""),FALSE)</f>
        <v>0</v>
      </c>
      <c r="H638" s="15" t="str">
        <f>IFERROR(__xludf.DUMMYFUNCTION("""COMPUTED_VALUE"""),"Push, Measured, Impression, Single Grain, Momentum, inBeat")</f>
        <v>Push, Measured, Impression, Single Grain, Momentum, inBeat</v>
      </c>
      <c r="I638" s="15">
        <f>IFERROR(__xludf.DUMMYFUNCTION("""COMPUTED_VALUE"""),1.0)</f>
        <v>1</v>
      </c>
      <c r="J638" s="15">
        <f>IFERROR(__xludf.DUMMYFUNCTION("""COMPUTED_VALUE"""),0.0)</f>
        <v>0</v>
      </c>
      <c r="K638" s="15">
        <f>IFERROR(__xludf.DUMMYFUNCTION("""COMPUTED_VALUE"""),1.0)</f>
        <v>1</v>
      </c>
      <c r="L638" s="15"/>
    </row>
    <row r="639" ht="15.75" customHeight="1">
      <c r="A639" s="14" t="str">
        <f>IFERROR(__xludf.DUMMYFUNCTION("""COMPUTED_VALUE"""),"https://marketing-attribution-and-consulting.martechoutlook.com/vendors/top-marketing-attribution-and-consulting-services.html")</f>
        <v>https://marketing-attribution-and-consulting.martechoutlook.com/vendors/top-marketing-attribution-and-consulting-services.html</v>
      </c>
      <c r="B639" s="15" t="str">
        <f>IFERROR(__xludf.DUMMYFUNCTION("""COMPUTED_VALUE"""),"Top Marketing Attribution and Consulting Services")</f>
        <v>Top Marketing Attribution and Consulting Services</v>
      </c>
      <c r="C639" s="14" t="str">
        <f>IFERROR(__xludf.DUMMYFUNCTION("""COMPUTED_VALUE"""),"martechoutlook.com")</f>
        <v>martechoutlook.com</v>
      </c>
      <c r="D639" s="15" t="str">
        <f>IFERROR(__xludf.DUMMYFUNCTION("""COMPUTED_VALUE"""),"LISTICLE")</f>
        <v>LISTICLE</v>
      </c>
      <c r="E639" s="15" t="str">
        <f>IFERROR(__xludf.DUMMYFUNCTION("""COMPUTED_VALUE"""),"EDITORIAL")</f>
        <v>EDITORIAL</v>
      </c>
      <c r="F639" s="15" t="str">
        <f>IFERROR(__xludf.DUMMYFUNCTION("""COMPUTED_VALUE"""),"Listicle")</f>
        <v>Listicle</v>
      </c>
      <c r="G639" s="15" t="b">
        <f>IFERROR(__xludf.DUMMYFUNCTION("""COMPUTED_VALUE"""),FALSE)</f>
        <v>0</v>
      </c>
      <c r="H639" s="15" t="str">
        <f>IFERROR(__xludf.DUMMYFUNCTION("""COMPUTED_VALUE"""),"Push, Impression")</f>
        <v>Push, Impression</v>
      </c>
      <c r="I639" s="15">
        <f>IFERROR(__xludf.DUMMYFUNCTION("""COMPUTED_VALUE"""),1.0)</f>
        <v>1</v>
      </c>
      <c r="J639" s="15">
        <f>IFERROR(__xludf.DUMMYFUNCTION("""COMPUTED_VALUE"""),0.0)</f>
        <v>0</v>
      </c>
      <c r="K639" s="15">
        <f>IFERROR(__xludf.DUMMYFUNCTION("""COMPUTED_VALUE"""),0.0)</f>
        <v>0</v>
      </c>
      <c r="L639" s="15"/>
    </row>
    <row r="640" ht="15.75" customHeight="1">
      <c r="A640" s="14" t="str">
        <f>IFERROR(__xludf.DUMMYFUNCTION("""COMPUTED_VALUE"""),"https://www.marketingagencyindex.com/uk")</f>
        <v>https://www.marketingagencyindex.com/uk</v>
      </c>
      <c r="B640" s="15" t="str">
        <f>IFERROR(__xludf.DUMMYFUNCTION("""COMPUTED_VALUE"""),"Agency Index | Find the Best Digital Marketing Agencies in the UK")</f>
        <v>Agency Index | Find the Best Digital Marketing Agencies in the UK</v>
      </c>
      <c r="C640" s="14" t="str">
        <f>IFERROR(__xludf.DUMMYFUNCTION("""COMPUTED_VALUE"""),"marketingagencyindex.com")</f>
        <v>marketingagencyindex.com</v>
      </c>
      <c r="D640" s="15" t="str">
        <f>IFERROR(__xludf.DUMMYFUNCTION("""COMPUTED_VALUE"""),"HOMEPAGE")</f>
        <v>HOMEPAGE</v>
      </c>
      <c r="E640" s="15" t="str">
        <f>IFERROR(__xludf.DUMMYFUNCTION("""COMPUTED_VALUE"""),"UGC")</f>
        <v>UGC</v>
      </c>
      <c r="F640" s="15" t="str">
        <f>IFERROR(__xludf.DUMMYFUNCTION("""COMPUTED_VALUE"""),"Homepage")</f>
        <v>Homepage</v>
      </c>
      <c r="G640" s="15" t="b">
        <f>IFERROR(__xludf.DUMMYFUNCTION("""COMPUTED_VALUE"""),FALSE)</f>
        <v>0</v>
      </c>
      <c r="H640" s="15" t="str">
        <f>IFERROR(__xludf.DUMMYFUNCTION("""COMPUTED_VALUE"""),"WPP, Publicis Groupe, Omnicom, Brandtech, Croud, Overdrive Digital")</f>
        <v>WPP, Publicis Groupe, Omnicom, Brandtech, Croud, Overdrive Digital</v>
      </c>
      <c r="I640" s="15">
        <f>IFERROR(__xludf.DUMMYFUNCTION("""COMPUTED_VALUE"""),1.0)</f>
        <v>1</v>
      </c>
      <c r="J640" s="15">
        <f>IFERROR(__xludf.DUMMYFUNCTION("""COMPUTED_VALUE"""),0.0)</f>
        <v>0</v>
      </c>
      <c r="K640" s="15">
        <f>IFERROR(__xludf.DUMMYFUNCTION("""COMPUTED_VALUE"""),0.0)</f>
        <v>0</v>
      </c>
      <c r="L640" s="15"/>
    </row>
    <row r="641" ht="15.75" customHeight="1">
      <c r="A641" s="14" t="str">
        <f>IFERROR(__xludf.DUMMYFUNCTION("""COMPUTED_VALUE"""),"https://www.marketingagencyindex.com/uk/ownership-model/network")</f>
        <v>https://www.marketingagencyindex.com/uk/ownership-model/network</v>
      </c>
      <c r="B641" s="15" t="str">
        <f>IFERROR(__xludf.DUMMYFUNCTION("""COMPUTED_VALUE"""),"Best Network Agencies in the UK | Agency Index")</f>
        <v>Best Network Agencies in the UK | Agency Index</v>
      </c>
      <c r="C641" s="14" t="str">
        <f>IFERROR(__xludf.DUMMYFUNCTION("""COMPUTED_VALUE"""),"marketingagencyindex.com")</f>
        <v>marketingagencyindex.com</v>
      </c>
      <c r="D641" s="15" t="str">
        <f>IFERROR(__xludf.DUMMYFUNCTION("""COMPUTED_VALUE"""),"PROFILE")</f>
        <v>PROFILE</v>
      </c>
      <c r="E641" s="15" t="str">
        <f>IFERROR(__xludf.DUMMYFUNCTION("""COMPUTED_VALUE"""),"UGC")</f>
        <v>UGC</v>
      </c>
      <c r="F641" s="15" t="str">
        <f>IFERROR(__xludf.DUMMYFUNCTION("""COMPUTED_VALUE"""),"Profile")</f>
        <v>Profile</v>
      </c>
      <c r="G641" s="15" t="b">
        <f>IFERROR(__xludf.DUMMYFUNCTION("""COMPUTED_VALUE"""),FALSE)</f>
        <v>0</v>
      </c>
      <c r="H641" s="15" t="str">
        <f>IFERROR(__xludf.DUMMYFUNCTION("""COMPUTED_VALUE"""),"WPP, Omnicom, Dentsu, Croud, Ogilvy, AKQA, GroupM, Publicis Groupe, Saatchi &amp; Saatchi, BBH London, Epsilon, Merkle, VCCP, Found, Push")</f>
        <v>WPP, Omnicom, Dentsu, Croud, Ogilvy, AKQA, GroupM, Publicis Groupe, Saatchi &amp; Saatchi, BBH London, Epsilon, Merkle, VCCP, Found, Push</v>
      </c>
      <c r="I641" s="15">
        <f>IFERROR(__xludf.DUMMYFUNCTION("""COMPUTED_VALUE"""),1.0)</f>
        <v>1</v>
      </c>
      <c r="J641" s="15">
        <f>IFERROR(__xludf.DUMMYFUNCTION("""COMPUTED_VALUE"""),0.0)</f>
        <v>0</v>
      </c>
      <c r="K641" s="15">
        <f>IFERROR(__xludf.DUMMYFUNCTION("""COMPUTED_VALUE"""),2.0)</f>
        <v>2</v>
      </c>
      <c r="L641" s="15"/>
    </row>
    <row r="642" ht="15.75" customHeight="1">
      <c r="A642" s="14" t="str">
        <f>IFERROR(__xludf.DUMMYFUNCTION("""COMPUTED_VALUE"""),"https://marketingsignals.com/best-ppc-agency-2026-the-top-uk-pay-per-click-agencies-ranked/")</f>
        <v>https://marketingsignals.com/best-ppc-agency-2026-the-top-uk-pay-per-click-agencies-ranked/</v>
      </c>
      <c r="B642" s="15" t="str">
        <f>IFERROR(__xludf.DUMMYFUNCTION("""COMPUTED_VALUE"""),"Best PPC Agency 2026: The Top UK Pay-Per-Click Agencies Ranked - Marketing Signals")</f>
        <v>Best PPC Agency 2026: The Top UK Pay-Per-Click Agencies Ranked - Marketing Signals</v>
      </c>
      <c r="C642" s="14" t="str">
        <f>IFERROR(__xludf.DUMMYFUNCTION("""COMPUTED_VALUE"""),"marketingsignals.com")</f>
        <v>marketingsignals.com</v>
      </c>
      <c r="D642" s="15" t="str">
        <f>IFERROR(__xludf.DUMMYFUNCTION("""COMPUTED_VALUE"""),"LISTICLE")</f>
        <v>LISTICLE</v>
      </c>
      <c r="E642" s="15" t="str">
        <f>IFERROR(__xludf.DUMMYFUNCTION("""COMPUTED_VALUE"""),"CORPORATE")</f>
        <v>CORPORATE</v>
      </c>
      <c r="F642" s="15" t="str">
        <f>IFERROR(__xludf.DUMMYFUNCTION("""COMPUTED_VALUE"""),"Listicle")</f>
        <v>Listicle</v>
      </c>
      <c r="G642" s="15" t="b">
        <f>IFERROR(__xludf.DUMMYFUNCTION("""COMPUTED_VALUE"""),FALSE)</f>
        <v>0</v>
      </c>
      <c r="H642" s="15" t="str">
        <f>IFERROR(__xludf.DUMMYFUNCTION("""COMPUTED_VALUE"""),"Brainlabs, Hallam, PPC Geeks, The Social Shepherd, Transmission")</f>
        <v>Brainlabs, Hallam, PPC Geeks, The Social Shepherd, Transmission</v>
      </c>
      <c r="I642" s="15">
        <f>IFERROR(__xludf.DUMMYFUNCTION("""COMPUTED_VALUE"""),1.0)</f>
        <v>1</v>
      </c>
      <c r="J642" s="15">
        <f>IFERROR(__xludf.DUMMYFUNCTION("""COMPUTED_VALUE"""),0.0)</f>
        <v>0</v>
      </c>
      <c r="K642" s="15">
        <f>IFERROR(__xludf.DUMMYFUNCTION("""COMPUTED_VALUE"""),0.0)</f>
        <v>0</v>
      </c>
      <c r="L642" s="15"/>
    </row>
    <row r="643" ht="15.75" customHeight="1">
      <c r="A643" s="14" t="str">
        <f>IFERROR(__xludf.DUMMYFUNCTION("""COMPUTED_VALUE"""),"https://martal.ca/integrated-marketing-agencies-lb/")</f>
        <v>https://martal.ca/integrated-marketing-agencies-lb/</v>
      </c>
      <c r="B643" s="15" t="str">
        <f>IFERROR(__xludf.DUMMYFUNCTION("""COMPUTED_VALUE"""),"Top Integrated Marketing Agencies: ROI-Driven Guide for 2026")</f>
        <v>Top Integrated Marketing Agencies: ROI-Driven Guide for 2026</v>
      </c>
      <c r="C643" s="14" t="str">
        <f>IFERROR(__xludf.DUMMYFUNCTION("""COMPUTED_VALUE"""),"martal.ca")</f>
        <v>martal.ca</v>
      </c>
      <c r="D643" s="15" t="str">
        <f>IFERROR(__xludf.DUMMYFUNCTION("""COMPUTED_VALUE"""),"LISTICLE")</f>
        <v>LISTICLE</v>
      </c>
      <c r="E643" s="15" t="str">
        <f>IFERROR(__xludf.DUMMYFUNCTION("""COMPUTED_VALUE"""),"CORPORATE")</f>
        <v>CORPORATE</v>
      </c>
      <c r="F643" s="15" t="str">
        <f>IFERROR(__xludf.DUMMYFUNCTION("""COMPUTED_VALUE"""),"Listicle")</f>
        <v>Listicle</v>
      </c>
      <c r="G643" s="15" t="b">
        <f>IFERROR(__xludf.DUMMYFUNCTION("""COMPUTED_VALUE"""),FALSE)</f>
        <v>0</v>
      </c>
      <c r="H643" s="15" t="str">
        <f>IFERROR(__xludf.DUMMYFUNCTION("""COMPUTED_VALUE"""),"Found, Push, Measured, Dentsu")</f>
        <v>Found, Push, Measured, Dentsu</v>
      </c>
      <c r="I643" s="15">
        <f>IFERROR(__xludf.DUMMYFUNCTION("""COMPUTED_VALUE"""),1.0)</f>
        <v>1</v>
      </c>
      <c r="J643" s="15">
        <f>IFERROR(__xludf.DUMMYFUNCTION("""COMPUTED_VALUE"""),0.0)</f>
        <v>0</v>
      </c>
      <c r="K643" s="15">
        <f>IFERROR(__xludf.DUMMYFUNCTION("""COMPUTED_VALUE"""),1.0)</f>
        <v>1</v>
      </c>
      <c r="L643" s="15"/>
    </row>
    <row r="644" ht="15.75" customHeight="1">
      <c r="A644" s="14" t="str">
        <f>IFERROR(__xludf.DUMMYFUNCTION("""COMPUTED_VALUE"""),"https://www.measured.com/faq/top-11-best-media-mix-modeling-companies-software-for-2026/#:~:text=Rating%3A%20(4.1%2F5%20G2%2C%204.0%2F5%20Capterra)%20Best%20For%3A,Sources%20*%20ScanmarQED.%20*%20G2%20ScanmarQED%20Reviews.")</f>
        <v>https://www.measured.com/faq/top-11-best-media-mix-modeling-companies-software-for-2026/#:~:text=Rating%3A%20(4.1%2F5%20G2%2C%204.0%2F5%20Capterra)%20Best%20For%3A,Sources%20*%20ScanmarQED.%20*%20G2%20ScanmarQED%20Reviews.</v>
      </c>
      <c r="B644" s="15" t="str">
        <f>IFERROR(__xludf.DUMMYFUNCTION("""COMPUTED_VALUE"""),"Top 11 Best Media Mix Modeling Companies &amp;amp; Software for 2026 | Measured®")</f>
        <v>Top 11 Best Media Mix Modeling Companies &amp;amp; Software for 2026 | Measured®</v>
      </c>
      <c r="C644" s="14" t="str">
        <f>IFERROR(__xludf.DUMMYFUNCTION("""COMPUTED_VALUE"""),"measured.com")</f>
        <v>measured.com</v>
      </c>
      <c r="D644" s="15" t="str">
        <f>IFERROR(__xludf.DUMMYFUNCTION("""COMPUTED_VALUE"""),"OTHER")</f>
        <v>OTHER</v>
      </c>
      <c r="E644" s="15" t="str">
        <f>IFERROR(__xludf.DUMMYFUNCTION("""COMPUTED_VALUE"""),"COMPETITOR")</f>
        <v>COMPETITOR</v>
      </c>
      <c r="F644" s="15" t="str">
        <f>IFERROR(__xludf.DUMMYFUNCTION("""COMPUTED_VALUE"""),"Other")</f>
        <v>Other</v>
      </c>
      <c r="G644" s="15" t="b">
        <f>IFERROR(__xludf.DUMMYFUNCTION("""COMPUTED_VALUE"""),FALSE)</f>
        <v>0</v>
      </c>
      <c r="H644" s="15" t="str">
        <f>IFERROR(__xludf.DUMMYFUNCTION("""COMPUTED_VALUE"""),"Measured, Nielsen, Analytic Partners, Kantar, Neustar, Gain Theory, WPP, Recast, Haus, Rockerbox")</f>
        <v>Measured, Nielsen, Analytic Partners, Kantar, Neustar, Gain Theory, WPP, Recast, Haus, Rockerbox</v>
      </c>
      <c r="I644" s="15">
        <f>IFERROR(__xludf.DUMMYFUNCTION("""COMPUTED_VALUE"""),1.0)</f>
        <v>1</v>
      </c>
      <c r="J644" s="15">
        <f>IFERROR(__xludf.DUMMYFUNCTION("""COMPUTED_VALUE"""),0.0)</f>
        <v>0</v>
      </c>
      <c r="K644" s="15">
        <f>IFERROR(__xludf.DUMMYFUNCTION("""COMPUTED_VALUE"""),2.0)</f>
        <v>2</v>
      </c>
      <c r="L644" s="15"/>
    </row>
    <row r="645" ht="15.75" customHeight="1">
      <c r="A645" s="14" t="str">
        <f>IFERROR(__xludf.DUMMYFUNCTION("""COMPUTED_VALUE"""),"https://mediascape.ltd.uk/av-insights/top-digital-screen-companies-in-the-uk/")</f>
        <v>https://mediascape.ltd.uk/av-insights/top-digital-screen-companies-in-the-uk/</v>
      </c>
      <c r="B645" s="15" t="str">
        <f>IFERROR(__xludf.DUMMYFUNCTION("""COMPUTED_VALUE"""),"Top 10 Digital Screen Companies in the UK")</f>
        <v>Top 10 Digital Screen Companies in the UK</v>
      </c>
      <c r="C645" s="14" t="str">
        <f>IFERROR(__xludf.DUMMYFUNCTION("""COMPUTED_VALUE"""),"mediascape.ltd.uk")</f>
        <v>mediascape.ltd.uk</v>
      </c>
      <c r="D645" s="15" t="str">
        <f>IFERROR(__xludf.DUMMYFUNCTION("""COMPUTED_VALUE"""),"LISTICLE")</f>
        <v>LISTICLE</v>
      </c>
      <c r="E645" s="15" t="str">
        <f>IFERROR(__xludf.DUMMYFUNCTION("""COMPUTED_VALUE"""),"CORPORATE")</f>
        <v>CORPORATE</v>
      </c>
      <c r="F645" s="15" t="str">
        <f>IFERROR(__xludf.DUMMYFUNCTION("""COMPUTED_VALUE"""),"Listicle")</f>
        <v>Listicle</v>
      </c>
      <c r="G645" s="15" t="b">
        <f>IFERROR(__xludf.DUMMYFUNCTION("""COMPUTED_VALUE"""),FALSE)</f>
        <v>0</v>
      </c>
      <c r="H645" s="15" t="str">
        <f>IFERROR(__xludf.DUMMYFUNCTION("""COMPUTED_VALUE"""),"Huge, 9AM")</f>
        <v>Huge, 9AM</v>
      </c>
      <c r="I645" s="15">
        <f>IFERROR(__xludf.DUMMYFUNCTION("""COMPUTED_VALUE"""),1.0)</f>
        <v>1</v>
      </c>
      <c r="J645" s="15">
        <f>IFERROR(__xludf.DUMMYFUNCTION("""COMPUTED_VALUE"""),0.0)</f>
        <v>0</v>
      </c>
      <c r="K645" s="15">
        <f>IFERROR(__xludf.DUMMYFUNCTION("""COMPUTED_VALUE"""),1.0)</f>
        <v>1</v>
      </c>
      <c r="L645" s="15"/>
    </row>
    <row r="646" ht="15.75" customHeight="1">
      <c r="A646" s="14" t="str">
        <f>IFERROR(__xludf.DUMMYFUNCTION("""COMPUTED_VALUE"""),"https://www.mediaworxfilms.com/post/best-10-creative-agencies-in-london-2025")</f>
        <v>https://www.mediaworxfilms.com/post/best-10-creative-agencies-in-london-2025</v>
      </c>
      <c r="B646" s="15" t="str">
        <f>IFERROR(__xludf.DUMMYFUNCTION("""COMPUTED_VALUE"""),"Best 10 Creative Agencies in London 2025")</f>
        <v>Best 10 Creative Agencies in London 2025</v>
      </c>
      <c r="C646" s="14" t="str">
        <f>IFERROR(__xludf.DUMMYFUNCTION("""COMPUTED_VALUE"""),"mediaworxfilms.com")</f>
        <v>mediaworxfilms.com</v>
      </c>
      <c r="D646" s="15" t="str">
        <f>IFERROR(__xludf.DUMMYFUNCTION("""COMPUTED_VALUE"""),"LISTICLE")</f>
        <v>LISTICLE</v>
      </c>
      <c r="E646" s="15" t="str">
        <f>IFERROR(__xludf.DUMMYFUNCTION("""COMPUTED_VALUE"""),"CORPORATE")</f>
        <v>CORPORATE</v>
      </c>
      <c r="F646" s="15" t="str">
        <f>IFERROR(__xludf.DUMMYFUNCTION("""COMPUTED_VALUE"""),"Listicle")</f>
        <v>Listicle</v>
      </c>
      <c r="G646" s="15" t="b">
        <f>IFERROR(__xludf.DUMMYFUNCTION("""COMPUTED_VALUE"""),FALSE)</f>
        <v>0</v>
      </c>
      <c r="H646" s="15" t="str">
        <f>IFERROR(__xludf.DUMMYFUNCTION("""COMPUTED_VALUE"""),"Mother London, Saatchi &amp; Saatchi, VCCP, Ogilvy, WPP, Publicis Groupe, AKQA")</f>
        <v>Mother London, Saatchi &amp; Saatchi, VCCP, Ogilvy, WPP, Publicis Groupe, AKQA</v>
      </c>
      <c r="I646" s="15">
        <f>IFERROR(__xludf.DUMMYFUNCTION("""COMPUTED_VALUE"""),1.0)</f>
        <v>1</v>
      </c>
      <c r="J646" s="15">
        <f>IFERROR(__xludf.DUMMYFUNCTION("""COMPUTED_VALUE"""),0.0)</f>
        <v>0</v>
      </c>
      <c r="K646" s="15">
        <f>IFERROR(__xludf.DUMMYFUNCTION("""COMPUTED_VALUE"""),1.0)</f>
        <v>1</v>
      </c>
      <c r="L646" s="15"/>
    </row>
    <row r="647" ht="15.75" customHeight="1">
      <c r="A647" s="14" t="str">
        <f>IFERROR(__xludf.DUMMYFUNCTION("""COMPUTED_VALUE"""),"https://www.mitochonpixel.co.uk/blogs/top-10-analytics-and-reporting-companies-in-uk")</f>
        <v>https://www.mitochonpixel.co.uk/blogs/top-10-analytics-and-reporting-companies-in-uk</v>
      </c>
      <c r="B647" s="15" t="str">
        <f>IFERROR(__xludf.DUMMYFUNCTION("""COMPUTED_VALUE"""),"Top 10 Analytics and Reporting Agencies in UK | Mitochon Pixel")</f>
        <v>Top 10 Analytics and Reporting Agencies in UK | Mitochon Pixel</v>
      </c>
      <c r="C647" s="14" t="str">
        <f>IFERROR(__xludf.DUMMYFUNCTION("""COMPUTED_VALUE"""),"mitochonpixel.co.uk")</f>
        <v>mitochonpixel.co.uk</v>
      </c>
      <c r="D647" s="15" t="str">
        <f>IFERROR(__xludf.DUMMYFUNCTION("""COMPUTED_VALUE"""),"LISTICLE")</f>
        <v>LISTICLE</v>
      </c>
      <c r="E647" s="15" t="str">
        <f>IFERROR(__xludf.DUMMYFUNCTION("""COMPUTED_VALUE"""),"CORPORATE")</f>
        <v>CORPORATE</v>
      </c>
      <c r="F647" s="15" t="str">
        <f>IFERROR(__xludf.DUMMYFUNCTION("""COMPUTED_VALUE"""),"Listicle")</f>
        <v>Listicle</v>
      </c>
      <c r="G647" s="15" t="b">
        <f>IFERROR(__xludf.DUMMYFUNCTION("""COMPUTED_VALUE"""),FALSE)</f>
        <v>0</v>
      </c>
      <c r="H647" s="15" t="str">
        <f>IFERROR(__xludf.DUMMYFUNCTION("""COMPUTED_VALUE"""),"Deloitte Digital, PwC")</f>
        <v>Deloitte Digital, PwC</v>
      </c>
      <c r="I647" s="15">
        <f>IFERROR(__xludf.DUMMYFUNCTION("""COMPUTED_VALUE"""),1.0)</f>
        <v>1</v>
      </c>
      <c r="J647" s="15">
        <f>IFERROR(__xludf.DUMMYFUNCTION("""COMPUTED_VALUE"""),0.0)</f>
        <v>0</v>
      </c>
      <c r="K647" s="15">
        <f>IFERROR(__xludf.DUMMYFUNCTION("""COMPUTED_VALUE"""),1.0)</f>
        <v>1</v>
      </c>
      <c r="L647" s="15"/>
    </row>
    <row r="648" ht="15.75" customHeight="1">
      <c r="A648" s="14" t="str">
        <f>IFERROR(__xludf.DUMMYFUNCTION("""COMPUTED_VALUE"""),"https://www.mobileappdaily.com/directory/digital-marketing-companies/uk")</f>
        <v>https://www.mobileappdaily.com/directory/digital-marketing-companies/uk</v>
      </c>
      <c r="B648" s="15" t="str">
        <f>IFERROR(__xludf.DUMMYFUNCTION("""COMPUTED_VALUE"""),"Top Digital Marketing Agencies in the UK - 2026 Reviews | MobileAppDaily")</f>
        <v>Top Digital Marketing Agencies in the UK - 2026 Reviews | MobileAppDaily</v>
      </c>
      <c r="C648" s="14" t="str">
        <f>IFERROR(__xludf.DUMMYFUNCTION("""COMPUTED_VALUE"""),"mobileappdaily.com")</f>
        <v>mobileappdaily.com</v>
      </c>
      <c r="D648" s="15" t="str">
        <f>IFERROR(__xludf.DUMMYFUNCTION("""COMPUTED_VALUE"""),"PROFILE")</f>
        <v>PROFILE</v>
      </c>
      <c r="E648" s="15" t="str">
        <f>IFERROR(__xludf.DUMMYFUNCTION("""COMPUTED_VALUE"""),"EDITORIAL")</f>
        <v>EDITORIAL</v>
      </c>
      <c r="F648" s="15" t="str">
        <f>IFERROR(__xludf.DUMMYFUNCTION("""COMPUTED_VALUE"""),"Profile")</f>
        <v>Profile</v>
      </c>
      <c r="G648" s="15" t="b">
        <f>IFERROR(__xludf.DUMMYFUNCTION("""COMPUTED_VALUE"""),FALSE)</f>
        <v>0</v>
      </c>
      <c r="H648" s="15" t="str">
        <f>IFERROR(__xludf.DUMMYFUNCTION("""COMPUTED_VALUE"""),"Favoured, WebFX, PwC, Bird Marketing, The SEO Works, Blue Array, ClickSlice, Impression, ROAST")</f>
        <v>Favoured, WebFX, PwC, Bird Marketing, The SEO Works, Blue Array, ClickSlice, Impression, ROAST</v>
      </c>
      <c r="I648" s="15">
        <f>IFERROR(__xludf.DUMMYFUNCTION("""COMPUTED_VALUE"""),1.0)</f>
        <v>1</v>
      </c>
      <c r="J648" s="15">
        <f>IFERROR(__xludf.DUMMYFUNCTION("""COMPUTED_VALUE"""),0.0)</f>
        <v>0</v>
      </c>
      <c r="K648" s="15">
        <f>IFERROR(__xludf.DUMMYFUNCTION("""COMPUTED_VALUE"""),0.0)</f>
        <v>0</v>
      </c>
      <c r="L648" s="15"/>
    </row>
    <row r="649" ht="15.75" customHeight="1">
      <c r="A649" s="14" t="str">
        <f>IFERROR(__xludf.DUMMYFUNCTION("""COMPUTED_VALUE"""),"https://www.munro.agency/best-growth-marketing-agencies/")</f>
        <v>https://www.munro.agency/best-growth-marketing-agencies/</v>
      </c>
      <c r="B649" s="15" t="str">
        <f>IFERROR(__xludf.DUMMYFUNCTION("""COMPUTED_VALUE"""),"14 Best Growth Marketing Agencies")</f>
        <v>14 Best Growth Marketing Agencies</v>
      </c>
      <c r="C649" s="15" t="str">
        <f>IFERROR(__xludf.DUMMYFUNCTION("""COMPUTED_VALUE"""),"munro.agency")</f>
        <v>munro.agency</v>
      </c>
      <c r="D649" s="15" t="str">
        <f>IFERROR(__xludf.DUMMYFUNCTION("""COMPUTED_VALUE"""),"LISTICLE")</f>
        <v>LISTICLE</v>
      </c>
      <c r="E649" s="15" t="str">
        <f>IFERROR(__xludf.DUMMYFUNCTION("""COMPUTED_VALUE"""),"CORPORATE")</f>
        <v>CORPORATE</v>
      </c>
      <c r="F649" s="15" t="str">
        <f>IFERROR(__xludf.DUMMYFUNCTION("""COMPUTED_VALUE"""),"Listicle")</f>
        <v>Listicle</v>
      </c>
      <c r="G649" s="15" t="b">
        <f>IFERROR(__xludf.DUMMYFUNCTION("""COMPUTED_VALUE"""),FALSE)</f>
        <v>0</v>
      </c>
      <c r="H649" s="15" t="str">
        <f>IFERROR(__xludf.DUMMYFUNCTION("""COMPUTED_VALUE"""),"Momentum, NoGood, Brainlabs, Tinuiti, Wpromote, Impression, Single Grain, NP Digital, Favoured")</f>
        <v>Momentum, NoGood, Brainlabs, Tinuiti, Wpromote, Impression, Single Grain, NP Digital, Favoured</v>
      </c>
      <c r="I649" s="15">
        <f>IFERROR(__xludf.DUMMYFUNCTION("""COMPUTED_VALUE"""),1.0)</f>
        <v>1</v>
      </c>
      <c r="J649" s="15">
        <f>IFERROR(__xludf.DUMMYFUNCTION("""COMPUTED_VALUE"""),0.0)</f>
        <v>0</v>
      </c>
      <c r="K649" s="15">
        <f>IFERROR(__xludf.DUMMYFUNCTION("""COMPUTED_VALUE"""),0.0)</f>
        <v>0</v>
      </c>
      <c r="L649" s="15"/>
    </row>
    <row r="650" ht="15.75" customHeight="1">
      <c r="A650" s="14" t="str">
        <f>IFERROR(__xludf.DUMMYFUNCTION("""COMPUTED_VALUE"""),"https://www.munro.agency/creative-advertising-agencies/")</f>
        <v>https://www.munro.agency/creative-advertising-agencies/</v>
      </c>
      <c r="B650" s="15" t="str">
        <f>IFERROR(__xludf.DUMMYFUNCTION("""COMPUTED_VALUE"""),"Top 15 creative advertising agencies")</f>
        <v>Top 15 creative advertising agencies</v>
      </c>
      <c r="C650" s="15" t="str">
        <f>IFERROR(__xludf.DUMMYFUNCTION("""COMPUTED_VALUE"""),"munro.agency")</f>
        <v>munro.agency</v>
      </c>
      <c r="D650" s="15" t="str">
        <f>IFERROR(__xludf.DUMMYFUNCTION("""COMPUTED_VALUE"""),"LISTICLE")</f>
        <v>LISTICLE</v>
      </c>
      <c r="E650" s="15" t="str">
        <f>IFERROR(__xludf.DUMMYFUNCTION("""COMPUTED_VALUE"""),"CORPORATE")</f>
        <v>CORPORATE</v>
      </c>
      <c r="F650" s="15" t="str">
        <f>IFERROR(__xludf.DUMMYFUNCTION("""COMPUTED_VALUE"""),"Listicle")</f>
        <v>Listicle</v>
      </c>
      <c r="G650" s="15" t="b">
        <f>IFERROR(__xludf.DUMMYFUNCTION("""COMPUTED_VALUE"""),FALSE)</f>
        <v>0</v>
      </c>
      <c r="H650" s="15" t="str">
        <f>IFERROR(__xludf.DUMMYFUNCTION("""COMPUTED_VALUE"""),"BBH London, WPP, Mother London, Adam&amp;eveDDB, AMV BBDO")</f>
        <v>BBH London, WPP, Mother London, Adam&amp;eveDDB, AMV BBDO</v>
      </c>
      <c r="I650" s="15">
        <f>IFERROR(__xludf.DUMMYFUNCTION("""COMPUTED_VALUE"""),1.0)</f>
        <v>1</v>
      </c>
      <c r="J650" s="15">
        <f>IFERROR(__xludf.DUMMYFUNCTION("""COMPUTED_VALUE"""),0.0)</f>
        <v>0</v>
      </c>
      <c r="K650" s="15">
        <f>IFERROR(__xludf.DUMMYFUNCTION("""COMPUTED_VALUE"""),1.0)</f>
        <v>1</v>
      </c>
      <c r="L650" s="15"/>
    </row>
    <row r="651" ht="15.75" customHeight="1">
      <c r="A651" s="14" t="str">
        <f>IFERROR(__xludf.DUMMYFUNCTION("""COMPUTED_VALUE"""),"https://www.munro.agency/google-ads-agencies/")</f>
        <v>https://www.munro.agency/google-ads-agencies/</v>
      </c>
      <c r="B651" s="15" t="str">
        <f>IFERROR(__xludf.DUMMYFUNCTION("""COMPUTED_VALUE"""),"Top 15 Google Ads Agencies")</f>
        <v>Top 15 Google Ads Agencies</v>
      </c>
      <c r="C651" s="15" t="str">
        <f>IFERROR(__xludf.DUMMYFUNCTION("""COMPUTED_VALUE"""),"munro.agency")</f>
        <v>munro.agency</v>
      </c>
      <c r="D651" s="15" t="str">
        <f>IFERROR(__xludf.DUMMYFUNCTION("""COMPUTED_VALUE"""),"LISTICLE")</f>
        <v>LISTICLE</v>
      </c>
      <c r="E651" s="15" t="str">
        <f>IFERROR(__xludf.DUMMYFUNCTION("""COMPUTED_VALUE"""),"CORPORATE")</f>
        <v>CORPORATE</v>
      </c>
      <c r="F651" s="15" t="str">
        <f>IFERROR(__xludf.DUMMYFUNCTION("""COMPUTED_VALUE"""),"Listicle")</f>
        <v>Listicle</v>
      </c>
      <c r="G651" s="15" t="b">
        <f>IFERROR(__xludf.DUMMYFUNCTION("""COMPUTED_VALUE"""),FALSE)</f>
        <v>0</v>
      </c>
      <c r="H651" s="15" t="str">
        <f>IFERROR(__xludf.DUMMYFUNCTION("""COMPUTED_VALUE"""),"Impression, Gripped, Soap Media, PPC Geeks, Brainlabs, Croud, Push, Push Group, Bind Media")</f>
        <v>Impression, Gripped, Soap Media, PPC Geeks, Brainlabs, Croud, Push, Push Group, Bind Media</v>
      </c>
      <c r="I651" s="15">
        <f>IFERROR(__xludf.DUMMYFUNCTION("""COMPUTED_VALUE"""),1.0)</f>
        <v>1</v>
      </c>
      <c r="J651" s="15">
        <f>IFERROR(__xludf.DUMMYFUNCTION("""COMPUTED_VALUE"""),0.0)</f>
        <v>0</v>
      </c>
      <c r="K651" s="15">
        <f>IFERROR(__xludf.DUMMYFUNCTION("""COMPUTED_VALUE"""),1.0)</f>
        <v>1</v>
      </c>
      <c r="L651" s="15"/>
    </row>
    <row r="652" ht="15.75" customHeight="1">
      <c r="A652" s="14" t="str">
        <f>IFERROR(__xludf.DUMMYFUNCTION("""COMPUTED_VALUE"""),"https://www.munro.agency/top-10-paid-media-agencies/")</f>
        <v>https://www.munro.agency/top-10-paid-media-agencies/</v>
      </c>
      <c r="B652" s="15" t="str">
        <f>IFERROR(__xludf.DUMMYFUNCTION("""COMPUTED_VALUE"""),"Top 10 Paid Media Agencies for 2026")</f>
        <v>Top 10 Paid Media Agencies for 2026</v>
      </c>
      <c r="C652" s="15" t="str">
        <f>IFERROR(__xludf.DUMMYFUNCTION("""COMPUTED_VALUE"""),"munro.agency")</f>
        <v>munro.agency</v>
      </c>
      <c r="D652" s="15" t="str">
        <f>IFERROR(__xludf.DUMMYFUNCTION("""COMPUTED_VALUE"""),"LISTICLE")</f>
        <v>LISTICLE</v>
      </c>
      <c r="E652" s="15" t="str">
        <f>IFERROR(__xludf.DUMMYFUNCTION("""COMPUTED_VALUE"""),"CORPORATE")</f>
        <v>CORPORATE</v>
      </c>
      <c r="F652" s="15" t="str">
        <f>IFERROR(__xludf.DUMMYFUNCTION("""COMPUTED_VALUE"""),"Listicle")</f>
        <v>Listicle</v>
      </c>
      <c r="G652" s="15" t="b">
        <f>IFERROR(__xludf.DUMMYFUNCTION("""COMPUTED_VALUE"""),FALSE)</f>
        <v>0</v>
      </c>
      <c r="H652" s="15" t="str">
        <f>IFERROR(__xludf.DUMMYFUNCTION("""COMPUTED_VALUE"""),"Impression, Push, ClickSlice, inBeat, Power Digital")</f>
        <v>Impression, Push, ClickSlice, inBeat, Power Digital</v>
      </c>
      <c r="I652" s="15">
        <f>IFERROR(__xludf.DUMMYFUNCTION("""COMPUTED_VALUE"""),1.0)</f>
        <v>1</v>
      </c>
      <c r="J652" s="15">
        <f>IFERROR(__xludf.DUMMYFUNCTION("""COMPUTED_VALUE"""),0.0)</f>
        <v>0</v>
      </c>
      <c r="K652" s="15">
        <f>IFERROR(__xludf.DUMMYFUNCTION("""COMPUTED_VALUE"""),0.0)</f>
        <v>0</v>
      </c>
      <c r="L652" s="15"/>
    </row>
    <row r="653" ht="15.75" customHeight="1">
      <c r="A653" s="14" t="str">
        <f>IFERROR(__xludf.DUMMYFUNCTION("""COMPUTED_VALUE"""),"https://www.munro.agency/top-geo-agencies/")</f>
        <v>https://www.munro.agency/top-geo-agencies/</v>
      </c>
      <c r="B653" s="15" t="str">
        <f>IFERROR(__xludf.DUMMYFUNCTION("""COMPUTED_VALUE"""),"Top 13 GEO Agencies")</f>
        <v>Top 13 GEO Agencies</v>
      </c>
      <c r="C653" s="15" t="str">
        <f>IFERROR(__xludf.DUMMYFUNCTION("""COMPUTED_VALUE"""),"munro.agency")</f>
        <v>munro.agency</v>
      </c>
      <c r="D653" s="15" t="str">
        <f>IFERROR(__xludf.DUMMYFUNCTION("""COMPUTED_VALUE"""),"LISTICLE")</f>
        <v>LISTICLE</v>
      </c>
      <c r="E653" s="15" t="str">
        <f>IFERROR(__xludf.DUMMYFUNCTION("""COMPUTED_VALUE"""),"CORPORATE")</f>
        <v>CORPORATE</v>
      </c>
      <c r="F653" s="15" t="str">
        <f>IFERROR(__xludf.DUMMYFUNCTION("""COMPUTED_VALUE"""),"Listicle")</f>
        <v>Listicle</v>
      </c>
      <c r="G653" s="15" t="b">
        <f>IFERROR(__xludf.DUMMYFUNCTION("""COMPUTED_VALUE"""),FALSE)</f>
        <v>0</v>
      </c>
      <c r="H653" s="15" t="str">
        <f>IFERROR(__xludf.DUMMYFUNCTION("""COMPUTED_VALUE"""),"Siege Media, Omniscient Digital, Exposure Ninja, Varn, Bird Marketing")</f>
        <v>Siege Media, Omniscient Digital, Exposure Ninja, Varn, Bird Marketing</v>
      </c>
      <c r="I653" s="15">
        <f>IFERROR(__xludf.DUMMYFUNCTION("""COMPUTED_VALUE"""),1.0)</f>
        <v>1</v>
      </c>
      <c r="J653" s="15">
        <f>IFERROR(__xludf.DUMMYFUNCTION("""COMPUTED_VALUE"""),0.0)</f>
        <v>0</v>
      </c>
      <c r="K653" s="15">
        <f>IFERROR(__xludf.DUMMYFUNCTION("""COMPUTED_VALUE"""),1.0)</f>
        <v>1</v>
      </c>
      <c r="L653" s="15"/>
    </row>
    <row r="654" ht="15.75" customHeight="1">
      <c r="A654" s="14" t="str">
        <f>IFERROR(__xludf.DUMMYFUNCTION("""COMPUTED_VALUE"""),"https://nalaber.com/insights/best-ai-seo-agencies-uk")</f>
        <v>https://nalaber.com/insights/best-ai-seo-agencies-uk</v>
      </c>
      <c r="B654" s="15" t="str">
        <f>IFERROR(__xludf.DUMMYFUNCTION("""COMPUTED_VALUE"""),"Best AI SEO Agencies in the UK (2026) | Nalaber")</f>
        <v>Best AI SEO Agencies in the UK (2026) | Nalaber</v>
      </c>
      <c r="C654" s="14" t="str">
        <f>IFERROR(__xludf.DUMMYFUNCTION("""COMPUTED_VALUE"""),"nalaber.com")</f>
        <v>nalaber.com</v>
      </c>
      <c r="D654" s="15" t="str">
        <f>IFERROR(__xludf.DUMMYFUNCTION("""COMPUTED_VALUE"""),"LISTICLE")</f>
        <v>LISTICLE</v>
      </c>
      <c r="E654" s="15" t="str">
        <f>IFERROR(__xludf.DUMMYFUNCTION("""COMPUTED_VALUE"""),"CORPORATE")</f>
        <v>CORPORATE</v>
      </c>
      <c r="F654" s="15" t="str">
        <f>IFERROR(__xludf.DUMMYFUNCTION("""COMPUTED_VALUE"""),"Listicle")</f>
        <v>Listicle</v>
      </c>
      <c r="G654" s="15" t="b">
        <f>IFERROR(__xludf.DUMMYFUNCTION("""COMPUTED_VALUE"""),FALSE)</f>
        <v>0</v>
      </c>
      <c r="H654" s="15" t="str">
        <f>IFERROR(__xludf.DUMMYFUNCTION("""COMPUTED_VALUE"""),"Found, Impression, Rise at Seven, Measured")</f>
        <v>Found, Impression, Rise at Seven, Measured</v>
      </c>
      <c r="I654" s="15">
        <f>IFERROR(__xludf.DUMMYFUNCTION("""COMPUTED_VALUE"""),1.0)</f>
        <v>1</v>
      </c>
      <c r="J654" s="15">
        <f>IFERROR(__xludf.DUMMYFUNCTION("""COMPUTED_VALUE"""),0.0)</f>
        <v>0</v>
      </c>
      <c r="K654" s="15">
        <f>IFERROR(__xludf.DUMMYFUNCTION("""COMPUTED_VALUE"""),1.0)</f>
        <v>1</v>
      </c>
      <c r="L654" s="15"/>
    </row>
    <row r="655" ht="15.75" customHeight="1">
      <c r="A655" s="14" t="str">
        <f>IFERROR(__xludf.DUMMYFUNCTION("""COMPUTED_VALUE"""),"https://nealschaffer.com/ai-marketing-agency/")</f>
        <v>https://nealschaffer.com/ai-marketing-agency/</v>
      </c>
      <c r="B655" s="15" t="str">
        <f>IFERROR(__xludf.DUMMYFUNCTION("""COMPUTED_VALUE"""),"15 Best AI Marketing Agencies Helping Brands Grow in 2026")</f>
        <v>15 Best AI Marketing Agencies Helping Brands Grow in 2026</v>
      </c>
      <c r="C655" s="14" t="str">
        <f>IFERROR(__xludf.DUMMYFUNCTION("""COMPUTED_VALUE"""),"nealschaffer.com")</f>
        <v>nealschaffer.com</v>
      </c>
      <c r="D655" s="15" t="str">
        <f>IFERROR(__xludf.DUMMYFUNCTION("""COMPUTED_VALUE"""),"LISTICLE")</f>
        <v>LISTICLE</v>
      </c>
      <c r="E655" s="15" t="str">
        <f>IFERROR(__xludf.DUMMYFUNCTION("""COMPUTED_VALUE"""),"CORPORATE")</f>
        <v>CORPORATE</v>
      </c>
      <c r="F655" s="15" t="str">
        <f>IFERROR(__xludf.DUMMYFUNCTION("""COMPUTED_VALUE"""),"Listicle")</f>
        <v>Listicle</v>
      </c>
      <c r="G655" s="15" t="b">
        <f>IFERROR(__xludf.DUMMYFUNCTION("""COMPUTED_VALUE"""),FALSE)</f>
        <v>0</v>
      </c>
      <c r="H655" s="15" t="str">
        <f>IFERROR(__xludf.DUMMYFUNCTION("""COMPUTED_VALUE"""),"QuantumBlack, Found, Measured")</f>
        <v>QuantumBlack, Found, Measured</v>
      </c>
      <c r="I655" s="15">
        <f>IFERROR(__xludf.DUMMYFUNCTION("""COMPUTED_VALUE"""),1.0)</f>
        <v>1</v>
      </c>
      <c r="J655" s="15">
        <f>IFERROR(__xludf.DUMMYFUNCTION("""COMPUTED_VALUE"""),0.0)</f>
        <v>0</v>
      </c>
      <c r="K655" s="15">
        <f>IFERROR(__xludf.DUMMYFUNCTION("""COMPUTED_VALUE"""),0.0)</f>
        <v>0</v>
      </c>
      <c r="L655" s="15"/>
    </row>
    <row r="656" ht="15.75" customHeight="1">
      <c r="A656" s="14" t="str">
        <f>IFERROR(__xludf.DUMMYFUNCTION("""COMPUTED_VALUE"""),"https://neuraladx.com/best-perplexity-optimisation-agency-uk/")</f>
        <v>https://neuraladx.com/best-perplexity-optimisation-agency-uk/</v>
      </c>
      <c r="B656" s="15" t="str">
        <f>IFERROR(__xludf.DUMMYFUNCTION("""COMPUTED_VALUE"""),"Best Perplexity Optimisation Agency UK | NeuralAdX Ltd")</f>
        <v>Best Perplexity Optimisation Agency UK | NeuralAdX Ltd</v>
      </c>
      <c r="C656" s="14" t="str">
        <f>IFERROR(__xludf.DUMMYFUNCTION("""COMPUTED_VALUE"""),"neuraladx.com")</f>
        <v>neuraladx.com</v>
      </c>
      <c r="D656" s="15" t="str">
        <f>IFERROR(__xludf.DUMMYFUNCTION("""COMPUTED_VALUE"""),"PRODUCT_PAGE")</f>
        <v>PRODUCT_PAGE</v>
      </c>
      <c r="E656" s="15" t="str">
        <f>IFERROR(__xludf.DUMMYFUNCTION("""COMPUTED_VALUE"""),"UGC")</f>
        <v>UGC</v>
      </c>
      <c r="F656" s="15" t="str">
        <f>IFERROR(__xludf.DUMMYFUNCTION("""COMPUTED_VALUE"""),"Product Page")</f>
        <v>Product Page</v>
      </c>
      <c r="G656" s="15" t="b">
        <f>IFERROR(__xludf.DUMMYFUNCTION("""COMPUTED_VALUE"""),FALSE)</f>
        <v>0</v>
      </c>
      <c r="H656" s="15" t="str">
        <f>IFERROR(__xludf.DUMMYFUNCTION("""COMPUTED_VALUE"""),"Found, Measured, Screaming Frog, Impression, Hallam, Brainlabs")</f>
        <v>Found, Measured, Screaming Frog, Impression, Hallam, Brainlabs</v>
      </c>
      <c r="I656" s="15">
        <f>IFERROR(__xludf.DUMMYFUNCTION("""COMPUTED_VALUE"""),1.0)</f>
        <v>1</v>
      </c>
      <c r="J656" s="15">
        <f>IFERROR(__xludf.DUMMYFUNCTION("""COMPUTED_VALUE"""),0.0)</f>
        <v>0</v>
      </c>
      <c r="K656" s="15">
        <f>IFERROR(__xludf.DUMMYFUNCTION("""COMPUTED_VALUE"""),0.0)</f>
        <v>0</v>
      </c>
      <c r="L656" s="15"/>
    </row>
    <row r="657" ht="15.75" customHeight="1">
      <c r="A657" s="14" t="str">
        <f>IFERROR(__xludf.DUMMYFUNCTION("""COMPUTED_VALUE"""),"https://neuraladx.com/comparison-of-the-top-10-generative-engine-optimisation-geo-service-agencies-2026/")</f>
        <v>https://neuraladx.com/comparison-of-the-top-10-generative-engine-optimisation-geo-service-agencies-2026/</v>
      </c>
      <c r="B657" s="15" t="str">
        <f>IFERROR(__xludf.DUMMYFUNCTION("""COMPUTED_VALUE"""),"Comparison of the Top 10 Generative Engine Optimisation (GEO) Service Agencies (2026) - NeuralAdX Ltd")</f>
        <v>Comparison of the Top 10 Generative Engine Optimisation (GEO) Service Agencies (2026) - NeuralAdX Ltd</v>
      </c>
      <c r="C657" s="14" t="str">
        <f>IFERROR(__xludf.DUMMYFUNCTION("""COMPUTED_VALUE"""),"neuraladx.com")</f>
        <v>neuraladx.com</v>
      </c>
      <c r="D657" s="15" t="str">
        <f>IFERROR(__xludf.DUMMYFUNCTION("""COMPUTED_VALUE"""),"COMPARISON")</f>
        <v>COMPARISON</v>
      </c>
      <c r="E657" s="15" t="str">
        <f>IFERROR(__xludf.DUMMYFUNCTION("""COMPUTED_VALUE"""),"UGC")</f>
        <v>UGC</v>
      </c>
      <c r="F657" s="15" t="str">
        <f>IFERROR(__xludf.DUMMYFUNCTION("""COMPUTED_VALUE"""),"Comparison")</f>
        <v>Comparison</v>
      </c>
      <c r="G657" s="15" t="b">
        <f>IFERROR(__xludf.DUMMYFUNCTION("""COMPUTED_VALUE"""),FALSE)</f>
        <v>0</v>
      </c>
      <c r="H657" s="15" t="str">
        <f>IFERROR(__xludf.DUMMYFUNCTION("""COMPUTED_VALUE"""),"Varn, Impression, Exposure Ninja, Click Intelligence, Measured")</f>
        <v>Varn, Impression, Exposure Ninja, Click Intelligence, Measured</v>
      </c>
      <c r="I657" s="15">
        <f>IFERROR(__xludf.DUMMYFUNCTION("""COMPUTED_VALUE"""),1.0)</f>
        <v>1</v>
      </c>
      <c r="J657" s="15">
        <f>IFERROR(__xludf.DUMMYFUNCTION("""COMPUTED_VALUE"""),0.0)</f>
        <v>0</v>
      </c>
      <c r="K657" s="15">
        <f>IFERROR(__xludf.DUMMYFUNCTION("""COMPUTED_VALUE"""),0.0)</f>
        <v>0</v>
      </c>
      <c r="L657" s="15"/>
    </row>
    <row r="658" ht="15.75" customHeight="1">
      <c r="A658" s="14" t="str">
        <f>IFERROR(__xludf.DUMMYFUNCTION("""COMPUTED_VALUE"""),"https://www.nikaconsulting.co.nz/advertising-agencies-auckland/")</f>
        <v>https://www.nikaconsulting.co.nz/advertising-agencies-auckland/</v>
      </c>
      <c r="B658" s="15" t="str">
        <f>IFERROR(__xludf.DUMMYFUNCTION("""COMPUTED_VALUE"""),"7 Best Advertising Agencies Auckland Offers in 2025 » Award-Winning Creative Digital Marketing Agency NZ")</f>
        <v>7 Best Advertising Agencies Auckland Offers in 2025 » Award-Winning Creative Digital Marketing Agency NZ</v>
      </c>
      <c r="C658" s="14" t="str">
        <f>IFERROR(__xludf.DUMMYFUNCTION("""COMPUTED_VALUE"""),"nikaconsulting.co.nz")</f>
        <v>nikaconsulting.co.nz</v>
      </c>
      <c r="D658" s="15" t="str">
        <f>IFERROR(__xludf.DUMMYFUNCTION("""COMPUTED_VALUE"""),"LISTICLE")</f>
        <v>LISTICLE</v>
      </c>
      <c r="E658" s="15" t="str">
        <f>IFERROR(__xludf.DUMMYFUNCTION("""COMPUTED_VALUE"""),"CORPORATE")</f>
        <v>CORPORATE</v>
      </c>
      <c r="F658" s="15" t="str">
        <f>IFERROR(__xludf.DUMMYFUNCTION("""COMPUTED_VALUE"""),"Listicle")</f>
        <v>Listicle</v>
      </c>
      <c r="G658" s="15" t="b">
        <f>IFERROR(__xludf.DUMMYFUNCTION("""COMPUTED_VALUE"""),FALSE)</f>
        <v>0</v>
      </c>
      <c r="H658" s="15" t="str">
        <f>IFERROR(__xludf.DUMMYFUNCTION("""COMPUTED_VALUE"""),"Found")</f>
        <v>Found</v>
      </c>
      <c r="I658" s="15">
        <f>IFERROR(__xludf.DUMMYFUNCTION("""COMPUTED_VALUE"""),1.0)</f>
        <v>1</v>
      </c>
      <c r="J658" s="15">
        <f>IFERROR(__xludf.DUMMYFUNCTION("""COMPUTED_VALUE"""),0.0)</f>
        <v>0</v>
      </c>
      <c r="K658" s="15">
        <f>IFERROR(__xludf.DUMMYFUNCTION("""COMPUTED_VALUE"""),1.0)</f>
        <v>1</v>
      </c>
      <c r="L658" s="15"/>
    </row>
    <row r="659" ht="15.75" customHeight="1">
      <c r="A659" s="14" t="str">
        <f>IFERROR(__xludf.DUMMYFUNCTION("""COMPUTED_VALUE"""),"https://ninjapromo.io/best-ai-marketing-agencies")</f>
        <v>https://ninjapromo.io/best-ai-marketing-agencies</v>
      </c>
      <c r="B659" s="15" t="str">
        <f>IFERROR(__xludf.DUMMYFUNCTION("""COMPUTED_VALUE"""),"Top 8 AI Marketing Agencies for AI-Driven Digital Campaigns in 2026")</f>
        <v>Top 8 AI Marketing Agencies for AI-Driven Digital Campaigns in 2026</v>
      </c>
      <c r="C659" s="14" t="str">
        <f>IFERROR(__xludf.DUMMYFUNCTION("""COMPUTED_VALUE"""),"ninjapromo.io")</f>
        <v>ninjapromo.io</v>
      </c>
      <c r="D659" s="15" t="str">
        <f>IFERROR(__xludf.DUMMYFUNCTION("""COMPUTED_VALUE"""),"LISTICLE")</f>
        <v>LISTICLE</v>
      </c>
      <c r="E659" s="15" t="str">
        <f>IFERROR(__xludf.DUMMYFUNCTION("""COMPUTED_VALUE"""),"COMPETITOR")</f>
        <v>COMPETITOR</v>
      </c>
      <c r="F659" s="15" t="str">
        <f>IFERROR(__xludf.DUMMYFUNCTION("""COMPUTED_VALUE"""),"Listicle")</f>
        <v>Listicle</v>
      </c>
      <c r="G659" s="15" t="b">
        <f>IFERROR(__xludf.DUMMYFUNCTION("""COMPUTED_VALUE"""),FALSE)</f>
        <v>0</v>
      </c>
      <c r="H659" s="15" t="str">
        <f>IFERROR(__xludf.DUMMYFUNCTION("""COMPUTED_VALUE"""),"Ninja Promo")</f>
        <v>Ninja Promo</v>
      </c>
      <c r="I659" s="15">
        <f>IFERROR(__xludf.DUMMYFUNCTION("""COMPUTED_VALUE"""),1.0)</f>
        <v>1</v>
      </c>
      <c r="J659" s="15">
        <f>IFERROR(__xludf.DUMMYFUNCTION("""COMPUTED_VALUE"""),0.0)</f>
        <v>0</v>
      </c>
      <c r="K659" s="15">
        <f>IFERROR(__xludf.DUMMYFUNCTION("""COMPUTED_VALUE"""),0.0)</f>
        <v>0</v>
      </c>
      <c r="L659" s="15"/>
    </row>
    <row r="660" ht="15.75" customHeight="1">
      <c r="A660" s="14" t="str">
        <f>IFERROR(__xludf.DUMMYFUNCTION("""COMPUTED_VALUE"""),"https://www.niracore.com/top-ai-consulting-companies-in-the-uk/")</f>
        <v>https://www.niracore.com/top-ai-consulting-companies-in-the-uk/</v>
      </c>
      <c r="B660" s="15" t="str">
        <f>IFERROR(__xludf.DUMMYFUNCTION("""COMPUTED_VALUE"""),"AI Consulting Companies in the UK | Top Firms")</f>
        <v>AI Consulting Companies in the UK | Top Firms</v>
      </c>
      <c r="C660" s="14" t="str">
        <f>IFERROR(__xludf.DUMMYFUNCTION("""COMPUTED_VALUE"""),"niracore.com")</f>
        <v>niracore.com</v>
      </c>
      <c r="D660" s="15" t="str">
        <f>IFERROR(__xludf.DUMMYFUNCTION("""COMPUTED_VALUE"""),"LISTICLE")</f>
        <v>LISTICLE</v>
      </c>
      <c r="E660" s="15" t="str">
        <f>IFERROR(__xludf.DUMMYFUNCTION("""COMPUTED_VALUE"""),"CORPORATE")</f>
        <v>CORPORATE</v>
      </c>
      <c r="F660" s="15" t="str">
        <f>IFERROR(__xludf.DUMMYFUNCTION("""COMPUTED_VALUE"""),"Listicle")</f>
        <v>Listicle</v>
      </c>
      <c r="G660" s="15" t="b">
        <f>IFERROR(__xludf.DUMMYFUNCTION("""COMPUTED_VALUE"""),FALSE)</f>
        <v>0</v>
      </c>
      <c r="H660" s="15"/>
      <c r="I660" s="15">
        <f>IFERROR(__xludf.DUMMYFUNCTION("""COMPUTED_VALUE"""),1.0)</f>
        <v>1</v>
      </c>
      <c r="J660" s="15">
        <f>IFERROR(__xludf.DUMMYFUNCTION("""COMPUTED_VALUE"""),0.0)</f>
        <v>0</v>
      </c>
      <c r="K660" s="15">
        <f>IFERROR(__xludf.DUMMYFUNCTION("""COMPUTED_VALUE"""),0.0)</f>
        <v>0</v>
      </c>
      <c r="L660" s="15"/>
    </row>
    <row r="661" ht="15.75" customHeight="1">
      <c r="A661" s="14" t="str">
        <f>IFERROR(__xludf.DUMMYFUNCTION("""COMPUTED_VALUE"""),"https://noirandblanco.com/best-digital-marketing-agencies-in-the-uk/")</f>
        <v>https://noirandblanco.com/best-digital-marketing-agencies-in-the-uk/</v>
      </c>
      <c r="B661" s="15" t="str">
        <f>IFERROR(__xludf.DUMMYFUNCTION("""COMPUTED_VALUE"""),"11 Best Digital Marketing Agencies in the UK for D2C &amp;amp; Small Businesses (2026)")</f>
        <v>11 Best Digital Marketing Agencies in the UK for D2C &amp;amp; Small Businesses (2026)</v>
      </c>
      <c r="C661" s="14" t="str">
        <f>IFERROR(__xludf.DUMMYFUNCTION("""COMPUTED_VALUE"""),"noirandblanco.com")</f>
        <v>noirandblanco.com</v>
      </c>
      <c r="D661" s="15" t="str">
        <f>IFERROR(__xludf.DUMMYFUNCTION("""COMPUTED_VALUE"""),"LISTICLE")</f>
        <v>LISTICLE</v>
      </c>
      <c r="E661" s="15" t="str">
        <f>IFERROR(__xludf.DUMMYFUNCTION("""COMPUTED_VALUE"""),"CORPORATE")</f>
        <v>CORPORATE</v>
      </c>
      <c r="F661" s="15" t="str">
        <f>IFERROR(__xludf.DUMMYFUNCTION("""COMPUTED_VALUE"""),"Listicle")</f>
        <v>Listicle</v>
      </c>
      <c r="G661" s="15" t="b">
        <f>IFERROR(__xludf.DUMMYFUNCTION("""COMPUTED_VALUE"""),FALSE)</f>
        <v>0</v>
      </c>
      <c r="H661" s="15" t="str">
        <f>IFERROR(__xludf.DUMMYFUNCTION("""COMPUTED_VALUE"""),"The Social Shepherd, Gripped, Found, The Good Marketer")</f>
        <v>The Social Shepherd, Gripped, Found, The Good Marketer</v>
      </c>
      <c r="I661" s="15">
        <f>IFERROR(__xludf.DUMMYFUNCTION("""COMPUTED_VALUE"""),1.0)</f>
        <v>1</v>
      </c>
      <c r="J661" s="15">
        <f>IFERROR(__xludf.DUMMYFUNCTION("""COMPUTED_VALUE"""),0.0)</f>
        <v>0</v>
      </c>
      <c r="K661" s="15">
        <f>IFERROR(__xludf.DUMMYFUNCTION("""COMPUTED_VALUE"""),0.0)</f>
        <v>0</v>
      </c>
      <c r="L661" s="15"/>
    </row>
    <row r="662" ht="15.75" customHeight="1">
      <c r="A662" s="14" t="str">
        <f>IFERROR(__xludf.DUMMYFUNCTION("""COMPUTED_VALUE"""),"https://oakpool.xyz/drift/top-10-geo-aeo-ai-search-agencies/")</f>
        <v>https://oakpool.xyz/drift/top-10-geo-aeo-ai-search-agencies/</v>
      </c>
      <c r="B662" s="15" t="str">
        <f>IFERROR(__xludf.DUMMYFUNCTION("""COMPUTED_VALUE"""),"Top 10 GEO Agencies for AI Search in 2026")</f>
        <v>Top 10 GEO Agencies for AI Search in 2026</v>
      </c>
      <c r="C662" s="14" t="str">
        <f>IFERROR(__xludf.DUMMYFUNCTION("""COMPUTED_VALUE"""),"oakpool.xyz")</f>
        <v>oakpool.xyz</v>
      </c>
      <c r="D662" s="15" t="str">
        <f>IFERROR(__xludf.DUMMYFUNCTION("""COMPUTED_VALUE"""),"LISTICLE")</f>
        <v>LISTICLE</v>
      </c>
      <c r="E662" s="15" t="str">
        <f>IFERROR(__xludf.DUMMYFUNCTION("""COMPUTED_VALUE"""),"CORPORATE")</f>
        <v>CORPORATE</v>
      </c>
      <c r="F662" s="15" t="str">
        <f>IFERROR(__xludf.DUMMYFUNCTION("""COMPUTED_VALUE"""),"Listicle")</f>
        <v>Listicle</v>
      </c>
      <c r="G662" s="15" t="b">
        <f>IFERROR(__xludf.DUMMYFUNCTION("""COMPUTED_VALUE"""),FALSE)</f>
        <v>0</v>
      </c>
      <c r="H662" s="15" t="str">
        <f>IFERROR(__xludf.DUMMYFUNCTION("""COMPUTED_VALUE"""),"NoGood, Impression")</f>
        <v>NoGood, Impression</v>
      </c>
      <c r="I662" s="15">
        <f>IFERROR(__xludf.DUMMYFUNCTION("""COMPUTED_VALUE"""),1.0)</f>
        <v>1</v>
      </c>
      <c r="J662" s="15">
        <f>IFERROR(__xludf.DUMMYFUNCTION("""COMPUTED_VALUE"""),0.0)</f>
        <v>0</v>
      </c>
      <c r="K662" s="15">
        <f>IFERROR(__xludf.DUMMYFUNCTION("""COMPUTED_VALUE"""),0.0)</f>
        <v>0</v>
      </c>
      <c r="L662" s="15"/>
    </row>
    <row r="663" ht="15.75" customHeight="1">
      <c r="A663" s="14" t="str">
        <f>IFERROR(__xludf.DUMMYFUNCTION("""COMPUTED_VALUE"""),"https://www.ofspace.co/blog/digital-product-design-agency-london")</f>
        <v>https://www.ofspace.co/blog/digital-product-design-agency-london</v>
      </c>
      <c r="B663" s="15" t="str">
        <f>IFERROR(__xludf.DUMMYFUNCTION("""COMPUTED_VALUE"""),"Top 9 Best Digital Product Design Agencies in London (2026 Rankings &amp;amp; Reviews)")</f>
        <v>Top 9 Best Digital Product Design Agencies in London (2026 Rankings &amp;amp; Reviews)</v>
      </c>
      <c r="C663" s="14" t="str">
        <f>IFERROR(__xludf.DUMMYFUNCTION("""COMPUTED_VALUE"""),"ofspace.co")</f>
        <v>ofspace.co</v>
      </c>
      <c r="D663" s="15" t="str">
        <f>IFERROR(__xludf.DUMMYFUNCTION("""COMPUTED_VALUE"""),"LISTICLE")</f>
        <v>LISTICLE</v>
      </c>
      <c r="E663" s="15" t="str">
        <f>IFERROR(__xludf.DUMMYFUNCTION("""COMPUTED_VALUE"""),"CORPORATE")</f>
        <v>CORPORATE</v>
      </c>
      <c r="F663" s="15" t="str">
        <f>IFERROR(__xludf.DUMMYFUNCTION("""COMPUTED_VALUE"""),"Listicle")</f>
        <v>Listicle</v>
      </c>
      <c r="G663" s="15" t="b">
        <f>IFERROR(__xludf.DUMMYFUNCTION("""COMPUTED_VALUE"""),FALSE)</f>
        <v>0</v>
      </c>
      <c r="H663" s="15" t="str">
        <f>IFERROR(__xludf.DUMMYFUNCTION("""COMPUTED_VALUE"""),"Momentum, Push, Found")</f>
        <v>Momentum, Push, Found</v>
      </c>
      <c r="I663" s="15">
        <f>IFERROR(__xludf.DUMMYFUNCTION("""COMPUTED_VALUE"""),1.0)</f>
        <v>1</v>
      </c>
      <c r="J663" s="15">
        <f>IFERROR(__xludf.DUMMYFUNCTION("""COMPUTED_VALUE"""),0.0)</f>
        <v>0</v>
      </c>
      <c r="K663" s="15">
        <f>IFERROR(__xludf.DUMMYFUNCTION("""COMPUTED_VALUE"""),0.0)</f>
        <v>0</v>
      </c>
      <c r="L663" s="15"/>
    </row>
    <row r="664" ht="15.75" customHeight="1">
      <c r="A664" s="14" t="str">
        <f>IFERROR(__xludf.DUMMYFUNCTION("""COMPUTED_VALUE"""),"https://www.onely.com/blog/best-digital-marketing-agencies/")</f>
        <v>https://www.onely.com/blog/best-digital-marketing-agencies/</v>
      </c>
      <c r="B664" s="15"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664" s="14" t="str">
        <f>IFERROR(__xludf.DUMMYFUNCTION("""COMPUTED_VALUE"""),"onely.com")</f>
        <v>onely.com</v>
      </c>
      <c r="D664" s="15" t="str">
        <f>IFERROR(__xludf.DUMMYFUNCTION("""COMPUTED_VALUE"""),"LISTICLE")</f>
        <v>LISTICLE</v>
      </c>
      <c r="E664" s="15" t="str">
        <f>IFERROR(__xludf.DUMMYFUNCTION("""COMPUTED_VALUE"""),"CORPORATE")</f>
        <v>CORPORATE</v>
      </c>
      <c r="F664" s="15" t="str">
        <f>IFERROR(__xludf.DUMMYFUNCTION("""COMPUTED_VALUE"""),"Listicle")</f>
        <v>Listicle</v>
      </c>
      <c r="G664" s="15" t="b">
        <f>IFERROR(__xludf.DUMMYFUNCTION("""COMPUTED_VALUE"""),FALSE)</f>
        <v>0</v>
      </c>
      <c r="H664" s="15" t="str">
        <f>IFERROR(__xludf.DUMMYFUNCTION("""COMPUTED_VALUE"""),"Directive Consulting, Siege Media, Power Digital, Disruptive Advertising, Single Grain, NP Digital, WebFX, Ignite Visibility, Ninja Promo, Found")</f>
        <v>Directive Consulting, Siege Media, Power Digital, Disruptive Advertising, Single Grain, NP Digital, WebFX, Ignite Visibility, Ninja Promo, Found</v>
      </c>
      <c r="I664" s="15">
        <f>IFERROR(__xludf.DUMMYFUNCTION("""COMPUTED_VALUE"""),1.0)</f>
        <v>1</v>
      </c>
      <c r="J664" s="15">
        <f>IFERROR(__xludf.DUMMYFUNCTION("""COMPUTED_VALUE"""),0.0)</f>
        <v>0</v>
      </c>
      <c r="K664" s="15">
        <f>IFERROR(__xludf.DUMMYFUNCTION("""COMPUTED_VALUE"""),0.0)</f>
        <v>0</v>
      </c>
      <c r="L664" s="15"/>
    </row>
    <row r="665" ht="15.75" customHeight="1">
      <c r="A665" s="14" t="str">
        <f>IFERROR(__xludf.DUMMYFUNCTION("""COMPUTED_VALUE"""),"https://onlineoptimism.com/learn/top-b2b-social-media-agencies-in-the-world/")</f>
        <v>https://onlineoptimism.com/learn/top-b2b-social-media-agencies-in-the-world/</v>
      </c>
      <c r="B665" s="15" t="str">
        <f>IFERROR(__xludf.DUMMYFUNCTION("""COMPUTED_VALUE"""),"Top B2B Social Media Agencies in the World | Online Optimism")</f>
        <v>Top B2B Social Media Agencies in the World | Online Optimism</v>
      </c>
      <c r="C665" s="14" t="str">
        <f>IFERROR(__xludf.DUMMYFUNCTION("""COMPUTED_VALUE"""),"onlineoptimism.com")</f>
        <v>onlineoptimism.com</v>
      </c>
      <c r="D665" s="15" t="str">
        <f>IFERROR(__xludf.DUMMYFUNCTION("""COMPUTED_VALUE"""),"LISTICLE")</f>
        <v>LISTICLE</v>
      </c>
      <c r="E665" s="15" t="str">
        <f>IFERROR(__xludf.DUMMYFUNCTION("""COMPUTED_VALUE"""),"CORPORATE")</f>
        <v>CORPORATE</v>
      </c>
      <c r="F665" s="15" t="str">
        <f>IFERROR(__xludf.DUMMYFUNCTION("""COMPUTED_VALUE"""),"Listicle")</f>
        <v>Listicle</v>
      </c>
      <c r="G665" s="15" t="b">
        <f>IFERROR(__xludf.DUMMYFUNCTION("""COMPUTED_VALUE"""),FALSE)</f>
        <v>0</v>
      </c>
      <c r="H665" s="15"/>
      <c r="I665" s="15">
        <f>IFERROR(__xludf.DUMMYFUNCTION("""COMPUTED_VALUE"""),1.0)</f>
        <v>1</v>
      </c>
      <c r="J665" s="15">
        <f>IFERROR(__xludf.DUMMYFUNCTION("""COMPUTED_VALUE"""),0.0)</f>
        <v>0</v>
      </c>
      <c r="K665" s="15">
        <f>IFERROR(__xludf.DUMMYFUNCTION("""COMPUTED_VALUE"""),0.0)</f>
        <v>0</v>
      </c>
      <c r="L665" s="15"/>
    </row>
    <row r="666" ht="15.75" customHeight="1">
      <c r="A666" s="14" t="str">
        <f>IFERROR(__xludf.DUMMYFUNCTION("""COMPUTED_VALUE"""),"https://oski.site/blog/sales-and-marketing-analytics-companies-europe/#:~:text=Brainlabs%20focuses%20on%20scientific%20marketing,rely%20on%20modeling%20and%20testing.")</f>
        <v>https://oski.site/blog/sales-and-marketing-analytics-companies-europe/#:~:text=Brainlabs%20focuses%20on%20scientific%20marketing,rely%20on%20modeling%20and%20testing.</v>
      </c>
      <c r="B666" s="15" t="str">
        <f>IFERROR(__xludf.DUMMYFUNCTION("""COMPUTED_VALUE"""),"Top Sales and Marketing Analytics Companies in Europe")</f>
        <v>Top Sales and Marketing Analytics Companies in Europe</v>
      </c>
      <c r="C666" s="15" t="str">
        <f>IFERROR(__xludf.DUMMYFUNCTION("""COMPUTED_VALUE"""),"oski.site")</f>
        <v>oski.site</v>
      </c>
      <c r="D666" s="15" t="str">
        <f>IFERROR(__xludf.DUMMYFUNCTION("""COMPUTED_VALUE"""),"LISTICLE")</f>
        <v>LISTICLE</v>
      </c>
      <c r="E666" s="15" t="str">
        <f>IFERROR(__xludf.DUMMYFUNCTION("""COMPUTED_VALUE"""),"OTHER")</f>
        <v>OTHER</v>
      </c>
      <c r="F666" s="15" t="str">
        <f>IFERROR(__xludf.DUMMYFUNCTION("""COMPUTED_VALUE"""),"Listicle")</f>
        <v>Listicle</v>
      </c>
      <c r="G666" s="15" t="b">
        <f>IFERROR(__xludf.DUMMYFUNCTION("""COMPUTED_VALUE"""),FALSE)</f>
        <v>0</v>
      </c>
      <c r="H666" s="15" t="str">
        <f>IFERROR(__xludf.DUMMYFUNCTION("""COMPUTED_VALUE"""),"Oski Solutions, Push, Dept, Brainlabs, Croud, Impression, Artefact")</f>
        <v>Oski Solutions, Push, Dept, Brainlabs, Croud, Impression, Artefact</v>
      </c>
      <c r="I666" s="15">
        <f>IFERROR(__xludf.DUMMYFUNCTION("""COMPUTED_VALUE"""),1.0)</f>
        <v>1</v>
      </c>
      <c r="J666" s="15">
        <f>IFERROR(__xludf.DUMMYFUNCTION("""COMPUTED_VALUE"""),0.0)</f>
        <v>0</v>
      </c>
      <c r="K666" s="15">
        <f>IFERROR(__xludf.DUMMYFUNCTION("""COMPUTED_VALUE"""),2.0)</f>
        <v>2</v>
      </c>
      <c r="L666" s="15"/>
    </row>
    <row r="667" ht="15.75" customHeight="1">
      <c r="A667" s="14" t="str">
        <f>IFERROR(__xludf.DUMMYFUNCTION("""COMPUTED_VALUE"""),"https://outreachz.com/blog/best-ai-marketing-agencies-2026/")</f>
        <v>https://outreachz.com/blog/best-ai-marketing-agencies-2026/</v>
      </c>
      <c r="B667" s="15" t="str">
        <f>IFERROR(__xludf.DUMMYFUNCTION("""COMPUTED_VALUE"""),"Best AI Marketing Agencies (2026): 10 Top Picks for Brands That Want Smarter Growth")</f>
        <v>Best AI Marketing Agencies (2026): 10 Top Picks for Brands That Want Smarter Growth</v>
      </c>
      <c r="C667" s="14" t="str">
        <f>IFERROR(__xludf.DUMMYFUNCTION("""COMPUTED_VALUE"""),"outreachz.com")</f>
        <v>outreachz.com</v>
      </c>
      <c r="D667" s="15" t="str">
        <f>IFERROR(__xludf.DUMMYFUNCTION("""COMPUTED_VALUE"""),"LISTICLE")</f>
        <v>LISTICLE</v>
      </c>
      <c r="E667" s="15" t="str">
        <f>IFERROR(__xludf.DUMMYFUNCTION("""COMPUTED_VALUE"""),"CORPORATE")</f>
        <v>CORPORATE</v>
      </c>
      <c r="F667" s="15" t="str">
        <f>IFERROR(__xludf.DUMMYFUNCTION("""COMPUTED_VALUE"""),"Listicle")</f>
        <v>Listicle</v>
      </c>
      <c r="G667" s="15" t="b">
        <f>IFERROR(__xludf.DUMMYFUNCTION("""COMPUTED_VALUE"""),FALSE)</f>
        <v>0</v>
      </c>
      <c r="H667" s="15" t="str">
        <f>IFERROR(__xludf.DUMMYFUNCTION("""COMPUTED_VALUE"""),"NoGood, Single Grain, Ninja Promo, NP Digital, Hawke Media, Huge, Found")</f>
        <v>NoGood, Single Grain, Ninja Promo, NP Digital, Hawke Media, Huge, Found</v>
      </c>
      <c r="I667" s="15">
        <f>IFERROR(__xludf.DUMMYFUNCTION("""COMPUTED_VALUE"""),1.0)</f>
        <v>1</v>
      </c>
      <c r="J667" s="15">
        <f>IFERROR(__xludf.DUMMYFUNCTION("""COMPUTED_VALUE"""),0.0)</f>
        <v>0</v>
      </c>
      <c r="K667" s="15">
        <f>IFERROR(__xludf.DUMMYFUNCTION("""COMPUTED_VALUE"""),1.0)</f>
        <v>1</v>
      </c>
      <c r="L667" s="15"/>
    </row>
    <row r="668" ht="15.75" customHeight="1">
      <c r="A668" s="14" t="str">
        <f>IFERROR(__xludf.DUMMYFUNCTION("""COMPUTED_VALUE"""),"https://www.panovistamarketing.com/blog/best-seo-company-uk")</f>
        <v>https://www.panovistamarketing.com/blog/best-seo-company-uk</v>
      </c>
      <c r="B668" s="15" t="str">
        <f>IFERROR(__xludf.DUMMYFUNCTION("""COMPUTED_VALUE"""),"Best Local SEO Company UK | Panovista")</f>
        <v>Best Local SEO Company UK | Panovista</v>
      </c>
      <c r="C668" s="14" t="str">
        <f>IFERROR(__xludf.DUMMYFUNCTION("""COMPUTED_VALUE"""),"panovistamarketing.com")</f>
        <v>panovistamarketing.com</v>
      </c>
      <c r="D668" s="15" t="str">
        <f>IFERROR(__xludf.DUMMYFUNCTION("""COMPUTED_VALUE"""),"PRODUCT_PAGE")</f>
        <v>PRODUCT_PAGE</v>
      </c>
      <c r="E668" s="15" t="str">
        <f>IFERROR(__xludf.DUMMYFUNCTION("""COMPUTED_VALUE"""),"CORPORATE")</f>
        <v>CORPORATE</v>
      </c>
      <c r="F668" s="15" t="str">
        <f>IFERROR(__xludf.DUMMYFUNCTION("""COMPUTED_VALUE"""),"Product Page")</f>
        <v>Product Page</v>
      </c>
      <c r="G668" s="15" t="b">
        <f>IFERROR(__xludf.DUMMYFUNCTION("""COMPUTED_VALUE"""),FALSE)</f>
        <v>0</v>
      </c>
      <c r="H668" s="15" t="str">
        <f>IFERROR(__xludf.DUMMYFUNCTION("""COMPUTED_VALUE"""),"Panovista Marketing, Whitehat, Measured, Huge, Found")</f>
        <v>Panovista Marketing, Whitehat, Measured, Huge, Found</v>
      </c>
      <c r="I668" s="15">
        <f>IFERROR(__xludf.DUMMYFUNCTION("""COMPUTED_VALUE"""),1.0)</f>
        <v>1</v>
      </c>
      <c r="J668" s="15">
        <f>IFERROR(__xludf.DUMMYFUNCTION("""COMPUTED_VALUE"""),0.0)</f>
        <v>0</v>
      </c>
      <c r="K668" s="15">
        <f>IFERROR(__xludf.DUMMYFUNCTION("""COMPUTED_VALUE"""),1.0)</f>
        <v>1</v>
      </c>
      <c r="L668" s="15"/>
    </row>
    <row r="669" ht="15.75" customHeight="1">
      <c r="A669" s="14" t="str">
        <f>IFERROR(__xludf.DUMMYFUNCTION("""COMPUTED_VALUE"""),"https://pearllemon.com/top-performance-marketing-agencies-uk-2/")</f>
        <v>https://pearllemon.com/top-performance-marketing-agencies-uk-2/</v>
      </c>
      <c r="B669" s="15" t="str">
        <f>IFERROR(__xludf.DUMMYFUNCTION("""COMPUTED_VALUE"""),"Best 13 Performance Marketing Agencies In The UK")</f>
        <v>Best 13 Performance Marketing Agencies In The UK</v>
      </c>
      <c r="C669" s="14" t="str">
        <f>IFERROR(__xludf.DUMMYFUNCTION("""COMPUTED_VALUE"""),"pearllemon.com")</f>
        <v>pearllemon.com</v>
      </c>
      <c r="D669" s="15" t="str">
        <f>IFERROR(__xludf.DUMMYFUNCTION("""COMPUTED_VALUE"""),"LISTICLE")</f>
        <v>LISTICLE</v>
      </c>
      <c r="E669" s="15" t="str">
        <f>IFERROR(__xludf.DUMMYFUNCTION("""COMPUTED_VALUE"""),"CORPORATE")</f>
        <v>CORPORATE</v>
      </c>
      <c r="F669" s="15" t="str">
        <f>IFERROR(__xludf.DUMMYFUNCTION("""COMPUTED_VALUE"""),"Listicle")</f>
        <v>Listicle</v>
      </c>
      <c r="G669" s="15" t="b">
        <f>IFERROR(__xludf.DUMMYFUNCTION("""COMPUTED_VALUE"""),FALSE)</f>
        <v>0</v>
      </c>
      <c r="H669" s="15" t="str">
        <f>IFERROR(__xludf.DUMMYFUNCTION("""COMPUTED_VALUE"""),"The Social Shepherd, Favoured, ROAST, Gravity Global, The SEO Works")</f>
        <v>The Social Shepherd, Favoured, ROAST, Gravity Global, The SEO Works</v>
      </c>
      <c r="I669" s="15">
        <f>IFERROR(__xludf.DUMMYFUNCTION("""COMPUTED_VALUE"""),1.0)</f>
        <v>1</v>
      </c>
      <c r="J669" s="15">
        <f>IFERROR(__xludf.DUMMYFUNCTION("""COMPUTED_VALUE"""),0.0)</f>
        <v>0</v>
      </c>
      <c r="K669" s="15">
        <f>IFERROR(__xludf.DUMMYFUNCTION("""COMPUTED_VALUE"""),1.0)</f>
        <v>1</v>
      </c>
      <c r="L669" s="15"/>
    </row>
    <row r="670" ht="15.75" customHeight="1">
      <c r="A670" s="14" t="str">
        <f>IFERROR(__xludf.DUMMYFUNCTION("""COMPUTED_VALUE"""),"https://www.phable.io/top-creative-agencies/in-east-london-masters-of-branding-content-creation-and-digital-innovation")</f>
        <v>https://www.phable.io/top-creative-agencies/in-east-london-masters-of-branding-content-creation-and-digital-innovation</v>
      </c>
      <c r="B670" s="15" t="str">
        <f>IFERROR(__xludf.DUMMYFUNCTION("""COMPUTED_VALUE"""),"Top Creative Agencies in East London | Leaders in Branding, Content Creation, and Digital Innovation — Branding And Content Marketing For Technology")</f>
        <v>Top Creative Agencies in East London | Leaders in Branding, Content Creation, and Digital Innovation — Branding And Content Marketing For Technology</v>
      </c>
      <c r="C670" s="14" t="str">
        <f>IFERROR(__xludf.DUMMYFUNCTION("""COMPUTED_VALUE"""),"phable.io")</f>
        <v>phable.io</v>
      </c>
      <c r="D670" s="15" t="str">
        <f>IFERROR(__xludf.DUMMYFUNCTION("""COMPUTED_VALUE"""),"LISTICLE")</f>
        <v>LISTICLE</v>
      </c>
      <c r="E670" s="15" t="str">
        <f>IFERROR(__xludf.DUMMYFUNCTION("""COMPUTED_VALUE"""),"CORPORATE")</f>
        <v>CORPORATE</v>
      </c>
      <c r="F670" s="15" t="str">
        <f>IFERROR(__xludf.DUMMYFUNCTION("""COMPUTED_VALUE"""),"Listicle")</f>
        <v>Listicle</v>
      </c>
      <c r="G670" s="15" t="b">
        <f>IFERROR(__xludf.DUMMYFUNCTION("""COMPUTED_VALUE"""),FALSE)</f>
        <v>0</v>
      </c>
      <c r="H670" s="15" t="str">
        <f>IFERROR(__xludf.DUMMYFUNCTION("""COMPUTED_VALUE"""),"Impression, Mother London, Push, Jellyfish")</f>
        <v>Impression, Mother London, Push, Jellyfish</v>
      </c>
      <c r="I670" s="15">
        <f>IFERROR(__xludf.DUMMYFUNCTION("""COMPUTED_VALUE"""),1.0)</f>
        <v>1</v>
      </c>
      <c r="J670" s="15">
        <f>IFERROR(__xludf.DUMMYFUNCTION("""COMPUTED_VALUE"""),0.0)</f>
        <v>0</v>
      </c>
      <c r="K670" s="15">
        <f>IFERROR(__xludf.DUMMYFUNCTION("""COMPUTED_VALUE"""),0.0)</f>
        <v>0</v>
      </c>
      <c r="L670" s="15"/>
    </row>
    <row r="671" ht="15.75" customHeight="1">
      <c r="A671" s="14" t="str">
        <f>IFERROR(__xludf.DUMMYFUNCTION("""COMPUTED_VALUE"""),"https://pinpoint-media.global/insights/top-10-full-service-marketing-agencies-in-london")</f>
        <v>https://pinpoint-media.global/insights/top-10-full-service-marketing-agencies-in-london</v>
      </c>
      <c r="B671" s="15" t="str">
        <f>IFERROR(__xludf.DUMMYFUNCTION("""COMPUTED_VALUE"""),"Top 10 Full-Service Marketing Agencies in London | PinPoint Media")</f>
        <v>Top 10 Full-Service Marketing Agencies in London | PinPoint Media</v>
      </c>
      <c r="C671" s="15" t="str">
        <f>IFERROR(__xludf.DUMMYFUNCTION("""COMPUTED_VALUE"""),"pinpoint-media.global")</f>
        <v>pinpoint-media.global</v>
      </c>
      <c r="D671" s="15" t="str">
        <f>IFERROR(__xludf.DUMMYFUNCTION("""COMPUTED_VALUE"""),"LISTICLE")</f>
        <v>LISTICLE</v>
      </c>
      <c r="E671" s="15" t="str">
        <f>IFERROR(__xludf.DUMMYFUNCTION("""COMPUTED_VALUE"""),"COMPETITOR")</f>
        <v>COMPETITOR</v>
      </c>
      <c r="F671" s="15" t="str">
        <f>IFERROR(__xludf.DUMMYFUNCTION("""COMPUTED_VALUE"""),"Listicle")</f>
        <v>Listicle</v>
      </c>
      <c r="G671" s="15" t="b">
        <f>IFERROR(__xludf.DUMMYFUNCTION("""COMPUTED_VALUE"""),FALSE)</f>
        <v>0</v>
      </c>
      <c r="H671" s="15" t="str">
        <f>IFERROR(__xludf.DUMMYFUNCTION("""COMPUTED_VALUE"""),"PinPoint Media, Dentsu, Brainlabs, Impression, Found, Tinuiti")</f>
        <v>PinPoint Media, Dentsu, Brainlabs, Impression, Found, Tinuiti</v>
      </c>
      <c r="I671" s="15">
        <f>IFERROR(__xludf.DUMMYFUNCTION("""COMPUTED_VALUE"""),1.0)</f>
        <v>1</v>
      </c>
      <c r="J671" s="15">
        <f>IFERROR(__xludf.DUMMYFUNCTION("""COMPUTED_VALUE"""),0.0)</f>
        <v>0</v>
      </c>
      <c r="K671" s="15">
        <f>IFERROR(__xludf.DUMMYFUNCTION("""COMPUTED_VALUE"""),1.0)</f>
        <v>1</v>
      </c>
      <c r="L671" s="15"/>
    </row>
    <row r="672" ht="15.75" customHeight="1">
      <c r="A672" s="14" t="str">
        <f>IFERROR(__xludf.DUMMYFUNCTION("""COMPUTED_VALUE"""),"https://pinpoint-media.global/insights/top-10-tailored-paid-media-agencies-in-london")</f>
        <v>https://pinpoint-media.global/insights/top-10-tailored-paid-media-agencies-in-london</v>
      </c>
      <c r="B672" s="15" t="str">
        <f>IFERROR(__xludf.DUMMYFUNCTION("""COMPUTED_VALUE"""),"Top 10 Tailored Paid Media Agencies in London | PinPoint Media")</f>
        <v>Top 10 Tailored Paid Media Agencies in London | PinPoint Media</v>
      </c>
      <c r="C672" s="15" t="str">
        <f>IFERROR(__xludf.DUMMYFUNCTION("""COMPUTED_VALUE"""),"pinpoint-media.global")</f>
        <v>pinpoint-media.global</v>
      </c>
      <c r="D672" s="15" t="str">
        <f>IFERROR(__xludf.DUMMYFUNCTION("""COMPUTED_VALUE"""),"LISTICLE")</f>
        <v>LISTICLE</v>
      </c>
      <c r="E672" s="15" t="str">
        <f>IFERROR(__xludf.DUMMYFUNCTION("""COMPUTED_VALUE"""),"COMPETITOR")</f>
        <v>COMPETITOR</v>
      </c>
      <c r="F672" s="15" t="str">
        <f>IFERROR(__xludf.DUMMYFUNCTION("""COMPUTED_VALUE"""),"Listicle")</f>
        <v>Listicle</v>
      </c>
      <c r="G672" s="15" t="b">
        <f>IFERROR(__xludf.DUMMYFUNCTION("""COMPUTED_VALUE"""),FALSE)</f>
        <v>0</v>
      </c>
      <c r="H672" s="15" t="str">
        <f>IFERROR(__xludf.DUMMYFUNCTION("""COMPUTED_VALUE"""),"PinPoint Media, Social Chain, Jellyfish")</f>
        <v>PinPoint Media, Social Chain, Jellyfish</v>
      </c>
      <c r="I672" s="15">
        <f>IFERROR(__xludf.DUMMYFUNCTION("""COMPUTED_VALUE"""),1.0)</f>
        <v>1</v>
      </c>
      <c r="J672" s="15">
        <f>IFERROR(__xludf.DUMMYFUNCTION("""COMPUTED_VALUE"""),0.0)</f>
        <v>0</v>
      </c>
      <c r="K672" s="15">
        <f>IFERROR(__xludf.DUMMYFUNCTION("""COMPUTED_VALUE"""),1.0)</f>
        <v>1</v>
      </c>
      <c r="L672" s="15"/>
    </row>
    <row r="673" ht="15.75" customHeight="1">
      <c r="A673" s="14" t="str">
        <f>IFERROR(__xludf.DUMMYFUNCTION("""COMPUTED_VALUE"""),"https://pinpoint-media.global/insights/top-5-paid-media-performance-agencies-for-health-wellness-brands")</f>
        <v>https://pinpoint-media.global/insights/top-5-paid-media-performance-agencies-for-health-wellness-brands</v>
      </c>
      <c r="B673" s="15" t="str">
        <f>IFERROR(__xludf.DUMMYFUNCTION("""COMPUTED_VALUE"""),"Top 5 Paid Media Performance Agencies for Health &amp;amp; Wellness Brands | PinPoint Media")</f>
        <v>Top 5 Paid Media Performance Agencies for Health &amp;amp; Wellness Brands | PinPoint Media</v>
      </c>
      <c r="C673" s="15" t="str">
        <f>IFERROR(__xludf.DUMMYFUNCTION("""COMPUTED_VALUE"""),"pinpoint-media.global")</f>
        <v>pinpoint-media.global</v>
      </c>
      <c r="D673" s="15" t="str">
        <f>IFERROR(__xludf.DUMMYFUNCTION("""COMPUTED_VALUE"""),"LISTICLE")</f>
        <v>LISTICLE</v>
      </c>
      <c r="E673" s="15" t="str">
        <f>IFERROR(__xludf.DUMMYFUNCTION("""COMPUTED_VALUE"""),"COMPETITOR")</f>
        <v>COMPETITOR</v>
      </c>
      <c r="F673" s="15" t="str">
        <f>IFERROR(__xludf.DUMMYFUNCTION("""COMPUTED_VALUE"""),"Listicle")</f>
        <v>Listicle</v>
      </c>
      <c r="G673" s="15" t="b">
        <f>IFERROR(__xludf.DUMMYFUNCTION("""COMPUTED_VALUE"""),FALSE)</f>
        <v>0</v>
      </c>
      <c r="H673" s="15" t="str">
        <f>IFERROR(__xludf.DUMMYFUNCTION("""COMPUTED_VALUE"""),"PinPoint Media, The Social Shepherd")</f>
        <v>PinPoint Media, The Social Shepherd</v>
      </c>
      <c r="I673" s="15">
        <f>IFERROR(__xludf.DUMMYFUNCTION("""COMPUTED_VALUE"""),1.0)</f>
        <v>1</v>
      </c>
      <c r="J673" s="15">
        <f>IFERROR(__xludf.DUMMYFUNCTION("""COMPUTED_VALUE"""),0.0)</f>
        <v>0</v>
      </c>
      <c r="K673" s="15">
        <f>IFERROR(__xludf.DUMMYFUNCTION("""COMPUTED_VALUE"""),1.0)</f>
        <v>1</v>
      </c>
      <c r="L673" s="15"/>
    </row>
    <row r="674" ht="15.75" customHeight="1">
      <c r="A674" s="14" t="str">
        <f>IFERROR(__xludf.DUMMYFUNCTION("""COMPUTED_VALUE"""),"https://pipeline.zoominfo.com/sales/intent-data-platform")</f>
        <v>https://pipeline.zoominfo.com/sales/intent-data-platform</v>
      </c>
      <c r="B674" s="15" t="str">
        <f>IFERROR(__xludf.DUMMYFUNCTION("""COMPUTED_VALUE"""),"Best Intent Data Platforms in 2026: Identify In-Market B2B Accounts Fast")</f>
        <v>Best Intent Data Platforms in 2026: Identify In-Market B2B Accounts Fast</v>
      </c>
      <c r="C674" s="14" t="str">
        <f>IFERROR(__xludf.DUMMYFUNCTION("""COMPUTED_VALUE"""),"zoominfo.com")</f>
        <v>zoominfo.com</v>
      </c>
      <c r="D674" s="15" t="str">
        <f>IFERROR(__xludf.DUMMYFUNCTION("""COMPUTED_VALUE"""),"LISTICLE")</f>
        <v>LISTICLE</v>
      </c>
      <c r="E674" s="15" t="str">
        <f>IFERROR(__xludf.DUMMYFUNCTION("""COMPUTED_VALUE"""),"CORPORATE")</f>
        <v>CORPORATE</v>
      </c>
      <c r="F674" s="15" t="str">
        <f>IFERROR(__xludf.DUMMYFUNCTION("""COMPUTED_VALUE"""),"Listicle")</f>
        <v>Listicle</v>
      </c>
      <c r="G674" s="15" t="b">
        <f>IFERROR(__xludf.DUMMYFUNCTION("""COMPUTED_VALUE"""),FALSE)</f>
        <v>0</v>
      </c>
      <c r="H674" s="15" t="str">
        <f>IFERROR(__xludf.DUMMYFUNCTION("""COMPUTED_VALUE"""),"Found, Push")</f>
        <v>Found, Push</v>
      </c>
      <c r="I674" s="15">
        <f>IFERROR(__xludf.DUMMYFUNCTION("""COMPUTED_VALUE"""),1.0)</f>
        <v>1</v>
      </c>
      <c r="J674" s="15">
        <f>IFERROR(__xludf.DUMMYFUNCTION("""COMPUTED_VALUE"""),0.0)</f>
        <v>0</v>
      </c>
      <c r="K674" s="15">
        <f>IFERROR(__xludf.DUMMYFUNCTION("""COMPUTED_VALUE"""),0.0)</f>
        <v>0</v>
      </c>
      <c r="L674" s="15"/>
    </row>
    <row r="675" ht="15.75" customHeight="1">
      <c r="A675" s="14" t="str">
        <f>IFERROR(__xludf.DUMMYFUNCTION("""COMPUTED_VALUE"""),"https://www.pitchkitchen.com/best-ai-sales-marketing-agencies")</f>
        <v>https://www.pitchkitchen.com/best-ai-sales-marketing-agencies</v>
      </c>
      <c r="B675" s="15" t="str">
        <f>IFERROR(__xludf.DUMMYFUNCTION("""COMPUTED_VALUE"""),"Best AI Sales and Marketing Agencies for B2B in 2026 | PitchKitchen")</f>
        <v>Best AI Sales and Marketing Agencies for B2B in 2026 | PitchKitchen</v>
      </c>
      <c r="C675" s="14" t="str">
        <f>IFERROR(__xludf.DUMMYFUNCTION("""COMPUTED_VALUE"""),"pitchkitchen.com")</f>
        <v>pitchkitchen.com</v>
      </c>
      <c r="D675" s="15" t="str">
        <f>IFERROR(__xludf.DUMMYFUNCTION("""COMPUTED_VALUE"""),"LISTICLE")</f>
        <v>LISTICLE</v>
      </c>
      <c r="E675" s="15" t="str">
        <f>IFERROR(__xludf.DUMMYFUNCTION("""COMPUTED_VALUE"""),"CORPORATE")</f>
        <v>CORPORATE</v>
      </c>
      <c r="F675" s="15" t="str">
        <f>IFERROR(__xludf.DUMMYFUNCTION("""COMPUTED_VALUE"""),"Listicle")</f>
        <v>Listicle</v>
      </c>
      <c r="G675" s="15" t="b">
        <f>IFERROR(__xludf.DUMMYFUNCTION("""COMPUTED_VALUE"""),FALSE)</f>
        <v>0</v>
      </c>
      <c r="H675" s="15" t="str">
        <f>IFERROR(__xludf.DUMMYFUNCTION("""COMPUTED_VALUE"""),"Directive Consulting")</f>
        <v>Directive Consulting</v>
      </c>
      <c r="I675" s="15">
        <f>IFERROR(__xludf.DUMMYFUNCTION("""COMPUTED_VALUE"""),1.0)</f>
        <v>1</v>
      </c>
      <c r="J675" s="15">
        <f>IFERROR(__xludf.DUMMYFUNCTION("""COMPUTED_VALUE"""),0.0)</f>
        <v>0</v>
      </c>
      <c r="K675" s="15">
        <f>IFERROR(__xludf.DUMMYFUNCTION("""COMPUTED_VALUE"""),0.0)</f>
        <v>0</v>
      </c>
      <c r="L675" s="15"/>
    </row>
    <row r="676" ht="15.75" customHeight="1">
      <c r="A676" s="14" t="str">
        <f>IFERROR(__xludf.DUMMYFUNCTION("""COMPUTED_VALUE"""),"https://www.polarisagency.com/marketing-insights/best-demand-gen-agencies-b2b-uk/")</f>
        <v>https://www.polarisagency.com/marketing-insights/best-demand-gen-agencies-b2b-uk/</v>
      </c>
      <c r="B676" s="15" t="str">
        <f>IFERROR(__xludf.DUMMYFUNCTION("""COMPUTED_VALUE"""),"The Top 8 Demand Generation Agencies for Businesses in the UK")</f>
        <v>The Top 8 Demand Generation Agencies for Businesses in the UK</v>
      </c>
      <c r="C676" s="14" t="str">
        <f>IFERROR(__xludf.DUMMYFUNCTION("""COMPUTED_VALUE"""),"polarisagency.com")</f>
        <v>polarisagency.com</v>
      </c>
      <c r="D676" s="15" t="str">
        <f>IFERROR(__xludf.DUMMYFUNCTION("""COMPUTED_VALUE"""),"PRODUCT_PAGE")</f>
        <v>PRODUCT_PAGE</v>
      </c>
      <c r="E676" s="15" t="str">
        <f>IFERROR(__xludf.DUMMYFUNCTION("""COMPUTED_VALUE"""),"COMPETITOR")</f>
        <v>COMPETITOR</v>
      </c>
      <c r="F676" s="15" t="str">
        <f>IFERROR(__xludf.DUMMYFUNCTION("""COMPUTED_VALUE"""),"Product Page")</f>
        <v>Product Page</v>
      </c>
      <c r="G676" s="15" t="b">
        <f>IFERROR(__xludf.DUMMYFUNCTION("""COMPUTED_VALUE"""),FALSE)</f>
        <v>0</v>
      </c>
      <c r="H676" s="15" t="str">
        <f>IFERROR(__xludf.DUMMYFUNCTION("""COMPUTED_VALUE"""),"Polaris, Gripped, Transmission, Impression, Measured, Directive Consulting, The SEO Works, Found, Push")</f>
        <v>Polaris, Gripped, Transmission, Impression, Measured, Directive Consulting, The SEO Works, Found, Push</v>
      </c>
      <c r="I676" s="15">
        <f>IFERROR(__xludf.DUMMYFUNCTION("""COMPUTED_VALUE"""),1.0)</f>
        <v>1</v>
      </c>
      <c r="J676" s="15">
        <f>IFERROR(__xludf.DUMMYFUNCTION("""COMPUTED_VALUE"""),0.0)</f>
        <v>0</v>
      </c>
      <c r="K676" s="15">
        <f>IFERROR(__xludf.DUMMYFUNCTION("""COMPUTED_VALUE"""),2.0)</f>
        <v>2</v>
      </c>
      <c r="L676" s="15"/>
    </row>
    <row r="677" ht="15.75" customHeight="1">
      <c r="A677" s="14" t="str">
        <f>IFERROR(__xludf.DUMMYFUNCTION("""COMPUTED_VALUE"""),"https://www.polarisagency.com/us/marketing-insights/top-branding-agencies-in-london-2024/")</f>
        <v>https://www.polarisagency.com/us/marketing-insights/top-branding-agencies-in-london-2024/</v>
      </c>
      <c r="B677" s="15" t="str">
        <f>IFERROR(__xludf.DUMMYFUNCTION("""COMPUTED_VALUE"""),"Top Branding Agencies in London 2024 - POLARIS")</f>
        <v>Top Branding Agencies in London 2024 - POLARIS</v>
      </c>
      <c r="C677" s="14" t="str">
        <f>IFERROR(__xludf.DUMMYFUNCTION("""COMPUTED_VALUE"""),"polarisagency.com")</f>
        <v>polarisagency.com</v>
      </c>
      <c r="D677" s="15" t="str">
        <f>IFERROR(__xludf.DUMMYFUNCTION("""COMPUTED_VALUE"""),"LISTICLE")</f>
        <v>LISTICLE</v>
      </c>
      <c r="E677" s="15" t="str">
        <f>IFERROR(__xludf.DUMMYFUNCTION("""COMPUTED_VALUE"""),"COMPETITOR")</f>
        <v>COMPETITOR</v>
      </c>
      <c r="F677" s="15" t="str">
        <f>IFERROR(__xludf.DUMMYFUNCTION("""COMPUTED_VALUE"""),"Listicle")</f>
        <v>Listicle</v>
      </c>
      <c r="G677" s="15" t="b">
        <f>IFERROR(__xludf.DUMMYFUNCTION("""COMPUTED_VALUE"""),FALSE)</f>
        <v>0</v>
      </c>
      <c r="H677" s="15" t="str">
        <f>IFERROR(__xludf.DUMMYFUNCTION("""COMPUTED_VALUE"""),"Polaris, Impression, Push")</f>
        <v>Polaris, Impression, Push</v>
      </c>
      <c r="I677" s="15">
        <f>IFERROR(__xludf.DUMMYFUNCTION("""COMPUTED_VALUE"""),1.0)</f>
        <v>1</v>
      </c>
      <c r="J677" s="15">
        <f>IFERROR(__xludf.DUMMYFUNCTION("""COMPUTED_VALUE"""),0.0)</f>
        <v>0</v>
      </c>
      <c r="K677" s="15">
        <f>IFERROR(__xludf.DUMMYFUNCTION("""COMPUTED_VALUE"""),0.0)</f>
        <v>0</v>
      </c>
      <c r="L677" s="15"/>
    </row>
    <row r="678" ht="15.75" customHeight="1">
      <c r="A678" s="14" t="str">
        <f>IFERROR(__xludf.DUMMYFUNCTION("""COMPUTED_VALUE"""),"https://www.position.digital/blog/top-geo-agencies/")</f>
        <v>https://www.position.digital/blog/top-geo-agencies/</v>
      </c>
      <c r="B678" s="15" t="str">
        <f>IFERROR(__xludf.DUMMYFUNCTION("""COMPUTED_VALUE"""),"Top 13 Generative Engine Optimization (GEO) Agencies in 2026")</f>
        <v>Top 13 Generative Engine Optimization (GEO) Agencies in 2026</v>
      </c>
      <c r="C678" s="15" t="str">
        <f>IFERROR(__xludf.DUMMYFUNCTION("""COMPUTED_VALUE"""),"position.digital")</f>
        <v>position.digital</v>
      </c>
      <c r="D678" s="15" t="str">
        <f>IFERROR(__xludf.DUMMYFUNCTION("""COMPUTED_VALUE"""),"LISTICLE")</f>
        <v>LISTICLE</v>
      </c>
      <c r="E678" s="15" t="str">
        <f>IFERROR(__xludf.DUMMYFUNCTION("""COMPUTED_VALUE"""),"CORPORATE")</f>
        <v>CORPORATE</v>
      </c>
      <c r="F678" s="15" t="str">
        <f>IFERROR(__xludf.DUMMYFUNCTION("""COMPUTED_VALUE"""),"Listicle")</f>
        <v>Listicle</v>
      </c>
      <c r="G678" s="15" t="b">
        <f>IFERROR(__xludf.DUMMYFUNCTION("""COMPUTED_VALUE"""),FALSE)</f>
        <v>0</v>
      </c>
      <c r="H678" s="15" t="str">
        <f>IFERROR(__xludf.DUMMYFUNCTION("""COMPUTED_VALUE"""),"Huge, Ignite Visibility")</f>
        <v>Huge, Ignite Visibility</v>
      </c>
      <c r="I678" s="15">
        <f>IFERROR(__xludf.DUMMYFUNCTION("""COMPUTED_VALUE"""),1.0)</f>
        <v>1</v>
      </c>
      <c r="J678" s="15">
        <f>IFERROR(__xludf.DUMMYFUNCTION("""COMPUTED_VALUE"""),0.0)</f>
        <v>0</v>
      </c>
      <c r="K678" s="15">
        <f>IFERROR(__xludf.DUMMYFUNCTION("""COMPUTED_VALUE"""),0.0)</f>
        <v>0</v>
      </c>
      <c r="L678" s="15"/>
    </row>
    <row r="679" ht="15.75" customHeight="1">
      <c r="A679" s="14" t="str">
        <f>IFERROR(__xludf.DUMMYFUNCTION("""COMPUTED_VALUE"""),"https://ppcgeeks.co.uk/ecommerce-ppc/")</f>
        <v>https://ppcgeeks.co.uk/ecommerce-ppc/</v>
      </c>
      <c r="B679" s="15" t="str">
        <f>IFERROR(__xludf.DUMMYFUNCTION("""COMPUTED_VALUE"""),"eCommerce PPC: The Best in The Business - PPC Geeks")</f>
        <v>eCommerce PPC: The Best in The Business - PPC Geeks</v>
      </c>
      <c r="C679" s="14" t="str">
        <f>IFERROR(__xludf.DUMMYFUNCTION("""COMPUTED_VALUE"""),"ppcgeeks.co.uk")</f>
        <v>ppcgeeks.co.uk</v>
      </c>
      <c r="D679" s="15" t="str">
        <f>IFERROR(__xludf.DUMMYFUNCTION("""COMPUTED_VALUE"""),"PRODUCT_PAGE")</f>
        <v>PRODUCT_PAGE</v>
      </c>
      <c r="E679" s="15" t="str">
        <f>IFERROR(__xludf.DUMMYFUNCTION("""COMPUTED_VALUE"""),"COMPETITOR")</f>
        <v>COMPETITOR</v>
      </c>
      <c r="F679" s="15" t="str">
        <f>IFERROR(__xludf.DUMMYFUNCTION("""COMPUTED_VALUE"""),"Product Page")</f>
        <v>Product Page</v>
      </c>
      <c r="G679" s="15" t="b">
        <f>IFERROR(__xludf.DUMMYFUNCTION("""COMPUTED_VALUE"""),FALSE)</f>
        <v>0</v>
      </c>
      <c r="H679" s="15" t="str">
        <f>IFERROR(__xludf.DUMMYFUNCTION("""COMPUTED_VALUE"""),"PPC Geeks, Momentum")</f>
        <v>PPC Geeks, Momentum</v>
      </c>
      <c r="I679" s="15">
        <f>IFERROR(__xludf.DUMMYFUNCTION("""COMPUTED_VALUE"""),1.0)</f>
        <v>1</v>
      </c>
      <c r="J679" s="15">
        <f>IFERROR(__xludf.DUMMYFUNCTION("""COMPUTED_VALUE"""),0.0)</f>
        <v>0</v>
      </c>
      <c r="K679" s="15">
        <f>IFERROR(__xludf.DUMMYFUNCTION("""COMPUTED_VALUE"""),1.0)</f>
        <v>1</v>
      </c>
      <c r="L679" s="15"/>
    </row>
    <row r="680" ht="15.75" customHeight="1">
      <c r="A680" s="14" t="str">
        <f>IFERROR(__xludf.DUMMYFUNCTION("""COMPUTED_VALUE"""),"https://prescientai.com/blog/best-mmm-tools-for-e-commerce-brands")</f>
        <v>https://prescientai.com/blog/best-mmm-tools-for-e-commerce-brands</v>
      </c>
      <c r="B680" s="15" t="str">
        <f>IFERROR(__xludf.DUMMYFUNCTION("""COMPUTED_VALUE"""),"Best MMM Tools for E-Commerce Brands [2026 Guide]")</f>
        <v>Best MMM Tools for E-Commerce Brands [2026 Guide]</v>
      </c>
      <c r="C680" s="14" t="str">
        <f>IFERROR(__xludf.DUMMYFUNCTION("""COMPUTED_VALUE"""),"prescientai.com")</f>
        <v>prescientai.com</v>
      </c>
      <c r="D680" s="15" t="str">
        <f>IFERROR(__xludf.DUMMYFUNCTION("""COMPUTED_VALUE"""),"LISTICLE")</f>
        <v>LISTICLE</v>
      </c>
      <c r="E680" s="15" t="str">
        <f>IFERROR(__xludf.DUMMYFUNCTION("""COMPUTED_VALUE"""),"CORPORATE")</f>
        <v>CORPORATE</v>
      </c>
      <c r="F680" s="15" t="str">
        <f>IFERROR(__xludf.DUMMYFUNCTION("""COMPUTED_VALUE"""),"Listicle")</f>
        <v>Listicle</v>
      </c>
      <c r="G680" s="15" t="b">
        <f>IFERROR(__xludf.DUMMYFUNCTION("""COMPUTED_VALUE"""),FALSE)</f>
        <v>0</v>
      </c>
      <c r="H680" s="15" t="str">
        <f>IFERROR(__xludf.DUMMYFUNCTION("""COMPUTED_VALUE"""),"Recast, Northbeam, Measured, Sellforte, Found")</f>
        <v>Recast, Northbeam, Measured, Sellforte, Found</v>
      </c>
      <c r="I680" s="15">
        <f>IFERROR(__xludf.DUMMYFUNCTION("""COMPUTED_VALUE"""),1.0)</f>
        <v>1</v>
      </c>
      <c r="J680" s="15">
        <f>IFERROR(__xludf.DUMMYFUNCTION("""COMPUTED_VALUE"""),0.0)</f>
        <v>0</v>
      </c>
      <c r="K680" s="15">
        <f>IFERROR(__xludf.DUMMYFUNCTION("""COMPUTED_VALUE"""),0.0)</f>
        <v>0</v>
      </c>
      <c r="L680" s="15"/>
    </row>
    <row r="681" ht="15.75" customHeight="1">
      <c r="A681" s="14" t="str">
        <f>IFERROR(__xludf.DUMMYFUNCTION("""COMPUTED_VALUE"""),"https://www.promodo.com/blog/best-geo-agencies")</f>
        <v>https://www.promodo.com/blog/best-geo-agencies</v>
      </c>
      <c r="B681" s="15" t="str">
        <f>IFERROR(__xludf.DUMMYFUNCTION("""COMPUTED_VALUE"""),"Top GEO Agencies in 2026: Get Your Brand Cited by AI Search")</f>
        <v>Top GEO Agencies in 2026: Get Your Brand Cited by AI Search</v>
      </c>
      <c r="C681" s="14" t="str">
        <f>IFERROR(__xludf.DUMMYFUNCTION("""COMPUTED_VALUE"""),"promodo.com")</f>
        <v>promodo.com</v>
      </c>
      <c r="D681" s="15" t="str">
        <f>IFERROR(__xludf.DUMMYFUNCTION("""COMPUTED_VALUE"""),"LISTICLE")</f>
        <v>LISTICLE</v>
      </c>
      <c r="E681" s="15" t="str">
        <f>IFERROR(__xludf.DUMMYFUNCTION("""COMPUTED_VALUE"""),"CORPORATE")</f>
        <v>CORPORATE</v>
      </c>
      <c r="F681" s="15" t="str">
        <f>IFERROR(__xludf.DUMMYFUNCTION("""COMPUTED_VALUE"""),"Listicle")</f>
        <v>Listicle</v>
      </c>
      <c r="G681" s="15" t="b">
        <f>IFERROR(__xludf.DUMMYFUNCTION("""COMPUTED_VALUE"""),FALSE)</f>
        <v>0</v>
      </c>
      <c r="H681" s="15" t="str">
        <f>IFERROR(__xludf.DUMMYFUNCTION("""COMPUTED_VALUE"""),"Found, Directive Consulting, Siege Media, Impression, The SEO Works, Measured")</f>
        <v>Found, Directive Consulting, Siege Media, Impression, The SEO Works, Measured</v>
      </c>
      <c r="I681" s="15">
        <f>IFERROR(__xludf.DUMMYFUNCTION("""COMPUTED_VALUE"""),1.0)</f>
        <v>1</v>
      </c>
      <c r="J681" s="15">
        <f>IFERROR(__xludf.DUMMYFUNCTION("""COMPUTED_VALUE"""),0.0)</f>
        <v>0</v>
      </c>
      <c r="K681" s="15">
        <f>IFERROR(__xludf.DUMMYFUNCTION("""COMPUTED_VALUE"""),1.0)</f>
        <v>1</v>
      </c>
      <c r="L681" s="15"/>
    </row>
    <row r="682" ht="15.75" customHeight="1">
      <c r="A682" s="14" t="str">
        <f>IFERROR(__xludf.DUMMYFUNCTION("""COMPUTED_VALUE"""),"https://www.pushgroup.co.uk/blog/top-9-ai-marketing-agencies-in-the-uk?gad_campaignid=22483974645&amp;gad_source=1&amp;hsa_acc=9418696810&amp;hsa_cam=22483974645&amp;hsa_grp=185549061984&amp;hsa_kw=full%25252520service%25252520digital%25252520marketing%25252520agency&amp;hsa_mt="&amp;"b&amp;hsa_net=adwords&amp;hsa_src=g&amp;hsa_tgt=kwd-3181654106&amp;hsa_ver=3")</f>
        <v>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v>
      </c>
      <c r="B682" s="15" t="str">
        <f>IFERROR(__xludf.DUMMYFUNCTION("""COMPUTED_VALUE"""),"Top 9 AI Marketing Agencies in the UK (2026) | PUSH")</f>
        <v>Top 9 AI Marketing Agencies in the UK (2026) | PUSH</v>
      </c>
      <c r="C682" s="14" t="str">
        <f>IFERROR(__xludf.DUMMYFUNCTION("""COMPUTED_VALUE"""),"pushgroup.co.uk")</f>
        <v>pushgroup.co.uk</v>
      </c>
      <c r="D682" s="15" t="str">
        <f>IFERROR(__xludf.DUMMYFUNCTION("""COMPUTED_VALUE"""),"LISTICLE")</f>
        <v>LISTICLE</v>
      </c>
      <c r="E682" s="15" t="str">
        <f>IFERROR(__xludf.DUMMYFUNCTION("""COMPUTED_VALUE"""),"COMPETITOR")</f>
        <v>COMPETITOR</v>
      </c>
      <c r="F682" s="15" t="str">
        <f>IFERROR(__xludf.DUMMYFUNCTION("""COMPUTED_VALUE"""),"Listicle")</f>
        <v>Listicle</v>
      </c>
      <c r="G682" s="15" t="b">
        <f>IFERROR(__xludf.DUMMYFUNCTION("""COMPUTED_VALUE"""),FALSE)</f>
        <v>0</v>
      </c>
      <c r="H682"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682" s="15">
        <f>IFERROR(__xludf.DUMMYFUNCTION("""COMPUTED_VALUE"""),1.0)</f>
        <v>1</v>
      </c>
      <c r="J682" s="15">
        <f>IFERROR(__xludf.DUMMYFUNCTION("""COMPUTED_VALUE"""),0.0)</f>
        <v>0</v>
      </c>
      <c r="K682" s="15">
        <f>IFERROR(__xludf.DUMMYFUNCTION("""COMPUTED_VALUE"""),0.0)</f>
        <v>0</v>
      </c>
      <c r="L682" s="15"/>
    </row>
    <row r="683" ht="15.75" customHeight="1">
      <c r="A683" s="14" t="str">
        <f>IFERROR(__xludf.DUMMYFUNCTION("""COMPUTED_VALUE"""),"https://www.pushgroup.co.uk/blog/top-9-e-commerce-agencies-in-the-uk")</f>
        <v>https://www.pushgroup.co.uk/blog/top-9-e-commerce-agencies-in-the-uk</v>
      </c>
      <c r="B683" s="15" t="str">
        <f>IFERROR(__xludf.DUMMYFUNCTION("""COMPUTED_VALUE"""),"Top 9 Ecommerce Agencies in the UK (2026) | PUSH Group")</f>
        <v>Top 9 Ecommerce Agencies in the UK (2026) | PUSH Group</v>
      </c>
      <c r="C683" s="14" t="str">
        <f>IFERROR(__xludf.DUMMYFUNCTION("""COMPUTED_VALUE"""),"pushgroup.co.uk")</f>
        <v>pushgroup.co.uk</v>
      </c>
      <c r="D683" s="15" t="str">
        <f>IFERROR(__xludf.DUMMYFUNCTION("""COMPUTED_VALUE"""),"LISTICLE")</f>
        <v>LISTICLE</v>
      </c>
      <c r="E683" s="15" t="str">
        <f>IFERROR(__xludf.DUMMYFUNCTION("""COMPUTED_VALUE"""),"COMPETITOR")</f>
        <v>COMPETITOR</v>
      </c>
      <c r="F683" s="15" t="str">
        <f>IFERROR(__xludf.DUMMYFUNCTION("""COMPUTED_VALUE"""),"Listicle")</f>
        <v>Listicle</v>
      </c>
      <c r="G683" s="15" t="b">
        <f>IFERROR(__xludf.DUMMYFUNCTION("""COMPUTED_VALUE"""),FALSE)</f>
        <v>0</v>
      </c>
      <c r="H683" s="15" t="str">
        <f>IFERROR(__xludf.DUMMYFUNCTION("""COMPUTED_VALUE"""),"Push, Push Group, Found, Impression, Croud")</f>
        <v>Push, Push Group, Found, Impression, Croud</v>
      </c>
      <c r="I683" s="15">
        <f>IFERROR(__xludf.DUMMYFUNCTION("""COMPUTED_VALUE"""),1.0)</f>
        <v>1</v>
      </c>
      <c r="J683" s="15">
        <f>IFERROR(__xludf.DUMMYFUNCTION("""COMPUTED_VALUE"""),0.0)</f>
        <v>0</v>
      </c>
      <c r="K683" s="15">
        <f>IFERROR(__xludf.DUMMYFUNCTION("""COMPUTED_VALUE"""),1.0)</f>
        <v>1</v>
      </c>
      <c r="L683" s="15"/>
    </row>
    <row r="684" ht="15.75" customHeight="1">
      <c r="A684" s="14" t="str">
        <f>IFERROR(__xludf.DUMMYFUNCTION("""COMPUTED_VALUE"""),"https://raddinteractive.com/the-best-social-media-sites-for-marketing-and-most-popular/")</f>
        <v>https://raddinteractive.com/the-best-social-media-sites-for-marketing-and-most-popular/</v>
      </c>
      <c r="B684" s="15" t="str">
        <f>IFERROR(__xludf.DUMMYFUNCTION("""COMPUTED_VALUE"""),"The Best Social Media Sites for Marketing (and Most Popular)")</f>
        <v>The Best Social Media Sites for Marketing (and Most Popular)</v>
      </c>
      <c r="C684" s="14" t="str">
        <f>IFERROR(__xludf.DUMMYFUNCTION("""COMPUTED_VALUE"""),"raddinteractive.com")</f>
        <v>raddinteractive.com</v>
      </c>
      <c r="D684" s="15" t="str">
        <f>IFERROR(__xludf.DUMMYFUNCTION("""COMPUTED_VALUE"""),"LISTICLE")</f>
        <v>LISTICLE</v>
      </c>
      <c r="E684" s="15" t="str">
        <f>IFERROR(__xludf.DUMMYFUNCTION("""COMPUTED_VALUE"""),"CORPORATE")</f>
        <v>CORPORATE</v>
      </c>
      <c r="F684" s="15" t="str">
        <f>IFERROR(__xludf.DUMMYFUNCTION("""COMPUTED_VALUE"""),"Listicle")</f>
        <v>Listicle</v>
      </c>
      <c r="G684" s="15" t="b">
        <f>IFERROR(__xludf.DUMMYFUNCTION("""COMPUTED_VALUE"""),FALSE)</f>
        <v>0</v>
      </c>
      <c r="H684" s="15" t="str">
        <f>IFERROR(__xludf.DUMMYFUNCTION("""COMPUTED_VALUE"""),"Impression, Huge")</f>
        <v>Impression, Huge</v>
      </c>
      <c r="I684" s="15">
        <f>IFERROR(__xludf.DUMMYFUNCTION("""COMPUTED_VALUE"""),1.0)</f>
        <v>1</v>
      </c>
      <c r="J684" s="15">
        <f>IFERROR(__xludf.DUMMYFUNCTION("""COMPUTED_VALUE"""),0.0)</f>
        <v>0</v>
      </c>
      <c r="K684" s="15">
        <f>IFERROR(__xludf.DUMMYFUNCTION("""COMPUTED_VALUE"""),0.0)</f>
        <v>0</v>
      </c>
      <c r="L684" s="15"/>
    </row>
    <row r="685" ht="15.75" customHeight="1">
      <c r="A685" s="14" t="str">
        <f>IFERROR(__xludf.DUMMYFUNCTION("""COMPUTED_VALUE"""),"https://www.radyant.io/comparison/6-best-organic-growth-agencies-in-europe")</f>
        <v>https://www.radyant.io/comparison/6-best-organic-growth-agencies-in-europe</v>
      </c>
      <c r="B685" s="15" t="str">
        <f>IFERROR(__xludf.DUMMYFUNCTION("""COMPUTED_VALUE"""),"6 best organic growth agencies in Europe · Radyant")</f>
        <v>6 best organic growth agencies in Europe · Radyant</v>
      </c>
      <c r="C685" s="14" t="str">
        <f>IFERROR(__xludf.DUMMYFUNCTION("""COMPUTED_VALUE"""),"radyant.io")</f>
        <v>radyant.io</v>
      </c>
      <c r="D685" s="15" t="str">
        <f>IFERROR(__xludf.DUMMYFUNCTION("""COMPUTED_VALUE"""),"LISTICLE")</f>
        <v>LISTICLE</v>
      </c>
      <c r="E685" s="15" t="str">
        <f>IFERROR(__xludf.DUMMYFUNCTION("""COMPUTED_VALUE"""),"CORPORATE")</f>
        <v>CORPORATE</v>
      </c>
      <c r="F685" s="15" t="str">
        <f>IFERROR(__xludf.DUMMYFUNCTION("""COMPUTED_VALUE"""),"Listicle")</f>
        <v>Listicle</v>
      </c>
      <c r="G685" s="15" t="b">
        <f>IFERROR(__xludf.DUMMYFUNCTION("""COMPUTED_VALUE"""),FALSE)</f>
        <v>0</v>
      </c>
      <c r="H685" s="15" t="str">
        <f>IFERROR(__xludf.DUMMYFUNCTION("""COMPUTED_VALUE"""),"Found, Measured")</f>
        <v>Found, Measured</v>
      </c>
      <c r="I685" s="15">
        <f>IFERROR(__xludf.DUMMYFUNCTION("""COMPUTED_VALUE"""),1.0)</f>
        <v>1</v>
      </c>
      <c r="J685" s="15">
        <f>IFERROR(__xludf.DUMMYFUNCTION("""COMPUTED_VALUE"""),0.0)</f>
        <v>0</v>
      </c>
      <c r="K685" s="15">
        <f>IFERROR(__xludf.DUMMYFUNCTION("""COMPUTED_VALUE"""),1.0)</f>
        <v>1</v>
      </c>
      <c r="L685" s="15"/>
    </row>
    <row r="686" ht="15.75" customHeight="1">
      <c r="A686" s="14" t="str">
        <f>IFERROR(__xludf.DUMMYFUNCTION("""COMPUTED_VALUE"""),"https://www.rank4ai.co.uk/research/rankings/top-ai-search-agencies-uk/")</f>
        <v>https://www.rank4ai.co.uk/research/rankings/top-ai-search-agencies-uk/</v>
      </c>
      <c r="B686" s="15" t="str">
        <f>IFERROR(__xludf.DUMMYFUNCTION("""COMPUTED_VALUE"""),"Top AI Search Agencies UK 2026 | Rank4AI")</f>
        <v>Top AI Search Agencies UK 2026 | Rank4AI</v>
      </c>
      <c r="C686" s="14" t="str">
        <f>IFERROR(__xludf.DUMMYFUNCTION("""COMPUTED_VALUE"""),"rank4ai.co.uk")</f>
        <v>rank4ai.co.uk</v>
      </c>
      <c r="D686" s="15" t="str">
        <f>IFERROR(__xludf.DUMMYFUNCTION("""COMPUTED_VALUE"""),"LISTICLE")</f>
        <v>LISTICLE</v>
      </c>
      <c r="E686" s="15" t="str">
        <f>IFERROR(__xludf.DUMMYFUNCTION("""COMPUTED_VALUE"""),"COMPETITOR")</f>
        <v>COMPETITOR</v>
      </c>
      <c r="F686" s="15" t="str">
        <f>IFERROR(__xludf.DUMMYFUNCTION("""COMPUTED_VALUE"""),"Listicle")</f>
        <v>Listicle</v>
      </c>
      <c r="G686" s="15" t="b">
        <f>IFERROR(__xludf.DUMMYFUNCTION("""COMPUTED_VALUE"""),FALSE)</f>
        <v>0</v>
      </c>
      <c r="H686" s="15" t="str">
        <f>IFERROR(__xludf.DUMMYFUNCTION("""COMPUTED_VALUE"""),"Rank4AI, Varn, Found, Buried Agency")</f>
        <v>Rank4AI, Varn, Found, Buried Agency</v>
      </c>
      <c r="I686" s="15">
        <f>IFERROR(__xludf.DUMMYFUNCTION("""COMPUTED_VALUE"""),1.0)</f>
        <v>1</v>
      </c>
      <c r="J686" s="15">
        <f>IFERROR(__xludf.DUMMYFUNCTION("""COMPUTED_VALUE"""),0.0)</f>
        <v>0</v>
      </c>
      <c r="K686" s="15">
        <f>IFERROR(__xludf.DUMMYFUNCTION("""COMPUTED_VALUE"""),3.0)</f>
        <v>3</v>
      </c>
      <c r="L686" s="15"/>
    </row>
    <row r="687" ht="15.75" customHeight="1">
      <c r="A687" s="14" t="str">
        <f>IFERROR(__xludf.DUMMYFUNCTION("""COMPUTED_VALUE"""),"https://www.rebootonline.com/data-marketing/best-data-marketing-agencies/#:~:text=PMG%20Advertising%20Agency%20is%20a,%2C%20affiliate%20marketing%2C%20and%20SEO.")</f>
        <v>https://www.rebootonline.com/data-marketing/best-data-marketing-agencies/#:~:text=PMG%20Advertising%20Agency%20is%20a,%2C%20affiliate%20marketing%2C%20and%20SEO.</v>
      </c>
      <c r="B687" s="15" t="str">
        <f>IFERROR(__xludf.DUMMYFUNCTION("""COMPUTED_VALUE"""),"Best Data Marketing Agencies 2026 | Ultimate Top 10 List Ranked &amp;amp; Rated")</f>
        <v>Best Data Marketing Agencies 2026 | Ultimate Top 10 List Ranked &amp;amp; Rated</v>
      </c>
      <c r="C687" s="14" t="str">
        <f>IFERROR(__xludf.DUMMYFUNCTION("""COMPUTED_VALUE"""),"rebootonline.com")</f>
        <v>rebootonline.com</v>
      </c>
      <c r="D687" s="15" t="str">
        <f>IFERROR(__xludf.DUMMYFUNCTION("""COMPUTED_VALUE"""),"LISTICLE")</f>
        <v>LISTICLE</v>
      </c>
      <c r="E687" s="15" t="str">
        <f>IFERROR(__xludf.DUMMYFUNCTION("""COMPUTED_VALUE"""),"OTHER")</f>
        <v>OTHER</v>
      </c>
      <c r="F687" s="15" t="str">
        <f>IFERROR(__xludf.DUMMYFUNCTION("""COMPUTED_VALUE"""),"Listicle")</f>
        <v>Listicle</v>
      </c>
      <c r="G687" s="15" t="b">
        <f>IFERROR(__xludf.DUMMYFUNCTION("""COMPUTED_VALUE"""),FALSE)</f>
        <v>0</v>
      </c>
      <c r="H687" s="15" t="str">
        <f>IFERROR(__xludf.DUMMYFUNCTION("""COMPUTED_VALUE"""),"Brainlabs, Bind Media, Gravity Global, PMG, Journey Further, YouGov, Directive Consulting, Found")</f>
        <v>Brainlabs, Bind Media, Gravity Global, PMG, Journey Further, YouGov, Directive Consulting, Found</v>
      </c>
      <c r="I687" s="15">
        <f>IFERROR(__xludf.DUMMYFUNCTION("""COMPUTED_VALUE"""),1.0)</f>
        <v>1</v>
      </c>
      <c r="J687" s="15">
        <f>IFERROR(__xludf.DUMMYFUNCTION("""COMPUTED_VALUE"""),0.0)</f>
        <v>0</v>
      </c>
      <c r="K687" s="15">
        <f>IFERROR(__xludf.DUMMYFUNCTION("""COMPUTED_VALUE"""),2.0)</f>
        <v>2</v>
      </c>
      <c r="L687" s="15"/>
    </row>
    <row r="688" ht="15.75" customHeight="1">
      <c r="A688" s="14" t="str">
        <f>IFERROR(__xludf.DUMMYFUNCTION("""COMPUTED_VALUE"""),"https://www.reddit.com/r/Analyzify/comments/1d2js1n")</f>
        <v>https://www.reddit.com/r/Analyzify/comments/1d2js1n</v>
      </c>
      <c r="B688" s="15" t="str">
        <f>IFERROR(__xludf.DUMMYFUNCTION("""COMPUTED_VALUE"""),"The Best PPC Agencies in London 2024")</f>
        <v>The Best PPC Agencies in London 2024</v>
      </c>
      <c r="C688" s="14" t="str">
        <f>IFERROR(__xludf.DUMMYFUNCTION("""COMPUTED_VALUE"""),"reddit.com")</f>
        <v>reddit.com</v>
      </c>
      <c r="D688" s="15" t="str">
        <f>IFERROR(__xludf.DUMMYFUNCTION("""COMPUTED_VALUE"""),"DISCUSSION")</f>
        <v>DISCUSSION</v>
      </c>
      <c r="E688" s="15" t="str">
        <f>IFERROR(__xludf.DUMMYFUNCTION("""COMPUTED_VALUE"""),"UGC")</f>
        <v>UGC</v>
      </c>
      <c r="F688" s="15" t="str">
        <f>IFERROR(__xludf.DUMMYFUNCTION("""COMPUTED_VALUE"""),"Discussion")</f>
        <v>Discussion</v>
      </c>
      <c r="G688" s="15" t="b">
        <f>IFERROR(__xludf.DUMMYFUNCTION("""COMPUTED_VALUE"""),FALSE)</f>
        <v>0</v>
      </c>
      <c r="H688" s="15" t="str">
        <f>IFERROR(__xludf.DUMMYFUNCTION("""COMPUTED_VALUE"""),"Push, Push Group, The Brains, PPC Geeks")</f>
        <v>Push, Push Group, The Brains, PPC Geeks</v>
      </c>
      <c r="I688" s="15">
        <f>IFERROR(__xludf.DUMMYFUNCTION("""COMPUTED_VALUE"""),1.0)</f>
        <v>1</v>
      </c>
      <c r="J688" s="15">
        <f>IFERROR(__xludf.DUMMYFUNCTION("""COMPUTED_VALUE"""),0.0)</f>
        <v>0</v>
      </c>
      <c r="K688" s="15">
        <f>IFERROR(__xludf.DUMMYFUNCTION("""COMPUTED_VALUE"""),2.0)</f>
        <v>2</v>
      </c>
      <c r="L688" s="15"/>
    </row>
    <row r="689" ht="15.75" customHeight="1">
      <c r="A689" s="14" t="str">
        <f>IFERROR(__xludf.DUMMYFUNCTION("""COMPUTED_VALUE"""),"https://www.reddit.com/r/aeo/comments/1twcbr2/best_aeo_agency_guide_what_to_look_for_in_an/")</f>
        <v>https://www.reddit.com/r/aeo/comments/1twcbr2/best_aeo_agency_guide_what_to_look_for_in_an/</v>
      </c>
      <c r="B689" s="15" t="str">
        <f>IFERROR(__xludf.DUMMYFUNCTION("""COMPUTED_VALUE"""),"Best AEO Agency Guide What to Look for in an Answer Engine Partner?")</f>
        <v>Best AEO Agency Guide What to Look for in an Answer Engine Partner?</v>
      </c>
      <c r="C689" s="14" t="str">
        <f>IFERROR(__xludf.DUMMYFUNCTION("""COMPUTED_VALUE"""),"reddit.com")</f>
        <v>reddit.com</v>
      </c>
      <c r="D689" s="15" t="str">
        <f>IFERROR(__xludf.DUMMYFUNCTION("""COMPUTED_VALUE"""),"DISCUSSION")</f>
        <v>DISCUSSION</v>
      </c>
      <c r="E689" s="15" t="str">
        <f>IFERROR(__xludf.DUMMYFUNCTION("""COMPUTED_VALUE"""),"UGC")</f>
        <v>UGC</v>
      </c>
      <c r="F689" s="15" t="str">
        <f>IFERROR(__xludf.DUMMYFUNCTION("""COMPUTED_VALUE"""),"Discussion")</f>
        <v>Discussion</v>
      </c>
      <c r="G689" s="15" t="b">
        <f>IFERROR(__xludf.DUMMYFUNCTION("""COMPUTED_VALUE"""),FALSE)</f>
        <v>0</v>
      </c>
      <c r="H689" s="15" t="str">
        <f>IFERROR(__xludf.DUMMYFUNCTION("""COMPUTED_VALUE"""),"Huge")</f>
        <v>Huge</v>
      </c>
      <c r="I689" s="15">
        <f>IFERROR(__xludf.DUMMYFUNCTION("""COMPUTED_VALUE"""),1.0)</f>
        <v>1</v>
      </c>
      <c r="J689" s="15">
        <f>IFERROR(__xludf.DUMMYFUNCTION("""COMPUTED_VALUE"""),0.0)</f>
        <v>0</v>
      </c>
      <c r="K689" s="15">
        <f>IFERROR(__xludf.DUMMYFUNCTION("""COMPUTED_VALUE"""),2.0)</f>
        <v>2</v>
      </c>
      <c r="L689" s="15"/>
    </row>
    <row r="690" ht="15.75" customHeight="1">
      <c r="A690" s="14" t="str">
        <f>IFERROR(__xludf.DUMMYFUNCTION("""COMPUTED_VALUE"""),"https://www.reddit.com/r/branding/comments/d6zp5l/what_are_the_top_branding_agencies_out_there/")</f>
        <v>https://www.reddit.com/r/branding/comments/d6zp5l/what_are_the_top_branding_agencies_out_there/</v>
      </c>
      <c r="B690" s="15" t="str">
        <f>IFERROR(__xludf.DUMMYFUNCTION("""COMPUTED_VALUE"""),"What are the top branding agencies out there?")</f>
        <v>What are the top branding agencies out there?</v>
      </c>
      <c r="C690" s="14" t="str">
        <f>IFERROR(__xludf.DUMMYFUNCTION("""COMPUTED_VALUE"""),"reddit.com")</f>
        <v>reddit.com</v>
      </c>
      <c r="D690" s="15" t="str">
        <f>IFERROR(__xludf.DUMMYFUNCTION("""COMPUTED_VALUE"""),"DISCUSSION")</f>
        <v>DISCUSSION</v>
      </c>
      <c r="E690" s="15" t="str">
        <f>IFERROR(__xludf.DUMMYFUNCTION("""COMPUTED_VALUE"""),"UGC")</f>
        <v>UGC</v>
      </c>
      <c r="F690" s="15" t="str">
        <f>IFERROR(__xludf.DUMMYFUNCTION("""COMPUTED_VALUE"""),"Discussion")</f>
        <v>Discussion</v>
      </c>
      <c r="G690" s="15" t="b">
        <f>IFERROR(__xludf.DUMMYFUNCTION("""COMPUTED_VALUE"""),FALSE)</f>
        <v>0</v>
      </c>
      <c r="H690" s="15"/>
      <c r="I690" s="15">
        <f>IFERROR(__xludf.DUMMYFUNCTION("""COMPUTED_VALUE"""),1.0)</f>
        <v>1</v>
      </c>
      <c r="J690" s="15">
        <f>IFERROR(__xludf.DUMMYFUNCTION("""COMPUTED_VALUE"""),0.0)</f>
        <v>0</v>
      </c>
      <c r="K690" s="15">
        <f>IFERROR(__xludf.DUMMYFUNCTION("""COMPUTED_VALUE"""),2.0)</f>
        <v>2</v>
      </c>
      <c r="L690" s="15"/>
    </row>
    <row r="691" ht="15.75" customHeight="1">
      <c r="A691" s="14" t="str">
        <f>IFERROR(__xludf.DUMMYFUNCTION("""COMPUTED_VALUE"""),"https://www.reddit.com/r/digital_marketing/comments/1sd6dxn/whats_the_best_aeogeo_agency_that_actually_gets/")</f>
        <v>https://www.reddit.com/r/digital_marketing/comments/1sd6dxn/whats_the_best_aeogeo_agency_that_actually_gets/</v>
      </c>
      <c r="B691" s="15" t="str">
        <f>IFERROR(__xludf.DUMMYFUNCTION("""COMPUTED_VALUE"""),"What's the best AEO/GEO Agency that actually gets results?")</f>
        <v>What's the best AEO/GEO Agency that actually gets results?</v>
      </c>
      <c r="C691" s="14" t="str">
        <f>IFERROR(__xludf.DUMMYFUNCTION("""COMPUTED_VALUE"""),"reddit.com")</f>
        <v>reddit.com</v>
      </c>
      <c r="D691" s="15" t="str">
        <f>IFERROR(__xludf.DUMMYFUNCTION("""COMPUTED_VALUE"""),"DISCUSSION")</f>
        <v>DISCUSSION</v>
      </c>
      <c r="E691" s="15" t="str">
        <f>IFERROR(__xludf.DUMMYFUNCTION("""COMPUTED_VALUE"""),"UGC")</f>
        <v>UGC</v>
      </c>
      <c r="F691" s="15" t="str">
        <f>IFERROR(__xludf.DUMMYFUNCTION("""COMPUTED_VALUE"""),"Discussion")</f>
        <v>Discussion</v>
      </c>
      <c r="G691" s="15" t="b">
        <f>IFERROR(__xludf.DUMMYFUNCTION("""COMPUTED_VALUE"""),FALSE)</f>
        <v>0</v>
      </c>
      <c r="H691" s="15" t="str">
        <f>IFERROR(__xludf.DUMMYFUNCTION("""COMPUTED_VALUE"""),"Huge, Measured")</f>
        <v>Huge, Measured</v>
      </c>
      <c r="I691" s="15">
        <f>IFERROR(__xludf.DUMMYFUNCTION("""COMPUTED_VALUE"""),1.0)</f>
        <v>1</v>
      </c>
      <c r="J691" s="15">
        <f>IFERROR(__xludf.DUMMYFUNCTION("""COMPUTED_VALUE"""),0.0)</f>
        <v>0</v>
      </c>
      <c r="K691" s="15">
        <f>IFERROR(__xludf.DUMMYFUNCTION("""COMPUTED_VALUE"""),2.0)</f>
        <v>2</v>
      </c>
      <c r="L691" s="15"/>
    </row>
    <row r="692" ht="15.75" customHeight="1">
      <c r="A692" s="14" t="str">
        <f>IFERROR(__xludf.DUMMYFUNCTION("""COMPUTED_VALUE"""),"https://www.reddit.com/r/ecommerce/comments/1qusfa4/looking_for_best_incrementality_testing_tools/")</f>
        <v>https://www.reddit.com/r/ecommerce/comments/1qusfa4/looking_for_best_incrementality_testing_tools/</v>
      </c>
      <c r="B692" s="15" t="str">
        <f>IFERROR(__xludf.DUMMYFUNCTION("""COMPUTED_VALUE"""),"Looking for best incrementality testing tools (advice/recommendation)")</f>
        <v>Looking for best incrementality testing tools (advice/recommendation)</v>
      </c>
      <c r="C692" s="14" t="str">
        <f>IFERROR(__xludf.DUMMYFUNCTION("""COMPUTED_VALUE"""),"reddit.com")</f>
        <v>reddit.com</v>
      </c>
      <c r="D692" s="15" t="str">
        <f>IFERROR(__xludf.DUMMYFUNCTION("""COMPUTED_VALUE"""),"DISCUSSION")</f>
        <v>DISCUSSION</v>
      </c>
      <c r="E692" s="15" t="str">
        <f>IFERROR(__xludf.DUMMYFUNCTION("""COMPUTED_VALUE"""),"UGC")</f>
        <v>UGC</v>
      </c>
      <c r="F692" s="15" t="str">
        <f>IFERROR(__xludf.DUMMYFUNCTION("""COMPUTED_VALUE"""),"Discussion")</f>
        <v>Discussion</v>
      </c>
      <c r="G692" s="15" t="b">
        <f>IFERROR(__xludf.DUMMYFUNCTION("""COMPUTED_VALUE"""),FALSE)</f>
        <v>0</v>
      </c>
      <c r="H692" s="15" t="str">
        <f>IFERROR(__xludf.DUMMYFUNCTION("""COMPUTED_VALUE"""),"Haus, Measured, SegmentStream, Recast, Rockerbox, Northbeam, Found")</f>
        <v>Haus, Measured, SegmentStream, Recast, Rockerbox, Northbeam, Found</v>
      </c>
      <c r="I692" s="15">
        <f>IFERROR(__xludf.DUMMYFUNCTION("""COMPUTED_VALUE"""),1.0)</f>
        <v>1</v>
      </c>
      <c r="J692" s="15">
        <f>IFERROR(__xludf.DUMMYFUNCTION("""COMPUTED_VALUE"""),0.0)</f>
        <v>0</v>
      </c>
      <c r="K692" s="15">
        <f>IFERROR(__xludf.DUMMYFUNCTION("""COMPUTED_VALUE"""),1.0)</f>
        <v>1</v>
      </c>
      <c r="L692" s="15"/>
    </row>
    <row r="693" ht="15.75" customHeight="1">
      <c r="A693" s="14" t="str">
        <f>IFERROR(__xludf.DUMMYFUNCTION("""COMPUTED_VALUE"""),"https://www.reddit.com/r/u_Temporary_Meeting182/comments/1tp4iah/best_saas_geo_agencies_in_2026_who_should/")</f>
        <v>https://www.reddit.com/r/u_Temporary_Meeting182/comments/1tp4iah/best_saas_geo_agencies_in_2026_who_should/</v>
      </c>
      <c r="B693" s="15" t="str">
        <f>IFERROR(__xludf.DUMMYFUNCTION("""COMPUTED_VALUE"""),"Best SaaS GEO agencies in 2026 - who should enterprises consider?")</f>
        <v>Best SaaS GEO agencies in 2026 - who should enterprises consider?</v>
      </c>
      <c r="C693" s="14" t="str">
        <f>IFERROR(__xludf.DUMMYFUNCTION("""COMPUTED_VALUE"""),"reddit.com")</f>
        <v>reddit.com</v>
      </c>
      <c r="D693" s="15" t="str">
        <f>IFERROR(__xludf.DUMMYFUNCTION("""COMPUTED_VALUE"""),"DISCUSSION")</f>
        <v>DISCUSSION</v>
      </c>
      <c r="E693" s="15" t="str">
        <f>IFERROR(__xludf.DUMMYFUNCTION("""COMPUTED_VALUE"""),"UGC")</f>
        <v>UGC</v>
      </c>
      <c r="F693" s="15" t="str">
        <f>IFERROR(__xludf.DUMMYFUNCTION("""COMPUTED_VALUE"""),"Discussion")</f>
        <v>Discussion</v>
      </c>
      <c r="G693" s="15" t="b">
        <f>IFERROR(__xludf.DUMMYFUNCTION("""COMPUTED_VALUE"""),FALSE)</f>
        <v>0</v>
      </c>
      <c r="H693" s="15" t="str">
        <f>IFERROR(__xludf.DUMMYFUNCTION("""COMPUTED_VALUE"""),"The SEO Works")</f>
        <v>The SEO Works</v>
      </c>
      <c r="I693" s="15">
        <f>IFERROR(__xludf.DUMMYFUNCTION("""COMPUTED_VALUE"""),1.0)</f>
        <v>1</v>
      </c>
      <c r="J693" s="15">
        <f>IFERROR(__xludf.DUMMYFUNCTION("""COMPUTED_VALUE"""),0.0)</f>
        <v>0</v>
      </c>
      <c r="K693" s="15">
        <f>IFERROR(__xludf.DUMMYFUNCTION("""COMPUTED_VALUE"""),2.0)</f>
        <v>2</v>
      </c>
      <c r="L693" s="15"/>
    </row>
    <row r="694" ht="15.75" customHeight="1">
      <c r="A694" s="14" t="str">
        <f>IFERROR(__xludf.DUMMYFUNCTION("""COMPUTED_VALUE"""),"https://respona.com/blog/ai-seo-agency/")</f>
        <v>https://respona.com/blog/ai-seo-agency/</v>
      </c>
      <c r="B694" s="15" t="str">
        <f>IFERROR(__xludf.DUMMYFUNCTION("""COMPUTED_VALUE"""),"My Top 21 AI SEO Agency List for 2026")</f>
        <v>My Top 21 AI SEO Agency List for 2026</v>
      </c>
      <c r="C694" s="14" t="str">
        <f>IFERROR(__xludf.DUMMYFUNCTION("""COMPUTED_VALUE"""),"respona.com")</f>
        <v>respona.com</v>
      </c>
      <c r="D694" s="15" t="str">
        <f>IFERROR(__xludf.DUMMYFUNCTION("""COMPUTED_VALUE"""),"LISTICLE")</f>
        <v>LISTICLE</v>
      </c>
      <c r="E694" s="15" t="str">
        <f>IFERROR(__xludf.DUMMYFUNCTION("""COMPUTED_VALUE"""),"CORPORATE")</f>
        <v>CORPORATE</v>
      </c>
      <c r="F694" s="15" t="str">
        <f>IFERROR(__xludf.DUMMYFUNCTION("""COMPUTED_VALUE"""),"Listicle")</f>
        <v>Listicle</v>
      </c>
      <c r="G694" s="15" t="b">
        <f>IFERROR(__xludf.DUMMYFUNCTION("""COMPUTED_VALUE"""),FALSE)</f>
        <v>0</v>
      </c>
      <c r="H694" s="15" t="str">
        <f>IFERROR(__xludf.DUMMYFUNCTION("""COMPUTED_VALUE"""),"The SEO Works, Click Intelligence, Power Digital, Whitehat")</f>
        <v>The SEO Works, Click Intelligence, Power Digital, Whitehat</v>
      </c>
      <c r="I694" s="15">
        <f>IFERROR(__xludf.DUMMYFUNCTION("""COMPUTED_VALUE"""),1.0)</f>
        <v>1</v>
      </c>
      <c r="J694" s="15">
        <f>IFERROR(__xludf.DUMMYFUNCTION("""COMPUTED_VALUE"""),0.0)</f>
        <v>0</v>
      </c>
      <c r="K694" s="15">
        <f>IFERROR(__xludf.DUMMYFUNCTION("""COMPUTED_VALUE"""),1.0)</f>
        <v>1</v>
      </c>
      <c r="L694" s="15"/>
    </row>
    <row r="695" ht="15.75" customHeight="1">
      <c r="A695" s="14" t="str">
        <f>IFERROR(__xludf.DUMMYFUNCTION("""COMPUTED_VALUE"""),"https://reverbico.com/blog/top-digital-agencies-for-early-stage-brand-launches/")</f>
        <v>https://reverbico.com/blog/top-digital-agencies-for-early-stage-brand-launches/</v>
      </c>
      <c r="B695" s="15" t="str">
        <f>IFERROR(__xludf.DUMMYFUNCTION("""COMPUTED_VALUE"""),"Top Digital Agencies For Early-Stage Brand Launches | REVERB")</f>
        <v>Top Digital Agencies For Early-Stage Brand Launches | REVERB</v>
      </c>
      <c r="C695" s="14" t="str">
        <f>IFERROR(__xludf.DUMMYFUNCTION("""COMPUTED_VALUE"""),"reverbico.com")</f>
        <v>reverbico.com</v>
      </c>
      <c r="D695" s="15" t="str">
        <f>IFERROR(__xludf.DUMMYFUNCTION("""COMPUTED_VALUE"""),"LISTICLE")</f>
        <v>LISTICLE</v>
      </c>
      <c r="E695" s="15" t="str">
        <f>IFERROR(__xludf.DUMMYFUNCTION("""COMPUTED_VALUE"""),"OTHER")</f>
        <v>OTHER</v>
      </c>
      <c r="F695" s="15" t="str">
        <f>IFERROR(__xludf.DUMMYFUNCTION("""COMPUTED_VALUE"""),"Listicle")</f>
        <v>Listicle</v>
      </c>
      <c r="G695" s="15" t="b">
        <f>IFERROR(__xludf.DUMMYFUNCTION("""COMPUTED_VALUE"""),FALSE)</f>
        <v>0</v>
      </c>
      <c r="H695" s="15" t="str">
        <f>IFERROR(__xludf.DUMMYFUNCTION("""COMPUTED_VALUE"""),"Momentum, NoGood, Ogilvy, Directive Consulting")</f>
        <v>Momentum, NoGood, Ogilvy, Directive Consulting</v>
      </c>
      <c r="I695" s="15">
        <f>IFERROR(__xludf.DUMMYFUNCTION("""COMPUTED_VALUE"""),1.0)</f>
        <v>1</v>
      </c>
      <c r="J695" s="15">
        <f>IFERROR(__xludf.DUMMYFUNCTION("""COMPUTED_VALUE"""),0.0)</f>
        <v>0</v>
      </c>
      <c r="K695" s="15">
        <f>IFERROR(__xludf.DUMMYFUNCTION("""COMPUTED_VALUE"""),1.0)</f>
        <v>1</v>
      </c>
      <c r="L695" s="15"/>
    </row>
    <row r="696" ht="15.75" customHeight="1">
      <c r="A696" s="14" t="str">
        <f>IFERROR(__xludf.DUMMYFUNCTION("""COMPUTED_VALUE"""),"https://scalixai.com/blog/best-performance-marketing-agencies")</f>
        <v>https://scalixai.com/blog/best-performance-marketing-agencies</v>
      </c>
      <c r="B696" s="15" t="str">
        <f>IFERROR(__xludf.DUMMYFUNCTION("""COMPUTED_VALUE"""),"The Best Performance Marketing Agencies for 2026 | ScalixAI")</f>
        <v>The Best Performance Marketing Agencies for 2026 | ScalixAI</v>
      </c>
      <c r="C696" s="14" t="str">
        <f>IFERROR(__xludf.DUMMYFUNCTION("""COMPUTED_VALUE"""),"scalixai.com")</f>
        <v>scalixai.com</v>
      </c>
      <c r="D696" s="15" t="str">
        <f>IFERROR(__xludf.DUMMYFUNCTION("""COMPUTED_VALUE"""),"LISTICLE")</f>
        <v>LISTICLE</v>
      </c>
      <c r="E696" s="15" t="str">
        <f>IFERROR(__xludf.DUMMYFUNCTION("""COMPUTED_VALUE"""),"CORPORATE")</f>
        <v>CORPORATE</v>
      </c>
      <c r="F696" s="15" t="str">
        <f>IFERROR(__xludf.DUMMYFUNCTION("""COMPUTED_VALUE"""),"Listicle")</f>
        <v>Listicle</v>
      </c>
      <c r="G696" s="15" t="b">
        <f>IFERROR(__xludf.DUMMYFUNCTION("""COMPUTED_VALUE"""),FALSE)</f>
        <v>0</v>
      </c>
      <c r="H696" s="15" t="str">
        <f>IFERROR(__xludf.DUMMYFUNCTION("""COMPUTED_VALUE"""),"NoGood, Single Grain, Wpromote, Omniscient Digital, Darkroom, Common Thread Collective, Found")</f>
        <v>NoGood, Single Grain, Wpromote, Omniscient Digital, Darkroom, Common Thread Collective, Found</v>
      </c>
      <c r="I696" s="15">
        <f>IFERROR(__xludf.DUMMYFUNCTION("""COMPUTED_VALUE"""),1.0)</f>
        <v>1</v>
      </c>
      <c r="J696" s="15">
        <f>IFERROR(__xludf.DUMMYFUNCTION("""COMPUTED_VALUE"""),0.0)</f>
        <v>0</v>
      </c>
      <c r="K696" s="15">
        <f>IFERROR(__xludf.DUMMYFUNCTION("""COMPUTED_VALUE"""),0.0)</f>
        <v>0</v>
      </c>
      <c r="L696" s="15"/>
    </row>
    <row r="697" ht="15.75" customHeight="1">
      <c r="A697" s="14" t="str">
        <f>IFERROR(__xludf.DUMMYFUNCTION("""COMPUTED_VALUE"""),"https://scopicstudios.com/blog/best-geo-agencies-ai-search-visibility-2026/")</f>
        <v>https://scopicstudios.com/blog/best-geo-agencies-ai-search-visibility-2026/</v>
      </c>
      <c r="B697" s="15" t="str">
        <f>IFERROR(__xludf.DUMMYFUNCTION("""COMPUTED_VALUE"""),"10 Best GEO Agencies for AI Search Brand Visibility")</f>
        <v>10 Best GEO Agencies for AI Search Brand Visibility</v>
      </c>
      <c r="C697" s="14" t="str">
        <f>IFERROR(__xludf.DUMMYFUNCTION("""COMPUTED_VALUE"""),"scopicstudios.com")</f>
        <v>scopicstudios.com</v>
      </c>
      <c r="D697" s="15" t="str">
        <f>IFERROR(__xludf.DUMMYFUNCTION("""COMPUTED_VALUE"""),"CATEGORY_PAGE")</f>
        <v>CATEGORY_PAGE</v>
      </c>
      <c r="E697" s="15" t="str">
        <f>IFERROR(__xludf.DUMMYFUNCTION("""COMPUTED_VALUE"""),"CORPORATE")</f>
        <v>CORPORATE</v>
      </c>
      <c r="F697" s="15" t="str">
        <f>IFERROR(__xludf.DUMMYFUNCTION("""COMPUTED_VALUE"""),"Category Page")</f>
        <v>Category Page</v>
      </c>
      <c r="G697" s="15" t="b">
        <f>IFERROR(__xludf.DUMMYFUNCTION("""COMPUTED_VALUE"""),FALSE)</f>
        <v>0</v>
      </c>
      <c r="H697" s="15" t="str">
        <f>IFERROR(__xludf.DUMMYFUNCTION("""COMPUTED_VALUE"""),"Passion Digital")</f>
        <v>Passion Digital</v>
      </c>
      <c r="I697" s="15">
        <f>IFERROR(__xludf.DUMMYFUNCTION("""COMPUTED_VALUE"""),1.0)</f>
        <v>1</v>
      </c>
      <c r="J697" s="15">
        <f>IFERROR(__xludf.DUMMYFUNCTION("""COMPUTED_VALUE"""),0.0)</f>
        <v>0</v>
      </c>
      <c r="K697" s="15">
        <f>IFERROR(__xludf.DUMMYFUNCTION("""COMPUTED_VALUE"""),0.0)</f>
        <v>0</v>
      </c>
      <c r="L697" s="15"/>
    </row>
    <row r="698" ht="15.75" customHeight="1">
      <c r="A698" s="14" t="str">
        <f>IFERROR(__xludf.DUMMYFUNCTION("""COMPUTED_VALUE"""),"https://scopicstudios.com/blog/best-incrementality-testing-tools-2026/")</f>
        <v>https://scopicstudios.com/blog/best-incrementality-testing-tools-2026/</v>
      </c>
      <c r="B698" s="15" t="str">
        <f>IFERROR(__xludf.DUMMYFUNCTION("""COMPUTED_VALUE"""),"8 Best Incrementality Testing Tools for Measurement")</f>
        <v>8 Best Incrementality Testing Tools for Measurement</v>
      </c>
      <c r="C698" s="14" t="str">
        <f>IFERROR(__xludf.DUMMYFUNCTION("""COMPUTED_VALUE"""),"scopicstudios.com")</f>
        <v>scopicstudios.com</v>
      </c>
      <c r="D698" s="15" t="str">
        <f>IFERROR(__xludf.DUMMYFUNCTION("""COMPUTED_VALUE"""),"CATEGORY_PAGE")</f>
        <v>CATEGORY_PAGE</v>
      </c>
      <c r="E698" s="15" t="str">
        <f>IFERROR(__xludf.DUMMYFUNCTION("""COMPUTED_VALUE"""),"CORPORATE")</f>
        <v>CORPORATE</v>
      </c>
      <c r="F698" s="15" t="str">
        <f>IFERROR(__xludf.DUMMYFUNCTION("""COMPUTED_VALUE"""),"Category Page")</f>
        <v>Category Page</v>
      </c>
      <c r="G698" s="15" t="b">
        <f>IFERROR(__xludf.DUMMYFUNCTION("""COMPUTED_VALUE"""),FALSE)</f>
        <v>0</v>
      </c>
      <c r="H698" s="15" t="str">
        <f>IFERROR(__xludf.DUMMYFUNCTION("""COMPUTED_VALUE"""),"Impression")</f>
        <v>Impression</v>
      </c>
      <c r="I698" s="15">
        <f>IFERROR(__xludf.DUMMYFUNCTION("""COMPUTED_VALUE"""),1.0)</f>
        <v>1</v>
      </c>
      <c r="J698" s="15">
        <f>IFERROR(__xludf.DUMMYFUNCTION("""COMPUTED_VALUE"""),0.0)</f>
        <v>0</v>
      </c>
      <c r="K698" s="15">
        <f>IFERROR(__xludf.DUMMYFUNCTION("""COMPUTED_VALUE"""),1.0)</f>
        <v>1</v>
      </c>
      <c r="L698" s="15"/>
    </row>
    <row r="699" ht="15.75" customHeight="1">
      <c r="A699" s="14" t="str">
        <f>IFERROR(__xludf.DUMMYFUNCTION("""COMPUTED_VALUE"""),"https://www.searchbloom.com/strategy/best-ai-seo-agency-companies-services-usa/")</f>
        <v>https://www.searchbloom.com/strategy/best-ai-seo-agency-companies-services-usa/</v>
      </c>
      <c r="B699" s="15" t="str">
        <f>IFERROR(__xludf.DUMMYFUNCTION("""COMPUTED_VALUE"""),"Best AI SEO Companies + Services in the US 2026 (AEO/GEO) - Best AEO Agencies in USA")</f>
        <v>Best AI SEO Companies + Services in the US 2026 (AEO/GEO) - Best AEO Agencies in USA</v>
      </c>
      <c r="C699" s="14" t="str">
        <f>IFERROR(__xludf.DUMMYFUNCTION("""COMPUTED_VALUE"""),"searchbloom.com")</f>
        <v>searchbloom.com</v>
      </c>
      <c r="D699" s="15" t="str">
        <f>IFERROR(__xludf.DUMMYFUNCTION("""COMPUTED_VALUE"""),"LISTICLE")</f>
        <v>LISTICLE</v>
      </c>
      <c r="E699" s="15" t="str">
        <f>IFERROR(__xludf.DUMMYFUNCTION("""COMPUTED_VALUE"""),"CORPORATE")</f>
        <v>CORPORATE</v>
      </c>
      <c r="F699" s="15" t="str">
        <f>IFERROR(__xludf.DUMMYFUNCTION("""COMPUTED_VALUE"""),"Listicle")</f>
        <v>Listicle</v>
      </c>
      <c r="G699" s="15" t="b">
        <f>IFERROR(__xludf.DUMMYFUNCTION("""COMPUTED_VALUE"""),FALSE)</f>
        <v>0</v>
      </c>
      <c r="H699" s="15" t="str">
        <f>IFERROR(__xludf.DUMMYFUNCTION("""COMPUTED_VALUE"""),"The SEO Works, Tinuiti, Omniscient Digital, Single Grain, Siege Media")</f>
        <v>The SEO Works, Tinuiti, Omniscient Digital, Single Grain, Siege Media</v>
      </c>
      <c r="I699" s="15">
        <f>IFERROR(__xludf.DUMMYFUNCTION("""COMPUTED_VALUE"""),1.0)</f>
        <v>1</v>
      </c>
      <c r="J699" s="15">
        <f>IFERROR(__xludf.DUMMYFUNCTION("""COMPUTED_VALUE"""),0.0)</f>
        <v>0</v>
      </c>
      <c r="K699" s="15">
        <f>IFERROR(__xludf.DUMMYFUNCTION("""COMPUTED_VALUE"""),4.0)</f>
        <v>4</v>
      </c>
      <c r="L699" s="15"/>
    </row>
    <row r="700" ht="15.75" customHeight="1">
      <c r="A700" s="14" t="str">
        <f>IFERROR(__xludf.DUMMYFUNCTION("""COMPUTED_VALUE"""),"https://www.securitysenses.com/posts/best-saas-ai-seo-companies-united-kingdom-technical-seo-scale#:~:text=B2B%20SaaS%20technical%20SEO%2C%20AI%20search%2C%20LLMO%2C,the%20UK%20market%20for%20enterprise%2Dscale%20SaaS%20organisations.")</f>
        <v>https://www.securitysenses.com/posts/best-saas-ai-seo-companies-united-kingdom-technical-seo-scale#:~:text=B2B%20SaaS%20technical%20SEO%2C%20AI%20search%2C%20LLMO%2C,the%20UK%20market%20for%20enterprise%2Dscale%20SaaS%20organisations.</v>
      </c>
      <c r="B700" s="15" t="str">
        <f>IFERROR(__xludf.DUMMYFUNCTION("""COMPUTED_VALUE"""),"Best SaaS AI SEO Companies in the United Kingdom for Technical SEO at Scale | SecuritySenses")</f>
        <v>Best SaaS AI SEO Companies in the United Kingdom for Technical SEO at Scale | SecuritySenses</v>
      </c>
      <c r="C700" s="14" t="str">
        <f>IFERROR(__xludf.DUMMYFUNCTION("""COMPUTED_VALUE"""),"securitysenses.com")</f>
        <v>securitysenses.com</v>
      </c>
      <c r="D700" s="15" t="str">
        <f>IFERROR(__xludf.DUMMYFUNCTION("""COMPUTED_VALUE"""),"LISTICLE")</f>
        <v>LISTICLE</v>
      </c>
      <c r="E700" s="15" t="str">
        <f>IFERROR(__xludf.DUMMYFUNCTION("""COMPUTED_VALUE"""),"EDITORIAL")</f>
        <v>EDITORIAL</v>
      </c>
      <c r="F700" s="15" t="str">
        <f>IFERROR(__xludf.DUMMYFUNCTION("""COMPUTED_VALUE"""),"Listicle")</f>
        <v>Listicle</v>
      </c>
      <c r="G700" s="15" t="b">
        <f>IFERROR(__xludf.DUMMYFUNCTION("""COMPUTED_VALUE"""),FALSE)</f>
        <v>0</v>
      </c>
      <c r="H700" s="15" t="str">
        <f>IFERROR(__xludf.DUMMYFUNCTION("""COMPUTED_VALUE"""),"Brainlabs, Impression, Hallam")</f>
        <v>Brainlabs, Impression, Hallam</v>
      </c>
      <c r="I700" s="15">
        <f>IFERROR(__xludf.DUMMYFUNCTION("""COMPUTED_VALUE"""),1.0)</f>
        <v>1</v>
      </c>
      <c r="J700" s="15">
        <f>IFERROR(__xludf.DUMMYFUNCTION("""COMPUTED_VALUE"""),0.0)</f>
        <v>0</v>
      </c>
      <c r="K700" s="15">
        <f>IFERROR(__xludf.DUMMYFUNCTION("""COMPUTED_VALUE"""),4.0)</f>
        <v>4</v>
      </c>
      <c r="L700" s="15"/>
    </row>
    <row r="701" ht="15.75" customHeight="1">
      <c r="A701" s="14" t="str">
        <f>IFERROR(__xludf.DUMMYFUNCTION("""COMPUTED_VALUE"""),"https://segmentstream.com/blog/articles/top-enterprise-marketing-analytics-and-attribution-platforms")</f>
        <v>https://segmentstream.com/blog/articles/top-enterprise-marketing-analytics-and-attribution-platforms</v>
      </c>
      <c r="B701" s="15" t="str">
        <f>IFERROR(__xludf.DUMMYFUNCTION("""COMPUTED_VALUE"""),"10 Best Enterprise Marketing Analytics &amp;amp; Attribution Platforms in 2026 — SegmentStream")</f>
        <v>10 Best Enterprise Marketing Analytics &amp;amp; Attribution Platforms in 2026 — SegmentStream</v>
      </c>
      <c r="C701" s="14" t="str">
        <f>IFERROR(__xludf.DUMMYFUNCTION("""COMPUTED_VALUE"""),"segmentstream.com")</f>
        <v>segmentstream.com</v>
      </c>
      <c r="D701" s="15" t="str">
        <f>IFERROR(__xludf.DUMMYFUNCTION("""COMPUTED_VALUE"""),"LISTICLE")</f>
        <v>LISTICLE</v>
      </c>
      <c r="E701" s="15" t="str">
        <f>IFERROR(__xludf.DUMMYFUNCTION("""COMPUTED_VALUE"""),"COMPETITOR")</f>
        <v>COMPETITOR</v>
      </c>
      <c r="F701" s="15" t="str">
        <f>IFERROR(__xludf.DUMMYFUNCTION("""COMPUTED_VALUE"""),"Listicle")</f>
        <v>Listicle</v>
      </c>
      <c r="G701" s="15" t="b">
        <f>IFERROR(__xludf.DUMMYFUNCTION("""COMPUTED_VALUE"""),FALSE)</f>
        <v>0</v>
      </c>
      <c r="H701" s="15" t="str">
        <f>IFERROR(__xludf.DUMMYFUNCTION("""COMPUTED_VALUE"""),"SegmentStream, Measured, Rockerbox")</f>
        <v>SegmentStream, Measured, Rockerbox</v>
      </c>
      <c r="I701" s="15">
        <f>IFERROR(__xludf.DUMMYFUNCTION("""COMPUTED_VALUE"""),1.0)</f>
        <v>1</v>
      </c>
      <c r="J701" s="15">
        <f>IFERROR(__xludf.DUMMYFUNCTION("""COMPUTED_VALUE"""),0.0)</f>
        <v>0</v>
      </c>
      <c r="K701" s="15">
        <f>IFERROR(__xludf.DUMMYFUNCTION("""COMPUTED_VALUE"""),0.0)</f>
        <v>0</v>
      </c>
      <c r="L701" s="15"/>
    </row>
    <row r="702" ht="15.75" customHeight="1">
      <c r="A702" s="14" t="str">
        <f>IFERROR(__xludf.DUMMYFUNCTION("""COMPUTED_VALUE"""),"https://segmentstream.com/blog/articles/top-haus-io-alternatives-for-geo-lift-incrementality-testing")</f>
        <v>https://segmentstream.com/blog/articles/top-haus-io-alternatives-for-geo-lift-incrementality-testing</v>
      </c>
      <c r="B702" s="15" t="str">
        <f>IFERROR(__xludf.DUMMYFUNCTION("""COMPUTED_VALUE"""),"5 Best Haus.io Alternatives (2026) — SegmentStream")</f>
        <v>5 Best Haus.io Alternatives (2026) — SegmentStream</v>
      </c>
      <c r="C702" s="14" t="str">
        <f>IFERROR(__xludf.DUMMYFUNCTION("""COMPUTED_VALUE"""),"segmentstream.com")</f>
        <v>segmentstream.com</v>
      </c>
      <c r="D702" s="15" t="str">
        <f>IFERROR(__xludf.DUMMYFUNCTION("""COMPUTED_VALUE"""),"ALTERNATIVE")</f>
        <v>ALTERNATIVE</v>
      </c>
      <c r="E702" s="15" t="str">
        <f>IFERROR(__xludf.DUMMYFUNCTION("""COMPUTED_VALUE"""),"COMPETITOR")</f>
        <v>COMPETITOR</v>
      </c>
      <c r="F702" s="15" t="str">
        <f>IFERROR(__xludf.DUMMYFUNCTION("""COMPUTED_VALUE"""),"Alternative")</f>
        <v>Alternative</v>
      </c>
      <c r="G702" s="15" t="b">
        <f>IFERROR(__xludf.DUMMYFUNCTION("""COMPUTED_VALUE"""),FALSE)</f>
        <v>0</v>
      </c>
      <c r="H702" s="15" t="str">
        <f>IFERROR(__xludf.DUMMYFUNCTION("""COMPUTED_VALUE"""),"SegmentStream, Haus, Measured, Recast")</f>
        <v>SegmentStream, Haus, Measured, Recast</v>
      </c>
      <c r="I702" s="15">
        <f>IFERROR(__xludf.DUMMYFUNCTION("""COMPUTED_VALUE"""),1.0)</f>
        <v>1</v>
      </c>
      <c r="J702" s="15">
        <f>IFERROR(__xludf.DUMMYFUNCTION("""COMPUTED_VALUE"""),0.0)</f>
        <v>0</v>
      </c>
      <c r="K702" s="15">
        <f>IFERROR(__xludf.DUMMYFUNCTION("""COMPUTED_VALUE"""),0.0)</f>
        <v>0</v>
      </c>
      <c r="L702" s="15"/>
    </row>
    <row r="703" ht="15.75" customHeight="1">
      <c r="A703" s="14" t="str">
        <f>IFERROR(__xludf.DUMMYFUNCTION("""COMPUTED_VALUE"""),"https://www.semfirms.com/uk/london/display-advertising-firms")</f>
        <v>https://www.semfirms.com/uk/london/display-advertising-firms</v>
      </c>
      <c r="B703" s="15" t="str">
        <f>IFERROR(__xludf.DUMMYFUNCTION("""COMPUTED_VALUE"""),"Top Display Advertising Firms in London, United Kingdom | SEM Firms")</f>
        <v>Top Display Advertising Firms in London, United Kingdom | SEM Firms</v>
      </c>
      <c r="C703" s="14" t="str">
        <f>IFERROR(__xludf.DUMMYFUNCTION("""COMPUTED_VALUE"""),"semfirms.com")</f>
        <v>semfirms.com</v>
      </c>
      <c r="D703" s="15" t="str">
        <f>IFERROR(__xludf.DUMMYFUNCTION("""COMPUTED_VALUE"""),"OTHER")</f>
        <v>OTHER</v>
      </c>
      <c r="E703" s="15" t="str">
        <f>IFERROR(__xludf.DUMMYFUNCTION("""COMPUTED_VALUE"""),"REFERENCE")</f>
        <v>REFERENCE</v>
      </c>
      <c r="F703" s="15" t="str">
        <f>IFERROR(__xludf.DUMMYFUNCTION("""COMPUTED_VALUE"""),"Other")</f>
        <v>Other</v>
      </c>
      <c r="G703" s="15" t="b">
        <f>IFERROR(__xludf.DUMMYFUNCTION("""COMPUTED_VALUE"""),FALSE)</f>
        <v>0</v>
      </c>
      <c r="H703" s="15" t="str">
        <f>IFERROR(__xludf.DUMMYFUNCTION("""COMPUTED_VALUE"""),"Bird Marketing")</f>
        <v>Bird Marketing</v>
      </c>
      <c r="I703" s="15">
        <f>IFERROR(__xludf.DUMMYFUNCTION("""COMPUTED_VALUE"""),1.0)</f>
        <v>1</v>
      </c>
      <c r="J703" s="15">
        <f>IFERROR(__xludf.DUMMYFUNCTION("""COMPUTED_VALUE"""),0.0)</f>
        <v>0</v>
      </c>
      <c r="K703" s="15">
        <f>IFERROR(__xludf.DUMMYFUNCTION("""COMPUTED_VALUE"""),0.0)</f>
        <v>0</v>
      </c>
      <c r="L703" s="15"/>
    </row>
    <row r="704" ht="15.75" customHeight="1">
      <c r="A704" s="14" t="str">
        <f>IFERROR(__xludf.DUMMYFUNCTION("""COMPUTED_VALUE"""),"https://seo-ranks.co.uk/best-seo-agencies-uk-aeo-geo-2026/")</f>
        <v>https://seo-ranks.co.uk/best-seo-agencies-uk-aeo-geo-2026/</v>
      </c>
      <c r="B704" s="15" t="str">
        <f>IFERROR(__xludf.DUMMYFUNCTION("""COMPUTED_VALUE"""),"Best SEO Agencies UK for AEO and GEO 2026 | SEO Ranks")</f>
        <v>Best SEO Agencies UK for AEO and GEO 2026 | SEO Ranks</v>
      </c>
      <c r="C704" s="14" t="str">
        <f>IFERROR(__xludf.DUMMYFUNCTION("""COMPUTED_VALUE"""),"seo-ranks.co.uk")</f>
        <v>seo-ranks.co.uk</v>
      </c>
      <c r="D704" s="15" t="str">
        <f>IFERROR(__xludf.DUMMYFUNCTION("""COMPUTED_VALUE"""),"LISTICLE")</f>
        <v>LISTICLE</v>
      </c>
      <c r="E704" s="15" t="str">
        <f>IFERROR(__xludf.DUMMYFUNCTION("""COMPUTED_VALUE"""),"CORPORATE")</f>
        <v>CORPORATE</v>
      </c>
      <c r="F704" s="15" t="str">
        <f>IFERROR(__xludf.DUMMYFUNCTION("""COMPUTED_VALUE"""),"Listicle")</f>
        <v>Listicle</v>
      </c>
      <c r="G704" s="15" t="b">
        <f>IFERROR(__xludf.DUMMYFUNCTION("""COMPUTED_VALUE"""),FALSE)</f>
        <v>0</v>
      </c>
      <c r="H704" s="15" t="str">
        <f>IFERROR(__xludf.DUMMYFUNCTION("""COMPUTED_VALUE"""),"Found, Click Intelligence, The SEO Works, Genie Crawl, Measured")</f>
        <v>Found, Click Intelligence, The SEO Works, Genie Crawl, Measured</v>
      </c>
      <c r="I704" s="15">
        <f>IFERROR(__xludf.DUMMYFUNCTION("""COMPUTED_VALUE"""),1.0)</f>
        <v>1</v>
      </c>
      <c r="J704" s="15">
        <f>IFERROR(__xludf.DUMMYFUNCTION("""COMPUTED_VALUE"""),0.0)</f>
        <v>0</v>
      </c>
      <c r="K704" s="15">
        <f>IFERROR(__xludf.DUMMYFUNCTION("""COMPUTED_VALUE"""),1.0)</f>
        <v>1</v>
      </c>
      <c r="L704" s="15"/>
    </row>
    <row r="705" ht="15.75" customHeight="1">
      <c r="A705" s="14" t="str">
        <f>IFERROR(__xludf.DUMMYFUNCTION("""COMPUTED_VALUE"""),"https://www.sevenatoms.com/blog/facebook-advertising-companies")</f>
        <v>https://www.sevenatoms.com/blog/facebook-advertising-companies</v>
      </c>
      <c r="B705" s="15" t="str">
        <f>IFERROR(__xludf.DUMMYFUNCTION("""COMPUTED_VALUE"""),"Top 7 Facebook Advertising Companies")</f>
        <v>Top 7 Facebook Advertising Companies</v>
      </c>
      <c r="C705" s="14" t="str">
        <f>IFERROR(__xludf.DUMMYFUNCTION("""COMPUTED_VALUE"""),"sevenatoms.com")</f>
        <v>sevenatoms.com</v>
      </c>
      <c r="D705" s="15" t="str">
        <f>IFERROR(__xludf.DUMMYFUNCTION("""COMPUTED_VALUE"""),"LISTICLE")</f>
        <v>LISTICLE</v>
      </c>
      <c r="E705" s="15" t="str">
        <f>IFERROR(__xludf.DUMMYFUNCTION("""COMPUTED_VALUE"""),"CORPORATE")</f>
        <v>CORPORATE</v>
      </c>
      <c r="F705" s="15" t="str">
        <f>IFERROR(__xludf.DUMMYFUNCTION("""COMPUTED_VALUE"""),"Listicle")</f>
        <v>Listicle</v>
      </c>
      <c r="G705" s="15" t="b">
        <f>IFERROR(__xludf.DUMMYFUNCTION("""COMPUTED_VALUE"""),FALSE)</f>
        <v>0</v>
      </c>
      <c r="H705" s="15" t="str">
        <f>IFERROR(__xludf.DUMMYFUNCTION("""COMPUTED_VALUE"""),"Deloitte Digital, PPC Geeks, Huge")</f>
        <v>Deloitte Digital, PPC Geeks, Huge</v>
      </c>
      <c r="I705" s="15">
        <f>IFERROR(__xludf.DUMMYFUNCTION("""COMPUTED_VALUE"""),1.0)</f>
        <v>1</v>
      </c>
      <c r="J705" s="15">
        <f>IFERROR(__xludf.DUMMYFUNCTION("""COMPUTED_VALUE"""),0.0)</f>
        <v>0</v>
      </c>
      <c r="K705" s="15">
        <f>IFERROR(__xludf.DUMMYFUNCTION("""COMPUTED_VALUE"""),1.0)</f>
        <v>1</v>
      </c>
      <c r="L705" s="15"/>
    </row>
    <row r="706" ht="15.75" customHeight="1">
      <c r="A706" s="14" t="str">
        <f>IFERROR(__xludf.DUMMYFUNCTION("""COMPUTED_VALUE"""),"https://www.siegemedia.com/strategy/content-strategy-agency")</f>
        <v>https://www.siegemedia.com/strategy/content-strategy-agency</v>
      </c>
      <c r="B706" s="15" t="str">
        <f>IFERROR(__xludf.DUMMYFUNCTION("""COMPUTED_VALUE"""),"12 Best Content Strategy Agencies That Drive Results (2026)")</f>
        <v>12 Best Content Strategy Agencies That Drive Results (2026)</v>
      </c>
      <c r="C706" s="14" t="str">
        <f>IFERROR(__xludf.DUMMYFUNCTION("""COMPUTED_VALUE"""),"siegemedia.com")</f>
        <v>siegemedia.com</v>
      </c>
      <c r="D706" s="15" t="str">
        <f>IFERROR(__xludf.DUMMYFUNCTION("""COMPUTED_VALUE"""),"LISTICLE")</f>
        <v>LISTICLE</v>
      </c>
      <c r="E706" s="15" t="str">
        <f>IFERROR(__xludf.DUMMYFUNCTION("""COMPUTED_VALUE"""),"COMPETITOR")</f>
        <v>COMPETITOR</v>
      </c>
      <c r="F706" s="15" t="str">
        <f>IFERROR(__xludf.DUMMYFUNCTION("""COMPUTED_VALUE"""),"Listicle")</f>
        <v>Listicle</v>
      </c>
      <c r="G706" s="15" t="b">
        <f>IFERROR(__xludf.DUMMYFUNCTION("""COMPUTED_VALUE"""),FALSE)</f>
        <v>0</v>
      </c>
      <c r="H706" s="15" t="str">
        <f>IFERROR(__xludf.DUMMYFUNCTION("""COMPUTED_VALUE"""),"Siege Media, Omniscient Digital, NP Digital, Power Digital, Single Grain, Found")</f>
        <v>Siege Media, Omniscient Digital, NP Digital, Power Digital, Single Grain, Found</v>
      </c>
      <c r="I706" s="15">
        <f>IFERROR(__xludf.DUMMYFUNCTION("""COMPUTED_VALUE"""),1.0)</f>
        <v>1</v>
      </c>
      <c r="J706" s="15">
        <f>IFERROR(__xludf.DUMMYFUNCTION("""COMPUTED_VALUE"""),0.0)</f>
        <v>0</v>
      </c>
      <c r="K706" s="15">
        <f>IFERROR(__xludf.DUMMYFUNCTION("""COMPUTED_VALUE"""),0.0)</f>
        <v>0</v>
      </c>
      <c r="L706" s="15"/>
    </row>
    <row r="707" ht="15.75" customHeight="1">
      <c r="A707" s="14" t="str">
        <f>IFERROR(__xludf.DUMMYFUNCTION("""COMPUTED_VALUE"""),"https://socialchameleon.com/top-30-marketing-agencies-in-london/")</f>
        <v>https://socialchameleon.com/top-30-marketing-agencies-in-london/</v>
      </c>
      <c r="B707" s="15" t="str">
        <f>IFERROR(__xludf.DUMMYFUNCTION("""COMPUTED_VALUE"""),"Top 30 Marketing Agencies in London - Social Chameleon")</f>
        <v>Top 30 Marketing Agencies in London - Social Chameleon</v>
      </c>
      <c r="C707" s="14" t="str">
        <f>IFERROR(__xludf.DUMMYFUNCTION("""COMPUTED_VALUE"""),"socialchameleon.com")</f>
        <v>socialchameleon.com</v>
      </c>
      <c r="D707" s="15" t="str">
        <f>IFERROR(__xludf.DUMMYFUNCTION("""COMPUTED_VALUE"""),"LISTICLE")</f>
        <v>LISTICLE</v>
      </c>
      <c r="E707" s="15" t="str">
        <f>IFERROR(__xludf.DUMMYFUNCTION("""COMPUTED_VALUE"""),"CORPORATE")</f>
        <v>CORPORATE</v>
      </c>
      <c r="F707" s="15" t="str">
        <f>IFERROR(__xludf.DUMMYFUNCTION("""COMPUTED_VALUE"""),"Listicle")</f>
        <v>Listicle</v>
      </c>
      <c r="G707" s="15" t="b">
        <f>IFERROR(__xludf.DUMMYFUNCTION("""COMPUTED_VALUE"""),FALSE)</f>
        <v>0</v>
      </c>
      <c r="H707" s="15" t="str">
        <f>IFERROR(__xludf.DUMMYFUNCTION("""COMPUTED_VALUE"""),"Ogilvy, AMV BBDO, Hallam, Saatchi &amp; Saatchi, Impression, Found, Push, Push Group, Propeller, Jellyfish, Builtvisible, Merkle, The SEO Works")</f>
        <v>Ogilvy, AMV BBDO, Hallam, Saatchi &amp; Saatchi, Impression, Found, Push, Push Group, Propeller, Jellyfish, Builtvisible, Merkle, The SEO Works</v>
      </c>
      <c r="I707" s="15">
        <f>IFERROR(__xludf.DUMMYFUNCTION("""COMPUTED_VALUE"""),1.0)</f>
        <v>1</v>
      </c>
      <c r="J707" s="15">
        <f>IFERROR(__xludf.DUMMYFUNCTION("""COMPUTED_VALUE"""),0.0)</f>
        <v>0</v>
      </c>
      <c r="K707" s="15">
        <f>IFERROR(__xludf.DUMMYFUNCTION("""COMPUTED_VALUE"""),1.0)</f>
        <v>1</v>
      </c>
      <c r="L707" s="15"/>
    </row>
    <row r="708" ht="15.75" customHeight="1">
      <c r="A708" s="14" t="str">
        <f>IFERROR(__xludf.DUMMYFUNCTION("""COMPUTED_VALUE"""),"https://sociallypowerful.com/post/top-20-advertising-agencies-uk")</f>
        <v>https://sociallypowerful.com/post/top-20-advertising-agencies-uk</v>
      </c>
      <c r="B708" s="15" t="str">
        <f>IFERROR(__xludf.DUMMYFUNCTION("""COMPUTED_VALUE"""),"Top 20 Advertising Agencies in the UK in 2024 | Socially Powerful")</f>
        <v>Top 20 Advertising Agencies in the UK in 2024 | Socially Powerful</v>
      </c>
      <c r="C708" s="14" t="str">
        <f>IFERROR(__xludf.DUMMYFUNCTION("""COMPUTED_VALUE"""),"sociallypowerful.com")</f>
        <v>sociallypowerful.com</v>
      </c>
      <c r="D708" s="15" t="str">
        <f>IFERROR(__xludf.DUMMYFUNCTION("""COMPUTED_VALUE"""),"LISTICLE")</f>
        <v>LISTICLE</v>
      </c>
      <c r="E708" s="15" t="str">
        <f>IFERROR(__xludf.DUMMYFUNCTION("""COMPUTED_VALUE"""),"CORPORATE")</f>
        <v>CORPORATE</v>
      </c>
      <c r="F708" s="15" t="str">
        <f>IFERROR(__xludf.DUMMYFUNCTION("""COMPUTED_VALUE"""),"Listicle")</f>
        <v>Listicle</v>
      </c>
      <c r="G708" s="15" t="b">
        <f>IFERROR(__xludf.DUMMYFUNCTION("""COMPUTED_VALUE"""),FALSE)</f>
        <v>0</v>
      </c>
      <c r="H708" s="15" t="str">
        <f>IFERROR(__xludf.DUMMYFUNCTION("""COMPUTED_VALUE"""),"Push, M3.agency, ROAST, Favoured, Impression, Measured")</f>
        <v>Push, M3.agency, ROAST, Favoured, Impression, Measured</v>
      </c>
      <c r="I708" s="15">
        <f>IFERROR(__xludf.DUMMYFUNCTION("""COMPUTED_VALUE"""),1.0)</f>
        <v>1</v>
      </c>
      <c r="J708" s="15">
        <f>IFERROR(__xludf.DUMMYFUNCTION("""COMPUTED_VALUE"""),0.0)</f>
        <v>0</v>
      </c>
      <c r="K708" s="15">
        <f>IFERROR(__xludf.DUMMYFUNCTION("""COMPUTED_VALUE"""),1.0)</f>
        <v>1</v>
      </c>
      <c r="L708" s="15"/>
    </row>
    <row r="709" ht="15.75" customHeight="1">
      <c r="A709" s="14" t="str">
        <f>IFERROR(__xludf.DUMMYFUNCTION("""COMPUTED_VALUE"""),"https://sociallypowerful.com/post/top-social-media-marketing-agencies-uk")</f>
        <v>https://sociallypowerful.com/post/top-social-media-marketing-agencies-uk</v>
      </c>
      <c r="B709" s="15" t="str">
        <f>IFERROR(__xludf.DUMMYFUNCTION("""COMPUTED_VALUE"""),"Top 30 Social Media Marketing Agencies in the UK (2025)")</f>
        <v>Top 30 Social Media Marketing Agencies in the UK (2025)</v>
      </c>
      <c r="C709" s="14" t="str">
        <f>IFERROR(__xludf.DUMMYFUNCTION("""COMPUTED_VALUE"""),"sociallypowerful.com")</f>
        <v>sociallypowerful.com</v>
      </c>
      <c r="D709" s="15" t="str">
        <f>IFERROR(__xludf.DUMMYFUNCTION("""COMPUTED_VALUE"""),"LISTICLE")</f>
        <v>LISTICLE</v>
      </c>
      <c r="E709" s="15" t="str">
        <f>IFERROR(__xludf.DUMMYFUNCTION("""COMPUTED_VALUE"""),"CORPORATE")</f>
        <v>CORPORATE</v>
      </c>
      <c r="F709" s="15" t="str">
        <f>IFERROR(__xludf.DUMMYFUNCTION("""COMPUTED_VALUE"""),"Listicle")</f>
        <v>Listicle</v>
      </c>
      <c r="G709" s="15" t="b">
        <f>IFERROR(__xludf.DUMMYFUNCTION("""COMPUTED_VALUE"""),FALSE)</f>
        <v>0</v>
      </c>
      <c r="H709" s="15" t="str">
        <f>IFERROR(__xludf.DUMMYFUNCTION("""COMPUTED_VALUE"""),"We Are Social, Social Chain, Born Social, Soap Media, Disrupt Marketing, The Social Shepherd, Croud, Gripped, inBeat, The Good Marketer, WPP, Monks")</f>
        <v>We Are Social, Social Chain, Born Social, Soap Media, Disrupt Marketing, The Social Shepherd, Croud, Gripped, inBeat, The Good Marketer, WPP, Monks</v>
      </c>
      <c r="I709" s="15">
        <f>IFERROR(__xludf.DUMMYFUNCTION("""COMPUTED_VALUE"""),1.0)</f>
        <v>1</v>
      </c>
      <c r="J709" s="15">
        <f>IFERROR(__xludf.DUMMYFUNCTION("""COMPUTED_VALUE"""),0.0)</f>
        <v>0</v>
      </c>
      <c r="K709" s="15">
        <f>IFERROR(__xludf.DUMMYFUNCTION("""COMPUTED_VALUE"""),0.0)</f>
        <v>0</v>
      </c>
      <c r="L709" s="15"/>
    </row>
    <row r="710" ht="15.75" customHeight="1">
      <c r="A710" s="14" t="str">
        <f>IFERROR(__xludf.DUMMYFUNCTION("""COMPUTED_VALUE"""),"https://www.softwareadvice.co.uk/directory/4315/marketing-attribution/software")</f>
        <v>https://www.softwareadvice.co.uk/directory/4315/marketing-attribution/software</v>
      </c>
      <c r="B710" s="15" t="str">
        <f>IFERROR(__xludf.DUMMYFUNCTION("""COMPUTED_VALUE"""),"Best Marketing Attribution Software - 2026 Reviews, Pricing &amp; Demos")</f>
        <v>Best Marketing Attribution Software - 2026 Reviews, Pricing &amp; Demos</v>
      </c>
      <c r="C710" s="14" t="str">
        <f>IFERROR(__xludf.DUMMYFUNCTION("""COMPUTED_VALUE"""),"softwareadvice.co.uk")</f>
        <v>softwareadvice.co.uk</v>
      </c>
      <c r="D710" s="15" t="str">
        <f>IFERROR(__xludf.DUMMYFUNCTION("""COMPUTED_VALUE"""),"CATEGORY_PAGE")</f>
        <v>CATEGORY_PAGE</v>
      </c>
      <c r="E710" s="15" t="str">
        <f>IFERROR(__xludf.DUMMYFUNCTION("""COMPUTED_VALUE"""),"REFERENCE")</f>
        <v>REFERENCE</v>
      </c>
      <c r="F710" s="15" t="str">
        <f>IFERROR(__xludf.DUMMYFUNCTION("""COMPUTED_VALUE"""),"Category Page")</f>
        <v>Category Page</v>
      </c>
      <c r="G710" s="15" t="b">
        <f>IFERROR(__xludf.DUMMYFUNCTION("""COMPUTED_VALUE"""),FALSE)</f>
        <v>0</v>
      </c>
      <c r="H710" s="15"/>
      <c r="I710" s="15">
        <f>IFERROR(__xludf.DUMMYFUNCTION("""COMPUTED_VALUE"""),1.0)</f>
        <v>1</v>
      </c>
      <c r="J710" s="15">
        <f>IFERROR(__xludf.DUMMYFUNCTION("""COMPUTED_VALUE"""),0.0)</f>
        <v>0</v>
      </c>
      <c r="K710" s="15">
        <f>IFERROR(__xludf.DUMMYFUNCTION("""COMPUTED_VALUE"""),0.0)</f>
        <v>0</v>
      </c>
      <c r="L710" s="15"/>
    </row>
    <row r="711" ht="15.75" customHeight="1">
      <c r="A711" s="14" t="str">
        <f>IFERROR(__xludf.DUMMYFUNCTION("""COMPUTED_VALUE"""),"https://www.sogolytics.com/blog/top-full-service-market-research-firms/")</f>
        <v>https://www.sogolytics.com/blog/top-full-service-market-research-firms/</v>
      </c>
      <c r="B711" s="15" t="str">
        <f>IFERROR(__xludf.DUMMYFUNCTION("""COMPUTED_VALUE"""),"25 Best Full Service Market Research Firms - Sogolytics")</f>
        <v>25 Best Full Service Market Research Firms - Sogolytics</v>
      </c>
      <c r="C711" s="14" t="str">
        <f>IFERROR(__xludf.DUMMYFUNCTION("""COMPUTED_VALUE"""),"sogolytics.com")</f>
        <v>sogolytics.com</v>
      </c>
      <c r="D711" s="15" t="str">
        <f>IFERROR(__xludf.DUMMYFUNCTION("""COMPUTED_VALUE"""),"LISTICLE")</f>
        <v>LISTICLE</v>
      </c>
      <c r="E711" s="15" t="str">
        <f>IFERROR(__xludf.DUMMYFUNCTION("""COMPUTED_VALUE"""),"CORPORATE")</f>
        <v>CORPORATE</v>
      </c>
      <c r="F711" s="15" t="str">
        <f>IFERROR(__xludf.DUMMYFUNCTION("""COMPUTED_VALUE"""),"Listicle")</f>
        <v>Listicle</v>
      </c>
      <c r="G711" s="15" t="b">
        <f>IFERROR(__xludf.DUMMYFUNCTION("""COMPUTED_VALUE"""),FALSE)</f>
        <v>0</v>
      </c>
      <c r="H711" s="15" t="str">
        <f>IFERROR(__xludf.DUMMYFUNCTION("""COMPUTED_VALUE"""),"Nielsen, Kantar, YouGov, WPP, Push")</f>
        <v>Nielsen, Kantar, YouGov, WPP, Push</v>
      </c>
      <c r="I711" s="15">
        <f>IFERROR(__xludf.DUMMYFUNCTION("""COMPUTED_VALUE"""),1.0)</f>
        <v>1</v>
      </c>
      <c r="J711" s="15">
        <f>IFERROR(__xludf.DUMMYFUNCTION("""COMPUTED_VALUE"""),0.0)</f>
        <v>0</v>
      </c>
      <c r="K711" s="15">
        <f>IFERROR(__xludf.DUMMYFUNCTION("""COMPUTED_VALUE"""),1.0)</f>
        <v>1</v>
      </c>
      <c r="L711" s="15"/>
    </row>
    <row r="712" ht="15.75" customHeight="1">
      <c r="A712" s="14" t="str">
        <f>IFERROR(__xludf.DUMMYFUNCTION("""COMPUTED_VALUE"""),"https://www.sortlist.co.uk/advertising/england-england-gb")</f>
        <v>https://www.sortlist.co.uk/advertising/england-england-gb</v>
      </c>
      <c r="B712" s="15" t="str">
        <f>IFERROR(__xludf.DUMMYFUNCTION("""COMPUTED_VALUE"""),"The 10 Best Advertising Agencies in England - 2026 Reviews")</f>
        <v>The 10 Best Advertising Agencies in England - 2026 Reviews</v>
      </c>
      <c r="C712" s="14" t="str">
        <f>IFERROR(__xludf.DUMMYFUNCTION("""COMPUTED_VALUE"""),"sortlist.co.uk")</f>
        <v>sortlist.co.uk</v>
      </c>
      <c r="D712" s="15" t="str">
        <f>IFERROR(__xludf.DUMMYFUNCTION("""COMPUTED_VALUE"""),"PROFILE")</f>
        <v>PROFILE</v>
      </c>
      <c r="E712" s="15" t="str">
        <f>IFERROR(__xludf.DUMMYFUNCTION("""COMPUTED_VALUE"""),"REFERENCE")</f>
        <v>REFERENCE</v>
      </c>
      <c r="F712" s="15" t="str">
        <f>IFERROR(__xludf.DUMMYFUNCTION("""COMPUTED_VALUE"""),"Profile")</f>
        <v>Profile</v>
      </c>
      <c r="G712" s="15" t="b">
        <f>IFERROR(__xludf.DUMMYFUNCTION("""COMPUTED_VALUE"""),FALSE)</f>
        <v>0</v>
      </c>
      <c r="H712" s="15" t="str">
        <f>IFERROR(__xludf.DUMMYFUNCTION("""COMPUTED_VALUE"""),"Momentum, M3.agency, McKinsey &amp; Company, Ninja Promo")</f>
        <v>Momentum, M3.agency, McKinsey &amp; Company, Ninja Promo</v>
      </c>
      <c r="I712" s="15">
        <f>IFERROR(__xludf.DUMMYFUNCTION("""COMPUTED_VALUE"""),1.0)</f>
        <v>1</v>
      </c>
      <c r="J712" s="15">
        <f>IFERROR(__xludf.DUMMYFUNCTION("""COMPUTED_VALUE"""),0.0)</f>
        <v>0</v>
      </c>
      <c r="K712" s="15">
        <f>IFERROR(__xludf.DUMMYFUNCTION("""COMPUTED_VALUE"""),1.0)</f>
        <v>1</v>
      </c>
      <c r="L712" s="15"/>
    </row>
    <row r="713" ht="15.75" customHeight="1">
      <c r="A713" s="14" t="str">
        <f>IFERROR(__xludf.DUMMYFUNCTION("""COMPUTED_VALUE"""),"https://www.sortlist.co.uk/s/attribution-marketing/greater-london-england-gb")</f>
        <v>https://www.sortlist.co.uk/s/attribution-marketing/greater-london-england-gb</v>
      </c>
      <c r="B713" s="15" t="str">
        <f>IFERROR(__xludf.DUMMYFUNCTION("""COMPUTED_VALUE"""),"The 10 Best Attribution Marketing Agencies in Greater London - 2026 Reviews")</f>
        <v>The 10 Best Attribution Marketing Agencies in Greater London - 2026 Reviews</v>
      </c>
      <c r="C713" s="14" t="str">
        <f>IFERROR(__xludf.DUMMYFUNCTION("""COMPUTED_VALUE"""),"sortlist.co.uk")</f>
        <v>sortlist.co.uk</v>
      </c>
      <c r="D713" s="15" t="str">
        <f>IFERROR(__xludf.DUMMYFUNCTION("""COMPUTED_VALUE"""),"CATEGORY_PAGE")</f>
        <v>CATEGORY_PAGE</v>
      </c>
      <c r="E713" s="15" t="str">
        <f>IFERROR(__xludf.DUMMYFUNCTION("""COMPUTED_VALUE"""),"REFERENCE")</f>
        <v>REFERENCE</v>
      </c>
      <c r="F713" s="15" t="str">
        <f>IFERROR(__xludf.DUMMYFUNCTION("""COMPUTED_VALUE"""),"Category Page")</f>
        <v>Category Page</v>
      </c>
      <c r="G713" s="15" t="b">
        <f>IFERROR(__xludf.DUMMYFUNCTION("""COMPUTED_VALUE"""),FALSE)</f>
        <v>0</v>
      </c>
      <c r="H713" s="15" t="str">
        <f>IFERROR(__xludf.DUMMYFUNCTION("""COMPUTED_VALUE"""),"GA Agency")</f>
        <v>GA Agency</v>
      </c>
      <c r="I713" s="15">
        <f>IFERROR(__xludf.DUMMYFUNCTION("""COMPUTED_VALUE"""),1.0)</f>
        <v>1</v>
      </c>
      <c r="J713" s="15">
        <f>IFERROR(__xludf.DUMMYFUNCTION("""COMPUTED_VALUE"""),0.0)</f>
        <v>0</v>
      </c>
      <c r="K713" s="15">
        <f>IFERROR(__xludf.DUMMYFUNCTION("""COMPUTED_VALUE"""),0.0)</f>
        <v>0</v>
      </c>
      <c r="L713" s="15"/>
    </row>
    <row r="714" ht="15.75" customHeight="1">
      <c r="A714" s="14" t="str">
        <f>IFERROR(__xludf.DUMMYFUNCTION("""COMPUTED_VALUE"""),"https://www.sortlist.co.uk/s/creative/united-kingdom-gb?custom=creative")</f>
        <v>https://www.sortlist.co.uk/s/creative/united-kingdom-gb?custom=creative</v>
      </c>
      <c r="B714" s="15" t="str">
        <f>IFERROR(__xludf.DUMMYFUNCTION("""COMPUTED_VALUE"""),"The 10 Best Creative Agencies in The United Kingdom - 2026 Reviews")</f>
        <v>The 10 Best Creative Agencies in The United Kingdom - 2026 Reviews</v>
      </c>
      <c r="C714" s="14" t="str">
        <f>IFERROR(__xludf.DUMMYFUNCTION("""COMPUTED_VALUE"""),"sortlist.co.uk")</f>
        <v>sortlist.co.uk</v>
      </c>
      <c r="D714" s="15" t="str">
        <f>IFERROR(__xludf.DUMMYFUNCTION("""COMPUTED_VALUE"""),"CATEGORY_PAGE")</f>
        <v>CATEGORY_PAGE</v>
      </c>
      <c r="E714" s="15" t="str">
        <f>IFERROR(__xludf.DUMMYFUNCTION("""COMPUTED_VALUE"""),"REFERENCE")</f>
        <v>REFERENCE</v>
      </c>
      <c r="F714" s="15" t="str">
        <f>IFERROR(__xludf.DUMMYFUNCTION("""COMPUTED_VALUE"""),"Category Page")</f>
        <v>Category Page</v>
      </c>
      <c r="G714" s="15" t="b">
        <f>IFERROR(__xludf.DUMMYFUNCTION("""COMPUTED_VALUE"""),FALSE)</f>
        <v>0</v>
      </c>
      <c r="H714" s="15" t="str">
        <f>IFERROR(__xludf.DUMMYFUNCTION("""COMPUTED_VALUE"""),"Ninja Promo, Whitehat, Momentum")</f>
        <v>Ninja Promo, Whitehat, Momentum</v>
      </c>
      <c r="I714" s="15">
        <f>IFERROR(__xludf.DUMMYFUNCTION("""COMPUTED_VALUE"""),1.0)</f>
        <v>1</v>
      </c>
      <c r="J714" s="15">
        <f>IFERROR(__xludf.DUMMYFUNCTION("""COMPUTED_VALUE"""),0.0)</f>
        <v>0</v>
      </c>
      <c r="K714" s="15">
        <f>IFERROR(__xludf.DUMMYFUNCTION("""COMPUTED_VALUE"""),0.0)</f>
        <v>0</v>
      </c>
      <c r="L714" s="15"/>
    </row>
    <row r="715" ht="15.75" customHeight="1">
      <c r="A715" s="14" t="str">
        <f>IFERROR(__xludf.DUMMYFUNCTION("""COMPUTED_VALUE"""),"https://www.sortlist.co.uk/s/display-advertising/birmingham-england-gb")</f>
        <v>https://www.sortlist.co.uk/s/display-advertising/birmingham-england-gb</v>
      </c>
      <c r="B715" s="15" t="str">
        <f>IFERROR(__xludf.DUMMYFUNCTION("""COMPUTED_VALUE"""),"The 10 Best Display Advertising Agencies in Birmingham - 2026 Reviews")</f>
        <v>The 10 Best Display Advertising Agencies in Birmingham - 2026 Reviews</v>
      </c>
      <c r="C715" s="14" t="str">
        <f>IFERROR(__xludf.DUMMYFUNCTION("""COMPUTED_VALUE"""),"sortlist.co.uk")</f>
        <v>sortlist.co.uk</v>
      </c>
      <c r="D715" s="15" t="str">
        <f>IFERROR(__xludf.DUMMYFUNCTION("""COMPUTED_VALUE"""),"CATEGORY_PAGE")</f>
        <v>CATEGORY_PAGE</v>
      </c>
      <c r="E715" s="15" t="str">
        <f>IFERROR(__xludf.DUMMYFUNCTION("""COMPUTED_VALUE"""),"REFERENCE")</f>
        <v>REFERENCE</v>
      </c>
      <c r="F715" s="15" t="str">
        <f>IFERROR(__xludf.DUMMYFUNCTION("""COMPUTED_VALUE"""),"Category Page")</f>
        <v>Category Page</v>
      </c>
      <c r="G715" s="15" t="b">
        <f>IFERROR(__xludf.DUMMYFUNCTION("""COMPUTED_VALUE"""),FALSE)</f>
        <v>0</v>
      </c>
      <c r="H715" s="15" t="str">
        <f>IFERROR(__xludf.DUMMYFUNCTION("""COMPUTED_VALUE"""),"Push, Triple Whale, Northbeam, Momentum, M3.agency, Ninja Promo")</f>
        <v>Push, Triple Whale, Northbeam, Momentum, M3.agency, Ninja Promo</v>
      </c>
      <c r="I715" s="15">
        <f>IFERROR(__xludf.DUMMYFUNCTION("""COMPUTED_VALUE"""),1.0)</f>
        <v>1</v>
      </c>
      <c r="J715" s="15">
        <f>IFERROR(__xludf.DUMMYFUNCTION("""COMPUTED_VALUE"""),0.0)</f>
        <v>0</v>
      </c>
      <c r="K715" s="15">
        <f>IFERROR(__xludf.DUMMYFUNCTION("""COMPUTED_VALUE"""),0.0)</f>
        <v>0</v>
      </c>
      <c r="L715" s="15"/>
    </row>
    <row r="716" ht="15.75" customHeight="1">
      <c r="A716" s="14" t="str">
        <f>IFERROR(__xludf.DUMMYFUNCTION("""COMPUTED_VALUE"""),"https://www.sortlist.co.uk/s/display-advertising/greater-london-england-gb")</f>
        <v>https://www.sortlist.co.uk/s/display-advertising/greater-london-england-gb</v>
      </c>
      <c r="B716" s="15" t="str">
        <f>IFERROR(__xludf.DUMMYFUNCTION("""COMPUTED_VALUE"""),"The 10 Best Display Advertising Agencies in Greater London - 2026 Reviews")</f>
        <v>The 10 Best Display Advertising Agencies in Greater London - 2026 Reviews</v>
      </c>
      <c r="C716" s="14" t="str">
        <f>IFERROR(__xludf.DUMMYFUNCTION("""COMPUTED_VALUE"""),"sortlist.co.uk")</f>
        <v>sortlist.co.uk</v>
      </c>
      <c r="D716" s="15" t="str">
        <f>IFERROR(__xludf.DUMMYFUNCTION("""COMPUTED_VALUE"""),"CATEGORY_PAGE")</f>
        <v>CATEGORY_PAGE</v>
      </c>
      <c r="E716" s="15" t="str">
        <f>IFERROR(__xludf.DUMMYFUNCTION("""COMPUTED_VALUE"""),"REFERENCE")</f>
        <v>REFERENCE</v>
      </c>
      <c r="F716" s="15" t="str">
        <f>IFERROR(__xludf.DUMMYFUNCTION("""COMPUTED_VALUE"""),"Category Page")</f>
        <v>Category Page</v>
      </c>
      <c r="G716" s="15" t="b">
        <f>IFERROR(__xludf.DUMMYFUNCTION("""COMPUTED_VALUE"""),FALSE)</f>
        <v>0</v>
      </c>
      <c r="H716" s="15" t="str">
        <f>IFERROR(__xludf.DUMMYFUNCTION("""COMPUTED_VALUE"""),"Push, Triple Whale, Northbeam, Ninja Promo, Momentum, M3.agency")</f>
        <v>Push, Triple Whale, Northbeam, Ninja Promo, Momentum, M3.agency</v>
      </c>
      <c r="I716" s="15">
        <f>IFERROR(__xludf.DUMMYFUNCTION("""COMPUTED_VALUE"""),1.0)</f>
        <v>1</v>
      </c>
      <c r="J716" s="15">
        <f>IFERROR(__xludf.DUMMYFUNCTION("""COMPUTED_VALUE"""),0.0)</f>
        <v>0</v>
      </c>
      <c r="K716" s="15">
        <f>IFERROR(__xludf.DUMMYFUNCTION("""COMPUTED_VALUE"""),0.0)</f>
        <v>0</v>
      </c>
      <c r="L716" s="15"/>
    </row>
    <row r="717" ht="15.75" customHeight="1">
      <c r="A717" s="14" t="str">
        <f>IFERROR(__xludf.DUMMYFUNCTION("""COMPUTED_VALUE"""),"https://www.sortlist.co.uk/s/display-advertising/luton-england-gb")</f>
        <v>https://www.sortlist.co.uk/s/display-advertising/luton-england-gb</v>
      </c>
      <c r="B717" s="15" t="str">
        <f>IFERROR(__xludf.DUMMYFUNCTION("""COMPUTED_VALUE"""),"The 10 Best Display Advertising Agencies in Luton - 2026 Reviews")</f>
        <v>The 10 Best Display Advertising Agencies in Luton - 2026 Reviews</v>
      </c>
      <c r="C717" s="14" t="str">
        <f>IFERROR(__xludf.DUMMYFUNCTION("""COMPUTED_VALUE"""),"sortlist.co.uk")</f>
        <v>sortlist.co.uk</v>
      </c>
      <c r="D717" s="15" t="str">
        <f>IFERROR(__xludf.DUMMYFUNCTION("""COMPUTED_VALUE"""),"CATEGORY_PAGE")</f>
        <v>CATEGORY_PAGE</v>
      </c>
      <c r="E717" s="15" t="str">
        <f>IFERROR(__xludf.DUMMYFUNCTION("""COMPUTED_VALUE"""),"REFERENCE")</f>
        <v>REFERENCE</v>
      </c>
      <c r="F717" s="15" t="str">
        <f>IFERROR(__xludf.DUMMYFUNCTION("""COMPUTED_VALUE"""),"Category Page")</f>
        <v>Category Page</v>
      </c>
      <c r="G717" s="15" t="b">
        <f>IFERROR(__xludf.DUMMYFUNCTION("""COMPUTED_VALUE"""),FALSE)</f>
        <v>0</v>
      </c>
      <c r="H717" s="15" t="str">
        <f>IFERROR(__xludf.DUMMYFUNCTION("""COMPUTED_VALUE"""),"Push, Triple Whale, Northbeam, Found, Ninja Promo")</f>
        <v>Push, Triple Whale, Northbeam, Found, Ninja Promo</v>
      </c>
      <c r="I717" s="15">
        <f>IFERROR(__xludf.DUMMYFUNCTION("""COMPUTED_VALUE"""),1.0)</f>
        <v>1</v>
      </c>
      <c r="J717" s="15">
        <f>IFERROR(__xludf.DUMMYFUNCTION("""COMPUTED_VALUE"""),0.0)</f>
        <v>0</v>
      </c>
      <c r="K717" s="15">
        <f>IFERROR(__xludf.DUMMYFUNCTION("""COMPUTED_VALUE"""),0.0)</f>
        <v>0</v>
      </c>
      <c r="L717" s="15"/>
    </row>
    <row r="718" ht="15.75" customHeight="1">
      <c r="A718" s="14" t="str">
        <f>IFERROR(__xludf.DUMMYFUNCTION("""COMPUTED_VALUE"""),"https://www.sortlist.co.uk/s/display-advertising/manchester-england-gb")</f>
        <v>https://www.sortlist.co.uk/s/display-advertising/manchester-england-gb</v>
      </c>
      <c r="B718" s="15" t="str">
        <f>IFERROR(__xludf.DUMMYFUNCTION("""COMPUTED_VALUE"""),"The 10 Best Display Advertising Agencies in Manchester - 2026 Reviews")</f>
        <v>The 10 Best Display Advertising Agencies in Manchester - 2026 Reviews</v>
      </c>
      <c r="C718" s="14" t="str">
        <f>IFERROR(__xludf.DUMMYFUNCTION("""COMPUTED_VALUE"""),"sortlist.co.uk")</f>
        <v>sortlist.co.uk</v>
      </c>
      <c r="D718" s="15" t="str">
        <f>IFERROR(__xludf.DUMMYFUNCTION("""COMPUTED_VALUE"""),"CATEGORY_PAGE")</f>
        <v>CATEGORY_PAGE</v>
      </c>
      <c r="E718" s="15" t="str">
        <f>IFERROR(__xludf.DUMMYFUNCTION("""COMPUTED_VALUE"""),"REFERENCE")</f>
        <v>REFERENCE</v>
      </c>
      <c r="F718" s="15" t="str">
        <f>IFERROR(__xludf.DUMMYFUNCTION("""COMPUTED_VALUE"""),"Category Page")</f>
        <v>Category Page</v>
      </c>
      <c r="G718" s="15" t="b">
        <f>IFERROR(__xludf.DUMMYFUNCTION("""COMPUTED_VALUE"""),FALSE)</f>
        <v>0</v>
      </c>
      <c r="H718" s="15" t="str">
        <f>IFERROR(__xludf.DUMMYFUNCTION("""COMPUTED_VALUE"""),"Push, Triple Whale, Northbeam, Ninja Promo")</f>
        <v>Push, Triple Whale, Northbeam, Ninja Promo</v>
      </c>
      <c r="I718" s="15">
        <f>IFERROR(__xludf.DUMMYFUNCTION("""COMPUTED_VALUE"""),1.0)</f>
        <v>1</v>
      </c>
      <c r="J718" s="15">
        <f>IFERROR(__xludf.DUMMYFUNCTION("""COMPUTED_VALUE"""),0.0)</f>
        <v>0</v>
      </c>
      <c r="K718" s="15">
        <f>IFERROR(__xludf.DUMMYFUNCTION("""COMPUTED_VALUE"""),0.0)</f>
        <v>0</v>
      </c>
      <c r="L718" s="15"/>
    </row>
    <row r="719" ht="15.75" customHeight="1">
      <c r="A719" s="14" t="str">
        <f>IFERROR(__xludf.DUMMYFUNCTION("""COMPUTED_VALUE"""),"https://www.sortlist.co.uk/s/google-ads/united-kingdom-gb")</f>
        <v>https://www.sortlist.co.uk/s/google-ads/united-kingdom-gb</v>
      </c>
      <c r="B719" s="15" t="str">
        <f>IFERROR(__xludf.DUMMYFUNCTION("""COMPUTED_VALUE"""),"The 10 Best Google Ads Agencies in The United Kingdom - 2026 Reviews")</f>
        <v>The 10 Best Google Ads Agencies in The United Kingdom - 2026 Reviews</v>
      </c>
      <c r="C719" s="14" t="str">
        <f>IFERROR(__xludf.DUMMYFUNCTION("""COMPUTED_VALUE"""),"sortlist.co.uk")</f>
        <v>sortlist.co.uk</v>
      </c>
      <c r="D719" s="15" t="str">
        <f>IFERROR(__xludf.DUMMYFUNCTION("""COMPUTED_VALUE"""),"LISTICLE")</f>
        <v>LISTICLE</v>
      </c>
      <c r="E719" s="15" t="str">
        <f>IFERROR(__xludf.DUMMYFUNCTION("""COMPUTED_VALUE"""),"REFERENCE")</f>
        <v>REFERENCE</v>
      </c>
      <c r="F719" s="15" t="str">
        <f>IFERROR(__xludf.DUMMYFUNCTION("""COMPUTED_VALUE"""),"Listicle")</f>
        <v>Listicle</v>
      </c>
      <c r="G719" s="15" t="b">
        <f>IFERROR(__xludf.DUMMYFUNCTION("""COMPUTED_VALUE"""),FALSE)</f>
        <v>0</v>
      </c>
      <c r="H719" s="15" t="str">
        <f>IFERROR(__xludf.DUMMYFUNCTION("""COMPUTED_VALUE"""),"Push, Triple Whale, Northbeam, Found, Ninja Promo")</f>
        <v>Push, Triple Whale, Northbeam, Found, Ninja Promo</v>
      </c>
      <c r="I719" s="15">
        <f>IFERROR(__xludf.DUMMYFUNCTION("""COMPUTED_VALUE"""),1.0)</f>
        <v>1</v>
      </c>
      <c r="J719" s="15">
        <f>IFERROR(__xludf.DUMMYFUNCTION("""COMPUTED_VALUE"""),0.0)</f>
        <v>0</v>
      </c>
      <c r="K719" s="15">
        <f>IFERROR(__xludf.DUMMYFUNCTION("""COMPUTED_VALUE"""),1.0)</f>
        <v>1</v>
      </c>
      <c r="L719" s="15"/>
    </row>
    <row r="720" ht="15.75" customHeight="1">
      <c r="A720" s="14" t="str">
        <f>IFERROR(__xludf.DUMMYFUNCTION("""COMPUTED_VALUE"""),"https://www.sortlist.co.uk/s/international-branding/united-kingdom-gb")</f>
        <v>https://www.sortlist.co.uk/s/international-branding/united-kingdom-gb</v>
      </c>
      <c r="B720" s="15" t="str">
        <f>IFERROR(__xludf.DUMMYFUNCTION("""COMPUTED_VALUE"""),"The 10 Best International Branding Agencies in The United Kingdom - 2026 Reviews")</f>
        <v>The 10 Best International Branding Agencies in The United Kingdom - 2026 Reviews</v>
      </c>
      <c r="C720" s="14" t="str">
        <f>IFERROR(__xludf.DUMMYFUNCTION("""COMPUTED_VALUE"""),"sortlist.co.uk")</f>
        <v>sortlist.co.uk</v>
      </c>
      <c r="D720" s="15" t="str">
        <f>IFERROR(__xludf.DUMMYFUNCTION("""COMPUTED_VALUE"""),"CATEGORY_PAGE")</f>
        <v>CATEGORY_PAGE</v>
      </c>
      <c r="E720" s="15" t="str">
        <f>IFERROR(__xludf.DUMMYFUNCTION("""COMPUTED_VALUE"""),"REFERENCE")</f>
        <v>REFERENCE</v>
      </c>
      <c r="F720" s="15" t="str">
        <f>IFERROR(__xludf.DUMMYFUNCTION("""COMPUTED_VALUE"""),"Category Page")</f>
        <v>Category Page</v>
      </c>
      <c r="G720" s="15" t="b">
        <f>IFERROR(__xludf.DUMMYFUNCTION("""COMPUTED_VALUE"""),FALSE)</f>
        <v>0</v>
      </c>
      <c r="H720" s="15" t="str">
        <f>IFERROR(__xludf.DUMMYFUNCTION("""COMPUTED_VALUE"""),"Momentum, M3.agency")</f>
        <v>Momentum, M3.agency</v>
      </c>
      <c r="I720" s="15">
        <f>IFERROR(__xludf.DUMMYFUNCTION("""COMPUTED_VALUE"""),1.0)</f>
        <v>1</v>
      </c>
      <c r="J720" s="15">
        <f>IFERROR(__xludf.DUMMYFUNCTION("""COMPUTED_VALUE"""),0.0)</f>
        <v>0</v>
      </c>
      <c r="K720" s="15">
        <f>IFERROR(__xludf.DUMMYFUNCTION("""COMPUTED_VALUE"""),0.0)</f>
        <v>0</v>
      </c>
      <c r="L720" s="15"/>
    </row>
    <row r="721" ht="15.75" customHeight="1">
      <c r="A721" s="14" t="str">
        <f>IFERROR(__xludf.DUMMYFUNCTION("""COMPUTED_VALUE"""),"https://www.sortlist.co.uk/s/performance-marketing/greater-london-england-gb")</f>
        <v>https://www.sortlist.co.uk/s/performance-marketing/greater-london-england-gb</v>
      </c>
      <c r="B721" s="15" t="str">
        <f>IFERROR(__xludf.DUMMYFUNCTION("""COMPUTED_VALUE"""),"The 10 Best Performance Marketing Agencies in Greater London - 2026 Reviews")</f>
        <v>The 10 Best Performance Marketing Agencies in Greater London - 2026 Reviews</v>
      </c>
      <c r="C721" s="14" t="str">
        <f>IFERROR(__xludf.DUMMYFUNCTION("""COMPUTED_VALUE"""),"sortlist.co.uk")</f>
        <v>sortlist.co.uk</v>
      </c>
      <c r="D721" s="15" t="str">
        <f>IFERROR(__xludf.DUMMYFUNCTION("""COMPUTED_VALUE"""),"CATEGORY_PAGE")</f>
        <v>CATEGORY_PAGE</v>
      </c>
      <c r="E721" s="15" t="str">
        <f>IFERROR(__xludf.DUMMYFUNCTION("""COMPUTED_VALUE"""),"REFERENCE")</f>
        <v>REFERENCE</v>
      </c>
      <c r="F721" s="15" t="str">
        <f>IFERROR(__xludf.DUMMYFUNCTION("""COMPUTED_VALUE"""),"Category Page")</f>
        <v>Category Page</v>
      </c>
      <c r="G721" s="15" t="b">
        <f>IFERROR(__xludf.DUMMYFUNCTION("""COMPUTED_VALUE"""),FALSE)</f>
        <v>0</v>
      </c>
      <c r="H721" s="15" t="str">
        <f>IFERROR(__xludf.DUMMYFUNCTION("""COMPUTED_VALUE"""),"Push, Triple Whale, Northbeam, McKinsey &amp; Company, Momentum, M3.agency, Whitehat")</f>
        <v>Push, Triple Whale, Northbeam, McKinsey &amp; Company, Momentum, M3.agency, Whitehat</v>
      </c>
      <c r="I721" s="15">
        <f>IFERROR(__xludf.DUMMYFUNCTION("""COMPUTED_VALUE"""),1.0)</f>
        <v>1</v>
      </c>
      <c r="J721" s="15">
        <f>IFERROR(__xludf.DUMMYFUNCTION("""COMPUTED_VALUE"""),0.0)</f>
        <v>0</v>
      </c>
      <c r="K721" s="15">
        <f>IFERROR(__xludf.DUMMYFUNCTION("""COMPUTED_VALUE"""),0.0)</f>
        <v>0</v>
      </c>
      <c r="L721" s="15"/>
    </row>
    <row r="722" ht="15.75" customHeight="1">
      <c r="A722" s="14" t="str">
        <f>IFERROR(__xludf.DUMMYFUNCTION("""COMPUTED_VALUE"""),"https://www.sortlist.co.uk/s/programmatic-advertising/london-england-gb")</f>
        <v>https://www.sortlist.co.uk/s/programmatic-advertising/london-england-gb</v>
      </c>
      <c r="B722" s="15" t="str">
        <f>IFERROR(__xludf.DUMMYFUNCTION("""COMPUTED_VALUE"""),"The 10 Best Programmatic Advertising Companies in London - 2026 Reviews")</f>
        <v>The 10 Best Programmatic Advertising Companies in London - 2026 Reviews</v>
      </c>
      <c r="C722" s="14" t="str">
        <f>IFERROR(__xludf.DUMMYFUNCTION("""COMPUTED_VALUE"""),"sortlist.co.uk")</f>
        <v>sortlist.co.uk</v>
      </c>
      <c r="D722" s="15" t="str">
        <f>IFERROR(__xludf.DUMMYFUNCTION("""COMPUTED_VALUE"""),"CATEGORY_PAGE")</f>
        <v>CATEGORY_PAGE</v>
      </c>
      <c r="E722" s="15" t="str">
        <f>IFERROR(__xludf.DUMMYFUNCTION("""COMPUTED_VALUE"""),"REFERENCE")</f>
        <v>REFERENCE</v>
      </c>
      <c r="F722" s="15" t="str">
        <f>IFERROR(__xludf.DUMMYFUNCTION("""COMPUTED_VALUE"""),"Category Page")</f>
        <v>Category Page</v>
      </c>
      <c r="G722" s="15" t="b">
        <f>IFERROR(__xludf.DUMMYFUNCTION("""COMPUTED_VALUE"""),FALSE)</f>
        <v>0</v>
      </c>
      <c r="H722" s="15" t="str">
        <f>IFERROR(__xludf.DUMMYFUNCTION("""COMPUTED_VALUE"""),"Momentum, M3.agency")</f>
        <v>Momentum, M3.agency</v>
      </c>
      <c r="I722" s="15">
        <f>IFERROR(__xludf.DUMMYFUNCTION("""COMPUTED_VALUE"""),1.0)</f>
        <v>1</v>
      </c>
      <c r="J722" s="15">
        <f>IFERROR(__xludf.DUMMYFUNCTION("""COMPUTED_VALUE"""),0.0)</f>
        <v>0</v>
      </c>
      <c r="K722" s="15">
        <f>IFERROR(__xludf.DUMMYFUNCTION("""COMPUTED_VALUE"""),0.0)</f>
        <v>0</v>
      </c>
      <c r="L722" s="15"/>
    </row>
    <row r="723" ht="15.75" customHeight="1">
      <c r="A723" s="14" t="str">
        <f>IFERROR(__xludf.DUMMYFUNCTION("""COMPUTED_VALUE"""),"https://www.sortlist.co.uk/s/storytelling/london-england-gb")</f>
        <v>https://www.sortlist.co.uk/s/storytelling/london-england-gb</v>
      </c>
      <c r="B723" s="15" t="str">
        <f>IFERROR(__xludf.DUMMYFUNCTION("""COMPUTED_VALUE"""),"The 10 Best Storytelling Agencies in London - 2026 Reviews")</f>
        <v>The 10 Best Storytelling Agencies in London - 2026 Reviews</v>
      </c>
      <c r="C723" s="14" t="str">
        <f>IFERROR(__xludf.DUMMYFUNCTION("""COMPUTED_VALUE"""),"sortlist.co.uk")</f>
        <v>sortlist.co.uk</v>
      </c>
      <c r="D723" s="15" t="str">
        <f>IFERROR(__xludf.DUMMYFUNCTION("""COMPUTED_VALUE"""),"CATEGORY_PAGE")</f>
        <v>CATEGORY_PAGE</v>
      </c>
      <c r="E723" s="15" t="str">
        <f>IFERROR(__xludf.DUMMYFUNCTION("""COMPUTED_VALUE"""),"REFERENCE")</f>
        <v>REFERENCE</v>
      </c>
      <c r="F723" s="15" t="str">
        <f>IFERROR(__xludf.DUMMYFUNCTION("""COMPUTED_VALUE"""),"Category Page")</f>
        <v>Category Page</v>
      </c>
      <c r="G723" s="15" t="b">
        <f>IFERROR(__xludf.DUMMYFUNCTION("""COMPUTED_VALUE"""),FALSE)</f>
        <v>0</v>
      </c>
      <c r="H723" s="15" t="str">
        <f>IFERROR(__xludf.DUMMYFUNCTION("""COMPUTED_VALUE"""),"Push, Ninja Promo, McKinsey &amp; Company")</f>
        <v>Push, Ninja Promo, McKinsey &amp; Company</v>
      </c>
      <c r="I723" s="15">
        <f>IFERROR(__xludf.DUMMYFUNCTION("""COMPUTED_VALUE"""),1.0)</f>
        <v>1</v>
      </c>
      <c r="J723" s="15">
        <f>IFERROR(__xludf.DUMMYFUNCTION("""COMPUTED_VALUE"""),0.0)</f>
        <v>0</v>
      </c>
      <c r="K723" s="15">
        <f>IFERROR(__xludf.DUMMYFUNCTION("""COMPUTED_VALUE"""),0.0)</f>
        <v>0</v>
      </c>
      <c r="L723" s="15"/>
    </row>
    <row r="724" ht="15.75" customHeight="1">
      <c r="A724" s="14" t="str">
        <f>IFERROR(__xludf.DUMMYFUNCTION("""COMPUTED_VALUE"""),"https://www.sortlist.co.uk/s/testing-services/united-kingdom-gb")</f>
        <v>https://www.sortlist.co.uk/s/testing-services/united-kingdom-gb</v>
      </c>
      <c r="B724" s="15" t="str">
        <f>IFERROR(__xludf.DUMMYFUNCTION("""COMPUTED_VALUE"""),"The 10 Best Testing Services Companies in The United Kingdom - 2026 Reviews")</f>
        <v>The 10 Best Testing Services Companies in The United Kingdom - 2026 Reviews</v>
      </c>
      <c r="C724" s="14" t="str">
        <f>IFERROR(__xludf.DUMMYFUNCTION("""COMPUTED_VALUE"""),"sortlist.co.uk")</f>
        <v>sortlist.co.uk</v>
      </c>
      <c r="D724" s="15" t="str">
        <f>IFERROR(__xludf.DUMMYFUNCTION("""COMPUTED_VALUE"""),"CATEGORY_PAGE")</f>
        <v>CATEGORY_PAGE</v>
      </c>
      <c r="E724" s="15" t="str">
        <f>IFERROR(__xludf.DUMMYFUNCTION("""COMPUTED_VALUE"""),"REFERENCE")</f>
        <v>REFERENCE</v>
      </c>
      <c r="F724" s="15" t="str">
        <f>IFERROR(__xludf.DUMMYFUNCTION("""COMPUTED_VALUE"""),"Category Page")</f>
        <v>Category Page</v>
      </c>
      <c r="G724" s="15" t="b">
        <f>IFERROR(__xludf.DUMMYFUNCTION("""COMPUTED_VALUE"""),FALSE)</f>
        <v>0</v>
      </c>
      <c r="H724" s="15" t="str">
        <f>IFERROR(__xludf.DUMMYFUNCTION("""COMPUTED_VALUE"""),"Momentum, M3.agency, Whitehat")</f>
        <v>Momentum, M3.agency, Whitehat</v>
      </c>
      <c r="I724" s="15">
        <f>IFERROR(__xludf.DUMMYFUNCTION("""COMPUTED_VALUE"""),1.0)</f>
        <v>1</v>
      </c>
      <c r="J724" s="15">
        <f>IFERROR(__xludf.DUMMYFUNCTION("""COMPUTED_VALUE"""),0.0)</f>
        <v>0</v>
      </c>
      <c r="K724" s="15">
        <f>IFERROR(__xludf.DUMMYFUNCTION("""COMPUTED_VALUE"""),1.0)</f>
        <v>1</v>
      </c>
      <c r="L724" s="15"/>
    </row>
    <row r="725" ht="15.75" customHeight="1">
      <c r="A725" s="14" t="str">
        <f>IFERROR(__xludf.DUMMYFUNCTION("""COMPUTED_VALUE"""),"https://www.sortlist.co.uk/web-analytics/london-england-gb")</f>
        <v>https://www.sortlist.co.uk/web-analytics/london-england-gb</v>
      </c>
      <c r="B725" s="15" t="str">
        <f>IFERROR(__xludf.DUMMYFUNCTION("""COMPUTED_VALUE"""),"The 10 Best Web Analytics Agencies in London - 2026 Reviews")</f>
        <v>The 10 Best Web Analytics Agencies in London - 2026 Reviews</v>
      </c>
      <c r="C725" s="14" t="str">
        <f>IFERROR(__xludf.DUMMYFUNCTION("""COMPUTED_VALUE"""),"sortlist.co.uk")</f>
        <v>sortlist.co.uk</v>
      </c>
      <c r="D725" s="15" t="str">
        <f>IFERROR(__xludf.DUMMYFUNCTION("""COMPUTED_VALUE"""),"CATEGORY_PAGE")</f>
        <v>CATEGORY_PAGE</v>
      </c>
      <c r="E725" s="15" t="str">
        <f>IFERROR(__xludf.DUMMYFUNCTION("""COMPUTED_VALUE"""),"REFERENCE")</f>
        <v>REFERENCE</v>
      </c>
      <c r="F725" s="15" t="str">
        <f>IFERROR(__xludf.DUMMYFUNCTION("""COMPUTED_VALUE"""),"Category Page")</f>
        <v>Category Page</v>
      </c>
      <c r="G725" s="15" t="b">
        <f>IFERROR(__xludf.DUMMYFUNCTION("""COMPUTED_VALUE"""),FALSE)</f>
        <v>0</v>
      </c>
      <c r="H725" s="15" t="str">
        <f>IFERROR(__xludf.DUMMYFUNCTION("""COMPUTED_VALUE"""),"Whitehat, Found")</f>
        <v>Whitehat, Found</v>
      </c>
      <c r="I725" s="15">
        <f>IFERROR(__xludf.DUMMYFUNCTION("""COMPUTED_VALUE"""),1.0)</f>
        <v>1</v>
      </c>
      <c r="J725" s="15">
        <f>IFERROR(__xludf.DUMMYFUNCTION("""COMPUTED_VALUE"""),0.0)</f>
        <v>0</v>
      </c>
      <c r="K725" s="15">
        <f>IFERROR(__xludf.DUMMYFUNCTION("""COMPUTED_VALUE"""),0.0)</f>
        <v>0</v>
      </c>
      <c r="L725" s="15"/>
    </row>
    <row r="726" ht="15.75" customHeight="1">
      <c r="A726" s="14" t="str">
        <f>IFERROR(__xludf.DUMMYFUNCTION("""COMPUTED_VALUE"""),"https://www.sortlist.com/marketing-communication")</f>
        <v>https://www.sortlist.com/marketing-communication</v>
      </c>
      <c r="B726" s="15" t="str">
        <f>IFERROR(__xludf.DUMMYFUNCTION("""COMPUTED_VALUE"""),"The 100 Best Marketing Communication Agencies - 2026 Reviews")</f>
        <v>The 100 Best Marketing Communication Agencies - 2026 Reviews</v>
      </c>
      <c r="C726" s="14" t="str">
        <f>IFERROR(__xludf.DUMMYFUNCTION("""COMPUTED_VALUE"""),"sortlist.com")</f>
        <v>sortlist.com</v>
      </c>
      <c r="D726" s="15" t="str">
        <f>IFERROR(__xludf.DUMMYFUNCTION("""COMPUTED_VALUE"""),"CATEGORY_PAGE")</f>
        <v>CATEGORY_PAGE</v>
      </c>
      <c r="E726" s="15" t="str">
        <f>IFERROR(__xludf.DUMMYFUNCTION("""COMPUTED_VALUE"""),"CORPORATE")</f>
        <v>CORPORATE</v>
      </c>
      <c r="F726" s="15" t="str">
        <f>IFERROR(__xludf.DUMMYFUNCTION("""COMPUTED_VALUE"""),"Category Page")</f>
        <v>Category Page</v>
      </c>
      <c r="G726" s="15" t="b">
        <f>IFERROR(__xludf.DUMMYFUNCTION("""COMPUTED_VALUE"""),FALSE)</f>
        <v>0</v>
      </c>
      <c r="H726" s="15" t="str">
        <f>IFERROR(__xludf.DUMMYFUNCTION("""COMPUTED_VALUE"""),"Push")</f>
        <v>Push</v>
      </c>
      <c r="I726" s="15">
        <f>IFERROR(__xludf.DUMMYFUNCTION("""COMPUTED_VALUE"""),1.0)</f>
        <v>1</v>
      </c>
      <c r="J726" s="15">
        <f>IFERROR(__xludf.DUMMYFUNCTION("""COMPUTED_VALUE"""),0.0)</f>
        <v>0</v>
      </c>
      <c r="K726" s="15">
        <f>IFERROR(__xludf.DUMMYFUNCTION("""COMPUTED_VALUE"""),1.0)</f>
        <v>1</v>
      </c>
      <c r="L726" s="15"/>
    </row>
    <row r="727" ht="15.75" customHeight="1">
      <c r="A727" s="14" t="str">
        <f>IFERROR(__xludf.DUMMYFUNCTION("""COMPUTED_VALUE"""),"https://www.sortlist.com/performance-marketing")</f>
        <v>https://www.sortlist.com/performance-marketing</v>
      </c>
      <c r="B727" s="15" t="str">
        <f>IFERROR(__xludf.DUMMYFUNCTION("""COMPUTED_VALUE"""),"The 100 Best Performance Marketing Agencies - 2026 Reviews")</f>
        <v>The 100 Best Performance Marketing Agencies - 2026 Reviews</v>
      </c>
      <c r="C727" s="14" t="str">
        <f>IFERROR(__xludf.DUMMYFUNCTION("""COMPUTED_VALUE"""),"sortlist.com")</f>
        <v>sortlist.com</v>
      </c>
      <c r="D727" s="15" t="str">
        <f>IFERROR(__xludf.DUMMYFUNCTION("""COMPUTED_VALUE"""),"CATEGORY_PAGE")</f>
        <v>CATEGORY_PAGE</v>
      </c>
      <c r="E727" s="15" t="str">
        <f>IFERROR(__xludf.DUMMYFUNCTION("""COMPUTED_VALUE"""),"CORPORATE")</f>
        <v>CORPORATE</v>
      </c>
      <c r="F727" s="15" t="str">
        <f>IFERROR(__xludf.DUMMYFUNCTION("""COMPUTED_VALUE"""),"Category Page")</f>
        <v>Category Page</v>
      </c>
      <c r="G727" s="15" t="b">
        <f>IFERROR(__xludf.DUMMYFUNCTION("""COMPUTED_VALUE"""),FALSE)</f>
        <v>0</v>
      </c>
      <c r="H727" s="15" t="str">
        <f>IFERROR(__xludf.DUMMYFUNCTION("""COMPUTED_VALUE"""),"Push, Triple Whale, Northbeam, Measured, Found")</f>
        <v>Push, Triple Whale, Northbeam, Measured, Found</v>
      </c>
      <c r="I727" s="15">
        <f>IFERROR(__xludf.DUMMYFUNCTION("""COMPUTED_VALUE"""),1.0)</f>
        <v>1</v>
      </c>
      <c r="J727" s="15">
        <f>IFERROR(__xludf.DUMMYFUNCTION("""COMPUTED_VALUE"""),0.0)</f>
        <v>0</v>
      </c>
      <c r="K727" s="15">
        <f>IFERROR(__xludf.DUMMYFUNCTION("""COMPUTED_VALUE"""),0.0)</f>
        <v>0</v>
      </c>
      <c r="L727" s="15"/>
    </row>
    <row r="728" ht="15.75" customHeight="1">
      <c r="A728" s="14" t="str">
        <f>IFERROR(__xludf.DUMMYFUNCTION("""COMPUTED_VALUE"""),"https://www.sortlist.com/social-media-optimization")</f>
        <v>https://www.sortlist.com/social-media-optimization</v>
      </c>
      <c r="B728" s="15" t="str">
        <f>IFERROR(__xludf.DUMMYFUNCTION("""COMPUTED_VALUE"""),"The 100 Best Social Media Optimization Agencies - 2026 Reviews")</f>
        <v>The 100 Best Social Media Optimization Agencies - 2026 Reviews</v>
      </c>
      <c r="C728" s="14" t="str">
        <f>IFERROR(__xludf.DUMMYFUNCTION("""COMPUTED_VALUE"""),"sortlist.com")</f>
        <v>sortlist.com</v>
      </c>
      <c r="D728" s="15" t="str">
        <f>IFERROR(__xludf.DUMMYFUNCTION("""COMPUTED_VALUE"""),"CATEGORY_PAGE")</f>
        <v>CATEGORY_PAGE</v>
      </c>
      <c r="E728" s="15" t="str">
        <f>IFERROR(__xludf.DUMMYFUNCTION("""COMPUTED_VALUE"""),"CORPORATE")</f>
        <v>CORPORATE</v>
      </c>
      <c r="F728" s="15" t="str">
        <f>IFERROR(__xludf.DUMMYFUNCTION("""COMPUTED_VALUE"""),"Category Page")</f>
        <v>Category Page</v>
      </c>
      <c r="G728" s="15" t="b">
        <f>IFERROR(__xludf.DUMMYFUNCTION("""COMPUTED_VALUE"""),FALSE)</f>
        <v>0</v>
      </c>
      <c r="H728" s="15"/>
      <c r="I728" s="15">
        <f>IFERROR(__xludf.DUMMYFUNCTION("""COMPUTED_VALUE"""),1.0)</f>
        <v>1</v>
      </c>
      <c r="J728" s="15">
        <f>IFERROR(__xludf.DUMMYFUNCTION("""COMPUTED_VALUE"""),0.0)</f>
        <v>0</v>
      </c>
      <c r="K728" s="15">
        <f>IFERROR(__xludf.DUMMYFUNCTION("""COMPUTED_VALUE"""),0.0)</f>
        <v>0</v>
      </c>
      <c r="L728" s="15"/>
    </row>
    <row r="729" ht="15.75" customHeight="1">
      <c r="A729" s="14" t="str">
        <f>IFERROR(__xludf.DUMMYFUNCTION("""COMPUTED_VALUE"""),"https://www.superhub.biz/top-digital-marketing-companies-for-small-business-uk")</f>
        <v>https://www.superhub.biz/top-digital-marketing-companies-for-small-business-uk</v>
      </c>
      <c r="B729" s="15" t="str">
        <f>IFERROR(__xludf.DUMMYFUNCTION("""COMPUTED_VALUE"""),"Best Digital Marketing Companies for Small Business UK 2026")</f>
        <v>Best Digital Marketing Companies for Small Business UK 2026</v>
      </c>
      <c r="C729" s="14" t="str">
        <f>IFERROR(__xludf.DUMMYFUNCTION("""COMPUTED_VALUE"""),"superhub.biz")</f>
        <v>superhub.biz</v>
      </c>
      <c r="D729" s="15" t="str">
        <f>IFERROR(__xludf.DUMMYFUNCTION("""COMPUTED_VALUE"""),"LISTICLE")</f>
        <v>LISTICLE</v>
      </c>
      <c r="E729" s="15" t="str">
        <f>IFERROR(__xludf.DUMMYFUNCTION("""COMPUTED_VALUE"""),"CORPORATE")</f>
        <v>CORPORATE</v>
      </c>
      <c r="F729" s="15" t="str">
        <f>IFERROR(__xludf.DUMMYFUNCTION("""COMPUTED_VALUE"""),"Listicle")</f>
        <v>Listicle</v>
      </c>
      <c r="G729" s="15" t="b">
        <f>IFERROR(__xludf.DUMMYFUNCTION("""COMPUTED_VALUE"""),FALSE)</f>
        <v>0</v>
      </c>
      <c r="H729" s="15" t="str">
        <f>IFERROR(__xludf.DUMMYFUNCTION("""COMPUTED_VALUE"""),"Push, Found")</f>
        <v>Push, Found</v>
      </c>
      <c r="I729" s="15">
        <f>IFERROR(__xludf.DUMMYFUNCTION("""COMPUTED_VALUE"""),1.0)</f>
        <v>1</v>
      </c>
      <c r="J729" s="15">
        <f>IFERROR(__xludf.DUMMYFUNCTION("""COMPUTED_VALUE"""),0.0)</f>
        <v>0</v>
      </c>
      <c r="K729" s="15">
        <f>IFERROR(__xludf.DUMMYFUNCTION("""COMPUTED_VALUE"""),1.0)</f>
        <v>1</v>
      </c>
      <c r="L729" s="15"/>
    </row>
    <row r="730" ht="15.75" customHeight="1">
      <c r="A730" s="14" t="str">
        <f>IFERROR(__xludf.DUMMYFUNCTION("""COMPUTED_VALUE"""),"https://www.superside.com/blog/ad-creative-agencies")</f>
        <v>https://www.superside.com/blog/ad-creative-agencies</v>
      </c>
      <c r="B730" s="15" t="str">
        <f>IFERROR(__xludf.DUMMYFUNCTION("""COMPUTED_VALUE"""),"12 Top Ad Creative Agencies for Enterprises &amp;amp; Brands (2026)")</f>
        <v>12 Top Ad Creative Agencies for Enterprises &amp;amp; Brands (2026)</v>
      </c>
      <c r="C730" s="14" t="str">
        <f>IFERROR(__xludf.DUMMYFUNCTION("""COMPUTED_VALUE"""),"superside.com")</f>
        <v>superside.com</v>
      </c>
      <c r="D730" s="15" t="str">
        <f>IFERROR(__xludf.DUMMYFUNCTION("""COMPUTED_VALUE"""),"LISTICLE")</f>
        <v>LISTICLE</v>
      </c>
      <c r="E730" s="15" t="str">
        <f>IFERROR(__xludf.DUMMYFUNCTION("""COMPUTED_VALUE"""),"COMPETITOR")</f>
        <v>COMPETITOR</v>
      </c>
      <c r="F730" s="15" t="str">
        <f>IFERROR(__xludf.DUMMYFUNCTION("""COMPUTED_VALUE"""),"Listicle")</f>
        <v>Listicle</v>
      </c>
      <c r="G730" s="15" t="b">
        <f>IFERROR(__xludf.DUMMYFUNCTION("""COMPUTED_VALUE"""),FALSE)</f>
        <v>0</v>
      </c>
      <c r="H730" s="15" t="str">
        <f>IFERROR(__xludf.DUMMYFUNCTION("""COMPUTED_VALUE"""),"Superside, Found, Gravity Global, Ogilvy, Accenture Song")</f>
        <v>Superside, Found, Gravity Global, Ogilvy, Accenture Song</v>
      </c>
      <c r="I730" s="15">
        <f>IFERROR(__xludf.DUMMYFUNCTION("""COMPUTED_VALUE"""),1.0)</f>
        <v>1</v>
      </c>
      <c r="J730" s="15">
        <f>IFERROR(__xludf.DUMMYFUNCTION("""COMPUTED_VALUE"""),0.0)</f>
        <v>0</v>
      </c>
      <c r="K730" s="15">
        <f>IFERROR(__xludf.DUMMYFUNCTION("""COMPUTED_VALUE"""),1.0)</f>
        <v>1</v>
      </c>
      <c r="L730" s="15"/>
    </row>
    <row r="731" ht="15.75" customHeight="1">
      <c r="A731" s="14" t="str">
        <f>IFERROR(__xludf.DUMMYFUNCTION("""COMPUTED_VALUE"""),"https://www.superside.com/blog/creative-agencies")</f>
        <v>https://www.superside.com/blog/creative-agencies</v>
      </c>
      <c r="B731" s="15" t="str">
        <f>IFERROR(__xludf.DUMMYFUNCTION("""COMPUTED_VALUE"""),"14 Best Creative Agencies That Make Brands Stand Out in 2026")</f>
        <v>14 Best Creative Agencies That Make Brands Stand Out in 2026</v>
      </c>
      <c r="C731" s="14" t="str">
        <f>IFERROR(__xludf.DUMMYFUNCTION("""COMPUTED_VALUE"""),"superside.com")</f>
        <v>superside.com</v>
      </c>
      <c r="D731" s="15" t="str">
        <f>IFERROR(__xludf.DUMMYFUNCTION("""COMPUTED_VALUE"""),"LISTICLE")</f>
        <v>LISTICLE</v>
      </c>
      <c r="E731" s="15" t="str">
        <f>IFERROR(__xludf.DUMMYFUNCTION("""COMPUTED_VALUE"""),"COMPETITOR")</f>
        <v>COMPETITOR</v>
      </c>
      <c r="F731" s="15" t="str">
        <f>IFERROR(__xludf.DUMMYFUNCTION("""COMPUTED_VALUE"""),"Listicle")</f>
        <v>Listicle</v>
      </c>
      <c r="G731" s="15" t="b">
        <f>IFERROR(__xludf.DUMMYFUNCTION("""COMPUTED_VALUE"""),FALSE)</f>
        <v>0</v>
      </c>
      <c r="H731" s="15" t="str">
        <f>IFERROR(__xludf.DUMMYFUNCTION("""COMPUTED_VALUE"""),"Superside, Huge, Ogilvy, Found, Impression")</f>
        <v>Superside, Huge, Ogilvy, Found, Impression</v>
      </c>
      <c r="I731" s="15">
        <f>IFERROR(__xludf.DUMMYFUNCTION("""COMPUTED_VALUE"""),1.0)</f>
        <v>1</v>
      </c>
      <c r="J731" s="15">
        <f>IFERROR(__xludf.DUMMYFUNCTION("""COMPUTED_VALUE"""),0.0)</f>
        <v>0</v>
      </c>
      <c r="K731" s="15">
        <f>IFERROR(__xludf.DUMMYFUNCTION("""COMPUTED_VALUE"""),1.0)</f>
        <v>1</v>
      </c>
      <c r="L731" s="15"/>
    </row>
    <row r="732" ht="15.75" customHeight="1">
      <c r="A732" s="14" t="str">
        <f>IFERROR(__xludf.DUMMYFUNCTION("""COMPUTED_VALUE"""),"https://susodigital.com/thoughts/12-best-generative-seo-service-agencies/")</f>
        <v>https://susodigital.com/thoughts/12-best-generative-seo-service-agencies/</v>
      </c>
      <c r="B732" s="15" t="str">
        <f>IFERROR(__xludf.DUMMYFUNCTION("""COMPUTED_VALUE"""),"Top 12 GEO Agencies in 2026 - SUSO")</f>
        <v>Top 12 GEO Agencies in 2026 - SUSO</v>
      </c>
      <c r="C732" s="14" t="str">
        <f>IFERROR(__xludf.DUMMYFUNCTION("""COMPUTED_VALUE"""),"susodigital.com")</f>
        <v>susodigital.com</v>
      </c>
      <c r="D732" s="15" t="str">
        <f>IFERROR(__xludf.DUMMYFUNCTION("""COMPUTED_VALUE"""),"LISTICLE")</f>
        <v>LISTICLE</v>
      </c>
      <c r="E732" s="15" t="str">
        <f>IFERROR(__xludf.DUMMYFUNCTION("""COMPUTED_VALUE"""),"CORPORATE")</f>
        <v>CORPORATE</v>
      </c>
      <c r="F732" s="15" t="str">
        <f>IFERROR(__xludf.DUMMYFUNCTION("""COMPUTED_VALUE"""),"Listicle")</f>
        <v>Listicle</v>
      </c>
      <c r="G732" s="15" t="b">
        <f>IFERROR(__xludf.DUMMYFUNCTION("""COMPUTED_VALUE"""),FALSE)</f>
        <v>0</v>
      </c>
      <c r="H732" s="15" t="str">
        <f>IFERROR(__xludf.DUMMYFUNCTION("""COMPUTED_VALUE"""),"Blue Array, Ignite Visibility, WebFX, Found")</f>
        <v>Blue Array, Ignite Visibility, WebFX, Found</v>
      </c>
      <c r="I732" s="15">
        <f>IFERROR(__xludf.DUMMYFUNCTION("""COMPUTED_VALUE"""),1.0)</f>
        <v>1</v>
      </c>
      <c r="J732" s="15">
        <f>IFERROR(__xludf.DUMMYFUNCTION("""COMPUTED_VALUE"""),0.0)</f>
        <v>0</v>
      </c>
      <c r="K732" s="15">
        <f>IFERROR(__xludf.DUMMYFUNCTION("""COMPUTED_VALUE"""),2.0)</f>
        <v>2</v>
      </c>
      <c r="L732" s="15"/>
    </row>
    <row r="733" ht="15.75" customHeight="1">
      <c r="A733" s="14" t="str">
        <f>IFERROR(__xludf.DUMMYFUNCTION("""COMPUTED_VALUE"""),"https://syntermedia.ai/blog/best-attribution-software-marketing-teams")</f>
        <v>https://syntermedia.ai/blog/best-attribution-software-marketing-teams</v>
      </c>
      <c r="B733" s="15" t="str">
        <f>IFERROR(__xludf.DUMMYFUNCTION("""COMPUTED_VALUE"""),"10 Best Attribution Software for Marketing Teams (2026 Compared) | Synter")</f>
        <v>10 Best Attribution Software for Marketing Teams (2026 Compared) | Synter</v>
      </c>
      <c r="C733" s="14" t="str">
        <f>IFERROR(__xludf.DUMMYFUNCTION("""COMPUTED_VALUE"""),"syntermedia.ai")</f>
        <v>syntermedia.ai</v>
      </c>
      <c r="D733" s="15" t="str">
        <f>IFERROR(__xludf.DUMMYFUNCTION("""COMPUTED_VALUE"""),"LISTICLE")</f>
        <v>LISTICLE</v>
      </c>
      <c r="E733" s="15" t="str">
        <f>IFERROR(__xludf.DUMMYFUNCTION("""COMPUTED_VALUE"""),"CORPORATE")</f>
        <v>CORPORATE</v>
      </c>
      <c r="F733" s="15" t="str">
        <f>IFERROR(__xludf.DUMMYFUNCTION("""COMPUTED_VALUE"""),"Listicle")</f>
        <v>Listicle</v>
      </c>
      <c r="G733" s="15" t="b">
        <f>IFERROR(__xludf.DUMMYFUNCTION("""COMPUTED_VALUE"""),FALSE)</f>
        <v>0</v>
      </c>
      <c r="H733" s="15" t="str">
        <f>IFERROR(__xludf.DUMMYFUNCTION("""COMPUTED_VALUE"""),"Ruler Analytics, SegmentStream, Impression, Push, Found, Cometly, Triple Whale")</f>
        <v>Ruler Analytics, SegmentStream, Impression, Push, Found, Cometly, Triple Whale</v>
      </c>
      <c r="I733" s="15">
        <f>IFERROR(__xludf.DUMMYFUNCTION("""COMPUTED_VALUE"""),1.0)</f>
        <v>1</v>
      </c>
      <c r="J733" s="15">
        <f>IFERROR(__xludf.DUMMYFUNCTION("""COMPUTED_VALUE"""),0.0)</f>
        <v>0</v>
      </c>
      <c r="K733" s="15">
        <f>IFERROR(__xludf.DUMMYFUNCTION("""COMPUTED_VALUE"""),0.0)</f>
        <v>0</v>
      </c>
      <c r="L733" s="15"/>
    </row>
    <row r="734" ht="15.75" customHeight="1">
      <c r="A734" s="14" t="str">
        <f>IFERROR(__xludf.DUMMYFUNCTION("""COMPUTED_VALUE"""),"https://teamai.com/blog/generative-ai-and-business/top-geo-agencies-for-ai-visibility/")</f>
        <v>https://teamai.com/blog/generative-ai-and-business/top-geo-agencies-for-ai-visibility/</v>
      </c>
      <c r="B734" s="15" t="str">
        <f>IFERROR(__xludf.DUMMYFUNCTION("""COMPUTED_VALUE"""),"The Best GEO Agencies to Explore in 2026")</f>
        <v>The Best GEO Agencies to Explore in 2026</v>
      </c>
      <c r="C734" s="14" t="str">
        <f>IFERROR(__xludf.DUMMYFUNCTION("""COMPUTED_VALUE"""),"teamai.com")</f>
        <v>teamai.com</v>
      </c>
      <c r="D734" s="15" t="str">
        <f>IFERROR(__xludf.DUMMYFUNCTION("""COMPUTED_VALUE"""),"LISTICLE")</f>
        <v>LISTICLE</v>
      </c>
      <c r="E734" s="15" t="str">
        <f>IFERROR(__xludf.DUMMYFUNCTION("""COMPUTED_VALUE"""),"CORPORATE")</f>
        <v>CORPORATE</v>
      </c>
      <c r="F734" s="15" t="str">
        <f>IFERROR(__xludf.DUMMYFUNCTION("""COMPUTED_VALUE"""),"Listicle")</f>
        <v>Listicle</v>
      </c>
      <c r="G734" s="15" t="b">
        <f>IFERROR(__xludf.DUMMYFUNCTION("""COMPUTED_VALUE"""),FALSE)</f>
        <v>0</v>
      </c>
      <c r="H734" s="15" t="str">
        <f>IFERROR(__xludf.DUMMYFUNCTION("""COMPUTED_VALUE"""),"WebFX, Siege Media, The SEO Works")</f>
        <v>WebFX, Siege Media, The SEO Works</v>
      </c>
      <c r="I734" s="15">
        <f>IFERROR(__xludf.DUMMYFUNCTION("""COMPUTED_VALUE"""),1.0)</f>
        <v>1</v>
      </c>
      <c r="J734" s="15">
        <f>IFERROR(__xludf.DUMMYFUNCTION("""COMPUTED_VALUE"""),0.0)</f>
        <v>0</v>
      </c>
      <c r="K734" s="15">
        <f>IFERROR(__xludf.DUMMYFUNCTION("""COMPUTED_VALUE"""),0.0)</f>
        <v>0</v>
      </c>
      <c r="L734" s="15"/>
    </row>
    <row r="735" ht="15.75" customHeight="1">
      <c r="A735" s="14" t="str">
        <f>IFERROR(__xludf.DUMMYFUNCTION("""COMPUTED_VALUE"""),"https://techbehemoths.com/companies/advertising/united-kingdom")</f>
        <v>https://techbehemoths.com/companies/advertising/united-kingdom</v>
      </c>
      <c r="B735" s="15" t="str">
        <f>IFERROR(__xludf.DUMMYFUNCTION("""COMPUTED_VALUE"""),"Top 20+ Advertising Agencies in United Kingdom (2026) - TechBehemoths")</f>
        <v>Top 20+ Advertising Agencies in United Kingdom (2026) - TechBehemoths</v>
      </c>
      <c r="C735" s="14" t="str">
        <f>IFERROR(__xludf.DUMMYFUNCTION("""COMPUTED_VALUE"""),"techbehemoths.com")</f>
        <v>techbehemoths.com</v>
      </c>
      <c r="D735" s="15" t="str">
        <f>IFERROR(__xludf.DUMMYFUNCTION("""COMPUTED_VALUE"""),"PROFILE")</f>
        <v>PROFILE</v>
      </c>
      <c r="E735" s="15" t="str">
        <f>IFERROR(__xludf.DUMMYFUNCTION("""COMPUTED_VALUE"""),"REFERENCE")</f>
        <v>REFERENCE</v>
      </c>
      <c r="F735" s="15" t="str">
        <f>IFERROR(__xludf.DUMMYFUNCTION("""COMPUTED_VALUE"""),"Profile")</f>
        <v>Profile</v>
      </c>
      <c r="G735" s="15" t="b">
        <f>IFERROR(__xludf.DUMMYFUNCTION("""COMPUTED_VALUE"""),FALSE)</f>
        <v>0</v>
      </c>
      <c r="H735" s="15" t="str">
        <f>IFERROR(__xludf.DUMMYFUNCTION("""COMPUTED_VALUE"""),"Found, The SEO Works")</f>
        <v>Found, The SEO Works</v>
      </c>
      <c r="I735" s="15">
        <f>IFERROR(__xludf.DUMMYFUNCTION("""COMPUTED_VALUE"""),1.0)</f>
        <v>1</v>
      </c>
      <c r="J735" s="15">
        <f>IFERROR(__xludf.DUMMYFUNCTION("""COMPUTED_VALUE"""),0.0)</f>
        <v>0</v>
      </c>
      <c r="K735" s="15">
        <f>IFERROR(__xludf.DUMMYFUNCTION("""COMPUTED_VALUE"""),1.0)</f>
        <v>1</v>
      </c>
      <c r="L735" s="15"/>
    </row>
    <row r="736" ht="15.75" customHeight="1">
      <c r="A736" s="14" t="str">
        <f>IFERROR(__xludf.DUMMYFUNCTION("""COMPUTED_VALUE"""),"https://thebusinessjournal.co.uk/b2b-supplier/best-ai-seo-agencies/")</f>
        <v>https://thebusinessjournal.co.uk/b2b-supplier/best-ai-seo-agencies/</v>
      </c>
      <c r="B736" s="15" t="str">
        <f>IFERROR(__xludf.DUMMYFUNCTION("""COMPUTED_VALUE"""),"Best AI SEO Agencies in 2026 - The Business Journal")</f>
        <v>Best AI SEO Agencies in 2026 - The Business Journal</v>
      </c>
      <c r="C736" s="14" t="str">
        <f>IFERROR(__xludf.DUMMYFUNCTION("""COMPUTED_VALUE"""),"thebusinessjournal.co.uk")</f>
        <v>thebusinessjournal.co.uk</v>
      </c>
      <c r="D736" s="15" t="str">
        <f>IFERROR(__xludf.DUMMYFUNCTION("""COMPUTED_VALUE"""),"LISTICLE")</f>
        <v>LISTICLE</v>
      </c>
      <c r="E736" s="15" t="str">
        <f>IFERROR(__xludf.DUMMYFUNCTION("""COMPUTED_VALUE"""),"EDITORIAL")</f>
        <v>EDITORIAL</v>
      </c>
      <c r="F736" s="15" t="str">
        <f>IFERROR(__xludf.DUMMYFUNCTION("""COMPUTED_VALUE"""),"Listicle")</f>
        <v>Listicle</v>
      </c>
      <c r="G736" s="15" t="b">
        <f>IFERROR(__xludf.DUMMYFUNCTION("""COMPUTED_VALUE"""),FALSE)</f>
        <v>0</v>
      </c>
      <c r="H736" s="15" t="str">
        <f>IFERROR(__xludf.DUMMYFUNCTION("""COMPUTED_VALUE"""),"Impression, Passion Digital, Hallam, The SEO Works, Builtvisible, Measured")</f>
        <v>Impression, Passion Digital, Hallam, The SEO Works, Builtvisible, Measured</v>
      </c>
      <c r="I736" s="15">
        <f>IFERROR(__xludf.DUMMYFUNCTION("""COMPUTED_VALUE"""),1.0)</f>
        <v>1</v>
      </c>
      <c r="J736" s="15">
        <f>IFERROR(__xludf.DUMMYFUNCTION("""COMPUTED_VALUE"""),0.0)</f>
        <v>0</v>
      </c>
      <c r="K736" s="15">
        <f>IFERROR(__xludf.DUMMYFUNCTION("""COMPUTED_VALUE"""),1.0)</f>
        <v>1</v>
      </c>
      <c r="L736" s="15"/>
    </row>
    <row r="737" ht="15.75" customHeight="1">
      <c r="A737" s="14" t="str">
        <f>IFERROR(__xludf.DUMMYFUNCTION("""COMPUTED_VALUE"""),"https://thecmo.com/tools/best-marketing-attribution-software/")</f>
        <v>https://thecmo.com/tools/best-marketing-attribution-software/</v>
      </c>
      <c r="B737" s="15" t="str">
        <f>IFERROR(__xludf.DUMMYFUNCTION("""COMPUTED_VALUE"""),"10 Best Marketing Attribution Software Reviewed For 2026")</f>
        <v>10 Best Marketing Attribution Software Reviewed For 2026</v>
      </c>
      <c r="C737" s="14" t="str">
        <f>IFERROR(__xludf.DUMMYFUNCTION("""COMPUTED_VALUE"""),"thecmo.com")</f>
        <v>thecmo.com</v>
      </c>
      <c r="D737" s="15" t="str">
        <f>IFERROR(__xludf.DUMMYFUNCTION("""COMPUTED_VALUE"""),"LISTICLE")</f>
        <v>LISTICLE</v>
      </c>
      <c r="E737" s="15" t="str">
        <f>IFERROR(__xludf.DUMMYFUNCTION("""COMPUTED_VALUE"""),"OTHER")</f>
        <v>OTHER</v>
      </c>
      <c r="F737" s="15" t="str">
        <f>IFERROR(__xludf.DUMMYFUNCTION("""COMPUTED_VALUE"""),"Listicle")</f>
        <v>Listicle</v>
      </c>
      <c r="G737" s="15" t="b">
        <f>IFERROR(__xludf.DUMMYFUNCTION("""COMPUTED_VALUE"""),FALSE)</f>
        <v>0</v>
      </c>
      <c r="H737" s="15" t="str">
        <f>IFERROR(__xludf.DUMMYFUNCTION("""COMPUTED_VALUE"""),"Triple Whale, Found, Ruler Analytics, Neustar, Push, Huge")</f>
        <v>Triple Whale, Found, Ruler Analytics, Neustar, Push, Huge</v>
      </c>
      <c r="I737" s="15">
        <f>IFERROR(__xludf.DUMMYFUNCTION("""COMPUTED_VALUE"""),1.0)</f>
        <v>1</v>
      </c>
      <c r="J737" s="15">
        <f>IFERROR(__xludf.DUMMYFUNCTION("""COMPUTED_VALUE"""),0.0)</f>
        <v>0</v>
      </c>
      <c r="K737" s="15">
        <f>IFERROR(__xludf.DUMMYFUNCTION("""COMPUTED_VALUE"""),0.0)</f>
        <v>0</v>
      </c>
      <c r="L737" s="15"/>
    </row>
    <row r="738" ht="15.75" customHeight="1">
      <c r="A738" s="14" t="str">
        <f>IFERROR(__xludf.DUMMYFUNCTION("""COMPUTED_VALUE"""),"https://www.thedca.co/services/production")</f>
        <v>https://www.thedca.co/services/production</v>
      </c>
      <c r="B738" s="15" t="str">
        <f>IFERROR(__xludf.DUMMYFUNCTION("""COMPUTED_VALUE"""),"The best Production Agencies | DCA")</f>
        <v>The best Production Agencies | DCA</v>
      </c>
      <c r="C738" s="14" t="str">
        <f>IFERROR(__xludf.DUMMYFUNCTION("""COMPUTED_VALUE"""),"thedca.co")</f>
        <v>thedca.co</v>
      </c>
      <c r="D738" s="15" t="str">
        <f>IFERROR(__xludf.DUMMYFUNCTION("""COMPUTED_VALUE"""),"CATEGORY_PAGE")</f>
        <v>CATEGORY_PAGE</v>
      </c>
      <c r="E738" s="15" t="str">
        <f>IFERROR(__xludf.DUMMYFUNCTION("""COMPUTED_VALUE"""),"OTHER")</f>
        <v>OTHER</v>
      </c>
      <c r="F738" s="15" t="str">
        <f>IFERROR(__xludf.DUMMYFUNCTION("""COMPUTED_VALUE"""),"Category Page")</f>
        <v>Category Page</v>
      </c>
      <c r="G738" s="15" t="b">
        <f>IFERROR(__xludf.DUMMYFUNCTION("""COMPUTED_VALUE"""),FALSE)</f>
        <v>0</v>
      </c>
      <c r="H738" s="15" t="str">
        <f>IFERROR(__xludf.DUMMYFUNCTION("""COMPUTED_VALUE"""),"ROAST")</f>
        <v>ROAST</v>
      </c>
      <c r="I738" s="15">
        <f>IFERROR(__xludf.DUMMYFUNCTION("""COMPUTED_VALUE"""),1.0)</f>
        <v>1</v>
      </c>
      <c r="J738" s="15">
        <f>IFERROR(__xludf.DUMMYFUNCTION("""COMPUTED_VALUE"""),0.0)</f>
        <v>0</v>
      </c>
      <c r="K738" s="15">
        <f>IFERROR(__xludf.DUMMYFUNCTION("""COMPUTED_VALUE"""),0.0)</f>
        <v>0</v>
      </c>
      <c r="L738" s="15"/>
    </row>
    <row r="739" ht="15.75" customHeight="1">
      <c r="A739" s="14" t="str">
        <f>IFERROR(__xludf.DUMMYFUNCTION("""COMPUTED_VALUE"""),"https://thedigitalelevator.com/blog/best-generative-engine-optimization-geo-agencies/")</f>
        <v>https://thedigitalelevator.com/blog/best-generative-engine-optimization-geo-agencies/</v>
      </c>
      <c r="B739" s="15" t="str">
        <f>IFERROR(__xludf.DUMMYFUNCTION("""COMPUTED_VALUE"""),"The 12 Best Generative Engine Optimization (GEO) Agencies of 2026 | Digital Elevator")</f>
        <v>The 12 Best Generative Engine Optimization (GEO) Agencies of 2026 | Digital Elevator</v>
      </c>
      <c r="C739" s="14" t="str">
        <f>IFERROR(__xludf.DUMMYFUNCTION("""COMPUTED_VALUE"""),"thedigitalelevator.com")</f>
        <v>thedigitalelevator.com</v>
      </c>
      <c r="D739" s="15" t="str">
        <f>IFERROR(__xludf.DUMMYFUNCTION("""COMPUTED_VALUE"""),"LISTICLE")</f>
        <v>LISTICLE</v>
      </c>
      <c r="E739" s="15" t="str">
        <f>IFERROR(__xludf.DUMMYFUNCTION("""COMPUTED_VALUE"""),"CORPORATE")</f>
        <v>CORPORATE</v>
      </c>
      <c r="F739" s="15" t="str">
        <f>IFERROR(__xludf.DUMMYFUNCTION("""COMPUTED_VALUE"""),"Listicle")</f>
        <v>Listicle</v>
      </c>
      <c r="G739" s="15" t="b">
        <f>IFERROR(__xludf.DUMMYFUNCTION("""COMPUTED_VALUE"""),FALSE)</f>
        <v>0</v>
      </c>
      <c r="H739" s="15" t="str">
        <f>IFERROR(__xludf.DUMMYFUNCTION("""COMPUTED_VALUE"""),"Directive Consulting, Siege Media")</f>
        <v>Directive Consulting, Siege Media</v>
      </c>
      <c r="I739" s="15">
        <f>IFERROR(__xludf.DUMMYFUNCTION("""COMPUTED_VALUE"""),1.0)</f>
        <v>1</v>
      </c>
      <c r="J739" s="15">
        <f>IFERROR(__xludf.DUMMYFUNCTION("""COMPUTED_VALUE"""),0.0)</f>
        <v>0</v>
      </c>
      <c r="K739" s="15">
        <f>IFERROR(__xludf.DUMMYFUNCTION("""COMPUTED_VALUE"""),0.0)</f>
        <v>0</v>
      </c>
      <c r="L739" s="15"/>
    </row>
    <row r="740" ht="15.75" customHeight="1">
      <c r="A740" s="14" t="str">
        <f>IFERROR(__xludf.DUMMYFUNCTION("""COMPUTED_VALUE"""),"https://www.thedrum.com/news/end-era-creatives-reflect-adameveddb-s-best-john-lewis-ads")</f>
        <v>https://www.thedrum.com/news/end-era-creatives-reflect-adameveddb-s-best-john-lewis-ads</v>
      </c>
      <c r="B740" s="15" t="str">
        <f>IFERROR(__xludf.DUMMYFUNCTION("""COMPUTED_VALUE"""),"End of an era: creatives reflect on Adam&amp;EveDDB’s best John Lewis ads \| The Drum")</f>
        <v>End of an era: creatives reflect on Adam&amp;EveDDB’s best John Lewis ads \| The Drum</v>
      </c>
      <c r="C740" s="14" t="str">
        <f>IFERROR(__xludf.DUMMYFUNCTION("""COMPUTED_VALUE"""),"thedrum.com")</f>
        <v>thedrum.com</v>
      </c>
      <c r="D740" s="15" t="str">
        <f>IFERROR(__xludf.DUMMYFUNCTION("""COMPUTED_VALUE"""),"OTHER")</f>
        <v>OTHER</v>
      </c>
      <c r="E740" s="15" t="str">
        <f>IFERROR(__xludf.DUMMYFUNCTION("""COMPUTED_VALUE"""),"EDITORIAL")</f>
        <v>EDITORIAL</v>
      </c>
      <c r="F740" s="15" t="str">
        <f>IFERROR(__xludf.DUMMYFUNCTION("""COMPUTED_VALUE"""),"Other")</f>
        <v>Other</v>
      </c>
      <c r="G740" s="15" t="b">
        <f>IFERROR(__xludf.DUMMYFUNCTION("""COMPUTED_VALUE"""),FALSE)</f>
        <v>0</v>
      </c>
      <c r="H740" s="15" t="str">
        <f>IFERROR(__xludf.DUMMYFUNCTION("""COMPUTED_VALUE"""),"Adam&amp;eveDDB, Ogilvy, AMV BBDO, We Are Social, Kantar")</f>
        <v>Adam&amp;eveDDB, Ogilvy, AMV BBDO, We Are Social, Kantar</v>
      </c>
      <c r="I740" s="15">
        <f>IFERROR(__xludf.DUMMYFUNCTION("""COMPUTED_VALUE"""),1.0)</f>
        <v>1</v>
      </c>
      <c r="J740" s="15">
        <f>IFERROR(__xludf.DUMMYFUNCTION("""COMPUTED_VALUE"""),0.0)</f>
        <v>0</v>
      </c>
      <c r="K740" s="15">
        <f>IFERROR(__xludf.DUMMYFUNCTION("""COMPUTED_VALUE"""),0.0)</f>
        <v>0</v>
      </c>
      <c r="L740" s="15"/>
    </row>
    <row r="741" ht="15.75" customHeight="1">
      <c r="A741" s="14" t="str">
        <f>IFERROR(__xludf.DUMMYFUNCTION("""COMPUTED_VALUE"""),"https://www.thedrum.com/news/serviceplan-reclaims-emea-agency-top-spot-in-2026-world-creative-rankings")</f>
        <v>https://www.thedrum.com/news/serviceplan-reclaims-emea-agency-top-spot-in-2026-world-creative-rankings</v>
      </c>
      <c r="B741" s="15" t="str">
        <f>IFERROR(__xludf.DUMMYFUNCTION("""COMPUTED_VALUE"""),"Serviceplan reclaims EMEA agency top spot in 2026 World Creative Rankings | The Drum")</f>
        <v>Serviceplan reclaims EMEA agency top spot in 2026 World Creative Rankings | The Drum</v>
      </c>
      <c r="C741" s="14" t="str">
        <f>IFERROR(__xludf.DUMMYFUNCTION("""COMPUTED_VALUE"""),"thedrum.com")</f>
        <v>thedrum.com</v>
      </c>
      <c r="D741" s="15" t="str">
        <f>IFERROR(__xludf.DUMMYFUNCTION("""COMPUTED_VALUE"""),"LISTICLE")</f>
        <v>LISTICLE</v>
      </c>
      <c r="E741" s="15" t="str">
        <f>IFERROR(__xludf.DUMMYFUNCTION("""COMPUTED_VALUE"""),"EDITORIAL")</f>
        <v>EDITORIAL</v>
      </c>
      <c r="F741" s="15" t="str">
        <f>IFERROR(__xludf.DUMMYFUNCTION("""COMPUTED_VALUE"""),"Listicle")</f>
        <v>Listicle</v>
      </c>
      <c r="G741" s="15" t="b">
        <f>IFERROR(__xludf.DUMMYFUNCTION("""COMPUTED_VALUE"""),FALSE)</f>
        <v>0</v>
      </c>
      <c r="H741" s="15" t="str">
        <f>IFERROR(__xludf.DUMMYFUNCTION("""COMPUTED_VALUE"""),"Omnicom, AMV BBDO, WPP")</f>
        <v>Omnicom, AMV BBDO, WPP</v>
      </c>
      <c r="I741" s="15">
        <f>IFERROR(__xludf.DUMMYFUNCTION("""COMPUTED_VALUE"""),1.0)</f>
        <v>1</v>
      </c>
      <c r="J741" s="15">
        <f>IFERROR(__xludf.DUMMYFUNCTION("""COMPUTED_VALUE"""),0.0)</f>
        <v>0</v>
      </c>
      <c r="K741" s="15">
        <f>IFERROR(__xludf.DUMMYFUNCTION("""COMPUTED_VALUE"""),0.0)</f>
        <v>0</v>
      </c>
      <c r="L741" s="15"/>
    </row>
    <row r="742" ht="15.75" customHeight="1">
      <c r="A742" s="14" t="str">
        <f>IFERROR(__xludf.DUMMYFUNCTION("""COMPUTED_VALUE"""),"https://www.thegrowthsyndicate.com/agencies/chatgpt-ads-agencies-uk")</f>
        <v>https://www.thegrowthsyndicate.com/agencies/chatgpt-ads-agencies-uk</v>
      </c>
      <c r="B742" s="15" t="str">
        <f>IFERROR(__xludf.DUMMYFUNCTION("""COMPUTED_VALUE"""),"Top 11 ChatGPT Ads Agencies in the UK (2026)")</f>
        <v>Top 11 ChatGPT Ads Agencies in the UK (2026)</v>
      </c>
      <c r="C742" s="14" t="str">
        <f>IFERROR(__xludf.DUMMYFUNCTION("""COMPUTED_VALUE"""),"thegrowthsyndicate.com")</f>
        <v>thegrowthsyndicate.com</v>
      </c>
      <c r="D742" s="15" t="str">
        <f>IFERROR(__xludf.DUMMYFUNCTION("""COMPUTED_VALUE"""),"LISTICLE")</f>
        <v>LISTICLE</v>
      </c>
      <c r="E742" s="15" t="str">
        <f>IFERROR(__xludf.DUMMYFUNCTION("""COMPUTED_VALUE"""),"CORPORATE")</f>
        <v>CORPORATE</v>
      </c>
      <c r="F742" s="15" t="str">
        <f>IFERROR(__xludf.DUMMYFUNCTION("""COMPUTED_VALUE"""),"Listicle")</f>
        <v>Listicle</v>
      </c>
      <c r="G742" s="15" t="b">
        <f>IFERROR(__xludf.DUMMYFUNCTION("""COMPUTED_VALUE"""),FALSE)</f>
        <v>0</v>
      </c>
      <c r="H742" s="15" t="str">
        <f>IFERROR(__xludf.DUMMYFUNCTION("""COMPUTED_VALUE"""),"Blue Array, The SEO Works, Found, Passion Digital, Push, Push Group, Screaming Frog, Measured")</f>
        <v>Blue Array, The SEO Works, Found, Passion Digital, Push, Push Group, Screaming Frog, Measured</v>
      </c>
      <c r="I742" s="15">
        <f>IFERROR(__xludf.DUMMYFUNCTION("""COMPUTED_VALUE"""),1.0)</f>
        <v>1</v>
      </c>
      <c r="J742" s="15">
        <f>IFERROR(__xludf.DUMMYFUNCTION("""COMPUTED_VALUE"""),0.0)</f>
        <v>0</v>
      </c>
      <c r="K742" s="15">
        <f>IFERROR(__xludf.DUMMYFUNCTION("""COMPUTED_VALUE"""),0.0)</f>
        <v>0</v>
      </c>
      <c r="L742" s="15"/>
    </row>
    <row r="743" ht="15.75" customHeight="1">
      <c r="A743" s="14" t="str">
        <f>IFERROR(__xludf.DUMMYFUNCTION("""COMPUTED_VALUE"""),"https://www.thekeenfolks.com/blog-article/best-performance-marketing-agencies")</f>
        <v>https://www.thekeenfolks.com/blog-article/best-performance-marketing-agencies</v>
      </c>
      <c r="B743" s="15" t="str">
        <f>IFERROR(__xludf.DUMMYFUNCTION("""COMPUTED_VALUE"""),"The Best Performance Marketing Agencies for Enterprise Growth")</f>
        <v>The Best Performance Marketing Agencies for Enterprise Growth</v>
      </c>
      <c r="C743" s="14" t="str">
        <f>IFERROR(__xludf.DUMMYFUNCTION("""COMPUTED_VALUE"""),"thekeenfolks.com")</f>
        <v>thekeenfolks.com</v>
      </c>
      <c r="D743" s="15" t="str">
        <f>IFERROR(__xludf.DUMMYFUNCTION("""COMPUTED_VALUE"""),"LISTICLE")</f>
        <v>LISTICLE</v>
      </c>
      <c r="E743" s="15" t="str">
        <f>IFERROR(__xludf.DUMMYFUNCTION("""COMPUTED_VALUE"""),"EDITORIAL")</f>
        <v>EDITORIAL</v>
      </c>
      <c r="F743" s="15" t="str">
        <f>IFERROR(__xludf.DUMMYFUNCTION("""COMPUTED_VALUE"""),"Listicle")</f>
        <v>Listicle</v>
      </c>
      <c r="G743" s="15" t="b">
        <f>IFERROR(__xludf.DUMMYFUNCTION("""COMPUTED_VALUE"""),FALSE)</f>
        <v>0</v>
      </c>
      <c r="H743" s="15" t="str">
        <f>IFERROR(__xludf.DUMMYFUNCTION("""COMPUTED_VALUE"""),"Tinuiti, Dept, Croud, Ignite Visibility, Disruptive Advertising, WebFX")</f>
        <v>Tinuiti, Dept, Croud, Ignite Visibility, Disruptive Advertising, WebFX</v>
      </c>
      <c r="I743" s="15">
        <f>IFERROR(__xludf.DUMMYFUNCTION("""COMPUTED_VALUE"""),1.0)</f>
        <v>1</v>
      </c>
      <c r="J743" s="15">
        <f>IFERROR(__xludf.DUMMYFUNCTION("""COMPUTED_VALUE"""),0.0)</f>
        <v>0</v>
      </c>
      <c r="K743" s="15">
        <f>IFERROR(__xludf.DUMMYFUNCTION("""COMPUTED_VALUE"""),1.0)</f>
        <v>1</v>
      </c>
      <c r="L743" s="15"/>
    </row>
    <row r="744" ht="15.75" customHeight="1">
      <c r="A744" s="14" t="str">
        <f>IFERROR(__xludf.DUMMYFUNCTION("""COMPUTED_VALUE"""),"https://www.thelogocreative.co.uk/7-top-branding-agencies-in-the-uk/")</f>
        <v>https://www.thelogocreative.co.uk/7-top-branding-agencies-in-the-uk/</v>
      </c>
      <c r="B744" s="15" t="str">
        <f>IFERROR(__xludf.DUMMYFUNCTION("""COMPUTED_VALUE"""),"7 Top Branding Agencies in the UK")</f>
        <v>7 Top Branding Agencies in the UK</v>
      </c>
      <c r="C744" s="14" t="str">
        <f>IFERROR(__xludf.DUMMYFUNCTION("""COMPUTED_VALUE"""),"thelogocreative.co.uk")</f>
        <v>thelogocreative.co.uk</v>
      </c>
      <c r="D744" s="15" t="str">
        <f>IFERROR(__xludf.DUMMYFUNCTION("""COMPUTED_VALUE"""),"LISTICLE")</f>
        <v>LISTICLE</v>
      </c>
      <c r="E744" s="15" t="str">
        <f>IFERROR(__xludf.DUMMYFUNCTION("""COMPUTED_VALUE"""),"CORPORATE")</f>
        <v>CORPORATE</v>
      </c>
      <c r="F744" s="15" t="str">
        <f>IFERROR(__xludf.DUMMYFUNCTION("""COMPUTED_VALUE"""),"Listicle")</f>
        <v>Listicle</v>
      </c>
      <c r="G744" s="15" t="b">
        <f>IFERROR(__xludf.DUMMYFUNCTION("""COMPUTED_VALUE"""),FALSE)</f>
        <v>0</v>
      </c>
      <c r="H744" s="15" t="str">
        <f>IFERROR(__xludf.DUMMYFUNCTION("""COMPUTED_VALUE"""),"Push")</f>
        <v>Push</v>
      </c>
      <c r="I744" s="15">
        <f>IFERROR(__xludf.DUMMYFUNCTION("""COMPUTED_VALUE"""),1.0)</f>
        <v>1</v>
      </c>
      <c r="J744" s="15">
        <f>IFERROR(__xludf.DUMMYFUNCTION("""COMPUTED_VALUE"""),0.0)</f>
        <v>0</v>
      </c>
      <c r="K744" s="15">
        <f>IFERROR(__xludf.DUMMYFUNCTION("""COMPUTED_VALUE"""),3.0)</f>
        <v>3</v>
      </c>
      <c r="L744" s="15"/>
    </row>
    <row r="745" ht="15.75" customHeight="1">
      <c r="A745" s="14" t="str">
        <f>IFERROR(__xludf.DUMMYFUNCTION("""COMPUTED_VALUE"""),"https://themanifest.com/programmatic/agencies/uk?page=1")</f>
        <v>https://themanifest.com/programmatic/agencies/uk?page=1</v>
      </c>
      <c r="B745" s="15" t="str">
        <f>IFERROR(__xludf.DUMMYFUNCTION("""COMPUTED_VALUE"""),"The Best Programmatic Advertising Companies in United Kingdom - Jun 2026 \| The Manifest")</f>
        <v>The Best Programmatic Advertising Companies in United Kingdom - Jun 2026 \| The Manifest</v>
      </c>
      <c r="C745" s="14" t="str">
        <f>IFERROR(__xludf.DUMMYFUNCTION("""COMPUTED_VALUE"""),"themanifest.com")</f>
        <v>themanifest.com</v>
      </c>
      <c r="D745" s="15" t="str">
        <f>IFERROR(__xludf.DUMMYFUNCTION("""COMPUTED_VALUE"""),"OTHER")</f>
        <v>OTHER</v>
      </c>
      <c r="E745" s="15" t="str">
        <f>IFERROR(__xludf.DUMMYFUNCTION("""COMPUTED_VALUE"""),"REFERENCE")</f>
        <v>REFERENCE</v>
      </c>
      <c r="F745" s="15" t="str">
        <f>IFERROR(__xludf.DUMMYFUNCTION("""COMPUTED_VALUE"""),"Other")</f>
        <v>Other</v>
      </c>
      <c r="G745" s="15" t="b">
        <f>IFERROR(__xludf.DUMMYFUNCTION("""COMPUTED_VALUE"""),FALSE)</f>
        <v>0</v>
      </c>
      <c r="H745" s="15"/>
      <c r="I745" s="15">
        <f>IFERROR(__xludf.DUMMYFUNCTION("""COMPUTED_VALUE"""),1.0)</f>
        <v>1</v>
      </c>
      <c r="J745" s="15">
        <f>IFERROR(__xludf.DUMMYFUNCTION("""COMPUTED_VALUE"""),0.0)</f>
        <v>0</v>
      </c>
      <c r="K745" s="15">
        <f>IFERROR(__xludf.DUMMYFUNCTION("""COMPUTED_VALUE"""),0.0)</f>
        <v>0</v>
      </c>
      <c r="L745" s="15"/>
    </row>
    <row r="746" ht="15.75" customHeight="1">
      <c r="A746" s="14" t="str">
        <f>IFERROR(__xludf.DUMMYFUNCTION("""COMPUTED_VALUE"""),"https://thesocialshepherd.com/blog/top-creative-agencies-us")</f>
        <v>https://thesocialshepherd.com/blog/top-creative-agencies-us</v>
      </c>
      <c r="B746" s="15" t="str">
        <f>IFERROR(__xludf.DUMMYFUNCTION("""COMPUTED_VALUE"""),"The Social Shepherd | Top 17 Creative Agencies in the U.S. (2026)")</f>
        <v>The Social Shepherd | Top 17 Creative Agencies in the U.S. (2026)</v>
      </c>
      <c r="C746" s="14" t="str">
        <f>IFERROR(__xludf.DUMMYFUNCTION("""COMPUTED_VALUE"""),"thesocialshepherd.com")</f>
        <v>thesocialshepherd.com</v>
      </c>
      <c r="D746" s="15" t="str">
        <f>IFERROR(__xludf.DUMMYFUNCTION("""COMPUTED_VALUE"""),"LISTICLE")</f>
        <v>LISTICLE</v>
      </c>
      <c r="E746" s="15" t="str">
        <f>IFERROR(__xludf.DUMMYFUNCTION("""COMPUTED_VALUE"""),"COMPETITOR")</f>
        <v>COMPETITOR</v>
      </c>
      <c r="F746" s="15" t="str">
        <f>IFERROR(__xludf.DUMMYFUNCTION("""COMPUTED_VALUE"""),"Listicle")</f>
        <v>Listicle</v>
      </c>
      <c r="G746" s="15" t="b">
        <f>IFERROR(__xludf.DUMMYFUNCTION("""COMPUTED_VALUE"""),FALSE)</f>
        <v>0</v>
      </c>
      <c r="H746" s="15" t="str">
        <f>IFERROR(__xludf.DUMMYFUNCTION("""COMPUTED_VALUE"""),"The Social Shepherd, inBeat, Push, Dentsu")</f>
        <v>The Social Shepherd, inBeat, Push, Dentsu</v>
      </c>
      <c r="I746" s="15">
        <f>IFERROR(__xludf.DUMMYFUNCTION("""COMPUTED_VALUE"""),1.0)</f>
        <v>1</v>
      </c>
      <c r="J746" s="15">
        <f>IFERROR(__xludf.DUMMYFUNCTION("""COMPUTED_VALUE"""),0.0)</f>
        <v>0</v>
      </c>
      <c r="K746" s="15">
        <f>IFERROR(__xludf.DUMMYFUNCTION("""COMPUTED_VALUE"""),2.0)</f>
        <v>2</v>
      </c>
      <c r="L746" s="15"/>
    </row>
    <row r="747" ht="15.75" customHeight="1">
      <c r="A747" s="14" t="str">
        <f>IFERROR(__xludf.DUMMYFUNCTION("""COMPUTED_VALUE"""),"https://www.thetimes.co.uk/article/wpp-publicis-or-omnicom-ipg-which-is-the-best-buy-in-adland-3hfhgjl6m")</f>
        <v>https://www.thetimes.co.uk/article/wpp-publicis-or-omnicom-ipg-which-is-the-best-buy-in-adland-3hfhgjl6m</v>
      </c>
      <c r="B747" s="15" t="str">
        <f>IFERROR(__xludf.DUMMYFUNCTION("""COMPUTED_VALUE"""),"WPP, Publicis or Omnicom-IPG: which is the best buy in adland?")</f>
        <v>WPP, Publicis or Omnicom-IPG: which is the best buy in adland?</v>
      </c>
      <c r="C747" s="14" t="str">
        <f>IFERROR(__xludf.DUMMYFUNCTION("""COMPUTED_VALUE"""),"thetimes.co.uk")</f>
        <v>thetimes.co.uk</v>
      </c>
      <c r="D747" s="15" t="str">
        <f>IFERROR(__xludf.DUMMYFUNCTION("""COMPUTED_VALUE"""),"COMPARISON")</f>
        <v>COMPARISON</v>
      </c>
      <c r="E747" s="15" t="str">
        <f>IFERROR(__xludf.DUMMYFUNCTION("""COMPUTED_VALUE"""),"EDITORIAL")</f>
        <v>EDITORIAL</v>
      </c>
      <c r="F747" s="15" t="str">
        <f>IFERROR(__xludf.DUMMYFUNCTION("""COMPUTED_VALUE"""),"Comparison")</f>
        <v>Comparison</v>
      </c>
      <c r="G747" s="15" t="b">
        <f>IFERROR(__xludf.DUMMYFUNCTION("""COMPUTED_VALUE"""),FALSE)</f>
        <v>0</v>
      </c>
      <c r="H747" s="15" t="str">
        <f>IFERROR(__xludf.DUMMYFUNCTION("""COMPUTED_VALUE"""),"WPP, Omnicom")</f>
        <v>WPP, Omnicom</v>
      </c>
      <c r="I747" s="15">
        <f>IFERROR(__xludf.DUMMYFUNCTION("""COMPUTED_VALUE"""),1.0)</f>
        <v>1</v>
      </c>
      <c r="J747" s="15">
        <f>IFERROR(__xludf.DUMMYFUNCTION("""COMPUTED_VALUE"""),0.0)</f>
        <v>0</v>
      </c>
      <c r="K747" s="15">
        <f>IFERROR(__xludf.DUMMYFUNCTION("""COMPUTED_VALUE"""),1.0)</f>
        <v>1</v>
      </c>
      <c r="L747" s="15"/>
    </row>
    <row r="748" ht="15.75" customHeight="1">
      <c r="A748" s="14" t="str">
        <f>IFERROR(__xludf.DUMMYFUNCTION("""COMPUTED_VALUE"""),"https://thinkwithalec.com/2025/03/02/best-marketing-platforms-for-tracking-first-party-data/")</f>
        <v>https://thinkwithalec.com/2025/03/02/best-marketing-platforms-for-tracking-first-party-data/</v>
      </c>
      <c r="B748" s="15" t="str">
        <f>IFERROR(__xludf.DUMMYFUNCTION("""COMPUTED_VALUE"""),"Best Marketing Platforms for Tracking First-Party Data – THINK WITH ALEC")</f>
        <v>Best Marketing Platforms for Tracking First-Party Data – THINK WITH ALEC</v>
      </c>
      <c r="C748" s="14" t="str">
        <f>IFERROR(__xludf.DUMMYFUNCTION("""COMPUTED_VALUE"""),"thinkwithalec.com")</f>
        <v>thinkwithalec.com</v>
      </c>
      <c r="D748" s="15" t="str">
        <f>IFERROR(__xludf.DUMMYFUNCTION("""COMPUTED_VALUE"""),"LISTICLE")</f>
        <v>LISTICLE</v>
      </c>
      <c r="E748" s="15" t="str">
        <f>IFERROR(__xludf.DUMMYFUNCTION("""COMPUTED_VALUE"""),"EDITORIAL")</f>
        <v>EDITORIAL</v>
      </c>
      <c r="F748" s="15" t="str">
        <f>IFERROR(__xludf.DUMMYFUNCTION("""COMPUTED_VALUE"""),"Listicle")</f>
        <v>Listicle</v>
      </c>
      <c r="G748" s="15" t="b">
        <f>IFERROR(__xludf.DUMMYFUNCTION("""COMPUTED_VALUE"""),FALSE)</f>
        <v>0</v>
      </c>
      <c r="H748" s="15" t="str">
        <f>IFERROR(__xludf.DUMMYFUNCTION("""COMPUTED_VALUE"""),"Push")</f>
        <v>Push</v>
      </c>
      <c r="I748" s="15">
        <f>IFERROR(__xludf.DUMMYFUNCTION("""COMPUTED_VALUE"""),1.0)</f>
        <v>1</v>
      </c>
      <c r="J748" s="15">
        <f>IFERROR(__xludf.DUMMYFUNCTION("""COMPUTED_VALUE"""),0.0)</f>
        <v>0</v>
      </c>
      <c r="K748" s="15">
        <f>IFERROR(__xludf.DUMMYFUNCTION("""COMPUTED_VALUE"""),0.0)</f>
        <v>0</v>
      </c>
      <c r="L748" s="15"/>
    </row>
    <row r="749" ht="15.75" customHeight="1">
      <c r="A749" s="14" t="str">
        <f>IFERROR(__xludf.DUMMYFUNCTION("""COMPUTED_VALUE"""),"https://thriveagency.com/london-digital-marketing-agency/")</f>
        <v>https://thriveagency.com/london-digital-marketing-agency/</v>
      </c>
      <c r="B749" s="15" t="str">
        <f>IFERROR(__xludf.DUMMYFUNCTION("""COMPUTED_VALUE"""),"London Digital Marketing Agency | Best Online Marketing Services")</f>
        <v>London Digital Marketing Agency | Best Online Marketing Services</v>
      </c>
      <c r="C749" s="14" t="str">
        <f>IFERROR(__xludf.DUMMYFUNCTION("""COMPUTED_VALUE"""),"thriveagency.com")</f>
        <v>thriveagency.com</v>
      </c>
      <c r="D749" s="15" t="str">
        <f>IFERROR(__xludf.DUMMYFUNCTION("""COMPUTED_VALUE"""),"PRODUCT_PAGE")</f>
        <v>PRODUCT_PAGE</v>
      </c>
      <c r="E749" s="15" t="str">
        <f>IFERROR(__xludf.DUMMYFUNCTION("""COMPUTED_VALUE"""),"CORPORATE")</f>
        <v>CORPORATE</v>
      </c>
      <c r="F749" s="15" t="str">
        <f>IFERROR(__xludf.DUMMYFUNCTION("""COMPUTED_VALUE"""),"Product Page")</f>
        <v>Product Page</v>
      </c>
      <c r="G749" s="15" t="b">
        <f>IFERROR(__xludf.DUMMYFUNCTION("""COMPUTED_VALUE"""),FALSE)</f>
        <v>0</v>
      </c>
      <c r="H749" s="15"/>
      <c r="I749" s="15">
        <f>IFERROR(__xludf.DUMMYFUNCTION("""COMPUTED_VALUE"""),1.0)</f>
        <v>1</v>
      </c>
      <c r="J749" s="15">
        <f>IFERROR(__xludf.DUMMYFUNCTION("""COMPUTED_VALUE"""),0.0)</f>
        <v>0</v>
      </c>
      <c r="K749" s="15">
        <f>IFERROR(__xludf.DUMMYFUNCTION("""COMPUTED_VALUE"""),1.0)</f>
        <v>1</v>
      </c>
      <c r="L749" s="15"/>
    </row>
    <row r="750" ht="15.75" customHeight="1">
      <c r="A750" s="14" t="str">
        <f>IFERROR(__xludf.DUMMYFUNCTION("""COMPUTED_VALUE"""),"https://www.tofuhq.com/post/best-ai-agents-for-marketing")</f>
        <v>https://www.tofuhq.com/post/best-ai-agents-for-marketing</v>
      </c>
      <c r="B750" s="15" t="str">
        <f>IFERROR(__xludf.DUMMYFUNCTION("""COMPUTED_VALUE"""),"The 7 Best AI Agents for Marketing in 2026")</f>
        <v>The 7 Best AI Agents for Marketing in 2026</v>
      </c>
      <c r="C750" s="14" t="str">
        <f>IFERROR(__xludf.DUMMYFUNCTION("""COMPUTED_VALUE"""),"tofuhq.com")</f>
        <v>tofuhq.com</v>
      </c>
      <c r="D750" s="15" t="str">
        <f>IFERROR(__xludf.DUMMYFUNCTION("""COMPUTED_VALUE"""),"LISTICLE")</f>
        <v>LISTICLE</v>
      </c>
      <c r="E750" s="15" t="str">
        <f>IFERROR(__xludf.DUMMYFUNCTION("""COMPUTED_VALUE"""),"CORPORATE")</f>
        <v>CORPORATE</v>
      </c>
      <c r="F750" s="15" t="str">
        <f>IFERROR(__xludf.DUMMYFUNCTION("""COMPUTED_VALUE"""),"Listicle")</f>
        <v>Listicle</v>
      </c>
      <c r="G750" s="15" t="b">
        <f>IFERROR(__xludf.DUMMYFUNCTION("""COMPUTED_VALUE"""),FALSE)</f>
        <v>0</v>
      </c>
      <c r="H750" s="15" t="str">
        <f>IFERROR(__xludf.DUMMYFUNCTION("""COMPUTED_VALUE"""),"Push, Found")</f>
        <v>Push, Found</v>
      </c>
      <c r="I750" s="15">
        <f>IFERROR(__xludf.DUMMYFUNCTION("""COMPUTED_VALUE"""),1.0)</f>
        <v>1</v>
      </c>
      <c r="J750" s="15">
        <f>IFERROR(__xludf.DUMMYFUNCTION("""COMPUTED_VALUE"""),0.0)</f>
        <v>0</v>
      </c>
      <c r="K750" s="15">
        <f>IFERROR(__xludf.DUMMYFUNCTION("""COMPUTED_VALUE"""),0.0)</f>
        <v>0</v>
      </c>
      <c r="L750" s="15"/>
    </row>
    <row r="751" ht="15.75" customHeight="1">
      <c r="A751" s="14" t="str">
        <f>IFERROR(__xludf.DUMMYFUNCTION("""COMPUTED_VALUE"""),"https://topgeoagencies.com/")</f>
        <v>https://topgeoagencies.com/</v>
      </c>
      <c r="B751" s="15" t="str">
        <f>IFERROR(__xludf.DUMMYFUNCTION("""COMPUTED_VALUE"""),"The GEO 250 — Best Generative Engine Optimization (GEO) Agencies | TopGEOAgencies.com")</f>
        <v>The GEO 250 — Best Generative Engine Optimization (GEO) Agencies | TopGEOAgencies.com</v>
      </c>
      <c r="C751" s="14" t="str">
        <f>IFERROR(__xludf.DUMMYFUNCTION("""COMPUTED_VALUE"""),"topgeoagencies.com")</f>
        <v>topgeoagencies.com</v>
      </c>
      <c r="D751" s="15" t="str">
        <f>IFERROR(__xludf.DUMMYFUNCTION("""COMPUTED_VALUE"""),"HOMEPAGE")</f>
        <v>HOMEPAGE</v>
      </c>
      <c r="E751" s="15" t="str">
        <f>IFERROR(__xludf.DUMMYFUNCTION("""COMPUTED_VALUE"""),"CORPORATE")</f>
        <v>CORPORATE</v>
      </c>
      <c r="F751" s="15" t="str">
        <f>IFERROR(__xludf.DUMMYFUNCTION("""COMPUTED_VALUE"""),"Homepage")</f>
        <v>Homepage</v>
      </c>
      <c r="G751" s="15" t="b">
        <f>IFERROR(__xludf.DUMMYFUNCTION("""COMPUTED_VALUE"""),FALSE)</f>
        <v>0</v>
      </c>
      <c r="H751" s="15" t="str">
        <f>IFERROR(__xludf.DUMMYFUNCTION("""COMPUTED_VALUE"""),"Siege Media")</f>
        <v>Siege Media</v>
      </c>
      <c r="I751" s="15">
        <f>IFERROR(__xludf.DUMMYFUNCTION("""COMPUTED_VALUE"""),1.0)</f>
        <v>1</v>
      </c>
      <c r="J751" s="15">
        <f>IFERROR(__xludf.DUMMYFUNCTION("""COMPUTED_VALUE"""),0.0)</f>
        <v>0</v>
      </c>
      <c r="K751" s="15">
        <f>IFERROR(__xludf.DUMMYFUNCTION("""COMPUTED_VALUE"""),0.0)</f>
        <v>0</v>
      </c>
      <c r="L751" s="15"/>
    </row>
    <row r="752" ht="15.75" customHeight="1">
      <c r="A752" s="14" t="str">
        <f>IFERROR(__xludf.DUMMYFUNCTION("""COMPUTED_VALUE"""),"https://www.topseobrands.com/uk/best-display-advertising-firms-in-uk/page/7")</f>
        <v>https://www.topseobrands.com/uk/best-display-advertising-firms-in-uk/page/7</v>
      </c>
      <c r="B752" s="15" t="str">
        <f>IFERROR(__xludf.DUMMYFUNCTION("""COMPUTED_VALUE"""),"Best Display Advertising Firms in United Kingdom | Top SEO Brands")</f>
        <v>Best Display Advertising Firms in United Kingdom | Top SEO Brands</v>
      </c>
      <c r="C752" s="14" t="str">
        <f>IFERROR(__xludf.DUMMYFUNCTION("""COMPUTED_VALUE"""),"topseobrands.com")</f>
        <v>topseobrands.com</v>
      </c>
      <c r="D752" s="15" t="str">
        <f>IFERROR(__xludf.DUMMYFUNCTION("""COMPUTED_VALUE"""),"LISTICLE")</f>
        <v>LISTICLE</v>
      </c>
      <c r="E752" s="15" t="str">
        <f>IFERROR(__xludf.DUMMYFUNCTION("""COMPUTED_VALUE"""),"REFERENCE")</f>
        <v>REFERENCE</v>
      </c>
      <c r="F752" s="15" t="str">
        <f>IFERROR(__xludf.DUMMYFUNCTION("""COMPUTED_VALUE"""),"Listicle")</f>
        <v>Listicle</v>
      </c>
      <c r="G752" s="15" t="b">
        <f>IFERROR(__xludf.DUMMYFUNCTION("""COMPUTED_VALUE"""),FALSE)</f>
        <v>0</v>
      </c>
      <c r="H752" s="15" t="str">
        <f>IFERROR(__xludf.DUMMYFUNCTION("""COMPUTED_VALUE"""),"Found")</f>
        <v>Found</v>
      </c>
      <c r="I752" s="15">
        <f>IFERROR(__xludf.DUMMYFUNCTION("""COMPUTED_VALUE"""),1.0)</f>
        <v>1</v>
      </c>
      <c r="J752" s="15">
        <f>IFERROR(__xludf.DUMMYFUNCTION("""COMPUTED_VALUE"""),0.0)</f>
        <v>0</v>
      </c>
      <c r="K752" s="15">
        <f>IFERROR(__xludf.DUMMYFUNCTION("""COMPUTED_VALUE"""),0.0)</f>
        <v>0</v>
      </c>
      <c r="L752" s="15"/>
    </row>
    <row r="753" ht="15.75" customHeight="1">
      <c r="A753" s="14" t="str">
        <f>IFERROR(__xludf.DUMMYFUNCTION("""COMPUTED_VALUE"""),"https://toptenaiagents.co.uk/lists/top-10-uk-ai-agencies-midsize.html#:~:text=Mesh%2DAI-,Decentralising%20Data%20for%20Enterprise%20Agility,of%20AI%20failure%3A%20data%20inaccessibility.")</f>
        <v>https://toptenaiagents.co.uk/lists/top-10-uk-ai-agencies-midsize.html#:~:text=Mesh%2DAI-,Decentralising%20Data%20for%20Enterprise%20Agility,of%20AI%20failure%3A%20data%20inaccessibility.</v>
      </c>
      <c r="B753" s="15" t="str">
        <f>IFERROR(__xludf.DUMMYFUNCTION("""COMPUTED_VALUE"""),"Top 10 UK AI Agencies for Mid-Size Businesses (2026) | Expert Reviews - TopTenAIAgents.co.uk")</f>
        <v>Top 10 UK AI Agencies for Mid-Size Businesses (2026) | Expert Reviews - TopTenAIAgents.co.uk</v>
      </c>
      <c r="C753" s="14" t="str">
        <f>IFERROR(__xludf.DUMMYFUNCTION("""COMPUTED_VALUE"""),"toptenaiagents.co.uk")</f>
        <v>toptenaiagents.co.uk</v>
      </c>
      <c r="D753" s="15" t="str">
        <f>IFERROR(__xludf.DUMMYFUNCTION("""COMPUTED_VALUE"""),"OTHER")</f>
        <v>OTHER</v>
      </c>
      <c r="E753" s="15" t="str">
        <f>IFERROR(__xludf.DUMMYFUNCTION("""COMPUTED_VALUE"""),"EDITORIAL")</f>
        <v>EDITORIAL</v>
      </c>
      <c r="F753" s="15" t="str">
        <f>IFERROR(__xludf.DUMMYFUNCTION("""COMPUTED_VALUE"""),"Other")</f>
        <v>Other</v>
      </c>
      <c r="G753" s="15" t="b">
        <f>IFERROR(__xludf.DUMMYFUNCTION("""COMPUTED_VALUE"""),FALSE)</f>
        <v>0</v>
      </c>
      <c r="H753" s="15"/>
      <c r="I753" s="15">
        <f>IFERROR(__xludf.DUMMYFUNCTION("""COMPUTED_VALUE"""),1.0)</f>
        <v>1</v>
      </c>
      <c r="J753" s="15">
        <f>IFERROR(__xludf.DUMMYFUNCTION("""COMPUTED_VALUE"""),0.0)</f>
        <v>0</v>
      </c>
      <c r="K753" s="15">
        <f>IFERROR(__xludf.DUMMYFUNCTION("""COMPUTED_VALUE"""),2.0)</f>
        <v>2</v>
      </c>
      <c r="L753" s="15"/>
    </row>
    <row r="754" ht="15.75" customHeight="1">
      <c r="A754" s="14" t="str">
        <f>IFERROR(__xludf.DUMMYFUNCTION("""COMPUTED_VALUE"""),"https://toptenaiagents.co.uk/lists/top-10-uk-ai-agencies-sme.html")</f>
        <v>https://toptenaiagents.co.uk/lists/top-10-uk-ai-agencies-sme.html</v>
      </c>
      <c r="B754" s="15" t="str">
        <f>IFERROR(__xludf.DUMMYFUNCTION("""COMPUTED_VALUE"""),"Top 10 AI Agencies for UK SMEs (2026) | Expert Reviews - TopTenAIAgents.co.uk")</f>
        <v>Top 10 AI Agencies for UK SMEs (2026) | Expert Reviews - TopTenAIAgents.co.uk</v>
      </c>
      <c r="C754" s="14" t="str">
        <f>IFERROR(__xludf.DUMMYFUNCTION("""COMPUTED_VALUE"""),"toptenaiagents.co.uk")</f>
        <v>toptenaiagents.co.uk</v>
      </c>
      <c r="D754" s="15" t="str">
        <f>IFERROR(__xludf.DUMMYFUNCTION("""COMPUTED_VALUE"""),"LISTICLE")</f>
        <v>LISTICLE</v>
      </c>
      <c r="E754" s="15" t="str">
        <f>IFERROR(__xludf.DUMMYFUNCTION("""COMPUTED_VALUE"""),"EDITORIAL")</f>
        <v>EDITORIAL</v>
      </c>
      <c r="F754" s="15" t="str">
        <f>IFERROR(__xludf.DUMMYFUNCTION("""COMPUTED_VALUE"""),"Listicle")</f>
        <v>Listicle</v>
      </c>
      <c r="G754" s="15" t="b">
        <f>IFERROR(__xludf.DUMMYFUNCTION("""COMPUTED_VALUE"""),FALSE)</f>
        <v>0</v>
      </c>
      <c r="H754" s="15" t="str">
        <f>IFERROR(__xludf.DUMMYFUNCTION("""COMPUTED_VALUE"""),"Measured")</f>
        <v>Measured</v>
      </c>
      <c r="I754" s="15">
        <f>IFERROR(__xludf.DUMMYFUNCTION("""COMPUTED_VALUE"""),1.0)</f>
        <v>1</v>
      </c>
      <c r="J754" s="15">
        <f>IFERROR(__xludf.DUMMYFUNCTION("""COMPUTED_VALUE"""),0.0)</f>
        <v>0</v>
      </c>
      <c r="K754" s="15">
        <f>IFERROR(__xludf.DUMMYFUNCTION("""COMPUTED_VALUE"""),1.0)</f>
        <v>1</v>
      </c>
      <c r="L754" s="15"/>
    </row>
    <row r="755" ht="15.75" customHeight="1">
      <c r="A755" s="14" t="str">
        <f>IFERROR(__xludf.DUMMYFUNCTION("""COMPUTED_VALUE"""),"https://www.trendygrandad.com/blog/best-youtube-video-production-companies-in-london")</f>
        <v>https://www.trendygrandad.com/blog/best-youtube-video-production-companies-in-london</v>
      </c>
      <c r="B755" s="15" t="str">
        <f>IFERROR(__xludf.DUMMYFUNCTION("""COMPUTED_VALUE"""),"Best Youtube video production companies in London | By a UK London Video Production Company")</f>
        <v>Best Youtube video production companies in London | By a UK London Video Production Company</v>
      </c>
      <c r="C755" s="14" t="str">
        <f>IFERROR(__xludf.DUMMYFUNCTION("""COMPUTED_VALUE"""),"trendygrandad.com")</f>
        <v>trendygrandad.com</v>
      </c>
      <c r="D755" s="15" t="str">
        <f>IFERROR(__xludf.DUMMYFUNCTION("""COMPUTED_VALUE"""),"LISTICLE")</f>
        <v>LISTICLE</v>
      </c>
      <c r="E755" s="15" t="str">
        <f>IFERROR(__xludf.DUMMYFUNCTION("""COMPUTED_VALUE"""),"CORPORATE")</f>
        <v>CORPORATE</v>
      </c>
      <c r="F755" s="15" t="str">
        <f>IFERROR(__xludf.DUMMYFUNCTION("""COMPUTED_VALUE"""),"Listicle")</f>
        <v>Listicle</v>
      </c>
      <c r="G755" s="15" t="b">
        <f>IFERROR(__xludf.DUMMYFUNCTION("""COMPUTED_VALUE"""),FALSE)</f>
        <v>0</v>
      </c>
      <c r="H755" s="15"/>
      <c r="I755" s="15">
        <f>IFERROR(__xludf.DUMMYFUNCTION("""COMPUTED_VALUE"""),1.0)</f>
        <v>1</v>
      </c>
      <c r="J755" s="15">
        <f>IFERROR(__xludf.DUMMYFUNCTION("""COMPUTED_VALUE"""),0.0)</f>
        <v>0</v>
      </c>
      <c r="K755" s="15">
        <f>IFERROR(__xludf.DUMMYFUNCTION("""COMPUTED_VALUE"""),0.0)</f>
        <v>0</v>
      </c>
      <c r="L755" s="15"/>
    </row>
    <row r="756" ht="15.75" customHeight="1">
      <c r="A756" s="14" t="str">
        <f>IFERROR(__xludf.DUMMYFUNCTION("""COMPUTED_VALUE"""),"https://www.trendygrandad.com/blog/top-5-performance-creative-agencies-sept-2024")</f>
        <v>https://www.trendygrandad.com/blog/top-5-performance-creative-agencies-sept-2024</v>
      </c>
      <c r="B756" s="15" t="str">
        <f>IFERROR(__xludf.DUMMYFUNCTION("""COMPUTED_VALUE"""),"Top 5 Performance Creative Agencies | Sept 2024 | By a UK London Video Production Company")</f>
        <v>Top 5 Performance Creative Agencies | Sept 2024 | By a UK London Video Production Company</v>
      </c>
      <c r="C756" s="14" t="str">
        <f>IFERROR(__xludf.DUMMYFUNCTION("""COMPUTED_VALUE"""),"trendygrandad.com")</f>
        <v>trendygrandad.com</v>
      </c>
      <c r="D756" s="15" t="str">
        <f>IFERROR(__xludf.DUMMYFUNCTION("""COMPUTED_VALUE"""),"LISTICLE")</f>
        <v>LISTICLE</v>
      </c>
      <c r="E756" s="15" t="str">
        <f>IFERROR(__xludf.DUMMYFUNCTION("""COMPUTED_VALUE"""),"CORPORATE")</f>
        <v>CORPORATE</v>
      </c>
      <c r="F756" s="15" t="str">
        <f>IFERROR(__xludf.DUMMYFUNCTION("""COMPUTED_VALUE"""),"Listicle")</f>
        <v>Listicle</v>
      </c>
      <c r="G756" s="15" t="b">
        <f>IFERROR(__xludf.DUMMYFUNCTION("""COMPUTED_VALUE"""),FALSE)</f>
        <v>0</v>
      </c>
      <c r="H756" s="15" t="str">
        <f>IFERROR(__xludf.DUMMYFUNCTION("""COMPUTED_VALUE"""),"Triple Whale")</f>
        <v>Triple Whale</v>
      </c>
      <c r="I756" s="15">
        <f>IFERROR(__xludf.DUMMYFUNCTION("""COMPUTED_VALUE"""),1.0)</f>
        <v>1</v>
      </c>
      <c r="J756" s="15">
        <f>IFERROR(__xludf.DUMMYFUNCTION("""COMPUTED_VALUE"""),0.0)</f>
        <v>0</v>
      </c>
      <c r="K756" s="15">
        <f>IFERROR(__xludf.DUMMYFUNCTION("""COMPUTED_VALUE"""),0.0)</f>
        <v>0</v>
      </c>
      <c r="L756" s="15"/>
    </row>
    <row r="757" ht="15.75" customHeight="1">
      <c r="A757" s="14" t="str">
        <f>IFERROR(__xludf.DUMMYFUNCTION("""COMPUTED_VALUE"""),"https://www.tripledart.com/ai-seo/ai-seo-agencies")</f>
        <v>https://www.tripledart.com/ai-seo/ai-seo-agencies</v>
      </c>
      <c r="B757" s="15" t="str">
        <f>IFERROR(__xludf.DUMMYFUNCTION("""COMPUTED_VALUE"""),"Best AI SEO Agencies in 2026")</f>
        <v>Best AI SEO Agencies in 2026</v>
      </c>
      <c r="C757" s="14" t="str">
        <f>IFERROR(__xludf.DUMMYFUNCTION("""COMPUTED_VALUE"""),"tripledart.com")</f>
        <v>tripledart.com</v>
      </c>
      <c r="D757" s="15" t="str">
        <f>IFERROR(__xludf.DUMMYFUNCTION("""COMPUTED_VALUE"""),"LISTICLE")</f>
        <v>LISTICLE</v>
      </c>
      <c r="E757" s="15" t="str">
        <f>IFERROR(__xludf.DUMMYFUNCTION("""COMPUTED_VALUE"""),"OTHER")</f>
        <v>OTHER</v>
      </c>
      <c r="F757" s="15" t="str">
        <f>IFERROR(__xludf.DUMMYFUNCTION("""COMPUTED_VALUE"""),"Listicle")</f>
        <v>Listicle</v>
      </c>
      <c r="G757" s="15" t="b">
        <f>IFERROR(__xludf.DUMMYFUNCTION("""COMPUTED_VALUE"""),FALSE)</f>
        <v>0</v>
      </c>
      <c r="H757" s="15" t="str">
        <f>IFERROR(__xludf.DUMMYFUNCTION("""COMPUTED_VALUE"""),"WebFX, NoGood, Omniscient Digital, Siege Media, Whitehat, Measured")</f>
        <v>WebFX, NoGood, Omniscient Digital, Siege Media, Whitehat, Measured</v>
      </c>
      <c r="I757" s="15">
        <f>IFERROR(__xludf.DUMMYFUNCTION("""COMPUTED_VALUE"""),1.0)</f>
        <v>1</v>
      </c>
      <c r="J757" s="15">
        <f>IFERROR(__xludf.DUMMYFUNCTION("""COMPUTED_VALUE"""),0.0)</f>
        <v>0</v>
      </c>
      <c r="K757" s="15">
        <f>IFERROR(__xludf.DUMMYFUNCTION("""COMPUTED_VALUE"""),1.0)</f>
        <v>1</v>
      </c>
      <c r="L757" s="15"/>
    </row>
    <row r="758" ht="15.75" customHeight="1">
      <c r="A758" s="14" t="str">
        <f>IFERROR(__xludf.DUMMYFUNCTION("""COMPUTED_VALUE"""),"https://www.triplewhale.com/blog/marketing-attribution")</f>
        <v>https://www.triplewhale.com/blog/marketing-attribution</v>
      </c>
      <c r="B758" s="15" t="str">
        <f>IFERROR(__xludf.DUMMYFUNCTION("""COMPUTED_VALUE"""),"Marketing Attribution: Models, Benefits, and Best Practices | Triple Whale")</f>
        <v>Marketing Attribution: Models, Benefits, and Best Practices | Triple Whale</v>
      </c>
      <c r="C758" s="14" t="str">
        <f>IFERROR(__xludf.DUMMYFUNCTION("""COMPUTED_VALUE"""),"triplewhale.com")</f>
        <v>triplewhale.com</v>
      </c>
      <c r="D758" s="15" t="str">
        <f>IFERROR(__xludf.DUMMYFUNCTION("""COMPUTED_VALUE"""),"ARTICLE")</f>
        <v>ARTICLE</v>
      </c>
      <c r="E758" s="15" t="str">
        <f>IFERROR(__xludf.DUMMYFUNCTION("""COMPUTED_VALUE"""),"COMPETITOR")</f>
        <v>COMPETITOR</v>
      </c>
      <c r="F758" s="15" t="str">
        <f>IFERROR(__xludf.DUMMYFUNCTION("""COMPUTED_VALUE"""),"Article")</f>
        <v>Article</v>
      </c>
      <c r="G758" s="15" t="b">
        <f>IFERROR(__xludf.DUMMYFUNCTION("""COMPUTED_VALUE"""),FALSE)</f>
        <v>0</v>
      </c>
      <c r="H758" s="15" t="str">
        <f>IFERROR(__xludf.DUMMYFUNCTION("""COMPUTED_VALUE"""),"Triple Whale, Ruler Analytics")</f>
        <v>Triple Whale, Ruler Analytics</v>
      </c>
      <c r="I758" s="15">
        <f>IFERROR(__xludf.DUMMYFUNCTION("""COMPUTED_VALUE"""),1.0)</f>
        <v>1</v>
      </c>
      <c r="J758" s="15">
        <f>IFERROR(__xludf.DUMMYFUNCTION("""COMPUTED_VALUE"""),0.0)</f>
        <v>0</v>
      </c>
      <c r="K758" s="15">
        <f>IFERROR(__xludf.DUMMYFUNCTION("""COMPUTED_VALUE"""),0.0)</f>
        <v>0</v>
      </c>
      <c r="L758" s="15"/>
    </row>
    <row r="759" ht="15.75" customHeight="1">
      <c r="A759" s="14" t="str">
        <f>IFERROR(__xludf.DUMMYFUNCTION("""COMPUTED_VALUE"""),"https://ukagencies.co.uk/services/ppc/")</f>
        <v>https://ukagencies.co.uk/services/ppc/</v>
      </c>
      <c r="B759" s="15" t="str">
        <f>IFERROR(__xludf.DUMMYFUNCTION("""COMPUTED_VALUE"""),"Best PPC Agencies in the UK (2026) - Google Ads Experts | UKAgencies.co.uk")</f>
        <v>Best PPC Agencies in the UK (2026) - Google Ads Experts | UKAgencies.co.uk</v>
      </c>
      <c r="C759" s="14" t="str">
        <f>IFERROR(__xludf.DUMMYFUNCTION("""COMPUTED_VALUE"""),"ukagencies.co.uk")</f>
        <v>ukagencies.co.uk</v>
      </c>
      <c r="D759" s="15" t="str">
        <f>IFERROR(__xludf.DUMMYFUNCTION("""COMPUTED_VALUE"""),"CATEGORY_PAGE")</f>
        <v>CATEGORY_PAGE</v>
      </c>
      <c r="E759" s="15" t="str">
        <f>IFERROR(__xludf.DUMMYFUNCTION("""COMPUTED_VALUE"""),"REFERENCE")</f>
        <v>REFERENCE</v>
      </c>
      <c r="F759" s="15" t="str">
        <f>IFERROR(__xludf.DUMMYFUNCTION("""COMPUTED_VALUE"""),"Category Page")</f>
        <v>Category Page</v>
      </c>
      <c r="G759" s="15" t="b">
        <f>IFERROR(__xludf.DUMMYFUNCTION("""COMPUTED_VALUE"""),FALSE)</f>
        <v>0</v>
      </c>
      <c r="H759" s="15"/>
      <c r="I759" s="15">
        <f>IFERROR(__xludf.DUMMYFUNCTION("""COMPUTED_VALUE"""),1.0)</f>
        <v>1</v>
      </c>
      <c r="J759" s="15">
        <f>IFERROR(__xludf.DUMMYFUNCTION("""COMPUTED_VALUE"""),0.0)</f>
        <v>0</v>
      </c>
      <c r="K759" s="15">
        <f>IFERROR(__xludf.DUMMYFUNCTION("""COMPUTED_VALUE"""),0.0)</f>
        <v>0</v>
      </c>
      <c r="L759" s="15"/>
    </row>
    <row r="760" ht="15.75" customHeight="1">
      <c r="A760" s="14" t="str">
        <f>IFERROR(__xludf.DUMMYFUNCTION("""COMPUTED_VALUE"""),"https://www.updigital.co.uk/the-top-5-bristol-ppc-agencies-in-2026/")</f>
        <v>https://www.updigital.co.uk/the-top-5-bristol-ppc-agencies-in-2026/</v>
      </c>
      <c r="B760" s="15" t="str">
        <f>IFERROR(__xludf.DUMMYFUNCTION("""COMPUTED_VALUE"""),"The Top 5 Bristol PPC Agencies in 2026 | Up Digital")</f>
        <v>The Top 5 Bristol PPC Agencies in 2026 | Up Digital</v>
      </c>
      <c r="C760" s="14" t="str">
        <f>IFERROR(__xludf.DUMMYFUNCTION("""COMPUTED_VALUE"""),"updigital.co.uk")</f>
        <v>updigital.co.uk</v>
      </c>
      <c r="D760" s="15" t="str">
        <f>IFERROR(__xludf.DUMMYFUNCTION("""COMPUTED_VALUE"""),"LISTICLE")</f>
        <v>LISTICLE</v>
      </c>
      <c r="E760" s="15" t="str">
        <f>IFERROR(__xludf.DUMMYFUNCTION("""COMPUTED_VALUE"""),"CORPORATE")</f>
        <v>CORPORATE</v>
      </c>
      <c r="F760" s="15" t="str">
        <f>IFERROR(__xludf.DUMMYFUNCTION("""COMPUTED_VALUE"""),"Listicle")</f>
        <v>Listicle</v>
      </c>
      <c r="G760" s="15" t="b">
        <f>IFERROR(__xludf.DUMMYFUNCTION("""COMPUTED_VALUE"""),FALSE)</f>
        <v>0</v>
      </c>
      <c r="H760" s="15" t="str">
        <f>IFERROR(__xludf.DUMMYFUNCTION("""COMPUTED_VALUE"""),"Bind Media")</f>
        <v>Bind Media</v>
      </c>
      <c r="I760" s="15">
        <f>IFERROR(__xludf.DUMMYFUNCTION("""COMPUTED_VALUE"""),1.0)</f>
        <v>1</v>
      </c>
      <c r="J760" s="15">
        <f>IFERROR(__xludf.DUMMYFUNCTION("""COMPUTED_VALUE"""),0.0)</f>
        <v>0</v>
      </c>
      <c r="K760" s="15">
        <f>IFERROR(__xludf.DUMMYFUNCTION("""COMPUTED_VALUE"""),1.0)</f>
        <v>1</v>
      </c>
      <c r="L760" s="15"/>
    </row>
    <row r="761" ht="15.75" customHeight="1">
      <c r="A761" s="14" t="str">
        <f>IFERROR(__xludf.DUMMYFUNCTION("""COMPUTED_VALUE"""),"https://vibebranding.com/blog/best-performance-marketing-agencies/")</f>
        <v>https://vibebranding.com/blog/best-performance-marketing-agencies/</v>
      </c>
      <c r="B761" s="15" t="str">
        <f>IFERROR(__xludf.DUMMYFUNCTION("""COMPUTED_VALUE"""),"Best Performance Marketing Agencies for ROI Growth 2025")</f>
        <v>Best Performance Marketing Agencies for ROI Growth 2025</v>
      </c>
      <c r="C761" s="14" t="str">
        <f>IFERROR(__xludf.DUMMYFUNCTION("""COMPUTED_VALUE"""),"vibebranding.com")</f>
        <v>vibebranding.com</v>
      </c>
      <c r="D761" s="15" t="str">
        <f>IFERROR(__xludf.DUMMYFUNCTION("""COMPUTED_VALUE"""),"LISTICLE")</f>
        <v>LISTICLE</v>
      </c>
      <c r="E761" s="15" t="str">
        <f>IFERROR(__xludf.DUMMYFUNCTION("""COMPUTED_VALUE"""),"CORPORATE")</f>
        <v>CORPORATE</v>
      </c>
      <c r="F761" s="15" t="str">
        <f>IFERROR(__xludf.DUMMYFUNCTION("""COMPUTED_VALUE"""),"Listicle")</f>
        <v>Listicle</v>
      </c>
      <c r="G761" s="15" t="b">
        <f>IFERROR(__xludf.DUMMYFUNCTION("""COMPUTED_VALUE"""),FALSE)</f>
        <v>0</v>
      </c>
      <c r="H761" s="15" t="str">
        <f>IFERROR(__xludf.DUMMYFUNCTION("""COMPUTED_VALUE"""),"Impression, Found, Momentum")</f>
        <v>Impression, Found, Momentum</v>
      </c>
      <c r="I761" s="15">
        <f>IFERROR(__xludf.DUMMYFUNCTION("""COMPUTED_VALUE"""),1.0)</f>
        <v>1</v>
      </c>
      <c r="J761" s="15">
        <f>IFERROR(__xludf.DUMMYFUNCTION("""COMPUTED_VALUE"""),0.0)</f>
        <v>0</v>
      </c>
      <c r="K761" s="15">
        <f>IFERROR(__xludf.DUMMYFUNCTION("""COMPUTED_VALUE"""),0.0)</f>
        <v>0</v>
      </c>
      <c r="L761" s="15"/>
    </row>
    <row r="762" ht="15.75" customHeight="1">
      <c r="A762" s="14" t="str">
        <f>IFERROR(__xludf.DUMMYFUNCTION("""COMPUTED_VALUE"""),"https://virayo.com/blog/b2b-seo-agencies")</f>
        <v>https://virayo.com/blog/b2b-seo-agencies</v>
      </c>
      <c r="B762" s="15" t="str">
        <f>IFERROR(__xludf.DUMMYFUNCTION("""COMPUTED_VALUE"""),"10 Best B2B SEO Agencies for 2026 [By Category]")</f>
        <v>10 Best B2B SEO Agencies for 2026 [By Category]</v>
      </c>
      <c r="C762" s="14" t="str">
        <f>IFERROR(__xludf.DUMMYFUNCTION("""COMPUTED_VALUE"""),"virayo.com")</f>
        <v>virayo.com</v>
      </c>
      <c r="D762" s="15" t="str">
        <f>IFERROR(__xludf.DUMMYFUNCTION("""COMPUTED_VALUE"""),"LISTICLE")</f>
        <v>LISTICLE</v>
      </c>
      <c r="E762" s="15" t="str">
        <f>IFERROR(__xludf.DUMMYFUNCTION("""COMPUTED_VALUE"""),"CORPORATE")</f>
        <v>CORPORATE</v>
      </c>
      <c r="F762" s="15" t="str">
        <f>IFERROR(__xludf.DUMMYFUNCTION("""COMPUTED_VALUE"""),"Listicle")</f>
        <v>Listicle</v>
      </c>
      <c r="G762" s="15" t="b">
        <f>IFERROR(__xludf.DUMMYFUNCTION("""COMPUTED_VALUE"""),FALSE)</f>
        <v>0</v>
      </c>
      <c r="H762" s="15" t="str">
        <f>IFERROR(__xludf.DUMMYFUNCTION("""COMPUTED_VALUE"""),"Siege Media, Directive Consulting, WebFX")</f>
        <v>Siege Media, Directive Consulting, WebFX</v>
      </c>
      <c r="I762" s="15">
        <f>IFERROR(__xludf.DUMMYFUNCTION("""COMPUTED_VALUE"""),1.0)</f>
        <v>1</v>
      </c>
      <c r="J762" s="15">
        <f>IFERROR(__xludf.DUMMYFUNCTION("""COMPUTED_VALUE"""),0.0)</f>
        <v>0</v>
      </c>
      <c r="K762" s="15">
        <f>IFERROR(__xludf.DUMMYFUNCTION("""COMPUTED_VALUE"""),0.0)</f>
        <v>0</v>
      </c>
      <c r="L762" s="15"/>
    </row>
    <row r="763" ht="15.75" customHeight="1">
      <c r="A763" s="14" t="str">
        <f>IFERROR(__xludf.DUMMYFUNCTION("""COMPUTED_VALUE"""),"https://visionone.co.uk/news/top-market-research-companies-in-the-uk-2026/")</f>
        <v>https://visionone.co.uk/news/top-market-research-companies-in-the-uk-2026/</v>
      </c>
      <c r="B763" s="15" t="str">
        <f>IFERROR(__xludf.DUMMYFUNCTION("""COMPUTED_VALUE"""),"Top Market Research Companies In The UK For 2026 VIsion One")</f>
        <v>Top Market Research Companies In The UK For 2026 VIsion One</v>
      </c>
      <c r="C763" s="14" t="str">
        <f>IFERROR(__xludf.DUMMYFUNCTION("""COMPUTED_VALUE"""),"visionone.co.uk")</f>
        <v>visionone.co.uk</v>
      </c>
      <c r="D763" s="15" t="str">
        <f>IFERROR(__xludf.DUMMYFUNCTION("""COMPUTED_VALUE"""),"LISTICLE")</f>
        <v>LISTICLE</v>
      </c>
      <c r="E763" s="15" t="str">
        <f>IFERROR(__xludf.DUMMYFUNCTION("""COMPUTED_VALUE"""),"CORPORATE")</f>
        <v>CORPORATE</v>
      </c>
      <c r="F763" s="15" t="str">
        <f>IFERROR(__xludf.DUMMYFUNCTION("""COMPUTED_VALUE"""),"Listicle")</f>
        <v>Listicle</v>
      </c>
      <c r="G763" s="15" t="b">
        <f>IFERROR(__xludf.DUMMYFUNCTION("""COMPUTED_VALUE"""),FALSE)</f>
        <v>0</v>
      </c>
      <c r="H763" s="15" t="str">
        <f>IFERROR(__xludf.DUMMYFUNCTION("""COMPUTED_VALUE"""),"Kantar, YouGov, Momentum, WPP, Accenture Song, Omnicom, Merkle, Dentsu, Transmission")</f>
        <v>Kantar, YouGov, Momentum, WPP, Accenture Song, Omnicom, Merkle, Dentsu, Transmission</v>
      </c>
      <c r="I763" s="15">
        <f>IFERROR(__xludf.DUMMYFUNCTION("""COMPUTED_VALUE"""),1.0)</f>
        <v>1</v>
      </c>
      <c r="J763" s="15">
        <f>IFERROR(__xludf.DUMMYFUNCTION("""COMPUTED_VALUE"""),0.0)</f>
        <v>0</v>
      </c>
      <c r="K763" s="15">
        <f>IFERROR(__xludf.DUMMYFUNCTION("""COMPUTED_VALUE"""),0.0)</f>
        <v>0</v>
      </c>
      <c r="L763" s="15"/>
    </row>
    <row r="764" ht="15.75" customHeight="1">
      <c r="A764" s="14" t="str">
        <f>IFERROR(__xludf.DUMMYFUNCTION("""COMPUTED_VALUE"""),"https://www.visuosofts.com/blog/top-digital-marketing-agencies-in-the-uk-2026-the-complete-comparison-guide")</f>
        <v>https://www.visuosofts.com/blog/top-digital-marketing-agencies-in-the-uk-2026-the-complete-comparison-guide</v>
      </c>
      <c r="B764" s="15" t="str">
        <f>IFERROR(__xludf.DUMMYFUNCTION("""COMPUTED_VALUE"""),"Top Digital Marketing Agencies in the UK 2026: The Complete Comparison Guide | Visuosofts Blog")</f>
        <v>Top Digital Marketing Agencies in the UK 2026: The Complete Comparison Guide | Visuosofts Blog</v>
      </c>
      <c r="C764" s="14" t="str">
        <f>IFERROR(__xludf.DUMMYFUNCTION("""COMPUTED_VALUE"""),"visuosofts.com")</f>
        <v>visuosofts.com</v>
      </c>
      <c r="D764" s="15" t="str">
        <f>IFERROR(__xludf.DUMMYFUNCTION("""COMPUTED_VALUE"""),"LISTICLE")</f>
        <v>LISTICLE</v>
      </c>
      <c r="E764" s="15" t="str">
        <f>IFERROR(__xludf.DUMMYFUNCTION("""COMPUTED_VALUE"""),"CORPORATE")</f>
        <v>CORPORATE</v>
      </c>
      <c r="F764" s="15" t="str">
        <f>IFERROR(__xludf.DUMMYFUNCTION("""COMPUTED_VALUE"""),"Listicle")</f>
        <v>Listicle</v>
      </c>
      <c r="G764" s="15" t="b">
        <f>IFERROR(__xludf.DUMMYFUNCTION("""COMPUTED_VALUE"""),FALSE)</f>
        <v>0</v>
      </c>
      <c r="H764" s="15" t="str">
        <f>IFERROR(__xludf.DUMMYFUNCTION("""COMPUTED_VALUE"""),"WebFX, Social Chain, Born Social, Passion Digital, Push, ClickSlice, Found")</f>
        <v>WebFX, Social Chain, Born Social, Passion Digital, Push, ClickSlice, Found</v>
      </c>
      <c r="I764" s="15">
        <f>IFERROR(__xludf.DUMMYFUNCTION("""COMPUTED_VALUE"""),1.0)</f>
        <v>1</v>
      </c>
      <c r="J764" s="15">
        <f>IFERROR(__xludf.DUMMYFUNCTION("""COMPUTED_VALUE"""),0.0)</f>
        <v>0</v>
      </c>
      <c r="K764" s="15">
        <f>IFERROR(__xludf.DUMMYFUNCTION("""COMPUTED_VALUE"""),0.0)</f>
        <v>0</v>
      </c>
      <c r="L764" s="15"/>
    </row>
    <row r="765" ht="15.75" customHeight="1">
      <c r="A765" s="14" t="str">
        <f>IFERROR(__xludf.DUMMYFUNCTION("""COMPUTED_VALUE"""),"https://wamdigital.com/blog/top-5-creative-and-web-development-agencies-for-scalable-production-in-2026")</f>
        <v>https://wamdigital.com/blog/top-5-creative-and-web-development-agencies-for-scalable-production-in-2026</v>
      </c>
      <c r="B765" s="15" t="str">
        <f>IFERROR(__xludf.DUMMYFUNCTION("""COMPUTED_VALUE"""),"Top Creative &amp;amp; Web Development Agencies for Scalable Production in 2026")</f>
        <v>Top Creative &amp;amp; Web Development Agencies for Scalable Production in 2026</v>
      </c>
      <c r="C765" s="14" t="str">
        <f>IFERROR(__xludf.DUMMYFUNCTION("""COMPUTED_VALUE"""),"wamdigital.com")</f>
        <v>wamdigital.com</v>
      </c>
      <c r="D765" s="15" t="str">
        <f>IFERROR(__xludf.DUMMYFUNCTION("""COMPUTED_VALUE"""),"LISTICLE")</f>
        <v>LISTICLE</v>
      </c>
      <c r="E765" s="15" t="str">
        <f>IFERROR(__xludf.DUMMYFUNCTION("""COMPUTED_VALUE"""),"CORPORATE")</f>
        <v>CORPORATE</v>
      </c>
      <c r="F765" s="15" t="str">
        <f>IFERROR(__xludf.DUMMYFUNCTION("""COMPUTED_VALUE"""),"Listicle")</f>
        <v>Listicle</v>
      </c>
      <c r="G765" s="15" t="b">
        <f>IFERROR(__xludf.DUMMYFUNCTION("""COMPUTED_VALUE"""),FALSE)</f>
        <v>0</v>
      </c>
      <c r="H765" s="15" t="str">
        <f>IFERROR(__xludf.DUMMYFUNCTION("""COMPUTED_VALUE"""),"Superside, Dept")</f>
        <v>Superside, Dept</v>
      </c>
      <c r="I765" s="15">
        <f>IFERROR(__xludf.DUMMYFUNCTION("""COMPUTED_VALUE"""),1.0)</f>
        <v>1</v>
      </c>
      <c r="J765" s="15">
        <f>IFERROR(__xludf.DUMMYFUNCTION("""COMPUTED_VALUE"""),0.0)</f>
        <v>0</v>
      </c>
      <c r="K765" s="15">
        <f>IFERROR(__xludf.DUMMYFUNCTION("""COMPUTED_VALUE"""),1.0)</f>
        <v>1</v>
      </c>
      <c r="L765" s="15"/>
    </row>
    <row r="766" ht="15.75" customHeight="1">
      <c r="A766" s="14" t="str">
        <f>IFERROR(__xludf.DUMMYFUNCTION("""COMPUTED_VALUE"""),"https://www.weareqry.com/blog/best-paid-media-agencies")</f>
        <v>https://www.weareqry.com/blog/best-paid-media-agencies</v>
      </c>
      <c r="B766" s="15" t="str">
        <f>IFERROR(__xludf.DUMMYFUNCTION("""COMPUTED_VALUE"""),"Best Paid Media Agencies for 2026 | QRY")</f>
        <v>Best Paid Media Agencies for 2026 | QRY</v>
      </c>
      <c r="C766" s="14" t="str">
        <f>IFERROR(__xludf.DUMMYFUNCTION("""COMPUTED_VALUE"""),"weareqry.com")</f>
        <v>weareqry.com</v>
      </c>
      <c r="D766" s="15" t="str">
        <f>IFERROR(__xludf.DUMMYFUNCTION("""COMPUTED_VALUE"""),"LISTICLE")</f>
        <v>LISTICLE</v>
      </c>
      <c r="E766" s="15" t="str">
        <f>IFERROR(__xludf.DUMMYFUNCTION("""COMPUTED_VALUE"""),"CORPORATE")</f>
        <v>CORPORATE</v>
      </c>
      <c r="F766" s="15" t="str">
        <f>IFERROR(__xludf.DUMMYFUNCTION("""COMPUTED_VALUE"""),"Listicle")</f>
        <v>Listicle</v>
      </c>
      <c r="G766" s="15" t="b">
        <f>IFERROR(__xludf.DUMMYFUNCTION("""COMPUTED_VALUE"""),FALSE)</f>
        <v>0</v>
      </c>
      <c r="H766" s="15" t="str">
        <f>IFERROR(__xludf.DUMMYFUNCTION("""COMPUTED_VALUE"""),"Wpromote, Polaris, Power Digital, WebFX, Single Grain, Omnicom, Disrupt Marketing, Tinuiti")</f>
        <v>Wpromote, Polaris, Power Digital, WebFX, Single Grain, Omnicom, Disrupt Marketing, Tinuiti</v>
      </c>
      <c r="I766" s="15">
        <f>IFERROR(__xludf.DUMMYFUNCTION("""COMPUTED_VALUE"""),1.0)</f>
        <v>1</v>
      </c>
      <c r="J766" s="15">
        <f>IFERROR(__xludf.DUMMYFUNCTION("""COMPUTED_VALUE"""),0.0)</f>
        <v>0</v>
      </c>
      <c r="K766" s="15">
        <f>IFERROR(__xludf.DUMMYFUNCTION("""COMPUTED_VALUE"""),4.0)</f>
        <v>4</v>
      </c>
      <c r="L766" s="15"/>
    </row>
    <row r="767" ht="15.75" customHeight="1">
      <c r="A767" s="14" t="str">
        <f>IFERROR(__xludf.DUMMYFUNCTION("""COMPUTED_VALUE"""),"https://www.wearetenet.com/uk/growth/ai-seo-services")</f>
        <v>https://www.wearetenet.com/uk/growth/ai-seo-services</v>
      </c>
      <c r="B767" s="15" t="str">
        <f>IFERROR(__xludf.DUMMYFUNCTION("""COMPUTED_VALUE"""),"AI SEO Services London, UK | Best AI SEO Agency")</f>
        <v>AI SEO Services London, UK | Best AI SEO Agency</v>
      </c>
      <c r="C767" s="14" t="str">
        <f>IFERROR(__xludf.DUMMYFUNCTION("""COMPUTED_VALUE"""),"wearetenet.com")</f>
        <v>wearetenet.com</v>
      </c>
      <c r="D767" s="15" t="str">
        <f>IFERROR(__xludf.DUMMYFUNCTION("""COMPUTED_VALUE"""),"PRODUCT_PAGE")</f>
        <v>PRODUCT_PAGE</v>
      </c>
      <c r="E767" s="15" t="str">
        <f>IFERROR(__xludf.DUMMYFUNCTION("""COMPUTED_VALUE"""),"CORPORATE")</f>
        <v>CORPORATE</v>
      </c>
      <c r="F767" s="15" t="str">
        <f>IFERROR(__xludf.DUMMYFUNCTION("""COMPUTED_VALUE"""),"Product Page")</f>
        <v>Product Page</v>
      </c>
      <c r="G767" s="15" t="b">
        <f>IFERROR(__xludf.DUMMYFUNCTION("""COMPUTED_VALUE"""),FALSE)</f>
        <v>0</v>
      </c>
      <c r="H767" s="15" t="str">
        <f>IFERROR(__xludf.DUMMYFUNCTION("""COMPUTED_VALUE"""),"Ogilvy, Screaming Frog")</f>
        <v>Ogilvy, Screaming Frog</v>
      </c>
      <c r="I767" s="15">
        <f>IFERROR(__xludf.DUMMYFUNCTION("""COMPUTED_VALUE"""),1.0)</f>
        <v>1</v>
      </c>
      <c r="J767" s="15">
        <f>IFERROR(__xludf.DUMMYFUNCTION("""COMPUTED_VALUE"""),0.0)</f>
        <v>0</v>
      </c>
      <c r="K767" s="15">
        <f>IFERROR(__xludf.DUMMYFUNCTION("""COMPUTED_VALUE"""),0.0)</f>
        <v>0</v>
      </c>
      <c r="L767" s="15"/>
    </row>
    <row r="768" ht="15.75" customHeight="1">
      <c r="A768" s="14" t="str">
        <f>IFERROR(__xludf.DUMMYFUNCTION("""COMPUTED_VALUE"""),"http://www.web-in-a-click.com/index-296.html")</f>
        <v>http://www.web-in-a-click.com/index-296.html</v>
      </c>
      <c r="B768" s="15" t="str">
        <f>IFERROR(__xludf.DUMMYFUNCTION("""COMPUTED_VALUE"""),"10 Best AI Marketing Agencies in the UK for 2026")</f>
        <v>10 Best AI Marketing Agencies in the UK for 2026</v>
      </c>
      <c r="C768" s="14" t="str">
        <f>IFERROR(__xludf.DUMMYFUNCTION("""COMPUTED_VALUE"""),"web-in-a-click.com")</f>
        <v>web-in-a-click.com</v>
      </c>
      <c r="D768" s="15" t="str">
        <f>IFERROR(__xludf.DUMMYFUNCTION("""COMPUTED_VALUE"""),"OTHER")</f>
        <v>OTHER</v>
      </c>
      <c r="E768" s="15" t="str">
        <f>IFERROR(__xludf.DUMMYFUNCTION("""COMPUTED_VALUE"""),"CORPORATE")</f>
        <v>CORPORATE</v>
      </c>
      <c r="F768" s="15" t="str">
        <f>IFERROR(__xludf.DUMMYFUNCTION("""COMPUTED_VALUE"""),"Other")</f>
        <v>Other</v>
      </c>
      <c r="G768" s="15" t="b">
        <f>IFERROR(__xludf.DUMMYFUNCTION("""COMPUTED_VALUE"""),FALSE)</f>
        <v>0</v>
      </c>
      <c r="H768" s="15" t="str">
        <f>IFERROR(__xludf.DUMMYFUNCTION("""COMPUTED_VALUE"""),"Hallam, Favoured, Propeller, Disrupt Marketing")</f>
        <v>Hallam, Favoured, Propeller, Disrupt Marketing</v>
      </c>
      <c r="I768" s="15">
        <f>IFERROR(__xludf.DUMMYFUNCTION("""COMPUTED_VALUE"""),1.0)</f>
        <v>1</v>
      </c>
      <c r="J768" s="15">
        <f>IFERROR(__xludf.DUMMYFUNCTION("""COMPUTED_VALUE"""),0.0)</f>
        <v>0</v>
      </c>
      <c r="K768" s="15">
        <f>IFERROR(__xludf.DUMMYFUNCTION("""COMPUTED_VALUE"""),0.0)</f>
        <v>0</v>
      </c>
      <c r="L768" s="15"/>
    </row>
    <row r="769" ht="15.75" customHeight="1">
      <c r="A769" s="14" t="str">
        <f>IFERROR(__xludf.DUMMYFUNCTION("""COMPUTED_VALUE"""),"https://webdesignreviews.co.uk/news/best-web-design-agencies-london/")</f>
        <v>https://webdesignreviews.co.uk/news/best-web-design-agencies-london/</v>
      </c>
      <c r="B769" s="15" t="str">
        <f>IFERROR(__xludf.DUMMYFUNCTION("""COMPUTED_VALUE"""),"15 Best Web Design Agencies in London (2026) — Web Design Reviews")</f>
        <v>15 Best Web Design Agencies in London (2026) — Web Design Reviews</v>
      </c>
      <c r="C769" s="14" t="str">
        <f>IFERROR(__xludf.DUMMYFUNCTION("""COMPUTED_VALUE"""),"webdesignreviews.co.uk")</f>
        <v>webdesignreviews.co.uk</v>
      </c>
      <c r="D769" s="15" t="str">
        <f>IFERROR(__xludf.DUMMYFUNCTION("""COMPUTED_VALUE"""),"LISTICLE")</f>
        <v>LISTICLE</v>
      </c>
      <c r="E769" s="15" t="str">
        <f>IFERROR(__xludf.DUMMYFUNCTION("""COMPUTED_VALUE"""),"REFERENCE")</f>
        <v>REFERENCE</v>
      </c>
      <c r="F769" s="15" t="str">
        <f>IFERROR(__xludf.DUMMYFUNCTION("""COMPUTED_VALUE"""),"Listicle")</f>
        <v>Listicle</v>
      </c>
      <c r="G769" s="15" t="b">
        <f>IFERROR(__xludf.DUMMYFUNCTION("""COMPUTED_VALUE"""),FALSE)</f>
        <v>0</v>
      </c>
      <c r="H769" s="15" t="str">
        <f>IFERROR(__xludf.DUMMYFUNCTION("""COMPUTED_VALUE"""),"AKQA, WPP, Bird Marketing, Ninja Promo")</f>
        <v>AKQA, WPP, Bird Marketing, Ninja Promo</v>
      </c>
      <c r="I769" s="15">
        <f>IFERROR(__xludf.DUMMYFUNCTION("""COMPUTED_VALUE"""),1.0)</f>
        <v>1</v>
      </c>
      <c r="J769" s="15">
        <f>IFERROR(__xludf.DUMMYFUNCTION("""COMPUTED_VALUE"""),0.0)</f>
        <v>0</v>
      </c>
      <c r="K769" s="15">
        <f>IFERROR(__xludf.DUMMYFUNCTION("""COMPUTED_VALUE"""),0.0)</f>
        <v>0</v>
      </c>
      <c r="L769" s="15"/>
    </row>
    <row r="770" ht="15.75" customHeight="1">
      <c r="A770" s="14" t="str">
        <f>IFERROR(__xludf.DUMMYFUNCTION("""COMPUTED_VALUE"""),"https://www.webfx.com/blog/ai/best-geo-agencies/")</f>
        <v>https://www.webfx.com/blog/ai/best-geo-agencies/</v>
      </c>
      <c r="B770" s="15" t="str">
        <f>IFERROR(__xludf.DUMMYFUNCTION("""COMPUTED_VALUE"""),"The Best GEO Agencies for AI Visibility in 2026")</f>
        <v>The Best GEO Agencies for AI Visibility in 2026</v>
      </c>
      <c r="C770" s="14" t="str">
        <f>IFERROR(__xludf.DUMMYFUNCTION("""COMPUTED_VALUE"""),"webfx.com")</f>
        <v>webfx.com</v>
      </c>
      <c r="D770" s="15" t="str">
        <f>IFERROR(__xludf.DUMMYFUNCTION("""COMPUTED_VALUE"""),"LISTICLE")</f>
        <v>LISTICLE</v>
      </c>
      <c r="E770" s="15" t="str">
        <f>IFERROR(__xludf.DUMMYFUNCTION("""COMPUTED_VALUE"""),"COMPETITOR")</f>
        <v>COMPETITOR</v>
      </c>
      <c r="F770" s="15" t="str">
        <f>IFERROR(__xludf.DUMMYFUNCTION("""COMPUTED_VALUE"""),"Listicle")</f>
        <v>Listicle</v>
      </c>
      <c r="G770" s="15" t="b">
        <f>IFERROR(__xludf.DUMMYFUNCTION("""COMPUTED_VALUE"""),FALSE)</f>
        <v>0</v>
      </c>
      <c r="H770" s="15" t="str">
        <f>IFERROR(__xludf.DUMMYFUNCTION("""COMPUTED_VALUE"""),"WebFX, The SEO Works")</f>
        <v>WebFX, The SEO Works</v>
      </c>
      <c r="I770" s="15">
        <f>IFERROR(__xludf.DUMMYFUNCTION("""COMPUTED_VALUE"""),1.0)</f>
        <v>1</v>
      </c>
      <c r="J770" s="15">
        <f>IFERROR(__xludf.DUMMYFUNCTION("""COMPUTED_VALUE"""),0.0)</f>
        <v>0</v>
      </c>
      <c r="K770" s="15">
        <f>IFERROR(__xludf.DUMMYFUNCTION("""COMPUTED_VALUE"""),1.0)</f>
        <v>1</v>
      </c>
      <c r="L770" s="15"/>
    </row>
    <row r="771" ht="15.75" customHeight="1">
      <c r="A771" s="14" t="str">
        <f>IFERROR(__xludf.DUMMYFUNCTION("""COMPUTED_VALUE"""),"https://www.webtonic.io/blog/top-creative-performance-agencies")</f>
        <v>https://www.webtonic.io/blog/top-creative-performance-agencies</v>
      </c>
      <c r="B771" s="15" t="str">
        <f>IFERROR(__xludf.DUMMYFUNCTION("""COMPUTED_VALUE"""),"37 Top Creative Performance Agencies for 2026")</f>
        <v>37 Top Creative Performance Agencies for 2026</v>
      </c>
      <c r="C771" s="14" t="str">
        <f>IFERROR(__xludf.DUMMYFUNCTION("""COMPUTED_VALUE"""),"webtonic.io")</f>
        <v>webtonic.io</v>
      </c>
      <c r="D771" s="15" t="str">
        <f>IFERROR(__xludf.DUMMYFUNCTION("""COMPUTED_VALUE"""),"LISTICLE")</f>
        <v>LISTICLE</v>
      </c>
      <c r="E771" s="15" t="str">
        <f>IFERROR(__xludf.DUMMYFUNCTION("""COMPUTED_VALUE"""),"CORPORATE")</f>
        <v>CORPORATE</v>
      </c>
      <c r="F771" s="15" t="str">
        <f>IFERROR(__xludf.DUMMYFUNCTION("""COMPUTED_VALUE"""),"Listicle")</f>
        <v>Listicle</v>
      </c>
      <c r="G771" s="15" t="b">
        <f>IFERROR(__xludf.DUMMYFUNCTION("""COMPUTED_VALUE"""),FALSE)</f>
        <v>0</v>
      </c>
      <c r="H771" s="15" t="str">
        <f>IFERROR(__xludf.DUMMYFUNCTION("""COMPUTED_VALUE"""),"Tinuiti, Wpromote, WPP, Hawke Media, AKQA, Accenture Song, Superside, Impression")</f>
        <v>Tinuiti, Wpromote, WPP, Hawke Media, AKQA, Accenture Song, Superside, Impression</v>
      </c>
      <c r="I771" s="15">
        <f>IFERROR(__xludf.DUMMYFUNCTION("""COMPUTED_VALUE"""),1.0)</f>
        <v>1</v>
      </c>
      <c r="J771" s="15">
        <f>IFERROR(__xludf.DUMMYFUNCTION("""COMPUTED_VALUE"""),0.0)</f>
        <v>0</v>
      </c>
      <c r="K771" s="15">
        <f>IFERROR(__xludf.DUMMYFUNCTION("""COMPUTED_VALUE"""),4.0)</f>
        <v>4</v>
      </c>
      <c r="L771" s="15"/>
    </row>
    <row r="772" ht="15.75" customHeight="1">
      <c r="A772" s="14" t="str">
        <f>IFERROR(__xludf.DUMMYFUNCTION("""COMPUTED_VALUE"""),"https://whito.co.uk/build/best-uk-resources-ai-search-visibility-aeo/")</f>
        <v>https://whito.co.uk/build/best-uk-resources-ai-search-visibility-aeo/</v>
      </c>
      <c r="B772" s="15" t="str">
        <f>IFERROR(__xludf.DUMMYFUNCTION("""COMPUTED_VALUE"""),"Best UK Resources for AI Search Visibility (AEO/GEO) 2026")</f>
        <v>Best UK Resources for AI Search Visibility (AEO/GEO) 2026</v>
      </c>
      <c r="C772" s="14" t="str">
        <f>IFERROR(__xludf.DUMMYFUNCTION("""COMPUTED_VALUE"""),"whito.co.uk")</f>
        <v>whito.co.uk</v>
      </c>
      <c r="D772" s="15" t="str">
        <f>IFERROR(__xludf.DUMMYFUNCTION("""COMPUTED_VALUE"""),"LISTICLE")</f>
        <v>LISTICLE</v>
      </c>
      <c r="E772" s="15" t="str">
        <f>IFERROR(__xludf.DUMMYFUNCTION("""COMPUTED_VALUE"""),"CORPORATE")</f>
        <v>CORPORATE</v>
      </c>
      <c r="F772" s="15" t="str">
        <f>IFERROR(__xludf.DUMMYFUNCTION("""COMPUTED_VALUE"""),"Listicle")</f>
        <v>Listicle</v>
      </c>
      <c r="G772" s="15" t="b">
        <f>IFERROR(__xludf.DUMMYFUNCTION("""COMPUTED_VALUE"""),FALSE)</f>
        <v>0</v>
      </c>
      <c r="H772" s="15" t="str">
        <f>IFERROR(__xludf.DUMMYFUNCTION("""COMPUTED_VALUE"""),"Found, Tilio, Whitehat, Measured")</f>
        <v>Found, Tilio, Whitehat, Measured</v>
      </c>
      <c r="I772" s="15">
        <f>IFERROR(__xludf.DUMMYFUNCTION("""COMPUTED_VALUE"""),1.0)</f>
        <v>1</v>
      </c>
      <c r="J772" s="15">
        <f>IFERROR(__xludf.DUMMYFUNCTION("""COMPUTED_VALUE"""),0.0)</f>
        <v>0</v>
      </c>
      <c r="K772" s="15">
        <f>IFERROR(__xludf.DUMMYFUNCTION("""COMPUTED_VALUE"""),2.0)</f>
        <v>2</v>
      </c>
      <c r="L772" s="15"/>
    </row>
    <row r="773" ht="15.75" customHeight="1">
      <c r="A773" s="14" t="str">
        <f>IFERROR(__xludf.DUMMYFUNCTION("""COMPUTED_VALUE"""),"https://wifitalents.com/service/ai-adoption/")</f>
        <v>https://wifitalents.com/service/ai-adoption/</v>
      </c>
      <c r="B773" s="15" t="str">
        <f>IFERROR(__xludf.DUMMYFUNCTION("""COMPUTED_VALUE"""),"Top AI Adoption Services (2026)")</f>
        <v>Top AI Adoption Services (2026)</v>
      </c>
      <c r="C773" s="14" t="str">
        <f>IFERROR(__xludf.DUMMYFUNCTION("""COMPUTED_VALUE"""),"wifitalents.com")</f>
        <v>wifitalents.com</v>
      </c>
      <c r="D773" s="15" t="str">
        <f>IFERROR(__xludf.DUMMYFUNCTION("""COMPUTED_VALUE"""),"LISTICLE")</f>
        <v>LISTICLE</v>
      </c>
      <c r="E773" s="15" t="str">
        <f>IFERROR(__xludf.DUMMYFUNCTION("""COMPUTED_VALUE"""),"REFERENCE")</f>
        <v>REFERENCE</v>
      </c>
      <c r="F773" s="15" t="str">
        <f>IFERROR(__xludf.DUMMYFUNCTION("""COMPUTED_VALUE"""),"Listicle")</f>
        <v>Listicle</v>
      </c>
      <c r="G773" s="15" t="b">
        <f>IFERROR(__xludf.DUMMYFUNCTION("""COMPUTED_VALUE"""),FALSE)</f>
        <v>0</v>
      </c>
      <c r="H773" s="15" t="str">
        <f>IFERROR(__xludf.DUMMYFUNCTION("""COMPUTED_VALUE"""),"PwC, Momentum")</f>
        <v>PwC, Momentum</v>
      </c>
      <c r="I773" s="15">
        <f>IFERROR(__xludf.DUMMYFUNCTION("""COMPUTED_VALUE"""),1.0)</f>
        <v>1</v>
      </c>
      <c r="J773" s="15">
        <f>IFERROR(__xludf.DUMMYFUNCTION("""COMPUTED_VALUE"""),0.0)</f>
        <v>0</v>
      </c>
      <c r="K773" s="15">
        <f>IFERROR(__xludf.DUMMYFUNCTION("""COMPUTED_VALUE"""),3.0)</f>
        <v>3</v>
      </c>
      <c r="L773" s="15"/>
    </row>
    <row r="774" ht="15.75" customHeight="1">
      <c r="A774" s="14" t="str">
        <f>IFERROR(__xludf.DUMMYFUNCTION("""COMPUTED_VALUE"""),"https://worldmetrics.org/service/ai-adoption/")</f>
        <v>https://worldmetrics.org/service/ai-adoption/</v>
      </c>
      <c r="B774" s="15" t="str">
        <f>IFERROR(__xludf.DUMMYFUNCTION("""COMPUTED_VALUE"""),"Top 10 Best AI Adoption Services | 2026 Expert Picks")</f>
        <v>Top 10 Best AI Adoption Services | 2026 Expert Picks</v>
      </c>
      <c r="C774" s="14" t="str">
        <f>IFERROR(__xludf.DUMMYFUNCTION("""COMPUTED_VALUE"""),"worldmetrics.org")</f>
        <v>worldmetrics.org</v>
      </c>
      <c r="D774" s="15" t="str">
        <f>IFERROR(__xludf.DUMMYFUNCTION("""COMPUTED_VALUE"""),"LISTICLE")</f>
        <v>LISTICLE</v>
      </c>
      <c r="E774" s="15" t="str">
        <f>IFERROR(__xludf.DUMMYFUNCTION("""COMPUTED_VALUE"""),"REFERENCE")</f>
        <v>REFERENCE</v>
      </c>
      <c r="F774" s="15" t="str">
        <f>IFERROR(__xludf.DUMMYFUNCTION("""COMPUTED_VALUE"""),"Listicle")</f>
        <v>Listicle</v>
      </c>
      <c r="G774" s="15" t="b">
        <f>IFERROR(__xludf.DUMMYFUNCTION("""COMPUTED_VALUE"""),FALSE)</f>
        <v>0</v>
      </c>
      <c r="H774" s="15" t="str">
        <f>IFERROR(__xludf.DUMMYFUNCTION("""COMPUTED_VALUE"""),"PwC, EY, Momentum")</f>
        <v>PwC, EY, Momentum</v>
      </c>
      <c r="I774" s="15">
        <f>IFERROR(__xludf.DUMMYFUNCTION("""COMPUTED_VALUE"""),1.0)</f>
        <v>1</v>
      </c>
      <c r="J774" s="15">
        <f>IFERROR(__xludf.DUMMYFUNCTION("""COMPUTED_VALUE"""),0.0)</f>
        <v>0</v>
      </c>
      <c r="K774" s="15">
        <f>IFERROR(__xludf.DUMMYFUNCTION("""COMPUTED_VALUE"""),0.0)</f>
        <v>0</v>
      </c>
      <c r="L774" s="15"/>
    </row>
    <row r="775" ht="15.75" customHeight="1">
      <c r="A775" s="14" t="str">
        <f>IFERROR(__xludf.DUMMYFUNCTION("""COMPUTED_VALUE"""),"https://worldmetrics.org/service/data-marketing/")</f>
        <v>https://worldmetrics.org/service/data-marketing/</v>
      </c>
      <c r="B775" s="15" t="str">
        <f>IFERROR(__xludf.DUMMYFUNCTION("""COMPUTED_VALUE"""),"Best Data Marketing Services (2026)")</f>
        <v>Best Data Marketing Services (2026)</v>
      </c>
      <c r="C775" s="14" t="str">
        <f>IFERROR(__xludf.DUMMYFUNCTION("""COMPUTED_VALUE"""),"worldmetrics.org")</f>
        <v>worldmetrics.org</v>
      </c>
      <c r="D775" s="15" t="str">
        <f>IFERROR(__xludf.DUMMYFUNCTION("""COMPUTED_VALUE"""),"LISTICLE")</f>
        <v>LISTICLE</v>
      </c>
      <c r="E775" s="15" t="str">
        <f>IFERROR(__xludf.DUMMYFUNCTION("""COMPUTED_VALUE"""),"REFERENCE")</f>
        <v>REFERENCE</v>
      </c>
      <c r="F775" s="15" t="str">
        <f>IFERROR(__xludf.DUMMYFUNCTION("""COMPUTED_VALUE"""),"Listicle")</f>
        <v>Listicle</v>
      </c>
      <c r="G775" s="15" t="b">
        <f>IFERROR(__xludf.DUMMYFUNCTION("""COMPUTED_VALUE"""),FALSE)</f>
        <v>0</v>
      </c>
      <c r="H775" s="15" t="str">
        <f>IFERROR(__xludf.DUMMYFUNCTION("""COMPUTED_VALUE"""),"Merkle, Dentsu, Publicis Groupe, WPP, EY, Kantar")</f>
        <v>Merkle, Dentsu, Publicis Groupe, WPP, EY, Kantar</v>
      </c>
      <c r="I775" s="15">
        <f>IFERROR(__xludf.DUMMYFUNCTION("""COMPUTED_VALUE"""),1.0)</f>
        <v>1</v>
      </c>
      <c r="J775" s="15">
        <f>IFERROR(__xludf.DUMMYFUNCTION("""COMPUTED_VALUE"""),0.0)</f>
        <v>0</v>
      </c>
      <c r="K775" s="15">
        <f>IFERROR(__xludf.DUMMYFUNCTION("""COMPUTED_VALUE"""),2.0)</f>
        <v>2</v>
      </c>
      <c r="L775" s="15"/>
    </row>
    <row r="776" ht="15.75" customHeight="1">
      <c r="A776" s="14" t="str">
        <f>IFERROR(__xludf.DUMMYFUNCTION("""COMPUTED_VALUE"""),"https://www.wpp.com/en/news/2025/03/wpp-claims-top-honours-on-the-warc-creative-100")</f>
        <v>https://www.wpp.com/en/news/2025/03/wpp-claims-top-honours-on-the-warc-creative-100</v>
      </c>
      <c r="B776" s="15" t="str">
        <f>IFERROR(__xludf.DUMMYFUNCTION("""COMPUTED_VALUE"""),"WPP claims top honours on the WARC Creative 100 for third consecutive year | WPP")</f>
        <v>WPP claims top honours on the WARC Creative 100 for third consecutive year | WPP</v>
      </c>
      <c r="C776" s="14" t="str">
        <f>IFERROR(__xludf.DUMMYFUNCTION("""COMPUTED_VALUE"""),"wpp.com")</f>
        <v>wpp.com</v>
      </c>
      <c r="D776" s="15" t="str">
        <f>IFERROR(__xludf.DUMMYFUNCTION("""COMPUTED_VALUE"""),"ARTICLE")</f>
        <v>ARTICLE</v>
      </c>
      <c r="E776" s="15" t="str">
        <f>IFERROR(__xludf.DUMMYFUNCTION("""COMPUTED_VALUE"""),"COMPETITOR")</f>
        <v>COMPETITOR</v>
      </c>
      <c r="F776" s="15" t="str">
        <f>IFERROR(__xludf.DUMMYFUNCTION("""COMPUTED_VALUE"""),"Article")</f>
        <v>Article</v>
      </c>
      <c r="G776" s="15" t="b">
        <f>IFERROR(__xludf.DUMMYFUNCTION("""COMPUTED_VALUE"""),FALSE)</f>
        <v>0</v>
      </c>
      <c r="H776" s="15" t="str">
        <f>IFERROR(__xludf.DUMMYFUNCTION("""COMPUTED_VALUE"""),"WPP, Ogilvy, AKQA")</f>
        <v>WPP, Ogilvy, AKQA</v>
      </c>
      <c r="I776" s="15">
        <f>IFERROR(__xludf.DUMMYFUNCTION("""COMPUTED_VALUE"""),1.0)</f>
        <v>1</v>
      </c>
      <c r="J776" s="15">
        <f>IFERROR(__xludf.DUMMYFUNCTION("""COMPUTED_VALUE"""),0.0)</f>
        <v>0</v>
      </c>
      <c r="K776" s="15">
        <f>IFERROR(__xludf.DUMMYFUNCTION("""COMPUTED_VALUE"""),2.0)</f>
        <v>2</v>
      </c>
      <c r="L776" s="15"/>
    </row>
    <row r="777" ht="15.75" customHeight="1">
      <c r="A777" s="14" t="str">
        <f>IFERROR(__xludf.DUMMYFUNCTION("""COMPUTED_VALUE"""),"https://www.wpp.com/en/news/2026/03/wpp-claims-top-spot-on-warc-creative-100-for-fourth-consecutive-year")</f>
        <v>https://www.wpp.com/en/news/2026/03/wpp-claims-top-spot-on-warc-creative-100-for-fourth-consecutive-year</v>
      </c>
      <c r="B777" s="15" t="str">
        <f>IFERROR(__xludf.DUMMYFUNCTION("""COMPUTED_VALUE"""),"WPP claims top spot on WARC Creative 100 for fourth consecutive year | WPP")</f>
        <v>WPP claims top spot on WARC Creative 100 for fourth consecutive year | WPP</v>
      </c>
      <c r="C777" s="14" t="str">
        <f>IFERROR(__xludf.DUMMYFUNCTION("""COMPUTED_VALUE"""),"wpp.com")</f>
        <v>wpp.com</v>
      </c>
      <c r="D777" s="15" t="str">
        <f>IFERROR(__xludf.DUMMYFUNCTION("""COMPUTED_VALUE"""),"PROFILE")</f>
        <v>PROFILE</v>
      </c>
      <c r="E777" s="15" t="str">
        <f>IFERROR(__xludf.DUMMYFUNCTION("""COMPUTED_VALUE"""),"COMPETITOR")</f>
        <v>COMPETITOR</v>
      </c>
      <c r="F777" s="15" t="str">
        <f>IFERROR(__xludf.DUMMYFUNCTION("""COMPUTED_VALUE"""),"Profile")</f>
        <v>Profile</v>
      </c>
      <c r="G777" s="15" t="b">
        <f>IFERROR(__xludf.DUMMYFUNCTION("""COMPUTED_VALUE"""),FALSE)</f>
        <v>0</v>
      </c>
      <c r="H777" s="15" t="str">
        <f>IFERROR(__xludf.DUMMYFUNCTION("""COMPUTED_VALUE"""),"WPP, Ogilvy, AKQA")</f>
        <v>WPP, Ogilvy, AKQA</v>
      </c>
      <c r="I777" s="15">
        <f>IFERROR(__xludf.DUMMYFUNCTION("""COMPUTED_VALUE"""),1.0)</f>
        <v>1</v>
      </c>
      <c r="J777" s="15">
        <f>IFERROR(__xludf.DUMMYFUNCTION("""COMPUTED_VALUE"""),0.0)</f>
        <v>0</v>
      </c>
      <c r="K777" s="15">
        <f>IFERROR(__xludf.DUMMYFUNCTION("""COMPUTED_VALUE"""),0.0)</f>
        <v>0</v>
      </c>
      <c r="L777" s="15"/>
    </row>
    <row r="778" ht="15.75" customHeight="1">
      <c r="A778" s="14" t="str">
        <f>IFERROR(__xludf.DUMMYFUNCTION("""COMPUTED_VALUE"""),"https://xchange.avixa.org/posts/top-hire-ecommerce-developers-in-uk-2026")</f>
        <v>https://xchange.avixa.org/posts/top-hire-ecommerce-developers-in-uk-2026</v>
      </c>
      <c r="B778" s="15" t="str">
        <f>IFERROR(__xludf.DUMMYFUNCTION("""COMPUTED_VALUE"""),"Top Hire Ecommerce Developers in UK (2026) | AVIXA Xchange")</f>
        <v>Top Hire Ecommerce Developers in UK (2026) | AVIXA Xchange</v>
      </c>
      <c r="C778" s="14" t="str">
        <f>IFERROR(__xludf.DUMMYFUNCTION("""COMPUTED_VALUE"""),"avixa.org")</f>
        <v>avixa.org</v>
      </c>
      <c r="D778" s="15" t="str">
        <f>IFERROR(__xludf.DUMMYFUNCTION("""COMPUTED_VALUE"""),"LISTICLE")</f>
        <v>LISTICLE</v>
      </c>
      <c r="E778" s="15" t="str">
        <f>IFERROR(__xludf.DUMMYFUNCTION("""COMPUTED_VALUE"""),"INSTITUTIONAL")</f>
        <v>INSTITUTIONAL</v>
      </c>
      <c r="F778" s="15" t="str">
        <f>IFERROR(__xludf.DUMMYFUNCTION("""COMPUTED_VALUE"""),"Listicle")</f>
        <v>Listicle</v>
      </c>
      <c r="G778" s="15" t="b">
        <f>IFERROR(__xludf.DUMMYFUNCTION("""COMPUTED_VALUE"""),FALSE)</f>
        <v>0</v>
      </c>
      <c r="H778" s="15"/>
      <c r="I778" s="15">
        <f>IFERROR(__xludf.DUMMYFUNCTION("""COMPUTED_VALUE"""),1.0)</f>
        <v>1</v>
      </c>
      <c r="J778" s="15">
        <f>IFERROR(__xludf.DUMMYFUNCTION("""COMPUTED_VALUE"""),0.0)</f>
        <v>0</v>
      </c>
      <c r="K778" s="15">
        <f>IFERROR(__xludf.DUMMYFUNCTION("""COMPUTED_VALUE"""),1.0)</f>
        <v>1</v>
      </c>
      <c r="L778" s="15"/>
    </row>
    <row r="779" ht="15.75" customHeight="1">
      <c r="A779" s="14" t="str">
        <f>IFERROR(__xludf.DUMMYFUNCTION("""COMPUTED_VALUE"""),"https://www.yesoptimist.com/best-geo-agencies/")</f>
        <v>https://www.yesoptimist.com/best-geo-agencies/</v>
      </c>
      <c r="B779" s="15" t="str">
        <f>IFERROR(__xludf.DUMMYFUNCTION("""COMPUTED_VALUE"""),"The 7 Best GEO Agencies Driving Real Revenue from AI in 2026 | Optimist")</f>
        <v>The 7 Best GEO Agencies Driving Real Revenue from AI in 2026 | Optimist</v>
      </c>
      <c r="C779" s="14" t="str">
        <f>IFERROR(__xludf.DUMMYFUNCTION("""COMPUTED_VALUE"""),"yesoptimist.com")</f>
        <v>yesoptimist.com</v>
      </c>
      <c r="D779" s="15" t="str">
        <f>IFERROR(__xludf.DUMMYFUNCTION("""COMPUTED_VALUE"""),"LISTICLE")</f>
        <v>LISTICLE</v>
      </c>
      <c r="E779" s="15" t="str">
        <f>IFERROR(__xludf.DUMMYFUNCTION("""COMPUTED_VALUE"""),"EDITORIAL")</f>
        <v>EDITORIAL</v>
      </c>
      <c r="F779" s="15" t="str">
        <f>IFERROR(__xludf.DUMMYFUNCTION("""COMPUTED_VALUE"""),"Listicle")</f>
        <v>Listicle</v>
      </c>
      <c r="G779" s="15" t="b">
        <f>IFERROR(__xludf.DUMMYFUNCTION("""COMPUTED_VALUE"""),FALSE)</f>
        <v>0</v>
      </c>
      <c r="H779" s="15" t="str">
        <f>IFERROR(__xludf.DUMMYFUNCTION("""COMPUTED_VALUE"""),"Found, Measured, Siege Media, Omniscient Digital")</f>
        <v>Found, Measured, Siege Media, Omniscient Digital</v>
      </c>
      <c r="I779" s="15">
        <f>IFERROR(__xludf.DUMMYFUNCTION("""COMPUTED_VALUE"""),1.0)</f>
        <v>1</v>
      </c>
      <c r="J779" s="15">
        <f>IFERROR(__xludf.DUMMYFUNCTION("""COMPUTED_VALUE"""),0.0)</f>
        <v>0</v>
      </c>
      <c r="K779" s="15">
        <f>IFERROR(__xludf.DUMMYFUNCTION("""COMPUTED_VALUE"""),1.0)</f>
        <v>1</v>
      </c>
      <c r="L779" s="15"/>
    </row>
    <row r="780" ht="15.75" customHeight="1">
      <c r="A780" s="14" t="str">
        <f>IFERROR(__xludf.DUMMYFUNCTION("""COMPUTED_VALUE"""),"https://www.youtube.com/watch?v=OR58Odpst7Q")</f>
        <v>https://www.youtube.com/watch?v=OR58Odpst7Q</v>
      </c>
      <c r="B780" s="15" t="str">
        <f>IFERROR(__xludf.DUMMYFUNCTION("""COMPUTED_VALUE"""),"Top 12 Digital Marketing Agencies to Hire in 2026")</f>
        <v>Top 12 Digital Marketing Agencies to Hire in 2026</v>
      </c>
      <c r="C780" s="14" t="str">
        <f>IFERROR(__xludf.DUMMYFUNCTION("""COMPUTED_VALUE"""),"youtube.com")</f>
        <v>youtube.com</v>
      </c>
      <c r="D780" s="15" t="str">
        <f>IFERROR(__xludf.DUMMYFUNCTION("""COMPUTED_VALUE"""),"LISTICLE")</f>
        <v>LISTICLE</v>
      </c>
      <c r="E780" s="15" t="str">
        <f>IFERROR(__xludf.DUMMYFUNCTION("""COMPUTED_VALUE"""),"UGC")</f>
        <v>UGC</v>
      </c>
      <c r="F780" s="15" t="str">
        <f>IFERROR(__xludf.DUMMYFUNCTION("""COMPUTED_VALUE"""),"Listicle")</f>
        <v>Listicle</v>
      </c>
      <c r="G780" s="15" t="b">
        <f>IFERROR(__xludf.DUMMYFUNCTION("""COMPUTED_VALUE"""),FALSE)</f>
        <v>0</v>
      </c>
      <c r="H780" s="15" t="str">
        <f>IFERROR(__xludf.DUMMYFUNCTION("""COMPUTED_VALUE"""),"Disruptive Advertising")</f>
        <v>Disruptive Advertising</v>
      </c>
      <c r="I780" s="15">
        <f>IFERROR(__xludf.DUMMYFUNCTION("""COMPUTED_VALUE"""),1.0)</f>
        <v>1</v>
      </c>
      <c r="J780" s="15">
        <f>IFERROR(__xludf.DUMMYFUNCTION("""COMPUTED_VALUE"""),0.0)</f>
        <v>0</v>
      </c>
      <c r="K780" s="15">
        <f>IFERROR(__xludf.DUMMYFUNCTION("""COMPUTED_VALUE"""),1.0)</f>
        <v>1</v>
      </c>
      <c r="L780" s="15"/>
    </row>
    <row r="781" ht="15.75" customHeight="1">
      <c r="A781" s="14" t="str">
        <f>IFERROR(__xludf.DUMMYFUNCTION("""COMPUTED_VALUE"""),"https://www.youtube.com/watch?v=XGLA7lE-TLo#:~:text=In%20this%20video%2C%20I'll%20show%20you%20the,Known%20for%20clear%20results%20and%20honest%20reporting.")</f>
        <v>https://www.youtube.com/watch?v=XGLA7lE-TLo#:~:text=In%20this%20video%2C%20I'll%20show%20you%20the,Known%20for%20clear%20results%20and%20honest%20reporting.</v>
      </c>
      <c r="B781" s="15" t="str">
        <f>IFERROR(__xludf.DUMMYFUNCTION("""COMPUTED_VALUE"""),"15 Best AI-Powered Digital Marketing Companies in UK | Turn Your Small Business Into a Brand")</f>
        <v>15 Best AI-Powered Digital Marketing Companies in UK | Turn Your Small Business Into a Brand</v>
      </c>
      <c r="C781" s="14" t="str">
        <f>IFERROR(__xludf.DUMMYFUNCTION("""COMPUTED_VALUE"""),"youtube.com")</f>
        <v>youtube.com</v>
      </c>
      <c r="D781" s="15" t="str">
        <f>IFERROR(__xludf.DUMMYFUNCTION("""COMPUTED_VALUE"""),"OTHER")</f>
        <v>OTHER</v>
      </c>
      <c r="E781" s="15" t="str">
        <f>IFERROR(__xludf.DUMMYFUNCTION("""COMPUTED_VALUE"""),"UGC")</f>
        <v>UGC</v>
      </c>
      <c r="F781" s="15" t="str">
        <f>IFERROR(__xludf.DUMMYFUNCTION("""COMPUTED_VALUE"""),"Other")</f>
        <v>Other</v>
      </c>
      <c r="G781" s="15" t="b">
        <f>IFERROR(__xludf.DUMMYFUNCTION("""COMPUTED_VALUE"""),FALSE)</f>
        <v>0</v>
      </c>
      <c r="H781" s="15" t="str">
        <f>IFERROR(__xludf.DUMMYFUNCTION("""COMPUTED_VALUE"""),"The Good Marketer, Propeller, Soap Media")</f>
        <v>The Good Marketer, Propeller, Soap Media</v>
      </c>
      <c r="I781" s="15">
        <f>IFERROR(__xludf.DUMMYFUNCTION("""COMPUTED_VALUE"""),1.0)</f>
        <v>1</v>
      </c>
      <c r="J781" s="15">
        <f>IFERROR(__xludf.DUMMYFUNCTION("""COMPUTED_VALUE"""),0.0)</f>
        <v>0</v>
      </c>
      <c r="K781" s="15">
        <f>IFERROR(__xludf.DUMMYFUNCTION("""COMPUTED_VALUE"""),1.0)</f>
        <v>1</v>
      </c>
      <c r="L781" s="15"/>
    </row>
    <row r="782" ht="15.75" customHeight="1">
      <c r="A782" s="14" t="str">
        <f>IFERROR(__xludf.DUMMYFUNCTION("""COMPUTED_VALUE"""),"https://www.youtube.com/watch?v=wfXrhCjh9mA")</f>
        <v>https://www.youtube.com/watch?v=wfXrhCjh9mA</v>
      </c>
      <c r="B782" s="15" t="str">
        <f>IFERROR(__xludf.DUMMYFUNCTION("""COMPUTED_VALUE"""),"Top AI SEO Agencies in the UK now ‑ 3i SEO")</f>
        <v>Top AI SEO Agencies in the UK now ‑ 3i SEO</v>
      </c>
      <c r="C782" s="14" t="str">
        <f>IFERROR(__xludf.DUMMYFUNCTION("""COMPUTED_VALUE"""),"youtube.com")</f>
        <v>youtube.com</v>
      </c>
      <c r="D782" s="15" t="str">
        <f>IFERROR(__xludf.DUMMYFUNCTION("""COMPUTED_VALUE"""),"LISTICLE")</f>
        <v>LISTICLE</v>
      </c>
      <c r="E782" s="15" t="str">
        <f>IFERROR(__xludf.DUMMYFUNCTION("""COMPUTED_VALUE"""),"UGC")</f>
        <v>UGC</v>
      </c>
      <c r="F782" s="15" t="str">
        <f>IFERROR(__xludf.DUMMYFUNCTION("""COMPUTED_VALUE"""),"Listicle")</f>
        <v>Listicle</v>
      </c>
      <c r="G782" s="15" t="b">
        <f>IFERROR(__xludf.DUMMYFUNCTION("""COMPUTED_VALUE"""),FALSE)</f>
        <v>0</v>
      </c>
      <c r="H782" s="15" t="str">
        <f>IFERROR(__xludf.DUMMYFUNCTION("""COMPUTED_VALUE"""),"Rank4AI, ClickSlice, Found, Varn")</f>
        <v>Rank4AI, ClickSlice, Found, Varn</v>
      </c>
      <c r="I782" s="15">
        <f>IFERROR(__xludf.DUMMYFUNCTION("""COMPUTED_VALUE"""),1.0)</f>
        <v>1</v>
      </c>
      <c r="J782" s="15">
        <f>IFERROR(__xludf.DUMMYFUNCTION("""COMPUTED_VALUE"""),0.0)</f>
        <v>0</v>
      </c>
      <c r="K782" s="15">
        <f>IFERROR(__xludf.DUMMYFUNCTION("""COMPUTED_VALUE"""),1.0)</f>
        <v>1</v>
      </c>
      <c r="L782" s="15"/>
    </row>
    <row r="783" ht="15.75" customHeight="1">
      <c r="A783" s="14" t="str">
        <f>IFERROR(__xludf.DUMMYFUNCTION("""COMPUTED_VALUE"""),"https://zipdo.co/service/creative-advertising/")</f>
        <v>https://zipdo.co/service/creative-advertising/</v>
      </c>
      <c r="B783" s="15" t="str">
        <f>IFERROR(__xludf.DUMMYFUNCTION("""COMPUTED_VALUE"""),"Top 10 Best Creative Advertising Services | Tested in 2026")</f>
        <v>Top 10 Best Creative Advertising Services | Tested in 2026</v>
      </c>
      <c r="C783" s="14" t="str">
        <f>IFERROR(__xludf.DUMMYFUNCTION("""COMPUTED_VALUE"""),"zipdo.co")</f>
        <v>zipdo.co</v>
      </c>
      <c r="D783" s="15" t="str">
        <f>IFERROR(__xludf.DUMMYFUNCTION("""COMPUTED_VALUE"""),"LISTICLE")</f>
        <v>LISTICLE</v>
      </c>
      <c r="E783" s="15" t="str">
        <f>IFERROR(__xludf.DUMMYFUNCTION("""COMPUTED_VALUE"""),"REFERENCE")</f>
        <v>REFERENCE</v>
      </c>
      <c r="F783" s="15" t="str">
        <f>IFERROR(__xludf.DUMMYFUNCTION("""COMPUTED_VALUE"""),"Listicle")</f>
        <v>Listicle</v>
      </c>
      <c r="G783" s="15" t="b">
        <f>IFERROR(__xludf.DUMMYFUNCTION("""COMPUTED_VALUE"""),FALSE)</f>
        <v>0</v>
      </c>
      <c r="H783" s="15" t="str">
        <f>IFERROR(__xludf.DUMMYFUNCTION("""COMPUTED_VALUE"""),"WPP, Ogilvy, Publicis Groupe, GA Agency, AKQA")</f>
        <v>WPP, Ogilvy, Publicis Groupe, GA Agency, AKQA</v>
      </c>
      <c r="I783" s="15">
        <f>IFERROR(__xludf.DUMMYFUNCTION("""COMPUTED_VALUE"""),1.0)</f>
        <v>1</v>
      </c>
      <c r="J783" s="15">
        <f>IFERROR(__xludf.DUMMYFUNCTION("""COMPUTED_VALUE"""),0.0)</f>
        <v>0</v>
      </c>
      <c r="K783" s="15">
        <f>IFERROR(__xludf.DUMMYFUNCTION("""COMPUTED_VALUE"""),0.0)</f>
        <v>0</v>
      </c>
      <c r="L783" s="15"/>
    </row>
    <row r="784" ht="15.75" customHeight="1">
      <c r="A784" s="14" t="str">
        <f>IFERROR(__xludf.DUMMYFUNCTION("""COMPUTED_VALUE"""),"https://zipdo.co/service/customer-data-platform/")</f>
        <v>https://zipdo.co/service/customer-data-platform/</v>
      </c>
      <c r="B784" s="15" t="str">
        <f>IFERROR(__xludf.DUMMYFUNCTION("""COMPUTED_VALUE"""),"Best Customer Data Platform Services (2026)")</f>
        <v>Best Customer Data Platform Services (2026)</v>
      </c>
      <c r="C784" s="14" t="str">
        <f>IFERROR(__xludf.DUMMYFUNCTION("""COMPUTED_VALUE"""),"zipdo.co")</f>
        <v>zipdo.co</v>
      </c>
      <c r="D784" s="15" t="str">
        <f>IFERROR(__xludf.DUMMYFUNCTION("""COMPUTED_VALUE"""),"LISTICLE")</f>
        <v>LISTICLE</v>
      </c>
      <c r="E784" s="15" t="str">
        <f>IFERROR(__xludf.DUMMYFUNCTION("""COMPUTED_VALUE"""),"REFERENCE")</f>
        <v>REFERENCE</v>
      </c>
      <c r="F784" s="15" t="str">
        <f>IFERROR(__xludf.DUMMYFUNCTION("""COMPUTED_VALUE"""),"Listicle")</f>
        <v>Listicle</v>
      </c>
      <c r="G784" s="15" t="b">
        <f>IFERROR(__xludf.DUMMYFUNCTION("""COMPUTED_VALUE"""),FALSE)</f>
        <v>0</v>
      </c>
      <c r="H784" s="15" t="str">
        <f>IFERROR(__xludf.DUMMYFUNCTION("""COMPUTED_VALUE"""),"PwC, WPP, Publicis Groupe")</f>
        <v>PwC, WPP, Publicis Groupe</v>
      </c>
      <c r="I784" s="15">
        <f>IFERROR(__xludf.DUMMYFUNCTION("""COMPUTED_VALUE"""),1.0)</f>
        <v>1</v>
      </c>
      <c r="J784" s="15">
        <f>IFERROR(__xludf.DUMMYFUNCTION("""COMPUTED_VALUE"""),0.0)</f>
        <v>0</v>
      </c>
      <c r="K784" s="15">
        <f>IFERROR(__xludf.DUMMYFUNCTION("""COMPUTED_VALUE"""),0.0)</f>
        <v>0</v>
      </c>
      <c r="L784" s="15"/>
    </row>
    <row r="785" ht="15.75" customHeight="1">
      <c r="A785" s="14" t="str">
        <f>IFERROR(__xludf.DUMMYFUNCTION("""COMPUTED_VALUE"""),"https://zipdo.co/service/first-party-data/")</f>
        <v>https://zipdo.co/service/first-party-data/</v>
      </c>
      <c r="B785" s="15" t="str">
        <f>IFERROR(__xludf.DUMMYFUNCTION("""COMPUTED_VALUE"""),"First Party Data Services: Best Picks (2026)")</f>
        <v>First Party Data Services: Best Picks (2026)</v>
      </c>
      <c r="C785" s="14" t="str">
        <f>IFERROR(__xludf.DUMMYFUNCTION("""COMPUTED_VALUE"""),"zipdo.co")</f>
        <v>zipdo.co</v>
      </c>
      <c r="D785" s="15" t="str">
        <f>IFERROR(__xludf.DUMMYFUNCTION("""COMPUTED_VALUE"""),"LISTICLE")</f>
        <v>LISTICLE</v>
      </c>
      <c r="E785" s="15" t="str">
        <f>IFERROR(__xludf.DUMMYFUNCTION("""COMPUTED_VALUE"""),"REFERENCE")</f>
        <v>REFERENCE</v>
      </c>
      <c r="F785" s="15" t="str">
        <f>IFERROR(__xludf.DUMMYFUNCTION("""COMPUTED_VALUE"""),"Listicle")</f>
        <v>Listicle</v>
      </c>
      <c r="G785" s="15" t="b">
        <f>IFERROR(__xludf.DUMMYFUNCTION("""COMPUTED_VALUE"""),FALSE)</f>
        <v>0</v>
      </c>
      <c r="H785" s="15" t="str">
        <f>IFERROR(__xludf.DUMMYFUNCTION("""COMPUTED_VALUE"""),"Merkle, Dentsu, Publicis Groupe, PwC, EY")</f>
        <v>Merkle, Dentsu, Publicis Groupe, PwC, EY</v>
      </c>
      <c r="I785" s="15">
        <f>IFERROR(__xludf.DUMMYFUNCTION("""COMPUTED_VALUE"""),1.0)</f>
        <v>1</v>
      </c>
      <c r="J785" s="15">
        <f>IFERROR(__xludf.DUMMYFUNCTION("""COMPUTED_VALUE"""),0.0)</f>
        <v>0</v>
      </c>
      <c r="K785" s="15">
        <f>IFERROR(__xludf.DUMMYFUNCTION("""COMPUTED_VALUE"""),4.0)</f>
        <v>4</v>
      </c>
      <c r="L785" s="15"/>
    </row>
    <row r="786" ht="15.75" customHeight="1">
      <c r="A786" s="14" t="str">
        <f>IFERROR(__xludf.DUMMYFUNCTION("""COMPUTED_VALUE"""),"https://zyppy.com/companies/c/generative-ai-seo/united-kingdom/london/")</f>
        <v>https://zyppy.com/companies/c/generative-ai-seo/united-kingdom/london/</v>
      </c>
      <c r="B786" s="15" t="str">
        <f>IFERROR(__xludf.DUMMYFUNCTION("""COMPUTED_VALUE"""),"Top Generative AI Search Companies in London - July 2026")</f>
        <v>Top Generative AI Search Companies in London - July 2026</v>
      </c>
      <c r="C786" s="14" t="str">
        <f>IFERROR(__xludf.DUMMYFUNCTION("""COMPUTED_VALUE"""),"zyppy.com")</f>
        <v>zyppy.com</v>
      </c>
      <c r="D786" s="15" t="str">
        <f>IFERROR(__xludf.DUMMYFUNCTION("""COMPUTED_VALUE"""),"CATEGORY_PAGE")</f>
        <v>CATEGORY_PAGE</v>
      </c>
      <c r="E786" s="15" t="str">
        <f>IFERROR(__xludf.DUMMYFUNCTION("""COMPUTED_VALUE"""),"CORPORATE")</f>
        <v>CORPORATE</v>
      </c>
      <c r="F786" s="15" t="str">
        <f>IFERROR(__xludf.DUMMYFUNCTION("""COMPUTED_VALUE"""),"Category Page")</f>
        <v>Category Page</v>
      </c>
      <c r="G786" s="15" t="b">
        <f>IFERROR(__xludf.DUMMYFUNCTION("""COMPUTED_VALUE"""),FALSE)</f>
        <v>0</v>
      </c>
      <c r="H786" s="15" t="str">
        <f>IFERROR(__xludf.DUMMYFUNCTION("""COMPUTED_VALUE"""),"Blue Array")</f>
        <v>Blue Array</v>
      </c>
      <c r="I786" s="15">
        <f>IFERROR(__xludf.DUMMYFUNCTION("""COMPUTED_VALUE"""),1.0)</f>
        <v>1</v>
      </c>
      <c r="J786" s="15">
        <f>IFERROR(__xludf.DUMMYFUNCTION("""COMPUTED_VALUE"""),0.0)</f>
        <v>0</v>
      </c>
      <c r="K786" s="15">
        <f>IFERROR(__xludf.DUMMYFUNCTION("""COMPUTED_VALUE"""),0.0)</f>
        <v>0</v>
      </c>
      <c r="L786" s="15"/>
    </row>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Z$801"/>
  <hyperlinks>
    <hyperlink r:id="rId1" ref="C2"/>
    <hyperlink r:id="rId2" ref="A3"/>
    <hyperlink r:id="rId3" ref="C3"/>
    <hyperlink r:id="rId4" ref="A4"/>
    <hyperlink r:id="rId5" ref="C4"/>
    <hyperlink r:id="rId6" ref="A5"/>
    <hyperlink r:id="rId7" ref="C5"/>
    <hyperlink r:id="rId8" ref="A6"/>
    <hyperlink r:id="rId9" ref="A7"/>
    <hyperlink r:id="rId10" ref="C7"/>
    <hyperlink r:id="rId11" location=":~:text=POLARIS%20earns%20the%20top%20position,broad%2Dbased%20organic%20search%20practice.&amp;text=POLARIS%20offers%20AI%20Search%20and,citation%20building%20through%20digital%20PR." ref="A8"/>
    <hyperlink r:id="rId12" ref="C8"/>
    <hyperlink r:id="rId13" ref="A9"/>
    <hyperlink r:id="rId14" ref="C9"/>
    <hyperlink r:id="rId15" ref="A10"/>
    <hyperlink r:id="rId16" ref="A11"/>
    <hyperlink r:id="rId17" ref="C11"/>
    <hyperlink r:id="rId18" location=":~:text=Rank,within%20one%20agile%20operating%20system." ref="A12"/>
    <hyperlink r:id="rId19" ref="A13"/>
    <hyperlink r:id="rId20" ref="C13"/>
    <hyperlink r:id="rId21" ref="A14"/>
    <hyperlink r:id="rId22" ref="C14"/>
    <hyperlink r:id="rId23" ref="A15"/>
    <hyperlink r:id="rId24" ref="C15"/>
    <hyperlink r:id="rId25" ref="A16"/>
    <hyperlink r:id="rId26" ref="C16"/>
    <hyperlink r:id="rId27" ref="A17"/>
    <hyperlink r:id="rId28" ref="C17"/>
    <hyperlink r:id="rId29" ref="A18"/>
    <hyperlink r:id="rId30" ref="C18"/>
    <hyperlink r:id="rId31" ref="A19"/>
    <hyperlink r:id="rId32" ref="C19"/>
    <hyperlink r:id="rId33" ref="A20"/>
    <hyperlink r:id="rId34" ref="C20"/>
    <hyperlink r:id="rId35" ref="A21"/>
    <hyperlink r:id="rId36" ref="C21"/>
    <hyperlink r:id="rId37" ref="A22"/>
    <hyperlink r:id="rId38" ref="C22"/>
    <hyperlink r:id="rId39" ref="A23"/>
    <hyperlink r:id="rId40" ref="A24"/>
    <hyperlink r:id="rId41" ref="C24"/>
    <hyperlink r:id="rId42" ref="A25"/>
    <hyperlink r:id="rId43" ref="C25"/>
    <hyperlink r:id="rId44" ref="A26"/>
    <hyperlink r:id="rId45" ref="C26"/>
    <hyperlink r:id="rId46" ref="A27"/>
    <hyperlink r:id="rId47" ref="C27"/>
    <hyperlink r:id="rId48" ref="A28"/>
    <hyperlink r:id="rId49" ref="C28"/>
    <hyperlink r:id="rId50" ref="A29"/>
    <hyperlink r:id="rId51" ref="C29"/>
    <hyperlink r:id="rId52" ref="A30"/>
    <hyperlink r:id="rId53" ref="A31"/>
    <hyperlink r:id="rId54" ref="C31"/>
    <hyperlink r:id="rId55" ref="A32"/>
    <hyperlink r:id="rId56" ref="C32"/>
    <hyperlink r:id="rId57" ref="A33"/>
    <hyperlink r:id="rId58" ref="C33"/>
    <hyperlink r:id="rId59" location=":~:text=One%20thing%20and%20one%20thing,no%20paid%20media%2C%20nothing%20else." ref="A34"/>
    <hyperlink r:id="rId60" ref="C34"/>
    <hyperlink r:id="rId61" location=":~:text=Its%20track%20record%20spans%20large,automation%20depth%20and%20consistent%20results." ref="A35"/>
    <hyperlink r:id="rId62" ref="C35"/>
    <hyperlink r:id="rId63" ref="A36"/>
    <hyperlink r:id="rId64" ref="C36"/>
    <hyperlink r:id="rId65" ref="A37"/>
    <hyperlink r:id="rId66" ref="C37"/>
    <hyperlink r:id="rId67" ref="A38"/>
    <hyperlink r:id="rId68" ref="C38"/>
    <hyperlink r:id="rId69" ref="A39"/>
    <hyperlink r:id="rId70" ref="C39"/>
    <hyperlink r:id="rId71" ref="A40"/>
    <hyperlink r:id="rId72" ref="C40"/>
    <hyperlink r:id="rId73" location=":~:text=B2B%20technology%20sales.-,Impression,Tiles%2C%20and%20Cancer%20Research%20UK." ref="A41"/>
    <hyperlink r:id="rId74" ref="C41"/>
    <hyperlink r:id="rId75" ref="A42"/>
    <hyperlink r:id="rId76" ref="C42"/>
    <hyperlink r:id="rId77" ref="A43"/>
    <hyperlink r:id="rId78" ref="A44"/>
    <hyperlink r:id="rId79" ref="C44"/>
    <hyperlink r:id="rId80" ref="A45"/>
    <hyperlink r:id="rId81" ref="A46"/>
    <hyperlink r:id="rId82" ref="C46"/>
    <hyperlink r:id="rId83" ref="A47"/>
    <hyperlink r:id="rId84" ref="C47"/>
    <hyperlink r:id="rId85" ref="A48"/>
    <hyperlink r:id="rId86" ref="C48"/>
    <hyperlink r:id="rId87" ref="A49"/>
    <hyperlink r:id="rId88" ref="C49"/>
    <hyperlink r:id="rId89" ref="A50"/>
    <hyperlink r:id="rId90" ref="C50"/>
    <hyperlink r:id="rId91" ref="A51"/>
    <hyperlink r:id="rId92" ref="C51"/>
    <hyperlink r:id="rId93" ref="A52"/>
    <hyperlink r:id="rId94" ref="C52"/>
    <hyperlink r:id="rId95" ref="A53"/>
    <hyperlink r:id="rId96" ref="C53"/>
    <hyperlink r:id="rId97" ref="A54"/>
    <hyperlink r:id="rId98" ref="C54"/>
    <hyperlink r:id="rId99" ref="A55"/>
    <hyperlink r:id="rId100" ref="C55"/>
    <hyperlink r:id="rId101" ref="A56"/>
    <hyperlink r:id="rId102" ref="C56"/>
    <hyperlink r:id="rId103" ref="A57"/>
    <hyperlink r:id="rId104" ref="A58"/>
    <hyperlink r:id="rId105" ref="C58"/>
    <hyperlink r:id="rId106" ref="A59"/>
    <hyperlink r:id="rId107" ref="C59"/>
    <hyperlink r:id="rId108" location=":~:text=Buried%20Agency%20is%20a%20UK,Google%20AI%20Overviews%2C%20and%20Perplexity." ref="A60"/>
    <hyperlink r:id="rId109" ref="C60"/>
    <hyperlink r:id="rId110" ref="A61"/>
    <hyperlink r:id="rId111" ref="C61"/>
    <hyperlink r:id="rId112" ref="A62"/>
    <hyperlink r:id="rId113" ref="C62"/>
    <hyperlink r:id="rId114" ref="A63"/>
    <hyperlink r:id="rId115" ref="C63"/>
    <hyperlink r:id="rId116" ref="A64"/>
    <hyperlink r:id="rId117" ref="C64"/>
    <hyperlink r:id="rId118" ref="A65"/>
    <hyperlink r:id="rId119" ref="C65"/>
    <hyperlink r:id="rId120" ref="A66"/>
    <hyperlink r:id="rId121" ref="C66"/>
    <hyperlink r:id="rId122" ref="A67"/>
    <hyperlink r:id="rId123" ref="C67"/>
    <hyperlink r:id="rId124" ref="A68"/>
    <hyperlink r:id="rId125" ref="C68"/>
    <hyperlink r:id="rId126" ref="A69"/>
    <hyperlink r:id="rId127" ref="C69"/>
    <hyperlink r:id="rId128" ref="A70"/>
    <hyperlink r:id="rId129" ref="C70"/>
    <hyperlink r:id="rId130" ref="A71"/>
    <hyperlink r:id="rId131" location=":~:text=Tests%20all%20six%20platforms.,within%20their%20broader%20SEO%20offering." ref="A72"/>
    <hyperlink r:id="rId132" ref="C72"/>
    <hyperlink r:id="rId133" ref="A73"/>
    <hyperlink r:id="rId134" ref="C73"/>
    <hyperlink r:id="rId135" ref="A74"/>
    <hyperlink r:id="rId136" ref="A75"/>
    <hyperlink r:id="rId137" ref="C75"/>
    <hyperlink r:id="rId138" ref="A76"/>
    <hyperlink r:id="rId139" ref="C76"/>
    <hyperlink r:id="rId140" ref="A77"/>
    <hyperlink r:id="rId141" ref="C77"/>
    <hyperlink r:id="rId142" ref="A78"/>
    <hyperlink r:id="rId143" ref="C78"/>
    <hyperlink r:id="rId144" ref="A79"/>
    <hyperlink r:id="rId145" ref="C79"/>
    <hyperlink r:id="rId146" ref="A80"/>
    <hyperlink r:id="rId147" ref="C80"/>
    <hyperlink r:id="rId148" ref="A81"/>
    <hyperlink r:id="rId149" ref="C81"/>
    <hyperlink r:id="rId150" ref="A82"/>
    <hyperlink r:id="rId151" ref="C82"/>
    <hyperlink r:id="rId152" ref="A83"/>
    <hyperlink r:id="rId153" ref="C83"/>
    <hyperlink r:id="rId154" ref="A84"/>
    <hyperlink r:id="rId155" ref="C84"/>
    <hyperlink r:id="rId156" ref="A85"/>
    <hyperlink r:id="rId157" ref="C85"/>
    <hyperlink r:id="rId158" ref="A86"/>
    <hyperlink r:id="rId159" ref="C86"/>
    <hyperlink r:id="rId160" ref="A87"/>
    <hyperlink r:id="rId161" ref="C87"/>
    <hyperlink r:id="rId162" ref="A88"/>
    <hyperlink r:id="rId163" ref="C88"/>
    <hyperlink r:id="rId164" ref="A89"/>
    <hyperlink r:id="rId165" ref="C89"/>
    <hyperlink r:id="rId166" ref="A90"/>
    <hyperlink r:id="rId167" ref="C90"/>
    <hyperlink r:id="rId168" ref="A91"/>
    <hyperlink r:id="rId169" ref="C91"/>
    <hyperlink r:id="rId170" ref="A92"/>
    <hyperlink r:id="rId171" ref="C92"/>
    <hyperlink r:id="rId172" ref="A93"/>
    <hyperlink r:id="rId173" ref="C93"/>
    <hyperlink r:id="rId174" ref="A94"/>
    <hyperlink r:id="rId175" ref="A95"/>
    <hyperlink r:id="rId176" ref="C95"/>
    <hyperlink r:id="rId177" ref="A96"/>
    <hyperlink r:id="rId178" ref="C96"/>
    <hyperlink r:id="rId179" ref="A97"/>
    <hyperlink r:id="rId180" ref="A98"/>
    <hyperlink r:id="rId181" ref="C98"/>
    <hyperlink r:id="rId182" ref="A99"/>
    <hyperlink r:id="rId183" ref="C99"/>
    <hyperlink r:id="rId184" ref="A100"/>
    <hyperlink r:id="rId185" ref="C100"/>
    <hyperlink r:id="rId186" ref="A101"/>
    <hyperlink r:id="rId187" ref="C101"/>
    <hyperlink r:id="rId188" ref="A102"/>
    <hyperlink r:id="rId189" ref="C102"/>
    <hyperlink r:id="rId190" ref="A103"/>
    <hyperlink r:id="rId191" ref="C103"/>
    <hyperlink r:id="rId192" ref="A104"/>
    <hyperlink r:id="rId193" ref="C104"/>
    <hyperlink r:id="rId194" ref="A105"/>
    <hyperlink r:id="rId195" location=":~:text=They%20believe%20that%20weaving%20stories,Gripped" ref="A106"/>
    <hyperlink r:id="rId196" ref="C106"/>
    <hyperlink r:id="rId197" ref="A107"/>
    <hyperlink r:id="rId198" ref="C107"/>
    <hyperlink r:id="rId199" ref="A108"/>
    <hyperlink r:id="rId200" ref="A109"/>
    <hyperlink r:id="rId201" ref="A110"/>
    <hyperlink r:id="rId202" ref="C110"/>
    <hyperlink r:id="rId203" location=":~:text=1.,is%20not%20the%20same%20thing." ref="A111"/>
    <hyperlink r:id="rId204" ref="C111"/>
    <hyperlink r:id="rId205" ref="A112"/>
    <hyperlink r:id="rId206" ref="C112"/>
    <hyperlink r:id="rId207" ref="A113"/>
    <hyperlink r:id="rId208" ref="C113"/>
    <hyperlink r:id="rId209" ref="A114"/>
    <hyperlink r:id="rId210" ref="C114"/>
    <hyperlink r:id="rId211" ref="A115"/>
    <hyperlink r:id="rId212" ref="C115"/>
    <hyperlink r:id="rId213" ref="A116"/>
    <hyperlink r:id="rId214" ref="C116"/>
    <hyperlink r:id="rId215" ref="A117"/>
    <hyperlink r:id="rId216" ref="C117"/>
    <hyperlink r:id="rId217" location=":~:text=Kantar's%20Blueprint%20for%20Brand%20Growth,intelligence%20it%20brings%20to%20clients." ref="A118"/>
    <hyperlink r:id="rId218" ref="C118"/>
    <hyperlink r:id="rId219" ref="A119"/>
    <hyperlink r:id="rId220" ref="C119"/>
    <hyperlink r:id="rId221" ref="A120"/>
    <hyperlink r:id="rId222" ref="C120"/>
    <hyperlink r:id="rId223" ref="A121"/>
    <hyperlink r:id="rId224" ref="C121"/>
    <hyperlink r:id="rId225" ref="A122"/>
    <hyperlink r:id="rId226" ref="C122"/>
    <hyperlink r:id="rId227" ref="A123"/>
    <hyperlink r:id="rId228" ref="C123"/>
    <hyperlink r:id="rId229" ref="A124"/>
    <hyperlink r:id="rId230" ref="A125"/>
    <hyperlink r:id="rId231" ref="C125"/>
    <hyperlink r:id="rId232" ref="A126"/>
    <hyperlink r:id="rId233" ref="C126"/>
    <hyperlink r:id="rId234" ref="A127"/>
    <hyperlink r:id="rId235" ref="C127"/>
    <hyperlink r:id="rId236" ref="A128"/>
    <hyperlink r:id="rId237" ref="C128"/>
    <hyperlink r:id="rId238" ref="A129"/>
    <hyperlink r:id="rId239" ref="C129"/>
    <hyperlink r:id="rId240" ref="A130"/>
    <hyperlink r:id="rId241" ref="C130"/>
    <hyperlink r:id="rId242" ref="A131"/>
    <hyperlink r:id="rId243" ref="C131"/>
    <hyperlink r:id="rId244" ref="A132"/>
    <hyperlink r:id="rId245" ref="C132"/>
    <hyperlink r:id="rId246" ref="A133"/>
    <hyperlink r:id="rId247" ref="C133"/>
    <hyperlink r:id="rId248" ref="A134"/>
    <hyperlink r:id="rId249" ref="C134"/>
    <hyperlink r:id="rId250" ref="A135"/>
    <hyperlink r:id="rId251" ref="C135"/>
    <hyperlink r:id="rId252" ref="A136"/>
    <hyperlink r:id="rId253" ref="C136"/>
    <hyperlink r:id="rId254" ref="A137"/>
    <hyperlink r:id="rId255" ref="C137"/>
    <hyperlink r:id="rId256" ref="A138"/>
    <hyperlink r:id="rId257" ref="C138"/>
    <hyperlink r:id="rId258" ref="A139"/>
    <hyperlink r:id="rId259" ref="C139"/>
    <hyperlink r:id="rId260" ref="A140"/>
    <hyperlink r:id="rId261" ref="C140"/>
    <hyperlink r:id="rId262" ref="A141"/>
    <hyperlink r:id="rId263" ref="C141"/>
    <hyperlink r:id="rId264" ref="A142"/>
    <hyperlink r:id="rId265" ref="C142"/>
    <hyperlink r:id="rId266" ref="A143"/>
    <hyperlink r:id="rId267" ref="C143"/>
    <hyperlink r:id="rId268" ref="A144"/>
    <hyperlink r:id="rId269" ref="C144"/>
    <hyperlink r:id="rId270" ref="A145"/>
    <hyperlink r:id="rId271" ref="C145"/>
    <hyperlink r:id="rId272" ref="A146"/>
    <hyperlink r:id="rId273" ref="C146"/>
    <hyperlink r:id="rId274" ref="A147"/>
    <hyperlink r:id="rId275" ref="C147"/>
    <hyperlink r:id="rId276" ref="A148"/>
    <hyperlink r:id="rId277" ref="C148"/>
    <hyperlink r:id="rId278" ref="A149"/>
    <hyperlink r:id="rId279" ref="C149"/>
    <hyperlink r:id="rId280" ref="A150"/>
    <hyperlink r:id="rId281" ref="C150"/>
    <hyperlink r:id="rId282" ref="A151"/>
    <hyperlink r:id="rId283" ref="C151"/>
    <hyperlink r:id="rId284" ref="A152"/>
    <hyperlink r:id="rId285" ref="C152"/>
    <hyperlink r:id="rId286" ref="A153"/>
    <hyperlink r:id="rId287" ref="C153"/>
    <hyperlink r:id="rId288" ref="A154"/>
    <hyperlink r:id="rId289" ref="C154"/>
    <hyperlink r:id="rId290" ref="A155"/>
    <hyperlink r:id="rId291" ref="C155"/>
    <hyperlink r:id="rId292" ref="A156"/>
    <hyperlink r:id="rId293" ref="C156"/>
    <hyperlink r:id="rId294" ref="A157"/>
    <hyperlink r:id="rId295" ref="C157"/>
    <hyperlink r:id="rId296" ref="A158"/>
    <hyperlink r:id="rId297" ref="A159"/>
    <hyperlink r:id="rId298" ref="C159"/>
    <hyperlink r:id="rId299" ref="A160"/>
    <hyperlink r:id="rId300" ref="C160"/>
    <hyperlink r:id="rId301" ref="A161"/>
    <hyperlink r:id="rId302" ref="C161"/>
    <hyperlink r:id="rId303" ref="A162"/>
    <hyperlink r:id="rId304" ref="C162"/>
    <hyperlink r:id="rId305" ref="A163"/>
    <hyperlink r:id="rId306" ref="C163"/>
    <hyperlink r:id="rId307" ref="A164"/>
    <hyperlink r:id="rId308" ref="C164"/>
    <hyperlink r:id="rId309" ref="A165"/>
    <hyperlink r:id="rId310" ref="C165"/>
    <hyperlink r:id="rId311" ref="A166"/>
    <hyperlink r:id="rId312" ref="C166"/>
    <hyperlink r:id="rId313" ref="A167"/>
    <hyperlink r:id="rId314" ref="C167"/>
    <hyperlink r:id="rId315" ref="A168"/>
    <hyperlink r:id="rId316" ref="C168"/>
    <hyperlink r:id="rId317" ref="A169"/>
    <hyperlink r:id="rId318" ref="C169"/>
    <hyperlink r:id="rId319" ref="A170"/>
    <hyperlink r:id="rId320" ref="C170"/>
    <hyperlink r:id="rId321" ref="A171"/>
    <hyperlink r:id="rId322" ref="C171"/>
    <hyperlink r:id="rId323" ref="A172"/>
    <hyperlink r:id="rId324" ref="C172"/>
    <hyperlink r:id="rId325" ref="A173"/>
    <hyperlink r:id="rId326" ref="C173"/>
    <hyperlink r:id="rId327" ref="A174"/>
    <hyperlink r:id="rId328" ref="C174"/>
    <hyperlink r:id="rId329" ref="A175"/>
    <hyperlink r:id="rId330" ref="C175"/>
    <hyperlink r:id="rId331" ref="A176"/>
    <hyperlink r:id="rId332" ref="C176"/>
    <hyperlink r:id="rId333" ref="A177"/>
    <hyperlink r:id="rId334" ref="C177"/>
    <hyperlink r:id="rId335" ref="A178"/>
    <hyperlink r:id="rId336" ref="C178"/>
    <hyperlink r:id="rId337" ref="A179"/>
    <hyperlink r:id="rId338" ref="C179"/>
    <hyperlink r:id="rId339" ref="A180"/>
    <hyperlink r:id="rId340" ref="C180"/>
    <hyperlink r:id="rId341" ref="A181"/>
    <hyperlink r:id="rId342" ref="A182"/>
    <hyperlink r:id="rId343" ref="C182"/>
    <hyperlink r:id="rId344" ref="A183"/>
    <hyperlink r:id="rId345" ref="C183"/>
    <hyperlink r:id="rId346" ref="A184"/>
    <hyperlink r:id="rId347" ref="C184"/>
    <hyperlink r:id="rId348" ref="A185"/>
    <hyperlink r:id="rId349" ref="A186"/>
    <hyperlink r:id="rId350" ref="C186"/>
    <hyperlink r:id="rId351" ref="A187"/>
    <hyperlink r:id="rId352" ref="A188"/>
    <hyperlink r:id="rId353" ref="C188"/>
    <hyperlink r:id="rId354" ref="A189"/>
    <hyperlink r:id="rId355" ref="C189"/>
    <hyperlink r:id="rId356" ref="A190"/>
    <hyperlink r:id="rId357" ref="C190"/>
    <hyperlink r:id="rId358" ref="A191"/>
    <hyperlink r:id="rId359" ref="C191"/>
    <hyperlink r:id="rId360" ref="A192"/>
    <hyperlink r:id="rId361" ref="C192"/>
    <hyperlink r:id="rId362" ref="A193"/>
    <hyperlink r:id="rId363" ref="C193"/>
    <hyperlink r:id="rId364" ref="A194"/>
    <hyperlink r:id="rId365" ref="C194"/>
    <hyperlink r:id="rId366" ref="A195"/>
    <hyperlink r:id="rId367" ref="C195"/>
    <hyperlink r:id="rId368" ref="A196"/>
    <hyperlink r:id="rId369" ref="C196"/>
    <hyperlink r:id="rId370" ref="A197"/>
    <hyperlink r:id="rId371" ref="C197"/>
    <hyperlink r:id="rId372" ref="A198"/>
    <hyperlink r:id="rId373" ref="C198"/>
    <hyperlink r:id="rId374" ref="A199"/>
    <hyperlink r:id="rId375" ref="C199"/>
    <hyperlink r:id="rId376" ref="A200"/>
    <hyperlink r:id="rId377" ref="C200"/>
    <hyperlink r:id="rId378" ref="A201"/>
    <hyperlink r:id="rId379" ref="C201"/>
    <hyperlink r:id="rId380" ref="A202"/>
    <hyperlink r:id="rId381" ref="C202"/>
    <hyperlink r:id="rId382" ref="A203"/>
    <hyperlink r:id="rId383" ref="C203"/>
    <hyperlink r:id="rId384" ref="A204"/>
    <hyperlink r:id="rId385" ref="C204"/>
    <hyperlink r:id="rId386" ref="A205"/>
    <hyperlink r:id="rId387" ref="C205"/>
    <hyperlink r:id="rId388" ref="A206"/>
    <hyperlink r:id="rId389" ref="C206"/>
    <hyperlink r:id="rId390" ref="A207"/>
    <hyperlink r:id="rId391" ref="C207"/>
    <hyperlink r:id="rId392" ref="A208"/>
    <hyperlink r:id="rId393" ref="C208"/>
    <hyperlink r:id="rId394" ref="A209"/>
    <hyperlink r:id="rId395" ref="C209"/>
    <hyperlink r:id="rId396" ref="A210"/>
    <hyperlink r:id="rId397" ref="C210"/>
    <hyperlink r:id="rId398" ref="A211"/>
    <hyperlink r:id="rId399" ref="C211"/>
    <hyperlink r:id="rId400" ref="A212"/>
    <hyperlink r:id="rId401" ref="C212"/>
    <hyperlink r:id="rId402" ref="A213"/>
    <hyperlink r:id="rId403" ref="C213"/>
    <hyperlink r:id="rId404" ref="A214"/>
    <hyperlink r:id="rId405" ref="C214"/>
    <hyperlink r:id="rId406" ref="A215"/>
    <hyperlink r:id="rId407" ref="C215"/>
    <hyperlink r:id="rId408" ref="A216"/>
    <hyperlink r:id="rId409" ref="C216"/>
    <hyperlink r:id="rId410" ref="A217"/>
    <hyperlink r:id="rId411" ref="C217"/>
    <hyperlink r:id="rId412" ref="A218"/>
    <hyperlink r:id="rId413" ref="C218"/>
    <hyperlink r:id="rId414" ref="A219"/>
    <hyperlink r:id="rId415" ref="C219"/>
    <hyperlink r:id="rId416" ref="A220"/>
    <hyperlink r:id="rId417" ref="C220"/>
    <hyperlink r:id="rId418" ref="A221"/>
    <hyperlink r:id="rId419" ref="C221"/>
    <hyperlink r:id="rId420" ref="A222"/>
    <hyperlink r:id="rId421" ref="C222"/>
    <hyperlink r:id="rId422" ref="A223"/>
    <hyperlink r:id="rId423" ref="C223"/>
    <hyperlink r:id="rId424" ref="A224"/>
    <hyperlink r:id="rId425" ref="C224"/>
    <hyperlink r:id="rId426" ref="A225"/>
    <hyperlink r:id="rId427" ref="C225"/>
    <hyperlink r:id="rId428" ref="A226"/>
    <hyperlink r:id="rId429" ref="C226"/>
    <hyperlink r:id="rId430" ref="A227"/>
    <hyperlink r:id="rId431" ref="C227"/>
    <hyperlink r:id="rId432" ref="A228"/>
    <hyperlink r:id="rId433" ref="C228"/>
    <hyperlink r:id="rId434" ref="A229"/>
    <hyperlink r:id="rId435" ref="C229"/>
    <hyperlink r:id="rId436" ref="A230"/>
    <hyperlink r:id="rId437" ref="C230"/>
    <hyperlink r:id="rId438" ref="A231"/>
    <hyperlink r:id="rId439" ref="C231"/>
    <hyperlink r:id="rId440" ref="A232"/>
    <hyperlink r:id="rId441" ref="C232"/>
    <hyperlink r:id="rId442" ref="A233"/>
    <hyperlink r:id="rId443" ref="C233"/>
    <hyperlink r:id="rId444" ref="A234"/>
    <hyperlink r:id="rId445" ref="A235"/>
    <hyperlink r:id="rId446" ref="C235"/>
    <hyperlink r:id="rId447" ref="A236"/>
    <hyperlink r:id="rId448" ref="C236"/>
    <hyperlink r:id="rId449" ref="A237"/>
    <hyperlink r:id="rId450" ref="C237"/>
    <hyperlink r:id="rId451" ref="A238"/>
    <hyperlink r:id="rId452" ref="C238"/>
    <hyperlink r:id="rId453" ref="A239"/>
    <hyperlink r:id="rId454" ref="C239"/>
    <hyperlink r:id="rId455" ref="A240"/>
    <hyperlink r:id="rId456" ref="C240"/>
    <hyperlink r:id="rId457" ref="A241"/>
    <hyperlink r:id="rId458" ref="C241"/>
    <hyperlink r:id="rId459" ref="A242"/>
    <hyperlink r:id="rId460" ref="C242"/>
    <hyperlink r:id="rId461" ref="A243"/>
    <hyperlink r:id="rId462" ref="C243"/>
    <hyperlink r:id="rId463" ref="A244"/>
    <hyperlink r:id="rId464" ref="C244"/>
    <hyperlink r:id="rId465" ref="A245"/>
    <hyperlink r:id="rId466" ref="C245"/>
    <hyperlink r:id="rId467" ref="A246"/>
    <hyperlink r:id="rId468" ref="C246"/>
    <hyperlink r:id="rId469" ref="A247"/>
    <hyperlink r:id="rId470" ref="C247"/>
    <hyperlink r:id="rId471" ref="A248"/>
    <hyperlink r:id="rId472" ref="C248"/>
    <hyperlink r:id="rId473" location=":~:text=Graysen%20Christopher" ref="A249"/>
    <hyperlink r:id="rId474" ref="C249"/>
    <hyperlink r:id="rId475" ref="A250"/>
    <hyperlink r:id="rId476" ref="C250"/>
    <hyperlink r:id="rId477" ref="A251"/>
    <hyperlink r:id="rId478" ref="C251"/>
    <hyperlink r:id="rId479" ref="A252"/>
    <hyperlink r:id="rId480" ref="C252"/>
    <hyperlink r:id="rId481" ref="A253"/>
    <hyperlink r:id="rId482" ref="C253"/>
    <hyperlink r:id="rId483" ref="A254"/>
    <hyperlink r:id="rId484" ref="C254"/>
    <hyperlink r:id="rId485" ref="A255"/>
    <hyperlink r:id="rId486" ref="C255"/>
    <hyperlink r:id="rId487" ref="A256"/>
    <hyperlink r:id="rId488" ref="C256"/>
    <hyperlink r:id="rId489" ref="A257"/>
    <hyperlink r:id="rId490" ref="C257"/>
    <hyperlink r:id="rId491" ref="A258"/>
    <hyperlink r:id="rId492" ref="C258"/>
    <hyperlink r:id="rId493" ref="A259"/>
    <hyperlink r:id="rId494" ref="C259"/>
    <hyperlink r:id="rId495" ref="A260"/>
    <hyperlink r:id="rId496" ref="C260"/>
    <hyperlink r:id="rId497" ref="A261"/>
    <hyperlink r:id="rId498" ref="C261"/>
    <hyperlink r:id="rId499" ref="A262"/>
    <hyperlink r:id="rId500" ref="C262"/>
    <hyperlink r:id="rId501" ref="A263"/>
    <hyperlink r:id="rId502" ref="C263"/>
    <hyperlink r:id="rId503" ref="A264"/>
    <hyperlink r:id="rId504" ref="C264"/>
    <hyperlink r:id="rId505" ref="A265"/>
    <hyperlink r:id="rId506" ref="C265"/>
    <hyperlink r:id="rId507" ref="A266"/>
    <hyperlink r:id="rId508" ref="A267"/>
    <hyperlink r:id="rId509" ref="C267"/>
    <hyperlink r:id="rId510" ref="A268"/>
    <hyperlink r:id="rId511" ref="C268"/>
    <hyperlink r:id="rId512" ref="A269"/>
    <hyperlink r:id="rId513" ref="A270"/>
    <hyperlink r:id="rId514" ref="C270"/>
    <hyperlink r:id="rId515" location=":~:text=In%20the%20UK%2C%20many%20big,enjoy%20the%20outstanding%20training%20programs." ref="A271"/>
    <hyperlink r:id="rId516" ref="C271"/>
    <hyperlink r:id="rId517" ref="A272"/>
    <hyperlink r:id="rId518" ref="C272"/>
    <hyperlink r:id="rId519" ref="A273"/>
    <hyperlink r:id="rId520" ref="C273"/>
    <hyperlink r:id="rId521" ref="A274"/>
    <hyperlink r:id="rId522" ref="C274"/>
    <hyperlink r:id="rId523" ref="A275"/>
    <hyperlink r:id="rId524" ref="C275"/>
    <hyperlink r:id="rId525" ref="A276"/>
    <hyperlink r:id="rId526" ref="C276"/>
    <hyperlink r:id="rId527" ref="A277"/>
    <hyperlink r:id="rId528" ref="C277"/>
    <hyperlink r:id="rId529" ref="A278"/>
    <hyperlink r:id="rId530" ref="C278"/>
    <hyperlink r:id="rId531" ref="A279"/>
    <hyperlink r:id="rId532" ref="C279"/>
    <hyperlink r:id="rId533" ref="A280"/>
    <hyperlink r:id="rId534" ref="C280"/>
    <hyperlink r:id="rId535" ref="A281"/>
    <hyperlink r:id="rId536" ref="C281"/>
    <hyperlink r:id="rId537" ref="A282"/>
    <hyperlink r:id="rId538" ref="C282"/>
    <hyperlink r:id="rId539" ref="A283"/>
    <hyperlink r:id="rId540" ref="C283"/>
    <hyperlink r:id="rId541" ref="A284"/>
    <hyperlink r:id="rId542" ref="C284"/>
    <hyperlink r:id="rId543" ref="A285"/>
    <hyperlink r:id="rId544" ref="C285"/>
    <hyperlink r:id="rId545" ref="A286"/>
    <hyperlink r:id="rId546" ref="C286"/>
    <hyperlink r:id="rId547" ref="A287"/>
    <hyperlink r:id="rId548" ref="C287"/>
    <hyperlink r:id="rId549" ref="A288"/>
    <hyperlink r:id="rId550" ref="C288"/>
    <hyperlink r:id="rId551" ref="A289"/>
    <hyperlink r:id="rId552" ref="C289"/>
    <hyperlink r:id="rId553" ref="A290"/>
    <hyperlink r:id="rId554" ref="C290"/>
    <hyperlink r:id="rId555" ref="A291"/>
    <hyperlink r:id="rId556" ref="C291"/>
    <hyperlink r:id="rId557" ref="A292"/>
    <hyperlink r:id="rId558" ref="C292"/>
    <hyperlink r:id="rId559" ref="A293"/>
    <hyperlink r:id="rId560" ref="C293"/>
    <hyperlink r:id="rId561" ref="A294"/>
    <hyperlink r:id="rId562" ref="C294"/>
    <hyperlink r:id="rId563" ref="A295"/>
    <hyperlink r:id="rId564" ref="C295"/>
    <hyperlink r:id="rId565" ref="A296"/>
    <hyperlink r:id="rId566" ref="C296"/>
    <hyperlink r:id="rId567" ref="A297"/>
    <hyperlink r:id="rId568" ref="C297"/>
    <hyperlink r:id="rId569" ref="A298"/>
    <hyperlink r:id="rId570" ref="C298"/>
    <hyperlink r:id="rId571" ref="A299"/>
    <hyperlink r:id="rId572" ref="C299"/>
    <hyperlink r:id="rId573" ref="A300"/>
    <hyperlink r:id="rId574" ref="C300"/>
    <hyperlink r:id="rId575" ref="A301"/>
    <hyperlink r:id="rId576" ref="C301"/>
    <hyperlink r:id="rId577" ref="A302"/>
    <hyperlink r:id="rId578" ref="C302"/>
    <hyperlink r:id="rId579" location=":~:text=Rise%20at%20Seven%3A%20Best%20for,to%20earn%20national%20press%20coverage." ref="A303"/>
    <hyperlink r:id="rId580" ref="C303"/>
    <hyperlink r:id="rId581" ref="A304"/>
    <hyperlink r:id="rId582" ref="C304"/>
    <hyperlink r:id="rId583" ref="A305"/>
    <hyperlink r:id="rId584" ref="C305"/>
    <hyperlink r:id="rId585" ref="A306"/>
    <hyperlink r:id="rId586" ref="C306"/>
    <hyperlink r:id="rId587" ref="A307"/>
    <hyperlink r:id="rId588" ref="C307"/>
    <hyperlink r:id="rId589" ref="A308"/>
    <hyperlink r:id="rId590" ref="C308"/>
    <hyperlink r:id="rId591" ref="A309"/>
    <hyperlink r:id="rId592" ref="C309"/>
    <hyperlink r:id="rId593" ref="A310"/>
    <hyperlink r:id="rId594" ref="C310"/>
    <hyperlink r:id="rId595" ref="A311"/>
    <hyperlink r:id="rId596" ref="C311"/>
    <hyperlink r:id="rId597" ref="A312"/>
    <hyperlink r:id="rId598" ref="C312"/>
    <hyperlink r:id="rId599" ref="A313"/>
    <hyperlink r:id="rId600" ref="C313"/>
    <hyperlink r:id="rId601" ref="A314"/>
    <hyperlink r:id="rId602" ref="C314"/>
    <hyperlink r:id="rId603" ref="A315"/>
    <hyperlink r:id="rId604" ref="C315"/>
    <hyperlink r:id="rId605" ref="A316"/>
    <hyperlink r:id="rId606" ref="C316"/>
    <hyperlink r:id="rId607" ref="A317"/>
    <hyperlink r:id="rId608" ref="C317"/>
    <hyperlink r:id="rId609" ref="A318"/>
    <hyperlink r:id="rId610" ref="C318"/>
    <hyperlink r:id="rId611" ref="A319"/>
    <hyperlink r:id="rId612" ref="A320"/>
    <hyperlink r:id="rId613" ref="C320"/>
    <hyperlink r:id="rId614" location=":~:text=That%20is%20not%20how%20this%20works%20here.,top.%20%2D%20HikeMyTraffic%3A%20Award%2DWinning%20AI%20Digital%20Marketing." ref="A321"/>
    <hyperlink r:id="rId615" ref="C321"/>
    <hyperlink r:id="rId616" ref="A322"/>
    <hyperlink r:id="rId617" ref="C322"/>
    <hyperlink r:id="rId618" ref="A323"/>
    <hyperlink r:id="rId619" ref="C323"/>
    <hyperlink r:id="rId620" ref="A324"/>
    <hyperlink r:id="rId621" ref="C324"/>
    <hyperlink r:id="rId622" location=":~:text=Up%20Analytics%20consist%20of%20a,for%20work%20in%20Attribution%20Marketing" ref="A325"/>
    <hyperlink r:id="rId623" ref="C325"/>
    <hyperlink r:id="rId624" ref="A326"/>
    <hyperlink r:id="rId625" ref="C326"/>
    <hyperlink r:id="rId626" ref="A327"/>
    <hyperlink r:id="rId627" ref="C327"/>
    <hyperlink r:id="rId628" ref="A328"/>
    <hyperlink r:id="rId629" ref="C328"/>
    <hyperlink r:id="rId630" ref="A329"/>
    <hyperlink r:id="rId631" ref="C329"/>
    <hyperlink r:id="rId632" ref="A330"/>
    <hyperlink r:id="rId633" ref="C330"/>
    <hyperlink r:id="rId634" ref="A331"/>
    <hyperlink r:id="rId635" ref="C331"/>
    <hyperlink r:id="rId636" ref="A332"/>
    <hyperlink r:id="rId637" ref="C332"/>
    <hyperlink r:id="rId638" ref="A333"/>
    <hyperlink r:id="rId639" ref="C333"/>
    <hyperlink r:id="rId640" ref="A334"/>
    <hyperlink r:id="rId641" ref="C334"/>
    <hyperlink r:id="rId642" ref="A335"/>
    <hyperlink r:id="rId643" ref="C335"/>
    <hyperlink r:id="rId644" ref="A336"/>
    <hyperlink r:id="rId645" ref="C336"/>
    <hyperlink r:id="rId646" ref="A337"/>
    <hyperlink r:id="rId647" ref="C337"/>
    <hyperlink r:id="rId648" ref="A338"/>
    <hyperlink r:id="rId649" ref="C338"/>
    <hyperlink r:id="rId650" ref="A339"/>
    <hyperlink r:id="rId651" ref="C339"/>
    <hyperlink r:id="rId652" ref="A340"/>
    <hyperlink r:id="rId653" ref="C340"/>
    <hyperlink r:id="rId654" ref="A341"/>
    <hyperlink r:id="rId655" ref="C341"/>
    <hyperlink r:id="rId656" ref="A342"/>
    <hyperlink r:id="rId657" ref="C342"/>
    <hyperlink r:id="rId658" ref="A343"/>
    <hyperlink r:id="rId659" ref="C343"/>
    <hyperlink r:id="rId660" ref="A344"/>
    <hyperlink r:id="rId661" ref="C344"/>
    <hyperlink r:id="rId662" ref="A345"/>
    <hyperlink r:id="rId663" ref="C345"/>
    <hyperlink r:id="rId664" ref="A346"/>
    <hyperlink r:id="rId665" ref="C346"/>
    <hyperlink r:id="rId666" ref="A347"/>
    <hyperlink r:id="rId667" ref="C347"/>
    <hyperlink r:id="rId668" ref="A348"/>
    <hyperlink r:id="rId669" ref="C348"/>
    <hyperlink r:id="rId670" ref="A349"/>
    <hyperlink r:id="rId671" ref="A350"/>
    <hyperlink r:id="rId672" ref="C350"/>
    <hyperlink r:id="rId673" ref="A351"/>
    <hyperlink r:id="rId674" ref="C351"/>
    <hyperlink r:id="rId675" location=":~:text=strategy%20agencies%20worldwide.-,Superside,5x%20faster%20than%20traditional%20agencies." ref="A352"/>
    <hyperlink r:id="rId676" ref="C352"/>
    <hyperlink r:id="rId677" ref="A353"/>
    <hyperlink r:id="rId678" ref="C353"/>
    <hyperlink r:id="rId679" ref="A354"/>
    <hyperlink r:id="rId680" ref="C354"/>
    <hyperlink r:id="rId681" ref="A355"/>
    <hyperlink r:id="rId682" ref="C355"/>
    <hyperlink r:id="rId683" ref="A356"/>
    <hyperlink r:id="rId684" ref="C356"/>
    <hyperlink r:id="rId685" ref="A357"/>
    <hyperlink r:id="rId686" ref="C357"/>
    <hyperlink r:id="rId687" ref="A358"/>
    <hyperlink r:id="rId688" ref="C358"/>
    <hyperlink r:id="rId689" ref="A359"/>
    <hyperlink r:id="rId690" ref="C359"/>
    <hyperlink r:id="rId691" ref="A360"/>
    <hyperlink r:id="rId692" ref="C360"/>
    <hyperlink r:id="rId693" ref="A361"/>
    <hyperlink r:id="rId694" ref="C361"/>
    <hyperlink r:id="rId695" ref="A362"/>
    <hyperlink r:id="rId696" ref="C362"/>
    <hyperlink r:id="rId697" ref="A363"/>
    <hyperlink r:id="rId698" ref="C363"/>
    <hyperlink r:id="rId699" ref="A364"/>
    <hyperlink r:id="rId700" ref="C364"/>
    <hyperlink r:id="rId701" ref="A365"/>
    <hyperlink r:id="rId702" ref="C365"/>
    <hyperlink r:id="rId703" ref="A366"/>
    <hyperlink r:id="rId704" ref="C366"/>
    <hyperlink r:id="rId705" ref="A367"/>
    <hyperlink r:id="rId706" ref="C367"/>
    <hyperlink r:id="rId707" ref="A368"/>
    <hyperlink r:id="rId708" ref="C368"/>
    <hyperlink r:id="rId709" ref="A369"/>
    <hyperlink r:id="rId710" ref="C369"/>
    <hyperlink r:id="rId711" ref="A370"/>
    <hyperlink r:id="rId712" ref="C370"/>
    <hyperlink r:id="rId713" ref="A371"/>
    <hyperlink r:id="rId714" ref="C371"/>
    <hyperlink r:id="rId715" ref="A372"/>
    <hyperlink r:id="rId716" ref="C372"/>
    <hyperlink r:id="rId717" ref="A373"/>
    <hyperlink r:id="rId718" ref="C373"/>
    <hyperlink r:id="rId719" ref="A374"/>
    <hyperlink r:id="rId720" ref="C374"/>
    <hyperlink r:id="rId721" ref="A375"/>
    <hyperlink r:id="rId722" ref="C375"/>
    <hyperlink r:id="rId723" ref="A376"/>
    <hyperlink r:id="rId724" ref="C376"/>
    <hyperlink r:id="rId725" ref="A377"/>
    <hyperlink r:id="rId726" ref="C377"/>
    <hyperlink r:id="rId727" ref="A378"/>
    <hyperlink r:id="rId728" ref="C378"/>
    <hyperlink r:id="rId729" ref="A379"/>
    <hyperlink r:id="rId730" ref="C379"/>
    <hyperlink r:id="rId731" ref="A380"/>
    <hyperlink r:id="rId732" ref="C380"/>
    <hyperlink r:id="rId733" ref="A381"/>
    <hyperlink r:id="rId734" ref="C381"/>
    <hyperlink r:id="rId735" ref="A382"/>
    <hyperlink r:id="rId736" ref="C382"/>
    <hyperlink r:id="rId737" ref="A383"/>
    <hyperlink r:id="rId738" ref="C383"/>
    <hyperlink r:id="rId739" ref="A384"/>
    <hyperlink r:id="rId740" ref="C384"/>
    <hyperlink r:id="rId741" ref="A385"/>
    <hyperlink r:id="rId742" ref="C385"/>
    <hyperlink r:id="rId743" ref="A386"/>
    <hyperlink r:id="rId744" ref="C386"/>
    <hyperlink r:id="rId745" ref="A387"/>
    <hyperlink r:id="rId746" ref="C387"/>
    <hyperlink r:id="rId747" ref="A388"/>
    <hyperlink r:id="rId748" ref="C388"/>
    <hyperlink r:id="rId749" ref="A389"/>
    <hyperlink r:id="rId750" ref="C389"/>
    <hyperlink r:id="rId751" ref="A390"/>
    <hyperlink r:id="rId752" ref="C390"/>
    <hyperlink r:id="rId753" ref="A391"/>
    <hyperlink r:id="rId754" ref="C391"/>
    <hyperlink r:id="rId755" ref="A392"/>
    <hyperlink r:id="rId756" ref="C392"/>
    <hyperlink r:id="rId757" ref="A393"/>
    <hyperlink r:id="rId758" ref="C393"/>
    <hyperlink r:id="rId759" ref="A394"/>
    <hyperlink r:id="rId760" ref="C394"/>
    <hyperlink r:id="rId761" ref="A395"/>
    <hyperlink r:id="rId762" ref="C395"/>
    <hyperlink r:id="rId763" ref="A396"/>
    <hyperlink r:id="rId764" ref="C396"/>
    <hyperlink r:id="rId765" ref="A397"/>
    <hyperlink r:id="rId766" ref="C397"/>
    <hyperlink r:id="rId767" ref="A398"/>
    <hyperlink r:id="rId768" ref="C398"/>
    <hyperlink r:id="rId769" location=":~:text=First%20Page%20Sage%20has%20built,%2C%20Alcoa%2C%20and%20U.S.%20Bancorp." ref="A399"/>
    <hyperlink r:id="rId770" ref="A400"/>
    <hyperlink r:id="rId771" ref="C400"/>
    <hyperlink r:id="rId772" ref="A401"/>
    <hyperlink r:id="rId773" ref="C401"/>
    <hyperlink r:id="rId774" ref="A402"/>
    <hyperlink r:id="rId775" ref="C402"/>
    <hyperlink r:id="rId776" ref="A403"/>
    <hyperlink r:id="rId777" ref="C403"/>
    <hyperlink r:id="rId778" ref="A404"/>
    <hyperlink r:id="rId779" ref="C404"/>
    <hyperlink r:id="rId780" ref="A405"/>
    <hyperlink r:id="rId781" ref="C405"/>
    <hyperlink r:id="rId782" ref="A406"/>
    <hyperlink r:id="rId783" ref="A407"/>
    <hyperlink r:id="rId784" ref="A408"/>
    <hyperlink r:id="rId785" ref="A409"/>
    <hyperlink r:id="rId786" ref="C409"/>
    <hyperlink r:id="rId787" ref="A410"/>
    <hyperlink r:id="rId788" ref="C410"/>
    <hyperlink r:id="rId789" ref="A411"/>
    <hyperlink r:id="rId790" ref="C411"/>
    <hyperlink r:id="rId791" ref="A412"/>
    <hyperlink r:id="rId792" ref="C412"/>
    <hyperlink r:id="rId793" ref="A413"/>
    <hyperlink r:id="rId794" ref="C413"/>
    <hyperlink r:id="rId795" ref="A414"/>
    <hyperlink r:id="rId796" ref="C414"/>
    <hyperlink r:id="rId797" ref="A415"/>
    <hyperlink r:id="rId798" ref="C415"/>
    <hyperlink r:id="rId799" ref="A416"/>
    <hyperlink r:id="rId800" ref="C416"/>
    <hyperlink r:id="rId801" ref="A417"/>
    <hyperlink r:id="rId802" ref="C417"/>
    <hyperlink r:id="rId803" ref="A418"/>
    <hyperlink r:id="rId804" ref="C418"/>
    <hyperlink r:id="rId805" ref="A419"/>
    <hyperlink r:id="rId806" ref="C419"/>
    <hyperlink r:id="rId807" ref="A420"/>
    <hyperlink r:id="rId808" ref="C420"/>
    <hyperlink r:id="rId809" ref="A421"/>
    <hyperlink r:id="rId810" ref="A422"/>
    <hyperlink r:id="rId811" ref="A423"/>
    <hyperlink r:id="rId812" ref="C423"/>
    <hyperlink r:id="rId813" ref="A424"/>
    <hyperlink r:id="rId814" ref="C424"/>
    <hyperlink r:id="rId815" ref="A425"/>
    <hyperlink r:id="rId816" ref="C425"/>
    <hyperlink r:id="rId817" ref="A426"/>
    <hyperlink r:id="rId818" ref="C426"/>
    <hyperlink r:id="rId819" ref="A427"/>
    <hyperlink r:id="rId820" ref="C427"/>
    <hyperlink r:id="rId821" ref="A428"/>
    <hyperlink r:id="rId822" ref="C428"/>
    <hyperlink r:id="rId823" ref="A429"/>
    <hyperlink r:id="rId824" ref="C429"/>
    <hyperlink r:id="rId825" ref="A430"/>
    <hyperlink r:id="rId826" ref="A431"/>
    <hyperlink r:id="rId827" ref="C431"/>
    <hyperlink r:id="rId828" ref="A432"/>
    <hyperlink r:id="rId829" ref="C432"/>
    <hyperlink r:id="rId830" ref="A433"/>
    <hyperlink r:id="rId831" ref="C433"/>
    <hyperlink r:id="rId832" ref="A434"/>
    <hyperlink r:id="rId833" ref="A435"/>
    <hyperlink r:id="rId834" ref="C435"/>
    <hyperlink r:id="rId835" ref="A436"/>
    <hyperlink r:id="rId836" ref="C436"/>
    <hyperlink r:id="rId837" location=":~:text=AEO%20Collective%20is%20good%2C%20they,3mo%20ago" ref="A437"/>
    <hyperlink r:id="rId838" ref="C437"/>
    <hyperlink r:id="rId839" ref="A438"/>
    <hyperlink r:id="rId840" ref="C438"/>
    <hyperlink r:id="rId841" ref="A439"/>
    <hyperlink r:id="rId842" ref="C439"/>
    <hyperlink r:id="rId843" ref="A440"/>
    <hyperlink r:id="rId844" ref="C440"/>
    <hyperlink r:id="rId845" ref="A441"/>
    <hyperlink r:id="rId846" ref="C441"/>
    <hyperlink r:id="rId847" ref="A442"/>
    <hyperlink r:id="rId848" ref="C442"/>
    <hyperlink r:id="rId849" ref="A443"/>
    <hyperlink r:id="rId850" ref="C443"/>
    <hyperlink r:id="rId851" ref="A444"/>
    <hyperlink r:id="rId852" ref="C444"/>
    <hyperlink r:id="rId853" ref="A445"/>
    <hyperlink r:id="rId854" ref="C445"/>
    <hyperlink r:id="rId855" ref="A446"/>
    <hyperlink r:id="rId856" ref="C446"/>
    <hyperlink r:id="rId857" ref="A447"/>
    <hyperlink r:id="rId858" ref="C447"/>
    <hyperlink r:id="rId859" ref="A448"/>
    <hyperlink r:id="rId860" ref="C448"/>
    <hyperlink r:id="rId861" ref="A449"/>
    <hyperlink r:id="rId862" ref="C449"/>
    <hyperlink r:id="rId863" ref="A450"/>
    <hyperlink r:id="rId864" ref="C450"/>
    <hyperlink r:id="rId865" ref="A451"/>
    <hyperlink r:id="rId866" ref="C451"/>
    <hyperlink r:id="rId867" ref="A452"/>
    <hyperlink r:id="rId868" ref="C452"/>
    <hyperlink r:id="rId869" ref="A453"/>
    <hyperlink r:id="rId870" ref="C453"/>
    <hyperlink r:id="rId871" ref="A454"/>
    <hyperlink r:id="rId872" ref="C454"/>
    <hyperlink r:id="rId873" ref="A455"/>
    <hyperlink r:id="rId874" ref="C455"/>
    <hyperlink r:id="rId875" ref="A456"/>
    <hyperlink r:id="rId876" ref="C456"/>
    <hyperlink r:id="rId877" location=":~:text=Avanade's%20assessment%20is%20informed%20by,human%20side%20of%20AI%20adoption." ref="A457"/>
    <hyperlink r:id="rId878" ref="C457"/>
    <hyperlink r:id="rId879" ref="A458"/>
    <hyperlink r:id="rId880" ref="C458"/>
    <hyperlink r:id="rId881" ref="A459"/>
    <hyperlink r:id="rId882" ref="C459"/>
    <hyperlink r:id="rId883" ref="A460"/>
    <hyperlink r:id="rId884" ref="C460"/>
    <hyperlink r:id="rId885" ref="A461"/>
    <hyperlink r:id="rId886" ref="C461"/>
    <hyperlink r:id="rId887" ref="A462"/>
    <hyperlink r:id="rId888" ref="C462"/>
    <hyperlink r:id="rId889" ref="A463"/>
    <hyperlink r:id="rId890" ref="A464"/>
    <hyperlink r:id="rId891" ref="C464"/>
    <hyperlink r:id="rId892" ref="A465"/>
    <hyperlink r:id="rId893" ref="C465"/>
    <hyperlink r:id="rId894" ref="A466"/>
    <hyperlink r:id="rId895" ref="C466"/>
    <hyperlink r:id="rId896" ref="A467"/>
    <hyperlink r:id="rId897" ref="C467"/>
    <hyperlink r:id="rId898" ref="A468"/>
    <hyperlink r:id="rId899" ref="C468"/>
    <hyperlink r:id="rId900" ref="A469"/>
    <hyperlink r:id="rId901" ref="C469"/>
    <hyperlink r:id="rId902" ref="A470"/>
    <hyperlink r:id="rId903" ref="C470"/>
    <hyperlink r:id="rId904" ref="A471"/>
    <hyperlink r:id="rId905" ref="C471"/>
    <hyperlink r:id="rId906" ref="A472"/>
    <hyperlink r:id="rId907" ref="C472"/>
    <hyperlink r:id="rId908" ref="A473"/>
    <hyperlink r:id="rId909" ref="C473"/>
    <hyperlink r:id="rId910" ref="A474"/>
    <hyperlink r:id="rId911" ref="C474"/>
    <hyperlink r:id="rId912" ref="A475"/>
    <hyperlink r:id="rId913" ref="C475"/>
    <hyperlink r:id="rId914" ref="A476"/>
    <hyperlink r:id="rId915" ref="C476"/>
    <hyperlink r:id="rId916" ref="A477"/>
    <hyperlink r:id="rId917" ref="C477"/>
    <hyperlink r:id="rId918" ref="A478"/>
    <hyperlink r:id="rId919" ref="C478"/>
    <hyperlink r:id="rId920" ref="A479"/>
    <hyperlink r:id="rId921" ref="C479"/>
    <hyperlink r:id="rId922" ref="A480"/>
    <hyperlink r:id="rId923" ref="C480"/>
    <hyperlink r:id="rId924" ref="A481"/>
    <hyperlink r:id="rId925" ref="C481"/>
    <hyperlink r:id="rId926" ref="A482"/>
    <hyperlink r:id="rId927" ref="C482"/>
    <hyperlink r:id="rId928" ref="A483"/>
    <hyperlink r:id="rId929" ref="C483"/>
    <hyperlink r:id="rId930" ref="A484"/>
    <hyperlink r:id="rId931" ref="C484"/>
    <hyperlink r:id="rId932" ref="A485"/>
    <hyperlink r:id="rId933" ref="C485"/>
    <hyperlink r:id="rId934" ref="A486"/>
    <hyperlink r:id="rId935" ref="C486"/>
    <hyperlink r:id="rId936" ref="A487"/>
    <hyperlink r:id="rId937" ref="C487"/>
    <hyperlink r:id="rId938" ref="A488"/>
    <hyperlink r:id="rId939" ref="C488"/>
    <hyperlink r:id="rId940" ref="A489"/>
    <hyperlink r:id="rId941" ref="C489"/>
    <hyperlink r:id="rId942" ref="A490"/>
    <hyperlink r:id="rId943" ref="C490"/>
    <hyperlink r:id="rId944" ref="A491"/>
    <hyperlink r:id="rId945" ref="C491"/>
    <hyperlink r:id="rId946" ref="A492"/>
    <hyperlink r:id="rId947" ref="C492"/>
    <hyperlink r:id="rId948" ref="A493"/>
    <hyperlink r:id="rId949" ref="C493"/>
    <hyperlink r:id="rId950" ref="A494"/>
    <hyperlink r:id="rId951" ref="C494"/>
    <hyperlink r:id="rId952" ref="A495"/>
    <hyperlink r:id="rId953" ref="C495"/>
    <hyperlink r:id="rId954" ref="A496"/>
    <hyperlink r:id="rId955" ref="C496"/>
    <hyperlink r:id="rId956" ref="A497"/>
    <hyperlink r:id="rId957" ref="C497"/>
    <hyperlink r:id="rId958" ref="A498"/>
    <hyperlink r:id="rId959" ref="C498"/>
    <hyperlink r:id="rId960" ref="A499"/>
    <hyperlink r:id="rId961" ref="C499"/>
    <hyperlink r:id="rId962" ref="A500"/>
    <hyperlink r:id="rId963" ref="C500"/>
    <hyperlink r:id="rId964" ref="A501"/>
    <hyperlink r:id="rId965" ref="C501"/>
    <hyperlink r:id="rId966" ref="A502"/>
    <hyperlink r:id="rId967" ref="C502"/>
    <hyperlink r:id="rId968" ref="A503"/>
    <hyperlink r:id="rId969" ref="C503"/>
    <hyperlink r:id="rId970" ref="A504"/>
    <hyperlink r:id="rId971" ref="C504"/>
    <hyperlink r:id="rId972" ref="A505"/>
    <hyperlink r:id="rId973" ref="C505"/>
    <hyperlink r:id="rId974" ref="A506"/>
    <hyperlink r:id="rId975" ref="C506"/>
    <hyperlink r:id="rId976" ref="A507"/>
    <hyperlink r:id="rId977" ref="C507"/>
    <hyperlink r:id="rId978" ref="A508"/>
    <hyperlink r:id="rId979" ref="C508"/>
    <hyperlink r:id="rId980" ref="A509"/>
    <hyperlink r:id="rId981" ref="C509"/>
    <hyperlink r:id="rId982" ref="A510"/>
    <hyperlink r:id="rId983" ref="C510"/>
    <hyperlink r:id="rId984" ref="A511"/>
    <hyperlink r:id="rId985" ref="C511"/>
    <hyperlink r:id="rId986" ref="A512"/>
    <hyperlink r:id="rId987" ref="C512"/>
    <hyperlink r:id="rId988" ref="A513"/>
    <hyperlink r:id="rId989" ref="C513"/>
    <hyperlink r:id="rId990" ref="A514"/>
    <hyperlink r:id="rId991" ref="C514"/>
    <hyperlink r:id="rId992" ref="A515"/>
    <hyperlink r:id="rId993" ref="C515"/>
    <hyperlink r:id="rId994" ref="A516"/>
    <hyperlink r:id="rId995" ref="C516"/>
    <hyperlink r:id="rId996" location=":~:text=Disruptive%20Advertising%20is%20a%20digital,driven%20approaches%20and%20proactive%20communication." ref="A517"/>
    <hyperlink r:id="rId997" ref="C517"/>
    <hyperlink r:id="rId998" ref="A518"/>
    <hyperlink r:id="rId999" ref="C518"/>
    <hyperlink r:id="rId1000" ref="A519"/>
    <hyperlink r:id="rId1001" ref="C519"/>
    <hyperlink r:id="rId1002" ref="A520"/>
    <hyperlink r:id="rId1003" ref="C520"/>
    <hyperlink r:id="rId1004" ref="A521"/>
    <hyperlink r:id="rId1005" ref="C521"/>
    <hyperlink r:id="rId1006" ref="A522"/>
    <hyperlink r:id="rId1007" ref="C522"/>
    <hyperlink r:id="rId1008" ref="A523"/>
    <hyperlink r:id="rId1009" ref="C523"/>
    <hyperlink r:id="rId1010" ref="A524"/>
    <hyperlink r:id="rId1011" ref="C524"/>
    <hyperlink r:id="rId1012" ref="A525"/>
    <hyperlink r:id="rId1013" ref="C525"/>
    <hyperlink r:id="rId1014" ref="A526"/>
    <hyperlink r:id="rId1015" ref="C526"/>
    <hyperlink r:id="rId1016" ref="A527"/>
    <hyperlink r:id="rId1017" ref="C527"/>
    <hyperlink r:id="rId1018" ref="A528"/>
    <hyperlink r:id="rId1019" ref="C528"/>
    <hyperlink r:id="rId1020" ref="A529"/>
    <hyperlink r:id="rId1021" ref="C529"/>
    <hyperlink r:id="rId1022" ref="A530"/>
    <hyperlink r:id="rId1023" ref="C530"/>
    <hyperlink r:id="rId1024" ref="A531"/>
    <hyperlink r:id="rId1025" ref="C531"/>
    <hyperlink r:id="rId1026" ref="A532"/>
    <hyperlink r:id="rId1027" ref="C532"/>
    <hyperlink r:id="rId1028" ref="A533"/>
    <hyperlink r:id="rId1029" ref="C533"/>
    <hyperlink r:id="rId1030" ref="A534"/>
    <hyperlink r:id="rId1031" ref="C534"/>
    <hyperlink r:id="rId1032" ref="A535"/>
    <hyperlink r:id="rId1033" ref="C535"/>
    <hyperlink r:id="rId1034" ref="A536"/>
    <hyperlink r:id="rId1035" ref="C536"/>
    <hyperlink r:id="rId1036" ref="A537"/>
    <hyperlink r:id="rId1037" ref="C537"/>
    <hyperlink r:id="rId1038" ref="A538"/>
    <hyperlink r:id="rId1039" ref="A539"/>
    <hyperlink r:id="rId1040" location=":~:text=Simon%2DKucher%20is%20a%20global,Publicis%20Sapient" ref="A540"/>
    <hyperlink r:id="rId1041" ref="C540"/>
    <hyperlink r:id="rId1042" ref="A541"/>
    <hyperlink r:id="rId1043" ref="C541"/>
    <hyperlink r:id="rId1044" ref="A542"/>
    <hyperlink r:id="rId1045" ref="C542"/>
    <hyperlink r:id="rId1046" ref="A543"/>
    <hyperlink r:id="rId1047" ref="C543"/>
    <hyperlink r:id="rId1048" ref="A544"/>
    <hyperlink r:id="rId1049" ref="C544"/>
    <hyperlink r:id="rId1050" ref="A545"/>
    <hyperlink r:id="rId1051" ref="A546"/>
    <hyperlink r:id="rId1052" ref="C546"/>
    <hyperlink r:id="rId1053" ref="A547"/>
    <hyperlink r:id="rId1054" ref="C547"/>
    <hyperlink r:id="rId1055" ref="A548"/>
    <hyperlink r:id="rId1056" ref="C548"/>
    <hyperlink r:id="rId1057" ref="A549"/>
    <hyperlink r:id="rId1058" ref="C549"/>
    <hyperlink r:id="rId1059" ref="A550"/>
    <hyperlink r:id="rId1060" ref="A551"/>
    <hyperlink r:id="rId1061" ref="C551"/>
    <hyperlink r:id="rId1062" ref="A552"/>
    <hyperlink r:id="rId1063" ref="C552"/>
    <hyperlink r:id="rId1064" ref="A553"/>
    <hyperlink r:id="rId1065" ref="C553"/>
    <hyperlink r:id="rId1066" ref="A554"/>
    <hyperlink r:id="rId1067" ref="C554"/>
    <hyperlink r:id="rId1068" ref="A555"/>
    <hyperlink r:id="rId1069" ref="C555"/>
    <hyperlink r:id="rId1070" ref="A556"/>
    <hyperlink r:id="rId1071" ref="C556"/>
    <hyperlink r:id="rId1072" ref="A557"/>
    <hyperlink r:id="rId1073" ref="C557"/>
    <hyperlink r:id="rId1074" ref="A558"/>
    <hyperlink r:id="rId1075" ref="C558"/>
    <hyperlink r:id="rId1076" ref="A559"/>
    <hyperlink r:id="rId1077" ref="C559"/>
    <hyperlink r:id="rId1078" ref="A560"/>
    <hyperlink r:id="rId1079" ref="C560"/>
    <hyperlink r:id="rId1080" ref="A561"/>
    <hyperlink r:id="rId1081" ref="C561"/>
    <hyperlink r:id="rId1082" ref="A562"/>
    <hyperlink r:id="rId1083" ref="C562"/>
    <hyperlink r:id="rId1084" ref="A563"/>
    <hyperlink r:id="rId1085" ref="C563"/>
    <hyperlink r:id="rId1086" ref="A564"/>
    <hyperlink r:id="rId1087" ref="C564"/>
    <hyperlink r:id="rId1088" ref="A565"/>
    <hyperlink r:id="rId1089" ref="C565"/>
    <hyperlink r:id="rId1090" ref="A566"/>
    <hyperlink r:id="rId1091" ref="C566"/>
    <hyperlink r:id="rId1092" ref="A567"/>
    <hyperlink r:id="rId1093" ref="C567"/>
    <hyperlink r:id="rId1094" ref="A568"/>
    <hyperlink r:id="rId1095" ref="C568"/>
    <hyperlink r:id="rId1096" ref="A569"/>
    <hyperlink r:id="rId1097" ref="C569"/>
    <hyperlink r:id="rId1098" ref="A570"/>
    <hyperlink r:id="rId1099" ref="C570"/>
    <hyperlink r:id="rId1100" ref="A571"/>
    <hyperlink r:id="rId1101" ref="C571"/>
    <hyperlink r:id="rId1102" ref="A572"/>
    <hyperlink r:id="rId1103" ref="C572"/>
    <hyperlink r:id="rId1104" ref="A573"/>
    <hyperlink r:id="rId1105" ref="C573"/>
    <hyperlink r:id="rId1106" ref="A574"/>
    <hyperlink r:id="rId1107" ref="C574"/>
    <hyperlink r:id="rId1108" ref="A575"/>
    <hyperlink r:id="rId1109" ref="C575"/>
    <hyperlink r:id="rId1110" ref="A576"/>
    <hyperlink r:id="rId1111" ref="C576"/>
    <hyperlink r:id="rId1112" ref="A577"/>
    <hyperlink r:id="rId1113" ref="C577"/>
    <hyperlink r:id="rId1114" ref="A578"/>
    <hyperlink r:id="rId1115" ref="C578"/>
    <hyperlink r:id="rId1116" ref="A579"/>
    <hyperlink r:id="rId1117" ref="C579"/>
    <hyperlink r:id="rId1118" ref="A580"/>
    <hyperlink r:id="rId1119" ref="A581"/>
    <hyperlink r:id="rId1120" ref="C581"/>
    <hyperlink r:id="rId1121" ref="A582"/>
    <hyperlink r:id="rId1122" ref="C582"/>
    <hyperlink r:id="rId1123" ref="A583"/>
    <hyperlink r:id="rId1124" ref="C583"/>
    <hyperlink r:id="rId1125" ref="A584"/>
    <hyperlink r:id="rId1126" ref="C584"/>
    <hyperlink r:id="rId1127" ref="A585"/>
    <hyperlink r:id="rId1128" ref="C585"/>
    <hyperlink r:id="rId1129" ref="A586"/>
    <hyperlink r:id="rId1130" ref="C586"/>
    <hyperlink r:id="rId1131" ref="A587"/>
    <hyperlink r:id="rId1132" ref="C587"/>
    <hyperlink r:id="rId1133" ref="A588"/>
    <hyperlink r:id="rId1134" ref="C588"/>
    <hyperlink r:id="rId1135" ref="A589"/>
    <hyperlink r:id="rId1136" ref="C589"/>
    <hyperlink r:id="rId1137" ref="A590"/>
    <hyperlink r:id="rId1138" ref="C590"/>
    <hyperlink r:id="rId1139" ref="A591"/>
    <hyperlink r:id="rId1140" ref="C591"/>
    <hyperlink r:id="rId1141" ref="A592"/>
    <hyperlink r:id="rId1142" ref="C592"/>
    <hyperlink r:id="rId1143" ref="A593"/>
    <hyperlink r:id="rId1144" ref="C593"/>
    <hyperlink r:id="rId1145" ref="A594"/>
    <hyperlink r:id="rId1146" ref="C594"/>
    <hyperlink r:id="rId1147" ref="A595"/>
    <hyperlink r:id="rId1148" ref="C595"/>
    <hyperlink r:id="rId1149" ref="A596"/>
    <hyperlink r:id="rId1150" ref="C596"/>
    <hyperlink r:id="rId1151" ref="A597"/>
    <hyperlink r:id="rId1152" ref="C597"/>
    <hyperlink r:id="rId1153" ref="A598"/>
    <hyperlink r:id="rId1154" ref="C598"/>
    <hyperlink r:id="rId1155" ref="A599"/>
    <hyperlink r:id="rId1156" ref="C599"/>
    <hyperlink r:id="rId1157" ref="A600"/>
    <hyperlink r:id="rId1158" ref="C600"/>
    <hyperlink r:id="rId1159" ref="A601"/>
    <hyperlink r:id="rId1160" ref="C601"/>
    <hyperlink r:id="rId1161" ref="A602"/>
    <hyperlink r:id="rId1162" ref="C602"/>
    <hyperlink r:id="rId1163" ref="A603"/>
    <hyperlink r:id="rId1164" ref="C603"/>
    <hyperlink r:id="rId1165" ref="A604"/>
    <hyperlink r:id="rId1166" ref="C604"/>
    <hyperlink r:id="rId1167" ref="A605"/>
    <hyperlink r:id="rId1168" ref="C605"/>
    <hyperlink r:id="rId1169" ref="A606"/>
    <hyperlink r:id="rId1170" ref="C606"/>
    <hyperlink r:id="rId1171" ref="A607"/>
    <hyperlink r:id="rId1172" ref="C607"/>
    <hyperlink r:id="rId1173" ref="A608"/>
    <hyperlink r:id="rId1174" ref="C608"/>
    <hyperlink r:id="rId1175" ref="A609"/>
    <hyperlink r:id="rId1176" ref="C609"/>
    <hyperlink r:id="rId1177" ref="A610"/>
    <hyperlink r:id="rId1178" ref="C610"/>
    <hyperlink r:id="rId1179" location=":~:text=Growthcurve%20gives%20you%20a%20complete,more%20shipped%20and%20fewer%20handoffs." ref="A611"/>
    <hyperlink r:id="rId1180" ref="C611"/>
    <hyperlink r:id="rId1181" ref="A612"/>
    <hyperlink r:id="rId1182" ref="C612"/>
    <hyperlink r:id="rId1183" ref="A613"/>
    <hyperlink r:id="rId1184" ref="C613"/>
    <hyperlink r:id="rId1185" ref="A614"/>
    <hyperlink r:id="rId1186" ref="C614"/>
    <hyperlink r:id="rId1187" ref="A615"/>
    <hyperlink r:id="rId1188" ref="C615"/>
    <hyperlink r:id="rId1189" ref="A616"/>
    <hyperlink r:id="rId1190" ref="C616"/>
    <hyperlink r:id="rId1191" ref="A617"/>
    <hyperlink r:id="rId1192" ref="C617"/>
    <hyperlink r:id="rId1193" ref="A618"/>
    <hyperlink r:id="rId1194" ref="C618"/>
    <hyperlink r:id="rId1195" ref="A619"/>
    <hyperlink r:id="rId1196" ref="C619"/>
    <hyperlink r:id="rId1197" ref="A620"/>
    <hyperlink r:id="rId1198" ref="A621"/>
    <hyperlink r:id="rId1199" ref="A622"/>
    <hyperlink r:id="rId1200" ref="C622"/>
    <hyperlink r:id="rId1201" ref="A623"/>
    <hyperlink r:id="rId1202" ref="C623"/>
    <hyperlink r:id="rId1203" ref="A624"/>
    <hyperlink r:id="rId1204" ref="C624"/>
    <hyperlink r:id="rId1205" ref="A625"/>
    <hyperlink r:id="rId1206" ref="C625"/>
    <hyperlink r:id="rId1207" ref="A626"/>
    <hyperlink r:id="rId1208" ref="C626"/>
    <hyperlink r:id="rId1209" ref="A627"/>
    <hyperlink r:id="rId1210" ref="C627"/>
    <hyperlink r:id="rId1211" ref="A628"/>
    <hyperlink r:id="rId1212" ref="C628"/>
    <hyperlink r:id="rId1213" ref="A629"/>
    <hyperlink r:id="rId1214" ref="C629"/>
    <hyperlink r:id="rId1215" ref="A630"/>
    <hyperlink r:id="rId1216" ref="C630"/>
    <hyperlink r:id="rId1217" ref="A631"/>
    <hyperlink r:id="rId1218" ref="C631"/>
    <hyperlink r:id="rId1219" ref="A632"/>
    <hyperlink r:id="rId1220" ref="C632"/>
    <hyperlink r:id="rId1221" ref="A633"/>
    <hyperlink r:id="rId1222" ref="C633"/>
    <hyperlink r:id="rId1223" ref="A634"/>
    <hyperlink r:id="rId1224" ref="C634"/>
    <hyperlink r:id="rId1225" ref="A635"/>
    <hyperlink r:id="rId1226" ref="C635"/>
    <hyperlink r:id="rId1227" ref="A636"/>
    <hyperlink r:id="rId1228" ref="C636"/>
    <hyperlink r:id="rId1229" ref="A637"/>
    <hyperlink r:id="rId1230" ref="C637"/>
    <hyperlink r:id="rId1231" ref="A638"/>
    <hyperlink r:id="rId1232" ref="C638"/>
    <hyperlink r:id="rId1233" ref="A639"/>
    <hyperlink r:id="rId1234" ref="C639"/>
    <hyperlink r:id="rId1235" ref="A640"/>
    <hyperlink r:id="rId1236" ref="C640"/>
    <hyperlink r:id="rId1237" ref="A641"/>
    <hyperlink r:id="rId1238" ref="C641"/>
    <hyperlink r:id="rId1239" ref="A642"/>
    <hyperlink r:id="rId1240" ref="C642"/>
    <hyperlink r:id="rId1241" ref="A643"/>
    <hyperlink r:id="rId1242" ref="C643"/>
    <hyperlink r:id="rId1243" location=":~:text=Rating%3A%20(4.1%2F5%20G2%2C%204.0%2F5%20Capterra)%20Best%20For%3A,Sources%20*%20ScanmarQED.%20*%20G2%20ScanmarQED%20Reviews." ref="A644"/>
    <hyperlink r:id="rId1244" ref="C644"/>
    <hyperlink r:id="rId1245" ref="A645"/>
    <hyperlink r:id="rId1246" ref="C645"/>
    <hyperlink r:id="rId1247" ref="A646"/>
    <hyperlink r:id="rId1248" ref="C646"/>
    <hyperlink r:id="rId1249" ref="A647"/>
    <hyperlink r:id="rId1250" ref="C647"/>
    <hyperlink r:id="rId1251" ref="A648"/>
    <hyperlink r:id="rId1252" ref="C648"/>
    <hyperlink r:id="rId1253" ref="A649"/>
    <hyperlink r:id="rId1254" ref="A650"/>
    <hyperlink r:id="rId1255" ref="A651"/>
    <hyperlink r:id="rId1256" ref="A652"/>
    <hyperlink r:id="rId1257" ref="A653"/>
    <hyperlink r:id="rId1258" ref="A654"/>
    <hyperlink r:id="rId1259" ref="C654"/>
    <hyperlink r:id="rId1260" ref="A655"/>
    <hyperlink r:id="rId1261" ref="C655"/>
    <hyperlink r:id="rId1262" ref="A656"/>
    <hyperlink r:id="rId1263" ref="C656"/>
    <hyperlink r:id="rId1264" ref="A657"/>
    <hyperlink r:id="rId1265" ref="C657"/>
    <hyperlink r:id="rId1266" ref="A658"/>
    <hyperlink r:id="rId1267" ref="C658"/>
    <hyperlink r:id="rId1268" ref="A659"/>
    <hyperlink r:id="rId1269" ref="C659"/>
    <hyperlink r:id="rId1270" ref="A660"/>
    <hyperlink r:id="rId1271" ref="C660"/>
    <hyperlink r:id="rId1272" ref="A661"/>
    <hyperlink r:id="rId1273" ref="C661"/>
    <hyperlink r:id="rId1274" ref="A662"/>
    <hyperlink r:id="rId1275" ref="C662"/>
    <hyperlink r:id="rId1276" ref="A663"/>
    <hyperlink r:id="rId1277" ref="C663"/>
    <hyperlink r:id="rId1278" ref="A664"/>
    <hyperlink r:id="rId1279" ref="C664"/>
    <hyperlink r:id="rId1280" ref="A665"/>
    <hyperlink r:id="rId1281" ref="C665"/>
    <hyperlink r:id="rId1282" location=":~:text=Brainlabs%20focuses%20on%20scientific%20marketing,rely%20on%20modeling%20and%20testing." ref="A666"/>
    <hyperlink r:id="rId1283" ref="A667"/>
    <hyperlink r:id="rId1284" ref="C667"/>
    <hyperlink r:id="rId1285" ref="A668"/>
    <hyperlink r:id="rId1286" ref="C668"/>
    <hyperlink r:id="rId1287" ref="A669"/>
    <hyperlink r:id="rId1288" ref="C669"/>
    <hyperlink r:id="rId1289" ref="A670"/>
    <hyperlink r:id="rId1290" ref="C670"/>
    <hyperlink r:id="rId1291" ref="A671"/>
    <hyperlink r:id="rId1292" ref="A672"/>
    <hyperlink r:id="rId1293" ref="A673"/>
    <hyperlink r:id="rId1294" ref="A674"/>
    <hyperlink r:id="rId1295" ref="C674"/>
    <hyperlink r:id="rId1296" ref="A675"/>
    <hyperlink r:id="rId1297" ref="C675"/>
    <hyperlink r:id="rId1298" ref="A676"/>
    <hyperlink r:id="rId1299" ref="C676"/>
    <hyperlink r:id="rId1300" ref="A677"/>
    <hyperlink r:id="rId1301" ref="C677"/>
    <hyperlink r:id="rId1302" ref="A678"/>
    <hyperlink r:id="rId1303" ref="A679"/>
    <hyperlink r:id="rId1304" ref="C679"/>
    <hyperlink r:id="rId1305" ref="A680"/>
    <hyperlink r:id="rId1306" ref="C680"/>
    <hyperlink r:id="rId1307" ref="A681"/>
    <hyperlink r:id="rId1308" ref="C681"/>
    <hyperlink r:id="rId1309" ref="A682"/>
    <hyperlink r:id="rId1310" ref="C682"/>
    <hyperlink r:id="rId1311" ref="A683"/>
    <hyperlink r:id="rId1312" ref="C683"/>
    <hyperlink r:id="rId1313" ref="A684"/>
    <hyperlink r:id="rId1314" ref="C684"/>
    <hyperlink r:id="rId1315" ref="A685"/>
    <hyperlink r:id="rId1316" ref="C685"/>
    <hyperlink r:id="rId1317" ref="A686"/>
    <hyperlink r:id="rId1318" ref="C686"/>
    <hyperlink r:id="rId1319" location=":~:text=PMG%20Advertising%20Agency%20is%20a,%2C%20affiliate%20marketing%2C%20and%20SEO." ref="A687"/>
    <hyperlink r:id="rId1320" ref="C687"/>
    <hyperlink r:id="rId1321" ref="A688"/>
    <hyperlink r:id="rId1322" ref="C688"/>
    <hyperlink r:id="rId1323" ref="A689"/>
    <hyperlink r:id="rId1324" ref="C689"/>
    <hyperlink r:id="rId1325" ref="A690"/>
    <hyperlink r:id="rId1326" ref="C690"/>
    <hyperlink r:id="rId1327" ref="A691"/>
    <hyperlink r:id="rId1328" ref="C691"/>
    <hyperlink r:id="rId1329" ref="A692"/>
    <hyperlink r:id="rId1330" ref="C692"/>
    <hyperlink r:id="rId1331" ref="A693"/>
    <hyperlink r:id="rId1332" ref="C693"/>
    <hyperlink r:id="rId1333" ref="A694"/>
    <hyperlink r:id="rId1334" ref="C694"/>
    <hyperlink r:id="rId1335" ref="A695"/>
    <hyperlink r:id="rId1336" ref="C695"/>
    <hyperlink r:id="rId1337" ref="A696"/>
    <hyperlink r:id="rId1338" ref="C696"/>
    <hyperlink r:id="rId1339" ref="A697"/>
    <hyperlink r:id="rId1340" ref="C697"/>
    <hyperlink r:id="rId1341" ref="A698"/>
    <hyperlink r:id="rId1342" ref="C698"/>
    <hyperlink r:id="rId1343" ref="A699"/>
    <hyperlink r:id="rId1344" ref="C699"/>
    <hyperlink r:id="rId1345" location=":~:text=B2B%20SaaS%20technical%20SEO%2C%20AI%20search%2C%20LLMO%2C,the%20UK%20market%20for%20enterprise%2Dscale%20SaaS%20organisations." ref="A700"/>
    <hyperlink r:id="rId1346" ref="C700"/>
    <hyperlink r:id="rId1347" ref="A701"/>
    <hyperlink r:id="rId1348" ref="C701"/>
    <hyperlink r:id="rId1349" ref="A702"/>
    <hyperlink r:id="rId1350" ref="C702"/>
    <hyperlink r:id="rId1351" ref="A703"/>
    <hyperlink r:id="rId1352" ref="C703"/>
    <hyperlink r:id="rId1353" ref="A704"/>
    <hyperlink r:id="rId1354" ref="C704"/>
    <hyperlink r:id="rId1355" ref="A705"/>
    <hyperlink r:id="rId1356" ref="C705"/>
    <hyperlink r:id="rId1357" ref="A706"/>
    <hyperlink r:id="rId1358" ref="C706"/>
    <hyperlink r:id="rId1359" ref="A707"/>
    <hyperlink r:id="rId1360" ref="C707"/>
    <hyperlink r:id="rId1361" ref="A708"/>
    <hyperlink r:id="rId1362" ref="C708"/>
    <hyperlink r:id="rId1363" ref="A709"/>
    <hyperlink r:id="rId1364" ref="C709"/>
    <hyperlink r:id="rId1365" ref="A710"/>
    <hyperlink r:id="rId1366" ref="C710"/>
    <hyperlink r:id="rId1367" ref="A711"/>
    <hyperlink r:id="rId1368" ref="C711"/>
    <hyperlink r:id="rId1369" ref="A712"/>
    <hyperlink r:id="rId1370" ref="C712"/>
    <hyperlink r:id="rId1371" ref="A713"/>
    <hyperlink r:id="rId1372" ref="C713"/>
    <hyperlink r:id="rId1373" ref="A714"/>
    <hyperlink r:id="rId1374" ref="C714"/>
    <hyperlink r:id="rId1375" ref="A715"/>
    <hyperlink r:id="rId1376" ref="C715"/>
    <hyperlink r:id="rId1377" ref="A716"/>
    <hyperlink r:id="rId1378" ref="C716"/>
    <hyperlink r:id="rId1379" ref="A717"/>
    <hyperlink r:id="rId1380" ref="C717"/>
    <hyperlink r:id="rId1381" ref="A718"/>
    <hyperlink r:id="rId1382" ref="C718"/>
    <hyperlink r:id="rId1383" ref="A719"/>
    <hyperlink r:id="rId1384" ref="C719"/>
    <hyperlink r:id="rId1385" ref="A720"/>
    <hyperlink r:id="rId1386" ref="C720"/>
    <hyperlink r:id="rId1387" ref="A721"/>
    <hyperlink r:id="rId1388" ref="C721"/>
    <hyperlink r:id="rId1389" ref="A722"/>
    <hyperlink r:id="rId1390" ref="C722"/>
    <hyperlink r:id="rId1391" ref="A723"/>
    <hyperlink r:id="rId1392" ref="C723"/>
    <hyperlink r:id="rId1393" ref="A724"/>
    <hyperlink r:id="rId1394" ref="C724"/>
    <hyperlink r:id="rId1395" ref="A725"/>
    <hyperlink r:id="rId1396" ref="C725"/>
    <hyperlink r:id="rId1397" ref="A726"/>
    <hyperlink r:id="rId1398" ref="C726"/>
    <hyperlink r:id="rId1399" ref="A727"/>
    <hyperlink r:id="rId1400" ref="C727"/>
    <hyperlink r:id="rId1401" ref="A728"/>
    <hyperlink r:id="rId1402" ref="C728"/>
    <hyperlink r:id="rId1403" ref="A729"/>
    <hyperlink r:id="rId1404" ref="C729"/>
    <hyperlink r:id="rId1405" ref="A730"/>
    <hyperlink r:id="rId1406" ref="C730"/>
    <hyperlink r:id="rId1407" ref="A731"/>
    <hyperlink r:id="rId1408" ref="C731"/>
    <hyperlink r:id="rId1409" ref="A732"/>
    <hyperlink r:id="rId1410" ref="C732"/>
    <hyperlink r:id="rId1411" ref="A733"/>
    <hyperlink r:id="rId1412" ref="C733"/>
    <hyperlink r:id="rId1413" ref="A734"/>
    <hyperlink r:id="rId1414" ref="C734"/>
    <hyperlink r:id="rId1415" ref="A735"/>
    <hyperlink r:id="rId1416" ref="C735"/>
    <hyperlink r:id="rId1417" ref="A736"/>
    <hyperlink r:id="rId1418" ref="C736"/>
    <hyperlink r:id="rId1419" ref="A737"/>
    <hyperlink r:id="rId1420" ref="C737"/>
    <hyperlink r:id="rId1421" ref="A738"/>
    <hyperlink r:id="rId1422" ref="C738"/>
    <hyperlink r:id="rId1423" ref="A739"/>
    <hyperlink r:id="rId1424" ref="C739"/>
    <hyperlink r:id="rId1425" ref="A740"/>
    <hyperlink r:id="rId1426" ref="C740"/>
    <hyperlink r:id="rId1427" ref="A741"/>
    <hyperlink r:id="rId1428" ref="C741"/>
    <hyperlink r:id="rId1429" ref="A742"/>
    <hyperlink r:id="rId1430" ref="C742"/>
    <hyperlink r:id="rId1431" ref="A743"/>
    <hyperlink r:id="rId1432" ref="C743"/>
    <hyperlink r:id="rId1433" ref="A744"/>
    <hyperlink r:id="rId1434" ref="C744"/>
    <hyperlink r:id="rId1435" ref="A745"/>
    <hyperlink r:id="rId1436" ref="C745"/>
    <hyperlink r:id="rId1437" ref="A746"/>
    <hyperlink r:id="rId1438" ref="C746"/>
    <hyperlink r:id="rId1439" ref="A747"/>
    <hyperlink r:id="rId1440" ref="C747"/>
    <hyperlink r:id="rId1441" ref="A748"/>
    <hyperlink r:id="rId1442" ref="C748"/>
    <hyperlink r:id="rId1443" ref="A749"/>
    <hyperlink r:id="rId1444" ref="C749"/>
    <hyperlink r:id="rId1445" ref="A750"/>
    <hyperlink r:id="rId1446" ref="C750"/>
    <hyperlink r:id="rId1447" ref="A751"/>
    <hyperlink r:id="rId1448" ref="C751"/>
    <hyperlink r:id="rId1449" ref="A752"/>
    <hyperlink r:id="rId1450" ref="C752"/>
    <hyperlink r:id="rId1451" location=":~:text=Mesh%2DAI-,Decentralising%20Data%20for%20Enterprise%20Agility,of%20AI%20failure%3A%20data%20inaccessibility." ref="A753"/>
    <hyperlink r:id="rId1452" ref="C753"/>
    <hyperlink r:id="rId1453" ref="A754"/>
    <hyperlink r:id="rId1454" ref="C754"/>
    <hyperlink r:id="rId1455" ref="A755"/>
    <hyperlink r:id="rId1456" ref="C755"/>
    <hyperlink r:id="rId1457" ref="A756"/>
    <hyperlink r:id="rId1458" ref="C756"/>
    <hyperlink r:id="rId1459" ref="A757"/>
    <hyperlink r:id="rId1460" ref="C757"/>
    <hyperlink r:id="rId1461" ref="A758"/>
    <hyperlink r:id="rId1462" ref="C758"/>
    <hyperlink r:id="rId1463" ref="A759"/>
    <hyperlink r:id="rId1464" ref="C759"/>
    <hyperlink r:id="rId1465" ref="A760"/>
    <hyperlink r:id="rId1466" ref="C760"/>
    <hyperlink r:id="rId1467" ref="A761"/>
    <hyperlink r:id="rId1468" ref="C761"/>
    <hyperlink r:id="rId1469" ref="A762"/>
    <hyperlink r:id="rId1470" ref="C762"/>
    <hyperlink r:id="rId1471" ref="A763"/>
    <hyperlink r:id="rId1472" ref="C763"/>
    <hyperlink r:id="rId1473" ref="A764"/>
    <hyperlink r:id="rId1474" ref="C764"/>
    <hyperlink r:id="rId1475" ref="A765"/>
    <hyperlink r:id="rId1476" ref="C765"/>
    <hyperlink r:id="rId1477" ref="A766"/>
    <hyperlink r:id="rId1478" ref="C766"/>
    <hyperlink r:id="rId1479" ref="A767"/>
    <hyperlink r:id="rId1480" ref="C767"/>
    <hyperlink r:id="rId1481" ref="A768"/>
    <hyperlink r:id="rId1482" ref="C768"/>
    <hyperlink r:id="rId1483" ref="A769"/>
    <hyperlink r:id="rId1484" ref="C769"/>
    <hyperlink r:id="rId1485" ref="A770"/>
    <hyperlink r:id="rId1486" ref="C770"/>
    <hyperlink r:id="rId1487" ref="A771"/>
    <hyperlink r:id="rId1488" ref="C771"/>
    <hyperlink r:id="rId1489" ref="A772"/>
    <hyperlink r:id="rId1490" ref="C772"/>
    <hyperlink r:id="rId1491" ref="A773"/>
    <hyperlink r:id="rId1492" ref="C773"/>
    <hyperlink r:id="rId1493" ref="A774"/>
    <hyperlink r:id="rId1494" ref="C774"/>
    <hyperlink r:id="rId1495" ref="A775"/>
    <hyperlink r:id="rId1496" ref="C775"/>
    <hyperlink r:id="rId1497" ref="A776"/>
    <hyperlink r:id="rId1498" ref="C776"/>
    <hyperlink r:id="rId1499" ref="A777"/>
    <hyperlink r:id="rId1500" ref="C777"/>
    <hyperlink r:id="rId1501" ref="A778"/>
    <hyperlink r:id="rId1502" ref="C778"/>
    <hyperlink r:id="rId1503" ref="A779"/>
    <hyperlink r:id="rId1504" ref="C779"/>
    <hyperlink r:id="rId1505" ref="A780"/>
    <hyperlink r:id="rId1506" ref="C780"/>
    <hyperlink r:id="rId1507" location=":~:text=In%20this%20video%2C%20I'll%20show%20you%20the,Known%20for%20clear%20results%20and%20honest%20reporting." ref="A781"/>
    <hyperlink r:id="rId1508" ref="C781"/>
    <hyperlink r:id="rId1509" ref="A782"/>
    <hyperlink r:id="rId1510" ref="C782"/>
    <hyperlink r:id="rId1511" ref="A783"/>
    <hyperlink r:id="rId1512" ref="C783"/>
    <hyperlink r:id="rId1513" ref="A784"/>
    <hyperlink r:id="rId1514" ref="C784"/>
    <hyperlink r:id="rId1515" ref="A785"/>
    <hyperlink r:id="rId1516" ref="C785"/>
    <hyperlink r:id="rId1517" ref="A786"/>
    <hyperlink r:id="rId1518" ref="C786"/>
  </hyperlinks>
  <drawing r:id="rId15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All'!A2:A1000)),""youtube"")
  ),
  """"
)"),"https://www.youtube.com/watch?v=5K95qPc0HJs")</f>
        <v>https://www.youtube.com/watch?v=5K95qPc0HJs</v>
      </c>
      <c r="B2" s="15" t="str">
        <f>IFERROR(__xludf.DUMMYFUNCTION("""COMPUTED_VALUE"""),"Top 10 AI Digital Marketing Agencies in UK | AI Agents Will Change Digital Marketing")</f>
        <v>Top 10 AI Digital Marketing Agencies in UK | AI Agents Will Change Digital Marketing</v>
      </c>
      <c r="C2" s="14" t="str">
        <f>IFERROR(__xludf.DUMMYFUNCTION("""COMPUTED_VALUE"""),"youtube.com")</f>
        <v>youtube.com</v>
      </c>
      <c r="D2" s="15" t="str">
        <f>IFERROR(__xludf.DUMMYFUNCTION("""COMPUTED_VALUE"""),"LISTICLE")</f>
        <v>LISTICLE</v>
      </c>
      <c r="E2" s="15" t="str">
        <f>IFERROR(__xludf.DUMMYFUNCTION("""COMPUTED_VALUE"""),"UGC")</f>
        <v>UGC</v>
      </c>
      <c r="F2" s="15" t="str">
        <f>IFERROR(__xludf.DUMMYFUNCTION("""COMPUTED_VALUE"""),"Listicle")</f>
        <v>Listicle</v>
      </c>
      <c r="G2" s="15" t="b">
        <f>IFERROR(__xludf.DUMMYFUNCTION("""COMPUTED_VALUE"""),FALSE)</f>
        <v>0</v>
      </c>
      <c r="H2" s="15" t="str">
        <f>IFERROR(__xludf.DUMMYFUNCTION("""COMPUTED_VALUE"""),"The Good Marketer, Found")</f>
        <v>The Good Marketer, Found</v>
      </c>
      <c r="I2" s="15">
        <f>IFERROR(__xludf.DUMMYFUNCTION("""COMPUTED_VALUE"""),3.0)</f>
        <v>3</v>
      </c>
      <c r="J2" s="15">
        <f>IFERROR(__xludf.DUMMYFUNCTION("""COMPUTED_VALUE"""),0.0)</f>
        <v>0</v>
      </c>
      <c r="K2" s="15">
        <f>IFERROR(__xludf.DUMMYFUNCTION("""COMPUTED_VALUE"""),1.0)</f>
        <v>1</v>
      </c>
    </row>
    <row r="3" ht="15.75" customHeight="1">
      <c r="A3" s="14" t="str">
        <f>IFERROR(__xludf.DUMMYFUNCTION("""COMPUTED_VALUE"""),"https://www.youtube.com/watch?v=fdPFLXFJlwo&amp;t=55")</f>
        <v>https://www.youtube.com/watch?v=fdPFLXFJlwo&amp;t=55</v>
      </c>
      <c r="B3" s="15" t="str">
        <f>IFERROR(__xludf.DUMMYFUNCTION("""COMPUTED_VALUE"""),"6 Best Revenue Attribution Agencies for B2B SaaS in 2026")</f>
        <v>6 Best Revenue Attribution Agencies for B2B SaaS in 2026</v>
      </c>
      <c r="C3" s="14" t="str">
        <f>IFERROR(__xludf.DUMMYFUNCTION("""COMPUTED_VALUE"""),"youtube.com")</f>
        <v>youtube.com</v>
      </c>
      <c r="D3" s="15" t="str">
        <f>IFERROR(__xludf.DUMMYFUNCTION("""COMPUTED_VALUE"""),"LISTICLE")</f>
        <v>LISTICLE</v>
      </c>
      <c r="E3" s="15" t="str">
        <f>IFERROR(__xludf.DUMMYFUNCTION("""COMPUTED_VALUE"""),"UGC")</f>
        <v>UGC</v>
      </c>
      <c r="F3" s="15" t="str">
        <f>IFERROR(__xludf.DUMMYFUNCTION("""COMPUTED_VALUE"""),"Listicle")</f>
        <v>Listicle</v>
      </c>
      <c r="G3" s="15" t="b">
        <f>IFERROR(__xludf.DUMMYFUNCTION("""COMPUTED_VALUE"""),FALSE)</f>
        <v>0</v>
      </c>
      <c r="H3" s="15" t="str">
        <f>IFERROR(__xludf.DUMMYFUNCTION("""COMPUTED_VALUE"""),"GrowthSpree, NoGood, Single Grain, Disruptive Advertising, Wpromote, Polaris")</f>
        <v>GrowthSpree, NoGood, Single Grain, Disruptive Advertising, Wpromote, Polaris</v>
      </c>
      <c r="I3" s="15">
        <f>IFERROR(__xludf.DUMMYFUNCTION("""COMPUTED_VALUE"""),3.0)</f>
        <v>3</v>
      </c>
      <c r="J3" s="15">
        <f>IFERROR(__xludf.DUMMYFUNCTION("""COMPUTED_VALUE"""),0.0)</f>
        <v>0</v>
      </c>
      <c r="K3" s="15">
        <f>IFERROR(__xludf.DUMMYFUNCTION("""COMPUTED_VALUE"""),1.0)</f>
        <v>1</v>
      </c>
    </row>
    <row r="4" ht="15.75" customHeight="1">
      <c r="A4" s="14" t="str">
        <f>IFERROR(__xludf.DUMMYFUNCTION("""COMPUTED_VALUE"""),"https://www.trendygrandad.com/blog/best-youtube-video-production-companies-in-london")</f>
        <v>https://www.trendygrandad.com/blog/best-youtube-video-production-companies-in-london</v>
      </c>
      <c r="B4" s="15" t="str">
        <f>IFERROR(__xludf.DUMMYFUNCTION("""COMPUTED_VALUE"""),"Best Youtube video production companies in London | By a UK London Video Production Company")</f>
        <v>Best Youtube video production companies in London | By a UK London Video Production Company</v>
      </c>
      <c r="C4" s="14" t="str">
        <f>IFERROR(__xludf.DUMMYFUNCTION("""COMPUTED_VALUE"""),"trendygrandad.com")</f>
        <v>trendygrandad.com</v>
      </c>
      <c r="D4" s="15" t="str">
        <f>IFERROR(__xludf.DUMMYFUNCTION("""COMPUTED_VALUE"""),"LISTICLE")</f>
        <v>LISTICLE</v>
      </c>
      <c r="E4" s="15" t="str">
        <f>IFERROR(__xludf.DUMMYFUNCTION("""COMPUTED_VALUE"""),"CORPORATE")</f>
        <v>CORPORATE</v>
      </c>
      <c r="F4" s="15" t="str">
        <f>IFERROR(__xludf.DUMMYFUNCTION("""COMPUTED_VALUE"""),"Listicle")</f>
        <v>Listicle</v>
      </c>
      <c r="G4" s="15" t="b">
        <f>IFERROR(__xludf.DUMMYFUNCTION("""COMPUTED_VALUE"""),FALSE)</f>
        <v>0</v>
      </c>
      <c r="H4" s="15"/>
      <c r="I4" s="15">
        <f>IFERROR(__xludf.DUMMYFUNCTION("""COMPUTED_VALUE"""),1.0)</f>
        <v>1</v>
      </c>
      <c r="J4" s="15">
        <f>IFERROR(__xludf.DUMMYFUNCTION("""COMPUTED_VALUE"""),0.0)</f>
        <v>0</v>
      </c>
      <c r="K4" s="15">
        <f>IFERROR(__xludf.DUMMYFUNCTION("""COMPUTED_VALUE"""),0.0)</f>
        <v>0</v>
      </c>
    </row>
    <row r="5" ht="15.75" customHeight="1">
      <c r="A5" s="14" t="str">
        <f>IFERROR(__xludf.DUMMYFUNCTION("""COMPUTED_VALUE"""),"https://www.youtube.com/watch?v=J3TiyuWqYng")</f>
        <v>https://www.youtube.com/watch?v=J3TiyuWqYng</v>
      </c>
      <c r="B5" s="15" t="str">
        <f>IFERROR(__xludf.DUMMYFUNCTION("""COMPUTED_VALUE"""),"The #1 AI Creative Strategy That Helped This Agency Scale to 2k+ Ads Per Month")</f>
        <v>The #1 AI Creative Strategy That Helped This Agency Scale to 2k+ Ads Per Month</v>
      </c>
      <c r="C5" s="14" t="str">
        <f>IFERROR(__xludf.DUMMYFUNCTION("""COMPUTED_VALUE"""),"youtube.com")</f>
        <v>youtube.com</v>
      </c>
      <c r="D5" s="15" t="str">
        <f>IFERROR(__xludf.DUMMYFUNCTION("""COMPUTED_VALUE"""),"ARTICLE")</f>
        <v>ARTICLE</v>
      </c>
      <c r="E5" s="15" t="str">
        <f>IFERROR(__xludf.DUMMYFUNCTION("""COMPUTED_VALUE"""),"UGC")</f>
        <v>UGC</v>
      </c>
      <c r="F5" s="15" t="str">
        <f>IFERROR(__xludf.DUMMYFUNCTION("""COMPUTED_VALUE"""),"Article")</f>
        <v>Article</v>
      </c>
      <c r="G5" s="15" t="b">
        <f>IFERROR(__xludf.DUMMYFUNCTION("""COMPUTED_VALUE"""),FALSE)</f>
        <v>0</v>
      </c>
      <c r="H5" s="15" t="str">
        <f>IFERROR(__xludf.DUMMYFUNCTION("""COMPUTED_VALUE"""),"Huge, Found, Push, Impression, Measured")</f>
        <v>Huge, Found, Push, Impression, Measured</v>
      </c>
      <c r="I5" s="15">
        <f>IFERROR(__xludf.DUMMYFUNCTION("""COMPUTED_VALUE"""),1.0)</f>
        <v>1</v>
      </c>
      <c r="J5" s="15">
        <f>IFERROR(__xludf.DUMMYFUNCTION("""COMPUTED_VALUE"""),0.0)</f>
        <v>0</v>
      </c>
      <c r="K5" s="15">
        <f>IFERROR(__xludf.DUMMYFUNCTION("""COMPUTED_VALUE"""),2.0)</f>
        <v>2</v>
      </c>
    </row>
    <row r="6" ht="15.75" customHeight="1">
      <c r="A6" s="14" t="str">
        <f>IFERROR(__xludf.DUMMYFUNCTION("""COMPUTED_VALUE"""),"https://www.youtube.com/watch?v=KjRgCP-x_Dw")</f>
        <v>https://www.youtube.com/watch?v=KjRgCP-x_Dw</v>
      </c>
      <c r="B6" s="15" t="str">
        <f>IFERROR(__xludf.DUMMYFUNCTION("""COMPUTED_VALUE"""),"Creative Production Operations on a Global Scale: An Agency Perspective")</f>
        <v>Creative Production Operations on a Global Scale: An Agency Perspective</v>
      </c>
      <c r="C6" s="14" t="str">
        <f>IFERROR(__xludf.DUMMYFUNCTION("""COMPUTED_VALUE"""),"youtube.com")</f>
        <v>youtube.com</v>
      </c>
      <c r="D6" s="15" t="str">
        <f>IFERROR(__xludf.DUMMYFUNCTION("""COMPUTED_VALUE"""),"ARTICLE")</f>
        <v>ARTICLE</v>
      </c>
      <c r="E6" s="15" t="str">
        <f>IFERROR(__xludf.DUMMYFUNCTION("""COMPUTED_VALUE"""),"UGC")</f>
        <v>UGC</v>
      </c>
      <c r="F6" s="15" t="str">
        <f>IFERROR(__xludf.DUMMYFUNCTION("""COMPUTED_VALUE"""),"Article")</f>
        <v>Article</v>
      </c>
      <c r="G6" s="15" t="b">
        <f>IFERROR(__xludf.DUMMYFUNCTION("""COMPUTED_VALUE"""),FALSE)</f>
        <v>0</v>
      </c>
      <c r="H6" s="15" t="str">
        <f>IFERROR(__xludf.DUMMYFUNCTION("""COMPUTED_VALUE"""),"WPP, Found")</f>
        <v>WPP, Found</v>
      </c>
      <c r="I6" s="15">
        <f>IFERROR(__xludf.DUMMYFUNCTION("""COMPUTED_VALUE"""),1.0)</f>
        <v>1</v>
      </c>
      <c r="J6" s="15">
        <f>IFERROR(__xludf.DUMMYFUNCTION("""COMPUTED_VALUE"""),0.0)</f>
        <v>0</v>
      </c>
      <c r="K6" s="15">
        <f>IFERROR(__xludf.DUMMYFUNCTION("""COMPUTED_VALUE"""),0.0)</f>
        <v>0</v>
      </c>
    </row>
    <row r="7" ht="15.75" customHeight="1">
      <c r="A7" s="14" t="str">
        <f>IFERROR(__xludf.DUMMYFUNCTION("""COMPUTED_VALUE"""),"https://www.youtube.com/watch?v=OR58Odpst7Q")</f>
        <v>https://www.youtube.com/watch?v=OR58Odpst7Q</v>
      </c>
      <c r="B7" s="15" t="str">
        <f>IFERROR(__xludf.DUMMYFUNCTION("""COMPUTED_VALUE"""),"Top 12 Digital Marketing Agencies to Hire in 2026")</f>
        <v>Top 12 Digital Marketing Agencies to Hire in 2026</v>
      </c>
      <c r="C7" s="14" t="str">
        <f>IFERROR(__xludf.DUMMYFUNCTION("""COMPUTED_VALUE"""),"youtube.com")</f>
        <v>youtube.com</v>
      </c>
      <c r="D7" s="15" t="str">
        <f>IFERROR(__xludf.DUMMYFUNCTION("""COMPUTED_VALUE"""),"LISTICLE")</f>
        <v>LISTICLE</v>
      </c>
      <c r="E7" s="15" t="str">
        <f>IFERROR(__xludf.DUMMYFUNCTION("""COMPUTED_VALUE"""),"UGC")</f>
        <v>UGC</v>
      </c>
      <c r="F7" s="15" t="str">
        <f>IFERROR(__xludf.DUMMYFUNCTION("""COMPUTED_VALUE"""),"Listicle")</f>
        <v>Listicle</v>
      </c>
      <c r="G7" s="15" t="b">
        <f>IFERROR(__xludf.DUMMYFUNCTION("""COMPUTED_VALUE"""),FALSE)</f>
        <v>0</v>
      </c>
      <c r="H7" s="15" t="str">
        <f>IFERROR(__xludf.DUMMYFUNCTION("""COMPUTED_VALUE"""),"Disruptive Advertising")</f>
        <v>Disruptive Advertising</v>
      </c>
      <c r="I7" s="15">
        <f>IFERROR(__xludf.DUMMYFUNCTION("""COMPUTED_VALUE"""),1.0)</f>
        <v>1</v>
      </c>
      <c r="J7" s="15">
        <f>IFERROR(__xludf.DUMMYFUNCTION("""COMPUTED_VALUE"""),0.0)</f>
        <v>0</v>
      </c>
      <c r="K7" s="15">
        <f>IFERROR(__xludf.DUMMYFUNCTION("""COMPUTED_VALUE"""),1.0)</f>
        <v>1</v>
      </c>
    </row>
    <row r="8" ht="15.75" customHeight="1">
      <c r="A8" s="14" t="str">
        <f>IFERROR(__xludf.DUMMYFUNCTION("""COMPUTED_VALUE"""),"https://www.youtube.com/watch?v=XGLA7lE-TLo#:~:text=In%20this%20video%2C%20I'll%20show%20you%20the,Known%20for%20clear%20results%20and%20honest%20reporting.")</f>
        <v>https://www.youtube.com/watch?v=XGLA7lE-TLo#:~:text=In%20this%20video%2C%20I'll%20show%20you%20the,Known%20for%20clear%20results%20and%20honest%20reporting.</v>
      </c>
      <c r="B8" s="15" t="str">
        <f>IFERROR(__xludf.DUMMYFUNCTION("""COMPUTED_VALUE"""),"15 Best AI-Powered Digital Marketing Companies in UK | Turn Your Small Business Into a Brand")</f>
        <v>15 Best AI-Powered Digital Marketing Companies in UK | Turn Your Small Business Into a Brand</v>
      </c>
      <c r="C8" s="14" t="str">
        <f>IFERROR(__xludf.DUMMYFUNCTION("""COMPUTED_VALUE"""),"youtube.com")</f>
        <v>youtube.com</v>
      </c>
      <c r="D8" s="15" t="str">
        <f>IFERROR(__xludf.DUMMYFUNCTION("""COMPUTED_VALUE"""),"OTHER")</f>
        <v>OTHER</v>
      </c>
      <c r="E8" s="15" t="str">
        <f>IFERROR(__xludf.DUMMYFUNCTION("""COMPUTED_VALUE"""),"UGC")</f>
        <v>UGC</v>
      </c>
      <c r="F8" s="15" t="str">
        <f>IFERROR(__xludf.DUMMYFUNCTION("""COMPUTED_VALUE"""),"Other")</f>
        <v>Other</v>
      </c>
      <c r="G8" s="15" t="b">
        <f>IFERROR(__xludf.DUMMYFUNCTION("""COMPUTED_VALUE"""),FALSE)</f>
        <v>0</v>
      </c>
      <c r="H8" s="15" t="str">
        <f>IFERROR(__xludf.DUMMYFUNCTION("""COMPUTED_VALUE"""),"The Good Marketer, Propeller, Soap Media")</f>
        <v>The Good Marketer, Propeller, Soap Media</v>
      </c>
      <c r="I8" s="15">
        <f>IFERROR(__xludf.DUMMYFUNCTION("""COMPUTED_VALUE"""),1.0)</f>
        <v>1</v>
      </c>
      <c r="J8" s="15">
        <f>IFERROR(__xludf.DUMMYFUNCTION("""COMPUTED_VALUE"""),0.0)</f>
        <v>0</v>
      </c>
      <c r="K8" s="15">
        <f>IFERROR(__xludf.DUMMYFUNCTION("""COMPUTED_VALUE"""),1.0)</f>
        <v>1</v>
      </c>
    </row>
    <row r="9" ht="15.75" customHeight="1">
      <c r="A9" s="14" t="str">
        <f>IFERROR(__xludf.DUMMYFUNCTION("""COMPUTED_VALUE"""),"https://www.youtube.com/watch?v=dtlZTULGX4A")</f>
        <v>https://www.youtube.com/watch?v=dtlZTULGX4A</v>
      </c>
      <c r="B9" s="15" t="str">
        <f>IFERROR(__xludf.DUMMYFUNCTION("""COMPUTED_VALUE"""),"GEO Keyword Research and Tracking AI Search Results For Your Main Keywords")</f>
        <v>GEO Keyword Research and Tracking AI Search Results For Your Main Keywords</v>
      </c>
      <c r="C9" s="14" t="str">
        <f>IFERROR(__xludf.DUMMYFUNCTION("""COMPUTED_VALUE"""),"youtube.com")</f>
        <v>youtube.com</v>
      </c>
      <c r="D9" s="15" t="str">
        <f>IFERROR(__xludf.DUMMYFUNCTION("""COMPUTED_VALUE"""),"HOW_TO_GUIDE")</f>
        <v>HOW_TO_GUIDE</v>
      </c>
      <c r="E9" s="15" t="str">
        <f>IFERROR(__xludf.DUMMYFUNCTION("""COMPUTED_VALUE"""),"UGC")</f>
        <v>UGC</v>
      </c>
      <c r="F9" s="15" t="str">
        <f>IFERROR(__xludf.DUMMYFUNCTION("""COMPUTED_VALUE"""),"How-To Guide")</f>
        <v>How-To Guide</v>
      </c>
      <c r="G9" s="15" t="b">
        <f>IFERROR(__xludf.DUMMYFUNCTION("""COMPUTED_VALUE"""),FALSE)</f>
        <v>0</v>
      </c>
      <c r="H9" s="15" t="str">
        <f>IFERROR(__xludf.DUMMYFUNCTION("""COMPUTED_VALUE"""),"Found, Huge")</f>
        <v>Found, Huge</v>
      </c>
      <c r="I9" s="15">
        <f>IFERROR(__xludf.DUMMYFUNCTION("""COMPUTED_VALUE"""),1.0)</f>
        <v>1</v>
      </c>
      <c r="J9" s="15">
        <f>IFERROR(__xludf.DUMMYFUNCTION("""COMPUTED_VALUE"""),0.0)</f>
        <v>0</v>
      </c>
      <c r="K9" s="15">
        <f>IFERROR(__xludf.DUMMYFUNCTION("""COMPUTED_VALUE"""),1.0)</f>
        <v>1</v>
      </c>
    </row>
    <row r="10" ht="15.75" customHeight="1">
      <c r="A10" s="14" t="str">
        <f>IFERROR(__xludf.DUMMYFUNCTION("""COMPUTED_VALUE"""),"https://www.youtube.com/watch?v=osffLDnwyR8")</f>
        <v>https://www.youtube.com/watch?v=osffLDnwyR8</v>
      </c>
      <c r="B10" s="15" t="str">
        <f>IFERROR(__xludf.DUMMYFUNCTION("""COMPUTED_VALUE"""),"Attribution vs. MMM: What Really Works? | Stefan Hock (About You)")</f>
        <v>Attribution vs. MMM: What Really Works? | Stefan Hock (About You)</v>
      </c>
      <c r="C10" s="14" t="str">
        <f>IFERROR(__xludf.DUMMYFUNCTION("""COMPUTED_VALUE"""),"youtube.com")</f>
        <v>youtube.com</v>
      </c>
      <c r="D10" s="15" t="str">
        <f>IFERROR(__xludf.DUMMYFUNCTION("""COMPUTED_VALUE"""),"ARTICLE")</f>
        <v>ARTICLE</v>
      </c>
      <c r="E10" s="15" t="str">
        <f>IFERROR(__xludf.DUMMYFUNCTION("""COMPUTED_VALUE"""),"UGC")</f>
        <v>UGC</v>
      </c>
      <c r="F10" s="15" t="str">
        <f>IFERROR(__xludf.DUMMYFUNCTION("""COMPUTED_VALUE"""),"Article")</f>
        <v>Article</v>
      </c>
      <c r="G10" s="15" t="b">
        <f>IFERROR(__xludf.DUMMYFUNCTION("""COMPUTED_VALUE"""),FALSE)</f>
        <v>0</v>
      </c>
      <c r="H10" s="15" t="str">
        <f>IFERROR(__xludf.DUMMYFUNCTION("""COMPUTED_VALUE"""),"Huge, Impression, Push")</f>
        <v>Huge, Impression, Push</v>
      </c>
      <c r="I10" s="15">
        <f>IFERROR(__xludf.DUMMYFUNCTION("""COMPUTED_VALUE"""),1.0)</f>
        <v>1</v>
      </c>
      <c r="J10" s="15">
        <f>IFERROR(__xludf.DUMMYFUNCTION("""COMPUTED_VALUE"""),0.0)</f>
        <v>0</v>
      </c>
      <c r="K10" s="15">
        <f>IFERROR(__xludf.DUMMYFUNCTION("""COMPUTED_VALUE"""),0.0)</f>
        <v>0</v>
      </c>
    </row>
    <row r="11" ht="15.75" customHeight="1">
      <c r="A11" s="14" t="str">
        <f>IFERROR(__xludf.DUMMYFUNCTION("""COMPUTED_VALUE"""),"https://www.youtube.com/watch?v=qnrNaTO7nCs")</f>
        <v>https://www.youtube.com/watch?v=qnrNaTO7nCs</v>
      </c>
      <c r="B11" s="15" t="str">
        <f>IFERROR(__xludf.DUMMYFUNCTION("""COMPUTED_VALUE"""),"Marketing Attribution at Lynchpin")</f>
        <v>Marketing Attribution at Lynchpin</v>
      </c>
      <c r="C11" s="14" t="str">
        <f>IFERROR(__xludf.DUMMYFUNCTION("""COMPUTED_VALUE"""),"youtube.com")</f>
        <v>youtube.com</v>
      </c>
      <c r="D11" s="15" t="str">
        <f>IFERROR(__xludf.DUMMYFUNCTION("""COMPUTED_VALUE"""),"OTHER")</f>
        <v>OTHER</v>
      </c>
      <c r="E11" s="15" t="str">
        <f>IFERROR(__xludf.DUMMYFUNCTION("""COMPUTED_VALUE"""),"UGC")</f>
        <v>UGC</v>
      </c>
      <c r="F11" s="15" t="str">
        <f>IFERROR(__xludf.DUMMYFUNCTION("""COMPUTED_VALUE"""),"Other")</f>
        <v>Other</v>
      </c>
      <c r="G11" s="15" t="b">
        <f>IFERROR(__xludf.DUMMYFUNCTION("""COMPUTED_VALUE"""),FALSE)</f>
        <v>0</v>
      </c>
      <c r="H11" s="15"/>
      <c r="I11" s="15">
        <f>IFERROR(__xludf.DUMMYFUNCTION("""COMPUTED_VALUE"""),1.0)</f>
        <v>1</v>
      </c>
      <c r="J11" s="15">
        <f>IFERROR(__xludf.DUMMYFUNCTION("""COMPUTED_VALUE"""),0.0)</f>
        <v>0</v>
      </c>
      <c r="K11" s="15">
        <f>IFERROR(__xludf.DUMMYFUNCTION("""COMPUTED_VALUE"""),1.0)</f>
        <v>1</v>
      </c>
    </row>
    <row r="12" ht="15.75" customHeight="1">
      <c r="A12" s="14" t="str">
        <f>IFERROR(__xludf.DUMMYFUNCTION("""COMPUTED_VALUE"""),"https://www.youtube.com/watch?v=wfXrhCjh9mA")</f>
        <v>https://www.youtube.com/watch?v=wfXrhCjh9mA</v>
      </c>
      <c r="B12" s="15" t="str">
        <f>IFERROR(__xludf.DUMMYFUNCTION("""COMPUTED_VALUE"""),"Top AI SEO Agencies in the UK now ‑ 3i SEO")</f>
        <v>Top AI SEO Agencies in the UK now ‑ 3i SEO</v>
      </c>
      <c r="C12" s="14" t="str">
        <f>IFERROR(__xludf.DUMMYFUNCTION("""COMPUTED_VALUE"""),"youtube.com")</f>
        <v>youtube.com</v>
      </c>
      <c r="D12" s="15" t="str">
        <f>IFERROR(__xludf.DUMMYFUNCTION("""COMPUTED_VALUE"""),"LISTICLE")</f>
        <v>LISTICLE</v>
      </c>
      <c r="E12" s="15" t="str">
        <f>IFERROR(__xludf.DUMMYFUNCTION("""COMPUTED_VALUE"""),"UGC")</f>
        <v>UGC</v>
      </c>
      <c r="F12" s="15" t="str">
        <f>IFERROR(__xludf.DUMMYFUNCTION("""COMPUTED_VALUE"""),"Listicle")</f>
        <v>Listicle</v>
      </c>
      <c r="G12" s="15" t="b">
        <f>IFERROR(__xludf.DUMMYFUNCTION("""COMPUTED_VALUE"""),FALSE)</f>
        <v>0</v>
      </c>
      <c r="H12" s="15" t="str">
        <f>IFERROR(__xludf.DUMMYFUNCTION("""COMPUTED_VALUE"""),"Rank4AI, ClickSlice, Found, Varn")</f>
        <v>Rank4AI, ClickSlice, Found, Varn</v>
      </c>
      <c r="I12" s="15">
        <f>IFERROR(__xludf.DUMMYFUNCTION("""COMPUTED_VALUE"""),1.0)</f>
        <v>1</v>
      </c>
      <c r="J12" s="15">
        <f>IFERROR(__xludf.DUMMYFUNCTION("""COMPUTED_VALUE"""),0.0)</f>
        <v>0</v>
      </c>
      <c r="K12" s="15">
        <f>IFERROR(__xludf.DUMMYFUNCTION("""COMPUTED_VALUE"""),1.0)</f>
        <v>1</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location=":~:text=In%20this%20video%2C%20I'll%20show%20you%20the,Known%20for%20clear%20results%20and%20honest%20reporting." ref="A8"/>
    <hyperlink r:id="rId13" ref="C8"/>
    <hyperlink r:id="rId14" ref="A9"/>
    <hyperlink r:id="rId15" ref="C9"/>
    <hyperlink r:id="rId16" ref="A10"/>
    <hyperlink r:id="rId17" ref="C10"/>
    <hyperlink r:id="rId18" ref="A11"/>
    <hyperlink r:id="rId19" ref="C11"/>
    <hyperlink r:id="rId20" ref="A12"/>
    <hyperlink r:id="rId21" ref="C12"/>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5" t="str">
        <f>IFERROR(__xludf.DUMMYFUNCTION("IFERROR(
  FILTER(
    'PEEC - URLs - All'!A2:K1000,
    REGEXMATCH(LOWER(TO_TEXT('PEEC - URLs - All'!A2:A1000)),""incubeta"")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5" t="str">
        <f>IFERROR(__xludf.DUMMYFUNCTION("IFERROR(
  FILTER(
    'PEEC - URLs - All'!A2:K1000,
    REGEXMATCH(LOWER(TO_TEXT('PEEC - URLs - All'!A2:A1000)),""instagram"")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All'!A2:A1000)),""sortlist"")
  ),
  """"
)"),"https://www.sortlist.co.uk/s/ai-marketing/united-kingdom-gb")</f>
        <v>https://www.sortlist.co.uk/s/ai-marketing/united-kingdom-gb</v>
      </c>
      <c r="B2" s="15" t="str">
        <f>IFERROR(__xludf.DUMMYFUNCTION("""COMPUTED_VALUE"""),"10+ Top AI Marketing Companies in the UK - 2026 Reviews")</f>
        <v>10+ Top AI Marketing Companies in the UK - 2026 Reviews</v>
      </c>
      <c r="C2" s="14" t="str">
        <f>IFERROR(__xludf.DUMMYFUNCTION("""COMPUTED_VALUE"""),"sortlist.co.uk")</f>
        <v>sortlist.co.uk</v>
      </c>
      <c r="D2" s="15" t="str">
        <f>IFERROR(__xludf.DUMMYFUNCTION("""COMPUTED_VALUE"""),"CATEGORY_PAGE")</f>
        <v>CATEGORY_PAGE</v>
      </c>
      <c r="E2" s="15" t="str">
        <f>IFERROR(__xludf.DUMMYFUNCTION("""COMPUTED_VALUE"""),"REFERENCE")</f>
        <v>REFERENCE</v>
      </c>
      <c r="F2" s="15" t="str">
        <f>IFERROR(__xludf.DUMMYFUNCTION("""COMPUTED_VALUE"""),"Category Page")</f>
        <v>Category Page</v>
      </c>
      <c r="G2" s="15" t="b">
        <f>IFERROR(__xludf.DUMMYFUNCTION("""COMPUTED_VALUE"""),FALSE)</f>
        <v>0</v>
      </c>
      <c r="H2" s="15"/>
      <c r="I2" s="15">
        <f>IFERROR(__xludf.DUMMYFUNCTION("""COMPUTED_VALUE"""),43.0)</f>
        <v>43</v>
      </c>
      <c r="J2" s="15">
        <f>IFERROR(__xludf.DUMMYFUNCTION("""COMPUTED_VALUE"""),0.04)</f>
        <v>0.04</v>
      </c>
      <c r="K2" s="15">
        <f>IFERROR(__xludf.DUMMYFUNCTION("""COMPUTED_VALUE"""),0.51)</f>
        <v>0.51</v>
      </c>
    </row>
    <row r="3" ht="15.75" customHeight="1">
      <c r="A3" s="14" t="str">
        <f>IFERROR(__xludf.DUMMYFUNCTION("""COMPUTED_VALUE"""),"https://www.sortlist.co.uk/s/display-advertising/united-kingdom-gb")</f>
        <v>https://www.sortlist.co.uk/s/display-advertising/united-kingdom-gb</v>
      </c>
      <c r="B3" s="15" t="str">
        <f>IFERROR(__xludf.DUMMYFUNCTION("""COMPUTED_VALUE"""),"The 10 Best Display Advertising Agencies in The United Kingdom - 2026 Reviews")</f>
        <v>The 10 Best Display Advertising Agencies in The United Kingdom - 2026 Reviews</v>
      </c>
      <c r="C3" s="14" t="str">
        <f>IFERROR(__xludf.DUMMYFUNCTION("""COMPUTED_VALUE"""),"sortlist.co.uk")</f>
        <v>sortlist.co.uk</v>
      </c>
      <c r="D3" s="15" t="str">
        <f>IFERROR(__xludf.DUMMYFUNCTION("""COMPUTED_VALUE"""),"CATEGORY_PAGE")</f>
        <v>CATEGORY_PAGE</v>
      </c>
      <c r="E3" s="15" t="str">
        <f>IFERROR(__xludf.DUMMYFUNCTION("""COMPUTED_VALUE"""),"REFERENCE")</f>
        <v>REFERENCE</v>
      </c>
      <c r="F3" s="15" t="str">
        <f>IFERROR(__xludf.DUMMYFUNCTION("""COMPUTED_VALUE"""),"Category Page")</f>
        <v>Category Page</v>
      </c>
      <c r="G3" s="15" t="b">
        <f>IFERROR(__xludf.DUMMYFUNCTION("""COMPUTED_VALUE"""),FALSE)</f>
        <v>0</v>
      </c>
      <c r="H3" s="15" t="str">
        <f>IFERROR(__xludf.DUMMYFUNCTION("""COMPUTED_VALUE"""),"Found, Momentum, M3.agency, Ninja Promo, Impression")</f>
        <v>Found, Momentum, M3.agency, Ninja Promo, Impression</v>
      </c>
      <c r="I3" s="15">
        <f>IFERROR(__xludf.DUMMYFUNCTION("""COMPUTED_VALUE"""),38.0)</f>
        <v>38</v>
      </c>
      <c r="J3" s="15">
        <f>IFERROR(__xludf.DUMMYFUNCTION("""COMPUTED_VALUE"""),0.04)</f>
        <v>0.04</v>
      </c>
      <c r="K3" s="15">
        <f>IFERROR(__xludf.DUMMYFUNCTION("""COMPUTED_VALUE"""),0.66)</f>
        <v>0.66</v>
      </c>
    </row>
    <row r="4" ht="15.75" customHeight="1">
      <c r="A4" s="14" t="str">
        <f>IFERROR(__xludf.DUMMYFUNCTION("""COMPUTED_VALUE"""),"https://www.sortlist.co.uk/s/marketing-analytics/united-kingdom-gb")</f>
        <v>https://www.sortlist.co.uk/s/marketing-analytics/united-kingdom-gb</v>
      </c>
      <c r="B4" s="15" t="str">
        <f>IFERROR(__xludf.DUMMYFUNCTION("""COMPUTED_VALUE"""),"The 10 Best Marketing Analytics Companies in The United Kingdom - 2026 Reviews")</f>
        <v>The 10 Best Marketing Analytics Companies in The United Kingdom - 2026 Reviews</v>
      </c>
      <c r="C4" s="14" t="str">
        <f>IFERROR(__xludf.DUMMYFUNCTION("""COMPUTED_VALUE"""),"sortlist.co.uk")</f>
        <v>sortlist.co.uk</v>
      </c>
      <c r="D4" s="15" t="str">
        <f>IFERROR(__xludf.DUMMYFUNCTION("""COMPUTED_VALUE"""),"CATEGORY_PAGE")</f>
        <v>CATEGORY_PAGE</v>
      </c>
      <c r="E4" s="15" t="str">
        <f>IFERROR(__xludf.DUMMYFUNCTION("""COMPUTED_VALUE"""),"REFERENCE")</f>
        <v>REFERENCE</v>
      </c>
      <c r="F4" s="15" t="str">
        <f>IFERROR(__xludf.DUMMYFUNCTION("""COMPUTED_VALUE"""),"Category Page")</f>
        <v>Category Page</v>
      </c>
      <c r="G4" s="15" t="b">
        <f>IFERROR(__xludf.DUMMYFUNCTION("""COMPUTED_VALUE"""),FALSE)</f>
        <v>0</v>
      </c>
      <c r="H4" s="15" t="str">
        <f>IFERROR(__xludf.DUMMYFUNCTION("""COMPUTED_VALUE"""),"McKinsey &amp; Company, Momentum, M3.agency, Found, Ninja Promo, Bird Marketing")</f>
        <v>McKinsey &amp; Company, Momentum, M3.agency, Found, Ninja Promo, Bird Marketing</v>
      </c>
      <c r="I4" s="15">
        <f>IFERROR(__xludf.DUMMYFUNCTION("""COMPUTED_VALUE"""),38.0)</f>
        <v>38</v>
      </c>
      <c r="J4" s="15">
        <f>IFERROR(__xludf.DUMMYFUNCTION("""COMPUTED_VALUE"""),0.04)</f>
        <v>0.04</v>
      </c>
      <c r="K4" s="15">
        <f>IFERROR(__xludf.DUMMYFUNCTION("""COMPUTED_VALUE"""),0.61)</f>
        <v>0.61</v>
      </c>
    </row>
    <row r="5" ht="15.75" customHeight="1">
      <c r="A5" s="14" t="str">
        <f>IFERROR(__xludf.DUMMYFUNCTION("""COMPUTED_VALUE"""),"https://www.sortlist.co.uk/s/marketing-analytics/london-england-gb")</f>
        <v>https://www.sortlist.co.uk/s/marketing-analytics/london-england-gb</v>
      </c>
      <c r="B5" s="15" t="str">
        <f>IFERROR(__xludf.DUMMYFUNCTION("""COMPUTED_VALUE"""),"The 10 Best Marketing Analytics Companies in London - 2026 Reviews")</f>
        <v>The 10 Best Marketing Analytics Companies in London - 2026 Reviews</v>
      </c>
      <c r="C5" s="14" t="str">
        <f>IFERROR(__xludf.DUMMYFUNCTION("""COMPUTED_VALUE"""),"sortlist.co.uk")</f>
        <v>sortlist.co.uk</v>
      </c>
      <c r="D5" s="15" t="str">
        <f>IFERROR(__xludf.DUMMYFUNCTION("""COMPUTED_VALUE"""),"LISTICLE")</f>
        <v>LISTICLE</v>
      </c>
      <c r="E5" s="15" t="str">
        <f>IFERROR(__xludf.DUMMYFUNCTION("""COMPUTED_VALUE"""),"REFERENCE")</f>
        <v>REFERENCE</v>
      </c>
      <c r="F5" s="15" t="str">
        <f>IFERROR(__xludf.DUMMYFUNCTION("""COMPUTED_VALUE"""),"Listicle")</f>
        <v>Listicle</v>
      </c>
      <c r="G5" s="15" t="b">
        <f>IFERROR(__xludf.DUMMYFUNCTION("""COMPUTED_VALUE"""),FALSE)</f>
        <v>0</v>
      </c>
      <c r="H5" s="15" t="str">
        <f>IFERROR(__xludf.DUMMYFUNCTION("""COMPUTED_VALUE"""),"Momentum, M3.agency, Whitehat, McKinsey &amp; Company, Found")</f>
        <v>Momentum, M3.agency, Whitehat, McKinsey &amp; Company, Found</v>
      </c>
      <c r="I5" s="15">
        <f>IFERROR(__xludf.DUMMYFUNCTION("""COMPUTED_VALUE"""),31.0)</f>
        <v>31</v>
      </c>
      <c r="J5" s="15">
        <f>IFERROR(__xludf.DUMMYFUNCTION("""COMPUTED_VALUE"""),0.03)</f>
        <v>0.03</v>
      </c>
      <c r="K5" s="15">
        <f>IFERROR(__xludf.DUMMYFUNCTION("""COMPUTED_VALUE"""),0.1)</f>
        <v>0.1</v>
      </c>
    </row>
    <row r="6" ht="15.75" customHeight="1">
      <c r="A6" s="14" t="str">
        <f>IFERROR(__xludf.DUMMYFUNCTION("""COMPUTED_VALUE"""),"https://www.sortlist.co.uk/s/paid-media/london-england-gb")</f>
        <v>https://www.sortlist.co.uk/s/paid-media/london-england-gb</v>
      </c>
      <c r="B6" s="15" t="str">
        <f>IFERROR(__xludf.DUMMYFUNCTION("""COMPUTED_VALUE"""),"The 10 Best Paid Media Agencies in London - 2026 Reviews")</f>
        <v>The 10 Best Paid Media Agencies in London - 2026 Reviews</v>
      </c>
      <c r="C6" s="14" t="str">
        <f>IFERROR(__xludf.DUMMYFUNCTION("""COMPUTED_VALUE"""),"sortlist.co.uk")</f>
        <v>sortlist.co.uk</v>
      </c>
      <c r="D6" s="15" t="str">
        <f>IFERROR(__xludf.DUMMYFUNCTION("""COMPUTED_VALUE"""),"CATEGORY_PAGE")</f>
        <v>CATEGORY_PAGE</v>
      </c>
      <c r="E6" s="15" t="str">
        <f>IFERROR(__xludf.DUMMYFUNCTION("""COMPUTED_VALUE"""),"REFERENCE")</f>
        <v>REFERENCE</v>
      </c>
      <c r="F6" s="15" t="str">
        <f>IFERROR(__xludf.DUMMYFUNCTION("""COMPUTED_VALUE"""),"Category Page")</f>
        <v>Category Page</v>
      </c>
      <c r="G6" s="15" t="b">
        <f>IFERROR(__xludf.DUMMYFUNCTION("""COMPUTED_VALUE"""),FALSE)</f>
        <v>0</v>
      </c>
      <c r="H6" s="15" t="str">
        <f>IFERROR(__xludf.DUMMYFUNCTION("""COMPUTED_VALUE"""),"Push, Triple Whale, Northbeam, Whitehat, Found")</f>
        <v>Push, Triple Whale, Northbeam, Whitehat, Found</v>
      </c>
      <c r="I6" s="15">
        <f>IFERROR(__xludf.DUMMYFUNCTION("""COMPUTED_VALUE"""),27.0)</f>
        <v>27</v>
      </c>
      <c r="J6" s="15">
        <f>IFERROR(__xludf.DUMMYFUNCTION("""COMPUTED_VALUE"""),0.03)</f>
        <v>0.03</v>
      </c>
      <c r="K6" s="15">
        <f>IFERROR(__xludf.DUMMYFUNCTION("""COMPUTED_VALUE"""),0.26)</f>
        <v>0.26</v>
      </c>
    </row>
    <row r="7" ht="15.75" customHeight="1">
      <c r="A7" s="14" t="str">
        <f>IFERROR(__xludf.DUMMYFUNCTION("""COMPUTED_VALUE"""),"https://www.sortlist.co.uk/s/performance-marketing/united-kingdom-gb")</f>
        <v>https://www.sortlist.co.uk/s/performance-marketing/united-kingdom-gb</v>
      </c>
      <c r="B7" s="15" t="str">
        <f>IFERROR(__xludf.DUMMYFUNCTION("""COMPUTED_VALUE"""),"The 10 Best Performance Marketing Agencies in The United Kingdom - 2026 Reviews")</f>
        <v>The 10 Best Performance Marketing Agencies in The United Kingdom - 2026 Reviews</v>
      </c>
      <c r="C7" s="14" t="str">
        <f>IFERROR(__xludf.DUMMYFUNCTION("""COMPUTED_VALUE"""),"sortlist.co.uk")</f>
        <v>sortlist.co.uk</v>
      </c>
      <c r="D7" s="15" t="str">
        <f>IFERROR(__xludf.DUMMYFUNCTION("""COMPUTED_VALUE"""),"CATEGORY_PAGE")</f>
        <v>CATEGORY_PAGE</v>
      </c>
      <c r="E7" s="15" t="str">
        <f>IFERROR(__xludf.DUMMYFUNCTION("""COMPUTED_VALUE"""),"REFERENCE")</f>
        <v>REFERENCE</v>
      </c>
      <c r="F7" s="15" t="str">
        <f>IFERROR(__xludf.DUMMYFUNCTION("""COMPUTED_VALUE"""),"Category Page")</f>
        <v>Category Page</v>
      </c>
      <c r="G7" s="15" t="b">
        <f>IFERROR(__xludf.DUMMYFUNCTION("""COMPUTED_VALUE"""),FALSE)</f>
        <v>0</v>
      </c>
      <c r="H7" s="15" t="str">
        <f>IFERROR(__xludf.DUMMYFUNCTION("""COMPUTED_VALUE"""),"Momentum, M3.agency, Found, McKinsey &amp; Company, Push")</f>
        <v>Momentum, M3.agency, Found, McKinsey &amp; Company, Push</v>
      </c>
      <c r="I7" s="15">
        <f>IFERROR(__xludf.DUMMYFUNCTION("""COMPUTED_VALUE"""),23.0)</f>
        <v>23</v>
      </c>
      <c r="J7" s="15">
        <f>IFERROR(__xludf.DUMMYFUNCTION("""COMPUTED_VALUE"""),0.02)</f>
        <v>0.02</v>
      </c>
      <c r="K7" s="15">
        <f>IFERROR(__xludf.DUMMYFUNCTION("""COMPUTED_VALUE"""),0.13)</f>
        <v>0.13</v>
      </c>
    </row>
    <row r="8" ht="15.75" customHeight="1">
      <c r="A8" s="14" t="str">
        <f>IFERROR(__xludf.DUMMYFUNCTION("""COMPUTED_VALUE"""),"https://www.sortlist.co.uk/s/display-advertising/england-england-gb")</f>
        <v>https://www.sortlist.co.uk/s/display-advertising/england-england-gb</v>
      </c>
      <c r="B8" s="15" t="str">
        <f>IFERROR(__xludf.DUMMYFUNCTION("""COMPUTED_VALUE"""),"The 10 Best Display Advertising Agencies in England - 2026 Reviews")</f>
        <v>The 10 Best Display Advertising Agencies in England - 2026 Reviews</v>
      </c>
      <c r="C8" s="14" t="str">
        <f>IFERROR(__xludf.DUMMYFUNCTION("""COMPUTED_VALUE"""),"sortlist.co.uk")</f>
        <v>sortlist.co.uk</v>
      </c>
      <c r="D8" s="15" t="str">
        <f>IFERROR(__xludf.DUMMYFUNCTION("""COMPUTED_VALUE"""),"CATEGORY_PAGE")</f>
        <v>CATEGORY_PAGE</v>
      </c>
      <c r="E8" s="15" t="str">
        <f>IFERROR(__xludf.DUMMYFUNCTION("""COMPUTED_VALUE"""),"REFERENCE")</f>
        <v>REFERENCE</v>
      </c>
      <c r="F8" s="15" t="str">
        <f>IFERROR(__xludf.DUMMYFUNCTION("""COMPUTED_VALUE"""),"Category Page")</f>
        <v>Category Page</v>
      </c>
      <c r="G8" s="15" t="b">
        <f>IFERROR(__xludf.DUMMYFUNCTION("""COMPUTED_VALUE"""),FALSE)</f>
        <v>0</v>
      </c>
      <c r="H8" s="15" t="str">
        <f>IFERROR(__xludf.DUMMYFUNCTION("""COMPUTED_VALUE"""),"Found, Momentum, M3.agency, Ninja Promo")</f>
        <v>Found, Momentum, M3.agency, Ninja Promo</v>
      </c>
      <c r="I8" s="15">
        <f>IFERROR(__xludf.DUMMYFUNCTION("""COMPUTED_VALUE"""),20.0)</f>
        <v>20</v>
      </c>
      <c r="J8" s="15">
        <f>IFERROR(__xludf.DUMMYFUNCTION("""COMPUTED_VALUE"""),0.02)</f>
        <v>0.02</v>
      </c>
      <c r="K8" s="15">
        <f>IFERROR(__xludf.DUMMYFUNCTION("""COMPUTED_VALUE"""),0.2)</f>
        <v>0.2</v>
      </c>
    </row>
    <row r="9" ht="15.75" customHeight="1">
      <c r="A9" s="14" t="str">
        <f>IFERROR(__xludf.DUMMYFUNCTION("""COMPUTED_VALUE"""),"https://www.sortlist.co.uk/s/performance-marketing/london-england-gb")</f>
        <v>https://www.sortlist.co.uk/s/performance-marketing/london-england-gb</v>
      </c>
      <c r="B9" s="15" t="str">
        <f>IFERROR(__xludf.DUMMYFUNCTION("""COMPUTED_VALUE"""),"The 10 Best Performance Marketing Agencies in London - 2026 Reviews")</f>
        <v>The 10 Best Performance Marketing Agencies in London - 2026 Reviews</v>
      </c>
      <c r="C9" s="14" t="str">
        <f>IFERROR(__xludf.DUMMYFUNCTION("""COMPUTED_VALUE"""),"sortlist.co.uk")</f>
        <v>sortlist.co.uk</v>
      </c>
      <c r="D9" s="15" t="str">
        <f>IFERROR(__xludf.DUMMYFUNCTION("""COMPUTED_VALUE"""),"CATEGORY_PAGE")</f>
        <v>CATEGORY_PAGE</v>
      </c>
      <c r="E9" s="15" t="str">
        <f>IFERROR(__xludf.DUMMYFUNCTION("""COMPUTED_VALUE"""),"REFERENCE")</f>
        <v>REFERENCE</v>
      </c>
      <c r="F9" s="15" t="str">
        <f>IFERROR(__xludf.DUMMYFUNCTION("""COMPUTED_VALUE"""),"Category Page")</f>
        <v>Category Page</v>
      </c>
      <c r="G9" s="15" t="b">
        <f>IFERROR(__xludf.DUMMYFUNCTION("""COMPUTED_VALUE"""),FALSE)</f>
        <v>0</v>
      </c>
      <c r="H9" s="15" t="str">
        <f>IFERROR(__xludf.DUMMYFUNCTION("""COMPUTED_VALUE"""),"Push, Triple Whale, Northbeam, Whitehat, Found, Momentum, M3.agency")</f>
        <v>Push, Triple Whale, Northbeam, Whitehat, Found, Momentum, M3.agency</v>
      </c>
      <c r="I9" s="15">
        <f>IFERROR(__xludf.DUMMYFUNCTION("""COMPUTED_VALUE"""),19.0)</f>
        <v>19</v>
      </c>
      <c r="J9" s="15">
        <f>IFERROR(__xludf.DUMMYFUNCTION("""COMPUTED_VALUE"""),0.02)</f>
        <v>0.02</v>
      </c>
      <c r="K9" s="15">
        <f>IFERROR(__xludf.DUMMYFUNCTION("""COMPUTED_VALUE"""),0.11)</f>
        <v>0.11</v>
      </c>
    </row>
    <row r="10" ht="15.75" customHeight="1">
      <c r="A10" s="14" t="str">
        <f>IFERROR(__xludf.DUMMYFUNCTION("""COMPUTED_VALUE"""),"https://www.sortlist.co.uk/s/creative/united-kingdom-gb")</f>
        <v>https://www.sortlist.co.uk/s/creative/united-kingdom-gb</v>
      </c>
      <c r="B10" s="15" t="str">
        <f>IFERROR(__xludf.DUMMYFUNCTION("""COMPUTED_VALUE"""),"The 10 Best Creative Agencies in The United Kingdom - 2026 Reviews")</f>
        <v>The 10 Best Creative Agencies in The United Kingdom - 2026 Reviews</v>
      </c>
      <c r="C10" s="14" t="str">
        <f>IFERROR(__xludf.DUMMYFUNCTION("""COMPUTED_VALUE"""),"sortlist.co.uk")</f>
        <v>sortlist.co.uk</v>
      </c>
      <c r="D10" s="15" t="str">
        <f>IFERROR(__xludf.DUMMYFUNCTION("""COMPUTED_VALUE"""),"CATEGORY_PAGE")</f>
        <v>CATEGORY_PAGE</v>
      </c>
      <c r="E10" s="15" t="str">
        <f>IFERROR(__xludf.DUMMYFUNCTION("""COMPUTED_VALUE"""),"REFERENCE")</f>
        <v>REFERENCE</v>
      </c>
      <c r="F10" s="15" t="str">
        <f>IFERROR(__xludf.DUMMYFUNCTION("""COMPUTED_VALUE"""),"Category Page")</f>
        <v>Category Page</v>
      </c>
      <c r="G10" s="15" t="b">
        <f>IFERROR(__xludf.DUMMYFUNCTION("""COMPUTED_VALUE"""),FALSE)</f>
        <v>0</v>
      </c>
      <c r="H10" s="15" t="str">
        <f>IFERROR(__xludf.DUMMYFUNCTION("""COMPUTED_VALUE"""),"Ninja Promo, Whitehat, Momentum")</f>
        <v>Ninja Promo, Whitehat, Momentum</v>
      </c>
      <c r="I10" s="15">
        <f>IFERROR(__xludf.DUMMYFUNCTION("""COMPUTED_VALUE"""),16.0)</f>
        <v>16</v>
      </c>
      <c r="J10" s="15">
        <f>IFERROR(__xludf.DUMMYFUNCTION("""COMPUTED_VALUE"""),0.02)</f>
        <v>0.02</v>
      </c>
      <c r="K10" s="15">
        <f>IFERROR(__xludf.DUMMYFUNCTION("""COMPUTED_VALUE"""),0.13)</f>
        <v>0.13</v>
      </c>
    </row>
    <row r="11" ht="15.75" customHeight="1">
      <c r="A11" s="14" t="str">
        <f>IFERROR(__xludf.DUMMYFUNCTION("""COMPUTED_VALUE"""),"https://www.sortlist.co.uk/s/paid-media/united-kingdom-gb")</f>
        <v>https://www.sortlist.co.uk/s/paid-media/united-kingdom-gb</v>
      </c>
      <c r="B11" s="15" t="str">
        <f>IFERROR(__xludf.DUMMYFUNCTION("""COMPUTED_VALUE"""),"The 10 Best Paid Media Agencies in The United Kingdom - 2026 Reviews")</f>
        <v>The 10 Best Paid Media Agencies in The United Kingdom - 2026 Reviews</v>
      </c>
      <c r="C11" s="14" t="str">
        <f>IFERROR(__xludf.DUMMYFUNCTION("""COMPUTED_VALUE"""),"sortlist.co.uk")</f>
        <v>sortlist.co.uk</v>
      </c>
      <c r="D11" s="15" t="str">
        <f>IFERROR(__xludf.DUMMYFUNCTION("""COMPUTED_VALUE"""),"CATEGORY_PAGE")</f>
        <v>CATEGORY_PAGE</v>
      </c>
      <c r="E11" s="15" t="str">
        <f>IFERROR(__xludf.DUMMYFUNCTION("""COMPUTED_VALUE"""),"REFERENCE")</f>
        <v>REFERENCE</v>
      </c>
      <c r="F11" s="15" t="str">
        <f>IFERROR(__xludf.DUMMYFUNCTION("""COMPUTED_VALUE"""),"Category Page")</f>
        <v>Category Page</v>
      </c>
      <c r="G11" s="15" t="b">
        <f>IFERROR(__xludf.DUMMYFUNCTION("""COMPUTED_VALUE"""),FALSE)</f>
        <v>0</v>
      </c>
      <c r="H11" s="15" t="str">
        <f>IFERROR(__xludf.DUMMYFUNCTION("""COMPUTED_VALUE"""),"Push, Triple Whale, Northbeam, Found, Momentum, M3.agency, McKinsey &amp; Company, Impression")</f>
        <v>Push, Triple Whale, Northbeam, Found, Momentum, M3.agency, McKinsey &amp; Company, Impression</v>
      </c>
      <c r="I11" s="15">
        <f>IFERROR(__xludf.DUMMYFUNCTION("""COMPUTED_VALUE"""),16.0)</f>
        <v>16</v>
      </c>
      <c r="J11" s="15">
        <f>IFERROR(__xludf.DUMMYFUNCTION("""COMPUTED_VALUE"""),0.02)</f>
        <v>0.02</v>
      </c>
      <c r="K11" s="15">
        <f>IFERROR(__xludf.DUMMYFUNCTION("""COMPUTED_VALUE"""),0.0)</f>
        <v>0</v>
      </c>
    </row>
    <row r="12" ht="15.75" customHeight="1">
      <c r="A12" s="14" t="str">
        <f>IFERROR(__xludf.DUMMYFUNCTION("""COMPUTED_VALUE"""),"https://www.sortlist.co.uk/s/attribution-marketing/london-england-gb")</f>
        <v>https://www.sortlist.co.uk/s/attribution-marketing/london-england-gb</v>
      </c>
      <c r="B12" s="15" t="str">
        <f>IFERROR(__xludf.DUMMYFUNCTION("""COMPUTED_VALUE"""),"The 10 Best Attribution Marketing Agencies in London - 2026 Reviews")</f>
        <v>The 10 Best Attribution Marketing Agencies in London - 2026 Reviews</v>
      </c>
      <c r="C12" s="14" t="str">
        <f>IFERROR(__xludf.DUMMYFUNCTION("""COMPUTED_VALUE"""),"sortlist.co.uk")</f>
        <v>sortlist.co.uk</v>
      </c>
      <c r="D12" s="15" t="str">
        <f>IFERROR(__xludf.DUMMYFUNCTION("""COMPUTED_VALUE"""),"CATEGORY_PAGE")</f>
        <v>CATEGORY_PAGE</v>
      </c>
      <c r="E12" s="15" t="str">
        <f>IFERROR(__xludf.DUMMYFUNCTION("""COMPUTED_VALUE"""),"REFERENCE")</f>
        <v>REFERENCE</v>
      </c>
      <c r="F12" s="15" t="str">
        <f>IFERROR(__xludf.DUMMYFUNCTION("""COMPUTED_VALUE"""),"Category Page")</f>
        <v>Category Page</v>
      </c>
      <c r="G12" s="15" t="b">
        <f>IFERROR(__xludf.DUMMYFUNCTION("""COMPUTED_VALUE"""),FALSE)</f>
        <v>0</v>
      </c>
      <c r="H12" s="15" t="str">
        <f>IFERROR(__xludf.DUMMYFUNCTION("""COMPUTED_VALUE"""),"GA Agency")</f>
        <v>GA Agency</v>
      </c>
      <c r="I12" s="15">
        <f>IFERROR(__xludf.DUMMYFUNCTION("""COMPUTED_VALUE"""),15.0)</f>
        <v>15</v>
      </c>
      <c r="J12" s="15">
        <f>IFERROR(__xludf.DUMMYFUNCTION("""COMPUTED_VALUE"""),0.01)</f>
        <v>0.01</v>
      </c>
      <c r="K12" s="15">
        <f>IFERROR(__xludf.DUMMYFUNCTION("""COMPUTED_VALUE"""),0.07)</f>
        <v>0.07</v>
      </c>
    </row>
    <row r="13" ht="15.75" customHeight="1">
      <c r="A13" s="14" t="str">
        <f>IFERROR(__xludf.DUMMYFUNCTION("""COMPUTED_VALUE"""),"https://www.sortlist.co.uk/s/display-advertising/london-england-gb")</f>
        <v>https://www.sortlist.co.uk/s/display-advertising/london-england-gb</v>
      </c>
      <c r="B13" s="15" t="str">
        <f>IFERROR(__xludf.DUMMYFUNCTION("""COMPUTED_VALUE"""),"The 10 Best Display Advertising Agencies in London - 2026 Reviews")</f>
        <v>The 10 Best Display Advertising Agencies in London - 2026 Reviews</v>
      </c>
      <c r="C13" s="14" t="str">
        <f>IFERROR(__xludf.DUMMYFUNCTION("""COMPUTED_VALUE"""),"sortlist.co.uk")</f>
        <v>sortlist.co.uk</v>
      </c>
      <c r="D13" s="15" t="str">
        <f>IFERROR(__xludf.DUMMYFUNCTION("""COMPUTED_VALUE"""),"CATEGORY_PAGE")</f>
        <v>CATEGORY_PAGE</v>
      </c>
      <c r="E13" s="15" t="str">
        <f>IFERROR(__xludf.DUMMYFUNCTION("""COMPUTED_VALUE"""),"REFERENCE")</f>
        <v>REFERENCE</v>
      </c>
      <c r="F13" s="15" t="str">
        <f>IFERROR(__xludf.DUMMYFUNCTION("""COMPUTED_VALUE"""),"Category Page")</f>
        <v>Category Page</v>
      </c>
      <c r="G13" s="15" t="b">
        <f>IFERROR(__xludf.DUMMYFUNCTION("""COMPUTED_VALUE"""),FALSE)</f>
        <v>0</v>
      </c>
      <c r="H13" s="15" t="str">
        <f>IFERROR(__xludf.DUMMYFUNCTION("""COMPUTED_VALUE"""),"Found, Ninja Promo, Momentum, M3.agency, Transmission")</f>
        <v>Found, Ninja Promo, Momentum, M3.agency, Transmission</v>
      </c>
      <c r="I13" s="15">
        <f>IFERROR(__xludf.DUMMYFUNCTION("""COMPUTED_VALUE"""),15.0)</f>
        <v>15</v>
      </c>
      <c r="J13" s="15">
        <f>IFERROR(__xludf.DUMMYFUNCTION("""COMPUTED_VALUE"""),0.01)</f>
        <v>0.01</v>
      </c>
      <c r="K13" s="15">
        <f>IFERROR(__xludf.DUMMYFUNCTION("""COMPUTED_VALUE"""),0.47)</f>
        <v>0.47</v>
      </c>
    </row>
    <row r="14" ht="15.75" customHeight="1">
      <c r="A14" s="14" t="str">
        <f>IFERROR(__xludf.DUMMYFUNCTION("""COMPUTED_VALUE"""),"https://www.sortlist.co.uk/social-media/united-kingdom-gb")</f>
        <v>https://www.sortlist.co.uk/social-media/united-kingdom-gb</v>
      </c>
      <c r="B14" s="15" t="str">
        <f>IFERROR(__xludf.DUMMYFUNCTION("""COMPUTED_VALUE"""),"The 10 Best Social Media Agencies in The United Kingdom - 2026 Reviews")</f>
        <v>The 10 Best Social Media Agencies in The United Kingdom - 2026 Reviews</v>
      </c>
      <c r="C14" s="14" t="str">
        <f>IFERROR(__xludf.DUMMYFUNCTION("""COMPUTED_VALUE"""),"sortlist.co.uk")</f>
        <v>sortlist.co.uk</v>
      </c>
      <c r="D14" s="15" t="str">
        <f>IFERROR(__xludf.DUMMYFUNCTION("""COMPUTED_VALUE"""),"CATEGORY_PAGE")</f>
        <v>CATEGORY_PAGE</v>
      </c>
      <c r="E14" s="15" t="str">
        <f>IFERROR(__xludf.DUMMYFUNCTION("""COMPUTED_VALUE"""),"REFERENCE")</f>
        <v>REFERENCE</v>
      </c>
      <c r="F14" s="15" t="str">
        <f>IFERROR(__xludf.DUMMYFUNCTION("""COMPUTED_VALUE"""),"Category Page")</f>
        <v>Category Page</v>
      </c>
      <c r="G14" s="15" t="b">
        <f>IFERROR(__xludf.DUMMYFUNCTION("""COMPUTED_VALUE"""),FALSE)</f>
        <v>0</v>
      </c>
      <c r="H14" s="15" t="str">
        <f>IFERROR(__xludf.DUMMYFUNCTION("""COMPUTED_VALUE"""),"Publicis Groupe, Found, Momentum, M3.agency")</f>
        <v>Publicis Groupe, Found, Momentum, M3.agency</v>
      </c>
      <c r="I14" s="15">
        <f>IFERROR(__xludf.DUMMYFUNCTION("""COMPUTED_VALUE"""),15.0)</f>
        <v>15</v>
      </c>
      <c r="J14" s="15">
        <f>IFERROR(__xludf.DUMMYFUNCTION("""COMPUTED_VALUE"""),0.01)</f>
        <v>0.01</v>
      </c>
      <c r="K14" s="15">
        <f>IFERROR(__xludf.DUMMYFUNCTION("""COMPUTED_VALUE"""),0.13)</f>
        <v>0.13</v>
      </c>
    </row>
    <row r="15" ht="15.75" customHeight="1">
      <c r="A15" s="14" t="str">
        <f>IFERROR(__xludf.DUMMYFUNCTION("""COMPUTED_VALUE"""),"https://www.sortlist.co.uk/web-analytics/united-kingdom-gb")</f>
        <v>https://www.sortlist.co.uk/web-analytics/united-kingdom-gb</v>
      </c>
      <c r="B15" s="15" t="str">
        <f>IFERROR(__xludf.DUMMYFUNCTION("""COMPUTED_VALUE"""),"The 10 Best Web Analytics Agencies in The United Kingdom - 2026 Reviews")</f>
        <v>The 10 Best Web Analytics Agencies in The United Kingdom - 2026 Reviews</v>
      </c>
      <c r="C15" s="14" t="str">
        <f>IFERROR(__xludf.DUMMYFUNCTION("""COMPUTED_VALUE"""),"sortlist.co.uk")</f>
        <v>sortlist.co.uk</v>
      </c>
      <c r="D15" s="15" t="str">
        <f>IFERROR(__xludf.DUMMYFUNCTION("""COMPUTED_VALUE"""),"CATEGORY_PAGE")</f>
        <v>CATEGORY_PAGE</v>
      </c>
      <c r="E15" s="15" t="str">
        <f>IFERROR(__xludf.DUMMYFUNCTION("""COMPUTED_VALUE"""),"REFERENCE")</f>
        <v>REFERENCE</v>
      </c>
      <c r="F15" s="15" t="str">
        <f>IFERROR(__xludf.DUMMYFUNCTION("""COMPUTED_VALUE"""),"Category Page")</f>
        <v>Category Page</v>
      </c>
      <c r="G15" s="15" t="b">
        <f>IFERROR(__xludf.DUMMYFUNCTION("""COMPUTED_VALUE"""),FALSE)</f>
        <v>0</v>
      </c>
      <c r="H15" s="15" t="str">
        <f>IFERROR(__xludf.DUMMYFUNCTION("""COMPUTED_VALUE"""),"Found, Whitehat")</f>
        <v>Found, Whitehat</v>
      </c>
      <c r="I15" s="15">
        <f>IFERROR(__xludf.DUMMYFUNCTION("""COMPUTED_VALUE"""),15.0)</f>
        <v>15</v>
      </c>
      <c r="J15" s="15">
        <f>IFERROR(__xludf.DUMMYFUNCTION("""COMPUTED_VALUE"""),0.01)</f>
        <v>0.01</v>
      </c>
      <c r="K15" s="15">
        <f>IFERROR(__xludf.DUMMYFUNCTION("""COMPUTED_VALUE"""),0.0)</f>
        <v>0</v>
      </c>
    </row>
    <row r="16" ht="15.75" customHeight="1">
      <c r="A16" s="14" t="str">
        <f>IFERROR(__xludf.DUMMYFUNCTION("""COMPUTED_VALUE"""),"https://www.sortlist.co.uk/s/performance-marketing/england-england-gb")</f>
        <v>https://www.sortlist.co.uk/s/performance-marketing/england-england-gb</v>
      </c>
      <c r="B16" s="15" t="str">
        <f>IFERROR(__xludf.DUMMYFUNCTION("""COMPUTED_VALUE"""),"The 10 Best Performance Marketing Agencies in England - 2026 Reviews")</f>
        <v>The 10 Best Performance Marketing Agencies in England - 2026 Reviews</v>
      </c>
      <c r="C16" s="14" t="str">
        <f>IFERROR(__xludf.DUMMYFUNCTION("""COMPUTED_VALUE"""),"sortlist.co.uk")</f>
        <v>sortlist.co.uk</v>
      </c>
      <c r="D16" s="15" t="str">
        <f>IFERROR(__xludf.DUMMYFUNCTION("""COMPUTED_VALUE"""),"CATEGORY_PAGE")</f>
        <v>CATEGORY_PAGE</v>
      </c>
      <c r="E16" s="15" t="str">
        <f>IFERROR(__xludf.DUMMYFUNCTION("""COMPUTED_VALUE"""),"REFERENCE")</f>
        <v>REFERENCE</v>
      </c>
      <c r="F16" s="15" t="str">
        <f>IFERROR(__xludf.DUMMYFUNCTION("""COMPUTED_VALUE"""),"Category Page")</f>
        <v>Category Page</v>
      </c>
      <c r="G16" s="15" t="b">
        <f>IFERROR(__xludf.DUMMYFUNCTION("""COMPUTED_VALUE"""),FALSE)</f>
        <v>0</v>
      </c>
      <c r="H16" s="15" t="str">
        <f>IFERROR(__xludf.DUMMYFUNCTION("""COMPUTED_VALUE"""),"Momentum, M3.agency, Found, McKinsey &amp; Company")</f>
        <v>Momentum, M3.agency, Found, McKinsey &amp; Company</v>
      </c>
      <c r="I16" s="15">
        <f>IFERROR(__xludf.DUMMYFUNCTION("""COMPUTED_VALUE"""),9.0)</f>
        <v>9</v>
      </c>
      <c r="J16" s="15">
        <f>IFERROR(__xludf.DUMMYFUNCTION("""COMPUTED_VALUE"""),0.01)</f>
        <v>0.01</v>
      </c>
      <c r="K16" s="15">
        <f>IFERROR(__xludf.DUMMYFUNCTION("""COMPUTED_VALUE"""),0.0)</f>
        <v>0</v>
      </c>
    </row>
    <row r="17" ht="15.75" customHeight="1">
      <c r="A17" s="14" t="str">
        <f>IFERROR(__xludf.DUMMYFUNCTION("""COMPUTED_VALUE"""),"https://www.sortlist.co.uk/s/artificial-intelligence/london-england-gb")</f>
        <v>https://www.sortlist.co.uk/s/artificial-intelligence/london-england-gb</v>
      </c>
      <c r="B17" s="15" t="str">
        <f>IFERROR(__xludf.DUMMYFUNCTION("""COMPUTED_VALUE"""),"The 10 Best Artificial Intelligence Agencies in London - 2026 Reviews")</f>
        <v>The 10 Best Artificial Intelligence Agencies in London - 2026 Reviews</v>
      </c>
      <c r="C17" s="14" t="str">
        <f>IFERROR(__xludf.DUMMYFUNCTION("""COMPUTED_VALUE"""),"sortlist.co.uk")</f>
        <v>sortlist.co.uk</v>
      </c>
      <c r="D17" s="15" t="str">
        <f>IFERROR(__xludf.DUMMYFUNCTION("""COMPUTED_VALUE"""),"CATEGORY_PAGE")</f>
        <v>CATEGORY_PAGE</v>
      </c>
      <c r="E17" s="15" t="str">
        <f>IFERROR(__xludf.DUMMYFUNCTION("""COMPUTED_VALUE"""),"REFERENCE")</f>
        <v>REFERENCE</v>
      </c>
      <c r="F17" s="15" t="str">
        <f>IFERROR(__xludf.DUMMYFUNCTION("""COMPUTED_VALUE"""),"Category Page")</f>
        <v>Category Page</v>
      </c>
      <c r="G17" s="15" t="b">
        <f>IFERROR(__xludf.DUMMYFUNCTION("""COMPUTED_VALUE"""),FALSE)</f>
        <v>0</v>
      </c>
      <c r="H17" s="15"/>
      <c r="I17" s="15">
        <f>IFERROR(__xludf.DUMMYFUNCTION("""COMPUTED_VALUE"""),8.0)</f>
        <v>8</v>
      </c>
      <c r="J17" s="15">
        <f>IFERROR(__xludf.DUMMYFUNCTION("""COMPUTED_VALUE"""),0.01)</f>
        <v>0.01</v>
      </c>
      <c r="K17" s="15">
        <f>IFERROR(__xludf.DUMMYFUNCTION("""COMPUTED_VALUE"""),0.13)</f>
        <v>0.13</v>
      </c>
    </row>
    <row r="18" ht="15.75" customHeight="1">
      <c r="A18" s="14" t="str">
        <f>IFERROR(__xludf.DUMMYFUNCTION("""COMPUTED_VALUE"""),"https://www.sortlist.com/attribution-marketing")</f>
        <v>https://www.sortlist.com/attribution-marketing</v>
      </c>
      <c r="B18" s="15" t="str">
        <f>IFERROR(__xludf.DUMMYFUNCTION("""COMPUTED_VALUE"""),"The 100 Best Attribution Marketing Agencies - 2026 Reviews")</f>
        <v>The 100 Best Attribution Marketing Agencies - 2026 Reviews</v>
      </c>
      <c r="C18" s="14" t="str">
        <f>IFERROR(__xludf.DUMMYFUNCTION("""COMPUTED_VALUE"""),"sortlist.com")</f>
        <v>sortlist.com</v>
      </c>
      <c r="D18" s="15" t="str">
        <f>IFERROR(__xludf.DUMMYFUNCTION("""COMPUTED_VALUE"""),"PROFILE")</f>
        <v>PROFILE</v>
      </c>
      <c r="E18" s="15" t="str">
        <f>IFERROR(__xludf.DUMMYFUNCTION("""COMPUTED_VALUE"""),"CORPORATE")</f>
        <v>CORPORATE</v>
      </c>
      <c r="F18" s="15" t="str">
        <f>IFERROR(__xludf.DUMMYFUNCTION("""COMPUTED_VALUE"""),"Profile")</f>
        <v>Profile</v>
      </c>
      <c r="G18" s="15" t="b">
        <f>IFERROR(__xludf.DUMMYFUNCTION("""COMPUTED_VALUE"""),FALSE)</f>
        <v>0</v>
      </c>
      <c r="H18" s="15" t="str">
        <f>IFERROR(__xludf.DUMMYFUNCTION("""COMPUTED_VALUE"""),"Impression, Push, Triple Whale, Northbeam, WPP")</f>
        <v>Impression, Push, Triple Whale, Northbeam, WPP</v>
      </c>
      <c r="I18" s="15">
        <f>IFERROR(__xludf.DUMMYFUNCTION("""COMPUTED_VALUE"""),8.0)</f>
        <v>8</v>
      </c>
      <c r="J18" s="15">
        <f>IFERROR(__xludf.DUMMYFUNCTION("""COMPUTED_VALUE"""),0.01)</f>
        <v>0.01</v>
      </c>
      <c r="K18" s="15">
        <f>IFERROR(__xludf.DUMMYFUNCTION("""COMPUTED_VALUE"""),0.0)</f>
        <v>0</v>
      </c>
    </row>
    <row r="19" ht="15.75" customHeight="1">
      <c r="A19" s="14" t="str">
        <f>IFERROR(__xludf.DUMMYFUNCTION("""COMPUTED_VALUE"""),"https://www.sortlist.co.uk/s/ai-marketing/greater-london-england-gb")</f>
        <v>https://www.sortlist.co.uk/s/ai-marketing/greater-london-england-gb</v>
      </c>
      <c r="B19" s="15" t="str">
        <f>IFERROR(__xludf.DUMMYFUNCTION("""COMPUTED_VALUE"""),"The 10 Best AI Marketing Companies in Greater London - 2026 Reviews")</f>
        <v>The 10 Best AI Marketing Companies in Greater London - 2026 Reviews</v>
      </c>
      <c r="C19" s="14" t="str">
        <f>IFERROR(__xludf.DUMMYFUNCTION("""COMPUTED_VALUE"""),"sortlist.co.uk")</f>
        <v>sortlist.co.uk</v>
      </c>
      <c r="D19" s="15" t="str">
        <f>IFERROR(__xludf.DUMMYFUNCTION("""COMPUTED_VALUE"""),"CATEGORY_PAGE")</f>
        <v>CATEGORY_PAGE</v>
      </c>
      <c r="E19" s="15" t="str">
        <f>IFERROR(__xludf.DUMMYFUNCTION("""COMPUTED_VALUE"""),"REFERENCE")</f>
        <v>REFERENCE</v>
      </c>
      <c r="F19" s="15" t="str">
        <f>IFERROR(__xludf.DUMMYFUNCTION("""COMPUTED_VALUE"""),"Category Page")</f>
        <v>Category Page</v>
      </c>
      <c r="G19" s="15" t="b">
        <f>IFERROR(__xludf.DUMMYFUNCTION("""COMPUTED_VALUE"""),FALSE)</f>
        <v>0</v>
      </c>
      <c r="H19" s="15" t="str">
        <f>IFERROR(__xludf.DUMMYFUNCTION("""COMPUTED_VALUE"""),"Hallam")</f>
        <v>Hallam</v>
      </c>
      <c r="I19" s="15">
        <f>IFERROR(__xludf.DUMMYFUNCTION("""COMPUTED_VALUE"""),6.0)</f>
        <v>6</v>
      </c>
      <c r="J19" s="15">
        <f>IFERROR(__xludf.DUMMYFUNCTION("""COMPUTED_VALUE"""),0.01)</f>
        <v>0.01</v>
      </c>
      <c r="K19" s="15">
        <f>IFERROR(__xludf.DUMMYFUNCTION("""COMPUTED_VALUE"""),0.0)</f>
        <v>0</v>
      </c>
    </row>
    <row r="20" ht="15.75" customHeight="1">
      <c r="A20" s="14" t="str">
        <f>IFERROR(__xludf.DUMMYFUNCTION("""COMPUTED_VALUE"""),"https://www.sortlist.co.uk/s/paid-media/england-england-gb")</f>
        <v>https://www.sortlist.co.uk/s/paid-media/england-england-gb</v>
      </c>
      <c r="B20" s="15" t="str">
        <f>IFERROR(__xludf.DUMMYFUNCTION("""COMPUTED_VALUE"""),"The 10 Best Paid Media Agencies in England - 2026 Reviews")</f>
        <v>The 10 Best Paid Media Agencies in England - 2026 Reviews</v>
      </c>
      <c r="C20" s="14" t="str">
        <f>IFERROR(__xludf.DUMMYFUNCTION("""COMPUTED_VALUE"""),"sortlist.co.uk")</f>
        <v>sortlist.co.uk</v>
      </c>
      <c r="D20" s="15" t="str">
        <f>IFERROR(__xludf.DUMMYFUNCTION("""COMPUTED_VALUE"""),"CATEGORY_PAGE")</f>
        <v>CATEGORY_PAGE</v>
      </c>
      <c r="E20" s="15" t="str">
        <f>IFERROR(__xludf.DUMMYFUNCTION("""COMPUTED_VALUE"""),"REFERENCE")</f>
        <v>REFERENCE</v>
      </c>
      <c r="F20" s="15" t="str">
        <f>IFERROR(__xludf.DUMMYFUNCTION("""COMPUTED_VALUE"""),"Category Page")</f>
        <v>Category Page</v>
      </c>
      <c r="G20" s="15" t="b">
        <f>IFERROR(__xludf.DUMMYFUNCTION("""COMPUTED_VALUE"""),FALSE)</f>
        <v>0</v>
      </c>
      <c r="H20" s="15" t="str">
        <f>IFERROR(__xludf.DUMMYFUNCTION("""COMPUTED_VALUE"""),"Push, Triple Whale, Northbeam, Found, Momentum, M3.agency, McKinsey &amp; Company")</f>
        <v>Push, Triple Whale, Northbeam, Found, Momentum, M3.agency, McKinsey &amp; Company</v>
      </c>
      <c r="I20" s="15">
        <f>IFERROR(__xludf.DUMMYFUNCTION("""COMPUTED_VALUE"""),6.0)</f>
        <v>6</v>
      </c>
      <c r="J20" s="15">
        <f>IFERROR(__xludf.DUMMYFUNCTION("""COMPUTED_VALUE"""),0.01)</f>
        <v>0.01</v>
      </c>
      <c r="K20" s="15">
        <f>IFERROR(__xludf.DUMMYFUNCTION("""COMPUTED_VALUE"""),0.5)</f>
        <v>0.5</v>
      </c>
    </row>
    <row r="21" ht="15.75" customHeight="1">
      <c r="A21" s="14" t="str">
        <f>IFERROR(__xludf.DUMMYFUNCTION("""COMPUTED_VALUE"""),"https://www.sortlist.com/display-advertising")</f>
        <v>https://www.sortlist.com/display-advertising</v>
      </c>
      <c r="B21" s="15" t="str">
        <f>IFERROR(__xludf.DUMMYFUNCTION("""COMPUTED_VALUE"""),"The 100 Best Display Advertising Agencies - 2026 Reviews")</f>
        <v>The 100 Best Display Advertising Agencies - 2026 Reviews</v>
      </c>
      <c r="C21" s="14" t="str">
        <f>IFERROR(__xludf.DUMMYFUNCTION("""COMPUTED_VALUE"""),"sortlist.com")</f>
        <v>sortlist.com</v>
      </c>
      <c r="D21" s="15" t="str">
        <f>IFERROR(__xludf.DUMMYFUNCTION("""COMPUTED_VALUE"""),"LISTICLE")</f>
        <v>LISTICLE</v>
      </c>
      <c r="E21" s="15" t="str">
        <f>IFERROR(__xludf.DUMMYFUNCTION("""COMPUTED_VALUE"""),"CORPORATE")</f>
        <v>CORPORATE</v>
      </c>
      <c r="F21" s="15" t="str">
        <f>IFERROR(__xludf.DUMMYFUNCTION("""COMPUTED_VALUE"""),"Listicle")</f>
        <v>Listicle</v>
      </c>
      <c r="G21" s="15" t="b">
        <f>IFERROR(__xludf.DUMMYFUNCTION("""COMPUTED_VALUE"""),FALSE)</f>
        <v>0</v>
      </c>
      <c r="H21" s="15"/>
      <c r="I21" s="15">
        <f>IFERROR(__xludf.DUMMYFUNCTION("""COMPUTED_VALUE"""),6.0)</f>
        <v>6</v>
      </c>
      <c r="J21" s="15">
        <f>IFERROR(__xludf.DUMMYFUNCTION("""COMPUTED_VALUE"""),0.01)</f>
        <v>0.01</v>
      </c>
      <c r="K21" s="15">
        <f>IFERROR(__xludf.DUMMYFUNCTION("""COMPUTED_VALUE"""),0.0)</f>
        <v>0</v>
      </c>
    </row>
    <row r="22" ht="15.75" customHeight="1">
      <c r="A22" s="14" t="str">
        <f>IFERROR(__xludf.DUMMYFUNCTION("""COMPUTED_VALUE"""),"https://www.sortlist.co.uk/branding/united-kingdom-gb")</f>
        <v>https://www.sortlist.co.uk/branding/united-kingdom-gb</v>
      </c>
      <c r="B22" s="15" t="str">
        <f>IFERROR(__xludf.DUMMYFUNCTION("""COMPUTED_VALUE"""),"The 10 Best Branding Agencies in The United Kingdom - 2026 Reviews")</f>
        <v>The 10 Best Branding Agencies in The United Kingdom - 2026 Reviews</v>
      </c>
      <c r="C22" s="14" t="str">
        <f>IFERROR(__xludf.DUMMYFUNCTION("""COMPUTED_VALUE"""),"sortlist.co.uk")</f>
        <v>sortlist.co.uk</v>
      </c>
      <c r="D22" s="15" t="str">
        <f>IFERROR(__xludf.DUMMYFUNCTION("""COMPUTED_VALUE"""),"CATEGORY_PAGE")</f>
        <v>CATEGORY_PAGE</v>
      </c>
      <c r="E22" s="15" t="str">
        <f>IFERROR(__xludf.DUMMYFUNCTION("""COMPUTED_VALUE"""),"REFERENCE")</f>
        <v>REFERENCE</v>
      </c>
      <c r="F22" s="15" t="str">
        <f>IFERROR(__xludf.DUMMYFUNCTION("""COMPUTED_VALUE"""),"Category Page")</f>
        <v>Category Page</v>
      </c>
      <c r="G22" s="15" t="b">
        <f>IFERROR(__xludf.DUMMYFUNCTION("""COMPUTED_VALUE"""),FALSE)</f>
        <v>0</v>
      </c>
      <c r="H22" s="15" t="str">
        <f>IFERROR(__xludf.DUMMYFUNCTION("""COMPUTED_VALUE"""),"Momentum, M3.agency, Found, McKinsey &amp; Company")</f>
        <v>Momentum, M3.agency, Found, McKinsey &amp; Company</v>
      </c>
      <c r="I22" s="15">
        <f>IFERROR(__xludf.DUMMYFUNCTION("""COMPUTED_VALUE"""),5.0)</f>
        <v>5</v>
      </c>
      <c r="J22" s="15">
        <f>IFERROR(__xludf.DUMMYFUNCTION("""COMPUTED_VALUE"""),0.0)</f>
        <v>0</v>
      </c>
      <c r="K22" s="15">
        <f>IFERROR(__xludf.DUMMYFUNCTION("""COMPUTED_VALUE"""),0.0)</f>
        <v>0</v>
      </c>
    </row>
    <row r="23" ht="15.75" customHeight="1">
      <c r="A23" s="14" t="str">
        <f>IFERROR(__xludf.DUMMYFUNCTION("""COMPUTED_VALUE"""),"https://www.sortlist.co.uk/digital-marketing/united-kingdom-gb")</f>
        <v>https://www.sortlist.co.uk/digital-marketing/united-kingdom-gb</v>
      </c>
      <c r="B23" s="15" t="str">
        <f>IFERROR(__xludf.DUMMYFUNCTION("""COMPUTED_VALUE"""),"100+ Top Digital Marketing Agencies in the UK - 2026 Reviews")</f>
        <v>100+ Top Digital Marketing Agencies in the UK - 2026 Reviews</v>
      </c>
      <c r="C23" s="14" t="str">
        <f>IFERROR(__xludf.DUMMYFUNCTION("""COMPUTED_VALUE"""),"sortlist.co.uk")</f>
        <v>sortlist.co.uk</v>
      </c>
      <c r="D23" s="15" t="str">
        <f>IFERROR(__xludf.DUMMYFUNCTION("""COMPUTED_VALUE"""),"CATEGORY_PAGE")</f>
        <v>CATEGORY_PAGE</v>
      </c>
      <c r="E23" s="15" t="str">
        <f>IFERROR(__xludf.DUMMYFUNCTION("""COMPUTED_VALUE"""),"REFERENCE")</f>
        <v>REFERENCE</v>
      </c>
      <c r="F23" s="15" t="str">
        <f>IFERROR(__xludf.DUMMYFUNCTION("""COMPUTED_VALUE"""),"Category Page")</f>
        <v>Category Page</v>
      </c>
      <c r="G23" s="15" t="b">
        <f>IFERROR(__xludf.DUMMYFUNCTION("""COMPUTED_VALUE"""),FALSE)</f>
        <v>0</v>
      </c>
      <c r="H23" s="15" t="str">
        <f>IFERROR(__xludf.DUMMYFUNCTION("""COMPUTED_VALUE"""),"Found, Momentum, M3.agency")</f>
        <v>Found, Momentum, M3.agency</v>
      </c>
      <c r="I23" s="15">
        <f>IFERROR(__xludf.DUMMYFUNCTION("""COMPUTED_VALUE"""),5.0)</f>
        <v>5</v>
      </c>
      <c r="J23" s="15">
        <f>IFERROR(__xludf.DUMMYFUNCTION("""COMPUTED_VALUE"""),0.0)</f>
        <v>0</v>
      </c>
      <c r="K23" s="15">
        <f>IFERROR(__xludf.DUMMYFUNCTION("""COMPUTED_VALUE"""),0.0)</f>
        <v>0</v>
      </c>
    </row>
    <row r="24" ht="15.75" customHeight="1">
      <c r="A24" s="14" t="str">
        <f>IFERROR(__xludf.DUMMYFUNCTION("""COMPUTED_VALUE"""),"https://www.sortlist.co.uk/media-planning/united-kingdom-gb")</f>
        <v>https://www.sortlist.co.uk/media-planning/united-kingdom-gb</v>
      </c>
      <c r="B24" s="15" t="str">
        <f>IFERROR(__xludf.DUMMYFUNCTION("""COMPUTED_VALUE"""),"The 10 Best Media Agencies in The United Kingdom - 2026 Reviews")</f>
        <v>The 10 Best Media Agencies in The United Kingdom - 2026 Reviews</v>
      </c>
      <c r="C24" s="14" t="str">
        <f>IFERROR(__xludf.DUMMYFUNCTION("""COMPUTED_VALUE"""),"sortlist.co.uk")</f>
        <v>sortlist.co.uk</v>
      </c>
      <c r="D24" s="15" t="str">
        <f>IFERROR(__xludf.DUMMYFUNCTION("""COMPUTED_VALUE"""),"CATEGORY_PAGE")</f>
        <v>CATEGORY_PAGE</v>
      </c>
      <c r="E24" s="15" t="str">
        <f>IFERROR(__xludf.DUMMYFUNCTION("""COMPUTED_VALUE"""),"REFERENCE")</f>
        <v>REFERENCE</v>
      </c>
      <c r="F24" s="15" t="str">
        <f>IFERROR(__xludf.DUMMYFUNCTION("""COMPUTED_VALUE"""),"Category Page")</f>
        <v>Category Page</v>
      </c>
      <c r="G24" s="15" t="b">
        <f>IFERROR(__xludf.DUMMYFUNCTION("""COMPUTED_VALUE"""),FALSE)</f>
        <v>0</v>
      </c>
      <c r="H24" s="15" t="str">
        <f>IFERROR(__xludf.DUMMYFUNCTION("""COMPUTED_VALUE"""),"Momentum, M3.agency, Ninja Promo, YouGov, Kantar")</f>
        <v>Momentum, M3.agency, Ninja Promo, YouGov, Kantar</v>
      </c>
      <c r="I24" s="15">
        <f>IFERROR(__xludf.DUMMYFUNCTION("""COMPUTED_VALUE"""),5.0)</f>
        <v>5</v>
      </c>
      <c r="J24" s="15">
        <f>IFERROR(__xludf.DUMMYFUNCTION("""COMPUTED_VALUE"""),0.0)</f>
        <v>0</v>
      </c>
      <c r="K24" s="15">
        <f>IFERROR(__xludf.DUMMYFUNCTION("""COMPUTED_VALUE"""),0.0)</f>
        <v>0</v>
      </c>
    </row>
    <row r="25" ht="15.75" customHeight="1">
      <c r="A25" s="14" t="str">
        <f>IFERROR(__xludf.DUMMYFUNCTION("""COMPUTED_VALUE"""),"https://www.sortlist.co.uk/s/attribution-marketing/united-kingdom-gb")</f>
        <v>https://www.sortlist.co.uk/s/attribution-marketing/united-kingdom-gb</v>
      </c>
      <c r="B25" s="15" t="str">
        <f>IFERROR(__xludf.DUMMYFUNCTION("""COMPUTED_VALUE"""),"The 10 Best Attribution Marketing Agencies in The United Kingdom - 2026 Reviews")</f>
        <v>The 10 Best Attribution Marketing Agencies in The United Kingdom - 2026 Reviews</v>
      </c>
      <c r="C25" s="14" t="str">
        <f>IFERROR(__xludf.DUMMYFUNCTION("""COMPUTED_VALUE"""),"sortlist.co.uk")</f>
        <v>sortlist.co.uk</v>
      </c>
      <c r="D25" s="15" t="str">
        <f>IFERROR(__xludf.DUMMYFUNCTION("""COMPUTED_VALUE"""),"CATEGORY_PAGE")</f>
        <v>CATEGORY_PAGE</v>
      </c>
      <c r="E25" s="15" t="str">
        <f>IFERROR(__xludf.DUMMYFUNCTION("""COMPUTED_VALUE"""),"REFERENCE")</f>
        <v>REFERENCE</v>
      </c>
      <c r="F25" s="15" t="str">
        <f>IFERROR(__xludf.DUMMYFUNCTION("""COMPUTED_VALUE"""),"Category Page")</f>
        <v>Category Page</v>
      </c>
      <c r="G25" s="15" t="b">
        <f>IFERROR(__xludf.DUMMYFUNCTION("""COMPUTED_VALUE"""),FALSE)</f>
        <v>0</v>
      </c>
      <c r="H25" s="15" t="str">
        <f>IFERROR(__xludf.DUMMYFUNCTION("""COMPUTED_VALUE"""),"GA Agency")</f>
        <v>GA Agency</v>
      </c>
      <c r="I25" s="15">
        <f>IFERROR(__xludf.DUMMYFUNCTION("""COMPUTED_VALUE"""),5.0)</f>
        <v>5</v>
      </c>
      <c r="J25" s="15">
        <f>IFERROR(__xludf.DUMMYFUNCTION("""COMPUTED_VALUE"""),0.0)</f>
        <v>0</v>
      </c>
      <c r="K25" s="15">
        <f>IFERROR(__xludf.DUMMYFUNCTION("""COMPUTED_VALUE"""),0.6)</f>
        <v>0.6</v>
      </c>
    </row>
    <row r="26" ht="15.75" customHeight="1">
      <c r="A26" s="14" t="str">
        <f>IFERROR(__xludf.DUMMYFUNCTION("""COMPUTED_VALUE"""),"https://www.sortlist.com/i/s/data-driven-marketing/united-kingdom-gb")</f>
        <v>https://www.sortlist.com/i/s/data-driven-marketing/united-kingdom-gb</v>
      </c>
      <c r="B26" s="15" t="str">
        <f>IFERROR(__xludf.DUMMYFUNCTION("""COMPUTED_VALUE"""),"The 10 Best Data Driven Marketing Agencies in The United Kingdom - 2026 Reviews")</f>
        <v>The 10 Best Data Driven Marketing Agencies in The United Kingdom - 2026 Reviews</v>
      </c>
      <c r="C26" s="14" t="str">
        <f>IFERROR(__xludf.DUMMYFUNCTION("""COMPUTED_VALUE"""),"sortlist.com")</f>
        <v>sortlist.com</v>
      </c>
      <c r="D26" s="15" t="str">
        <f>IFERROR(__xludf.DUMMYFUNCTION("""COMPUTED_VALUE"""),"CATEGORY_PAGE")</f>
        <v>CATEGORY_PAGE</v>
      </c>
      <c r="E26" s="15" t="str">
        <f>IFERROR(__xludf.DUMMYFUNCTION("""COMPUTED_VALUE"""),"CORPORATE")</f>
        <v>CORPORATE</v>
      </c>
      <c r="F26" s="15" t="str">
        <f>IFERROR(__xludf.DUMMYFUNCTION("""COMPUTED_VALUE"""),"Category Page")</f>
        <v>Category Page</v>
      </c>
      <c r="G26" s="15" t="b">
        <f>IFERROR(__xludf.DUMMYFUNCTION("""COMPUTED_VALUE"""),FALSE)</f>
        <v>0</v>
      </c>
      <c r="H26" s="15" t="str">
        <f>IFERROR(__xludf.DUMMYFUNCTION("""COMPUTED_VALUE"""),"Momentum, M3.agency, Ninja Promo, Bird Marketing")</f>
        <v>Momentum, M3.agency, Ninja Promo, Bird Marketing</v>
      </c>
      <c r="I26" s="15">
        <f>IFERROR(__xludf.DUMMYFUNCTION("""COMPUTED_VALUE"""),5.0)</f>
        <v>5</v>
      </c>
      <c r="J26" s="15">
        <f>IFERROR(__xludf.DUMMYFUNCTION("""COMPUTED_VALUE"""),0.0)</f>
        <v>0</v>
      </c>
      <c r="K26" s="15">
        <f>IFERROR(__xludf.DUMMYFUNCTION("""COMPUTED_VALUE"""),0.0)</f>
        <v>0</v>
      </c>
    </row>
    <row r="27" ht="15.75" customHeight="1">
      <c r="A27" s="14" t="str">
        <f>IFERROR(__xludf.DUMMYFUNCTION("""COMPUTED_VALUE"""),"https://www.sortlist.co.uk/s/ai-marketing/england-england-gb")</f>
        <v>https://www.sortlist.co.uk/s/ai-marketing/england-england-gb</v>
      </c>
      <c r="B27" s="15" t="str">
        <f>IFERROR(__xludf.DUMMYFUNCTION("""COMPUTED_VALUE"""),"The 10 Best AI Marketing Companies in England - 2026 Reviews")</f>
        <v>The 10 Best AI Marketing Companies in England - 2026 Reviews</v>
      </c>
      <c r="C27" s="14" t="str">
        <f>IFERROR(__xludf.DUMMYFUNCTION("""COMPUTED_VALUE"""),"sortlist.co.uk")</f>
        <v>sortlist.co.uk</v>
      </c>
      <c r="D27" s="15" t="str">
        <f>IFERROR(__xludf.DUMMYFUNCTION("""COMPUTED_VALUE"""),"CATEGORY_PAGE")</f>
        <v>CATEGORY_PAGE</v>
      </c>
      <c r="E27" s="15" t="str">
        <f>IFERROR(__xludf.DUMMYFUNCTION("""COMPUTED_VALUE"""),"REFERENCE")</f>
        <v>REFERENCE</v>
      </c>
      <c r="F27" s="15" t="str">
        <f>IFERROR(__xludf.DUMMYFUNCTION("""COMPUTED_VALUE"""),"Category Page")</f>
        <v>Category Page</v>
      </c>
      <c r="G27" s="15" t="b">
        <f>IFERROR(__xludf.DUMMYFUNCTION("""COMPUTED_VALUE"""),FALSE)</f>
        <v>0</v>
      </c>
      <c r="H27" s="15"/>
      <c r="I27" s="15">
        <f>IFERROR(__xludf.DUMMYFUNCTION("""COMPUTED_VALUE"""),4.0)</f>
        <v>4</v>
      </c>
      <c r="J27" s="15">
        <f>IFERROR(__xludf.DUMMYFUNCTION("""COMPUTED_VALUE"""),0.0)</f>
        <v>0</v>
      </c>
      <c r="K27" s="15">
        <f>IFERROR(__xludf.DUMMYFUNCTION("""COMPUTED_VALUE"""),0.0)</f>
        <v>0</v>
      </c>
    </row>
    <row r="28" ht="15.75" customHeight="1">
      <c r="A28" s="14"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B28" s="15" t="str">
        <f>IFERROR(__xludf.DUMMYFUNCTION("""COMPUTED_VALUE"""),"The 10 Best Attribution Marketing Agencies in England - 2026 Reviews")</f>
        <v>The 10 Best Attribution Marketing Agencies in England - 2026 Reviews</v>
      </c>
      <c r="C28" s="14" t="str">
        <f>IFERROR(__xludf.DUMMYFUNCTION("""COMPUTED_VALUE"""),"sortlist.co.uk")</f>
        <v>sortlist.co.uk</v>
      </c>
      <c r="D28" s="15" t="str">
        <f>IFERROR(__xludf.DUMMYFUNCTION("""COMPUTED_VALUE"""),"CATEGORY_PAGE")</f>
        <v>CATEGORY_PAGE</v>
      </c>
      <c r="E28" s="15" t="str">
        <f>IFERROR(__xludf.DUMMYFUNCTION("""COMPUTED_VALUE"""),"REFERENCE")</f>
        <v>REFERENCE</v>
      </c>
      <c r="F28" s="15" t="str">
        <f>IFERROR(__xludf.DUMMYFUNCTION("""COMPUTED_VALUE"""),"Category Page")</f>
        <v>Category Page</v>
      </c>
      <c r="G28" s="15" t="b">
        <f>IFERROR(__xludf.DUMMYFUNCTION("""COMPUTED_VALUE"""),FALSE)</f>
        <v>0</v>
      </c>
      <c r="H28" s="15" t="str">
        <f>IFERROR(__xludf.DUMMYFUNCTION("""COMPUTED_VALUE"""),"GA Agency")</f>
        <v>GA Agency</v>
      </c>
      <c r="I28" s="15">
        <f>IFERROR(__xludf.DUMMYFUNCTION("""COMPUTED_VALUE"""),4.0)</f>
        <v>4</v>
      </c>
      <c r="J28" s="15">
        <f>IFERROR(__xludf.DUMMYFUNCTION("""COMPUTED_VALUE"""),0.0)</f>
        <v>0</v>
      </c>
      <c r="K28" s="15">
        <f>IFERROR(__xludf.DUMMYFUNCTION("""COMPUTED_VALUE"""),0.75)</f>
        <v>0.75</v>
      </c>
    </row>
    <row r="29" ht="15.75" customHeight="1">
      <c r="A29" s="14" t="str">
        <f>IFERROR(__xludf.DUMMYFUNCTION("""COMPUTED_VALUE"""),"https://www.sortlist.co.uk/s/marketing-analytics/west-midlands-england-gb")</f>
        <v>https://www.sortlist.co.uk/s/marketing-analytics/west-midlands-england-gb</v>
      </c>
      <c r="B29" s="15" t="str">
        <f>IFERROR(__xludf.DUMMYFUNCTION("""COMPUTED_VALUE"""),"The 10 Best Marketing Analytics Companies in West Midlands - 2026 Reviews")</f>
        <v>The 10 Best Marketing Analytics Companies in West Midlands - 2026 Reviews</v>
      </c>
      <c r="C29" s="14" t="str">
        <f>IFERROR(__xludf.DUMMYFUNCTION("""COMPUTED_VALUE"""),"sortlist.co.uk")</f>
        <v>sortlist.co.uk</v>
      </c>
      <c r="D29" s="15" t="str">
        <f>IFERROR(__xludf.DUMMYFUNCTION("""COMPUTED_VALUE"""),"CATEGORY_PAGE")</f>
        <v>CATEGORY_PAGE</v>
      </c>
      <c r="E29" s="15" t="str">
        <f>IFERROR(__xludf.DUMMYFUNCTION("""COMPUTED_VALUE"""),"REFERENCE")</f>
        <v>REFERENCE</v>
      </c>
      <c r="F29" s="15" t="str">
        <f>IFERROR(__xludf.DUMMYFUNCTION("""COMPUTED_VALUE"""),"Category Page")</f>
        <v>Category Page</v>
      </c>
      <c r="G29" s="15" t="b">
        <f>IFERROR(__xludf.DUMMYFUNCTION("""COMPUTED_VALUE"""),FALSE)</f>
        <v>0</v>
      </c>
      <c r="H29" s="15" t="str">
        <f>IFERROR(__xludf.DUMMYFUNCTION("""COMPUTED_VALUE"""),"Momentum, M3.agency, Ninja Promo")</f>
        <v>Momentum, M3.agency, Ninja Promo</v>
      </c>
      <c r="I29" s="15">
        <f>IFERROR(__xludf.DUMMYFUNCTION("""COMPUTED_VALUE"""),4.0)</f>
        <v>4</v>
      </c>
      <c r="J29" s="15">
        <f>IFERROR(__xludf.DUMMYFUNCTION("""COMPUTED_VALUE"""),0.0)</f>
        <v>0</v>
      </c>
      <c r="K29" s="15">
        <f>IFERROR(__xludf.DUMMYFUNCTION("""COMPUTED_VALUE"""),0.0)</f>
        <v>0</v>
      </c>
    </row>
    <row r="30" ht="15.75" customHeight="1">
      <c r="A30" s="14" t="str">
        <f>IFERROR(__xludf.DUMMYFUNCTION("""COMPUTED_VALUE"""),"https://www.sortlist.co.uk/s/data-driven-marketing/united-kingdom-gb")</f>
        <v>https://www.sortlist.co.uk/s/data-driven-marketing/united-kingdom-gb</v>
      </c>
      <c r="B30" s="15" t="str">
        <f>IFERROR(__xludf.DUMMYFUNCTION("""COMPUTED_VALUE"""),"The 10 Best Data Driven Marketing Agencies in The United Kingdom - 2026 Reviews")</f>
        <v>The 10 Best Data Driven Marketing Agencies in The United Kingdom - 2026 Reviews</v>
      </c>
      <c r="C30" s="14" t="str">
        <f>IFERROR(__xludf.DUMMYFUNCTION("""COMPUTED_VALUE"""),"sortlist.co.uk")</f>
        <v>sortlist.co.uk</v>
      </c>
      <c r="D30" s="15" t="str">
        <f>IFERROR(__xludf.DUMMYFUNCTION("""COMPUTED_VALUE"""),"CATEGORY_PAGE")</f>
        <v>CATEGORY_PAGE</v>
      </c>
      <c r="E30" s="15" t="str">
        <f>IFERROR(__xludf.DUMMYFUNCTION("""COMPUTED_VALUE"""),"REFERENCE")</f>
        <v>REFERENCE</v>
      </c>
      <c r="F30" s="15" t="str">
        <f>IFERROR(__xludf.DUMMYFUNCTION("""COMPUTED_VALUE"""),"Category Page")</f>
        <v>Category Page</v>
      </c>
      <c r="G30" s="15" t="b">
        <f>IFERROR(__xludf.DUMMYFUNCTION("""COMPUTED_VALUE"""),FALSE)</f>
        <v>0</v>
      </c>
      <c r="H30" s="15" t="str">
        <f>IFERROR(__xludf.DUMMYFUNCTION("""COMPUTED_VALUE"""),"Momentum, M3.agency, Ninja Promo, Bird Marketing")</f>
        <v>Momentum, M3.agency, Ninja Promo, Bird Marketing</v>
      </c>
      <c r="I30" s="15">
        <f>IFERROR(__xludf.DUMMYFUNCTION("""COMPUTED_VALUE"""),3.0)</f>
        <v>3</v>
      </c>
      <c r="J30" s="15">
        <f>IFERROR(__xludf.DUMMYFUNCTION("""COMPUTED_VALUE"""),0.0)</f>
        <v>0</v>
      </c>
      <c r="K30" s="15">
        <f>IFERROR(__xludf.DUMMYFUNCTION("""COMPUTED_VALUE"""),0.0)</f>
        <v>0</v>
      </c>
    </row>
    <row r="31" ht="15.75" customHeight="1">
      <c r="A31" s="14" t="str">
        <f>IFERROR(__xludf.DUMMYFUNCTION("""COMPUTED_VALUE"""),"https://www.sortlist.co.uk/s/ai-marketing/london-england-gb")</f>
        <v>https://www.sortlist.co.uk/s/ai-marketing/london-england-gb</v>
      </c>
      <c r="B31" s="15" t="str">
        <f>IFERROR(__xludf.DUMMYFUNCTION("""COMPUTED_VALUE"""),"The 10 Best AI Marketing Companies in London - 2026 Reviews")</f>
        <v>The 10 Best AI Marketing Companies in London - 2026 Reviews</v>
      </c>
      <c r="C31" s="14" t="str">
        <f>IFERROR(__xludf.DUMMYFUNCTION("""COMPUTED_VALUE"""),"sortlist.co.uk")</f>
        <v>sortlist.co.uk</v>
      </c>
      <c r="D31" s="15" t="str">
        <f>IFERROR(__xludf.DUMMYFUNCTION("""COMPUTED_VALUE"""),"CATEGORY_PAGE")</f>
        <v>CATEGORY_PAGE</v>
      </c>
      <c r="E31" s="15" t="str">
        <f>IFERROR(__xludf.DUMMYFUNCTION("""COMPUTED_VALUE"""),"REFERENCE")</f>
        <v>REFERENCE</v>
      </c>
      <c r="F31" s="15" t="str">
        <f>IFERROR(__xludf.DUMMYFUNCTION("""COMPUTED_VALUE"""),"Category Page")</f>
        <v>Category Page</v>
      </c>
      <c r="G31" s="15" t="b">
        <f>IFERROR(__xludf.DUMMYFUNCTION("""COMPUTED_VALUE"""),FALSE)</f>
        <v>0</v>
      </c>
      <c r="H31" s="15" t="str">
        <f>IFERROR(__xludf.DUMMYFUNCTION("""COMPUTED_VALUE"""),"Hallam")</f>
        <v>Hallam</v>
      </c>
      <c r="I31" s="15">
        <f>IFERROR(__xludf.DUMMYFUNCTION("""COMPUTED_VALUE"""),2.0)</f>
        <v>2</v>
      </c>
      <c r="J31" s="15">
        <f>IFERROR(__xludf.DUMMYFUNCTION("""COMPUTED_VALUE"""),0.0)</f>
        <v>0</v>
      </c>
      <c r="K31" s="15">
        <f>IFERROR(__xludf.DUMMYFUNCTION("""COMPUTED_VALUE"""),0.0)</f>
        <v>0</v>
      </c>
    </row>
    <row r="32" ht="15.75" customHeight="1">
      <c r="A32" s="14" t="str">
        <f>IFERROR(__xludf.DUMMYFUNCTION("""COMPUTED_VALUE"""),"https://www.sortlist.co.uk/s/attribution-marketing/essex-england-gb")</f>
        <v>https://www.sortlist.co.uk/s/attribution-marketing/essex-england-gb</v>
      </c>
      <c r="B32" s="15" t="str">
        <f>IFERROR(__xludf.DUMMYFUNCTION("""COMPUTED_VALUE"""),"The 10 Best Attribution Marketing Agencies in Essex - 2026 Reviews")</f>
        <v>The 10 Best Attribution Marketing Agencies in Essex - 2026 Reviews</v>
      </c>
      <c r="C32" s="14" t="str">
        <f>IFERROR(__xludf.DUMMYFUNCTION("""COMPUTED_VALUE"""),"sortlist.co.uk")</f>
        <v>sortlist.co.uk</v>
      </c>
      <c r="D32" s="15" t="str">
        <f>IFERROR(__xludf.DUMMYFUNCTION("""COMPUTED_VALUE"""),"CATEGORY_PAGE")</f>
        <v>CATEGORY_PAGE</v>
      </c>
      <c r="E32" s="15" t="str">
        <f>IFERROR(__xludf.DUMMYFUNCTION("""COMPUTED_VALUE"""),"REFERENCE")</f>
        <v>REFERENCE</v>
      </c>
      <c r="F32" s="15" t="str">
        <f>IFERROR(__xludf.DUMMYFUNCTION("""COMPUTED_VALUE"""),"Category Page")</f>
        <v>Category Page</v>
      </c>
      <c r="G32" s="15" t="b">
        <f>IFERROR(__xludf.DUMMYFUNCTION("""COMPUTED_VALUE"""),FALSE)</f>
        <v>0</v>
      </c>
      <c r="H32" s="15" t="str">
        <f>IFERROR(__xludf.DUMMYFUNCTION("""COMPUTED_VALUE"""),"GA Agency")</f>
        <v>GA Agency</v>
      </c>
      <c r="I32" s="15">
        <f>IFERROR(__xludf.DUMMYFUNCTION("""COMPUTED_VALUE"""),2.0)</f>
        <v>2</v>
      </c>
      <c r="J32" s="15">
        <f>IFERROR(__xludf.DUMMYFUNCTION("""COMPUTED_VALUE"""),0.0)</f>
        <v>0</v>
      </c>
      <c r="K32" s="15">
        <f>IFERROR(__xludf.DUMMYFUNCTION("""COMPUTED_VALUE"""),0.0)</f>
        <v>0</v>
      </c>
    </row>
    <row r="33" ht="15.75" customHeight="1">
      <c r="A33" s="14" t="str">
        <f>IFERROR(__xludf.DUMMYFUNCTION("""COMPUTED_VALUE"""),"https://www.sortlist.co.uk/s/creative/england-england-gb")</f>
        <v>https://www.sortlist.co.uk/s/creative/england-england-gb</v>
      </c>
      <c r="B33" s="15" t="str">
        <f>IFERROR(__xludf.DUMMYFUNCTION("""COMPUTED_VALUE"""),"The 10 Best Creative Agencies in England - 2026 Reviews")</f>
        <v>The 10 Best Creative Agencies in England - 2026 Reviews</v>
      </c>
      <c r="C33" s="14" t="str">
        <f>IFERROR(__xludf.DUMMYFUNCTION("""COMPUTED_VALUE"""),"sortlist.co.uk")</f>
        <v>sortlist.co.uk</v>
      </c>
      <c r="D33" s="15" t="str">
        <f>IFERROR(__xludf.DUMMYFUNCTION("""COMPUTED_VALUE"""),"CATEGORY_PAGE")</f>
        <v>CATEGORY_PAGE</v>
      </c>
      <c r="E33" s="15" t="str">
        <f>IFERROR(__xludf.DUMMYFUNCTION("""COMPUTED_VALUE"""),"REFERENCE")</f>
        <v>REFERENCE</v>
      </c>
      <c r="F33" s="15" t="str">
        <f>IFERROR(__xludf.DUMMYFUNCTION("""COMPUTED_VALUE"""),"Category Page")</f>
        <v>Category Page</v>
      </c>
      <c r="G33" s="15" t="b">
        <f>IFERROR(__xludf.DUMMYFUNCTION("""COMPUTED_VALUE"""),FALSE)</f>
        <v>0</v>
      </c>
      <c r="H33" s="15" t="str">
        <f>IFERROR(__xludf.DUMMYFUNCTION("""COMPUTED_VALUE"""),"Ninja Promo, Whitehat, Momentum")</f>
        <v>Ninja Promo, Whitehat, Momentum</v>
      </c>
      <c r="I33" s="15">
        <f>IFERROR(__xludf.DUMMYFUNCTION("""COMPUTED_VALUE"""),2.0)</f>
        <v>2</v>
      </c>
      <c r="J33" s="15">
        <f>IFERROR(__xludf.DUMMYFUNCTION("""COMPUTED_VALUE"""),0.0)</f>
        <v>0</v>
      </c>
      <c r="K33" s="15">
        <f>IFERROR(__xludf.DUMMYFUNCTION("""COMPUTED_VALUE"""),0.0)</f>
        <v>0</v>
      </c>
    </row>
    <row r="34" ht="15.75" customHeight="1">
      <c r="A34" s="14" t="str">
        <f>IFERROR(__xludf.DUMMYFUNCTION("""COMPUTED_VALUE"""),"https://www.sortlist.co.uk/s/digital-advertising/united-kingdom-gb")</f>
        <v>https://www.sortlist.co.uk/s/digital-advertising/united-kingdom-gb</v>
      </c>
      <c r="B34" s="15" t="str">
        <f>IFERROR(__xludf.DUMMYFUNCTION("""COMPUTED_VALUE"""),"The 10 Best Digital Advertising Agencies in The United Kingdom - 2026 Reviews")</f>
        <v>The 10 Best Digital Advertising Agencies in The United Kingdom - 2026 Reviews</v>
      </c>
      <c r="C34" s="14" t="str">
        <f>IFERROR(__xludf.DUMMYFUNCTION("""COMPUTED_VALUE"""),"sortlist.co.uk")</f>
        <v>sortlist.co.uk</v>
      </c>
      <c r="D34" s="15" t="str">
        <f>IFERROR(__xludf.DUMMYFUNCTION("""COMPUTED_VALUE"""),"CATEGORY_PAGE")</f>
        <v>CATEGORY_PAGE</v>
      </c>
      <c r="E34" s="15" t="str">
        <f>IFERROR(__xludf.DUMMYFUNCTION("""COMPUTED_VALUE"""),"REFERENCE")</f>
        <v>REFERENCE</v>
      </c>
      <c r="F34" s="15" t="str">
        <f>IFERROR(__xludf.DUMMYFUNCTION("""COMPUTED_VALUE"""),"Category Page")</f>
        <v>Category Page</v>
      </c>
      <c r="G34" s="15" t="b">
        <f>IFERROR(__xludf.DUMMYFUNCTION("""COMPUTED_VALUE"""),FALSE)</f>
        <v>0</v>
      </c>
      <c r="H34" s="15" t="str">
        <f>IFERROR(__xludf.DUMMYFUNCTION("""COMPUTED_VALUE"""),"Found, Momentum, M3.agency")</f>
        <v>Found, Momentum, M3.agency</v>
      </c>
      <c r="I34" s="15">
        <f>IFERROR(__xludf.DUMMYFUNCTION("""COMPUTED_VALUE"""),2.0)</f>
        <v>2</v>
      </c>
      <c r="J34" s="15">
        <f>IFERROR(__xludf.DUMMYFUNCTION("""COMPUTED_VALUE"""),0.0)</f>
        <v>0</v>
      </c>
      <c r="K34" s="15">
        <f>IFERROR(__xludf.DUMMYFUNCTION("""COMPUTED_VALUE"""),0.0)</f>
        <v>0</v>
      </c>
    </row>
    <row r="35" ht="15.75" customHeight="1">
      <c r="A35" s="14" t="str">
        <f>IFERROR(__xludf.DUMMYFUNCTION("""COMPUTED_VALUE"""),"https://www.sortlist.co.uk/s/marketing-analytics/birmingham-england-gb")</f>
        <v>https://www.sortlist.co.uk/s/marketing-analytics/birmingham-england-gb</v>
      </c>
      <c r="B35" s="15" t="str">
        <f>IFERROR(__xludf.DUMMYFUNCTION("""COMPUTED_VALUE"""),"The 10 Best Marketing Analytics Companies in Birmingham - 2026 Reviews")</f>
        <v>The 10 Best Marketing Analytics Companies in Birmingham - 2026 Reviews</v>
      </c>
      <c r="C35" s="14" t="str">
        <f>IFERROR(__xludf.DUMMYFUNCTION("""COMPUTED_VALUE"""),"sortlist.co.uk")</f>
        <v>sortlist.co.uk</v>
      </c>
      <c r="D35" s="15" t="str">
        <f>IFERROR(__xludf.DUMMYFUNCTION("""COMPUTED_VALUE"""),"CATEGORY_PAGE")</f>
        <v>CATEGORY_PAGE</v>
      </c>
      <c r="E35" s="15" t="str">
        <f>IFERROR(__xludf.DUMMYFUNCTION("""COMPUTED_VALUE"""),"REFERENCE")</f>
        <v>REFERENCE</v>
      </c>
      <c r="F35" s="15" t="str">
        <f>IFERROR(__xludf.DUMMYFUNCTION("""COMPUTED_VALUE"""),"Category Page")</f>
        <v>Category Page</v>
      </c>
      <c r="G35" s="15" t="b">
        <f>IFERROR(__xludf.DUMMYFUNCTION("""COMPUTED_VALUE"""),FALSE)</f>
        <v>0</v>
      </c>
      <c r="H35" s="15" t="str">
        <f>IFERROR(__xludf.DUMMYFUNCTION("""COMPUTED_VALUE"""),"Momentum, M3.agency, Ninja Promo")</f>
        <v>Momentum, M3.agency, Ninja Promo</v>
      </c>
      <c r="I35" s="15">
        <f>IFERROR(__xludf.DUMMYFUNCTION("""COMPUTED_VALUE"""),2.0)</f>
        <v>2</v>
      </c>
      <c r="J35" s="15">
        <f>IFERROR(__xludf.DUMMYFUNCTION("""COMPUTED_VALUE"""),0.0)</f>
        <v>0</v>
      </c>
      <c r="K35" s="15">
        <f>IFERROR(__xludf.DUMMYFUNCTION("""COMPUTED_VALUE"""),0.0)</f>
        <v>0</v>
      </c>
    </row>
    <row r="36" ht="15.75" customHeight="1">
      <c r="A36" s="14" t="str">
        <f>IFERROR(__xludf.DUMMYFUNCTION("""COMPUTED_VALUE"""),"https://www.sortlist.co.uk/s/paid-media/greater-london-england-gb")</f>
        <v>https://www.sortlist.co.uk/s/paid-media/greater-london-england-gb</v>
      </c>
      <c r="B36" s="15" t="str">
        <f>IFERROR(__xludf.DUMMYFUNCTION("""COMPUTED_VALUE"""),"The 10 Best Paid Media Agencies in Greater London - 2026 Reviews")</f>
        <v>The 10 Best Paid Media Agencies in Greater London - 2026 Reviews</v>
      </c>
      <c r="C36" s="14" t="str">
        <f>IFERROR(__xludf.DUMMYFUNCTION("""COMPUTED_VALUE"""),"sortlist.co.uk")</f>
        <v>sortlist.co.uk</v>
      </c>
      <c r="D36" s="15" t="str">
        <f>IFERROR(__xludf.DUMMYFUNCTION("""COMPUTED_VALUE"""),"CATEGORY_PAGE")</f>
        <v>CATEGORY_PAGE</v>
      </c>
      <c r="E36" s="15" t="str">
        <f>IFERROR(__xludf.DUMMYFUNCTION("""COMPUTED_VALUE"""),"REFERENCE")</f>
        <v>REFERENCE</v>
      </c>
      <c r="F36" s="15" t="str">
        <f>IFERROR(__xludf.DUMMYFUNCTION("""COMPUTED_VALUE"""),"Category Page")</f>
        <v>Category Page</v>
      </c>
      <c r="G36" s="15" t="b">
        <f>IFERROR(__xludf.DUMMYFUNCTION("""COMPUTED_VALUE"""),FALSE)</f>
        <v>0</v>
      </c>
      <c r="H36" s="15" t="str">
        <f>IFERROR(__xludf.DUMMYFUNCTION("""COMPUTED_VALUE"""),"Push, Triple Whale, Northbeam, McKinsey &amp; Company, Momentum, M3.agency")</f>
        <v>Push, Triple Whale, Northbeam, McKinsey &amp; Company, Momentum, M3.agency</v>
      </c>
      <c r="I36" s="15">
        <f>IFERROR(__xludf.DUMMYFUNCTION("""COMPUTED_VALUE"""),2.0)</f>
        <v>2</v>
      </c>
      <c r="J36" s="15">
        <f>IFERROR(__xludf.DUMMYFUNCTION("""COMPUTED_VALUE"""),0.0)</f>
        <v>0</v>
      </c>
      <c r="K36" s="15">
        <f>IFERROR(__xludf.DUMMYFUNCTION("""COMPUTED_VALUE"""),0.0)</f>
        <v>0</v>
      </c>
    </row>
    <row r="37" ht="15.75" customHeight="1">
      <c r="A37" s="14" t="str">
        <f>IFERROR(__xludf.DUMMYFUNCTION("""COMPUTED_VALUE"""),"https://www.sortlist.co.uk/s/programmatic-advertising/united-kingdom-gb")</f>
        <v>https://www.sortlist.co.uk/s/programmatic-advertising/united-kingdom-gb</v>
      </c>
      <c r="B37" s="15" t="str">
        <f>IFERROR(__xludf.DUMMYFUNCTION("""COMPUTED_VALUE"""),"100+ Top Programmatic Advertising Companies in the UK - 2026 Reviews")</f>
        <v>100+ Top Programmatic Advertising Companies in the UK - 2026 Reviews</v>
      </c>
      <c r="C37" s="14" t="str">
        <f>IFERROR(__xludf.DUMMYFUNCTION("""COMPUTED_VALUE"""),"sortlist.co.uk")</f>
        <v>sortlist.co.uk</v>
      </c>
      <c r="D37" s="15" t="str">
        <f>IFERROR(__xludf.DUMMYFUNCTION("""COMPUTED_VALUE"""),"PROFILE")</f>
        <v>PROFILE</v>
      </c>
      <c r="E37" s="15" t="str">
        <f>IFERROR(__xludf.DUMMYFUNCTION("""COMPUTED_VALUE"""),"REFERENCE")</f>
        <v>REFERENCE</v>
      </c>
      <c r="F37" s="15" t="str">
        <f>IFERROR(__xludf.DUMMYFUNCTION("""COMPUTED_VALUE"""),"Profile")</f>
        <v>Profile</v>
      </c>
      <c r="G37" s="15" t="b">
        <f>IFERROR(__xludf.DUMMYFUNCTION("""COMPUTED_VALUE"""),FALSE)</f>
        <v>0</v>
      </c>
      <c r="H37" s="15" t="str">
        <f>IFERROR(__xludf.DUMMYFUNCTION("""COMPUTED_VALUE"""),"Push, Triple Whale, Northbeam, Momentum, M3.agency, Impression")</f>
        <v>Push, Triple Whale, Northbeam, Momentum, M3.agency, Impression</v>
      </c>
      <c r="I37" s="15">
        <f>IFERROR(__xludf.DUMMYFUNCTION("""COMPUTED_VALUE"""),2.0)</f>
        <v>2</v>
      </c>
      <c r="J37" s="15">
        <f>IFERROR(__xludf.DUMMYFUNCTION("""COMPUTED_VALUE"""),0.0)</f>
        <v>0</v>
      </c>
      <c r="K37" s="15">
        <f>IFERROR(__xludf.DUMMYFUNCTION("""COMPUTED_VALUE"""),0.0)</f>
        <v>0</v>
      </c>
    </row>
    <row r="38" ht="15.75" customHeight="1">
      <c r="A38" s="14" t="str">
        <f>IFERROR(__xludf.DUMMYFUNCTION("""COMPUTED_VALUE"""),"https://www.sortlist.com/marketing-analytics")</f>
        <v>https://www.sortlist.com/marketing-analytics</v>
      </c>
      <c r="B38" s="15" t="str">
        <f>IFERROR(__xludf.DUMMYFUNCTION("""COMPUTED_VALUE"""),"The 100 Best Marketing Analytics Companies - 2026 Reviews")</f>
        <v>The 100 Best Marketing Analytics Companies - 2026 Reviews</v>
      </c>
      <c r="C38" s="14" t="str">
        <f>IFERROR(__xludf.DUMMYFUNCTION("""COMPUTED_VALUE"""),"sortlist.com")</f>
        <v>sortlist.com</v>
      </c>
      <c r="D38" s="15" t="str">
        <f>IFERROR(__xludf.DUMMYFUNCTION("""COMPUTED_VALUE"""),"CATEGORY_PAGE")</f>
        <v>CATEGORY_PAGE</v>
      </c>
      <c r="E38" s="15" t="str">
        <f>IFERROR(__xludf.DUMMYFUNCTION("""COMPUTED_VALUE"""),"CORPORATE")</f>
        <v>CORPORATE</v>
      </c>
      <c r="F38" s="15" t="str">
        <f>IFERROR(__xludf.DUMMYFUNCTION("""COMPUTED_VALUE"""),"Category Page")</f>
        <v>Category Page</v>
      </c>
      <c r="G38" s="15" t="b">
        <f>IFERROR(__xludf.DUMMYFUNCTION("""COMPUTED_VALUE"""),FALSE)</f>
        <v>0</v>
      </c>
      <c r="H38" s="15" t="str">
        <f>IFERROR(__xludf.DUMMYFUNCTION("""COMPUTED_VALUE"""),"Ninja Promo")</f>
        <v>Ninja Promo</v>
      </c>
      <c r="I38" s="15">
        <f>IFERROR(__xludf.DUMMYFUNCTION("""COMPUTED_VALUE"""),2.0)</f>
        <v>2</v>
      </c>
      <c r="J38" s="15">
        <f>IFERROR(__xludf.DUMMYFUNCTION("""COMPUTED_VALUE"""),0.0)</f>
        <v>0</v>
      </c>
      <c r="K38" s="15">
        <f>IFERROR(__xludf.DUMMYFUNCTION("""COMPUTED_VALUE"""),0.0)</f>
        <v>0</v>
      </c>
    </row>
    <row r="39" ht="15.75" customHeight="1">
      <c r="A39" s="14" t="str">
        <f>IFERROR(__xludf.DUMMYFUNCTION("""COMPUTED_VALUE"""),"https://www.sortlist.co.uk/advertising/england-england-gb")</f>
        <v>https://www.sortlist.co.uk/advertising/england-england-gb</v>
      </c>
      <c r="B39" s="15" t="str">
        <f>IFERROR(__xludf.DUMMYFUNCTION("""COMPUTED_VALUE"""),"The 10 Best Advertising Agencies in England - 2026 Reviews")</f>
        <v>The 10 Best Advertising Agencies in England - 2026 Reviews</v>
      </c>
      <c r="C39" s="14" t="str">
        <f>IFERROR(__xludf.DUMMYFUNCTION("""COMPUTED_VALUE"""),"sortlist.co.uk")</f>
        <v>sortlist.co.uk</v>
      </c>
      <c r="D39" s="15" t="str">
        <f>IFERROR(__xludf.DUMMYFUNCTION("""COMPUTED_VALUE"""),"PROFILE")</f>
        <v>PROFILE</v>
      </c>
      <c r="E39" s="15" t="str">
        <f>IFERROR(__xludf.DUMMYFUNCTION("""COMPUTED_VALUE"""),"REFERENCE")</f>
        <v>REFERENCE</v>
      </c>
      <c r="F39" s="15" t="str">
        <f>IFERROR(__xludf.DUMMYFUNCTION("""COMPUTED_VALUE"""),"Profile")</f>
        <v>Profile</v>
      </c>
      <c r="G39" s="15" t="b">
        <f>IFERROR(__xludf.DUMMYFUNCTION("""COMPUTED_VALUE"""),FALSE)</f>
        <v>0</v>
      </c>
      <c r="H39" s="15" t="str">
        <f>IFERROR(__xludf.DUMMYFUNCTION("""COMPUTED_VALUE"""),"Momentum, M3.agency, McKinsey &amp; Company, Ninja Promo")</f>
        <v>Momentum, M3.agency, McKinsey &amp; Company, Ninja Promo</v>
      </c>
      <c r="I39" s="15">
        <f>IFERROR(__xludf.DUMMYFUNCTION("""COMPUTED_VALUE"""),1.0)</f>
        <v>1</v>
      </c>
      <c r="J39" s="15">
        <f>IFERROR(__xludf.DUMMYFUNCTION("""COMPUTED_VALUE"""),0.0)</f>
        <v>0</v>
      </c>
      <c r="K39" s="15">
        <f>IFERROR(__xludf.DUMMYFUNCTION("""COMPUTED_VALUE"""),1.0)</f>
        <v>1</v>
      </c>
    </row>
    <row r="40" ht="15.75" customHeight="1">
      <c r="A40" s="14" t="str">
        <f>IFERROR(__xludf.DUMMYFUNCTION("""COMPUTED_VALUE"""),"https://www.sortlist.co.uk/s/attribution-marketing/greater-london-england-gb")</f>
        <v>https://www.sortlist.co.uk/s/attribution-marketing/greater-london-england-gb</v>
      </c>
      <c r="B40" s="15" t="str">
        <f>IFERROR(__xludf.DUMMYFUNCTION("""COMPUTED_VALUE"""),"The 10 Best Attribution Marketing Agencies in Greater London - 2026 Reviews")</f>
        <v>The 10 Best Attribution Marketing Agencies in Greater London - 2026 Reviews</v>
      </c>
      <c r="C40" s="14" t="str">
        <f>IFERROR(__xludf.DUMMYFUNCTION("""COMPUTED_VALUE"""),"sortlist.co.uk")</f>
        <v>sortlist.co.uk</v>
      </c>
      <c r="D40" s="15" t="str">
        <f>IFERROR(__xludf.DUMMYFUNCTION("""COMPUTED_VALUE"""),"CATEGORY_PAGE")</f>
        <v>CATEGORY_PAGE</v>
      </c>
      <c r="E40" s="15" t="str">
        <f>IFERROR(__xludf.DUMMYFUNCTION("""COMPUTED_VALUE"""),"REFERENCE")</f>
        <v>REFERENCE</v>
      </c>
      <c r="F40" s="15" t="str">
        <f>IFERROR(__xludf.DUMMYFUNCTION("""COMPUTED_VALUE"""),"Category Page")</f>
        <v>Category Page</v>
      </c>
      <c r="G40" s="15" t="b">
        <f>IFERROR(__xludf.DUMMYFUNCTION("""COMPUTED_VALUE"""),FALSE)</f>
        <v>0</v>
      </c>
      <c r="H40" s="15" t="str">
        <f>IFERROR(__xludf.DUMMYFUNCTION("""COMPUTED_VALUE"""),"GA Agency")</f>
        <v>GA Agency</v>
      </c>
      <c r="I40" s="15">
        <f>IFERROR(__xludf.DUMMYFUNCTION("""COMPUTED_VALUE"""),1.0)</f>
        <v>1</v>
      </c>
      <c r="J40" s="15">
        <f>IFERROR(__xludf.DUMMYFUNCTION("""COMPUTED_VALUE"""),0.0)</f>
        <v>0</v>
      </c>
      <c r="K40" s="15">
        <f>IFERROR(__xludf.DUMMYFUNCTION("""COMPUTED_VALUE"""),0.0)</f>
        <v>0</v>
      </c>
    </row>
    <row r="41" ht="15.75" customHeight="1">
      <c r="A41" s="14" t="str">
        <f>IFERROR(__xludf.DUMMYFUNCTION("""COMPUTED_VALUE"""),"https://www.sortlist.co.uk/s/creative/united-kingdom-gb?custom=creative")</f>
        <v>https://www.sortlist.co.uk/s/creative/united-kingdom-gb?custom=creative</v>
      </c>
      <c r="B41" s="15" t="str">
        <f>IFERROR(__xludf.DUMMYFUNCTION("""COMPUTED_VALUE"""),"The 10 Best Creative Agencies in The United Kingdom - 2026 Reviews")</f>
        <v>The 10 Best Creative Agencies in The United Kingdom - 2026 Reviews</v>
      </c>
      <c r="C41" s="14" t="str">
        <f>IFERROR(__xludf.DUMMYFUNCTION("""COMPUTED_VALUE"""),"sortlist.co.uk")</f>
        <v>sortlist.co.uk</v>
      </c>
      <c r="D41" s="15" t="str">
        <f>IFERROR(__xludf.DUMMYFUNCTION("""COMPUTED_VALUE"""),"CATEGORY_PAGE")</f>
        <v>CATEGORY_PAGE</v>
      </c>
      <c r="E41" s="15" t="str">
        <f>IFERROR(__xludf.DUMMYFUNCTION("""COMPUTED_VALUE"""),"REFERENCE")</f>
        <v>REFERENCE</v>
      </c>
      <c r="F41" s="15" t="str">
        <f>IFERROR(__xludf.DUMMYFUNCTION("""COMPUTED_VALUE"""),"Category Page")</f>
        <v>Category Page</v>
      </c>
      <c r="G41" s="15" t="b">
        <f>IFERROR(__xludf.DUMMYFUNCTION("""COMPUTED_VALUE"""),FALSE)</f>
        <v>0</v>
      </c>
      <c r="H41" s="15" t="str">
        <f>IFERROR(__xludf.DUMMYFUNCTION("""COMPUTED_VALUE"""),"Ninja Promo, Whitehat, Momentum")</f>
        <v>Ninja Promo, Whitehat, Momentum</v>
      </c>
      <c r="I41" s="15">
        <f>IFERROR(__xludf.DUMMYFUNCTION("""COMPUTED_VALUE"""),1.0)</f>
        <v>1</v>
      </c>
      <c r="J41" s="15">
        <f>IFERROR(__xludf.DUMMYFUNCTION("""COMPUTED_VALUE"""),0.0)</f>
        <v>0</v>
      </c>
      <c r="K41" s="15">
        <f>IFERROR(__xludf.DUMMYFUNCTION("""COMPUTED_VALUE"""),0.0)</f>
        <v>0</v>
      </c>
    </row>
    <row r="42" ht="15.75" customHeight="1">
      <c r="A42" s="14" t="str">
        <f>IFERROR(__xludf.DUMMYFUNCTION("""COMPUTED_VALUE"""),"https://www.sortlist.co.uk/s/display-advertising/birmingham-england-gb")</f>
        <v>https://www.sortlist.co.uk/s/display-advertising/birmingham-england-gb</v>
      </c>
      <c r="B42" s="15" t="str">
        <f>IFERROR(__xludf.DUMMYFUNCTION("""COMPUTED_VALUE"""),"The 10 Best Display Advertising Agencies in Birmingham - 2026 Reviews")</f>
        <v>The 10 Best Display Advertising Agencies in Birmingham - 2026 Reviews</v>
      </c>
      <c r="C42" s="14" t="str">
        <f>IFERROR(__xludf.DUMMYFUNCTION("""COMPUTED_VALUE"""),"sortlist.co.uk")</f>
        <v>sortlist.co.uk</v>
      </c>
      <c r="D42" s="15" t="str">
        <f>IFERROR(__xludf.DUMMYFUNCTION("""COMPUTED_VALUE"""),"CATEGORY_PAGE")</f>
        <v>CATEGORY_PAGE</v>
      </c>
      <c r="E42" s="15" t="str">
        <f>IFERROR(__xludf.DUMMYFUNCTION("""COMPUTED_VALUE"""),"REFERENCE")</f>
        <v>REFERENCE</v>
      </c>
      <c r="F42" s="15" t="str">
        <f>IFERROR(__xludf.DUMMYFUNCTION("""COMPUTED_VALUE"""),"Category Page")</f>
        <v>Category Page</v>
      </c>
      <c r="G42" s="15" t="b">
        <f>IFERROR(__xludf.DUMMYFUNCTION("""COMPUTED_VALUE"""),FALSE)</f>
        <v>0</v>
      </c>
      <c r="H42" s="15" t="str">
        <f>IFERROR(__xludf.DUMMYFUNCTION("""COMPUTED_VALUE"""),"Push, Triple Whale, Northbeam, Momentum, M3.agency, Ninja Promo")</f>
        <v>Push, Triple Whale, Northbeam, Momentum, M3.agency, Ninja Promo</v>
      </c>
      <c r="I42" s="15">
        <f>IFERROR(__xludf.DUMMYFUNCTION("""COMPUTED_VALUE"""),1.0)</f>
        <v>1</v>
      </c>
      <c r="J42" s="15">
        <f>IFERROR(__xludf.DUMMYFUNCTION("""COMPUTED_VALUE"""),0.0)</f>
        <v>0</v>
      </c>
      <c r="K42" s="15">
        <f>IFERROR(__xludf.DUMMYFUNCTION("""COMPUTED_VALUE"""),0.0)</f>
        <v>0</v>
      </c>
    </row>
    <row r="43" ht="15.75" customHeight="1">
      <c r="A43" s="14" t="str">
        <f>IFERROR(__xludf.DUMMYFUNCTION("""COMPUTED_VALUE"""),"https://www.sortlist.co.uk/s/display-advertising/greater-london-england-gb")</f>
        <v>https://www.sortlist.co.uk/s/display-advertising/greater-london-england-gb</v>
      </c>
      <c r="B43" s="15" t="str">
        <f>IFERROR(__xludf.DUMMYFUNCTION("""COMPUTED_VALUE"""),"The 10 Best Display Advertising Agencies in Greater London - 2026 Reviews")</f>
        <v>The 10 Best Display Advertising Agencies in Greater London - 2026 Reviews</v>
      </c>
      <c r="C43" s="14" t="str">
        <f>IFERROR(__xludf.DUMMYFUNCTION("""COMPUTED_VALUE"""),"sortlist.co.uk")</f>
        <v>sortlist.co.uk</v>
      </c>
      <c r="D43" s="15" t="str">
        <f>IFERROR(__xludf.DUMMYFUNCTION("""COMPUTED_VALUE"""),"CATEGORY_PAGE")</f>
        <v>CATEGORY_PAGE</v>
      </c>
      <c r="E43" s="15" t="str">
        <f>IFERROR(__xludf.DUMMYFUNCTION("""COMPUTED_VALUE"""),"REFERENCE")</f>
        <v>REFERENCE</v>
      </c>
      <c r="F43" s="15" t="str">
        <f>IFERROR(__xludf.DUMMYFUNCTION("""COMPUTED_VALUE"""),"Category Page")</f>
        <v>Category Page</v>
      </c>
      <c r="G43" s="15" t="b">
        <f>IFERROR(__xludf.DUMMYFUNCTION("""COMPUTED_VALUE"""),FALSE)</f>
        <v>0</v>
      </c>
      <c r="H43" s="15" t="str">
        <f>IFERROR(__xludf.DUMMYFUNCTION("""COMPUTED_VALUE"""),"Push, Triple Whale, Northbeam, Ninja Promo, Momentum, M3.agency")</f>
        <v>Push, Triple Whale, Northbeam, Ninja Promo, Momentum, M3.agency</v>
      </c>
      <c r="I43" s="15">
        <f>IFERROR(__xludf.DUMMYFUNCTION("""COMPUTED_VALUE"""),1.0)</f>
        <v>1</v>
      </c>
      <c r="J43" s="15">
        <f>IFERROR(__xludf.DUMMYFUNCTION("""COMPUTED_VALUE"""),0.0)</f>
        <v>0</v>
      </c>
      <c r="K43" s="15">
        <f>IFERROR(__xludf.DUMMYFUNCTION("""COMPUTED_VALUE"""),0.0)</f>
        <v>0</v>
      </c>
    </row>
    <row r="44" ht="15.75" customHeight="1">
      <c r="A44" s="14" t="str">
        <f>IFERROR(__xludf.DUMMYFUNCTION("""COMPUTED_VALUE"""),"https://www.sortlist.co.uk/s/display-advertising/luton-england-gb")</f>
        <v>https://www.sortlist.co.uk/s/display-advertising/luton-england-gb</v>
      </c>
      <c r="B44" s="15" t="str">
        <f>IFERROR(__xludf.DUMMYFUNCTION("""COMPUTED_VALUE"""),"The 10 Best Display Advertising Agencies in Luton - 2026 Reviews")</f>
        <v>The 10 Best Display Advertising Agencies in Luton - 2026 Reviews</v>
      </c>
      <c r="C44" s="14" t="str">
        <f>IFERROR(__xludf.DUMMYFUNCTION("""COMPUTED_VALUE"""),"sortlist.co.uk")</f>
        <v>sortlist.co.uk</v>
      </c>
      <c r="D44" s="15" t="str">
        <f>IFERROR(__xludf.DUMMYFUNCTION("""COMPUTED_VALUE"""),"CATEGORY_PAGE")</f>
        <v>CATEGORY_PAGE</v>
      </c>
      <c r="E44" s="15" t="str">
        <f>IFERROR(__xludf.DUMMYFUNCTION("""COMPUTED_VALUE"""),"REFERENCE")</f>
        <v>REFERENCE</v>
      </c>
      <c r="F44" s="15" t="str">
        <f>IFERROR(__xludf.DUMMYFUNCTION("""COMPUTED_VALUE"""),"Category Page")</f>
        <v>Category Page</v>
      </c>
      <c r="G44" s="15" t="b">
        <f>IFERROR(__xludf.DUMMYFUNCTION("""COMPUTED_VALUE"""),FALSE)</f>
        <v>0</v>
      </c>
      <c r="H44" s="15" t="str">
        <f>IFERROR(__xludf.DUMMYFUNCTION("""COMPUTED_VALUE"""),"Push, Triple Whale, Northbeam, Found, Ninja Promo")</f>
        <v>Push, Triple Whale, Northbeam, Found, Ninja Promo</v>
      </c>
      <c r="I44" s="15">
        <f>IFERROR(__xludf.DUMMYFUNCTION("""COMPUTED_VALUE"""),1.0)</f>
        <v>1</v>
      </c>
      <c r="J44" s="15">
        <f>IFERROR(__xludf.DUMMYFUNCTION("""COMPUTED_VALUE"""),0.0)</f>
        <v>0</v>
      </c>
      <c r="K44" s="15">
        <f>IFERROR(__xludf.DUMMYFUNCTION("""COMPUTED_VALUE"""),0.0)</f>
        <v>0</v>
      </c>
    </row>
    <row r="45" ht="15.75" customHeight="1">
      <c r="A45" s="14" t="str">
        <f>IFERROR(__xludf.DUMMYFUNCTION("""COMPUTED_VALUE"""),"https://www.sortlist.co.uk/s/display-advertising/manchester-england-gb")</f>
        <v>https://www.sortlist.co.uk/s/display-advertising/manchester-england-gb</v>
      </c>
      <c r="B45" s="15" t="str">
        <f>IFERROR(__xludf.DUMMYFUNCTION("""COMPUTED_VALUE"""),"The 10 Best Display Advertising Agencies in Manchester - 2026 Reviews")</f>
        <v>The 10 Best Display Advertising Agencies in Manchester - 2026 Reviews</v>
      </c>
      <c r="C45" s="14" t="str">
        <f>IFERROR(__xludf.DUMMYFUNCTION("""COMPUTED_VALUE"""),"sortlist.co.uk")</f>
        <v>sortlist.co.uk</v>
      </c>
      <c r="D45" s="15" t="str">
        <f>IFERROR(__xludf.DUMMYFUNCTION("""COMPUTED_VALUE"""),"CATEGORY_PAGE")</f>
        <v>CATEGORY_PAGE</v>
      </c>
      <c r="E45" s="15" t="str">
        <f>IFERROR(__xludf.DUMMYFUNCTION("""COMPUTED_VALUE"""),"REFERENCE")</f>
        <v>REFERENCE</v>
      </c>
      <c r="F45" s="15" t="str">
        <f>IFERROR(__xludf.DUMMYFUNCTION("""COMPUTED_VALUE"""),"Category Page")</f>
        <v>Category Page</v>
      </c>
      <c r="G45" s="15" t="b">
        <f>IFERROR(__xludf.DUMMYFUNCTION("""COMPUTED_VALUE"""),FALSE)</f>
        <v>0</v>
      </c>
      <c r="H45" s="15" t="str">
        <f>IFERROR(__xludf.DUMMYFUNCTION("""COMPUTED_VALUE"""),"Push, Triple Whale, Northbeam, Ninja Promo")</f>
        <v>Push, Triple Whale, Northbeam, Ninja Promo</v>
      </c>
      <c r="I45" s="15">
        <f>IFERROR(__xludf.DUMMYFUNCTION("""COMPUTED_VALUE"""),1.0)</f>
        <v>1</v>
      </c>
      <c r="J45" s="15">
        <f>IFERROR(__xludf.DUMMYFUNCTION("""COMPUTED_VALUE"""),0.0)</f>
        <v>0</v>
      </c>
      <c r="K45" s="15">
        <f>IFERROR(__xludf.DUMMYFUNCTION("""COMPUTED_VALUE"""),0.0)</f>
        <v>0</v>
      </c>
    </row>
    <row r="46" ht="15.75" customHeight="1">
      <c r="A46" s="14" t="str">
        <f>IFERROR(__xludf.DUMMYFUNCTION("""COMPUTED_VALUE"""),"https://www.sortlist.co.uk/s/google-ads/united-kingdom-gb")</f>
        <v>https://www.sortlist.co.uk/s/google-ads/united-kingdom-gb</v>
      </c>
      <c r="B46" s="15" t="str">
        <f>IFERROR(__xludf.DUMMYFUNCTION("""COMPUTED_VALUE"""),"The 10 Best Google Ads Agencies in The United Kingdom - 2026 Reviews")</f>
        <v>The 10 Best Google Ads Agencies in The United Kingdom - 2026 Reviews</v>
      </c>
      <c r="C46" s="14" t="str">
        <f>IFERROR(__xludf.DUMMYFUNCTION("""COMPUTED_VALUE"""),"sortlist.co.uk")</f>
        <v>sortlist.co.uk</v>
      </c>
      <c r="D46" s="15" t="str">
        <f>IFERROR(__xludf.DUMMYFUNCTION("""COMPUTED_VALUE"""),"LISTICLE")</f>
        <v>LISTICLE</v>
      </c>
      <c r="E46" s="15" t="str">
        <f>IFERROR(__xludf.DUMMYFUNCTION("""COMPUTED_VALUE"""),"REFERENCE")</f>
        <v>REFERENCE</v>
      </c>
      <c r="F46" s="15" t="str">
        <f>IFERROR(__xludf.DUMMYFUNCTION("""COMPUTED_VALUE"""),"Listicle")</f>
        <v>Listicle</v>
      </c>
      <c r="G46" s="15" t="b">
        <f>IFERROR(__xludf.DUMMYFUNCTION("""COMPUTED_VALUE"""),FALSE)</f>
        <v>0</v>
      </c>
      <c r="H46" s="15" t="str">
        <f>IFERROR(__xludf.DUMMYFUNCTION("""COMPUTED_VALUE"""),"Push, Triple Whale, Northbeam, Found, Ninja Promo")</f>
        <v>Push, Triple Whale, Northbeam, Found, Ninja Promo</v>
      </c>
      <c r="I46" s="15">
        <f>IFERROR(__xludf.DUMMYFUNCTION("""COMPUTED_VALUE"""),1.0)</f>
        <v>1</v>
      </c>
      <c r="J46" s="15">
        <f>IFERROR(__xludf.DUMMYFUNCTION("""COMPUTED_VALUE"""),0.0)</f>
        <v>0</v>
      </c>
      <c r="K46" s="15">
        <f>IFERROR(__xludf.DUMMYFUNCTION("""COMPUTED_VALUE"""),1.0)</f>
        <v>1</v>
      </c>
    </row>
    <row r="47" ht="15.75" customHeight="1">
      <c r="A47" s="14" t="str">
        <f>IFERROR(__xludf.DUMMYFUNCTION("""COMPUTED_VALUE"""),"https://www.sortlist.co.uk/s/international-branding/united-kingdom-gb")</f>
        <v>https://www.sortlist.co.uk/s/international-branding/united-kingdom-gb</v>
      </c>
      <c r="B47" s="15" t="str">
        <f>IFERROR(__xludf.DUMMYFUNCTION("""COMPUTED_VALUE"""),"The 10 Best International Branding Agencies in The United Kingdom - 2026 Reviews")</f>
        <v>The 10 Best International Branding Agencies in The United Kingdom - 2026 Reviews</v>
      </c>
      <c r="C47" s="14" t="str">
        <f>IFERROR(__xludf.DUMMYFUNCTION("""COMPUTED_VALUE"""),"sortlist.co.uk")</f>
        <v>sortlist.co.uk</v>
      </c>
      <c r="D47" s="15" t="str">
        <f>IFERROR(__xludf.DUMMYFUNCTION("""COMPUTED_VALUE"""),"CATEGORY_PAGE")</f>
        <v>CATEGORY_PAGE</v>
      </c>
      <c r="E47" s="15" t="str">
        <f>IFERROR(__xludf.DUMMYFUNCTION("""COMPUTED_VALUE"""),"REFERENCE")</f>
        <v>REFERENCE</v>
      </c>
      <c r="F47" s="15" t="str">
        <f>IFERROR(__xludf.DUMMYFUNCTION("""COMPUTED_VALUE"""),"Category Page")</f>
        <v>Category Page</v>
      </c>
      <c r="G47" s="15" t="b">
        <f>IFERROR(__xludf.DUMMYFUNCTION("""COMPUTED_VALUE"""),FALSE)</f>
        <v>0</v>
      </c>
      <c r="H47" s="15" t="str">
        <f>IFERROR(__xludf.DUMMYFUNCTION("""COMPUTED_VALUE"""),"Momentum, M3.agency")</f>
        <v>Momentum, M3.agency</v>
      </c>
      <c r="I47" s="15">
        <f>IFERROR(__xludf.DUMMYFUNCTION("""COMPUTED_VALUE"""),1.0)</f>
        <v>1</v>
      </c>
      <c r="J47" s="15">
        <f>IFERROR(__xludf.DUMMYFUNCTION("""COMPUTED_VALUE"""),0.0)</f>
        <v>0</v>
      </c>
      <c r="K47" s="15">
        <f>IFERROR(__xludf.DUMMYFUNCTION("""COMPUTED_VALUE"""),0.0)</f>
        <v>0</v>
      </c>
    </row>
    <row r="48" ht="15.75" customHeight="1">
      <c r="A48" s="14" t="str">
        <f>IFERROR(__xludf.DUMMYFUNCTION("""COMPUTED_VALUE"""),"https://www.sortlist.co.uk/s/paid-media/united-kingdom-gb?page=4")</f>
        <v>https://www.sortlist.co.uk/s/paid-media/united-kingdom-gb?page=4</v>
      </c>
      <c r="B48" s="15"/>
      <c r="C48" s="14" t="str">
        <f>IFERROR(__xludf.DUMMYFUNCTION("""COMPUTED_VALUE"""),"sortlist.co.uk")</f>
        <v>sortlist.co.uk</v>
      </c>
      <c r="D48" s="15" t="str">
        <f>IFERROR(__xludf.DUMMYFUNCTION("""COMPUTED_VALUE"""),"OTHER")</f>
        <v>OTHER</v>
      </c>
      <c r="E48" s="15" t="str">
        <f>IFERROR(__xludf.DUMMYFUNCTION("""COMPUTED_VALUE"""),"OTHER")</f>
        <v>OTHER</v>
      </c>
      <c r="F48" s="15" t="str">
        <f>IFERROR(__xludf.DUMMYFUNCTION("""COMPUTED_VALUE"""),"Other")</f>
        <v>Other</v>
      </c>
      <c r="G48" s="15"/>
      <c r="H48" s="15" t="str">
        <f>IFERROR(__xludf.DUMMYFUNCTION("""COMPUTED_VALUE"""),"Unknown")</f>
        <v>Unknown</v>
      </c>
      <c r="I48" s="15">
        <f>IFERROR(__xludf.DUMMYFUNCTION("""COMPUTED_VALUE"""),1.0)</f>
        <v>1</v>
      </c>
      <c r="J48" s="15">
        <f>IFERROR(__xludf.DUMMYFUNCTION("""COMPUTED_VALUE"""),0.0)</f>
        <v>0</v>
      </c>
      <c r="K48" s="15">
        <f>IFERROR(__xludf.DUMMYFUNCTION("""COMPUTED_VALUE"""),0.0)</f>
        <v>0</v>
      </c>
    </row>
    <row r="49" ht="15.75" customHeight="1">
      <c r="A49" s="14" t="str">
        <f>IFERROR(__xludf.DUMMYFUNCTION("""COMPUTED_VALUE"""),"https://www.sortlist.co.uk/s/performance-marketing/greater-london-england-gb")</f>
        <v>https://www.sortlist.co.uk/s/performance-marketing/greater-london-england-gb</v>
      </c>
      <c r="B49" s="15" t="str">
        <f>IFERROR(__xludf.DUMMYFUNCTION("""COMPUTED_VALUE"""),"The 10 Best Performance Marketing Agencies in Greater London - 2026 Reviews")</f>
        <v>The 10 Best Performance Marketing Agencies in Greater London - 2026 Reviews</v>
      </c>
      <c r="C49" s="14" t="str">
        <f>IFERROR(__xludf.DUMMYFUNCTION("""COMPUTED_VALUE"""),"sortlist.co.uk")</f>
        <v>sortlist.co.uk</v>
      </c>
      <c r="D49" s="15" t="str">
        <f>IFERROR(__xludf.DUMMYFUNCTION("""COMPUTED_VALUE"""),"CATEGORY_PAGE")</f>
        <v>CATEGORY_PAGE</v>
      </c>
      <c r="E49" s="15" t="str">
        <f>IFERROR(__xludf.DUMMYFUNCTION("""COMPUTED_VALUE"""),"REFERENCE")</f>
        <v>REFERENCE</v>
      </c>
      <c r="F49" s="15" t="str">
        <f>IFERROR(__xludf.DUMMYFUNCTION("""COMPUTED_VALUE"""),"Category Page")</f>
        <v>Category Page</v>
      </c>
      <c r="G49" s="15" t="b">
        <f>IFERROR(__xludf.DUMMYFUNCTION("""COMPUTED_VALUE"""),FALSE)</f>
        <v>0</v>
      </c>
      <c r="H49" s="15" t="str">
        <f>IFERROR(__xludf.DUMMYFUNCTION("""COMPUTED_VALUE"""),"Push, Triple Whale, Northbeam, McKinsey &amp; Company, Momentum, M3.agency, Whitehat")</f>
        <v>Push, Triple Whale, Northbeam, McKinsey &amp; Company, Momentum, M3.agency, Whitehat</v>
      </c>
      <c r="I49" s="15">
        <f>IFERROR(__xludf.DUMMYFUNCTION("""COMPUTED_VALUE"""),1.0)</f>
        <v>1</v>
      </c>
      <c r="J49" s="15">
        <f>IFERROR(__xludf.DUMMYFUNCTION("""COMPUTED_VALUE"""),0.0)</f>
        <v>0</v>
      </c>
      <c r="K49" s="15">
        <f>IFERROR(__xludf.DUMMYFUNCTION("""COMPUTED_VALUE"""),0.0)</f>
        <v>0</v>
      </c>
    </row>
    <row r="50" ht="15.75" customHeight="1">
      <c r="A50" s="14" t="str">
        <f>IFERROR(__xludf.DUMMYFUNCTION("""COMPUTED_VALUE"""),"https://www.sortlist.co.uk/s/programmatic-advertising/london-england-gb")</f>
        <v>https://www.sortlist.co.uk/s/programmatic-advertising/london-england-gb</v>
      </c>
      <c r="B50" s="15" t="str">
        <f>IFERROR(__xludf.DUMMYFUNCTION("""COMPUTED_VALUE"""),"The 10 Best Programmatic Advertising Companies in London - 2026 Reviews")</f>
        <v>The 10 Best Programmatic Advertising Companies in London - 2026 Reviews</v>
      </c>
      <c r="C50" s="14" t="str">
        <f>IFERROR(__xludf.DUMMYFUNCTION("""COMPUTED_VALUE"""),"sortlist.co.uk")</f>
        <v>sortlist.co.uk</v>
      </c>
      <c r="D50" s="15" t="str">
        <f>IFERROR(__xludf.DUMMYFUNCTION("""COMPUTED_VALUE"""),"CATEGORY_PAGE")</f>
        <v>CATEGORY_PAGE</v>
      </c>
      <c r="E50" s="15" t="str">
        <f>IFERROR(__xludf.DUMMYFUNCTION("""COMPUTED_VALUE"""),"REFERENCE")</f>
        <v>REFERENCE</v>
      </c>
      <c r="F50" s="15" t="str">
        <f>IFERROR(__xludf.DUMMYFUNCTION("""COMPUTED_VALUE"""),"Category Page")</f>
        <v>Category Page</v>
      </c>
      <c r="G50" s="15" t="b">
        <f>IFERROR(__xludf.DUMMYFUNCTION("""COMPUTED_VALUE"""),FALSE)</f>
        <v>0</v>
      </c>
      <c r="H50" s="15" t="str">
        <f>IFERROR(__xludf.DUMMYFUNCTION("""COMPUTED_VALUE"""),"Momentum, M3.agency")</f>
        <v>Momentum, M3.agency</v>
      </c>
      <c r="I50" s="15">
        <f>IFERROR(__xludf.DUMMYFUNCTION("""COMPUTED_VALUE"""),1.0)</f>
        <v>1</v>
      </c>
      <c r="J50" s="15">
        <f>IFERROR(__xludf.DUMMYFUNCTION("""COMPUTED_VALUE"""),0.0)</f>
        <v>0</v>
      </c>
      <c r="K50" s="15">
        <f>IFERROR(__xludf.DUMMYFUNCTION("""COMPUTED_VALUE"""),0.0)</f>
        <v>0</v>
      </c>
    </row>
    <row r="51" ht="15.75" customHeight="1">
      <c r="A51" s="14" t="str">
        <f>IFERROR(__xludf.DUMMYFUNCTION("""COMPUTED_VALUE"""),"https://www.sortlist.co.uk/s/storytelling/london-england-gb")</f>
        <v>https://www.sortlist.co.uk/s/storytelling/london-england-gb</v>
      </c>
      <c r="B51" s="15" t="str">
        <f>IFERROR(__xludf.DUMMYFUNCTION("""COMPUTED_VALUE"""),"The 10 Best Storytelling Agencies in London - 2026 Reviews")</f>
        <v>The 10 Best Storytelling Agencies in London - 2026 Reviews</v>
      </c>
      <c r="C51" s="14" t="str">
        <f>IFERROR(__xludf.DUMMYFUNCTION("""COMPUTED_VALUE"""),"sortlist.co.uk")</f>
        <v>sortlist.co.uk</v>
      </c>
      <c r="D51" s="15" t="str">
        <f>IFERROR(__xludf.DUMMYFUNCTION("""COMPUTED_VALUE"""),"CATEGORY_PAGE")</f>
        <v>CATEGORY_PAGE</v>
      </c>
      <c r="E51" s="15" t="str">
        <f>IFERROR(__xludf.DUMMYFUNCTION("""COMPUTED_VALUE"""),"REFERENCE")</f>
        <v>REFERENCE</v>
      </c>
      <c r="F51" s="15" t="str">
        <f>IFERROR(__xludf.DUMMYFUNCTION("""COMPUTED_VALUE"""),"Category Page")</f>
        <v>Category Page</v>
      </c>
      <c r="G51" s="15" t="b">
        <f>IFERROR(__xludf.DUMMYFUNCTION("""COMPUTED_VALUE"""),FALSE)</f>
        <v>0</v>
      </c>
      <c r="H51" s="15" t="str">
        <f>IFERROR(__xludf.DUMMYFUNCTION("""COMPUTED_VALUE"""),"Push, Ninja Promo, McKinsey &amp; Company")</f>
        <v>Push, Ninja Promo, McKinsey &amp; Company</v>
      </c>
      <c r="I51" s="15">
        <f>IFERROR(__xludf.DUMMYFUNCTION("""COMPUTED_VALUE"""),1.0)</f>
        <v>1</v>
      </c>
      <c r="J51" s="15">
        <f>IFERROR(__xludf.DUMMYFUNCTION("""COMPUTED_VALUE"""),0.0)</f>
        <v>0</v>
      </c>
      <c r="K51" s="15">
        <f>IFERROR(__xludf.DUMMYFUNCTION("""COMPUTED_VALUE"""),0.0)</f>
        <v>0</v>
      </c>
    </row>
    <row r="52" ht="15.75" customHeight="1">
      <c r="A52" s="14" t="str">
        <f>IFERROR(__xludf.DUMMYFUNCTION("""COMPUTED_VALUE"""),"https://www.sortlist.co.uk/s/testing-services/united-kingdom-gb")</f>
        <v>https://www.sortlist.co.uk/s/testing-services/united-kingdom-gb</v>
      </c>
      <c r="B52" s="15" t="str">
        <f>IFERROR(__xludf.DUMMYFUNCTION("""COMPUTED_VALUE"""),"The 10 Best Testing Services Companies in The United Kingdom - 2026 Reviews")</f>
        <v>The 10 Best Testing Services Companies in The United Kingdom - 2026 Reviews</v>
      </c>
      <c r="C52" s="14" t="str">
        <f>IFERROR(__xludf.DUMMYFUNCTION("""COMPUTED_VALUE"""),"sortlist.co.uk")</f>
        <v>sortlist.co.uk</v>
      </c>
      <c r="D52" s="15" t="str">
        <f>IFERROR(__xludf.DUMMYFUNCTION("""COMPUTED_VALUE"""),"CATEGORY_PAGE")</f>
        <v>CATEGORY_PAGE</v>
      </c>
      <c r="E52" s="15" t="str">
        <f>IFERROR(__xludf.DUMMYFUNCTION("""COMPUTED_VALUE"""),"REFERENCE")</f>
        <v>REFERENCE</v>
      </c>
      <c r="F52" s="15" t="str">
        <f>IFERROR(__xludf.DUMMYFUNCTION("""COMPUTED_VALUE"""),"Category Page")</f>
        <v>Category Page</v>
      </c>
      <c r="G52" s="15" t="b">
        <f>IFERROR(__xludf.DUMMYFUNCTION("""COMPUTED_VALUE"""),FALSE)</f>
        <v>0</v>
      </c>
      <c r="H52" s="15" t="str">
        <f>IFERROR(__xludf.DUMMYFUNCTION("""COMPUTED_VALUE"""),"Momentum, M3.agency, Whitehat")</f>
        <v>Momentum, M3.agency, Whitehat</v>
      </c>
      <c r="I52" s="15">
        <f>IFERROR(__xludf.DUMMYFUNCTION("""COMPUTED_VALUE"""),1.0)</f>
        <v>1</v>
      </c>
      <c r="J52" s="15">
        <f>IFERROR(__xludf.DUMMYFUNCTION("""COMPUTED_VALUE"""),0.0)</f>
        <v>0</v>
      </c>
      <c r="K52" s="15">
        <f>IFERROR(__xludf.DUMMYFUNCTION("""COMPUTED_VALUE"""),1.0)</f>
        <v>1</v>
      </c>
    </row>
    <row r="53" ht="15.75" customHeight="1">
      <c r="A53" s="14" t="str">
        <f>IFERROR(__xludf.DUMMYFUNCTION("""COMPUTED_VALUE"""),"https://www.sortlist.co.uk/web-analytics/london-england-gb")</f>
        <v>https://www.sortlist.co.uk/web-analytics/london-england-gb</v>
      </c>
      <c r="B53" s="15" t="str">
        <f>IFERROR(__xludf.DUMMYFUNCTION("""COMPUTED_VALUE"""),"The 10 Best Web Analytics Agencies in London - 2026 Reviews")</f>
        <v>The 10 Best Web Analytics Agencies in London - 2026 Reviews</v>
      </c>
      <c r="C53" s="14" t="str">
        <f>IFERROR(__xludf.DUMMYFUNCTION("""COMPUTED_VALUE"""),"sortlist.co.uk")</f>
        <v>sortlist.co.uk</v>
      </c>
      <c r="D53" s="15" t="str">
        <f>IFERROR(__xludf.DUMMYFUNCTION("""COMPUTED_VALUE"""),"CATEGORY_PAGE")</f>
        <v>CATEGORY_PAGE</v>
      </c>
      <c r="E53" s="15" t="str">
        <f>IFERROR(__xludf.DUMMYFUNCTION("""COMPUTED_VALUE"""),"REFERENCE")</f>
        <v>REFERENCE</v>
      </c>
      <c r="F53" s="15" t="str">
        <f>IFERROR(__xludf.DUMMYFUNCTION("""COMPUTED_VALUE"""),"Category Page")</f>
        <v>Category Page</v>
      </c>
      <c r="G53" s="15" t="b">
        <f>IFERROR(__xludf.DUMMYFUNCTION("""COMPUTED_VALUE"""),FALSE)</f>
        <v>0</v>
      </c>
      <c r="H53" s="15" t="str">
        <f>IFERROR(__xludf.DUMMYFUNCTION("""COMPUTED_VALUE"""),"Whitehat, Found")</f>
        <v>Whitehat, Found</v>
      </c>
      <c r="I53" s="15">
        <f>IFERROR(__xludf.DUMMYFUNCTION("""COMPUTED_VALUE"""),1.0)</f>
        <v>1</v>
      </c>
      <c r="J53" s="15">
        <f>IFERROR(__xludf.DUMMYFUNCTION("""COMPUTED_VALUE"""),0.0)</f>
        <v>0</v>
      </c>
      <c r="K53" s="15">
        <f>IFERROR(__xludf.DUMMYFUNCTION("""COMPUTED_VALUE"""),0.0)</f>
        <v>0</v>
      </c>
    </row>
    <row r="54" ht="15.75" customHeight="1">
      <c r="A54" s="14" t="str">
        <f>IFERROR(__xludf.DUMMYFUNCTION("""COMPUTED_VALUE"""),"https://www.sortlist.com/l/dubai-ae")</f>
        <v>https://www.sortlist.com/l/dubai-ae</v>
      </c>
      <c r="B54" s="15" t="str">
        <f>IFERROR(__xludf.DUMMYFUNCTION("""COMPUTED_VALUE"""),"Sortlist")</f>
        <v>Sortlist</v>
      </c>
      <c r="C54" s="14" t="str">
        <f>IFERROR(__xludf.DUMMYFUNCTION("""COMPUTED_VALUE"""),"sortlist.com")</f>
        <v>sortlist.com</v>
      </c>
      <c r="D54" s="15" t="str">
        <f>IFERROR(__xludf.DUMMYFUNCTION("""COMPUTED_VALUE"""),"CATEGORY_PAGE")</f>
        <v>CATEGORY_PAGE</v>
      </c>
      <c r="E54" s="15" t="str">
        <f>IFERROR(__xludf.DUMMYFUNCTION("""COMPUTED_VALUE"""),"CORPORATE")</f>
        <v>CORPORATE</v>
      </c>
      <c r="F54" s="15" t="str">
        <f>IFERROR(__xludf.DUMMYFUNCTION("""COMPUTED_VALUE"""),"Category Page")</f>
        <v>Category Page</v>
      </c>
      <c r="G54" s="15" t="b">
        <f>IFERROR(__xludf.DUMMYFUNCTION("""COMPUTED_VALUE"""),FALSE)</f>
        <v>0</v>
      </c>
      <c r="H54" s="15" t="str">
        <f>IFERROR(__xludf.DUMMYFUNCTION("""COMPUTED_VALUE"""),"Impression, Momentum, M3.agency, Ninja Promo, Push")</f>
        <v>Impression, Momentum, M3.agency, Ninja Promo, Push</v>
      </c>
      <c r="I54" s="15">
        <f>IFERROR(__xludf.DUMMYFUNCTION("""COMPUTED_VALUE"""),1.0)</f>
        <v>1</v>
      </c>
      <c r="J54" s="15">
        <f>IFERROR(__xludf.DUMMYFUNCTION("""COMPUTED_VALUE"""),0.0)</f>
        <v>0</v>
      </c>
      <c r="K54" s="15">
        <f>IFERROR(__xludf.DUMMYFUNCTION("""COMPUTED_VALUE"""),1.0)</f>
        <v>1</v>
      </c>
    </row>
    <row r="55" ht="15.75" customHeight="1">
      <c r="A55" s="14" t="str">
        <f>IFERROR(__xludf.DUMMYFUNCTION("""COMPUTED_VALUE"""),"https://www.sortlist.com/marketing-communication")</f>
        <v>https://www.sortlist.com/marketing-communication</v>
      </c>
      <c r="B55" s="15" t="str">
        <f>IFERROR(__xludf.DUMMYFUNCTION("""COMPUTED_VALUE"""),"The 100 Best Marketing Communication Agencies - 2026 Reviews")</f>
        <v>The 100 Best Marketing Communication Agencies - 2026 Reviews</v>
      </c>
      <c r="C55" s="14" t="str">
        <f>IFERROR(__xludf.DUMMYFUNCTION("""COMPUTED_VALUE"""),"sortlist.com")</f>
        <v>sortlist.com</v>
      </c>
      <c r="D55" s="15" t="str">
        <f>IFERROR(__xludf.DUMMYFUNCTION("""COMPUTED_VALUE"""),"CATEGORY_PAGE")</f>
        <v>CATEGORY_PAGE</v>
      </c>
      <c r="E55" s="15" t="str">
        <f>IFERROR(__xludf.DUMMYFUNCTION("""COMPUTED_VALUE"""),"CORPORATE")</f>
        <v>CORPORATE</v>
      </c>
      <c r="F55" s="15" t="str">
        <f>IFERROR(__xludf.DUMMYFUNCTION("""COMPUTED_VALUE"""),"Category Page")</f>
        <v>Category Page</v>
      </c>
      <c r="G55" s="15" t="b">
        <f>IFERROR(__xludf.DUMMYFUNCTION("""COMPUTED_VALUE"""),FALSE)</f>
        <v>0</v>
      </c>
      <c r="H55" s="15" t="str">
        <f>IFERROR(__xludf.DUMMYFUNCTION("""COMPUTED_VALUE"""),"Push")</f>
        <v>Push</v>
      </c>
      <c r="I55" s="15">
        <f>IFERROR(__xludf.DUMMYFUNCTION("""COMPUTED_VALUE"""),1.0)</f>
        <v>1</v>
      </c>
      <c r="J55" s="15">
        <f>IFERROR(__xludf.DUMMYFUNCTION("""COMPUTED_VALUE"""),0.0)</f>
        <v>0</v>
      </c>
      <c r="K55" s="15">
        <f>IFERROR(__xludf.DUMMYFUNCTION("""COMPUTED_VALUE"""),1.0)</f>
        <v>1</v>
      </c>
    </row>
    <row r="56" ht="15.75" customHeight="1">
      <c r="A56" s="14" t="str">
        <f>IFERROR(__xludf.DUMMYFUNCTION("""COMPUTED_VALUE"""),"https://www.sortlist.com/performance-marketing")</f>
        <v>https://www.sortlist.com/performance-marketing</v>
      </c>
      <c r="B56" s="15" t="str">
        <f>IFERROR(__xludf.DUMMYFUNCTION("""COMPUTED_VALUE"""),"The 100 Best Performance Marketing Agencies - 2026 Reviews")</f>
        <v>The 100 Best Performance Marketing Agencies - 2026 Reviews</v>
      </c>
      <c r="C56" s="14" t="str">
        <f>IFERROR(__xludf.DUMMYFUNCTION("""COMPUTED_VALUE"""),"sortlist.com")</f>
        <v>sortlist.com</v>
      </c>
      <c r="D56" s="15" t="str">
        <f>IFERROR(__xludf.DUMMYFUNCTION("""COMPUTED_VALUE"""),"CATEGORY_PAGE")</f>
        <v>CATEGORY_PAGE</v>
      </c>
      <c r="E56" s="15" t="str">
        <f>IFERROR(__xludf.DUMMYFUNCTION("""COMPUTED_VALUE"""),"CORPORATE")</f>
        <v>CORPORATE</v>
      </c>
      <c r="F56" s="15" t="str">
        <f>IFERROR(__xludf.DUMMYFUNCTION("""COMPUTED_VALUE"""),"Category Page")</f>
        <v>Category Page</v>
      </c>
      <c r="G56" s="15" t="b">
        <f>IFERROR(__xludf.DUMMYFUNCTION("""COMPUTED_VALUE"""),FALSE)</f>
        <v>0</v>
      </c>
      <c r="H56" s="15" t="str">
        <f>IFERROR(__xludf.DUMMYFUNCTION("""COMPUTED_VALUE"""),"Push, Triple Whale, Northbeam, Measured, Found")</f>
        <v>Push, Triple Whale, Northbeam, Measured, Found</v>
      </c>
      <c r="I56" s="15">
        <f>IFERROR(__xludf.DUMMYFUNCTION("""COMPUTED_VALUE"""),1.0)</f>
        <v>1</v>
      </c>
      <c r="J56" s="15">
        <f>IFERROR(__xludf.DUMMYFUNCTION("""COMPUTED_VALUE"""),0.0)</f>
        <v>0</v>
      </c>
      <c r="K56" s="15">
        <f>IFERROR(__xludf.DUMMYFUNCTION("""COMPUTED_VALUE"""),0.0)</f>
        <v>0</v>
      </c>
    </row>
    <row r="57" ht="15.75" customHeight="1">
      <c r="A57" s="14" t="str">
        <f>IFERROR(__xludf.DUMMYFUNCTION("""COMPUTED_VALUE"""),"https://www.sortlist.com/social-media-optimization")</f>
        <v>https://www.sortlist.com/social-media-optimization</v>
      </c>
      <c r="B57" s="15" t="str">
        <f>IFERROR(__xludf.DUMMYFUNCTION("""COMPUTED_VALUE"""),"The 100 Best Social Media Optimization Agencies - 2026 Reviews")</f>
        <v>The 100 Best Social Media Optimization Agencies - 2026 Reviews</v>
      </c>
      <c r="C57" s="14" t="str">
        <f>IFERROR(__xludf.DUMMYFUNCTION("""COMPUTED_VALUE"""),"sortlist.com")</f>
        <v>sortlist.com</v>
      </c>
      <c r="D57" s="15" t="str">
        <f>IFERROR(__xludf.DUMMYFUNCTION("""COMPUTED_VALUE"""),"CATEGORY_PAGE")</f>
        <v>CATEGORY_PAGE</v>
      </c>
      <c r="E57" s="15" t="str">
        <f>IFERROR(__xludf.DUMMYFUNCTION("""COMPUTED_VALUE"""),"CORPORATE")</f>
        <v>CORPORATE</v>
      </c>
      <c r="F57" s="15" t="str">
        <f>IFERROR(__xludf.DUMMYFUNCTION("""COMPUTED_VALUE"""),"Category Page")</f>
        <v>Category Page</v>
      </c>
      <c r="G57" s="15" t="b">
        <f>IFERROR(__xludf.DUMMYFUNCTION("""COMPUTED_VALUE"""),FALSE)</f>
        <v>0</v>
      </c>
      <c r="H57" s="15"/>
      <c r="I57" s="15">
        <f>IFERROR(__xludf.DUMMYFUNCTION("""COMPUTED_VALUE"""),1.0)</f>
        <v>1</v>
      </c>
      <c r="J57" s="15">
        <f>IFERROR(__xludf.DUMMYFUNCTION("""COMPUTED_VALUE"""),0.0)</f>
        <v>0</v>
      </c>
      <c r="K57" s="15">
        <f>IFERROR(__xludf.DUMMYFUNCTION("""COMPUTED_VALUE"""),0.0)</f>
        <v>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location=":~:text=Up%20Analytics%20consist%20of%20a,for%20work%20in%20Attribution%20Marketing"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s>
  <drawing r:id="rId11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All'!A2:A1000)),""clutch.co"")
  ),
  """"
)"),"https://clutch.co/agencies/uk")</f>
        <v>https://clutch.co/agencies/uk</v>
      </c>
      <c r="B2" s="15" t="str">
        <f>IFERROR(__xludf.DUMMYFUNCTION("""COMPUTED_VALUE"""),"Top Advertising Agencies in the United Kingdom - Jul 2026 Rankings | Clutch.co")</f>
        <v>Top Advertising Agencies in the United Kingdom - Jul 2026 Rankings | Clutch.co</v>
      </c>
      <c r="C2" s="14" t="str">
        <f>IFERROR(__xludf.DUMMYFUNCTION("""COMPUTED_VALUE"""),"clutch.co")</f>
        <v>clutch.co</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IFERROR(__xludf.DUMMYFUNCTION("""COMPUTED_VALUE"""),"Favoured, Ninja Promo, Chello, ROAST, M3.agency, The SEO Works, Push")</f>
        <v>Favoured, Ninja Promo, Chello, ROAST, M3.agency, The SEO Works, Push</v>
      </c>
      <c r="I2" s="15">
        <f>IFERROR(__xludf.DUMMYFUNCTION("""COMPUTED_VALUE"""),69.0)</f>
        <v>69</v>
      </c>
      <c r="J2" s="15">
        <f>IFERROR(__xludf.DUMMYFUNCTION("""COMPUTED_VALUE"""),0.07)</f>
        <v>0.07</v>
      </c>
      <c r="K2" s="15">
        <f>IFERROR(__xludf.DUMMYFUNCTION("""COMPUTED_VALUE"""),0.25)</f>
        <v>0.25</v>
      </c>
    </row>
    <row r="3" ht="15.75" customHeight="1">
      <c r="A3" s="14" t="str">
        <f>IFERROR(__xludf.DUMMYFUNCTION("""COMPUTED_VALUE"""),"https://clutch.co/agencies/digital-marketing/uk")</f>
        <v>https://clutch.co/agencies/digital-marketing/uk</v>
      </c>
      <c r="B3" s="15" t="str">
        <f>IFERROR(__xludf.DUMMYFUNCTION("""COMPUTED_VALUE"""),"Top Digital Marketing Agencies in the UK - Jul 2026 Rankings | Clutch.co")</f>
        <v>Top Digital Marketing Agencies in the UK - Jul 2026 Rankings | Clutch.co</v>
      </c>
      <c r="C3" s="14" t="str">
        <f>IFERROR(__xludf.DUMMYFUNCTION("""COMPUTED_VALUE"""),"clutch.co")</f>
        <v>clutch.co</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I3" s="15">
        <f>IFERROR(__xludf.DUMMYFUNCTION("""COMPUTED_VALUE"""),57.0)</f>
        <v>57</v>
      </c>
      <c r="J3" s="15">
        <f>IFERROR(__xludf.DUMMYFUNCTION("""COMPUTED_VALUE"""),0.06)</f>
        <v>0.06</v>
      </c>
      <c r="K3" s="15">
        <f>IFERROR(__xludf.DUMMYFUNCTION("""COMPUTED_VALUE"""),1.04)</f>
        <v>1.04</v>
      </c>
    </row>
    <row r="4" ht="15.75" customHeight="1">
      <c r="A4" s="14" t="str">
        <f>IFERROR(__xludf.DUMMYFUNCTION("""COMPUTED_VALUE"""),"https://clutch.co/agencies/creative/uk")</f>
        <v>https://clutch.co/agencies/creative/uk</v>
      </c>
      <c r="B4" s="15" t="str">
        <f>IFERROR(__xludf.DUMMYFUNCTION("""COMPUTED_VALUE"""),"Top Creative Agencies in the United Kingdom - Jul 2026 Rankings | Clutch.co")</f>
        <v>Top Creative Agencies in the United Kingdom - Jul 2026 Rankings | Clutch.co</v>
      </c>
      <c r="C4" s="14" t="str">
        <f>IFERROR(__xludf.DUMMYFUNCTION("""COMPUTED_VALUE"""),"clutch.co")</f>
        <v>clutch.co</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IFERROR(__xludf.DUMMYFUNCTION("""COMPUTED_VALUE"""),"Polaris, Chello, Favoured, Make Agency")</f>
        <v>Polaris, Chello, Favoured, Make Agency</v>
      </c>
      <c r="I4" s="15">
        <f>IFERROR(__xludf.DUMMYFUNCTION("""COMPUTED_VALUE"""),26.0)</f>
        <v>26</v>
      </c>
      <c r="J4" s="15">
        <f>IFERROR(__xludf.DUMMYFUNCTION("""COMPUTED_VALUE"""),0.03)</f>
        <v>0.03</v>
      </c>
      <c r="K4" s="15">
        <f>IFERROR(__xludf.DUMMYFUNCTION("""COMPUTED_VALUE"""),0.31)</f>
        <v>0.31</v>
      </c>
    </row>
    <row r="5" ht="15.75" customHeight="1">
      <c r="A5" s="14" t="str">
        <f>IFERROR(__xludf.DUMMYFUNCTION("""COMPUTED_VALUE"""),"https://clutch.co/agencies/ppc/uk/england")</f>
        <v>https://clutch.co/agencies/ppc/uk/england</v>
      </c>
      <c r="B5" s="15" t="str">
        <f>IFERROR(__xludf.DUMMYFUNCTION("""COMPUTED_VALUE"""),"Top PPC Agencies in England - Jul 2026 Rankings \| Clutch.co")</f>
        <v>Top PPC Agencies in England - Jul 2026 Rankings \| Clutch.co</v>
      </c>
      <c r="C5" s="14" t="str">
        <f>IFERROR(__xludf.DUMMYFUNCTION("""COMPUTED_VALUE"""),"clutch.co")</f>
        <v>clutch.co</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IFERROR(__xludf.DUMMYFUNCTION("""COMPUTED_VALUE"""),"Launch Online, M3.agency, ROAST, Soap Media, GA Agency, The SEO Works, Huge, Ninja Promo, Momentum, Propeller, Found")</f>
        <v>Launch Online, M3.agency, ROAST, Soap Media, GA Agency, The SEO Works, Huge, Ninja Promo, Momentum, Propeller, Found</v>
      </c>
      <c r="I5" s="15">
        <f>IFERROR(__xludf.DUMMYFUNCTION("""COMPUTED_VALUE"""),23.0)</f>
        <v>23</v>
      </c>
      <c r="J5" s="15">
        <f>IFERROR(__xludf.DUMMYFUNCTION("""COMPUTED_VALUE"""),0.02)</f>
        <v>0.02</v>
      </c>
      <c r="K5" s="15">
        <f>IFERROR(__xludf.DUMMYFUNCTION("""COMPUTED_VALUE"""),0.17)</f>
        <v>0.17</v>
      </c>
    </row>
    <row r="6" ht="15.75" customHeight="1">
      <c r="A6" s="14" t="str">
        <f>IFERROR(__xludf.DUMMYFUNCTION("""COMPUTED_VALUE"""),"https://clutch.co/agencies/ppc/display/uk")</f>
        <v>https://clutch.co/agencies/ppc/display/uk</v>
      </c>
      <c r="B6" s="15" t="str">
        <f>IFERROR(__xludf.DUMMYFUNCTION("""COMPUTED_VALUE"""),"Top Display Advertising Services in the United Kingdom - Jul 2026 Rankings \| Clutch.co")</f>
        <v>Top Display Advertising Services in the United Kingdom - Jul 2026 Rankings \| Clutch.co</v>
      </c>
      <c r="C6" s="14" t="str">
        <f>IFERROR(__xludf.DUMMYFUNCTION("""COMPUTED_VALUE"""),"clutch.co")</f>
        <v>clutch.co</v>
      </c>
      <c r="D6" s="15" t="str">
        <f>IFERROR(__xludf.DUMMYFUNCTION("""COMPUTED_VALUE"""),"OTHER")</f>
        <v>OTHER</v>
      </c>
      <c r="E6" s="15" t="str">
        <f>IFERROR(__xludf.DUMMYFUNCTION("""COMPUTED_VALUE"""),"CORPORATE")</f>
        <v>CORPORATE</v>
      </c>
      <c r="F6" s="15" t="str">
        <f>IFERROR(__xludf.DUMMYFUNCTION("""COMPUTED_VALUE"""),"Other")</f>
        <v>Other</v>
      </c>
      <c r="G6" s="15" t="b">
        <f>IFERROR(__xludf.DUMMYFUNCTION("""COMPUTED_VALUE"""),FALSE)</f>
        <v>0</v>
      </c>
      <c r="H6" s="15" t="str">
        <f>IFERROR(__xludf.DUMMYFUNCTION("""COMPUTED_VALUE"""),"Ninja Promo, Soap Media, The SEO Works, GA Agency, Bind Media, Found")</f>
        <v>Ninja Promo, Soap Media, The SEO Works, GA Agency, Bind Media, Found</v>
      </c>
      <c r="I6" s="15">
        <f>IFERROR(__xludf.DUMMYFUNCTION("""COMPUTED_VALUE"""),22.0)</f>
        <v>22</v>
      </c>
      <c r="J6" s="15">
        <f>IFERROR(__xludf.DUMMYFUNCTION("""COMPUTED_VALUE"""),0.02)</f>
        <v>0.02</v>
      </c>
      <c r="K6" s="15">
        <f>IFERROR(__xludf.DUMMYFUNCTION("""COMPUTED_VALUE"""),1.36)</f>
        <v>1.36</v>
      </c>
    </row>
    <row r="7" ht="15.75" customHeight="1">
      <c r="A7" s="14" t="str">
        <f>IFERROR(__xludf.DUMMYFUNCTION("""COMPUTED_VALUE"""),"https://clutch.co/agencies/social-media-marketing/uk")</f>
        <v>https://clutch.co/agencies/social-media-marketing/uk</v>
      </c>
      <c r="B7" s="15" t="str">
        <f>IFERROR(__xludf.DUMMYFUNCTION("""COMPUTED_VALUE"""),"Top Social Media Marketing Agencies in the United Kingdom - Jul 2026 Rankings \| Clutch.co")</f>
        <v>Top Social Media Marketing Agencies in the United Kingdom - Jul 2026 Rankings \| Clutch.co</v>
      </c>
      <c r="C7" s="14" t="str">
        <f>IFERROR(__xludf.DUMMYFUNCTION("""COMPUTED_VALUE"""),"clutch.co")</f>
        <v>clutch.co</v>
      </c>
      <c r="D7" s="15" t="str">
        <f>IFERROR(__xludf.DUMMYFUNCTION("""COMPUTED_VALUE"""),"CATEGORY_PAGE")</f>
        <v>CATEGORY_PAGE</v>
      </c>
      <c r="E7" s="15" t="str">
        <f>IFERROR(__xludf.DUMMYFUNCTION("""COMPUTED_VALUE"""),"CORPORATE")</f>
        <v>CORPORATE</v>
      </c>
      <c r="F7" s="15" t="str">
        <f>IFERROR(__xludf.DUMMYFUNCTION("""COMPUTED_VALUE"""),"Category Page")</f>
        <v>Category Page</v>
      </c>
      <c r="G7" s="15" t="b">
        <f>IFERROR(__xludf.DUMMYFUNCTION("""COMPUTED_VALUE"""),FALSE)</f>
        <v>0</v>
      </c>
      <c r="H7" s="15" t="str">
        <f>IFERROR(__xludf.DUMMYFUNCTION("""COMPUTED_VALUE"""),"Ninja Promo, ROAST, Favoured, Soap Media, Impression, Found, Momentum, M3.agency, Propeller")</f>
        <v>Ninja Promo, ROAST, Favoured, Soap Media, Impression, Found, Momentum, M3.agency, Propeller</v>
      </c>
      <c r="I7" s="15">
        <f>IFERROR(__xludf.DUMMYFUNCTION("""COMPUTED_VALUE"""),22.0)</f>
        <v>22</v>
      </c>
      <c r="J7" s="15">
        <f>IFERROR(__xludf.DUMMYFUNCTION("""COMPUTED_VALUE"""),0.02)</f>
        <v>0.02</v>
      </c>
      <c r="K7" s="15">
        <f>IFERROR(__xludf.DUMMYFUNCTION("""COMPUTED_VALUE"""),0.68)</f>
        <v>0.68</v>
      </c>
    </row>
    <row r="8" ht="15.75" customHeight="1">
      <c r="A8" s="14" t="str">
        <f>IFERROR(__xludf.DUMMYFUNCTION("""COMPUTED_VALUE"""),"https://clutch.co/consulting/ai/uk")</f>
        <v>https://clutch.co/consulting/ai/uk</v>
      </c>
      <c r="B8" s="15" t="str">
        <f>IFERROR(__xludf.DUMMYFUNCTION("""COMPUTED_VALUE"""),"Top AI Consultants in the United Kingdom - Jul 2026 Rankings \| Clutch.co")</f>
        <v>Top AI Consultants in the United Kingdom - Jul 2026 Rankings \| Clutch.co</v>
      </c>
      <c r="C8" s="14" t="str">
        <f>IFERROR(__xludf.DUMMYFUNCTION("""COMPUTED_VALUE"""),"clutch.co")</f>
        <v>clutch.co</v>
      </c>
      <c r="D8" s="15" t="str">
        <f>IFERROR(__xludf.DUMMYFUNCTION("""COMPUTED_VALUE"""),"CATEGORY_PAGE")</f>
        <v>CATEGORY_PAGE</v>
      </c>
      <c r="E8" s="15" t="str">
        <f>IFERROR(__xludf.DUMMYFUNCTION("""COMPUTED_VALUE"""),"CORPORATE")</f>
        <v>CORPORATE</v>
      </c>
      <c r="F8" s="15" t="str">
        <f>IFERROR(__xludf.DUMMYFUNCTION("""COMPUTED_VALUE"""),"Category Page")</f>
        <v>Category Page</v>
      </c>
      <c r="G8" s="15" t="b">
        <f>IFERROR(__xludf.DUMMYFUNCTION("""COMPUTED_VALUE"""),FALSE)</f>
        <v>0</v>
      </c>
      <c r="H8" s="15" t="str">
        <f>IFERROR(__xludf.DUMMYFUNCTION("""COMPUTED_VALUE"""),"Found")</f>
        <v>Found</v>
      </c>
      <c r="I8" s="15">
        <f>IFERROR(__xludf.DUMMYFUNCTION("""COMPUTED_VALUE"""),18.0)</f>
        <v>18</v>
      </c>
      <c r="J8" s="15">
        <f>IFERROR(__xludf.DUMMYFUNCTION("""COMPUTED_VALUE"""),0.02)</f>
        <v>0.02</v>
      </c>
      <c r="K8" s="15">
        <f>IFERROR(__xludf.DUMMYFUNCTION("""COMPUTED_VALUE"""),0.06)</f>
        <v>0.06</v>
      </c>
    </row>
    <row r="9" ht="15.75" customHeight="1">
      <c r="A9" s="14" t="str">
        <f>IFERROR(__xludf.DUMMYFUNCTION("""COMPUTED_VALUE"""),"https://clutch.co/agencies/ppc/uk")</f>
        <v>https://clutch.co/agencies/ppc/uk</v>
      </c>
      <c r="B9" s="15" t="str">
        <f>IFERROR(__xludf.DUMMYFUNCTION("""COMPUTED_VALUE"""),"Top PPC Agencies in the United Kingdom - Jul 2026 Rankings \| Clutch.co")</f>
        <v>Top PPC Agencies in the United Kingdom - Jul 2026 Rankings \| Clutch.co</v>
      </c>
      <c r="C9" s="14" t="str">
        <f>IFERROR(__xludf.DUMMYFUNCTION("""COMPUTED_VALUE"""),"clutch.co")</f>
        <v>clutch.co</v>
      </c>
      <c r="D9" s="15" t="str">
        <f>IFERROR(__xludf.DUMMYFUNCTION("""COMPUTED_VALUE"""),"CATEGORY_PAGE")</f>
        <v>CATEGORY_PAGE</v>
      </c>
      <c r="E9" s="15" t="str">
        <f>IFERROR(__xludf.DUMMYFUNCTION("""COMPUTED_VALUE"""),"CORPORATE")</f>
        <v>CORPORATE</v>
      </c>
      <c r="F9" s="15" t="str">
        <f>IFERROR(__xludf.DUMMYFUNCTION("""COMPUTED_VALUE"""),"Category Page")</f>
        <v>Category Page</v>
      </c>
      <c r="G9" s="15" t="b">
        <f>IFERROR(__xludf.DUMMYFUNCTION("""COMPUTED_VALUE"""),FALSE)</f>
        <v>0</v>
      </c>
      <c r="H9" s="15"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I9" s="15">
        <f>IFERROR(__xludf.DUMMYFUNCTION("""COMPUTED_VALUE"""),16.0)</f>
        <v>16</v>
      </c>
      <c r="J9" s="15">
        <f>IFERROR(__xludf.DUMMYFUNCTION("""COMPUTED_VALUE"""),0.02)</f>
        <v>0.02</v>
      </c>
      <c r="K9" s="15">
        <f>IFERROR(__xludf.DUMMYFUNCTION("""COMPUTED_VALUE"""),0.38)</f>
        <v>0.38</v>
      </c>
    </row>
    <row r="10" ht="15.75" customHeight="1">
      <c r="A10" s="14" t="str">
        <f>IFERROR(__xludf.DUMMYFUNCTION("""COMPUTED_VALUE"""),"https://clutch.co/consulting/ai/strategy/uk")</f>
        <v>https://clutch.co/consulting/ai/strategy/uk</v>
      </c>
      <c r="B10" s="15" t="str">
        <f>IFERROR(__xludf.DUMMYFUNCTION("""COMPUTED_VALUE"""),"Top AI Strategy Companies in the United Kingdom - Jul 2026 Rankings \| Clutch.co")</f>
        <v>Top AI Strategy Companies in the United Kingdom - Jul 2026 Rankings \| Clutch.co</v>
      </c>
      <c r="C10" s="14" t="str">
        <f>IFERROR(__xludf.DUMMYFUNCTION("""COMPUTED_VALUE"""),"clutch.co")</f>
        <v>clutch.co</v>
      </c>
      <c r="D10" s="15" t="str">
        <f>IFERROR(__xludf.DUMMYFUNCTION("""COMPUTED_VALUE"""),"CATEGORY_PAGE")</f>
        <v>CATEGORY_PAGE</v>
      </c>
      <c r="E10" s="15" t="str">
        <f>IFERROR(__xludf.DUMMYFUNCTION("""COMPUTED_VALUE"""),"CORPORATE")</f>
        <v>CORPORATE</v>
      </c>
      <c r="F10" s="15" t="str">
        <f>IFERROR(__xludf.DUMMYFUNCTION("""COMPUTED_VALUE"""),"Category Page")</f>
        <v>Category Page</v>
      </c>
      <c r="G10" s="15" t="b">
        <f>IFERROR(__xludf.DUMMYFUNCTION("""COMPUTED_VALUE"""),FALSE)</f>
        <v>0</v>
      </c>
      <c r="H10" s="15" t="str">
        <f>IFERROR(__xludf.DUMMYFUNCTION("""COMPUTED_VALUE"""),"Found, Impression")</f>
        <v>Found, Impression</v>
      </c>
      <c r="I10" s="15">
        <f>IFERROR(__xludf.DUMMYFUNCTION("""COMPUTED_VALUE"""),13.0)</f>
        <v>13</v>
      </c>
      <c r="J10" s="15">
        <f>IFERROR(__xludf.DUMMYFUNCTION("""COMPUTED_VALUE"""),0.01)</f>
        <v>0.01</v>
      </c>
      <c r="K10" s="15">
        <f>IFERROR(__xludf.DUMMYFUNCTION("""COMPUTED_VALUE"""),0.23)</f>
        <v>0.23</v>
      </c>
    </row>
    <row r="11" ht="15.75" customHeight="1">
      <c r="A11" s="14" t="str">
        <f>IFERROR(__xludf.DUMMYFUNCTION("""COMPUTED_VALUE"""),"https://clutch.co/consulting/ai/uk/england/london")</f>
        <v>https://clutch.co/consulting/ai/uk/england/london</v>
      </c>
      <c r="B11" s="15" t="str">
        <f>IFERROR(__xludf.DUMMYFUNCTION("""COMPUTED_VALUE"""),"Top AI Consulting Agencies in London - Jul 2026 Rankings \| Clutch.co")</f>
        <v>Top AI Consulting Agencies in London - Jul 2026 Rankings \| Clutch.co</v>
      </c>
      <c r="C11" s="14" t="str">
        <f>IFERROR(__xludf.DUMMYFUNCTION("""COMPUTED_VALUE"""),"clutch.co")</f>
        <v>clutch.co</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IFERROR(__xludf.DUMMYFUNCTION("""COMPUTED_VALUE"""),"Momentum, Impression, Found")</f>
        <v>Momentum, Impression, Found</v>
      </c>
      <c r="I11" s="15">
        <f>IFERROR(__xludf.DUMMYFUNCTION("""COMPUTED_VALUE"""),12.0)</f>
        <v>12</v>
      </c>
      <c r="J11" s="15">
        <f>IFERROR(__xludf.DUMMYFUNCTION("""COMPUTED_VALUE"""),0.01)</f>
        <v>0.01</v>
      </c>
      <c r="K11" s="15">
        <f>IFERROR(__xludf.DUMMYFUNCTION("""COMPUTED_VALUE"""),0.17)</f>
        <v>0.17</v>
      </c>
    </row>
    <row r="12" ht="15.75" customHeight="1">
      <c r="A12" s="14" t="str">
        <f>IFERROR(__xludf.DUMMYFUNCTION("""COMPUTED_VALUE"""),"https://clutch.co/agencies/digital/uk")</f>
        <v>https://clutch.co/agencies/digital/uk</v>
      </c>
      <c r="B12" s="15" t="str">
        <f>IFERROR(__xludf.DUMMYFUNCTION("""COMPUTED_VALUE"""),"Top Full-Service Digital Agencies in the United Kingdom - Jul 2026 Rankings | Clutch.co")</f>
        <v>Top Full-Service Digital Agencies in the United Kingdom - Jul 2026 Rankings | Clutch.co</v>
      </c>
      <c r="C12" s="14" t="str">
        <f>IFERROR(__xludf.DUMMYFUNCTION("""COMPUTED_VALUE"""),"clutch.co")</f>
        <v>clutch.co</v>
      </c>
      <c r="D12" s="15" t="str">
        <f>IFERROR(__xludf.DUMMYFUNCTION("""COMPUTED_VALUE"""),"CATEGORY_PAGE")</f>
        <v>CATEGORY_PAGE</v>
      </c>
      <c r="E12" s="15" t="str">
        <f>IFERROR(__xludf.DUMMYFUNCTION("""COMPUTED_VALUE"""),"CORPORATE")</f>
        <v>CORPORATE</v>
      </c>
      <c r="F12" s="15" t="str">
        <f>IFERROR(__xludf.DUMMYFUNCTION("""COMPUTED_VALUE"""),"Category Page")</f>
        <v>Category Page</v>
      </c>
      <c r="G12" s="15" t="b">
        <f>IFERROR(__xludf.DUMMYFUNCTION("""COMPUTED_VALUE"""),FALSE)</f>
        <v>0</v>
      </c>
      <c r="H12" s="15" t="str">
        <f>IFERROR(__xludf.DUMMYFUNCTION("""COMPUTED_VALUE"""),"Soap Media, Favoured, Momentum, Impression, M3.agency, The SEO Works")</f>
        <v>Soap Media, Favoured, Momentum, Impression, M3.agency, The SEO Works</v>
      </c>
      <c r="I12" s="15">
        <f>IFERROR(__xludf.DUMMYFUNCTION("""COMPUTED_VALUE"""),11.0)</f>
        <v>11</v>
      </c>
      <c r="J12" s="15">
        <f>IFERROR(__xludf.DUMMYFUNCTION("""COMPUTED_VALUE"""),0.01)</f>
        <v>0.01</v>
      </c>
      <c r="K12" s="15">
        <f>IFERROR(__xludf.DUMMYFUNCTION("""COMPUTED_VALUE"""),0.18)</f>
        <v>0.18</v>
      </c>
    </row>
    <row r="13" ht="15.75" customHeight="1">
      <c r="A13" s="14" t="str">
        <f>IFERROR(__xludf.DUMMYFUNCTION("""COMPUTED_VALUE"""),"https://clutch.co/agencies/digital-marketing/uk/england/london")</f>
        <v>https://clutch.co/agencies/digital-marketing/uk/england/london</v>
      </c>
      <c r="B13" s="15" t="str">
        <f>IFERROR(__xludf.DUMMYFUNCTION("""COMPUTED_VALUE"""),"Top London Digital Marketing Agencies - Jul 2026 Rankings | Clutch.co")</f>
        <v>Top London Digital Marketing Agencies - Jul 2026 Rankings | Clutch.co</v>
      </c>
      <c r="C13" s="14" t="str">
        <f>IFERROR(__xludf.DUMMYFUNCTION("""COMPUTED_VALUE"""),"clutch.co")</f>
        <v>clutch.co</v>
      </c>
      <c r="D13" s="15" t="str">
        <f>IFERROR(__xludf.DUMMYFUNCTION("""COMPUTED_VALUE"""),"CATEGORY_PAGE")</f>
        <v>CATEGORY_PAGE</v>
      </c>
      <c r="E13" s="15" t="str">
        <f>IFERROR(__xludf.DUMMYFUNCTION("""COMPUTED_VALUE"""),"CORPORATE")</f>
        <v>CORPORATE</v>
      </c>
      <c r="F13" s="15" t="str">
        <f>IFERROR(__xludf.DUMMYFUNCTION("""COMPUTED_VALUE"""),"Category Page")</f>
        <v>Category Page</v>
      </c>
      <c r="G13" s="15" t="b">
        <f>IFERROR(__xludf.DUMMYFUNCTION("""COMPUTED_VALUE"""),FALSE)</f>
        <v>0</v>
      </c>
      <c r="H13" s="15" t="str">
        <f>IFERROR(__xludf.DUMMYFUNCTION("""COMPUTED_VALUE"""),"M3.agency, Ninja Promo, ROAST, Favoured, GA Agency, Propeller, Bird Marketing, Passion Digital, Impression")</f>
        <v>M3.agency, Ninja Promo, ROAST, Favoured, GA Agency, Propeller, Bird Marketing, Passion Digital, Impression</v>
      </c>
      <c r="I13" s="15">
        <f>IFERROR(__xludf.DUMMYFUNCTION("""COMPUTED_VALUE"""),10.0)</f>
        <v>10</v>
      </c>
      <c r="J13" s="15">
        <f>IFERROR(__xludf.DUMMYFUNCTION("""COMPUTED_VALUE"""),0.01)</f>
        <v>0.01</v>
      </c>
      <c r="K13" s="15">
        <f>IFERROR(__xludf.DUMMYFUNCTION("""COMPUTED_VALUE"""),0.1)</f>
        <v>0.1</v>
      </c>
    </row>
    <row r="14" ht="15.75" customHeight="1">
      <c r="A14" s="14" t="str">
        <f>IFERROR(__xludf.DUMMYFUNCTION("""COMPUTED_VALUE"""),"https://clutch.co/agencies/media-buying/uk")</f>
        <v>https://clutch.co/agencies/media-buying/uk</v>
      </c>
      <c r="B14" s="15" t="str">
        <f>IFERROR(__xludf.DUMMYFUNCTION("""COMPUTED_VALUE"""),"Top Media Buying Agencies in the United Kingdom - Jul 2026 Rankings | Clutch.co")</f>
        <v>Top Media Buying Agencies in the United Kingdom - Jul 2026 Rankings | Clutch.co</v>
      </c>
      <c r="C14" s="14" t="str">
        <f>IFERROR(__xludf.DUMMYFUNCTION("""COMPUTED_VALUE"""),"clutch.co")</f>
        <v>clutch.co</v>
      </c>
      <c r="D14" s="15" t="str">
        <f>IFERROR(__xludf.DUMMYFUNCTION("""COMPUTED_VALUE"""),"CATEGORY_PAGE")</f>
        <v>CATEGORY_PAGE</v>
      </c>
      <c r="E14" s="15" t="str">
        <f>IFERROR(__xludf.DUMMYFUNCTION("""COMPUTED_VALUE"""),"CORPORATE")</f>
        <v>CORPORATE</v>
      </c>
      <c r="F14" s="15" t="str">
        <f>IFERROR(__xludf.DUMMYFUNCTION("""COMPUTED_VALUE"""),"Category Page")</f>
        <v>Category Page</v>
      </c>
      <c r="G14" s="15" t="b">
        <f>IFERROR(__xludf.DUMMYFUNCTION("""COMPUTED_VALUE"""),FALSE)</f>
        <v>0</v>
      </c>
      <c r="H14" s="15" t="str">
        <f>IFERROR(__xludf.DUMMYFUNCTION("""COMPUTED_VALUE"""),"ROAST, Impression, NP Digital, Propellernet")</f>
        <v>ROAST, Impression, NP Digital, Propellernet</v>
      </c>
      <c r="I14" s="15">
        <f>IFERROR(__xludf.DUMMYFUNCTION("""COMPUTED_VALUE"""),10.0)</f>
        <v>10</v>
      </c>
      <c r="J14" s="15">
        <f>IFERROR(__xludf.DUMMYFUNCTION("""COMPUTED_VALUE"""),0.01)</f>
        <v>0.01</v>
      </c>
      <c r="K14" s="15">
        <f>IFERROR(__xludf.DUMMYFUNCTION("""COMPUTED_VALUE"""),0.9)</f>
        <v>0.9</v>
      </c>
    </row>
    <row r="15" ht="15.75" customHeight="1">
      <c r="A15" s="14" t="str">
        <f>IFERROR(__xludf.DUMMYFUNCTION("""COMPUTED_VALUE"""),"https://clutch.co/agencies/ppc/google-adwords/uk")</f>
        <v>https://clutch.co/agencies/ppc/google-adwords/uk</v>
      </c>
      <c r="B15" s="15" t="str">
        <f>IFERROR(__xludf.DUMMYFUNCTION("""COMPUTED_VALUE"""),"Top Adwords PPC Agencies in the United Kingdom - Jul 2026 Rankings | Clutch.co")</f>
        <v>Top Adwords PPC Agencies in the United Kingdom - Jul 2026 Rankings | Clutch.co</v>
      </c>
      <c r="C15" s="14" t="str">
        <f>IFERROR(__xludf.DUMMYFUNCTION("""COMPUTED_VALUE"""),"clutch.co")</f>
        <v>clutch.co</v>
      </c>
      <c r="D15" s="15" t="str">
        <f>IFERROR(__xludf.DUMMYFUNCTION("""COMPUTED_VALUE"""),"CATEGORY_PAGE")</f>
        <v>CATEGORY_PAGE</v>
      </c>
      <c r="E15" s="15" t="str">
        <f>IFERROR(__xludf.DUMMYFUNCTION("""COMPUTED_VALUE"""),"CORPORATE")</f>
        <v>CORPORATE</v>
      </c>
      <c r="F15" s="15" t="str">
        <f>IFERROR(__xludf.DUMMYFUNCTION("""COMPUTED_VALUE"""),"Category Page")</f>
        <v>Category Page</v>
      </c>
      <c r="G15" s="15" t="b">
        <f>IFERROR(__xludf.DUMMYFUNCTION("""COMPUTED_VALUE"""),FALSE)</f>
        <v>0</v>
      </c>
      <c r="H15" s="15"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I15" s="15">
        <f>IFERROR(__xludf.DUMMYFUNCTION("""COMPUTED_VALUE"""),10.0)</f>
        <v>10</v>
      </c>
      <c r="J15" s="15">
        <f>IFERROR(__xludf.DUMMYFUNCTION("""COMPUTED_VALUE"""),0.01)</f>
        <v>0.01</v>
      </c>
      <c r="K15" s="15">
        <f>IFERROR(__xludf.DUMMYFUNCTION("""COMPUTED_VALUE"""),0.2)</f>
        <v>0.2</v>
      </c>
    </row>
    <row r="16" ht="15.75" customHeight="1">
      <c r="A16" s="14" t="str">
        <f>IFERROR(__xludf.DUMMYFUNCTION("""COMPUTED_VALUE"""),"https://clutch.co/agencies/programmatic/uk")</f>
        <v>https://clutch.co/agencies/programmatic/uk</v>
      </c>
      <c r="B16" s="15" t="str">
        <f>IFERROR(__xludf.DUMMYFUNCTION("""COMPUTED_VALUE"""),"Top Programmatic Advertising Companies in the United Kingdom - Jul 2026 Rankings \| Clutch.co")</f>
        <v>Top Programmatic Advertising Companies in the United Kingdom - Jul 2026 Rankings \| Clutch.co</v>
      </c>
      <c r="C16" s="14" t="str">
        <f>IFERROR(__xludf.DUMMYFUNCTION("""COMPUTED_VALUE"""),"clutch.co")</f>
        <v>clutch.co</v>
      </c>
      <c r="D16" s="15" t="str">
        <f>IFERROR(__xludf.DUMMYFUNCTION("""COMPUTED_VALUE"""),"CATEGORY_PAGE")</f>
        <v>CATEGORY_PAGE</v>
      </c>
      <c r="E16" s="15" t="str">
        <f>IFERROR(__xludf.DUMMYFUNCTION("""COMPUTED_VALUE"""),"CORPORATE")</f>
        <v>CORPORATE</v>
      </c>
      <c r="F16" s="15" t="str">
        <f>IFERROR(__xludf.DUMMYFUNCTION("""COMPUTED_VALUE"""),"Category Page")</f>
        <v>Category Page</v>
      </c>
      <c r="G16" s="15" t="b">
        <f>IFERROR(__xludf.DUMMYFUNCTION("""COMPUTED_VALUE"""),FALSE)</f>
        <v>0</v>
      </c>
      <c r="H16" s="15" t="str">
        <f>IFERROR(__xludf.DUMMYFUNCTION("""COMPUTED_VALUE"""),"ROAST, Ninja Promo, The SEO Works, M3.agency")</f>
        <v>ROAST, Ninja Promo, The SEO Works, M3.agency</v>
      </c>
      <c r="I16" s="15">
        <f>IFERROR(__xludf.DUMMYFUNCTION("""COMPUTED_VALUE"""),9.0)</f>
        <v>9</v>
      </c>
      <c r="J16" s="15">
        <f>IFERROR(__xludf.DUMMYFUNCTION("""COMPUTED_VALUE"""),0.01)</f>
        <v>0.01</v>
      </c>
      <c r="K16" s="15">
        <f>IFERROR(__xludf.DUMMYFUNCTION("""COMPUTED_VALUE"""),1.44)</f>
        <v>1.44</v>
      </c>
    </row>
    <row r="17" ht="15.75" customHeight="1">
      <c r="A17" s="14" t="str">
        <f>IFERROR(__xludf.DUMMYFUNCTION("""COMPUTED_VALUE"""),"https://clutch.co/agencies/sem/uk")</f>
        <v>https://clutch.co/agencies/sem/uk</v>
      </c>
      <c r="B17" s="15" t="str">
        <f>IFERROR(__xludf.DUMMYFUNCTION("""COMPUTED_VALUE"""),"Top Search Engine Marketing Agencies in the United Kingdom - Jul 2026 Rankings | Clutch.co")</f>
        <v>Top Search Engine Marketing Agencies in the United Kingdom - Jul 2026 Rankings | Clutch.co</v>
      </c>
      <c r="C17" s="14" t="str">
        <f>IFERROR(__xludf.DUMMYFUNCTION("""COMPUTED_VALUE"""),"clutch.co")</f>
        <v>clutch.co</v>
      </c>
      <c r="D17" s="15" t="str">
        <f>IFERROR(__xludf.DUMMYFUNCTION("""COMPUTED_VALUE"""),"CATEGORY_PAGE")</f>
        <v>CATEGORY_PAGE</v>
      </c>
      <c r="E17" s="15" t="str">
        <f>IFERROR(__xludf.DUMMYFUNCTION("""COMPUTED_VALUE"""),"CORPORATE")</f>
        <v>CORPORATE</v>
      </c>
      <c r="F17" s="15" t="str">
        <f>IFERROR(__xludf.DUMMYFUNCTION("""COMPUTED_VALUE"""),"Category Page")</f>
        <v>Category Page</v>
      </c>
      <c r="G17" s="15" t="b">
        <f>IFERROR(__xludf.DUMMYFUNCTION("""COMPUTED_VALUE"""),FALSE)</f>
        <v>0</v>
      </c>
      <c r="H17" s="15"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I17" s="15">
        <f>IFERROR(__xludf.DUMMYFUNCTION("""COMPUTED_VALUE"""),9.0)</f>
        <v>9</v>
      </c>
      <c r="J17" s="15">
        <f>IFERROR(__xludf.DUMMYFUNCTION("""COMPUTED_VALUE"""),0.01)</f>
        <v>0.01</v>
      </c>
      <c r="K17" s="15">
        <f>IFERROR(__xludf.DUMMYFUNCTION("""COMPUTED_VALUE"""),0.67)</f>
        <v>0.67</v>
      </c>
    </row>
    <row r="18" ht="15.75" customHeight="1">
      <c r="A18" s="14" t="str">
        <f>IFERROR(__xludf.DUMMYFUNCTION("""COMPUTED_VALUE"""),"https://clutch.co/agencies/ppc/display")</f>
        <v>https://clutch.co/agencies/ppc/display</v>
      </c>
      <c r="B18" s="15" t="str">
        <f>IFERROR(__xludf.DUMMYFUNCTION("""COMPUTED_VALUE"""),"Top Display Advertising Agencies - Jul 2026 Rankings | Clutch.co")</f>
        <v>Top Display Advertising Agencies - Jul 2026 Rankings | Clutch.co</v>
      </c>
      <c r="C18" s="14" t="str">
        <f>IFERROR(__xludf.DUMMYFUNCTION("""COMPUTED_VALUE"""),"clutch.co")</f>
        <v>clutch.co</v>
      </c>
      <c r="D18" s="15" t="str">
        <f>IFERROR(__xludf.DUMMYFUNCTION("""COMPUTED_VALUE"""),"CATEGORY_PAGE")</f>
        <v>CATEGORY_PAGE</v>
      </c>
      <c r="E18" s="15" t="str">
        <f>IFERROR(__xludf.DUMMYFUNCTION("""COMPUTED_VALUE"""),"CORPORATE")</f>
        <v>CORPORATE</v>
      </c>
      <c r="F18" s="15" t="str">
        <f>IFERROR(__xludf.DUMMYFUNCTION("""COMPUTED_VALUE"""),"Category Page")</f>
        <v>Category Page</v>
      </c>
      <c r="G18" s="15" t="b">
        <f>IFERROR(__xludf.DUMMYFUNCTION("""COMPUTED_VALUE"""),FALSE)</f>
        <v>0</v>
      </c>
      <c r="H18" s="15" t="str">
        <f>IFERROR(__xludf.DUMMYFUNCTION("""COMPUTED_VALUE"""),"Ninja Promo, Soap Media, Found, The SEO Works, GA Agency")</f>
        <v>Ninja Promo, Soap Media, Found, The SEO Works, GA Agency</v>
      </c>
      <c r="I18" s="15">
        <f>IFERROR(__xludf.DUMMYFUNCTION("""COMPUTED_VALUE"""),6.0)</f>
        <v>6</v>
      </c>
      <c r="J18" s="15">
        <f>IFERROR(__xludf.DUMMYFUNCTION("""COMPUTED_VALUE"""),0.01)</f>
        <v>0.01</v>
      </c>
      <c r="K18" s="15">
        <f>IFERROR(__xludf.DUMMYFUNCTION("""COMPUTED_VALUE"""),0.0)</f>
        <v>0</v>
      </c>
    </row>
    <row r="19" ht="15.75" customHeight="1">
      <c r="A19" s="14" t="str">
        <f>IFERROR(__xludf.DUMMYFUNCTION("""COMPUTED_VALUE"""),"https://clutch.co/agencies/performance-marketing")</f>
        <v>https://clutch.co/agencies/performance-marketing</v>
      </c>
      <c r="B19" s="15" t="str">
        <f>IFERROR(__xludf.DUMMYFUNCTION("""COMPUTED_VALUE"""),"Top Performance Marketing Agencies - Jul 2026 Rankings | Clutch.co")</f>
        <v>Top Performance Marketing Agencies - Jul 2026 Rankings | Clutch.co</v>
      </c>
      <c r="C19" s="14" t="str">
        <f>IFERROR(__xludf.DUMMYFUNCTION("""COMPUTED_VALUE"""),"clutch.co")</f>
        <v>clutch.co</v>
      </c>
      <c r="D19" s="15" t="str">
        <f>IFERROR(__xludf.DUMMYFUNCTION("""COMPUTED_VALUE"""),"CATEGORY_PAGE")</f>
        <v>CATEGORY_PAGE</v>
      </c>
      <c r="E19" s="15" t="str">
        <f>IFERROR(__xludf.DUMMYFUNCTION("""COMPUTED_VALUE"""),"CORPORATE")</f>
        <v>CORPORATE</v>
      </c>
      <c r="F19" s="15" t="str">
        <f>IFERROR(__xludf.DUMMYFUNCTION("""COMPUTED_VALUE"""),"Category Page")</f>
        <v>Category Page</v>
      </c>
      <c r="G19" s="15" t="b">
        <f>IFERROR(__xludf.DUMMYFUNCTION("""COMPUTED_VALUE"""),FALSE)</f>
        <v>0</v>
      </c>
      <c r="H19" s="15" t="str">
        <f>IFERROR(__xludf.DUMMYFUNCTION("""COMPUTED_VALUE"""),"Disruptive Advertising, Launch Online, Found, Momentum, GA Agency")</f>
        <v>Disruptive Advertising, Launch Online, Found, Momentum, GA Agency</v>
      </c>
      <c r="I19" s="15">
        <f>IFERROR(__xludf.DUMMYFUNCTION("""COMPUTED_VALUE"""),5.0)</f>
        <v>5</v>
      </c>
      <c r="J19" s="15">
        <f>IFERROR(__xludf.DUMMYFUNCTION("""COMPUTED_VALUE"""),0.0)</f>
        <v>0</v>
      </c>
      <c r="K19" s="15">
        <f>IFERROR(__xludf.DUMMYFUNCTION("""COMPUTED_VALUE"""),0.8)</f>
        <v>0.8</v>
      </c>
    </row>
    <row r="20" ht="15.75" customHeight="1">
      <c r="A20" s="14" t="str">
        <f>IFERROR(__xludf.DUMMYFUNCTION("""COMPUTED_VALUE"""),"https://clutch.co/agencies/ppc/display/uk?page=1")</f>
        <v>https://clutch.co/agencies/ppc/display/uk?page=1</v>
      </c>
      <c r="B20" s="15" t="str">
        <f>IFERROR(__xludf.DUMMYFUNCTION("""COMPUTED_VALUE"""),"Page 2 - Top Display Advertising Services in the United Kingdom - Jul 2026 Rankings \| Clutch.co")</f>
        <v>Page 2 - Top Display Advertising Services in the United Kingdom - Jul 2026 Rankings \| Clutch.co</v>
      </c>
      <c r="C20" s="14" t="str">
        <f>IFERROR(__xludf.DUMMYFUNCTION("""COMPUTED_VALUE"""),"clutch.co")</f>
        <v>clutch.co</v>
      </c>
      <c r="D20" s="15" t="str">
        <f>IFERROR(__xludf.DUMMYFUNCTION("""COMPUTED_VALUE"""),"CATEGORY_PAGE")</f>
        <v>CATEGORY_PAGE</v>
      </c>
      <c r="E20" s="15" t="str">
        <f>IFERROR(__xludf.DUMMYFUNCTION("""COMPUTED_VALUE"""),"CORPORATE")</f>
        <v>CORPORATE</v>
      </c>
      <c r="F20" s="15" t="str">
        <f>IFERROR(__xludf.DUMMYFUNCTION("""COMPUTED_VALUE"""),"Category Page")</f>
        <v>Category Page</v>
      </c>
      <c r="G20" s="15" t="b">
        <f>IFERROR(__xludf.DUMMYFUNCTION("""COMPUTED_VALUE"""),FALSE)</f>
        <v>0</v>
      </c>
      <c r="H20" s="15" t="str">
        <f>IFERROR(__xludf.DUMMYFUNCTION("""COMPUTED_VALUE"""),"Ninja Promo, Soap Media, The SEO Works, GA Agency, Bind Media, Found")</f>
        <v>Ninja Promo, Soap Media, The SEO Works, GA Agency, Bind Media, Found</v>
      </c>
      <c r="I20" s="15">
        <f>IFERROR(__xludf.DUMMYFUNCTION("""COMPUTED_VALUE"""),5.0)</f>
        <v>5</v>
      </c>
      <c r="J20" s="15">
        <f>IFERROR(__xludf.DUMMYFUNCTION("""COMPUTED_VALUE"""),0.0)</f>
        <v>0</v>
      </c>
      <c r="K20" s="15">
        <f>IFERROR(__xludf.DUMMYFUNCTION("""COMPUTED_VALUE"""),0.0)</f>
        <v>0</v>
      </c>
    </row>
    <row r="21" ht="15.75" customHeight="1">
      <c r="A21" s="14" t="str">
        <f>IFERROR(__xludf.DUMMYFUNCTION("""COMPUTED_VALUE"""),"https://clutch.co/agencies/branding/uk")</f>
        <v>https://clutch.co/agencies/branding/uk</v>
      </c>
      <c r="B21" s="15" t="str">
        <f>IFERROR(__xludf.DUMMYFUNCTION("""COMPUTED_VALUE"""),"Top Branding Agencies in the United Kingdom - Jul 2026 Rankings \| Clutch.co")</f>
        <v>Top Branding Agencies in the United Kingdom - Jul 2026 Rankings \| Clutch.co</v>
      </c>
      <c r="C21" s="14" t="str">
        <f>IFERROR(__xludf.DUMMYFUNCTION("""COMPUTED_VALUE"""),"clutch.co")</f>
        <v>clutch.co</v>
      </c>
      <c r="D21" s="15" t="str">
        <f>IFERROR(__xludf.DUMMYFUNCTION("""COMPUTED_VALUE"""),"CATEGORY_PAGE")</f>
        <v>CATEGORY_PAGE</v>
      </c>
      <c r="E21" s="15" t="str">
        <f>IFERROR(__xludf.DUMMYFUNCTION("""COMPUTED_VALUE"""),"CORPORATE")</f>
        <v>CORPORATE</v>
      </c>
      <c r="F21" s="15" t="str">
        <f>IFERROR(__xludf.DUMMYFUNCTION("""COMPUTED_VALUE"""),"Category Page")</f>
        <v>Category Page</v>
      </c>
      <c r="G21" s="15" t="b">
        <f>IFERROR(__xludf.DUMMYFUNCTION("""COMPUTED_VALUE"""),FALSE)</f>
        <v>0</v>
      </c>
      <c r="H21" s="15" t="str">
        <f>IFERROR(__xludf.DUMMYFUNCTION("""COMPUTED_VALUE"""),"Chello, Impression, Polaris, Favoured, Found")</f>
        <v>Chello, Impression, Polaris, Favoured, Found</v>
      </c>
      <c r="I21" s="15">
        <f>IFERROR(__xludf.DUMMYFUNCTION("""COMPUTED_VALUE"""),4.0)</f>
        <v>4</v>
      </c>
      <c r="J21" s="15">
        <f>IFERROR(__xludf.DUMMYFUNCTION("""COMPUTED_VALUE"""),0.0)</f>
        <v>0</v>
      </c>
      <c r="K21" s="15">
        <f>IFERROR(__xludf.DUMMYFUNCTION("""COMPUTED_VALUE"""),2.0)</f>
        <v>2</v>
      </c>
    </row>
    <row r="22" ht="15.75" customHeight="1">
      <c r="A22" s="14" t="str">
        <f>IFERROR(__xludf.DUMMYFUNCTION("""COMPUTED_VALUE"""),"https://clutch.co/agencies/ppc/advertising-industry/uk")</f>
        <v>https://clutch.co/agencies/ppc/advertising-industry/uk</v>
      </c>
      <c r="B22" s="15" t="str">
        <f>IFERROR(__xludf.DUMMYFUNCTION("""COMPUTED_VALUE"""),"Top PPC Agencies for Ad Agencies in the United Kingdom - Jul 2026 Rankings \| Clutch.co")</f>
        <v>Top PPC Agencies for Ad Agencies in the United Kingdom - Jul 2026 Rankings \| Clutch.co</v>
      </c>
      <c r="C22" s="14" t="str">
        <f>IFERROR(__xludf.DUMMYFUNCTION("""COMPUTED_VALUE"""),"clutch.co")</f>
        <v>clutch.co</v>
      </c>
      <c r="D22" s="15" t="str">
        <f>IFERROR(__xludf.DUMMYFUNCTION("""COMPUTED_VALUE"""),"CATEGORY_PAGE")</f>
        <v>CATEGORY_PAGE</v>
      </c>
      <c r="E22" s="15" t="str">
        <f>IFERROR(__xludf.DUMMYFUNCTION("""COMPUTED_VALUE"""),"CORPORATE")</f>
        <v>CORPORATE</v>
      </c>
      <c r="F22" s="15" t="str">
        <f>IFERROR(__xludf.DUMMYFUNCTION("""COMPUTED_VALUE"""),"Category Page")</f>
        <v>Category Page</v>
      </c>
      <c r="G22" s="15" t="b">
        <f>IFERROR(__xludf.DUMMYFUNCTION("""COMPUTED_VALUE"""),FALSE)</f>
        <v>0</v>
      </c>
      <c r="H22" s="15" t="str">
        <f>IFERROR(__xludf.DUMMYFUNCTION("""COMPUTED_VALUE"""),"Launch Online, Ninja Promo, M3.agency, ClickSlice, Gripped, Genie Crawl, Impression")</f>
        <v>Launch Online, Ninja Promo, M3.agency, ClickSlice, Gripped, Genie Crawl, Impression</v>
      </c>
      <c r="I22" s="15">
        <f>IFERROR(__xludf.DUMMYFUNCTION("""COMPUTED_VALUE"""),4.0)</f>
        <v>4</v>
      </c>
      <c r="J22" s="15">
        <f>IFERROR(__xludf.DUMMYFUNCTION("""COMPUTED_VALUE"""),0.0)</f>
        <v>0</v>
      </c>
      <c r="K22" s="15">
        <f>IFERROR(__xludf.DUMMYFUNCTION("""COMPUTED_VALUE"""),0.75)</f>
        <v>0.75</v>
      </c>
    </row>
    <row r="23" ht="15.75" customHeight="1">
      <c r="A23" s="14" t="str">
        <f>IFERROR(__xludf.DUMMYFUNCTION("""COMPUTED_VALUE"""),"https://clutch.co/agencies/ppc/display/uk/england/london")</f>
        <v>https://clutch.co/agencies/ppc/display/uk/england/london</v>
      </c>
      <c r="B23" s="15" t="str">
        <f>IFERROR(__xludf.DUMMYFUNCTION("""COMPUTED_VALUE"""),"Top Display Advertising Agencies - Jul 2026 Rankings \| Clutch.co")</f>
        <v>Top Display Advertising Agencies - Jul 2026 Rankings \| Clutch.co</v>
      </c>
      <c r="C23" s="14" t="str">
        <f>IFERROR(__xludf.DUMMYFUNCTION("""COMPUTED_VALUE"""),"clutch.co")</f>
        <v>clutch.co</v>
      </c>
      <c r="D23" s="15" t="str">
        <f>IFERROR(__xludf.DUMMYFUNCTION("""COMPUTED_VALUE"""),"CATEGORY_PAGE")</f>
        <v>CATEGORY_PAGE</v>
      </c>
      <c r="E23" s="15" t="str">
        <f>IFERROR(__xludf.DUMMYFUNCTION("""COMPUTED_VALUE"""),"CORPORATE")</f>
        <v>CORPORATE</v>
      </c>
      <c r="F23" s="15" t="str">
        <f>IFERROR(__xludf.DUMMYFUNCTION("""COMPUTED_VALUE"""),"Category Page")</f>
        <v>Category Page</v>
      </c>
      <c r="G23" s="15" t="b">
        <f>IFERROR(__xludf.DUMMYFUNCTION("""COMPUTED_VALUE"""),FALSE)</f>
        <v>0</v>
      </c>
      <c r="H23" s="15" t="str">
        <f>IFERROR(__xludf.DUMMYFUNCTION("""COMPUTED_VALUE"""),"Ninja Promo, Soap Media, Huge, Found, The SEO Works, GA Agency")</f>
        <v>Ninja Promo, Soap Media, Huge, Found, The SEO Works, GA Agency</v>
      </c>
      <c r="I23" s="15">
        <f>IFERROR(__xludf.DUMMYFUNCTION("""COMPUTED_VALUE"""),4.0)</f>
        <v>4</v>
      </c>
      <c r="J23" s="15">
        <f>IFERROR(__xludf.DUMMYFUNCTION("""COMPUTED_VALUE"""),0.0)</f>
        <v>0</v>
      </c>
      <c r="K23" s="15">
        <f>IFERROR(__xludf.DUMMYFUNCTION("""COMPUTED_VALUE"""),0.0)</f>
        <v>0</v>
      </c>
    </row>
    <row r="24" ht="15.75" customHeight="1">
      <c r="A24" s="14" t="str">
        <f>IFERROR(__xludf.DUMMYFUNCTION("""COMPUTED_VALUE"""),"https://clutch.co/agencies/ppc/display/uk?page=2")</f>
        <v>https://clutch.co/agencies/ppc/display/uk?page=2</v>
      </c>
      <c r="B24" s="15" t="str">
        <f>IFERROR(__xludf.DUMMYFUNCTION("""COMPUTED_VALUE"""),"Page 2 - Top Display Advertising Services in the United Kingdom - Jul 2026 Rankings \| Clutch.co")</f>
        <v>Page 2 - Top Display Advertising Services in the United Kingdom - Jul 2026 Rankings \| Clutch.co</v>
      </c>
      <c r="C24" s="14" t="str">
        <f>IFERROR(__xludf.DUMMYFUNCTION("""COMPUTED_VALUE"""),"clutch.co")</f>
        <v>clutch.co</v>
      </c>
      <c r="D24" s="15" t="str">
        <f>IFERROR(__xludf.DUMMYFUNCTION("""COMPUTED_VALUE"""),"CATEGORY_PAGE")</f>
        <v>CATEGORY_PAGE</v>
      </c>
      <c r="E24" s="15" t="str">
        <f>IFERROR(__xludf.DUMMYFUNCTION("""COMPUTED_VALUE"""),"CORPORATE")</f>
        <v>CORPORATE</v>
      </c>
      <c r="F24" s="15" t="str">
        <f>IFERROR(__xludf.DUMMYFUNCTION("""COMPUTED_VALUE"""),"Category Page")</f>
        <v>Category Page</v>
      </c>
      <c r="G24" s="15" t="b">
        <f>IFERROR(__xludf.DUMMYFUNCTION("""COMPUTED_VALUE"""),FALSE)</f>
        <v>0</v>
      </c>
      <c r="H24" s="15" t="str">
        <f>IFERROR(__xludf.DUMMYFUNCTION("""COMPUTED_VALUE"""),"Ninja Promo, Soap Media, The SEO Works, GA Agency, Bind Media, Found")</f>
        <v>Ninja Promo, Soap Media, The SEO Works, GA Agency, Bind Media, Found</v>
      </c>
      <c r="I24" s="15">
        <f>IFERROR(__xludf.DUMMYFUNCTION("""COMPUTED_VALUE"""),3.0)</f>
        <v>3</v>
      </c>
      <c r="J24" s="15">
        <f>IFERROR(__xludf.DUMMYFUNCTION("""COMPUTED_VALUE"""),0.0)</f>
        <v>0</v>
      </c>
      <c r="K24" s="15">
        <f>IFERROR(__xludf.DUMMYFUNCTION("""COMPUTED_VALUE"""),0.0)</f>
        <v>0</v>
      </c>
    </row>
    <row r="25" ht="15.75" customHeight="1">
      <c r="A25" s="14" t="str">
        <f>IFERROR(__xludf.DUMMYFUNCTION("""COMPUTED_VALUE"""),"https://clutch.co/agencies")</f>
        <v>https://clutch.co/agencies</v>
      </c>
      <c r="B25" s="15" t="str">
        <f>IFERROR(__xludf.DUMMYFUNCTION("""COMPUTED_VALUE"""),"Top Advertising Agencies &amp;amp; Marketing Companies - Jul 2026 Rankings | Clutch.co")</f>
        <v>Top Advertising Agencies &amp;amp; Marketing Companies - Jul 2026 Rankings | Clutch.co</v>
      </c>
      <c r="C25" s="14" t="str">
        <f>IFERROR(__xludf.DUMMYFUNCTION("""COMPUTED_VALUE"""),"clutch.co")</f>
        <v>clutch.co</v>
      </c>
      <c r="D25" s="15" t="str">
        <f>IFERROR(__xludf.DUMMYFUNCTION("""COMPUTED_VALUE"""),"CATEGORY_PAGE")</f>
        <v>CATEGORY_PAGE</v>
      </c>
      <c r="E25" s="15" t="str">
        <f>IFERROR(__xludf.DUMMYFUNCTION("""COMPUTED_VALUE"""),"CORPORATE")</f>
        <v>CORPORATE</v>
      </c>
      <c r="F25" s="15" t="str">
        <f>IFERROR(__xludf.DUMMYFUNCTION("""COMPUTED_VALUE"""),"Category Page")</f>
        <v>Category Page</v>
      </c>
      <c r="G25" s="15" t="b">
        <f>IFERROR(__xludf.DUMMYFUNCTION("""COMPUTED_VALUE"""),FALSE)</f>
        <v>0</v>
      </c>
      <c r="H25" s="15" t="str">
        <f>IFERROR(__xludf.DUMMYFUNCTION("""COMPUTED_VALUE"""),"Power Digital, Ignite Visibility, Favoured, Ninja Promo, WebFX, Chello, ROAST, M3.agency, The SEO Works")</f>
        <v>Power Digital, Ignite Visibility, Favoured, Ninja Promo, WebFX, Chello, ROAST, M3.agency, The SEO Works</v>
      </c>
      <c r="I25" s="15">
        <f>IFERROR(__xludf.DUMMYFUNCTION("""COMPUTED_VALUE"""),2.0)</f>
        <v>2</v>
      </c>
      <c r="J25" s="15">
        <f>IFERROR(__xludf.DUMMYFUNCTION("""COMPUTED_VALUE"""),0.0)</f>
        <v>0</v>
      </c>
      <c r="K25" s="15">
        <f>IFERROR(__xludf.DUMMYFUNCTION("""COMPUTED_VALUE"""),0.0)</f>
        <v>0</v>
      </c>
    </row>
    <row r="26" ht="15.75" customHeight="1">
      <c r="A26" s="14" t="str">
        <f>IFERROR(__xludf.DUMMYFUNCTION("""COMPUTED_VALUE"""),"https://clutch.co/agencies/market-research/shopper-marketing/uk")</f>
        <v>https://clutch.co/agencies/market-research/shopper-marketing/uk</v>
      </c>
      <c r="B26" s="15" t="str">
        <f>IFERROR(__xludf.DUMMYFUNCTION("""COMPUTED_VALUE"""),"Top Shopper Marketing Agencies in the United Kingdom - Jul 2026 Rankings | Clutch.co")</f>
        <v>Top Shopper Marketing Agencies in the United Kingdom - Jul 2026 Rankings | Clutch.co</v>
      </c>
      <c r="C26" s="14" t="str">
        <f>IFERROR(__xludf.DUMMYFUNCTION("""COMPUTED_VALUE"""),"clutch.co")</f>
        <v>clutch.co</v>
      </c>
      <c r="D26" s="15" t="str">
        <f>IFERROR(__xludf.DUMMYFUNCTION("""COMPUTED_VALUE"""),"PROFILE")</f>
        <v>PROFILE</v>
      </c>
      <c r="E26" s="15" t="str">
        <f>IFERROR(__xludf.DUMMYFUNCTION("""COMPUTED_VALUE"""),"CORPORATE")</f>
        <v>CORPORATE</v>
      </c>
      <c r="F26" s="15" t="str">
        <f>IFERROR(__xludf.DUMMYFUNCTION("""COMPUTED_VALUE"""),"Profile")</f>
        <v>Profile</v>
      </c>
      <c r="G26" s="15" t="b">
        <f>IFERROR(__xludf.DUMMYFUNCTION("""COMPUTED_VALUE"""),FALSE)</f>
        <v>0</v>
      </c>
      <c r="H26" s="15"/>
      <c r="I26" s="15">
        <f>IFERROR(__xludf.DUMMYFUNCTION("""COMPUTED_VALUE"""),2.0)</f>
        <v>2</v>
      </c>
      <c r="J26" s="15">
        <f>IFERROR(__xludf.DUMMYFUNCTION("""COMPUTED_VALUE"""),0.0)</f>
        <v>0</v>
      </c>
      <c r="K26" s="15">
        <f>IFERROR(__xludf.DUMMYFUNCTION("""COMPUTED_VALUE"""),0.0)</f>
        <v>0</v>
      </c>
    </row>
    <row r="27" ht="15.75" customHeight="1">
      <c r="A27" s="14" t="str">
        <f>IFERROR(__xludf.DUMMYFUNCTION("""COMPUTED_VALUE"""),"https://clutch.co/agencies/ppc/display/uk/england")</f>
        <v>https://clutch.co/agencies/ppc/display/uk/england</v>
      </c>
      <c r="B27" s="15" t="str">
        <f>IFERROR(__xludf.DUMMYFUNCTION("""COMPUTED_VALUE"""),"Top Display Advertising Agencies - Jul 2026 Rankings \| Clutch.co")</f>
        <v>Top Display Advertising Agencies - Jul 2026 Rankings \| Clutch.co</v>
      </c>
      <c r="C27" s="14" t="str">
        <f>IFERROR(__xludf.DUMMYFUNCTION("""COMPUTED_VALUE"""),"clutch.co")</f>
        <v>clutch.co</v>
      </c>
      <c r="D27" s="15" t="str">
        <f>IFERROR(__xludf.DUMMYFUNCTION("""COMPUTED_VALUE"""),"CATEGORY_PAGE")</f>
        <v>CATEGORY_PAGE</v>
      </c>
      <c r="E27" s="15" t="str">
        <f>IFERROR(__xludf.DUMMYFUNCTION("""COMPUTED_VALUE"""),"CORPORATE")</f>
        <v>CORPORATE</v>
      </c>
      <c r="F27" s="15" t="str">
        <f>IFERROR(__xludf.DUMMYFUNCTION("""COMPUTED_VALUE"""),"Category Page")</f>
        <v>Category Page</v>
      </c>
      <c r="G27" s="15" t="b">
        <f>IFERROR(__xludf.DUMMYFUNCTION("""COMPUTED_VALUE"""),FALSE)</f>
        <v>0</v>
      </c>
      <c r="H27" s="15" t="str">
        <f>IFERROR(__xludf.DUMMYFUNCTION("""COMPUTED_VALUE"""),"Ninja Promo, Soap Media, Found, The SEO Works, GA Agency")</f>
        <v>Ninja Promo, Soap Media, Found, The SEO Works, GA Agency</v>
      </c>
      <c r="I27" s="15">
        <f>IFERROR(__xludf.DUMMYFUNCTION("""COMPUTED_VALUE"""),2.0)</f>
        <v>2</v>
      </c>
      <c r="J27" s="15">
        <f>IFERROR(__xludf.DUMMYFUNCTION("""COMPUTED_VALUE"""),0.0)</f>
        <v>0</v>
      </c>
      <c r="K27" s="15">
        <f>IFERROR(__xludf.DUMMYFUNCTION("""COMPUTED_VALUE"""),0.5)</f>
        <v>0.5</v>
      </c>
    </row>
    <row r="28" ht="15.75" customHeight="1">
      <c r="A28" s="14" t="str">
        <f>IFERROR(__xludf.DUMMYFUNCTION("""COMPUTED_VALUE"""),"https://clutch.co/agencies/social-media-marketing/influencer/uk")</f>
        <v>https://clutch.co/agencies/social-media-marketing/influencer/uk</v>
      </c>
      <c r="B28" s="15" t="str">
        <f>IFERROR(__xludf.DUMMYFUNCTION("""COMPUTED_VALUE"""),"Top Influencer Advertising Agencies in the United Kingdom - Jul 2026 Rankings \| Clutch.co")</f>
        <v>Top Influencer Advertising Agencies in the United Kingdom - Jul 2026 Rankings \| Clutch.co</v>
      </c>
      <c r="C28" s="14" t="str">
        <f>IFERROR(__xludf.DUMMYFUNCTION("""COMPUTED_VALUE"""),"clutch.co")</f>
        <v>clutch.co</v>
      </c>
      <c r="D28" s="15" t="str">
        <f>IFERROR(__xludf.DUMMYFUNCTION("""COMPUTED_VALUE"""),"PROFILE")</f>
        <v>PROFILE</v>
      </c>
      <c r="E28" s="15" t="str">
        <f>IFERROR(__xludf.DUMMYFUNCTION("""COMPUTED_VALUE"""),"CORPORATE")</f>
        <v>CORPORATE</v>
      </c>
      <c r="F28" s="15" t="str">
        <f>IFERROR(__xludf.DUMMYFUNCTION("""COMPUTED_VALUE"""),"Profile")</f>
        <v>Profile</v>
      </c>
      <c r="G28" s="15" t="b">
        <f>IFERROR(__xludf.DUMMYFUNCTION("""COMPUTED_VALUE"""),FALSE)</f>
        <v>0</v>
      </c>
      <c r="H28" s="15" t="str">
        <f>IFERROR(__xludf.DUMMYFUNCTION("""COMPUTED_VALUE"""),"Ninja Promo, Favoured, Found, Momentum, Propeller, Impression")</f>
        <v>Ninja Promo, Favoured, Found, Momentum, Propeller, Impression</v>
      </c>
      <c r="I28" s="15">
        <f>IFERROR(__xludf.DUMMYFUNCTION("""COMPUTED_VALUE"""),2.0)</f>
        <v>2</v>
      </c>
      <c r="J28" s="15">
        <f>IFERROR(__xludf.DUMMYFUNCTION("""COMPUTED_VALUE"""),0.0)</f>
        <v>0</v>
      </c>
      <c r="K28" s="15">
        <f>IFERROR(__xludf.DUMMYFUNCTION("""COMPUTED_VALUE"""),0.0)</f>
        <v>0</v>
      </c>
    </row>
    <row r="29" ht="15.75" customHeight="1">
      <c r="A29" s="14" t="str">
        <f>IFERROR(__xludf.DUMMYFUNCTION("""COMPUTED_VALUE"""),"https://clutch.co/consulting/ai/uk?page=3")</f>
        <v>https://clutch.co/consulting/ai/uk?page=3</v>
      </c>
      <c r="B29" s="15" t="str">
        <f>IFERROR(__xludf.DUMMYFUNCTION("""COMPUTED_VALUE"""),"Page 3 - Top AI Consultants in the United Kingdom - Jul 2026 Rankings \| Clutch.co")</f>
        <v>Page 3 - Top AI Consultants in the United Kingdom - Jul 2026 Rankings \| Clutch.co</v>
      </c>
      <c r="C29" s="14" t="str">
        <f>IFERROR(__xludf.DUMMYFUNCTION("""COMPUTED_VALUE"""),"clutch.co")</f>
        <v>clutch.co</v>
      </c>
      <c r="D29" s="15" t="str">
        <f>IFERROR(__xludf.DUMMYFUNCTION("""COMPUTED_VALUE"""),"CATEGORY_PAGE")</f>
        <v>CATEGORY_PAGE</v>
      </c>
      <c r="E29" s="15" t="str">
        <f>IFERROR(__xludf.DUMMYFUNCTION("""COMPUTED_VALUE"""),"CORPORATE")</f>
        <v>CORPORATE</v>
      </c>
      <c r="F29" s="15" t="str">
        <f>IFERROR(__xludf.DUMMYFUNCTION("""COMPUTED_VALUE"""),"Category Page")</f>
        <v>Category Page</v>
      </c>
      <c r="G29" s="15" t="b">
        <f>IFERROR(__xludf.DUMMYFUNCTION("""COMPUTED_VALUE"""),FALSE)</f>
        <v>0</v>
      </c>
      <c r="H29" s="15" t="str">
        <f>IFERROR(__xludf.DUMMYFUNCTION("""COMPUTED_VALUE"""),"Found, Impression")</f>
        <v>Found, Impression</v>
      </c>
      <c r="I29" s="15">
        <f>IFERROR(__xludf.DUMMYFUNCTION("""COMPUTED_VALUE"""),2.0)</f>
        <v>2</v>
      </c>
      <c r="J29" s="15">
        <f>IFERROR(__xludf.DUMMYFUNCTION("""COMPUTED_VALUE"""),0.0)</f>
        <v>0</v>
      </c>
      <c r="K29" s="15">
        <f>IFERROR(__xludf.DUMMYFUNCTION("""COMPUTED_VALUE"""),0.0)</f>
        <v>0</v>
      </c>
    </row>
    <row r="30" ht="15.75" customHeight="1">
      <c r="A30" s="14" t="str">
        <f>IFERROR(__xludf.DUMMYFUNCTION("""COMPUTED_VALUE"""),"https://clutch.co/agencies/account-based-marketing/uk")</f>
        <v>https://clutch.co/agencies/account-based-marketing/uk</v>
      </c>
      <c r="B30" s="15" t="str">
        <f>IFERROR(__xludf.DUMMYFUNCTION("""COMPUTED_VALUE"""),"Top Account Based Marketing Agencies in the United Kingdom - Jul 2026 Rankings \| Clutch.co")</f>
        <v>Top Account Based Marketing Agencies in the United Kingdom - Jul 2026 Rankings \| Clutch.co</v>
      </c>
      <c r="C30" s="14" t="str">
        <f>IFERROR(__xludf.DUMMYFUNCTION("""COMPUTED_VALUE"""),"clutch.co")</f>
        <v>clutch.co</v>
      </c>
      <c r="D30" s="15" t="str">
        <f>IFERROR(__xludf.DUMMYFUNCTION("""COMPUTED_VALUE"""),"CATEGORY_PAGE")</f>
        <v>CATEGORY_PAGE</v>
      </c>
      <c r="E30" s="15" t="str">
        <f>IFERROR(__xludf.DUMMYFUNCTION("""COMPUTED_VALUE"""),"CORPORATE")</f>
        <v>CORPORATE</v>
      </c>
      <c r="F30" s="15" t="str">
        <f>IFERROR(__xludf.DUMMYFUNCTION("""COMPUTED_VALUE"""),"Category Page")</f>
        <v>Category Page</v>
      </c>
      <c r="G30" s="15" t="b">
        <f>IFERROR(__xludf.DUMMYFUNCTION("""COMPUTED_VALUE"""),FALSE)</f>
        <v>0</v>
      </c>
      <c r="H30" s="15" t="str">
        <f>IFERROR(__xludf.DUMMYFUNCTION("""COMPUTED_VALUE"""),"Found, Gripped, Momentum")</f>
        <v>Found, Gripped, Momentum</v>
      </c>
      <c r="I30" s="15">
        <f>IFERROR(__xludf.DUMMYFUNCTION("""COMPUTED_VALUE"""),1.0)</f>
        <v>1</v>
      </c>
      <c r="J30" s="15">
        <f>IFERROR(__xludf.DUMMYFUNCTION("""COMPUTED_VALUE"""),0.0)</f>
        <v>0</v>
      </c>
      <c r="K30" s="15">
        <f>IFERROR(__xludf.DUMMYFUNCTION("""COMPUTED_VALUE"""),0.0)</f>
        <v>0</v>
      </c>
    </row>
    <row r="31" ht="15.75" customHeight="1">
      <c r="A31" s="14" t="str">
        <f>IFERROR(__xludf.DUMMYFUNCTION("""COMPUTED_VALUE"""),"https://clutch.co/agencies/conversion-optimization/uk")</f>
        <v>https://clutch.co/agencies/conversion-optimization/uk</v>
      </c>
      <c r="B31" s="15" t="str">
        <f>IFERROR(__xludf.DUMMYFUNCTION("""COMPUTED_VALUE"""),"Top Conversion Rate Optimization Services in the United Kingdom - Jul 2026 Rankings \| Clutch.co")</f>
        <v>Top Conversion Rate Optimization Services in the United Kingdom - Jul 2026 Rankings \| Clutch.co</v>
      </c>
      <c r="C31" s="14" t="str">
        <f>IFERROR(__xludf.DUMMYFUNCTION("""COMPUTED_VALUE"""),"clutch.co")</f>
        <v>clutch.co</v>
      </c>
      <c r="D31" s="15" t="str">
        <f>IFERROR(__xludf.DUMMYFUNCTION("""COMPUTED_VALUE"""),"CATEGORY_PAGE")</f>
        <v>CATEGORY_PAGE</v>
      </c>
      <c r="E31" s="15" t="str">
        <f>IFERROR(__xludf.DUMMYFUNCTION("""COMPUTED_VALUE"""),"CORPORATE")</f>
        <v>CORPORATE</v>
      </c>
      <c r="F31" s="15" t="str">
        <f>IFERROR(__xludf.DUMMYFUNCTION("""COMPUTED_VALUE"""),"Category Page")</f>
        <v>Category Page</v>
      </c>
      <c r="G31" s="15" t="b">
        <f>IFERROR(__xludf.DUMMYFUNCTION("""COMPUTED_VALUE"""),FALSE)</f>
        <v>0</v>
      </c>
      <c r="H31" s="15" t="str">
        <f>IFERROR(__xludf.DUMMYFUNCTION("""COMPUTED_VALUE"""),"Soap Media, Launch Online, Propeller, Found, Gripped, Bind Media")</f>
        <v>Soap Media, Launch Online, Propeller, Found, Gripped, Bind Media</v>
      </c>
      <c r="I31" s="15">
        <f>IFERROR(__xludf.DUMMYFUNCTION("""COMPUTED_VALUE"""),1.0)</f>
        <v>1</v>
      </c>
      <c r="J31" s="15">
        <f>IFERROR(__xludf.DUMMYFUNCTION("""COMPUTED_VALUE"""),0.0)</f>
        <v>0</v>
      </c>
      <c r="K31" s="15">
        <f>IFERROR(__xludf.DUMMYFUNCTION("""COMPUTED_VALUE"""),0.0)</f>
        <v>0</v>
      </c>
    </row>
    <row r="32" ht="15.75" customHeight="1">
      <c r="A32" s="14"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B32" s="15" t="str">
        <f>IFERROR(__xludf.DUMMYFUNCTION("""COMPUTED_VALUE"""),"Best Digital Marketing Agencies - Jul 2026 Rankings \| Clutch.co")</f>
        <v>Best Digital Marketing Agencies - Jul 2026 Rankings \| Clutch.co</v>
      </c>
      <c r="C32" s="14" t="str">
        <f>IFERROR(__xludf.DUMMYFUNCTION("""COMPUTED_VALUE"""),"clutch.co")</f>
        <v>clutch.co</v>
      </c>
      <c r="D32" s="15" t="str">
        <f>IFERROR(__xludf.DUMMYFUNCTION("""COMPUTED_VALUE"""),"CATEGORY_PAGE")</f>
        <v>CATEGORY_PAGE</v>
      </c>
      <c r="E32" s="15" t="str">
        <f>IFERROR(__xludf.DUMMYFUNCTION("""COMPUTED_VALUE"""),"CORPORATE")</f>
        <v>CORPORATE</v>
      </c>
      <c r="F32" s="15" t="str">
        <f>IFERROR(__xludf.DUMMYFUNCTION("""COMPUTED_VALUE"""),"Category Page")</f>
        <v>Category Page</v>
      </c>
      <c r="G32" s="15" t="b">
        <f>IFERROR(__xludf.DUMMYFUNCTION("""COMPUTED_VALUE"""),FALSE)</f>
        <v>0</v>
      </c>
      <c r="H32" s="15"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I32" s="15">
        <f>IFERROR(__xludf.DUMMYFUNCTION("""COMPUTED_VALUE"""),1.0)</f>
        <v>1</v>
      </c>
      <c r="J32" s="15">
        <f>IFERROR(__xludf.DUMMYFUNCTION("""COMPUTED_VALUE"""),0.0)</f>
        <v>0</v>
      </c>
      <c r="K32" s="15">
        <f>IFERROR(__xludf.DUMMYFUNCTION("""COMPUTED_VALUE"""),2.0)</f>
        <v>2</v>
      </c>
    </row>
    <row r="33" ht="15.75" customHeight="1">
      <c r="A33" s="14" t="str">
        <f>IFERROR(__xludf.DUMMYFUNCTION("""COMPUTED_VALUE"""),"https://clutch.co/agencies/digital-marketing/enterprise/uk/england/london")</f>
        <v>https://clutch.co/agencies/digital-marketing/enterprise/uk/england/london</v>
      </c>
      <c r="B33" s="15" t="str">
        <f>IFERROR(__xludf.DUMMYFUNCTION("""COMPUTED_VALUE"""),"Top Digital Marketing Agencies for Enterprise in London - Jul 2026 Rankings \| Clutch.co")</f>
        <v>Top Digital Marketing Agencies for Enterprise in London - Jul 2026 Rankings \| Clutch.co</v>
      </c>
      <c r="C33" s="14" t="str">
        <f>IFERROR(__xludf.DUMMYFUNCTION("""COMPUTED_VALUE"""),"clutch.co")</f>
        <v>clutch.co</v>
      </c>
      <c r="D33" s="15" t="str">
        <f>IFERROR(__xludf.DUMMYFUNCTION("""COMPUTED_VALUE"""),"CATEGORY_PAGE")</f>
        <v>CATEGORY_PAGE</v>
      </c>
      <c r="E33" s="15" t="str">
        <f>IFERROR(__xludf.DUMMYFUNCTION("""COMPUTED_VALUE"""),"CORPORATE")</f>
        <v>CORPORATE</v>
      </c>
      <c r="F33" s="15" t="str">
        <f>IFERROR(__xludf.DUMMYFUNCTION("""COMPUTED_VALUE"""),"Category Page")</f>
        <v>Category Page</v>
      </c>
      <c r="G33" s="15" t="b">
        <f>IFERROR(__xludf.DUMMYFUNCTION("""COMPUTED_VALUE"""),FALSE)</f>
        <v>0</v>
      </c>
      <c r="H33" s="15" t="str">
        <f>IFERROR(__xludf.DUMMYFUNCTION("""COMPUTED_VALUE"""),"Impression, M3.agency, Ninja Promo, ROAST, Favoured, GA Agency, Propeller, Bird Marketing, Found")</f>
        <v>Impression, M3.agency, Ninja Promo, ROAST, Favoured, GA Agency, Propeller, Bird Marketing, Found</v>
      </c>
      <c r="I33" s="15">
        <f>IFERROR(__xludf.DUMMYFUNCTION("""COMPUTED_VALUE"""),1.0)</f>
        <v>1</v>
      </c>
      <c r="J33" s="15">
        <f>IFERROR(__xludf.DUMMYFUNCTION("""COMPUTED_VALUE"""),0.0)</f>
        <v>0</v>
      </c>
      <c r="K33" s="15">
        <f>IFERROR(__xludf.DUMMYFUNCTION("""COMPUTED_VALUE"""),1.0)</f>
        <v>1</v>
      </c>
    </row>
    <row r="34" ht="15.75" customHeight="1">
      <c r="A34" s="14" t="str">
        <f>IFERROR(__xludf.DUMMYFUNCTION("""COMPUTED_VALUE"""),"https://clutch.co/agencies/market-research/uk")</f>
        <v>https://clutch.co/agencies/market-research/uk</v>
      </c>
      <c r="B34" s="15" t="str">
        <f>IFERROR(__xludf.DUMMYFUNCTION("""COMPUTED_VALUE"""),"Top Market Research Companies in the United Kingdom - Jul 2026 Rankings \| Clutch.co")</f>
        <v>Top Market Research Companies in the United Kingdom - Jul 2026 Rankings \| Clutch.co</v>
      </c>
      <c r="C34" s="14" t="str">
        <f>IFERROR(__xludf.DUMMYFUNCTION("""COMPUTED_VALUE"""),"clutch.co")</f>
        <v>clutch.co</v>
      </c>
      <c r="D34" s="15" t="str">
        <f>IFERROR(__xludf.DUMMYFUNCTION("""COMPUTED_VALUE"""),"CATEGORY_PAGE")</f>
        <v>CATEGORY_PAGE</v>
      </c>
      <c r="E34" s="15" t="str">
        <f>IFERROR(__xludf.DUMMYFUNCTION("""COMPUTED_VALUE"""),"CORPORATE")</f>
        <v>CORPORATE</v>
      </c>
      <c r="F34" s="15" t="str">
        <f>IFERROR(__xludf.DUMMYFUNCTION("""COMPUTED_VALUE"""),"Category Page")</f>
        <v>Category Page</v>
      </c>
      <c r="G34" s="15" t="b">
        <f>IFERROR(__xludf.DUMMYFUNCTION("""COMPUTED_VALUE"""),FALSE)</f>
        <v>0</v>
      </c>
      <c r="H34" s="15" t="str">
        <f>IFERROR(__xludf.DUMMYFUNCTION("""COMPUTED_VALUE"""),"Found")</f>
        <v>Found</v>
      </c>
      <c r="I34" s="15">
        <f>IFERROR(__xludf.DUMMYFUNCTION("""COMPUTED_VALUE"""),1.0)</f>
        <v>1</v>
      </c>
      <c r="J34" s="15">
        <f>IFERROR(__xludf.DUMMYFUNCTION("""COMPUTED_VALUE"""),0.0)</f>
        <v>0</v>
      </c>
      <c r="K34" s="15">
        <f>IFERROR(__xludf.DUMMYFUNCTION("""COMPUTED_VALUE"""),0.0)</f>
        <v>0</v>
      </c>
    </row>
    <row r="35" ht="15.75" customHeight="1">
      <c r="A35" s="14" t="str">
        <f>IFERROR(__xludf.DUMMYFUNCTION("""COMPUTED_VALUE"""),"https://clutch.co/agencies/performance-marketing%3Fpage%3D0")</f>
        <v>https://clutch.co/agencies/performance-marketing%3Fpage%3D0</v>
      </c>
      <c r="B35" s="15" t="str">
        <f>IFERROR(__xludf.DUMMYFUNCTION("""COMPUTED_VALUE"""),"Top Performance Marketing Agencies - Jul 2026 Rankings \| Clutch.co")</f>
        <v>Top Performance Marketing Agencies - Jul 2026 Rankings \| Clutch.co</v>
      </c>
      <c r="C35" s="14" t="str">
        <f>IFERROR(__xludf.DUMMYFUNCTION("""COMPUTED_VALUE"""),"clutch.co")</f>
        <v>clutch.co</v>
      </c>
      <c r="D35" s="15" t="str">
        <f>IFERROR(__xludf.DUMMYFUNCTION("""COMPUTED_VALUE"""),"LISTICLE")</f>
        <v>LISTICLE</v>
      </c>
      <c r="E35" s="15" t="str">
        <f>IFERROR(__xludf.DUMMYFUNCTION("""COMPUTED_VALUE"""),"CORPORATE")</f>
        <v>CORPORATE</v>
      </c>
      <c r="F35" s="15" t="str">
        <f>IFERROR(__xludf.DUMMYFUNCTION("""COMPUTED_VALUE"""),"Listicle")</f>
        <v>Listicle</v>
      </c>
      <c r="G35" s="15" t="b">
        <f>IFERROR(__xludf.DUMMYFUNCTION("""COMPUTED_VALUE"""),FALSE)</f>
        <v>0</v>
      </c>
      <c r="H35" s="15" t="str">
        <f>IFERROR(__xludf.DUMMYFUNCTION("""COMPUTED_VALUE"""),"Disruptive Advertising, Launch Online, Momentum, GA Agency, Found")</f>
        <v>Disruptive Advertising, Launch Online, Momentum, GA Agency, Found</v>
      </c>
      <c r="I35" s="15">
        <f>IFERROR(__xludf.DUMMYFUNCTION("""COMPUTED_VALUE"""),1.0)</f>
        <v>1</v>
      </c>
      <c r="J35" s="15">
        <f>IFERROR(__xludf.DUMMYFUNCTION("""COMPUTED_VALUE"""),0.0)</f>
        <v>0</v>
      </c>
      <c r="K35" s="15">
        <f>IFERROR(__xludf.DUMMYFUNCTION("""COMPUTED_VALUE"""),0.0)</f>
        <v>0</v>
      </c>
    </row>
    <row r="36" ht="15.75" customHeight="1">
      <c r="A36" s="14" t="str">
        <f>IFERROR(__xludf.DUMMYFUNCTION("""COMPUTED_VALUE"""),"https://clutch.co/agencies/ppc/display%3Fpage%3D0")</f>
        <v>https://clutch.co/agencies/ppc/display%3Fpage%3D0</v>
      </c>
      <c r="B36" s="15" t="str">
        <f>IFERROR(__xludf.DUMMYFUNCTION("""COMPUTED_VALUE"""),"Top Display Advertising Agencies - Jul 2026 Rankings | Clutch.co")</f>
        <v>Top Display Advertising Agencies - Jul 2026 Rankings | Clutch.co</v>
      </c>
      <c r="C36" s="14" t="str">
        <f>IFERROR(__xludf.DUMMYFUNCTION("""COMPUTED_VALUE"""),"clutch.co")</f>
        <v>clutch.co</v>
      </c>
      <c r="D36" s="15" t="str">
        <f>IFERROR(__xludf.DUMMYFUNCTION("""COMPUTED_VALUE"""),"PROFILE")</f>
        <v>PROFILE</v>
      </c>
      <c r="E36" s="15" t="str">
        <f>IFERROR(__xludf.DUMMYFUNCTION("""COMPUTED_VALUE"""),"CORPORATE")</f>
        <v>CORPORATE</v>
      </c>
      <c r="F36" s="15" t="str">
        <f>IFERROR(__xludf.DUMMYFUNCTION("""COMPUTED_VALUE"""),"Profile")</f>
        <v>Profile</v>
      </c>
      <c r="G36" s="15" t="b">
        <f>IFERROR(__xludf.DUMMYFUNCTION("""COMPUTED_VALUE"""),FALSE)</f>
        <v>0</v>
      </c>
      <c r="H36" s="15" t="str">
        <f>IFERROR(__xludf.DUMMYFUNCTION("""COMPUTED_VALUE"""),"Ninja Promo, Soap Media, Found, Impression, Huge, The SEO Works, GA Agency")</f>
        <v>Ninja Promo, Soap Media, Found, Impression, Huge, The SEO Works, GA Agency</v>
      </c>
      <c r="I36" s="15">
        <f>IFERROR(__xludf.DUMMYFUNCTION("""COMPUTED_VALUE"""),1.0)</f>
        <v>1</v>
      </c>
      <c r="J36" s="15">
        <f>IFERROR(__xludf.DUMMYFUNCTION("""COMPUTED_VALUE"""),0.0)</f>
        <v>0</v>
      </c>
      <c r="K36" s="15">
        <f>IFERROR(__xludf.DUMMYFUNCTION("""COMPUTED_VALUE"""),0.0)</f>
        <v>0</v>
      </c>
    </row>
    <row r="37" ht="15.75" customHeight="1">
      <c r="A37" s="14" t="str">
        <f>IFERROR(__xludf.DUMMYFUNCTION("""COMPUTED_VALUE"""),"https://clutch.co/agencies/ppc/uk/england/nottingham")</f>
        <v>https://clutch.co/agencies/ppc/uk/england/nottingham</v>
      </c>
      <c r="B37" s="15" t="str">
        <f>IFERROR(__xludf.DUMMYFUNCTION("""COMPUTED_VALUE"""),"Top PPC Agencies - Jul 2026 Rankings \| Clutch.co")</f>
        <v>Top PPC Agencies - Jul 2026 Rankings \| Clutch.co</v>
      </c>
      <c r="C37" s="14" t="str">
        <f>IFERROR(__xludf.DUMMYFUNCTION("""COMPUTED_VALUE"""),"clutch.co")</f>
        <v>clutch.co</v>
      </c>
      <c r="D37" s="15" t="str">
        <f>IFERROR(__xludf.DUMMYFUNCTION("""COMPUTED_VALUE"""),"CATEGORY_PAGE")</f>
        <v>CATEGORY_PAGE</v>
      </c>
      <c r="E37" s="15" t="str">
        <f>IFERROR(__xludf.DUMMYFUNCTION("""COMPUTED_VALUE"""),"CORPORATE")</f>
        <v>CORPORATE</v>
      </c>
      <c r="F37" s="15" t="str">
        <f>IFERROR(__xludf.DUMMYFUNCTION("""COMPUTED_VALUE"""),"Category Page")</f>
        <v>Category Page</v>
      </c>
      <c r="G37" s="15" t="b">
        <f>IFERROR(__xludf.DUMMYFUNCTION("""COMPUTED_VALUE"""),FALSE)</f>
        <v>0</v>
      </c>
      <c r="H37" s="15" t="str">
        <f>IFERROR(__xludf.DUMMYFUNCTION("""COMPUTED_VALUE"""),"Propeller, Disruptive Advertising, Single Grain, Launch Online, Ninja Promo")</f>
        <v>Propeller, Disruptive Advertising, Single Grain, Launch Online, Ninja Promo</v>
      </c>
      <c r="I37" s="15">
        <f>IFERROR(__xludf.DUMMYFUNCTION("""COMPUTED_VALUE"""),1.0)</f>
        <v>1</v>
      </c>
      <c r="J37" s="15">
        <f>IFERROR(__xludf.DUMMYFUNCTION("""COMPUTED_VALUE"""),0.0)</f>
        <v>0</v>
      </c>
      <c r="K37" s="15">
        <f>IFERROR(__xludf.DUMMYFUNCTION("""COMPUTED_VALUE"""),0.0)</f>
        <v>0</v>
      </c>
    </row>
    <row r="38" ht="15.75" customHeight="1">
      <c r="A38" s="14" t="str">
        <f>IFERROR(__xludf.DUMMYFUNCTION("""COMPUTED_VALUE"""),"https://clutch.co/agencies/programmatic/uk/england/london")</f>
        <v>https://clutch.co/agencies/programmatic/uk/england/london</v>
      </c>
      <c r="B38" s="15" t="str">
        <f>IFERROR(__xludf.DUMMYFUNCTION("""COMPUTED_VALUE"""),"Top Programmatic Advertising Agencies in London - Jul 2026 Rankings \| Clutch.co")</f>
        <v>Top Programmatic Advertising Agencies in London - Jul 2026 Rankings \| Clutch.co</v>
      </c>
      <c r="C38" s="14" t="str">
        <f>IFERROR(__xludf.DUMMYFUNCTION("""COMPUTED_VALUE"""),"clutch.co")</f>
        <v>clutch.co</v>
      </c>
      <c r="D38" s="15" t="str">
        <f>IFERROR(__xludf.DUMMYFUNCTION("""COMPUTED_VALUE"""),"CATEGORY_PAGE")</f>
        <v>CATEGORY_PAGE</v>
      </c>
      <c r="E38" s="15" t="str">
        <f>IFERROR(__xludf.DUMMYFUNCTION("""COMPUTED_VALUE"""),"CORPORATE")</f>
        <v>CORPORATE</v>
      </c>
      <c r="F38" s="15" t="str">
        <f>IFERROR(__xludf.DUMMYFUNCTION("""COMPUTED_VALUE"""),"Category Page")</f>
        <v>Category Page</v>
      </c>
      <c r="G38" s="15" t="b">
        <f>IFERROR(__xludf.DUMMYFUNCTION("""COMPUTED_VALUE"""),FALSE)</f>
        <v>0</v>
      </c>
      <c r="H38" s="15" t="str">
        <f>IFERROR(__xludf.DUMMYFUNCTION("""COMPUTED_VALUE"""),"ROAST, Ninja Promo, Push, WPP, Omnicom")</f>
        <v>ROAST, Ninja Promo, Push, WPP, Omnicom</v>
      </c>
      <c r="I38" s="15">
        <f>IFERROR(__xludf.DUMMYFUNCTION("""COMPUTED_VALUE"""),1.0)</f>
        <v>1</v>
      </c>
      <c r="J38" s="15">
        <f>IFERROR(__xludf.DUMMYFUNCTION("""COMPUTED_VALUE"""),0.0)</f>
        <v>0</v>
      </c>
      <c r="K38" s="15">
        <f>IFERROR(__xludf.DUMMYFUNCTION("""COMPUTED_VALUE"""),2.0)</f>
        <v>2</v>
      </c>
    </row>
    <row r="39" ht="15.75" customHeight="1">
      <c r="A39" s="14" t="str">
        <f>IFERROR(__xludf.DUMMYFUNCTION("""COMPUTED_VALUE"""),"https://clutch.co/agencies/programmatic/uk/england/manchester")</f>
        <v>https://clutch.co/agencies/programmatic/uk/england/manchester</v>
      </c>
      <c r="B39" s="15" t="str">
        <f>IFERROR(__xludf.DUMMYFUNCTION("""COMPUTED_VALUE"""),"Top Programmatic Advertising Companies in Manchester - Jul 2026 Rankings \| Clutch.co")</f>
        <v>Top Programmatic Advertising Companies in Manchester - Jul 2026 Rankings \| Clutch.co</v>
      </c>
      <c r="C39" s="14" t="str">
        <f>IFERROR(__xludf.DUMMYFUNCTION("""COMPUTED_VALUE"""),"clutch.co")</f>
        <v>clutch.co</v>
      </c>
      <c r="D39" s="15" t="str">
        <f>IFERROR(__xludf.DUMMYFUNCTION("""COMPUTED_VALUE"""),"OTHER")</f>
        <v>OTHER</v>
      </c>
      <c r="E39" s="15" t="str">
        <f>IFERROR(__xludf.DUMMYFUNCTION("""COMPUTED_VALUE"""),"CORPORATE")</f>
        <v>CORPORATE</v>
      </c>
      <c r="F39" s="15" t="str">
        <f>IFERROR(__xludf.DUMMYFUNCTION("""COMPUTED_VALUE"""),"Other")</f>
        <v>Other</v>
      </c>
      <c r="G39" s="15" t="b">
        <f>IFERROR(__xludf.DUMMYFUNCTION("""COMPUTED_VALUE"""),FALSE)</f>
        <v>0</v>
      </c>
      <c r="H39" s="15" t="str">
        <f>IFERROR(__xludf.DUMMYFUNCTION("""COMPUTED_VALUE"""),"M3.agency, The SEO Works")</f>
        <v>M3.agency, The SEO Works</v>
      </c>
      <c r="I39" s="15">
        <f>IFERROR(__xludf.DUMMYFUNCTION("""COMPUTED_VALUE"""),1.0)</f>
        <v>1</v>
      </c>
      <c r="J39" s="15">
        <f>IFERROR(__xludf.DUMMYFUNCTION("""COMPUTED_VALUE"""),0.0)</f>
        <v>0</v>
      </c>
      <c r="K39" s="15">
        <f>IFERROR(__xludf.DUMMYFUNCTION("""COMPUTED_VALUE"""),0.0)</f>
        <v>0</v>
      </c>
    </row>
    <row r="40" ht="15.75" customHeight="1">
      <c r="A40" s="14" t="str">
        <f>IFERROR(__xludf.DUMMYFUNCTION("""COMPUTED_VALUE"""),"https://clutch.co/agencies/programmatic/uk?page=2")</f>
        <v>https://clutch.co/agencies/programmatic/uk?page=2</v>
      </c>
      <c r="B40" s="15" t="str">
        <f>IFERROR(__xludf.DUMMYFUNCTION("""COMPUTED_VALUE"""),"Page 2 - Top Programmatic Advertising Companies in the United Kingdom - Jul 2026 Rankings \| Clutch.co")</f>
        <v>Page 2 - Top Programmatic Advertising Companies in the United Kingdom - Jul 2026 Rankings \| Clutch.co</v>
      </c>
      <c r="C40" s="14" t="str">
        <f>IFERROR(__xludf.DUMMYFUNCTION("""COMPUTED_VALUE"""),"clutch.co")</f>
        <v>clutch.co</v>
      </c>
      <c r="D40" s="15" t="str">
        <f>IFERROR(__xludf.DUMMYFUNCTION("""COMPUTED_VALUE"""),"CATEGORY_PAGE")</f>
        <v>CATEGORY_PAGE</v>
      </c>
      <c r="E40" s="15" t="str">
        <f>IFERROR(__xludf.DUMMYFUNCTION("""COMPUTED_VALUE"""),"CORPORATE")</f>
        <v>CORPORATE</v>
      </c>
      <c r="F40" s="15" t="str">
        <f>IFERROR(__xludf.DUMMYFUNCTION("""COMPUTED_VALUE"""),"Category Page")</f>
        <v>Category Page</v>
      </c>
      <c r="G40" s="15" t="b">
        <f>IFERROR(__xludf.DUMMYFUNCTION("""COMPUTED_VALUE"""),FALSE)</f>
        <v>0</v>
      </c>
      <c r="H40" s="15" t="str">
        <f>IFERROR(__xludf.DUMMYFUNCTION("""COMPUTED_VALUE"""),"ROAST, Ninja Promo, The SEO Works, M3.agency")</f>
        <v>ROAST, Ninja Promo, The SEO Works, M3.agency</v>
      </c>
      <c r="I40" s="15">
        <f>IFERROR(__xludf.DUMMYFUNCTION("""COMPUTED_VALUE"""),1.0)</f>
        <v>1</v>
      </c>
      <c r="J40" s="15">
        <f>IFERROR(__xludf.DUMMYFUNCTION("""COMPUTED_VALUE"""),0.0)</f>
        <v>0</v>
      </c>
      <c r="K40" s="15">
        <f>IFERROR(__xludf.DUMMYFUNCTION("""COMPUTED_VALUE"""),0.0)</f>
        <v>0</v>
      </c>
    </row>
    <row r="41" ht="15.75" customHeight="1">
      <c r="A41" s="14" t="str">
        <f>IFERROR(__xludf.DUMMYFUNCTION("""COMPUTED_VALUE"""),"https://clutch.co/agencies/social-media-marketing/tik-tok/uk")</f>
        <v>https://clutch.co/agencies/social-media-marketing/tik-tok/uk</v>
      </c>
      <c r="B41" s="15" t="str">
        <f>IFERROR(__xludf.DUMMYFUNCTION("""COMPUTED_VALUE"""),"Top TikTok Advertising Agencies in the United Kingdom - Jul 2026 Rankings \| Clutch.co")</f>
        <v>Top TikTok Advertising Agencies in the United Kingdom - Jul 2026 Rankings \| Clutch.co</v>
      </c>
      <c r="C41" s="14" t="str">
        <f>IFERROR(__xludf.DUMMYFUNCTION("""COMPUTED_VALUE"""),"clutch.co")</f>
        <v>clutch.co</v>
      </c>
      <c r="D41" s="15" t="str">
        <f>IFERROR(__xludf.DUMMYFUNCTION("""COMPUTED_VALUE"""),"CATEGORY_PAGE")</f>
        <v>CATEGORY_PAGE</v>
      </c>
      <c r="E41" s="15" t="str">
        <f>IFERROR(__xludf.DUMMYFUNCTION("""COMPUTED_VALUE"""),"CORPORATE")</f>
        <v>CORPORATE</v>
      </c>
      <c r="F41" s="15" t="str">
        <f>IFERROR(__xludf.DUMMYFUNCTION("""COMPUTED_VALUE"""),"Category Page")</f>
        <v>Category Page</v>
      </c>
      <c r="G41" s="15" t="b">
        <f>IFERROR(__xludf.DUMMYFUNCTION("""COMPUTED_VALUE"""),FALSE)</f>
        <v>0</v>
      </c>
      <c r="H41" s="15" t="str">
        <f>IFERROR(__xludf.DUMMYFUNCTION("""COMPUTED_VALUE"""),"Favoured, Ninja Promo, Soap Media, M3.agency, Huge, Propeller, Impression, Found")</f>
        <v>Favoured, Ninja Promo, Soap Media, M3.agency, Huge, Propeller, Impression, Found</v>
      </c>
      <c r="I41" s="15">
        <f>IFERROR(__xludf.DUMMYFUNCTION("""COMPUTED_VALUE"""),1.0)</f>
        <v>1</v>
      </c>
      <c r="J41" s="15">
        <f>IFERROR(__xludf.DUMMYFUNCTION("""COMPUTED_VALUE"""),0.0)</f>
        <v>0</v>
      </c>
      <c r="K41" s="15">
        <f>IFERROR(__xludf.DUMMYFUNCTION("""COMPUTED_VALUE"""),2.0)</f>
        <v>2</v>
      </c>
    </row>
    <row r="42" ht="15.75" customHeight="1">
      <c r="A42" s="14" t="str">
        <f>IFERROR(__xludf.DUMMYFUNCTION("""COMPUTED_VALUE"""),"https://clutch.co/developers/ecommerce")</f>
        <v>https://clutch.co/developers/ecommerce</v>
      </c>
      <c r="B42" s="15" t="str">
        <f>IFERROR(__xludf.DUMMYFUNCTION("""COMPUTED_VALUE"""),"Top E-Commerce Development Agencies - Jul 2026 Rankings | Clutch.co")</f>
        <v>Top E-Commerce Development Agencies - Jul 2026 Rankings | Clutch.co</v>
      </c>
      <c r="C42" s="14" t="str">
        <f>IFERROR(__xludf.DUMMYFUNCTION("""COMPUTED_VALUE"""),"clutch.co")</f>
        <v>clutch.co</v>
      </c>
      <c r="D42" s="15" t="str">
        <f>IFERROR(__xludf.DUMMYFUNCTION("""COMPUTED_VALUE"""),"CATEGORY_PAGE")</f>
        <v>CATEGORY_PAGE</v>
      </c>
      <c r="E42" s="15" t="str">
        <f>IFERROR(__xludf.DUMMYFUNCTION("""COMPUTED_VALUE"""),"CORPORATE")</f>
        <v>CORPORATE</v>
      </c>
      <c r="F42" s="15" t="str">
        <f>IFERROR(__xludf.DUMMYFUNCTION("""COMPUTED_VALUE"""),"Category Page")</f>
        <v>Category Page</v>
      </c>
      <c r="G42" s="15" t="b">
        <f>IFERROR(__xludf.DUMMYFUNCTION("""COMPUTED_VALUE"""),FALSE)</f>
        <v>0</v>
      </c>
      <c r="H42" s="15" t="str">
        <f>IFERROR(__xludf.DUMMYFUNCTION("""COMPUTED_VALUE"""),"Found, Launch Online")</f>
        <v>Found, Launch Online</v>
      </c>
      <c r="I42" s="15">
        <f>IFERROR(__xludf.DUMMYFUNCTION("""COMPUTED_VALUE"""),1.0)</f>
        <v>1</v>
      </c>
      <c r="J42" s="15">
        <f>IFERROR(__xludf.DUMMYFUNCTION("""COMPUTED_VALUE"""),0.0)</f>
        <v>0</v>
      </c>
      <c r="K42" s="15">
        <f>IFERROR(__xludf.DUMMYFUNCTION("""COMPUTED_VALUE"""),1.0)</f>
        <v>1</v>
      </c>
    </row>
    <row r="43" ht="15.75" customHeight="1">
      <c r="A43" s="14" t="str">
        <f>IFERROR(__xludf.DUMMYFUNCTION("""COMPUTED_VALUE"""),"https://clutch.co/seo-firms/amazon/uk")</f>
        <v>https://clutch.co/seo-firms/amazon/uk</v>
      </c>
      <c r="B43" s="15" t="str">
        <f>IFERROR(__xludf.DUMMYFUNCTION("""COMPUTED_VALUE"""),"Top Amazon SEO Services in the United Kingdom - Jul 2026 Rankings \| Clutch.co")</f>
        <v>Top Amazon SEO Services in the United Kingdom - Jul 2026 Rankings \| Clutch.co</v>
      </c>
      <c r="C43" s="14" t="str">
        <f>IFERROR(__xludf.DUMMYFUNCTION("""COMPUTED_VALUE"""),"clutch.co")</f>
        <v>clutch.co</v>
      </c>
      <c r="D43" s="15" t="str">
        <f>IFERROR(__xludf.DUMMYFUNCTION("""COMPUTED_VALUE"""),"CATEGORY_PAGE")</f>
        <v>CATEGORY_PAGE</v>
      </c>
      <c r="E43" s="15" t="str">
        <f>IFERROR(__xludf.DUMMYFUNCTION("""COMPUTED_VALUE"""),"CORPORATE")</f>
        <v>CORPORATE</v>
      </c>
      <c r="F43" s="15" t="str">
        <f>IFERROR(__xludf.DUMMYFUNCTION("""COMPUTED_VALUE"""),"Category Page")</f>
        <v>Category Page</v>
      </c>
      <c r="G43" s="15" t="b">
        <f>IFERROR(__xludf.DUMMYFUNCTION("""COMPUTED_VALUE"""),FALSE)</f>
        <v>0</v>
      </c>
      <c r="H43" s="15" t="str">
        <f>IFERROR(__xludf.DUMMYFUNCTION("""COMPUTED_VALUE"""),"IDHL")</f>
        <v>IDHL</v>
      </c>
      <c r="I43" s="15">
        <f>IFERROR(__xludf.DUMMYFUNCTION("""COMPUTED_VALUE"""),1.0)</f>
        <v>1</v>
      </c>
      <c r="J43" s="15">
        <f>IFERROR(__xludf.DUMMYFUNCTION("""COMPUTED_VALUE"""),0.0)</f>
        <v>0</v>
      </c>
      <c r="K43" s="15">
        <f>IFERROR(__xludf.DUMMYFUNCTION("""COMPUTED_VALUE"""),1.0)</f>
        <v>1</v>
      </c>
    </row>
    <row r="44" ht="15.75" customHeight="1">
      <c r="A44" s="14" t="str">
        <f>IFERROR(__xludf.DUMMYFUNCTION("""COMPUTED_VALUE"""),"https://clutch.co/seo-firms/link-building")</f>
        <v>https://clutch.co/seo-firms/link-building</v>
      </c>
      <c r="B44" s="15" t="str">
        <f>IFERROR(__xludf.DUMMYFUNCTION("""COMPUTED_VALUE"""),"Top Link Building Companies - Jul 2026 Rankings \| Clutch.co")</f>
        <v>Top Link Building Companies - Jul 2026 Rankings \| Clutch.co</v>
      </c>
      <c r="C44" s="14" t="str">
        <f>IFERROR(__xludf.DUMMYFUNCTION("""COMPUTED_VALUE"""),"clutch.co")</f>
        <v>clutch.co</v>
      </c>
      <c r="D44" s="15" t="str">
        <f>IFERROR(__xludf.DUMMYFUNCTION("""COMPUTED_VALUE"""),"CATEGORY_PAGE")</f>
        <v>CATEGORY_PAGE</v>
      </c>
      <c r="E44" s="15" t="str">
        <f>IFERROR(__xludf.DUMMYFUNCTION("""COMPUTED_VALUE"""),"CORPORATE")</f>
        <v>CORPORATE</v>
      </c>
      <c r="F44" s="15" t="str">
        <f>IFERROR(__xludf.DUMMYFUNCTION("""COMPUTED_VALUE"""),"Category Page")</f>
        <v>Category Page</v>
      </c>
      <c r="G44" s="15" t="b">
        <f>IFERROR(__xludf.DUMMYFUNCTION("""COMPUTED_VALUE"""),FALSE)</f>
        <v>0</v>
      </c>
      <c r="H44" s="15" t="str">
        <f>IFERROR(__xludf.DUMMYFUNCTION("""COMPUTED_VALUE"""),"Bird Marketing, WebFX, Ignite Visibility, Huge")</f>
        <v>Bird Marketing, WebFX, Ignite Visibility, Huge</v>
      </c>
      <c r="I44" s="15">
        <f>IFERROR(__xludf.DUMMYFUNCTION("""COMPUTED_VALUE"""),1.0)</f>
        <v>1</v>
      </c>
      <c r="J44" s="15">
        <f>IFERROR(__xludf.DUMMYFUNCTION("""COMPUTED_VALUE"""),0.0)</f>
        <v>0</v>
      </c>
      <c r="K44" s="15">
        <f>IFERROR(__xludf.DUMMYFUNCTION("""COMPUTED_VALUE"""),1.0)</f>
        <v>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location=":~:text=Disruptive%20Advertising%20is%20a%20digital,driven%20approaches%20and%20proactive%20communication."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s>
  <drawing r:id="rId8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All'!A2:A1000)),""semrush"")
  ),
  """"
)"),"https://agencies.semrush.com/list/united-kingdom/")</f>
        <v>https://agencies.semrush.com/list/united-kingdom/</v>
      </c>
      <c r="B2" s="15" t="str">
        <f>IFERROR(__xludf.DUMMYFUNCTION("""COMPUTED_VALUE"""),"Best Digital Marketing Agencies in United Kingdom 2026 | Semrush")</f>
        <v>Best Digital Marketing Agencies in United Kingdom 2026 | Semrush</v>
      </c>
      <c r="C2" s="14" t="str">
        <f>IFERROR(__xludf.DUMMYFUNCTION("""COMPUTED_VALUE"""),"semrush.com")</f>
        <v>semrush.com</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IFERROR(__xludf.DUMMYFUNCTION("""COMPUTED_VALUE"""),"Found, Bird Marketing, Measured, Passion Digital")</f>
        <v>Found, Bird Marketing, Measured, Passion Digital</v>
      </c>
      <c r="I2" s="15">
        <f>IFERROR(__xludf.DUMMYFUNCTION("""COMPUTED_VALUE"""),80.0)</f>
        <v>80</v>
      </c>
      <c r="J2" s="15">
        <f>IFERROR(__xludf.DUMMYFUNCTION("""COMPUTED_VALUE"""),0.08)</f>
        <v>0.08</v>
      </c>
      <c r="K2" s="15">
        <f>IFERROR(__xludf.DUMMYFUNCTION("""COMPUTED_VALUE"""),0.18)</f>
        <v>0.18</v>
      </c>
    </row>
    <row r="3" ht="15.75" customHeight="1">
      <c r="A3" s="14" t="str">
        <f>IFERROR(__xludf.DUMMYFUNCTION("""COMPUTED_VALUE"""),"https://agencies.semrush.com/list/display-advertising/united-kingdom/")</f>
        <v>https://agencies.semrush.com/list/display-advertising/united-kingdom/</v>
      </c>
      <c r="B3" s="15" t="str">
        <f>IFERROR(__xludf.DUMMYFUNCTION("""COMPUTED_VALUE"""),"Best Display Ads Agencies in United Kingdom 2026 | Semrush")</f>
        <v>Best Display Ads Agencies in United Kingdom 2026 | Semrush</v>
      </c>
      <c r="C3" s="14" t="str">
        <f>IFERROR(__xludf.DUMMYFUNCTION("""COMPUTED_VALUE"""),"semrush.com")</f>
        <v>semrush.com</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IFERROR(__xludf.DUMMYFUNCTION("""COMPUTED_VALUE"""),"Found, Passion Digital, Soap Media, GA Agency, The SEO Works")</f>
        <v>Found, Passion Digital, Soap Media, GA Agency, The SEO Works</v>
      </c>
      <c r="I3" s="15">
        <f>IFERROR(__xludf.DUMMYFUNCTION("""COMPUTED_VALUE"""),40.0)</f>
        <v>40</v>
      </c>
      <c r="J3" s="15">
        <f>IFERROR(__xludf.DUMMYFUNCTION("""COMPUTED_VALUE"""),0.04)</f>
        <v>0.04</v>
      </c>
      <c r="K3" s="15">
        <f>IFERROR(__xludf.DUMMYFUNCTION("""COMPUTED_VALUE"""),0.53)</f>
        <v>0.53</v>
      </c>
    </row>
    <row r="4" ht="15.75" customHeight="1">
      <c r="A4" s="14" t="str">
        <f>IFERROR(__xludf.DUMMYFUNCTION("""COMPUTED_VALUE"""),"https://agencies.semrush.com/list/ai-optimization/london-city/")</f>
        <v>https://agencies.semrush.com/list/ai-optimization/london-city/</v>
      </c>
      <c r="B4" s="15" t="str">
        <f>IFERROR(__xludf.DUMMYFUNCTION("""COMPUTED_VALUE"""),"Best AI Search Optimization Agencies in London 2026 | Semrush")</f>
        <v>Best AI Search Optimization Agencies in London 2026 | Semrush</v>
      </c>
      <c r="C4" s="14" t="str">
        <f>IFERROR(__xludf.DUMMYFUNCTION("""COMPUTED_VALUE"""),"semrush.com")</f>
        <v>semrush.com</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IFERROR(__xludf.DUMMYFUNCTION("""COMPUTED_VALUE"""),"Found, Measured, Passion Digital, The SEO Works, Gravity Global, ROAST")</f>
        <v>Found, Measured, Passion Digital, The SEO Works, Gravity Global, ROAST</v>
      </c>
      <c r="I4" s="15">
        <f>IFERROR(__xludf.DUMMYFUNCTION("""COMPUTED_VALUE"""),25.0)</f>
        <v>25</v>
      </c>
      <c r="J4" s="15">
        <f>IFERROR(__xludf.DUMMYFUNCTION("""COMPUTED_VALUE"""),0.02)</f>
        <v>0.02</v>
      </c>
      <c r="K4" s="15">
        <f>IFERROR(__xludf.DUMMYFUNCTION("""COMPUTED_VALUE"""),0.16)</f>
        <v>0.16</v>
      </c>
    </row>
    <row r="5" ht="15.75" customHeight="1">
      <c r="A5" s="14" t="str">
        <f>IFERROR(__xludf.DUMMYFUNCTION("""COMPUTED_VALUE"""),"https://agencies.semrush.com/list/ai-optimization/united-kingdom/")</f>
        <v>https://agencies.semrush.com/list/ai-optimization/united-kingdom/</v>
      </c>
      <c r="B5" s="15" t="str">
        <f>IFERROR(__xludf.DUMMYFUNCTION("""COMPUTED_VALUE"""),"Best AI Search Optimization Agencies in United Kingdom 2026 | Semrush")</f>
        <v>Best AI Search Optimization Agencies in United Kingdom 2026 | Semrush</v>
      </c>
      <c r="C5" s="14" t="str">
        <f>IFERROR(__xludf.DUMMYFUNCTION("""COMPUTED_VALUE"""),"semrush.com")</f>
        <v>semrush.com</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IFERROR(__xludf.DUMMYFUNCTION("""COMPUTED_VALUE"""),"Found, Measured, Click Intelligence, Passion Digital, The SEO Works, Gravity Global, ROAST, Huge")</f>
        <v>Found, Measured, Click Intelligence, Passion Digital, The SEO Works, Gravity Global, ROAST, Huge</v>
      </c>
      <c r="I5" s="15">
        <f>IFERROR(__xludf.DUMMYFUNCTION("""COMPUTED_VALUE"""),25.0)</f>
        <v>25</v>
      </c>
      <c r="J5" s="15">
        <f>IFERROR(__xludf.DUMMYFUNCTION("""COMPUTED_VALUE"""),0.02)</f>
        <v>0.02</v>
      </c>
      <c r="K5" s="15">
        <f>IFERROR(__xludf.DUMMYFUNCTION("""COMPUTED_VALUE"""),0.0)</f>
        <v>0</v>
      </c>
    </row>
    <row r="6" ht="15.75" customHeight="1">
      <c r="A6" s="14" t="str">
        <f>IFERROR(__xludf.DUMMYFUNCTION("""COMPUTED_VALUE"""),"https://agencies.semrush.com/list/display-advertising/london-city/")</f>
        <v>https://agencies.semrush.com/list/display-advertising/london-city/</v>
      </c>
      <c r="B6" s="15" t="str">
        <f>IFERROR(__xludf.DUMMYFUNCTION("""COMPUTED_VALUE"""),"Best Display Ads Agencies in London 2026 | Semrush")</f>
        <v>Best Display Ads Agencies in London 2026 | Semrush</v>
      </c>
      <c r="C6" s="14" t="str">
        <f>IFERROR(__xludf.DUMMYFUNCTION("""COMPUTED_VALUE"""),"semrush.com")</f>
        <v>semrush.com</v>
      </c>
      <c r="D6" s="15" t="str">
        <f>IFERROR(__xludf.DUMMYFUNCTION("""COMPUTED_VALUE"""),"CATEGORY_PAGE")</f>
        <v>CATEGORY_PAGE</v>
      </c>
      <c r="E6" s="15" t="str">
        <f>IFERROR(__xludf.DUMMYFUNCTION("""COMPUTED_VALUE"""),"CORPORATE")</f>
        <v>CORPORATE</v>
      </c>
      <c r="F6" s="15" t="str">
        <f>IFERROR(__xludf.DUMMYFUNCTION("""COMPUTED_VALUE"""),"Category Page")</f>
        <v>Category Page</v>
      </c>
      <c r="G6" s="15" t="b">
        <f>IFERROR(__xludf.DUMMYFUNCTION("""COMPUTED_VALUE"""),FALSE)</f>
        <v>0</v>
      </c>
      <c r="H6" s="15" t="str">
        <f>IFERROR(__xludf.DUMMYFUNCTION("""COMPUTED_VALUE"""),"Passion Digital, GA Agency, The SEO Works, ROAST, Found")</f>
        <v>Passion Digital, GA Agency, The SEO Works, ROAST, Found</v>
      </c>
      <c r="I6" s="15">
        <f>IFERROR(__xludf.DUMMYFUNCTION("""COMPUTED_VALUE"""),25.0)</f>
        <v>25</v>
      </c>
      <c r="J6" s="15">
        <f>IFERROR(__xludf.DUMMYFUNCTION("""COMPUTED_VALUE"""),0.02)</f>
        <v>0.02</v>
      </c>
      <c r="K6" s="15">
        <f>IFERROR(__xludf.DUMMYFUNCTION("""COMPUTED_VALUE"""),0.64)</f>
        <v>0.64</v>
      </c>
    </row>
    <row r="7" ht="15.75" customHeight="1">
      <c r="A7" s="14" t="str">
        <f>IFERROR(__xludf.DUMMYFUNCTION("""COMPUTED_VALUE"""),"https://agencies.semrush.com/list/display-advertising/united-kingdom/enterprise-business/")</f>
        <v>https://agencies.semrush.com/list/display-advertising/united-kingdom/enterprise-business/</v>
      </c>
      <c r="B7" s="15" t="str">
        <f>IFERROR(__xludf.DUMMYFUNCTION("""COMPUTED_VALUE"""),"Best Display Ads Agencies for Enterprise Business in United Kingdom 2026 | Semrush")</f>
        <v>Best Display Ads Agencies for Enterprise Business in United Kingdom 2026 | Semrush</v>
      </c>
      <c r="C7" s="14" t="str">
        <f>IFERROR(__xludf.DUMMYFUNCTION("""COMPUTED_VALUE"""),"semrush.com")</f>
        <v>semrush.com</v>
      </c>
      <c r="D7" s="15" t="str">
        <f>IFERROR(__xludf.DUMMYFUNCTION("""COMPUTED_VALUE"""),"OTHER")</f>
        <v>OTHER</v>
      </c>
      <c r="E7" s="15" t="str">
        <f>IFERROR(__xludf.DUMMYFUNCTION("""COMPUTED_VALUE"""),"CORPORATE")</f>
        <v>CORPORATE</v>
      </c>
      <c r="F7" s="15" t="str">
        <f>IFERROR(__xludf.DUMMYFUNCTION("""COMPUTED_VALUE"""),"Other")</f>
        <v>Other</v>
      </c>
      <c r="G7" s="15" t="b">
        <f>IFERROR(__xludf.DUMMYFUNCTION("""COMPUTED_VALUE"""),FALSE)</f>
        <v>0</v>
      </c>
      <c r="H7" s="15" t="str">
        <f>IFERROR(__xludf.DUMMYFUNCTION("""COMPUTED_VALUE"""),"Found, Soap Media, GA Agency, The SEO Works, ROAST")</f>
        <v>Found, Soap Media, GA Agency, The SEO Works, ROAST</v>
      </c>
      <c r="I7" s="15">
        <f>IFERROR(__xludf.DUMMYFUNCTION("""COMPUTED_VALUE"""),23.0)</f>
        <v>23</v>
      </c>
      <c r="J7" s="15">
        <f>IFERROR(__xludf.DUMMYFUNCTION("""COMPUTED_VALUE"""),0.02)</f>
        <v>0.02</v>
      </c>
      <c r="K7" s="15">
        <f>IFERROR(__xludf.DUMMYFUNCTION("""COMPUTED_VALUE"""),0.0)</f>
        <v>0</v>
      </c>
    </row>
    <row r="8" ht="15.75" customHeight="1">
      <c r="A8" s="14" t="str">
        <f>IFERROR(__xludf.DUMMYFUNCTION("""COMPUTED_VALUE"""),"https://agencies.semrush.com/list/display-advertising/united-kingdom/small-business/")</f>
        <v>https://agencies.semrush.com/list/display-advertising/united-kingdom/small-business/</v>
      </c>
      <c r="B8" s="15" t="str">
        <f>IFERROR(__xludf.DUMMYFUNCTION("""COMPUTED_VALUE"""),"Best Display Ads Agencies for Small Business in United Kingdom 2026 | Semrush")</f>
        <v>Best Display Ads Agencies for Small Business in United Kingdom 2026 | Semrush</v>
      </c>
      <c r="C8" s="14" t="str">
        <f>IFERROR(__xludf.DUMMYFUNCTION("""COMPUTED_VALUE"""),"semrush.com")</f>
        <v>semrush.com</v>
      </c>
      <c r="D8" s="15" t="str">
        <f>IFERROR(__xludf.DUMMYFUNCTION("""COMPUTED_VALUE"""),"OTHER")</f>
        <v>OTHER</v>
      </c>
      <c r="E8" s="15" t="str">
        <f>IFERROR(__xludf.DUMMYFUNCTION("""COMPUTED_VALUE"""),"CORPORATE")</f>
        <v>CORPORATE</v>
      </c>
      <c r="F8" s="15" t="str">
        <f>IFERROR(__xludf.DUMMYFUNCTION("""COMPUTED_VALUE"""),"Other")</f>
        <v>Other</v>
      </c>
      <c r="G8" s="15" t="b">
        <f>IFERROR(__xludf.DUMMYFUNCTION("""COMPUTED_VALUE"""),FALSE)</f>
        <v>0</v>
      </c>
      <c r="H8" s="15" t="str">
        <f>IFERROR(__xludf.DUMMYFUNCTION("""COMPUTED_VALUE"""),"Found, Soap Media, The SEO Works")</f>
        <v>Found, Soap Media, The SEO Works</v>
      </c>
      <c r="I8" s="15">
        <f>IFERROR(__xludf.DUMMYFUNCTION("""COMPUTED_VALUE"""),13.0)</f>
        <v>13</v>
      </c>
      <c r="J8" s="15">
        <f>IFERROR(__xludf.DUMMYFUNCTION("""COMPUTED_VALUE"""),0.01)</f>
        <v>0.01</v>
      </c>
      <c r="K8" s="15">
        <f>IFERROR(__xludf.DUMMYFUNCTION("""COMPUTED_VALUE"""),0.0)</f>
        <v>0</v>
      </c>
    </row>
    <row r="9" ht="15.75" customHeight="1">
      <c r="A9" s="14" t="str">
        <f>IFERROR(__xludf.DUMMYFUNCTION("""COMPUTED_VALUE"""),"https://agencies.semrush.com/list/display-advertising/london-city/small-business/")</f>
        <v>https://agencies.semrush.com/list/display-advertising/london-city/small-business/</v>
      </c>
      <c r="B9" s="15" t="str">
        <f>IFERROR(__xludf.DUMMYFUNCTION("""COMPUTED_VALUE"""),"Best Display Ads Agencies for Small Business in London 2026 | Semrush")</f>
        <v>Best Display Ads Agencies for Small Business in London 2026 | Semrush</v>
      </c>
      <c r="C9" s="14" t="str">
        <f>IFERROR(__xludf.DUMMYFUNCTION("""COMPUTED_VALUE"""),"semrush.com")</f>
        <v>semrush.com</v>
      </c>
      <c r="D9" s="15" t="str">
        <f>IFERROR(__xludf.DUMMYFUNCTION("""COMPUTED_VALUE"""),"CATEGORY_PAGE")</f>
        <v>CATEGORY_PAGE</v>
      </c>
      <c r="E9" s="15" t="str">
        <f>IFERROR(__xludf.DUMMYFUNCTION("""COMPUTED_VALUE"""),"CORPORATE")</f>
        <v>CORPORATE</v>
      </c>
      <c r="F9" s="15" t="str">
        <f>IFERROR(__xludf.DUMMYFUNCTION("""COMPUTED_VALUE"""),"Category Page")</f>
        <v>Category Page</v>
      </c>
      <c r="G9" s="15" t="b">
        <f>IFERROR(__xludf.DUMMYFUNCTION("""COMPUTED_VALUE"""),FALSE)</f>
        <v>0</v>
      </c>
      <c r="H9" s="15" t="str">
        <f>IFERROR(__xludf.DUMMYFUNCTION("""COMPUTED_VALUE"""),"The SEO Works, Found, Measured")</f>
        <v>The SEO Works, Found, Measured</v>
      </c>
      <c r="I9" s="15">
        <f>IFERROR(__xludf.DUMMYFUNCTION("""COMPUTED_VALUE"""),11.0)</f>
        <v>11</v>
      </c>
      <c r="J9" s="15">
        <f>IFERROR(__xludf.DUMMYFUNCTION("""COMPUTED_VALUE"""),0.01)</f>
        <v>0.01</v>
      </c>
      <c r="K9" s="15">
        <f>IFERROR(__xludf.DUMMYFUNCTION("""COMPUTED_VALUE"""),0.09)</f>
        <v>0.09</v>
      </c>
    </row>
    <row r="10" ht="15.75" customHeight="1">
      <c r="A10" s="14" t="str">
        <f>IFERROR(__xludf.DUMMYFUNCTION("""COMPUTED_VALUE"""),"https://agencies.semrush.com/list/display-advertising/london-city/mid-business/")</f>
        <v>https://agencies.semrush.com/list/display-advertising/london-city/mid-business/</v>
      </c>
      <c r="B10" s="15" t="str">
        <f>IFERROR(__xludf.DUMMYFUNCTION("""COMPUTED_VALUE"""),"Best Display Ads Agencies for Mid Business in London 2026 | Semrush")</f>
        <v>Best Display Ads Agencies for Mid Business in London 2026 | Semrush</v>
      </c>
      <c r="C10" s="14" t="str">
        <f>IFERROR(__xludf.DUMMYFUNCTION("""COMPUTED_VALUE"""),"semrush.com")</f>
        <v>semrush.com</v>
      </c>
      <c r="D10" s="15" t="str">
        <f>IFERROR(__xludf.DUMMYFUNCTION("""COMPUTED_VALUE"""),"PROFILE")</f>
        <v>PROFILE</v>
      </c>
      <c r="E10" s="15" t="str">
        <f>IFERROR(__xludf.DUMMYFUNCTION("""COMPUTED_VALUE"""),"CORPORATE")</f>
        <v>CORPORATE</v>
      </c>
      <c r="F10" s="15" t="str">
        <f>IFERROR(__xludf.DUMMYFUNCTION("""COMPUTED_VALUE"""),"Profile")</f>
        <v>Profile</v>
      </c>
      <c r="G10" s="15" t="b">
        <f>IFERROR(__xludf.DUMMYFUNCTION("""COMPUTED_VALUE"""),FALSE)</f>
        <v>0</v>
      </c>
      <c r="H10" s="15" t="str">
        <f>IFERROR(__xludf.DUMMYFUNCTION("""COMPUTED_VALUE"""),"Passion Digital, The SEO Works, ROAST, Found")</f>
        <v>Passion Digital, The SEO Works, ROAST, Found</v>
      </c>
      <c r="I10" s="15">
        <f>IFERROR(__xludf.DUMMYFUNCTION("""COMPUTED_VALUE"""),10.0)</f>
        <v>10</v>
      </c>
      <c r="J10" s="15">
        <f>IFERROR(__xludf.DUMMYFUNCTION("""COMPUTED_VALUE"""),0.01)</f>
        <v>0.01</v>
      </c>
      <c r="K10" s="15">
        <f>IFERROR(__xludf.DUMMYFUNCTION("""COMPUTED_VALUE"""),0.0)</f>
        <v>0</v>
      </c>
    </row>
    <row r="11" ht="15.75" customHeight="1">
      <c r="A11" s="14" t="str">
        <f>IFERROR(__xludf.DUMMYFUNCTION("""COMPUTED_VALUE"""),"https://agencies.semrush.com/list/analytics-data-science/united-kingdom/")</f>
        <v>https://agencies.semrush.com/list/analytics-data-science/united-kingdom/</v>
      </c>
      <c r="B11" s="15" t="str">
        <f>IFERROR(__xludf.DUMMYFUNCTION("""COMPUTED_VALUE"""),"Best Data Analytics Services in United Kingdom 2026 | Semrush")</f>
        <v>Best Data Analytics Services in United Kingdom 2026 | Semrush</v>
      </c>
      <c r="C11" s="14" t="str">
        <f>IFERROR(__xludf.DUMMYFUNCTION("""COMPUTED_VALUE"""),"semrush.com")</f>
        <v>semrush.com</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IFERROR(__xludf.DUMMYFUNCTION("""COMPUTED_VALUE"""),"Found, The SEO Works, Huge")</f>
        <v>Found, The SEO Works, Huge</v>
      </c>
      <c r="I11" s="15">
        <f>IFERROR(__xludf.DUMMYFUNCTION("""COMPUTED_VALUE"""),9.0)</f>
        <v>9</v>
      </c>
      <c r="J11" s="15">
        <f>IFERROR(__xludf.DUMMYFUNCTION("""COMPUTED_VALUE"""),0.01)</f>
        <v>0.01</v>
      </c>
      <c r="K11" s="15">
        <f>IFERROR(__xludf.DUMMYFUNCTION("""COMPUTED_VALUE"""),0.0)</f>
        <v>0</v>
      </c>
    </row>
    <row r="12" ht="15.75" customHeight="1">
      <c r="A12" s="14" t="str">
        <f>IFERROR(__xludf.DUMMYFUNCTION("""COMPUTED_VALUE"""),"https://agencies.semrush.com/list/advertising/united-kingdom/")</f>
        <v>https://agencies.semrush.com/list/advertising/united-kingdom/</v>
      </c>
      <c r="B12" s="15" t="str">
        <f>IFERROR(__xludf.DUMMYFUNCTION("""COMPUTED_VALUE"""),"Best Advertising Agencies in United Kingdom 2026 | Semrush")</f>
        <v>Best Advertising Agencies in United Kingdom 2026 | Semrush</v>
      </c>
      <c r="C12" s="14" t="str">
        <f>IFERROR(__xludf.DUMMYFUNCTION("""COMPUTED_VALUE"""),"semrush.com")</f>
        <v>semrush.com</v>
      </c>
      <c r="D12" s="15" t="str">
        <f>IFERROR(__xludf.DUMMYFUNCTION("""COMPUTED_VALUE"""),"PROFILE")</f>
        <v>PROFILE</v>
      </c>
      <c r="E12" s="15" t="str">
        <f>IFERROR(__xludf.DUMMYFUNCTION("""COMPUTED_VALUE"""),"CORPORATE")</f>
        <v>CORPORATE</v>
      </c>
      <c r="F12" s="15" t="str">
        <f>IFERROR(__xludf.DUMMYFUNCTION("""COMPUTED_VALUE"""),"Profile")</f>
        <v>Profile</v>
      </c>
      <c r="G12" s="15" t="b">
        <f>IFERROR(__xludf.DUMMYFUNCTION("""COMPUTED_VALUE"""),FALSE)</f>
        <v>0</v>
      </c>
      <c r="H12" s="15" t="str">
        <f>IFERROR(__xludf.DUMMYFUNCTION("""COMPUTED_VALUE"""),"Found, Impression, Click Intelligence, Passion Digital, Soap Media")</f>
        <v>Found, Impression, Click Intelligence, Passion Digital, Soap Media</v>
      </c>
      <c r="I12" s="15">
        <f>IFERROR(__xludf.DUMMYFUNCTION("""COMPUTED_VALUE"""),8.0)</f>
        <v>8</v>
      </c>
      <c r="J12" s="15">
        <f>IFERROR(__xludf.DUMMYFUNCTION("""COMPUTED_VALUE"""),0.01)</f>
        <v>0.01</v>
      </c>
      <c r="K12" s="15">
        <f>IFERROR(__xludf.DUMMYFUNCTION("""COMPUTED_VALUE"""),0.38)</f>
        <v>0.38</v>
      </c>
    </row>
    <row r="13" ht="15.75" customHeight="1">
      <c r="A13" s="14" t="str">
        <f>IFERROR(__xludf.DUMMYFUNCTION("""COMPUTED_VALUE"""),"https://agencies.semrush.com/list/display-advertising/united-kingdom/mid-business/")</f>
        <v>https://agencies.semrush.com/list/display-advertising/united-kingdom/mid-business/</v>
      </c>
      <c r="B13" s="15" t="str">
        <f>IFERROR(__xludf.DUMMYFUNCTION("""COMPUTED_VALUE"""),"Best Display Ads Agencies for Mid Business in United Kingdom 2026 | Semrush")</f>
        <v>Best Display Ads Agencies for Mid Business in United Kingdom 2026 | Semrush</v>
      </c>
      <c r="C13" s="14" t="str">
        <f>IFERROR(__xludf.DUMMYFUNCTION("""COMPUTED_VALUE"""),"semrush.com")</f>
        <v>semrush.com</v>
      </c>
      <c r="D13" s="15" t="str">
        <f>IFERROR(__xludf.DUMMYFUNCTION("""COMPUTED_VALUE"""),"OTHER")</f>
        <v>OTHER</v>
      </c>
      <c r="E13" s="15" t="str">
        <f>IFERROR(__xludf.DUMMYFUNCTION("""COMPUTED_VALUE"""),"CORPORATE")</f>
        <v>CORPORATE</v>
      </c>
      <c r="F13" s="15" t="str">
        <f>IFERROR(__xludf.DUMMYFUNCTION("""COMPUTED_VALUE"""),"Other")</f>
        <v>Other</v>
      </c>
      <c r="G13" s="15" t="b">
        <f>IFERROR(__xludf.DUMMYFUNCTION("""COMPUTED_VALUE"""),FALSE)</f>
        <v>0</v>
      </c>
      <c r="H13" s="15" t="str">
        <f>IFERROR(__xludf.DUMMYFUNCTION("""COMPUTED_VALUE"""),"Found, Passion Digital, Soap Media, The SEO Works")</f>
        <v>Found, Passion Digital, Soap Media, The SEO Works</v>
      </c>
      <c r="I13" s="15">
        <f>IFERROR(__xludf.DUMMYFUNCTION("""COMPUTED_VALUE"""),8.0)</f>
        <v>8</v>
      </c>
      <c r="J13" s="15">
        <f>IFERROR(__xludf.DUMMYFUNCTION("""COMPUTED_VALUE"""),0.01)</f>
        <v>0.01</v>
      </c>
      <c r="K13" s="15">
        <f>IFERROR(__xludf.DUMMYFUNCTION("""COMPUTED_VALUE"""),0.63)</f>
        <v>0.63</v>
      </c>
    </row>
    <row r="14" ht="15.75" customHeight="1">
      <c r="A14" s="14" t="str">
        <f>IFERROR(__xludf.DUMMYFUNCTION("""COMPUTED_VALUE"""),"https://agencies.semrush.com/list/search-engine-marketing/united-kingdom/")</f>
        <v>https://agencies.semrush.com/list/search-engine-marketing/united-kingdom/</v>
      </c>
      <c r="B14" s="15" t="str">
        <f>IFERROR(__xludf.DUMMYFUNCTION("""COMPUTED_VALUE"""),"Best Search Engine Marketing Companies in United Kingdom 2026 | Semrush")</f>
        <v>Best Search Engine Marketing Companies in United Kingdom 2026 | Semrush</v>
      </c>
      <c r="C14" s="14" t="str">
        <f>IFERROR(__xludf.DUMMYFUNCTION("""COMPUTED_VALUE"""),"semrush.com")</f>
        <v>semrush.com</v>
      </c>
      <c r="D14" s="15" t="str">
        <f>IFERROR(__xludf.DUMMYFUNCTION("""COMPUTED_VALUE"""),"CATEGORY_PAGE")</f>
        <v>CATEGORY_PAGE</v>
      </c>
      <c r="E14" s="15" t="str">
        <f>IFERROR(__xludf.DUMMYFUNCTION("""COMPUTED_VALUE"""),"CORPORATE")</f>
        <v>CORPORATE</v>
      </c>
      <c r="F14" s="15" t="str">
        <f>IFERROR(__xludf.DUMMYFUNCTION("""COMPUTED_VALUE"""),"Category Page")</f>
        <v>Category Page</v>
      </c>
      <c r="G14" s="15" t="b">
        <f>IFERROR(__xludf.DUMMYFUNCTION("""COMPUTED_VALUE"""),FALSE)</f>
        <v>0</v>
      </c>
      <c r="H14" s="15" t="str">
        <f>IFERROR(__xludf.DUMMYFUNCTION("""COMPUTED_VALUE"""),"Found, Impression, Bird Marketing, Measured, Click Intelligence, Passion Digital, Soap Media")</f>
        <v>Found, Impression, Bird Marketing, Measured, Click Intelligence, Passion Digital, Soap Media</v>
      </c>
      <c r="I14" s="15">
        <f>IFERROR(__xludf.DUMMYFUNCTION("""COMPUTED_VALUE"""),7.0)</f>
        <v>7</v>
      </c>
      <c r="J14" s="15">
        <f>IFERROR(__xludf.DUMMYFUNCTION("""COMPUTED_VALUE"""),0.01)</f>
        <v>0.01</v>
      </c>
      <c r="K14" s="15">
        <f>IFERROR(__xludf.DUMMYFUNCTION("""COMPUTED_VALUE"""),0.0)</f>
        <v>0</v>
      </c>
    </row>
    <row r="15" ht="15.75" customHeight="1">
      <c r="A15" s="14" t="str">
        <f>IFERROR(__xludf.DUMMYFUNCTION("""COMPUTED_VALUE"""),"https://agencies.semrush.com/list/ai-optimization/united-kingdom/enterprise-business/")</f>
        <v>https://agencies.semrush.com/list/ai-optimization/united-kingdom/enterprise-business/</v>
      </c>
      <c r="B15" s="15" t="str">
        <f>IFERROR(__xludf.DUMMYFUNCTION("""COMPUTED_VALUE"""),"Best AI Search Optimization Agencies for Enterprise Business in United Kingdom 2026 | Semrush")</f>
        <v>Best AI Search Optimization Agencies for Enterprise Business in United Kingdom 2026 | Semrush</v>
      </c>
      <c r="C15" s="14" t="str">
        <f>IFERROR(__xludf.DUMMYFUNCTION("""COMPUTED_VALUE"""),"semrush.com")</f>
        <v>semrush.com</v>
      </c>
      <c r="D15" s="15" t="str">
        <f>IFERROR(__xludf.DUMMYFUNCTION("""COMPUTED_VALUE"""),"CATEGORY_PAGE")</f>
        <v>CATEGORY_PAGE</v>
      </c>
      <c r="E15" s="15" t="str">
        <f>IFERROR(__xludf.DUMMYFUNCTION("""COMPUTED_VALUE"""),"CORPORATE")</f>
        <v>CORPORATE</v>
      </c>
      <c r="F15" s="15" t="str">
        <f>IFERROR(__xludf.DUMMYFUNCTION("""COMPUTED_VALUE"""),"Category Page")</f>
        <v>Category Page</v>
      </c>
      <c r="G15" s="15" t="b">
        <f>IFERROR(__xludf.DUMMYFUNCTION("""COMPUTED_VALUE"""),FALSE)</f>
        <v>0</v>
      </c>
      <c r="H15" s="15" t="str">
        <f>IFERROR(__xludf.DUMMYFUNCTION("""COMPUTED_VALUE"""),"Found, Measured, Click Intelligence, Momentum, The SEO Works, Gravity Global, ROAST, Huge")</f>
        <v>Found, Measured, Click Intelligence, Momentum, The SEO Works, Gravity Global, ROAST, Huge</v>
      </c>
      <c r="I15" s="15">
        <f>IFERROR(__xludf.DUMMYFUNCTION("""COMPUTED_VALUE"""),6.0)</f>
        <v>6</v>
      </c>
      <c r="J15" s="15">
        <f>IFERROR(__xludf.DUMMYFUNCTION("""COMPUTED_VALUE"""),0.01)</f>
        <v>0.01</v>
      </c>
      <c r="K15" s="15">
        <f>IFERROR(__xludf.DUMMYFUNCTION("""COMPUTED_VALUE"""),0.0)</f>
        <v>0</v>
      </c>
    </row>
    <row r="16" ht="15.75" customHeight="1">
      <c r="A16" s="14" t="str">
        <f>IFERROR(__xludf.DUMMYFUNCTION("""COMPUTED_VALUE"""),"https://agencies.semrush.com/list/analytics-data-science/business-professional-services/united-kingdom/")</f>
        <v>https://agencies.semrush.com/list/analytics-data-science/business-professional-services/united-kingdom/</v>
      </c>
      <c r="B16" s="15" t="str">
        <f>IFERROR(__xludf.DUMMYFUNCTION("""COMPUTED_VALUE"""),"Best B2B Services Data Analytics Services in United Kingdom 2026 | Semrush")</f>
        <v>Best B2B Services Data Analytics Services in United Kingdom 2026 | Semrush</v>
      </c>
      <c r="C16" s="14" t="str">
        <f>IFERROR(__xludf.DUMMYFUNCTION("""COMPUTED_VALUE"""),"semrush.com")</f>
        <v>semrush.com</v>
      </c>
      <c r="D16" s="15" t="str">
        <f>IFERROR(__xludf.DUMMYFUNCTION("""COMPUTED_VALUE"""),"CATEGORY_PAGE")</f>
        <v>CATEGORY_PAGE</v>
      </c>
      <c r="E16" s="15" t="str">
        <f>IFERROR(__xludf.DUMMYFUNCTION("""COMPUTED_VALUE"""),"CORPORATE")</f>
        <v>CORPORATE</v>
      </c>
      <c r="F16" s="15" t="str">
        <f>IFERROR(__xludf.DUMMYFUNCTION("""COMPUTED_VALUE"""),"Category Page")</f>
        <v>Category Page</v>
      </c>
      <c r="G16" s="15" t="b">
        <f>IFERROR(__xludf.DUMMYFUNCTION("""COMPUTED_VALUE"""),FALSE)</f>
        <v>0</v>
      </c>
      <c r="H16" s="15" t="str">
        <f>IFERROR(__xludf.DUMMYFUNCTION("""COMPUTED_VALUE"""),"Found, The SEO Works, Huge, Measured")</f>
        <v>Found, The SEO Works, Huge, Measured</v>
      </c>
      <c r="I16" s="15">
        <f>IFERROR(__xludf.DUMMYFUNCTION("""COMPUTED_VALUE"""),6.0)</f>
        <v>6</v>
      </c>
      <c r="J16" s="15">
        <f>IFERROR(__xludf.DUMMYFUNCTION("""COMPUTED_VALUE"""),0.01)</f>
        <v>0.01</v>
      </c>
      <c r="K16" s="15">
        <f>IFERROR(__xludf.DUMMYFUNCTION("""COMPUTED_VALUE"""),0.0)</f>
        <v>0</v>
      </c>
    </row>
    <row r="17" ht="15.75" customHeight="1">
      <c r="A17" s="14" t="str">
        <f>IFERROR(__xludf.DUMMYFUNCTION("""COMPUTED_VALUE"""),"https://agencies.semrush.com/list/market-analysis/united-kingdom/")</f>
        <v>https://agencies.semrush.com/list/market-analysis/united-kingdom/</v>
      </c>
      <c r="B17" s="15" t="str">
        <f>IFERROR(__xludf.DUMMYFUNCTION("""COMPUTED_VALUE"""),"Best Market Research Companies in United Kingdom 2026 | Semrush")</f>
        <v>Best Market Research Companies in United Kingdom 2026 | Semrush</v>
      </c>
      <c r="C17" s="14" t="str">
        <f>IFERROR(__xludf.DUMMYFUNCTION("""COMPUTED_VALUE"""),"semrush.com")</f>
        <v>semrush.com</v>
      </c>
      <c r="D17" s="15" t="str">
        <f>IFERROR(__xludf.DUMMYFUNCTION("""COMPUTED_VALUE"""),"CATEGORY_PAGE")</f>
        <v>CATEGORY_PAGE</v>
      </c>
      <c r="E17" s="15" t="str">
        <f>IFERROR(__xludf.DUMMYFUNCTION("""COMPUTED_VALUE"""),"CORPORATE")</f>
        <v>CORPORATE</v>
      </c>
      <c r="F17" s="15" t="str">
        <f>IFERROR(__xludf.DUMMYFUNCTION("""COMPUTED_VALUE"""),"Category Page")</f>
        <v>Category Page</v>
      </c>
      <c r="G17" s="15" t="b">
        <f>IFERROR(__xludf.DUMMYFUNCTION("""COMPUTED_VALUE"""),FALSE)</f>
        <v>0</v>
      </c>
      <c r="H17" s="15" t="str">
        <f>IFERROR(__xludf.DUMMYFUNCTION("""COMPUTED_VALUE"""),"Found, GA Agency, Huge")</f>
        <v>Found, GA Agency, Huge</v>
      </c>
      <c r="I17" s="15">
        <f>IFERROR(__xludf.DUMMYFUNCTION("""COMPUTED_VALUE"""),3.0)</f>
        <v>3</v>
      </c>
      <c r="J17" s="15">
        <f>IFERROR(__xludf.DUMMYFUNCTION("""COMPUTED_VALUE"""),0.0)</f>
        <v>0</v>
      </c>
      <c r="K17" s="15">
        <f>IFERROR(__xludf.DUMMYFUNCTION("""COMPUTED_VALUE"""),0.0)</f>
        <v>0</v>
      </c>
    </row>
    <row r="18" ht="15.75" customHeight="1">
      <c r="A18" s="14" t="str">
        <f>IFERROR(__xludf.DUMMYFUNCTION("""COMPUTED_VALUE"""),"https://agencies.semrush.com/list/ai-optimization/london-city/mid-business/")</f>
        <v>https://agencies.semrush.com/list/ai-optimization/london-city/mid-business/</v>
      </c>
      <c r="B18" s="15" t="str">
        <f>IFERROR(__xludf.DUMMYFUNCTION("""COMPUTED_VALUE"""),"Best AI Search Optimization Agencies for Mid Business in London 2026 | Semrush")</f>
        <v>Best AI Search Optimization Agencies for Mid Business in London 2026 | Semrush</v>
      </c>
      <c r="C18" s="14" t="str">
        <f>IFERROR(__xludf.DUMMYFUNCTION("""COMPUTED_VALUE"""),"semrush.com")</f>
        <v>semrush.com</v>
      </c>
      <c r="D18" s="15" t="str">
        <f>IFERROR(__xludf.DUMMYFUNCTION("""COMPUTED_VALUE"""),"CATEGORY_PAGE")</f>
        <v>CATEGORY_PAGE</v>
      </c>
      <c r="E18" s="15" t="str">
        <f>IFERROR(__xludf.DUMMYFUNCTION("""COMPUTED_VALUE"""),"CORPORATE")</f>
        <v>CORPORATE</v>
      </c>
      <c r="F18" s="15" t="str">
        <f>IFERROR(__xludf.DUMMYFUNCTION("""COMPUTED_VALUE"""),"Category Page")</f>
        <v>Category Page</v>
      </c>
      <c r="G18" s="15" t="b">
        <f>IFERROR(__xludf.DUMMYFUNCTION("""COMPUTED_VALUE"""),FALSE)</f>
        <v>0</v>
      </c>
      <c r="H18" s="15" t="str">
        <f>IFERROR(__xludf.DUMMYFUNCTION("""COMPUTED_VALUE"""),"Found, Measured, Passion Digital, The SEO Works, Gravity Global, ROAST")</f>
        <v>Found, Measured, Passion Digital, The SEO Works, Gravity Global, ROAST</v>
      </c>
      <c r="I18" s="15">
        <f>IFERROR(__xludf.DUMMYFUNCTION("""COMPUTED_VALUE"""),2.0)</f>
        <v>2</v>
      </c>
      <c r="J18" s="15">
        <f>IFERROR(__xludf.DUMMYFUNCTION("""COMPUTED_VALUE"""),0.0)</f>
        <v>0</v>
      </c>
      <c r="K18" s="15">
        <f>IFERROR(__xludf.DUMMYFUNCTION("""COMPUTED_VALUE"""),0.0)</f>
        <v>0</v>
      </c>
    </row>
    <row r="19" ht="15.75" customHeight="1">
      <c r="A19" s="14" t="str">
        <f>IFERROR(__xludf.DUMMYFUNCTION("""COMPUTED_VALUE"""),"https://agencies.semrush.com/list/analytics-data-science/london-city/")</f>
        <v>https://agencies.semrush.com/list/analytics-data-science/london-city/</v>
      </c>
      <c r="B19" s="15" t="str">
        <f>IFERROR(__xludf.DUMMYFUNCTION("""COMPUTED_VALUE"""),"Best Data Analytics Services in London 2026 | Semrush")</f>
        <v>Best Data Analytics Services in London 2026 | Semrush</v>
      </c>
      <c r="C19" s="14" t="str">
        <f>IFERROR(__xludf.DUMMYFUNCTION("""COMPUTED_VALUE"""),"semrush.com")</f>
        <v>semrush.com</v>
      </c>
      <c r="D19" s="15" t="str">
        <f>IFERROR(__xludf.DUMMYFUNCTION("""COMPUTED_VALUE"""),"CATEGORY_PAGE")</f>
        <v>CATEGORY_PAGE</v>
      </c>
      <c r="E19" s="15" t="str">
        <f>IFERROR(__xludf.DUMMYFUNCTION("""COMPUTED_VALUE"""),"CORPORATE")</f>
        <v>CORPORATE</v>
      </c>
      <c r="F19" s="15" t="str">
        <f>IFERROR(__xludf.DUMMYFUNCTION("""COMPUTED_VALUE"""),"Category Page")</f>
        <v>Category Page</v>
      </c>
      <c r="G19" s="15" t="b">
        <f>IFERROR(__xludf.DUMMYFUNCTION("""COMPUTED_VALUE"""),FALSE)</f>
        <v>0</v>
      </c>
      <c r="H19" s="15" t="str">
        <f>IFERROR(__xludf.DUMMYFUNCTION("""COMPUTED_VALUE"""),"The SEO Works, Found, Measured")</f>
        <v>The SEO Works, Found, Measured</v>
      </c>
      <c r="I19" s="15">
        <f>IFERROR(__xludf.DUMMYFUNCTION("""COMPUTED_VALUE"""),2.0)</f>
        <v>2</v>
      </c>
      <c r="J19" s="15">
        <f>IFERROR(__xludf.DUMMYFUNCTION("""COMPUTED_VALUE"""),0.0)</f>
        <v>0</v>
      </c>
      <c r="K19" s="15">
        <f>IFERROR(__xludf.DUMMYFUNCTION("""COMPUTED_VALUE"""),0.0)</f>
        <v>0</v>
      </c>
    </row>
    <row r="20" ht="15.75" customHeight="1">
      <c r="A20" s="14" t="str">
        <f>IFERROR(__xludf.DUMMYFUNCTION("""COMPUTED_VALUE"""),"https://agencies.semrush.com/list/ppc/london-city/")</f>
        <v>https://agencies.semrush.com/list/ppc/london-city/</v>
      </c>
      <c r="B20" s="15" t="str">
        <f>IFERROR(__xludf.DUMMYFUNCTION("""COMPUTED_VALUE"""),"Best PPC Agencies in London 2026 | Semrush")</f>
        <v>Best PPC Agencies in London 2026 | Semrush</v>
      </c>
      <c r="C20" s="14" t="str">
        <f>IFERROR(__xludf.DUMMYFUNCTION("""COMPUTED_VALUE"""),"semrush.com")</f>
        <v>semrush.com</v>
      </c>
      <c r="D20" s="15" t="str">
        <f>IFERROR(__xludf.DUMMYFUNCTION("""COMPUTED_VALUE"""),"CATEGORY_PAGE")</f>
        <v>CATEGORY_PAGE</v>
      </c>
      <c r="E20" s="15" t="str">
        <f>IFERROR(__xludf.DUMMYFUNCTION("""COMPUTED_VALUE"""),"CORPORATE")</f>
        <v>CORPORATE</v>
      </c>
      <c r="F20" s="15" t="str">
        <f>IFERROR(__xludf.DUMMYFUNCTION("""COMPUTED_VALUE"""),"Category Page")</f>
        <v>Category Page</v>
      </c>
      <c r="G20" s="15" t="b">
        <f>IFERROR(__xludf.DUMMYFUNCTION("""COMPUTED_VALUE"""),FALSE)</f>
        <v>0</v>
      </c>
      <c r="H20" s="15" t="str">
        <f>IFERROR(__xludf.DUMMYFUNCTION("""COMPUTED_VALUE"""),"Impression, Passion Digital, Found, GA Agency, The SEO Works, ROAST")</f>
        <v>Impression, Passion Digital, Found, GA Agency, The SEO Works, ROAST</v>
      </c>
      <c r="I20" s="15">
        <f>IFERROR(__xludf.DUMMYFUNCTION("""COMPUTED_VALUE"""),2.0)</f>
        <v>2</v>
      </c>
      <c r="J20" s="15">
        <f>IFERROR(__xludf.DUMMYFUNCTION("""COMPUTED_VALUE"""),0.0)</f>
        <v>0</v>
      </c>
      <c r="K20" s="15">
        <f>IFERROR(__xludf.DUMMYFUNCTION("""COMPUTED_VALUE"""),0.0)</f>
        <v>0</v>
      </c>
    </row>
    <row r="21" ht="15.75" customHeight="1">
      <c r="A21" s="14" t="str">
        <f>IFERROR(__xludf.DUMMYFUNCTION("""COMPUTED_VALUE"""),"https://agencies.semrush.com/list/programmatic-advertising/united-kingdom/")</f>
        <v>https://agencies.semrush.com/list/programmatic-advertising/united-kingdom/</v>
      </c>
      <c r="B21" s="15" t="str">
        <f>IFERROR(__xludf.DUMMYFUNCTION("""COMPUTED_VALUE"""),"Best Programmatic Advertising Agencies in United Kingdom 2026 | Semrush")</f>
        <v>Best Programmatic Advertising Agencies in United Kingdom 2026 | Semrush</v>
      </c>
      <c r="C21" s="14" t="str">
        <f>IFERROR(__xludf.DUMMYFUNCTION("""COMPUTED_VALUE"""),"semrush.com")</f>
        <v>semrush.com</v>
      </c>
      <c r="D21" s="15" t="str">
        <f>IFERROR(__xludf.DUMMYFUNCTION("""COMPUTED_VALUE"""),"CATEGORY_PAGE")</f>
        <v>CATEGORY_PAGE</v>
      </c>
      <c r="E21" s="15" t="str">
        <f>IFERROR(__xludf.DUMMYFUNCTION("""COMPUTED_VALUE"""),"CORPORATE")</f>
        <v>CORPORATE</v>
      </c>
      <c r="F21" s="15" t="str">
        <f>IFERROR(__xludf.DUMMYFUNCTION("""COMPUTED_VALUE"""),"Category Page")</f>
        <v>Category Page</v>
      </c>
      <c r="G21" s="15" t="b">
        <f>IFERROR(__xludf.DUMMYFUNCTION("""COMPUTED_VALUE"""),FALSE)</f>
        <v>0</v>
      </c>
      <c r="H21" s="15" t="str">
        <f>IFERROR(__xludf.DUMMYFUNCTION("""COMPUTED_VALUE"""),"Found, Passion Digital, GA Agency, The SEO Works, ROAST")</f>
        <v>Found, Passion Digital, GA Agency, The SEO Works, ROAST</v>
      </c>
      <c r="I21" s="15">
        <f>IFERROR(__xludf.DUMMYFUNCTION("""COMPUTED_VALUE"""),2.0)</f>
        <v>2</v>
      </c>
      <c r="J21" s="15">
        <f>IFERROR(__xludf.DUMMYFUNCTION("""COMPUTED_VALUE"""),0.0)</f>
        <v>0</v>
      </c>
      <c r="K21" s="15">
        <f>IFERROR(__xludf.DUMMYFUNCTION("""COMPUTED_VALUE"""),0.0)</f>
        <v>0</v>
      </c>
    </row>
    <row r="22" ht="15.75" customHeight="1">
      <c r="A22" s="14" t="str">
        <f>IFERROR(__xludf.DUMMYFUNCTION("""COMPUTED_VALUE"""),"https://www.carrieannsudlow.co.uk/ai-seo-agency/#:~:text=For%20optimisation%20we%20use%20SEMrush%2C%20Ahrefs%20and,always%20invest%20in%20the%20very%20best%20software.")</f>
        <v>https://www.carrieannsudlow.co.uk/ai-seo-agency/#:~:text=For%20optimisation%20we%20use%20SEMrush%2C%20Ahrefs%20and,always%20invest%20in%20the%20very%20best%20software.</v>
      </c>
      <c r="B22" s="15" t="str">
        <f>IFERROR(__xludf.DUMMYFUNCTION("""COMPUTED_VALUE"""),"AI SEO Agency UK | Rank Higher in Google &amp;amp; AI Search")</f>
        <v>AI SEO Agency UK | Rank Higher in Google &amp;amp; AI Search</v>
      </c>
      <c r="C22" s="14" t="str">
        <f>IFERROR(__xludf.DUMMYFUNCTION("""COMPUTED_VALUE"""),"carrieannsudlow.co.uk")</f>
        <v>carrieannsudlow.co.uk</v>
      </c>
      <c r="D22" s="15" t="str">
        <f>IFERROR(__xludf.DUMMYFUNCTION("""COMPUTED_VALUE"""),"PRODUCT_PAGE")</f>
        <v>PRODUCT_PAGE</v>
      </c>
      <c r="E22" s="15" t="str">
        <f>IFERROR(__xludf.DUMMYFUNCTION("""COMPUTED_VALUE"""),"OTHER")</f>
        <v>OTHER</v>
      </c>
      <c r="F22" s="15" t="str">
        <f>IFERROR(__xludf.DUMMYFUNCTION("""COMPUTED_VALUE"""),"Product Page")</f>
        <v>Product Page</v>
      </c>
      <c r="G22" s="15" t="b">
        <f>IFERROR(__xludf.DUMMYFUNCTION("""COMPUTED_VALUE"""),FALSE)</f>
        <v>0</v>
      </c>
      <c r="H22" s="15" t="str">
        <f>IFERROR(__xludf.DUMMYFUNCTION("""COMPUTED_VALUE"""),"Found, Huge, Push")</f>
        <v>Found, Huge, Push</v>
      </c>
      <c r="I22" s="15">
        <f>IFERROR(__xludf.DUMMYFUNCTION("""COMPUTED_VALUE"""),2.0)</f>
        <v>2</v>
      </c>
      <c r="J22" s="15">
        <f>IFERROR(__xludf.DUMMYFUNCTION("""COMPUTED_VALUE"""),0.0)</f>
        <v>0</v>
      </c>
      <c r="K22" s="15">
        <f>IFERROR(__xludf.DUMMYFUNCTION("""COMPUTED_VALUE"""),2.0)</f>
        <v>2</v>
      </c>
    </row>
    <row r="23" ht="15.75" customHeight="1">
      <c r="A23" s="14" t="str">
        <f>IFERROR(__xludf.DUMMYFUNCTION("""COMPUTED_VALUE"""),"https://agencies.semrush.com/list/advertising/united-kingdom/small-business/")</f>
        <v>https://agencies.semrush.com/list/advertising/united-kingdom/small-business/</v>
      </c>
      <c r="B23" s="15" t="str">
        <f>IFERROR(__xludf.DUMMYFUNCTION("""COMPUTED_VALUE"""),"Best Advertising Agencies for Small Business in United Kingdom 2026 | Semrush")</f>
        <v>Best Advertising Agencies for Small Business in United Kingdom 2026 | Semrush</v>
      </c>
      <c r="C23" s="14" t="str">
        <f>IFERROR(__xludf.DUMMYFUNCTION("""COMPUTED_VALUE"""),"semrush.com")</f>
        <v>semrush.com</v>
      </c>
      <c r="D23" s="15" t="str">
        <f>IFERROR(__xludf.DUMMYFUNCTION("""COMPUTED_VALUE"""),"CATEGORY_PAGE")</f>
        <v>CATEGORY_PAGE</v>
      </c>
      <c r="E23" s="15" t="str">
        <f>IFERROR(__xludf.DUMMYFUNCTION("""COMPUTED_VALUE"""),"CORPORATE")</f>
        <v>CORPORATE</v>
      </c>
      <c r="F23" s="15" t="str">
        <f>IFERROR(__xludf.DUMMYFUNCTION("""COMPUTED_VALUE"""),"Category Page")</f>
        <v>Category Page</v>
      </c>
      <c r="G23" s="15" t="b">
        <f>IFERROR(__xludf.DUMMYFUNCTION("""COMPUTED_VALUE"""),FALSE)</f>
        <v>0</v>
      </c>
      <c r="H23" s="15" t="str">
        <f>IFERROR(__xludf.DUMMYFUNCTION("""COMPUTED_VALUE"""),"Found, Impression, Click Intelligence, Soap Media")</f>
        <v>Found, Impression, Click Intelligence, Soap Media</v>
      </c>
      <c r="I23" s="15">
        <f>IFERROR(__xludf.DUMMYFUNCTION("""COMPUTED_VALUE"""),1.0)</f>
        <v>1</v>
      </c>
      <c r="J23" s="15">
        <f>IFERROR(__xludf.DUMMYFUNCTION("""COMPUTED_VALUE"""),0.0)</f>
        <v>0</v>
      </c>
      <c r="K23" s="15">
        <f>IFERROR(__xludf.DUMMYFUNCTION("""COMPUTED_VALUE"""),0.0)</f>
        <v>0</v>
      </c>
    </row>
    <row r="24" ht="15.75" customHeight="1">
      <c r="A24" s="14" t="str">
        <f>IFERROR(__xludf.DUMMYFUNCTION("""COMPUTED_VALUE"""),"https://agencies.semrush.com/list/ai-optimization/united-kingdom/mid-business/")</f>
        <v>https://agencies.semrush.com/list/ai-optimization/united-kingdom/mid-business/</v>
      </c>
      <c r="B24" s="15" t="str">
        <f>IFERROR(__xludf.DUMMYFUNCTION("""COMPUTED_VALUE"""),"Best AI Search Optimization Agencies for Mid Business in United Kingdom 2026 | Semrush")</f>
        <v>Best AI Search Optimization Agencies for Mid Business in United Kingdom 2026 | Semrush</v>
      </c>
      <c r="C24" s="14" t="str">
        <f>IFERROR(__xludf.DUMMYFUNCTION("""COMPUTED_VALUE"""),"semrush.com")</f>
        <v>semrush.com</v>
      </c>
      <c r="D24" s="15" t="str">
        <f>IFERROR(__xludf.DUMMYFUNCTION("""COMPUTED_VALUE"""),"CATEGORY_PAGE")</f>
        <v>CATEGORY_PAGE</v>
      </c>
      <c r="E24" s="15" t="str">
        <f>IFERROR(__xludf.DUMMYFUNCTION("""COMPUTED_VALUE"""),"CORPORATE")</f>
        <v>CORPORATE</v>
      </c>
      <c r="F24" s="15" t="str">
        <f>IFERROR(__xludf.DUMMYFUNCTION("""COMPUTED_VALUE"""),"Category Page")</f>
        <v>Category Page</v>
      </c>
      <c r="G24" s="15" t="b">
        <f>IFERROR(__xludf.DUMMYFUNCTION("""COMPUTED_VALUE"""),FALSE)</f>
        <v>0</v>
      </c>
      <c r="H24" s="15" t="str">
        <f>IFERROR(__xludf.DUMMYFUNCTION("""COMPUTED_VALUE"""),"Found, Measured, Click Intelligence, Passion Digital, The SEO Works, Gravity Global, ROAST, Huge")</f>
        <v>Found, Measured, Click Intelligence, Passion Digital, The SEO Works, Gravity Global, ROAST, Huge</v>
      </c>
      <c r="I24" s="15">
        <f>IFERROR(__xludf.DUMMYFUNCTION("""COMPUTED_VALUE"""),1.0)</f>
        <v>1</v>
      </c>
      <c r="J24" s="15">
        <f>IFERROR(__xludf.DUMMYFUNCTION("""COMPUTED_VALUE"""),0.0)</f>
        <v>0</v>
      </c>
      <c r="K24" s="15">
        <f>IFERROR(__xludf.DUMMYFUNCTION("""COMPUTED_VALUE"""),0.0)</f>
        <v>0</v>
      </c>
    </row>
    <row r="25" ht="15.75" customHeight="1">
      <c r="A25" s="14" t="str">
        <f>IFERROR(__xludf.DUMMYFUNCTION("""COMPUTED_VALUE"""),"https://agencies.semrush.com/list/display-advertising/")</f>
        <v>https://agencies.semrush.com/list/display-advertising/</v>
      </c>
      <c r="B25" s="15" t="str">
        <f>IFERROR(__xludf.DUMMYFUNCTION("""COMPUTED_VALUE"""),"Best Display Ads Agencies in the World 2026 | Semrush")</f>
        <v>Best Display Ads Agencies in the World 2026 | Semrush</v>
      </c>
      <c r="C25" s="14" t="str">
        <f>IFERROR(__xludf.DUMMYFUNCTION("""COMPUTED_VALUE"""),"semrush.com")</f>
        <v>semrush.com</v>
      </c>
      <c r="D25" s="15" t="str">
        <f>IFERROR(__xludf.DUMMYFUNCTION("""COMPUTED_VALUE"""),"CATEGORY_PAGE")</f>
        <v>CATEGORY_PAGE</v>
      </c>
      <c r="E25" s="15" t="str">
        <f>IFERROR(__xludf.DUMMYFUNCTION("""COMPUTED_VALUE"""),"CORPORATE")</f>
        <v>CORPORATE</v>
      </c>
      <c r="F25" s="15" t="str">
        <f>IFERROR(__xludf.DUMMYFUNCTION("""COMPUTED_VALUE"""),"Category Page")</f>
        <v>Category Page</v>
      </c>
      <c r="G25" s="15" t="b">
        <f>IFERROR(__xludf.DUMMYFUNCTION("""COMPUTED_VALUE"""),FALSE)</f>
        <v>0</v>
      </c>
      <c r="H25" s="15"/>
      <c r="I25" s="15">
        <f>IFERROR(__xludf.DUMMYFUNCTION("""COMPUTED_VALUE"""),1.0)</f>
        <v>1</v>
      </c>
      <c r="J25" s="15">
        <f>IFERROR(__xludf.DUMMYFUNCTION("""COMPUTED_VALUE"""),0.0)</f>
        <v>0</v>
      </c>
      <c r="K25" s="15">
        <f>IFERROR(__xludf.DUMMYFUNCTION("""COMPUTED_VALUE"""),0.0)</f>
        <v>0</v>
      </c>
    </row>
    <row r="26" ht="15.75" customHeight="1">
      <c r="A26" s="14" t="str">
        <f>IFERROR(__xludf.DUMMYFUNCTION("""COMPUTED_VALUE"""),"https://agencies.semrush.com/list/los-angeles/")</f>
        <v>https://agencies.semrush.com/list/los-angeles/</v>
      </c>
      <c r="B26" s="15" t="str">
        <f>IFERROR(__xludf.DUMMYFUNCTION("""COMPUTED_VALUE"""),"Best Digital Marketing Agencies in Los Angeles 2026 | Semrush")</f>
        <v>Best Digital Marketing Agencies in Los Angeles 2026 | Semrush</v>
      </c>
      <c r="C26" s="14" t="str">
        <f>IFERROR(__xludf.DUMMYFUNCTION("""COMPUTED_VALUE"""),"semrush.com")</f>
        <v>semrush.com</v>
      </c>
      <c r="D26" s="15" t="str">
        <f>IFERROR(__xludf.DUMMYFUNCTION("""COMPUTED_VALUE"""),"CATEGORY_PAGE")</f>
        <v>CATEGORY_PAGE</v>
      </c>
      <c r="E26" s="15" t="str">
        <f>IFERROR(__xludf.DUMMYFUNCTION("""COMPUTED_VALUE"""),"CORPORATE")</f>
        <v>CORPORATE</v>
      </c>
      <c r="F26" s="15" t="str">
        <f>IFERROR(__xludf.DUMMYFUNCTION("""COMPUTED_VALUE"""),"Category Page")</f>
        <v>Category Page</v>
      </c>
      <c r="G26" s="15" t="b">
        <f>IFERROR(__xludf.DUMMYFUNCTION("""COMPUTED_VALUE"""),FALSE)</f>
        <v>0</v>
      </c>
      <c r="H26" s="15" t="str">
        <f>IFERROR(__xludf.DUMMYFUNCTION("""COMPUTED_VALUE"""),"Bird Marketing")</f>
        <v>Bird Marketing</v>
      </c>
      <c r="I26" s="15">
        <f>IFERROR(__xludf.DUMMYFUNCTION("""COMPUTED_VALUE"""),1.0)</f>
        <v>1</v>
      </c>
      <c r="J26" s="15">
        <f>IFERROR(__xludf.DUMMYFUNCTION("""COMPUTED_VALUE"""),0.0)</f>
        <v>0</v>
      </c>
      <c r="K26" s="15">
        <f>IFERROR(__xludf.DUMMYFUNCTION("""COMPUTED_VALUE"""),0.0)</f>
        <v>0</v>
      </c>
    </row>
    <row r="27" ht="15.75" customHeight="1">
      <c r="A27" s="14" t="str">
        <f>IFERROR(__xludf.DUMMYFUNCTION("""COMPUTED_VALUE"""),"https://agencies.semrush.com/list/machine-learning-and-ai/london-city/")</f>
        <v>https://agencies.semrush.com/list/machine-learning-and-ai/london-city/</v>
      </c>
      <c r="B27" s="15" t="str">
        <f>IFERROR(__xludf.DUMMYFUNCTION("""COMPUTED_VALUE"""),"Best Machine Learning and AI Services in London 2026 | Semrush")</f>
        <v>Best Machine Learning and AI Services in London 2026 | Semrush</v>
      </c>
      <c r="C27" s="14" t="str">
        <f>IFERROR(__xludf.DUMMYFUNCTION("""COMPUTED_VALUE"""),"semrush.com")</f>
        <v>semrush.com</v>
      </c>
      <c r="D27" s="15" t="str">
        <f>IFERROR(__xludf.DUMMYFUNCTION("""COMPUTED_VALUE"""),"PROFILE")</f>
        <v>PROFILE</v>
      </c>
      <c r="E27" s="15" t="str">
        <f>IFERROR(__xludf.DUMMYFUNCTION("""COMPUTED_VALUE"""),"CORPORATE")</f>
        <v>CORPORATE</v>
      </c>
      <c r="F27" s="15" t="str">
        <f>IFERROR(__xludf.DUMMYFUNCTION("""COMPUTED_VALUE"""),"Profile")</f>
        <v>Profile</v>
      </c>
      <c r="G27" s="15" t="b">
        <f>IFERROR(__xludf.DUMMYFUNCTION("""COMPUTED_VALUE"""),FALSE)</f>
        <v>0</v>
      </c>
      <c r="H27" s="15" t="str">
        <f>IFERROR(__xludf.DUMMYFUNCTION("""COMPUTED_VALUE"""),"The SEO Works, Found, Measured")</f>
        <v>The SEO Works, Found, Measured</v>
      </c>
      <c r="I27" s="15">
        <f>IFERROR(__xludf.DUMMYFUNCTION("""COMPUTED_VALUE"""),1.0)</f>
        <v>1</v>
      </c>
      <c r="J27" s="15">
        <f>IFERROR(__xludf.DUMMYFUNCTION("""COMPUTED_VALUE"""),0.0)</f>
        <v>0</v>
      </c>
      <c r="K27" s="15">
        <f>IFERROR(__xludf.DUMMYFUNCTION("""COMPUTED_VALUE"""),0.0)</f>
        <v>0</v>
      </c>
    </row>
    <row r="28" ht="15.75" customHeight="1">
      <c r="A28" s="14" t="str">
        <f>IFERROR(__xludf.DUMMYFUNCTION("""COMPUTED_VALUE"""),"https://agencies.semrush.com/list/ppc/united-kingdom/")</f>
        <v>https://agencies.semrush.com/list/ppc/united-kingdom/</v>
      </c>
      <c r="B28" s="15" t="str">
        <f>IFERROR(__xludf.DUMMYFUNCTION("""COMPUTED_VALUE"""),"Best PPC Agencies in United Kingdom 2026 | Semrush")</f>
        <v>Best PPC Agencies in United Kingdom 2026 | Semrush</v>
      </c>
      <c r="C28" s="14" t="str">
        <f>IFERROR(__xludf.DUMMYFUNCTION("""COMPUTED_VALUE"""),"semrush.com")</f>
        <v>semrush.com</v>
      </c>
      <c r="D28" s="15" t="str">
        <f>IFERROR(__xludf.DUMMYFUNCTION("""COMPUTED_VALUE"""),"CATEGORY_PAGE")</f>
        <v>CATEGORY_PAGE</v>
      </c>
      <c r="E28" s="15" t="str">
        <f>IFERROR(__xludf.DUMMYFUNCTION("""COMPUTED_VALUE"""),"CORPORATE")</f>
        <v>CORPORATE</v>
      </c>
      <c r="F28" s="15" t="str">
        <f>IFERROR(__xludf.DUMMYFUNCTION("""COMPUTED_VALUE"""),"Category Page")</f>
        <v>Category Page</v>
      </c>
      <c r="G28" s="15" t="b">
        <f>IFERROR(__xludf.DUMMYFUNCTION("""COMPUTED_VALUE"""),FALSE)</f>
        <v>0</v>
      </c>
      <c r="H28" s="15" t="str">
        <f>IFERROR(__xludf.DUMMYFUNCTION("""COMPUTED_VALUE"""),"Found, Impression, Passion Digital, Soap Media")</f>
        <v>Found, Impression, Passion Digital, Soap Media</v>
      </c>
      <c r="I28" s="15">
        <f>IFERROR(__xludf.DUMMYFUNCTION("""COMPUTED_VALUE"""),1.0)</f>
        <v>1</v>
      </c>
      <c r="J28" s="15">
        <f>IFERROR(__xludf.DUMMYFUNCTION("""COMPUTED_VALUE"""),0.0)</f>
        <v>0</v>
      </c>
      <c r="K28" s="15">
        <f>IFERROR(__xludf.DUMMYFUNCTION("""COMPUTED_VALUE"""),0.0)</f>
        <v>0</v>
      </c>
    </row>
    <row r="29" ht="15.75" customHeight="1">
      <c r="A29" s="14" t="str">
        <f>IFERROR(__xludf.DUMMYFUNCTION("""COMPUTED_VALUE"""),"https://agencies.semrush.com/list/ppc/united-states/")</f>
        <v>https://agencies.semrush.com/list/ppc/united-states/</v>
      </c>
      <c r="B29" s="15" t="str">
        <f>IFERROR(__xludf.DUMMYFUNCTION("""COMPUTED_VALUE"""),"Best PPC Agencies in United States 2026 | Semrush")</f>
        <v>Best PPC Agencies in United States 2026 | Semrush</v>
      </c>
      <c r="C29" s="14" t="str">
        <f>IFERROR(__xludf.DUMMYFUNCTION("""COMPUTED_VALUE"""),"semrush.com")</f>
        <v>semrush.com</v>
      </c>
      <c r="D29" s="15" t="str">
        <f>IFERROR(__xludf.DUMMYFUNCTION("""COMPUTED_VALUE"""),"CATEGORY_PAGE")</f>
        <v>CATEGORY_PAGE</v>
      </c>
      <c r="E29" s="15" t="str">
        <f>IFERROR(__xludf.DUMMYFUNCTION("""COMPUTED_VALUE"""),"CORPORATE")</f>
        <v>CORPORATE</v>
      </c>
      <c r="F29" s="15" t="str">
        <f>IFERROR(__xludf.DUMMYFUNCTION("""COMPUTED_VALUE"""),"Category Page")</f>
        <v>Category Page</v>
      </c>
      <c r="G29" s="15" t="b">
        <f>IFERROR(__xludf.DUMMYFUNCTION("""COMPUTED_VALUE"""),FALSE)</f>
        <v>0</v>
      </c>
      <c r="H29" s="15" t="str">
        <f>IFERROR(__xludf.DUMMYFUNCTION("""COMPUTED_VALUE"""),"Whitehat")</f>
        <v>Whitehat</v>
      </c>
      <c r="I29" s="15">
        <f>IFERROR(__xludf.DUMMYFUNCTION("""COMPUTED_VALUE"""),1.0)</f>
        <v>1</v>
      </c>
      <c r="J29" s="15">
        <f>IFERROR(__xludf.DUMMYFUNCTION("""COMPUTED_VALUE"""),0.0)</f>
        <v>0</v>
      </c>
      <c r="K29" s="15">
        <f>IFERROR(__xludf.DUMMYFUNCTION("""COMPUTED_VALUE"""),1.0)</f>
        <v>1</v>
      </c>
    </row>
    <row r="30" ht="15.75" customHeight="1">
      <c r="A30" s="14" t="str">
        <f>IFERROR(__xludf.DUMMYFUNCTION("""COMPUTED_VALUE"""),"https://cw.semrush.com/agencies/list/analytics-data-science/united-kingdom")</f>
        <v>https://cw.semrush.com/agencies/list/analytics-data-science/united-kingdom</v>
      </c>
      <c r="B30" s="15"/>
      <c r="C30" s="14" t="str">
        <f>IFERROR(__xludf.DUMMYFUNCTION("""COMPUTED_VALUE"""),"semrush.com")</f>
        <v>semrush.com</v>
      </c>
      <c r="D30" s="15" t="str">
        <f>IFERROR(__xludf.DUMMYFUNCTION("""COMPUTED_VALUE"""),"OTHER")</f>
        <v>OTHER</v>
      </c>
      <c r="E30" s="15" t="str">
        <f>IFERROR(__xludf.DUMMYFUNCTION("""COMPUTED_VALUE"""),"OTHER")</f>
        <v>OTHER</v>
      </c>
      <c r="F30" s="15" t="str">
        <f>IFERROR(__xludf.DUMMYFUNCTION("""COMPUTED_VALUE"""),"Other")</f>
        <v>Other</v>
      </c>
      <c r="G30" s="15"/>
      <c r="H30" s="15" t="str">
        <f>IFERROR(__xludf.DUMMYFUNCTION("""COMPUTED_VALUE"""),"Unknown")</f>
        <v>Unknown</v>
      </c>
      <c r="I30" s="15">
        <f>IFERROR(__xludf.DUMMYFUNCTION("""COMPUTED_VALUE"""),1.0)</f>
        <v>1</v>
      </c>
      <c r="J30" s="15">
        <f>IFERROR(__xludf.DUMMYFUNCTION("""COMPUTED_VALUE"""),0.0)</f>
        <v>0</v>
      </c>
      <c r="K30" s="15">
        <f>IFERROR(__xludf.DUMMYFUNCTION("""COMPUTED_VALUE"""),0.0)</f>
        <v>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location=":~:text=For%20optimisation%20we%20use%20SEMrush%2C%20Ahrefs%20and,always%20invest%20in%20the%20very%20best%20software."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s>
  <drawing r:id="rId5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All'!A2:A1000)),""directiveconsulting"")
  ),
  """"
)"),"https://directiveconsulting.com/uk/blog/best-marketing-data-agency/")</f>
        <v>https://directiveconsulting.com/uk/blog/best-marketing-data-agency/</v>
      </c>
      <c r="B2" s="15" t="str">
        <f>IFERROR(__xludf.DUMMYFUNCTION("""COMPUTED_VALUE"""),"18 Best Marketing Data Agencies for B2B - Directive")</f>
        <v>18 Best Marketing Data Agencies for B2B - Directive</v>
      </c>
      <c r="C2" s="14" t="str">
        <f>IFERROR(__xludf.DUMMYFUNCTION("""COMPUTED_VALUE"""),"directiveconsulting.com")</f>
        <v>directiveconsulting.com</v>
      </c>
      <c r="D2" s="15" t="str">
        <f>IFERROR(__xludf.DUMMYFUNCTION("""COMPUTED_VALUE"""),"LISTICLE")</f>
        <v>LISTICLE</v>
      </c>
      <c r="E2" s="15" t="str">
        <f>IFERROR(__xludf.DUMMYFUNCTION("""COMPUTED_VALUE"""),"COMPETITOR")</f>
        <v>COMPETITOR</v>
      </c>
      <c r="F2" s="15" t="str">
        <f>IFERROR(__xludf.DUMMYFUNCTION("""COMPUTED_VALUE"""),"Listicle")</f>
        <v>Listicle</v>
      </c>
      <c r="G2" s="15" t="b">
        <f>IFERROR(__xludf.DUMMYFUNCTION("""COMPUTED_VALUE"""),FALSE)</f>
        <v>0</v>
      </c>
      <c r="H2" s="15" t="str">
        <f>IFERROR(__xludf.DUMMYFUNCTION("""COMPUTED_VALUE"""),"Directive Consulting, Brainlabs, Power Digital, Measured")</f>
        <v>Directive Consulting, Brainlabs, Power Digital, Measured</v>
      </c>
      <c r="I2" s="15">
        <f>IFERROR(__xludf.DUMMYFUNCTION("""COMPUTED_VALUE"""),14.0)</f>
        <v>14</v>
      </c>
      <c r="J2" s="15">
        <f>IFERROR(__xludf.DUMMYFUNCTION("""COMPUTED_VALUE"""),0.01)</f>
        <v>0.01</v>
      </c>
      <c r="K2" s="15">
        <f>IFERROR(__xludf.DUMMYFUNCTION("""COMPUTED_VALUE"""),0.64)</f>
        <v>0.64</v>
      </c>
    </row>
    <row r="3" ht="15.75" customHeight="1">
      <c r="A3" s="14" t="str">
        <f>IFERROR(__xludf.DUMMYFUNCTION("""COMPUTED_VALUE"""),"https://directiveconsulting.com/uk/blog/10-ai-marketing-agencies-outperforming-the-market/")</f>
        <v>https://directiveconsulting.com/uk/blog/10-ai-marketing-agencies-outperforming-the-market/</v>
      </c>
      <c r="B3" s="15" t="str">
        <f>IFERROR(__xludf.DUMMYFUNCTION("""COMPUTED_VALUE"""),"10 B2B Marketing Agencies Using Proprietary AI to Outperform the Market - Directive UK")</f>
        <v>10 B2B Marketing Agencies Using Proprietary AI to Outperform the Market - Directive UK</v>
      </c>
      <c r="C3" s="14" t="str">
        <f>IFERROR(__xludf.DUMMYFUNCTION("""COMPUTED_VALUE"""),"directiveconsulting.com")</f>
        <v>directiveconsulting.com</v>
      </c>
      <c r="D3" s="15" t="str">
        <f>IFERROR(__xludf.DUMMYFUNCTION("""COMPUTED_VALUE"""),"LISTICLE")</f>
        <v>LISTICLE</v>
      </c>
      <c r="E3" s="15" t="str">
        <f>IFERROR(__xludf.DUMMYFUNCTION("""COMPUTED_VALUE"""),"COMPETITOR")</f>
        <v>COMPETITOR</v>
      </c>
      <c r="F3" s="15" t="str">
        <f>IFERROR(__xludf.DUMMYFUNCTION("""COMPUTED_VALUE"""),"Listicle")</f>
        <v>Listicle</v>
      </c>
      <c r="G3" s="15" t="b">
        <f>IFERROR(__xludf.DUMMYFUNCTION("""COMPUTED_VALUE"""),FALSE)</f>
        <v>0</v>
      </c>
      <c r="H3" s="15" t="str">
        <f>IFERROR(__xludf.DUMMYFUNCTION("""COMPUTED_VALUE"""),"Directive Consulting, NoGood, Single Grain, Measured")</f>
        <v>Directive Consulting, NoGood, Single Grain, Measured</v>
      </c>
      <c r="I3" s="15">
        <f>IFERROR(__xludf.DUMMYFUNCTION("""COMPUTED_VALUE"""),13.0)</f>
        <v>13</v>
      </c>
      <c r="J3" s="15">
        <f>IFERROR(__xludf.DUMMYFUNCTION("""COMPUTED_VALUE"""),0.01)</f>
        <v>0.01</v>
      </c>
      <c r="K3" s="15">
        <f>IFERROR(__xludf.DUMMYFUNCTION("""COMPUTED_VALUE"""),0.62)</f>
        <v>0.62</v>
      </c>
    </row>
    <row r="4" ht="15.75" customHeight="1">
      <c r="A4" s="14" t="str">
        <f>IFERROR(__xludf.DUMMYFUNCTION("""COMPUTED_VALUE"""),"https://directiveconsulting.com/uk/blog/top-performance-marketing-agencies/#:~:text=Graysen%20Christopher")</f>
        <v>https://directiveconsulting.com/uk/blog/top-performance-marketing-agencies/#:~:text=Graysen%20Christopher</v>
      </c>
      <c r="B4" s="15" t="str">
        <f>IFERROR(__xludf.DUMMYFUNCTION("""COMPUTED_VALUE"""),"18 Best Performance Marketing Agencies For B2B - Directive")</f>
        <v>18 Best Performance Marketing Agencies For B2B - Directive</v>
      </c>
      <c r="C4" s="14" t="str">
        <f>IFERROR(__xludf.DUMMYFUNCTION("""COMPUTED_VALUE"""),"directiveconsulting.com")</f>
        <v>directiveconsulting.com</v>
      </c>
      <c r="D4" s="15" t="str">
        <f>IFERROR(__xludf.DUMMYFUNCTION("""COMPUTED_VALUE"""),"LISTICLE")</f>
        <v>LISTICLE</v>
      </c>
      <c r="E4" s="15" t="str">
        <f>IFERROR(__xludf.DUMMYFUNCTION("""COMPUTED_VALUE"""),"COMPETITOR")</f>
        <v>COMPETITOR</v>
      </c>
      <c r="F4" s="15" t="str">
        <f>IFERROR(__xludf.DUMMYFUNCTION("""COMPUTED_VALUE"""),"Listicle")</f>
        <v>Listicle</v>
      </c>
      <c r="G4" s="15" t="b">
        <f>IFERROR(__xludf.DUMMYFUNCTION("""COMPUTED_VALUE"""),FALSE)</f>
        <v>0</v>
      </c>
      <c r="H4"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4" s="15">
        <f>IFERROR(__xludf.DUMMYFUNCTION("""COMPUTED_VALUE"""),7.0)</f>
        <v>7</v>
      </c>
      <c r="J4" s="15">
        <f>IFERROR(__xludf.DUMMYFUNCTION("""COMPUTED_VALUE"""),0.01)</f>
        <v>0.01</v>
      </c>
      <c r="K4" s="15">
        <f>IFERROR(__xludf.DUMMYFUNCTION("""COMPUTED_VALUE"""),0.86)</f>
        <v>0.86</v>
      </c>
    </row>
    <row r="5" ht="15.75" customHeight="1">
      <c r="A5" s="14" t="str">
        <f>IFERROR(__xludf.DUMMYFUNCTION("""COMPUTED_VALUE"""),"https://directiveconsulting.com/uk/blog/25-best-paid-media-agencies-that-turn-ad-spend-into-revenue/")</f>
        <v>https://directiveconsulting.com/uk/blog/25-best-paid-media-agencies-that-turn-ad-spend-into-revenue/</v>
      </c>
      <c r="B5" s="15" t="str">
        <f>IFERROR(__xludf.DUMMYFUNCTION("""COMPUTED_VALUE"""),"25 Best Paid Media Agencies For B2B - Directive")</f>
        <v>25 Best Paid Media Agencies For B2B - Directive</v>
      </c>
      <c r="C5" s="14" t="str">
        <f>IFERROR(__xludf.DUMMYFUNCTION("""COMPUTED_VALUE"""),"directiveconsulting.com")</f>
        <v>directiveconsulting.com</v>
      </c>
      <c r="D5" s="15" t="str">
        <f>IFERROR(__xludf.DUMMYFUNCTION("""COMPUTED_VALUE"""),"LISTICLE")</f>
        <v>LISTICLE</v>
      </c>
      <c r="E5" s="15" t="str">
        <f>IFERROR(__xludf.DUMMYFUNCTION("""COMPUTED_VALUE"""),"COMPETITOR")</f>
        <v>COMPETITOR</v>
      </c>
      <c r="F5" s="15" t="str">
        <f>IFERROR(__xludf.DUMMYFUNCTION("""COMPUTED_VALUE"""),"Listicle")</f>
        <v>Listicle</v>
      </c>
      <c r="G5" s="15" t="b">
        <f>IFERROR(__xludf.DUMMYFUNCTION("""COMPUTED_VALUE"""),FALSE)</f>
        <v>0</v>
      </c>
      <c r="H5" s="15" t="str">
        <f>IFERROR(__xludf.DUMMYFUNCTION("""COMPUTED_VALUE"""),"Directive Consulting, Jellyfish, Brainlabs, Dept, Wpromote, Merkle, WebFX, Disruptive Advertising, Dentsu, Impression")</f>
        <v>Directive Consulting, Jellyfish, Brainlabs, Dept, Wpromote, Merkle, WebFX, Disruptive Advertising, Dentsu, Impression</v>
      </c>
      <c r="I5" s="15">
        <f>IFERROR(__xludf.DUMMYFUNCTION("""COMPUTED_VALUE"""),5.0)</f>
        <v>5</v>
      </c>
      <c r="J5" s="15">
        <f>IFERROR(__xludf.DUMMYFUNCTION("""COMPUTED_VALUE"""),0.0)</f>
        <v>0</v>
      </c>
      <c r="K5" s="15">
        <f>IFERROR(__xludf.DUMMYFUNCTION("""COMPUTED_VALUE"""),0.4)</f>
        <v>0.4</v>
      </c>
    </row>
    <row r="6" ht="15.75" customHeight="1">
      <c r="A6" s="14" t="str">
        <f>IFERROR(__xludf.DUMMYFUNCTION("""COMPUTED_VALUE"""),"https://directiveconsulting.com/blog/top-performance-marketing-agencies/")</f>
        <v>https://directiveconsulting.com/blog/top-performance-marketing-agencies/</v>
      </c>
      <c r="B6" s="15" t="str">
        <f>IFERROR(__xludf.DUMMYFUNCTION("""COMPUTED_VALUE"""),"18 Best Performance Marketing Agencies For B2B - Directive")</f>
        <v>18 Best Performance Marketing Agencies For B2B - Directive</v>
      </c>
      <c r="C6" s="14" t="str">
        <f>IFERROR(__xludf.DUMMYFUNCTION("""COMPUTED_VALUE"""),"directiveconsulting.com")</f>
        <v>directiveconsulting.com</v>
      </c>
      <c r="D6" s="15" t="str">
        <f>IFERROR(__xludf.DUMMYFUNCTION("""COMPUTED_VALUE"""),"LISTICLE")</f>
        <v>LISTICLE</v>
      </c>
      <c r="E6" s="15" t="str">
        <f>IFERROR(__xludf.DUMMYFUNCTION("""COMPUTED_VALUE"""),"COMPETITOR")</f>
        <v>COMPETITOR</v>
      </c>
      <c r="F6" s="15" t="str">
        <f>IFERROR(__xludf.DUMMYFUNCTION("""COMPUTED_VALUE"""),"Listicle")</f>
        <v>Listicle</v>
      </c>
      <c r="G6" s="15" t="b">
        <f>IFERROR(__xludf.DUMMYFUNCTION("""COMPUTED_VALUE"""),FALSE)</f>
        <v>0</v>
      </c>
      <c r="H6"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6" s="15">
        <f>IFERROR(__xludf.DUMMYFUNCTION("""COMPUTED_VALUE"""),2.0)</f>
        <v>2</v>
      </c>
      <c r="J6" s="15">
        <f>IFERROR(__xludf.DUMMYFUNCTION("""COMPUTED_VALUE"""),0.0)</f>
        <v>0</v>
      </c>
      <c r="K6" s="15">
        <f>IFERROR(__xludf.DUMMYFUNCTION("""COMPUTED_VALUE"""),1.5)</f>
        <v>1.5</v>
      </c>
    </row>
    <row r="7" ht="15.75" customHeight="1">
      <c r="A7" s="14" t="str">
        <f>IFERROR(__xludf.DUMMYFUNCTION("""COMPUTED_VALUE"""),"https://directiveconsulting.com/uk/blog/25-best-advertising-agencies-built-for-media-momentum/")</f>
        <v>https://directiveconsulting.com/uk/blog/25-best-advertising-agencies-built-for-media-momentum/</v>
      </c>
      <c r="B7" s="15" t="str">
        <f>IFERROR(__xludf.DUMMYFUNCTION("""COMPUTED_VALUE"""),"25 Best Advertising Agencies For B2B - Directive")</f>
        <v>25 Best Advertising Agencies For B2B - Directive</v>
      </c>
      <c r="C7" s="14" t="str">
        <f>IFERROR(__xludf.DUMMYFUNCTION("""COMPUTED_VALUE"""),"directiveconsulting.com")</f>
        <v>directiveconsulting.com</v>
      </c>
      <c r="D7" s="15" t="str">
        <f>IFERROR(__xludf.DUMMYFUNCTION("""COMPUTED_VALUE"""),"LISTICLE")</f>
        <v>LISTICLE</v>
      </c>
      <c r="E7" s="15" t="str">
        <f>IFERROR(__xludf.DUMMYFUNCTION("""COMPUTED_VALUE"""),"COMPETITOR")</f>
        <v>COMPETITOR</v>
      </c>
      <c r="F7" s="15" t="str">
        <f>IFERROR(__xludf.DUMMYFUNCTION("""COMPUTED_VALUE"""),"Listicle")</f>
        <v>Listicle</v>
      </c>
      <c r="G7" s="15" t="b">
        <f>IFERROR(__xludf.DUMMYFUNCTION("""COMPUTED_VALUE"""),FALSE)</f>
        <v>0</v>
      </c>
      <c r="H7" s="15" t="str">
        <f>IFERROR(__xludf.DUMMYFUNCTION("""COMPUTED_VALUE"""),"Directive Consulting, Momentum, Tinuiti, PMG, Jellyfish, Wpromote, Merkle, Croud, Impression, Monks, AKQA, Measured")</f>
        <v>Directive Consulting, Momentum, Tinuiti, PMG, Jellyfish, Wpromote, Merkle, Croud, Impression, Monks, AKQA, Measured</v>
      </c>
      <c r="I7" s="15">
        <f>IFERROR(__xludf.DUMMYFUNCTION("""COMPUTED_VALUE"""),2.0)</f>
        <v>2</v>
      </c>
      <c r="J7" s="15">
        <f>IFERROR(__xludf.DUMMYFUNCTION("""COMPUTED_VALUE"""),0.0)</f>
        <v>0</v>
      </c>
      <c r="K7" s="15">
        <f>IFERROR(__xludf.DUMMYFUNCTION("""COMPUTED_VALUE"""),0.5)</f>
        <v>0.5</v>
      </c>
    </row>
    <row r="8" ht="15.75" customHeight="1">
      <c r="A8" s="14" t="str">
        <f>IFERROR(__xludf.DUMMYFUNCTION("""COMPUTED_VALUE"""),"https://directiveconsulting.com/blog/17-leading-llm-agencies-powering-ai-innovation-for-modern-b2b-teams/")</f>
        <v>https://directiveconsulting.com/blog/17-leading-llm-agencies-powering-ai-innovation-for-modern-b2b-teams/</v>
      </c>
      <c r="B8" s="15" t="str">
        <f>IFERROR(__xludf.DUMMYFUNCTION("""COMPUTED_VALUE"""),"17 Best LLM Agencies For B2B - Directive")</f>
        <v>17 Best LLM Agencies For B2B - Directive</v>
      </c>
      <c r="C8" s="14" t="str">
        <f>IFERROR(__xludf.DUMMYFUNCTION("""COMPUTED_VALUE"""),"directiveconsulting.com")</f>
        <v>directiveconsulting.com</v>
      </c>
      <c r="D8" s="15" t="str">
        <f>IFERROR(__xludf.DUMMYFUNCTION("""COMPUTED_VALUE"""),"LISTICLE")</f>
        <v>LISTICLE</v>
      </c>
      <c r="E8" s="15" t="str">
        <f>IFERROR(__xludf.DUMMYFUNCTION("""COMPUTED_VALUE"""),"COMPETITOR")</f>
        <v>COMPETITOR</v>
      </c>
      <c r="F8" s="15" t="str">
        <f>IFERROR(__xludf.DUMMYFUNCTION("""COMPUTED_VALUE"""),"Listicle")</f>
        <v>Listicle</v>
      </c>
      <c r="G8" s="15" t="b">
        <f>IFERROR(__xludf.DUMMYFUNCTION("""COMPUTED_VALUE"""),FALSE)</f>
        <v>0</v>
      </c>
      <c r="H8" s="15" t="str">
        <f>IFERROR(__xludf.DUMMYFUNCTION("""COMPUTED_VALUE"""),"Directive Consulting, Measured, Momentum")</f>
        <v>Directive Consulting, Measured, Momentum</v>
      </c>
      <c r="I8" s="15">
        <f>IFERROR(__xludf.DUMMYFUNCTION("""COMPUTED_VALUE"""),1.0)</f>
        <v>1</v>
      </c>
      <c r="J8" s="15">
        <f>IFERROR(__xludf.DUMMYFUNCTION("""COMPUTED_VALUE"""),0.0)</f>
        <v>0</v>
      </c>
      <c r="K8" s="15">
        <f>IFERROR(__xludf.DUMMYFUNCTION("""COMPUTED_VALUE"""),0.0)</f>
        <v>0</v>
      </c>
    </row>
    <row r="9" ht="15.75" customHeight="1">
      <c r="A9" s="14" t="str">
        <f>IFERROR(__xludf.DUMMYFUNCTION("""COMPUTED_VALUE"""),"https://directiveconsulting.com/blog/25-best-advertising-agencies-built-for-media-momentum/")</f>
        <v>https://directiveconsulting.com/blog/25-best-advertising-agencies-built-for-media-momentum/</v>
      </c>
      <c r="B9" s="15" t="str">
        <f>IFERROR(__xludf.DUMMYFUNCTION("""COMPUTED_VALUE"""),"25 Best Advertising Agencies For B2B - Directive")</f>
        <v>25 Best Advertising Agencies For B2B - Directive</v>
      </c>
      <c r="C9" s="14" t="str">
        <f>IFERROR(__xludf.DUMMYFUNCTION("""COMPUTED_VALUE"""),"directiveconsulting.com")</f>
        <v>directiveconsulting.com</v>
      </c>
      <c r="D9" s="15" t="str">
        <f>IFERROR(__xludf.DUMMYFUNCTION("""COMPUTED_VALUE"""),"LISTICLE")</f>
        <v>LISTICLE</v>
      </c>
      <c r="E9" s="15" t="str">
        <f>IFERROR(__xludf.DUMMYFUNCTION("""COMPUTED_VALUE"""),"COMPETITOR")</f>
        <v>COMPETITOR</v>
      </c>
      <c r="F9" s="15" t="str">
        <f>IFERROR(__xludf.DUMMYFUNCTION("""COMPUTED_VALUE"""),"Listicle")</f>
        <v>Listicle</v>
      </c>
      <c r="G9" s="15" t="b">
        <f>IFERROR(__xludf.DUMMYFUNCTION("""COMPUTED_VALUE"""),FALSE)</f>
        <v>0</v>
      </c>
      <c r="H9" s="15" t="str">
        <f>IFERROR(__xludf.DUMMYFUNCTION("""COMPUTED_VALUE"""),"Directive Consulting, Momentum, Tinuiti, PMG, Jellyfish, Wpromote, Merkle, Croud, Impression, Monks, AKQA, Measured")</f>
        <v>Directive Consulting, Momentum, Tinuiti, PMG, Jellyfish, Wpromote, Merkle, Croud, Impression, Monks, AKQA, Measured</v>
      </c>
      <c r="I9" s="15">
        <f>IFERROR(__xludf.DUMMYFUNCTION("""COMPUTED_VALUE"""),1.0)</f>
        <v>1</v>
      </c>
      <c r="J9" s="15">
        <f>IFERROR(__xludf.DUMMYFUNCTION("""COMPUTED_VALUE"""),0.0)</f>
        <v>0</v>
      </c>
      <c r="K9" s="15">
        <f>IFERROR(__xludf.DUMMYFUNCTION("""COMPUTED_VALUE"""),0.0)</f>
        <v>0</v>
      </c>
    </row>
    <row r="10" ht="15.75" customHeight="1">
      <c r="A10" s="14" t="str">
        <f>IFERROR(__xludf.DUMMYFUNCTION("""COMPUTED_VALUE"""),"https://directiveconsulting.com/blog/25-best-paid-media-agencies-that-turn-ad-spend-into-revenue/")</f>
        <v>https://directiveconsulting.com/blog/25-best-paid-media-agencies-that-turn-ad-spend-into-revenue/</v>
      </c>
      <c r="B10" s="15" t="str">
        <f>IFERROR(__xludf.DUMMYFUNCTION("""COMPUTED_VALUE"""),"25 Best Paid Media Agencies For B2B - Directive")</f>
        <v>25 Best Paid Media Agencies For B2B - Directive</v>
      </c>
      <c r="C10" s="14" t="str">
        <f>IFERROR(__xludf.DUMMYFUNCTION("""COMPUTED_VALUE"""),"directiveconsulting.com")</f>
        <v>directiveconsulting.com</v>
      </c>
      <c r="D10" s="15" t="str">
        <f>IFERROR(__xludf.DUMMYFUNCTION("""COMPUTED_VALUE"""),"LISTICLE")</f>
        <v>LISTICLE</v>
      </c>
      <c r="E10" s="15" t="str">
        <f>IFERROR(__xludf.DUMMYFUNCTION("""COMPUTED_VALUE"""),"COMPETITOR")</f>
        <v>COMPETITOR</v>
      </c>
      <c r="F10" s="15" t="str">
        <f>IFERROR(__xludf.DUMMYFUNCTION("""COMPUTED_VALUE"""),"Listicle")</f>
        <v>Listicle</v>
      </c>
      <c r="G10" s="15" t="b">
        <f>IFERROR(__xludf.DUMMYFUNCTION("""COMPUTED_VALUE"""),FALSE)</f>
        <v>0</v>
      </c>
      <c r="H10" s="15" t="str">
        <f>IFERROR(__xludf.DUMMYFUNCTION("""COMPUTED_VALUE"""),"Directive Consulting, Jellyfish, Brainlabs, Dept, Wpromote, Merkle, WebFX, Disruptive Advertising, Dentsu, Impression")</f>
        <v>Directive Consulting, Jellyfish, Brainlabs, Dept, Wpromote, Merkle, WebFX, Disruptive Advertising, Dentsu, Impression</v>
      </c>
      <c r="I10" s="15">
        <f>IFERROR(__xludf.DUMMYFUNCTION("""COMPUTED_VALUE"""),1.0)</f>
        <v>1</v>
      </c>
      <c r="J10" s="15">
        <f>IFERROR(__xludf.DUMMYFUNCTION("""COMPUTED_VALUE"""),0.0)</f>
        <v>0</v>
      </c>
      <c r="K10" s="15">
        <f>IFERROR(__xludf.DUMMYFUNCTION("""COMPUTED_VALUE"""),0.0)</f>
        <v>0</v>
      </c>
    </row>
    <row r="11" ht="15.75" customHeight="1">
      <c r="A11" s="14" t="str">
        <f>IFERROR(__xludf.DUMMYFUNCTION("""COMPUTED_VALUE"""),"https://directiveconsulting.com/uk/blog/top-25-b2b-enterprise-marketing-agencies/")</f>
        <v>https://directiveconsulting.com/uk/blog/top-25-b2b-enterprise-marketing-agencies/</v>
      </c>
      <c r="B11" s="15" t="str">
        <f>IFERROR(__xludf.DUMMYFUNCTION("""COMPUTED_VALUE"""),"25 Best Enterprise Marketing Agencies For B2B - Directive")</f>
        <v>25 Best Enterprise Marketing Agencies For B2B - Directive</v>
      </c>
      <c r="C11" s="14" t="str">
        <f>IFERROR(__xludf.DUMMYFUNCTION("""COMPUTED_VALUE"""),"directiveconsulting.com")</f>
        <v>directiveconsulting.com</v>
      </c>
      <c r="D11" s="15" t="str">
        <f>IFERROR(__xludf.DUMMYFUNCTION("""COMPUTED_VALUE"""),"LISTICLE")</f>
        <v>LISTICLE</v>
      </c>
      <c r="E11" s="15" t="str">
        <f>IFERROR(__xludf.DUMMYFUNCTION("""COMPUTED_VALUE"""),"COMPETITOR")</f>
        <v>COMPETITOR</v>
      </c>
      <c r="F11" s="15" t="str">
        <f>IFERROR(__xludf.DUMMYFUNCTION("""COMPUTED_VALUE"""),"Listicle")</f>
        <v>Listicle</v>
      </c>
      <c r="G11" s="15" t="b">
        <f>IFERROR(__xludf.DUMMYFUNCTION("""COMPUTED_VALUE"""),FALSE)</f>
        <v>0</v>
      </c>
      <c r="H11" s="15" t="str">
        <f>IFERROR(__xludf.DUMMYFUNCTION("""COMPUTED_VALUE"""),"Directive Consulting, Merkle, Accenture Song, Deloitte Digital, Wpromote, Dentsu, Ogilvy, Brainlabs, PwC, Monks, Momentum, Push")</f>
        <v>Directive Consulting, Merkle, Accenture Song, Deloitte Digital, Wpromote, Dentsu, Ogilvy, Brainlabs, PwC, Monks, Momentum, Push</v>
      </c>
      <c r="I11" s="15">
        <f>IFERROR(__xludf.DUMMYFUNCTION("""COMPUTED_VALUE"""),1.0)</f>
        <v>1</v>
      </c>
      <c r="J11" s="15">
        <f>IFERROR(__xludf.DUMMYFUNCTION("""COMPUTED_VALUE"""),0.0)</f>
        <v>0</v>
      </c>
      <c r="K11" s="15">
        <f>IFERROR(__xludf.DUMMYFUNCTION("""COMPUTED_VALUE"""),2.0)</f>
        <v>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Graysen%20Christopher"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s>
  <drawing r:id="rId2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58.63"/>
    <col customWidth="1" min="2" max="2" width="64.0"/>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All'!A2:A1000)),""designrush.com"")
  ),
  """"
)"),"https://www.designrush.com/agency/creative-agencies/uk")</f>
        <v>https://www.designrush.com/agency/creative-agencies/uk</v>
      </c>
      <c r="B2" s="15" t="str">
        <f>IFERROR(__xludf.DUMMYFUNCTION("""COMPUTED_VALUE"""),"Top Creative Agencies in the United Kingdom | 2026")</f>
        <v>Top Creative Agencies in the United Kingdom | 2026</v>
      </c>
      <c r="C2" s="14" t="str">
        <f>IFERROR(__xludf.DUMMYFUNCTION("""COMPUTED_VALUE"""),"designrush.com")</f>
        <v>designrush.com</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IFERROR(__xludf.DUMMYFUNCTION("""COMPUTED_VALUE"""),"Huge, Directive Consulting")</f>
        <v>Huge, Directive Consulting</v>
      </c>
      <c r="I2" s="15">
        <f>IFERROR(__xludf.DUMMYFUNCTION("""COMPUTED_VALUE"""),31.0)</f>
        <v>31</v>
      </c>
      <c r="J2" s="15">
        <f>IFERROR(__xludf.DUMMYFUNCTION("""COMPUTED_VALUE"""),0.03)</f>
        <v>0.03</v>
      </c>
      <c r="K2" s="15">
        <f>IFERROR(__xludf.DUMMYFUNCTION("""COMPUTED_VALUE"""),0.03)</f>
        <v>0.03</v>
      </c>
    </row>
    <row r="3" ht="15.75" customHeight="1">
      <c r="A3" s="14" t="str">
        <f>IFERROR(__xludf.DUMMYFUNCTION("""COMPUTED_VALUE"""),"https://www.designrush.com/agency/digital-marketing/uk")</f>
        <v>https://www.designrush.com/agency/digital-marketing/uk</v>
      </c>
      <c r="B3" s="15" t="str">
        <f>IFERROR(__xludf.DUMMYFUNCTION("""COMPUTED_VALUE"""),"Top Digital Marketing Agencies in the United Kingdom | 2026")</f>
        <v>Top Digital Marketing Agencies in the United Kingdom | 2026</v>
      </c>
      <c r="C3" s="14" t="str">
        <f>IFERROR(__xludf.DUMMYFUNCTION("""COMPUTED_VALUE"""),"designrush.com")</f>
        <v>designrush.com</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IFERROR(__xludf.DUMMYFUNCTION("""COMPUTED_VALUE"""),"Bird Marketing, Genie Crawl, Nielsen, Favoured, WebFX, Directive Consulting, Momentum")</f>
        <v>Bird Marketing, Genie Crawl, Nielsen, Favoured, WebFX, Directive Consulting, Momentum</v>
      </c>
      <c r="I3" s="15">
        <f>IFERROR(__xludf.DUMMYFUNCTION("""COMPUTED_VALUE"""),18.0)</f>
        <v>18</v>
      </c>
      <c r="J3" s="15">
        <f>IFERROR(__xludf.DUMMYFUNCTION("""COMPUTED_VALUE"""),0.02)</f>
        <v>0.02</v>
      </c>
      <c r="K3" s="15">
        <f>IFERROR(__xludf.DUMMYFUNCTION("""COMPUTED_VALUE"""),0.0)</f>
        <v>0</v>
      </c>
    </row>
    <row r="4" ht="15.75" customHeight="1">
      <c r="A4" s="14" t="str">
        <f>IFERROR(__xludf.DUMMYFUNCTION("""COMPUTED_VALUE"""),"https://www.designrush.com/agency/social-media-marketing/uk")</f>
        <v>https://www.designrush.com/agency/social-media-marketing/uk</v>
      </c>
      <c r="B4" s="15" t="str">
        <f>IFERROR(__xludf.DUMMYFUNCTION("""COMPUTED_VALUE"""),"Top Social Media Marketing Companies in the United Kingdom | 2026")</f>
        <v>Top Social Media Marketing Companies in the United Kingdom | 2026</v>
      </c>
      <c r="C4" s="14" t="str">
        <f>IFERROR(__xludf.DUMMYFUNCTION("""COMPUTED_VALUE"""),"designrush.com")</f>
        <v>designrush.com</v>
      </c>
      <c r="D4" s="15" t="str">
        <f>IFERROR(__xludf.DUMMYFUNCTION("""COMPUTED_VALUE"""),"CATEGORY_PAGE")</f>
        <v>CATEGORY_PAGE</v>
      </c>
      <c r="E4" s="15" t="str">
        <f>IFERROR(__xludf.DUMMYFUNCTION("""COMPUTED_VALUE"""),"CORPORATE")</f>
        <v>CORPORATE</v>
      </c>
      <c r="F4" s="15" t="str">
        <f>IFERROR(__xludf.DUMMYFUNCTION("""COMPUTED_VALUE"""),"Category Page")</f>
        <v>Category Page</v>
      </c>
      <c r="G4" s="15" t="b">
        <f>IFERROR(__xludf.DUMMYFUNCTION("""COMPUTED_VALUE"""),FALSE)</f>
        <v>0</v>
      </c>
      <c r="H4" s="15" t="str">
        <f>IFERROR(__xludf.DUMMYFUNCTION("""COMPUTED_VALUE"""),"WebFX, Nielsen, Bird Marketing, Genie Crawl, Favoured, Impression, The SEO Works")</f>
        <v>WebFX, Nielsen, Bird Marketing, Genie Crawl, Favoured, Impression, The SEO Works</v>
      </c>
      <c r="I4" s="15">
        <f>IFERROR(__xludf.DUMMYFUNCTION("""COMPUTED_VALUE"""),5.0)</f>
        <v>5</v>
      </c>
      <c r="J4" s="15">
        <f>IFERROR(__xludf.DUMMYFUNCTION("""COMPUTED_VALUE"""),0.0)</f>
        <v>0</v>
      </c>
      <c r="K4" s="15">
        <f>IFERROR(__xludf.DUMMYFUNCTION("""COMPUTED_VALUE"""),0.0)</f>
        <v>0</v>
      </c>
    </row>
    <row r="5" ht="15.75" customHeight="1">
      <c r="A5" s="14" t="str">
        <f>IFERROR(__xludf.DUMMYFUNCTION("""COMPUTED_VALUE"""),"https://www.designrush.com/agency/ad-agencies/uk")</f>
        <v>https://www.designrush.com/agency/ad-agencies/uk</v>
      </c>
      <c r="B5" s="15" t="str">
        <f>IFERROR(__xludf.DUMMYFUNCTION("""COMPUTED_VALUE"""),"Top Advertising Agencies in the United Kingdom | 2026")</f>
        <v>Top Advertising Agencies in the United Kingdom | 2026</v>
      </c>
      <c r="C5" s="14" t="str">
        <f>IFERROR(__xludf.DUMMYFUNCTION("""COMPUTED_VALUE"""),"designrush.com")</f>
        <v>designrush.com</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IFERROR(__xludf.DUMMYFUNCTION("""COMPUTED_VALUE"""),"Favoured, PPC Geeks, Passion Digital")</f>
        <v>Favoured, PPC Geeks, Passion Digital</v>
      </c>
      <c r="I5" s="15">
        <f>IFERROR(__xludf.DUMMYFUNCTION("""COMPUTED_VALUE"""),4.0)</f>
        <v>4</v>
      </c>
      <c r="J5" s="15">
        <f>IFERROR(__xludf.DUMMYFUNCTION("""COMPUTED_VALUE"""),0.0)</f>
        <v>0</v>
      </c>
      <c r="K5" s="15">
        <f>IFERROR(__xludf.DUMMYFUNCTION("""COMPUTED_VALUE"""),0.0)</f>
        <v>0</v>
      </c>
    </row>
    <row r="6" ht="15.75" customHeight="1">
      <c r="A6" s="14" t="str">
        <f>IFERROR(__xludf.DUMMYFUNCTION("""COMPUTED_VALUE"""),"https://www.designrush.com/agency/digital-marketing/artificial-intelligence")</f>
        <v>https://www.designrush.com/agency/digital-marketing/artificial-intelligence</v>
      </c>
      <c r="B6" s="15" t="str">
        <f>IFERROR(__xludf.DUMMYFUNCTION("""COMPUTED_VALUE"""),"Top AI Marketing Companies in 2026")</f>
        <v>Top AI Marketing Companies in 2026</v>
      </c>
      <c r="C6" s="14" t="str">
        <f>IFERROR(__xludf.DUMMYFUNCTION("""COMPUTED_VALUE"""),"designrush.com")</f>
        <v>designrush.com</v>
      </c>
      <c r="D6" s="15" t="str">
        <f>IFERROR(__xludf.DUMMYFUNCTION("""COMPUTED_VALUE"""),"LISTICLE")</f>
        <v>LISTICLE</v>
      </c>
      <c r="E6" s="15" t="str">
        <f>IFERROR(__xludf.DUMMYFUNCTION("""COMPUTED_VALUE"""),"CORPORATE")</f>
        <v>CORPORATE</v>
      </c>
      <c r="F6" s="15" t="str">
        <f>IFERROR(__xludf.DUMMYFUNCTION("""COMPUTED_VALUE"""),"Listicle")</f>
        <v>Listicle</v>
      </c>
      <c r="G6" s="15" t="b">
        <f>IFERROR(__xludf.DUMMYFUNCTION("""COMPUTED_VALUE"""),FALSE)</f>
        <v>0</v>
      </c>
      <c r="H6" s="15" t="str">
        <f>IFERROR(__xludf.DUMMYFUNCTION("""COMPUTED_VALUE"""),"Single Grain, Jellyfish, Push, Huge, Found, Disruptive Advertising, Ninja Promo, PwC, Impression, WebFX")</f>
        <v>Single Grain, Jellyfish, Push, Huge, Found, Disruptive Advertising, Ninja Promo, PwC, Impression, WebFX</v>
      </c>
      <c r="I6" s="15">
        <f>IFERROR(__xludf.DUMMYFUNCTION("""COMPUTED_VALUE"""),2.0)</f>
        <v>2</v>
      </c>
      <c r="J6" s="15">
        <f>IFERROR(__xludf.DUMMYFUNCTION("""COMPUTED_VALUE"""),0.0)</f>
        <v>0</v>
      </c>
      <c r="K6" s="15">
        <f>IFERROR(__xludf.DUMMYFUNCTION("""COMPUTED_VALUE"""),0.0)</f>
        <v>0</v>
      </c>
    </row>
    <row r="7" ht="15.75" customHeight="1">
      <c r="A7" s="14" t="str">
        <f>IFERROR(__xludf.DUMMYFUNCTION("""COMPUTED_VALUE"""),"https://www.designrush.com/agency/digital-marketing/performance-marketing-agencies")</f>
        <v>https://www.designrush.com/agency/digital-marketing/performance-marketing-agencies</v>
      </c>
      <c r="B7" s="15" t="str">
        <f>IFERROR(__xludf.DUMMYFUNCTION("""COMPUTED_VALUE"""),"Top Performance Marketing Agencies in 2026")</f>
        <v>Top Performance Marketing Agencies in 2026</v>
      </c>
      <c r="C7" s="14" t="str">
        <f>IFERROR(__xludf.DUMMYFUNCTION("""COMPUTED_VALUE"""),"designrush.com")</f>
        <v>designrush.com</v>
      </c>
      <c r="D7" s="15" t="str">
        <f>IFERROR(__xludf.DUMMYFUNCTION("""COMPUTED_VALUE"""),"LISTICLE")</f>
        <v>LISTICLE</v>
      </c>
      <c r="E7" s="15" t="str">
        <f>IFERROR(__xludf.DUMMYFUNCTION("""COMPUTED_VALUE"""),"CORPORATE")</f>
        <v>CORPORATE</v>
      </c>
      <c r="F7" s="15" t="str">
        <f>IFERROR(__xludf.DUMMYFUNCTION("""COMPUTED_VALUE"""),"Listicle")</f>
        <v>Listicle</v>
      </c>
      <c r="G7" s="15" t="b">
        <f>IFERROR(__xludf.DUMMYFUNCTION("""COMPUTED_VALUE"""),FALSE)</f>
        <v>0</v>
      </c>
      <c r="H7" s="15" t="str">
        <f>IFERROR(__xludf.DUMMYFUNCTION("""COMPUTED_VALUE"""),"Wpromote, Polaris, NoGood, Power Digital, Found, Huge, Push, Disruptive Advertising, Impression, PwC, Propeller, Dept")</f>
        <v>Wpromote, Polaris, NoGood, Power Digital, Found, Huge, Push, Disruptive Advertising, Impression, PwC, Propeller, Dept</v>
      </c>
      <c r="I7" s="15">
        <f>IFERROR(__xludf.DUMMYFUNCTION("""COMPUTED_VALUE"""),2.0)</f>
        <v>2</v>
      </c>
      <c r="J7" s="15">
        <f>IFERROR(__xludf.DUMMYFUNCTION("""COMPUTED_VALUE"""),0.0)</f>
        <v>0</v>
      </c>
      <c r="K7" s="15">
        <f>IFERROR(__xludf.DUMMYFUNCTION("""COMPUTED_VALUE"""),0.0)</f>
        <v>0</v>
      </c>
    </row>
    <row r="8" ht="15.75" customHeight="1">
      <c r="A8" s="14" t="str">
        <f>IFERROR(__xludf.DUMMYFUNCTION("""COMPUTED_VALUE"""),"https://www.designrush.com/agency/paid-media-pay-per-click/display-advertising-agency")</f>
        <v>https://www.designrush.com/agency/paid-media-pay-per-click/display-advertising-agency</v>
      </c>
      <c r="B8" s="15" t="str">
        <f>IFERROR(__xludf.DUMMYFUNCTION("""COMPUTED_VALUE"""),"Top Display Advertising Agencies in 2026")</f>
        <v>Top Display Advertising Agencies in 2026</v>
      </c>
      <c r="C8" s="14" t="str">
        <f>IFERROR(__xludf.DUMMYFUNCTION("""COMPUTED_VALUE"""),"designrush.com")</f>
        <v>designrush.com</v>
      </c>
      <c r="D8" s="15" t="str">
        <f>IFERROR(__xludf.DUMMYFUNCTION("""COMPUTED_VALUE"""),"LISTICLE")</f>
        <v>LISTICLE</v>
      </c>
      <c r="E8" s="15" t="str">
        <f>IFERROR(__xludf.DUMMYFUNCTION("""COMPUTED_VALUE"""),"CORPORATE")</f>
        <v>CORPORATE</v>
      </c>
      <c r="F8" s="15" t="str">
        <f>IFERROR(__xludf.DUMMYFUNCTION("""COMPUTED_VALUE"""),"Listicle")</f>
        <v>Listicle</v>
      </c>
      <c r="G8" s="15" t="b">
        <f>IFERROR(__xludf.DUMMYFUNCTION("""COMPUTED_VALUE"""),FALSE)</f>
        <v>0</v>
      </c>
      <c r="H8" s="15" t="str">
        <f>IFERROR(__xludf.DUMMYFUNCTION("""COMPUTED_VALUE"""),"Push, Huge, Disruptive Advertising, Bird Marketing, Impression, WebFX, Found")</f>
        <v>Push, Huge, Disruptive Advertising, Bird Marketing, Impression, WebFX, Found</v>
      </c>
      <c r="I8" s="15">
        <f>IFERROR(__xludf.DUMMYFUNCTION("""COMPUTED_VALUE"""),2.0)</f>
        <v>2</v>
      </c>
      <c r="J8" s="15">
        <f>IFERROR(__xludf.DUMMYFUNCTION("""COMPUTED_VALUE"""),0.0)</f>
        <v>0</v>
      </c>
      <c r="K8" s="15">
        <f>IFERROR(__xludf.DUMMYFUNCTION("""COMPUTED_VALUE"""),1.0)</f>
        <v>1</v>
      </c>
    </row>
    <row r="9" ht="15.75" customHeight="1">
      <c r="A9" s="14" t="str">
        <f>IFERROR(__xludf.DUMMYFUNCTION("""COMPUTED_VALUE"""),"https://www.designrush.com/agency/digital-marketing/analytics")</f>
        <v>https://www.designrush.com/agency/digital-marketing/analytics</v>
      </c>
      <c r="B9" s="15" t="str">
        <f>IFERROR(__xludf.DUMMYFUNCTION("""COMPUTED_VALUE"""),"Top Marketing Analytics Agencies in 2026")</f>
        <v>Top Marketing Analytics Agencies in 2026</v>
      </c>
      <c r="C9" s="14" t="str">
        <f>IFERROR(__xludf.DUMMYFUNCTION("""COMPUTED_VALUE"""),"designrush.com")</f>
        <v>designrush.com</v>
      </c>
      <c r="D9" s="15" t="str">
        <f>IFERROR(__xludf.DUMMYFUNCTION("""COMPUTED_VALUE"""),"CATEGORY_PAGE")</f>
        <v>CATEGORY_PAGE</v>
      </c>
      <c r="E9" s="15" t="str">
        <f>IFERROR(__xludf.DUMMYFUNCTION("""COMPUTED_VALUE"""),"CORPORATE")</f>
        <v>CORPORATE</v>
      </c>
      <c r="F9" s="15" t="str">
        <f>IFERROR(__xludf.DUMMYFUNCTION("""COMPUTED_VALUE"""),"Category Page")</f>
        <v>Category Page</v>
      </c>
      <c r="G9" s="15" t="b">
        <f>IFERROR(__xludf.DUMMYFUNCTION("""COMPUTED_VALUE"""),FALSE)</f>
        <v>0</v>
      </c>
      <c r="H9" s="15" t="str">
        <f>IFERROR(__xludf.DUMMYFUNCTION("""COMPUTED_VALUE"""),"Huge, Monks, Found, Ignite Visibility, Ruler Analytics")</f>
        <v>Huge, Monks, Found, Ignite Visibility, Ruler Analytics</v>
      </c>
      <c r="I9" s="15">
        <f>IFERROR(__xludf.DUMMYFUNCTION("""COMPUTED_VALUE"""),1.0)</f>
        <v>1</v>
      </c>
      <c r="J9" s="15">
        <f>IFERROR(__xludf.DUMMYFUNCTION("""COMPUTED_VALUE"""),0.0)</f>
        <v>0</v>
      </c>
      <c r="K9" s="15">
        <f>IFERROR(__xludf.DUMMYFUNCTION("""COMPUTED_VALUE"""),0.0)</f>
        <v>0</v>
      </c>
    </row>
    <row r="10" ht="15.75" customHeight="1">
      <c r="A10" s="14" t="str">
        <f>IFERROR(__xludf.DUMMYFUNCTION("""COMPUTED_VALUE"""),"https://www.designrush.com/agency/digital-marketing/integrated-marketing")</f>
        <v>https://www.designrush.com/agency/digital-marketing/integrated-marketing</v>
      </c>
      <c r="B10" s="15" t="str">
        <f>IFERROR(__xludf.DUMMYFUNCTION("""COMPUTED_VALUE"""),"Top Integrated Marketing Agencies in 2026")</f>
        <v>Top Integrated Marketing Agencies in 2026</v>
      </c>
      <c r="C10" s="14" t="str">
        <f>IFERROR(__xludf.DUMMYFUNCTION("""COMPUTED_VALUE"""),"designrush.com")</f>
        <v>designrush.com</v>
      </c>
      <c r="D10" s="15" t="str">
        <f>IFERROR(__xludf.DUMMYFUNCTION("""COMPUTED_VALUE"""),"LISTICLE")</f>
        <v>LISTICLE</v>
      </c>
      <c r="E10" s="15" t="str">
        <f>IFERROR(__xludf.DUMMYFUNCTION("""COMPUTED_VALUE"""),"CORPORATE")</f>
        <v>CORPORATE</v>
      </c>
      <c r="F10" s="15" t="str">
        <f>IFERROR(__xludf.DUMMYFUNCTION("""COMPUTED_VALUE"""),"Listicle")</f>
        <v>Listicle</v>
      </c>
      <c r="G10" s="15" t="b">
        <f>IFERROR(__xludf.DUMMYFUNCTION("""COMPUTED_VALUE"""),FALSE)</f>
        <v>0</v>
      </c>
      <c r="H10" s="15" t="str">
        <f>IFERROR(__xludf.DUMMYFUNCTION("""COMPUTED_VALUE"""),"Momentum, PwC, Wpromote")</f>
        <v>Momentum, PwC, Wpromote</v>
      </c>
      <c r="I10" s="15">
        <f>IFERROR(__xludf.DUMMYFUNCTION("""COMPUTED_VALUE"""),1.0)</f>
        <v>1</v>
      </c>
      <c r="J10" s="15">
        <f>IFERROR(__xludf.DUMMYFUNCTION("""COMPUTED_VALUE"""),0.0)</f>
        <v>0</v>
      </c>
      <c r="K10" s="15">
        <f>IFERROR(__xludf.DUMMYFUNCTION("""COMPUTED_VALUE"""),0.0)</f>
        <v>0</v>
      </c>
    </row>
    <row r="11" ht="15.75" customHeight="1">
      <c r="A11" s="14" t="str">
        <f>IFERROR(__xludf.DUMMYFUNCTION("""COMPUTED_VALUE"""),"https://www.designrush.com/agency/profile/the-good-marketer")</f>
        <v>https://www.designrush.com/agency/profile/the-good-marketer</v>
      </c>
      <c r="B11" s="15" t="str">
        <f>IFERROR(__xludf.DUMMYFUNCTION("""COMPUTED_VALUE"""),"The Good Marketer Reviews | View Portfolios | DesignRush")</f>
        <v>The Good Marketer Reviews | View Portfolios | DesignRush</v>
      </c>
      <c r="C11" s="14" t="str">
        <f>IFERROR(__xludf.DUMMYFUNCTION("""COMPUTED_VALUE"""),"designrush.com")</f>
        <v>designrush.com</v>
      </c>
      <c r="D11" s="15" t="str">
        <f>IFERROR(__xludf.DUMMYFUNCTION("""COMPUTED_VALUE"""),"PROFILE")</f>
        <v>PROFILE</v>
      </c>
      <c r="E11" s="15" t="str">
        <f>IFERROR(__xludf.DUMMYFUNCTION("""COMPUTED_VALUE"""),"CORPORATE")</f>
        <v>CORPORATE</v>
      </c>
      <c r="F11" s="15" t="str">
        <f>IFERROR(__xludf.DUMMYFUNCTION("""COMPUTED_VALUE"""),"Profile")</f>
        <v>Profile</v>
      </c>
      <c r="G11" s="15" t="b">
        <f>IFERROR(__xludf.DUMMYFUNCTION("""COMPUTED_VALUE"""),FALSE)</f>
        <v>0</v>
      </c>
      <c r="H11" s="15" t="str">
        <f>IFERROR(__xludf.DUMMYFUNCTION("""COMPUTED_VALUE"""),"The Good Marketer, WebFX, Found")</f>
        <v>The Good Marketer, WebFX, Found</v>
      </c>
      <c r="I11" s="15">
        <f>IFERROR(__xludf.DUMMYFUNCTION("""COMPUTED_VALUE"""),1.0)</f>
        <v>1</v>
      </c>
      <c r="J11" s="15">
        <f>IFERROR(__xludf.DUMMYFUNCTION("""COMPUTED_VALUE"""),0.0)</f>
        <v>0</v>
      </c>
      <c r="K11" s="15">
        <f>IFERROR(__xludf.DUMMYFUNCTION("""COMPUTED_VALUE"""),1.0)</f>
        <v>1</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s>
  <drawing r:id="rId2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5" t="str">
        <f>IFERROR(__xludf.DUMMYFUNCTION("IFERROR(
  FILTER(
    'PEEC - URLs - All'!A2:G1000,
    REGEXMATCH(LOWER(TO_TEXT('PEEC - URLs - All'!A2:A1000)),""tripadvisor"")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All'!A2:A1000)),""reddit"")
  ),
  """"
)"),"https://www.reddit.com/r/advertising/comments/n8z67i/best_uk_based_agencies/")</f>
        <v>https://www.reddit.com/r/advertising/comments/n8z67i/best_uk_based_agencies/</v>
      </c>
      <c r="B2" s="15" t="str">
        <f>IFERROR(__xludf.DUMMYFUNCTION("""COMPUTED_VALUE"""),"Best UK Based Agencies?")</f>
        <v>Best UK Based Agencies?</v>
      </c>
      <c r="C2" s="14" t="str">
        <f>IFERROR(__xludf.DUMMYFUNCTION("""COMPUTED_VALUE"""),"reddit.com")</f>
        <v>reddit.com</v>
      </c>
      <c r="D2" s="15" t="str">
        <f>IFERROR(__xludf.DUMMYFUNCTION("""COMPUTED_VALUE"""),"DISCUSSION")</f>
        <v>DISCUSSION</v>
      </c>
      <c r="E2" s="15" t="str">
        <f>IFERROR(__xludf.DUMMYFUNCTION("""COMPUTED_VALUE"""),"UGC")</f>
        <v>UGC</v>
      </c>
      <c r="F2" s="15" t="str">
        <f>IFERROR(__xludf.DUMMYFUNCTION("""COMPUTED_VALUE"""),"Discussion")</f>
        <v>Discussion</v>
      </c>
      <c r="G2" s="15" t="b">
        <f>IFERROR(__xludf.DUMMYFUNCTION("""COMPUTED_VALUE"""),FALSE)</f>
        <v>0</v>
      </c>
      <c r="H2" s="15" t="str">
        <f>IFERROR(__xludf.DUMMYFUNCTION("""COMPUTED_VALUE"""),"Lucky Generals, AMV BBDO, VCCP, Uncommon Creative Studio, Mother London, BBH London")</f>
        <v>Lucky Generals, AMV BBDO, VCCP, Uncommon Creative Studio, Mother London, BBH London</v>
      </c>
      <c r="I2" s="15">
        <f>IFERROR(__xludf.DUMMYFUNCTION("""COMPUTED_VALUE"""),14.0)</f>
        <v>14</v>
      </c>
      <c r="J2" s="15">
        <f>IFERROR(__xludf.DUMMYFUNCTION("""COMPUTED_VALUE"""),0.01)</f>
        <v>0.01</v>
      </c>
      <c r="K2" s="15">
        <f>IFERROR(__xludf.DUMMYFUNCTION("""COMPUTED_VALUE"""),1.21)</f>
        <v>1.21</v>
      </c>
    </row>
    <row r="3" ht="15.75" customHeight="1">
      <c r="A3" s="14" t="str">
        <f>IFERROR(__xludf.DUMMYFUNCTION("""COMPUTED_VALUE"""),"https://www.reddit.com/r/Superframeworks/comments/1twfxf1/10_best_ai_seo_geoaeo_agencies_for_2026_no/")</f>
        <v>https://www.reddit.com/r/Superframeworks/comments/1twfxf1/10_best_ai_seo_geoaeo_agencies_for_2026_no/</v>
      </c>
      <c r="B3" s="15" t="str">
        <f>IFERROR(__xludf.DUMMYFUNCTION("""COMPUTED_VALUE"""),"10 Best AI SEO (GEO/AEO) Agencies for 2026: No Self-Ranking, Verified by Clutch Reviews and Real AI-Citation Proof")</f>
        <v>10 Best AI SEO (GEO/AEO) Agencies for 2026: No Self-Ranking, Verified by Clutch Reviews and Real AI-Citation Proof</v>
      </c>
      <c r="C3" s="14" t="str">
        <f>IFERROR(__xludf.DUMMYFUNCTION("""COMPUTED_VALUE"""),"reddit.com")</f>
        <v>reddit.com</v>
      </c>
      <c r="D3" s="15" t="str">
        <f>IFERROR(__xludf.DUMMYFUNCTION("""COMPUTED_VALUE"""),"DISCUSSION")</f>
        <v>DISCUSSION</v>
      </c>
      <c r="E3" s="15" t="str">
        <f>IFERROR(__xludf.DUMMYFUNCTION("""COMPUTED_VALUE"""),"UGC")</f>
        <v>UGC</v>
      </c>
      <c r="F3" s="15" t="str">
        <f>IFERROR(__xludf.DUMMYFUNCTION("""COMPUTED_VALUE"""),"Discussion")</f>
        <v>Discussion</v>
      </c>
      <c r="G3" s="15" t="b">
        <f>IFERROR(__xludf.DUMMYFUNCTION("""COMPUTED_VALUE"""),FALSE)</f>
        <v>0</v>
      </c>
      <c r="H3" s="15" t="str">
        <f>IFERROR(__xludf.DUMMYFUNCTION("""COMPUTED_VALUE"""),"Single Grain, NoGood")</f>
        <v>Single Grain, NoGood</v>
      </c>
      <c r="I3" s="15">
        <f>IFERROR(__xludf.DUMMYFUNCTION("""COMPUTED_VALUE"""),8.0)</f>
        <v>8</v>
      </c>
      <c r="J3" s="15">
        <f>IFERROR(__xludf.DUMMYFUNCTION("""COMPUTED_VALUE"""),0.01)</f>
        <v>0.01</v>
      </c>
      <c r="K3" s="15">
        <f>IFERROR(__xludf.DUMMYFUNCTION("""COMPUTED_VALUE"""),2.0)</f>
        <v>2</v>
      </c>
    </row>
    <row r="4" ht="15.75" customHeight="1">
      <c r="A4" s="14" t="str">
        <f>IFERROR(__xludf.DUMMYFUNCTION("""COMPUTED_VALUE"""),"https://www.reddit.com/r/Topagencies/comments/1spi0q0/top_ppc_agencies_in_england_packages_pricing_cost/")</f>
        <v>https://www.reddit.com/r/Topagencies/comments/1spi0q0/top_ppc_agencies_in_england_packages_pricing_cost/</v>
      </c>
      <c r="B4" s="15" t="str">
        <f>IFERROR(__xludf.DUMMYFUNCTION("""COMPUTED_VALUE"""),"Top PPC Agencies in England — Packages, Pricing, Cost &amp;amp; Services Guide")</f>
        <v>Top PPC Agencies in England — Packages, Pricing, Cost &amp;amp; Services Guide</v>
      </c>
      <c r="C4" s="14" t="str">
        <f>IFERROR(__xludf.DUMMYFUNCTION("""COMPUTED_VALUE"""),"reddit.com")</f>
        <v>reddit.com</v>
      </c>
      <c r="D4" s="15" t="str">
        <f>IFERROR(__xludf.DUMMYFUNCTION("""COMPUTED_VALUE"""),"DISCUSSION")</f>
        <v>DISCUSSION</v>
      </c>
      <c r="E4" s="15" t="str">
        <f>IFERROR(__xludf.DUMMYFUNCTION("""COMPUTED_VALUE"""),"UGC")</f>
        <v>UGC</v>
      </c>
      <c r="F4" s="15" t="str">
        <f>IFERROR(__xludf.DUMMYFUNCTION("""COMPUTED_VALUE"""),"Discussion")</f>
        <v>Discussion</v>
      </c>
      <c r="G4" s="15" t="b">
        <f>IFERROR(__xludf.DUMMYFUNCTION("""COMPUTED_VALUE"""),FALSE)</f>
        <v>0</v>
      </c>
      <c r="H4" s="15" t="str">
        <f>IFERROR(__xludf.DUMMYFUNCTION("""COMPUTED_VALUE"""),"Impression, PPC Geeks, Bind Media, The SEO Works, Passion Digital")</f>
        <v>Impression, PPC Geeks, Bind Media, The SEO Works, Passion Digital</v>
      </c>
      <c r="I4" s="15">
        <f>IFERROR(__xludf.DUMMYFUNCTION("""COMPUTED_VALUE"""),8.0)</f>
        <v>8</v>
      </c>
      <c r="J4" s="15">
        <f>IFERROR(__xludf.DUMMYFUNCTION("""COMPUTED_VALUE"""),0.01)</f>
        <v>0.01</v>
      </c>
      <c r="K4" s="15">
        <f>IFERROR(__xludf.DUMMYFUNCTION("""COMPUTED_VALUE"""),1.88)</f>
        <v>1.88</v>
      </c>
    </row>
    <row r="5" ht="15.75" customHeight="1">
      <c r="A5" s="14" t="str">
        <f>IFERROR(__xludf.DUMMYFUNCTION("""COMPUTED_VALUE"""),"https://www.reddit.com/r/MktgSupermarket/comments/1qom30j/compiled_a_directory_of_25_ai_marketing_agencies/")</f>
        <v>https://www.reddit.com/r/MktgSupermarket/comments/1qom30j/compiled_a_directory_of_25_ai_marketing_agencies/</v>
      </c>
      <c r="B5" s="15" t="str">
        <f>IFERROR(__xludf.DUMMYFUNCTION("""COMPUTED_VALUE"""),"Compiled a directory of 25 AI marketing agencies — here's the breakdown by category")</f>
        <v>Compiled a directory of 25 AI marketing agencies — here's the breakdown by category</v>
      </c>
      <c r="C5" s="14" t="str">
        <f>IFERROR(__xludf.DUMMYFUNCTION("""COMPUTED_VALUE"""),"reddit.com")</f>
        <v>reddit.com</v>
      </c>
      <c r="D5" s="15" t="str">
        <f>IFERROR(__xludf.DUMMYFUNCTION("""COMPUTED_VALUE"""),"DISCUSSION")</f>
        <v>DISCUSSION</v>
      </c>
      <c r="E5" s="15" t="str">
        <f>IFERROR(__xludf.DUMMYFUNCTION("""COMPUTED_VALUE"""),"UGC")</f>
        <v>UGC</v>
      </c>
      <c r="F5" s="15" t="str">
        <f>IFERROR(__xludf.DUMMYFUNCTION("""COMPUTED_VALUE"""),"Discussion")</f>
        <v>Discussion</v>
      </c>
      <c r="G5" s="15" t="b">
        <f>IFERROR(__xludf.DUMMYFUNCTION("""COMPUTED_VALUE"""),FALSE)</f>
        <v>0</v>
      </c>
      <c r="H5" s="15" t="str">
        <f>IFERROR(__xludf.DUMMYFUNCTION("""COMPUTED_VALUE"""),"Single Grain, Superside, Dept, NoGood, Ninja Promo, Omniscient Digital, Hallam, Favoured")</f>
        <v>Single Grain, Superside, Dept, NoGood, Ninja Promo, Omniscient Digital, Hallam, Favoured</v>
      </c>
      <c r="I5" s="15">
        <f>IFERROR(__xludf.DUMMYFUNCTION("""COMPUTED_VALUE"""),7.0)</f>
        <v>7</v>
      </c>
      <c r="J5" s="15">
        <f>IFERROR(__xludf.DUMMYFUNCTION("""COMPUTED_VALUE"""),0.01)</f>
        <v>0.01</v>
      </c>
      <c r="K5" s="15">
        <f>IFERROR(__xludf.DUMMYFUNCTION("""COMPUTED_VALUE"""),2.29)</f>
        <v>2.29</v>
      </c>
    </row>
    <row r="6" ht="15.75" customHeight="1">
      <c r="A6" s="14" t="str">
        <f>IFERROR(__xludf.DUMMYFUNCTION("""COMPUTED_VALUE"""),"https://www.reddit.com/r/aeo/comments/1sf4z2h/what_are_the_top_ai_visibility_agencies_in_the_uk/")</f>
        <v>https://www.reddit.com/r/aeo/comments/1sf4z2h/what_are_the_top_ai_visibility_agencies_in_the_uk/</v>
      </c>
      <c r="B6" s="15" t="str">
        <f>IFERROR(__xludf.DUMMYFUNCTION("""COMPUTED_VALUE"""),"what are the top AI visibility agencies in the UK? Looking for recommendations")</f>
        <v>what are the top AI visibility agencies in the UK? Looking for recommendations</v>
      </c>
      <c r="C6" s="14" t="str">
        <f>IFERROR(__xludf.DUMMYFUNCTION("""COMPUTED_VALUE"""),"reddit.com")</f>
        <v>reddit.com</v>
      </c>
      <c r="D6" s="15" t="str">
        <f>IFERROR(__xludf.DUMMYFUNCTION("""COMPUTED_VALUE"""),"DISCUSSION")</f>
        <v>DISCUSSION</v>
      </c>
      <c r="E6" s="15" t="str">
        <f>IFERROR(__xludf.DUMMYFUNCTION("""COMPUTED_VALUE"""),"UGC")</f>
        <v>UGC</v>
      </c>
      <c r="F6" s="15" t="str">
        <f>IFERROR(__xludf.DUMMYFUNCTION("""COMPUTED_VALUE"""),"Discussion")</f>
        <v>Discussion</v>
      </c>
      <c r="G6" s="15" t="b">
        <f>IFERROR(__xludf.DUMMYFUNCTION("""COMPUTED_VALUE"""),FALSE)</f>
        <v>0</v>
      </c>
      <c r="H6" s="15"/>
      <c r="I6" s="15">
        <f>IFERROR(__xludf.DUMMYFUNCTION("""COMPUTED_VALUE"""),7.0)</f>
        <v>7</v>
      </c>
      <c r="J6" s="15">
        <f>IFERROR(__xludf.DUMMYFUNCTION("""COMPUTED_VALUE"""),0.01)</f>
        <v>0.01</v>
      </c>
      <c r="K6" s="15">
        <f>IFERROR(__xludf.DUMMYFUNCTION("""COMPUTED_VALUE"""),2.14)</f>
        <v>2.14</v>
      </c>
    </row>
    <row r="7" ht="15.75" customHeight="1">
      <c r="A7" s="14" t="str">
        <f>IFERROR(__xludf.DUMMYFUNCTION("""COMPUTED_VALUE"""),"https://www.reddit.com/r/PPC/comments/15afa5c/best_agencies_for_paid_media_ld_uk/#:~:text=In%20the%20UK%2C%20many%20big,enjoy%20the%20outstanding%20training%20programs.")</f>
        <v>https://www.reddit.com/r/PPC/comments/15afa5c/best_agencies_for_paid_media_ld_uk/#:~:text=In%20the%20UK%2C%20many%20big,enjoy%20the%20outstanding%20training%20programs.</v>
      </c>
      <c r="B7" s="15" t="str">
        <f>IFERROR(__xludf.DUMMYFUNCTION("""COMPUTED_VALUE"""),"Best agencies for Paid Media L&amp;amp;D (UK)")</f>
        <v>Best agencies for Paid Media L&amp;amp;D (UK)</v>
      </c>
      <c r="C7" s="14" t="str">
        <f>IFERROR(__xludf.DUMMYFUNCTION("""COMPUTED_VALUE"""),"reddit.com")</f>
        <v>reddit.com</v>
      </c>
      <c r="D7" s="15" t="str">
        <f>IFERROR(__xludf.DUMMYFUNCTION("""COMPUTED_VALUE"""),"DISCUSSION")</f>
        <v>DISCUSSION</v>
      </c>
      <c r="E7" s="15" t="str">
        <f>IFERROR(__xludf.DUMMYFUNCTION("""COMPUTED_VALUE"""),"UGC")</f>
        <v>UGC</v>
      </c>
      <c r="F7" s="15" t="str">
        <f>IFERROR(__xludf.DUMMYFUNCTION("""COMPUTED_VALUE"""),"Discussion")</f>
        <v>Discussion</v>
      </c>
      <c r="G7" s="15" t="b">
        <f>IFERROR(__xludf.DUMMYFUNCTION("""COMPUTED_VALUE"""),FALSE)</f>
        <v>0</v>
      </c>
      <c r="H7" s="15" t="str">
        <f>IFERROR(__xludf.DUMMYFUNCTION("""COMPUTED_VALUE"""),"Merkle, Dentsu")</f>
        <v>Merkle, Dentsu</v>
      </c>
      <c r="I7" s="15">
        <f>IFERROR(__xludf.DUMMYFUNCTION("""COMPUTED_VALUE"""),6.0)</f>
        <v>6</v>
      </c>
      <c r="J7" s="15">
        <f>IFERROR(__xludf.DUMMYFUNCTION("""COMPUTED_VALUE"""),0.01)</f>
        <v>0.01</v>
      </c>
      <c r="K7" s="15">
        <f>IFERROR(__xludf.DUMMYFUNCTION("""COMPUTED_VALUE"""),1.0)</f>
        <v>1</v>
      </c>
    </row>
    <row r="8" ht="15.75" customHeight="1">
      <c r="A8" s="14" t="str">
        <f>IFERROR(__xludf.DUMMYFUNCTION("""COMPUTED_VALUE"""),"https://www.reddit.com/r/LLMTraffic/comments/1t44tn7/which_geo_marketing_agencies_are_actually_worth/")</f>
        <v>https://www.reddit.com/r/LLMTraffic/comments/1t44tn7/which_geo_marketing_agencies_are_actually_worth/</v>
      </c>
      <c r="B8" s="15" t="str">
        <f>IFERROR(__xludf.DUMMYFUNCTION("""COMPUTED_VALUE"""),"Which ""GEO marketing"" agencies are actually worth talking to?")</f>
        <v>Which "GEO marketing" agencies are actually worth talking to?</v>
      </c>
      <c r="C8" s="14" t="str">
        <f>IFERROR(__xludf.DUMMYFUNCTION("""COMPUTED_VALUE"""),"reddit.com")</f>
        <v>reddit.com</v>
      </c>
      <c r="D8" s="15" t="str">
        <f>IFERROR(__xludf.DUMMYFUNCTION("""COMPUTED_VALUE"""),"DISCUSSION")</f>
        <v>DISCUSSION</v>
      </c>
      <c r="E8" s="15" t="str">
        <f>IFERROR(__xludf.DUMMYFUNCTION("""COMPUTED_VALUE"""),"UGC")</f>
        <v>UGC</v>
      </c>
      <c r="F8" s="15" t="str">
        <f>IFERROR(__xludf.DUMMYFUNCTION("""COMPUTED_VALUE"""),"Discussion")</f>
        <v>Discussion</v>
      </c>
      <c r="G8" s="15" t="b">
        <f>IFERROR(__xludf.DUMMYFUNCTION("""COMPUTED_VALUE"""),FALSE)</f>
        <v>0</v>
      </c>
      <c r="H8" s="15" t="str">
        <f>IFERROR(__xludf.DUMMYFUNCTION("""COMPUTED_VALUE"""),"9AM, Measured")</f>
        <v>9AM, Measured</v>
      </c>
      <c r="I8" s="15">
        <f>IFERROR(__xludf.DUMMYFUNCTION("""COMPUTED_VALUE"""),4.0)</f>
        <v>4</v>
      </c>
      <c r="J8" s="15">
        <f>IFERROR(__xludf.DUMMYFUNCTION("""COMPUTED_VALUE"""),0.0)</f>
        <v>0</v>
      </c>
      <c r="K8" s="15">
        <f>IFERROR(__xludf.DUMMYFUNCTION("""COMPUTED_VALUE"""),1.75)</f>
        <v>1.75</v>
      </c>
    </row>
    <row r="9" ht="15.75" customHeight="1">
      <c r="A9" s="14" t="str">
        <f>IFERROR(__xludf.DUMMYFUNCTION("""COMPUTED_VALUE"""),"https://www.reddit.com/r/PPC/comments/1tkc7rr/which_ppc_agencies_are_actually_considered_the/")</f>
        <v>https://www.reddit.com/r/PPC/comments/1tkc7rr/which_ppc_agencies_are_actually_considered_the/</v>
      </c>
      <c r="B9" s="15" t="str">
        <f>IFERROR(__xludf.DUMMYFUNCTION("""COMPUTED_VALUE"""),"Which PPC agencies are actually considered the best right now?")</f>
        <v>Which PPC agencies are actually considered the best right now?</v>
      </c>
      <c r="C9" s="14" t="str">
        <f>IFERROR(__xludf.DUMMYFUNCTION("""COMPUTED_VALUE"""),"reddit.com")</f>
        <v>reddit.com</v>
      </c>
      <c r="D9" s="15" t="str">
        <f>IFERROR(__xludf.DUMMYFUNCTION("""COMPUTED_VALUE"""),"DISCUSSION")</f>
        <v>DISCUSSION</v>
      </c>
      <c r="E9" s="15" t="str">
        <f>IFERROR(__xludf.DUMMYFUNCTION("""COMPUTED_VALUE"""),"UGC")</f>
        <v>UGC</v>
      </c>
      <c r="F9" s="15" t="str">
        <f>IFERROR(__xludf.DUMMYFUNCTION("""COMPUTED_VALUE"""),"Discussion")</f>
        <v>Discussion</v>
      </c>
      <c r="G9" s="15" t="b">
        <f>IFERROR(__xludf.DUMMYFUNCTION("""COMPUTED_VALUE"""),FALSE)</f>
        <v>0</v>
      </c>
      <c r="H9" s="15" t="str">
        <f>IFERROR(__xludf.DUMMYFUNCTION("""COMPUTED_VALUE"""),"Dentsu, Measured, WPP, Omnicom")</f>
        <v>Dentsu, Measured, WPP, Omnicom</v>
      </c>
      <c r="I9" s="15">
        <f>IFERROR(__xludf.DUMMYFUNCTION("""COMPUTED_VALUE"""),4.0)</f>
        <v>4</v>
      </c>
      <c r="J9" s="15">
        <f>IFERROR(__xludf.DUMMYFUNCTION("""COMPUTED_VALUE"""),0.0)</f>
        <v>0</v>
      </c>
      <c r="K9" s="15">
        <f>IFERROR(__xludf.DUMMYFUNCTION("""COMPUTED_VALUE"""),1.5)</f>
        <v>1.5</v>
      </c>
    </row>
    <row r="10" ht="15.75" customHeight="1">
      <c r="A10" s="14" t="str">
        <f>IFERROR(__xludf.DUMMYFUNCTION("""COMPUTED_VALUE"""),"https://www.reddit.com/r/agency/comments/1ok212i/performance_marketing_incrementality/")</f>
        <v>https://www.reddit.com/r/agency/comments/1ok212i/performance_marketing_incrementality/</v>
      </c>
      <c r="B10" s="15" t="str">
        <f>IFERROR(__xludf.DUMMYFUNCTION("""COMPUTED_VALUE"""),"Performance Marketing Incrementality")</f>
        <v>Performance Marketing Incrementality</v>
      </c>
      <c r="C10" s="14" t="str">
        <f>IFERROR(__xludf.DUMMYFUNCTION("""COMPUTED_VALUE"""),"reddit.com")</f>
        <v>reddit.com</v>
      </c>
      <c r="D10" s="15" t="str">
        <f>IFERROR(__xludf.DUMMYFUNCTION("""COMPUTED_VALUE"""),"DISCUSSION")</f>
        <v>DISCUSSION</v>
      </c>
      <c r="E10" s="15" t="str">
        <f>IFERROR(__xludf.DUMMYFUNCTION("""COMPUTED_VALUE"""),"UGC")</f>
        <v>UGC</v>
      </c>
      <c r="F10" s="15" t="str">
        <f>IFERROR(__xludf.DUMMYFUNCTION("""COMPUTED_VALUE"""),"Discussion")</f>
        <v>Discussion</v>
      </c>
      <c r="G10" s="15" t="b">
        <f>IFERROR(__xludf.DUMMYFUNCTION("""COMPUTED_VALUE"""),FALSE)</f>
        <v>0</v>
      </c>
      <c r="H10" s="15" t="str">
        <f>IFERROR(__xludf.DUMMYFUNCTION("""COMPUTED_VALUE"""),"Haus, Measured, Found, Recast, Impression")</f>
        <v>Haus, Measured, Found, Recast, Impression</v>
      </c>
      <c r="I10" s="15">
        <f>IFERROR(__xludf.DUMMYFUNCTION("""COMPUTED_VALUE"""),4.0)</f>
        <v>4</v>
      </c>
      <c r="J10" s="15">
        <f>IFERROR(__xludf.DUMMYFUNCTION("""COMPUTED_VALUE"""),0.0)</f>
        <v>0</v>
      </c>
      <c r="K10" s="15">
        <f>IFERROR(__xludf.DUMMYFUNCTION("""COMPUTED_VALUE"""),1.75)</f>
        <v>1.75</v>
      </c>
    </row>
    <row r="11" ht="15.75" customHeight="1">
      <c r="A11" s="14" t="str">
        <f>IFERROR(__xludf.DUMMYFUNCTION("""COMPUTED_VALUE"""),"https://www.reddit.com/r/b2bmarketing/comments/1rl47cr/the_10_best_visibility_companies_and_agencies_for/#:~:text=AEO%20Collective%20is%20good%2C%20they,3mo%20ago")</f>
        <v>https://www.reddit.com/r/b2bmarketing/comments/1rl47cr/the_10_best_visibility_companies_and_agencies_for/#:~:text=AEO%20Collective%20is%20good%2C%20they,3mo%20ago</v>
      </c>
      <c r="B11" s="15" t="str">
        <f>IFERROR(__xludf.DUMMYFUNCTION("""COMPUTED_VALUE"""),"The 10 Best Visibility Companies and Agencies for SEO and GEO?")</f>
        <v>The 10 Best Visibility Companies and Agencies for SEO and GEO?</v>
      </c>
      <c r="C11" s="14" t="str">
        <f>IFERROR(__xludf.DUMMYFUNCTION("""COMPUTED_VALUE"""),"reddit.com")</f>
        <v>reddit.com</v>
      </c>
      <c r="D11" s="15" t="str">
        <f>IFERROR(__xludf.DUMMYFUNCTION("""COMPUTED_VALUE"""),"DISCUSSION")</f>
        <v>DISCUSSION</v>
      </c>
      <c r="E11" s="15" t="str">
        <f>IFERROR(__xludf.DUMMYFUNCTION("""COMPUTED_VALUE"""),"UGC")</f>
        <v>UGC</v>
      </c>
      <c r="F11" s="15" t="str">
        <f>IFERROR(__xludf.DUMMYFUNCTION("""COMPUTED_VALUE"""),"Discussion")</f>
        <v>Discussion</v>
      </c>
      <c r="G11" s="15" t="b">
        <f>IFERROR(__xludf.DUMMYFUNCTION("""COMPUTED_VALUE"""),FALSE)</f>
        <v>0</v>
      </c>
      <c r="H11" s="15" t="str">
        <f>IFERROR(__xludf.DUMMYFUNCTION("""COMPUTED_VALUE"""),"Huge, Siege Media, Single Grain")</f>
        <v>Huge, Siege Media, Single Grain</v>
      </c>
      <c r="I11" s="15">
        <f>IFERROR(__xludf.DUMMYFUNCTION("""COMPUTED_VALUE"""),2.0)</f>
        <v>2</v>
      </c>
      <c r="J11" s="15">
        <f>IFERROR(__xludf.DUMMYFUNCTION("""COMPUTED_VALUE"""),0.0)</f>
        <v>0</v>
      </c>
      <c r="K11" s="15">
        <f>IFERROR(__xludf.DUMMYFUNCTION("""COMPUTED_VALUE"""),1.0)</f>
        <v>1</v>
      </c>
    </row>
    <row r="12" ht="15.75" customHeight="1">
      <c r="A12" s="14" t="str">
        <f>IFERROR(__xludf.DUMMYFUNCTION("""COMPUTED_VALUE"""),"https://www.brandlective.com/2025/11/03/how-reddit-fits-into-a-geo-aeo-strategy/")</f>
        <v>https://www.brandlective.com/2025/11/03/how-reddit-fits-into-a-geo-aeo-strategy/</v>
      </c>
      <c r="B12" s="15" t="str">
        <f>IFERROR(__xludf.DUMMYFUNCTION("""COMPUTED_VALUE"""),"How Reddit Fits Into a GEO &amp;amp; AEO Strategy – Brandlective Communications Ltd")</f>
        <v>How Reddit Fits Into a GEO &amp;amp; AEO Strategy – Brandlective Communications Ltd</v>
      </c>
      <c r="C12" s="14" t="str">
        <f>IFERROR(__xludf.DUMMYFUNCTION("""COMPUTED_VALUE"""),"brandlective.com")</f>
        <v>brandlective.com</v>
      </c>
      <c r="D12" s="15" t="str">
        <f>IFERROR(__xludf.DUMMYFUNCTION("""COMPUTED_VALUE"""),"ARTICLE")</f>
        <v>ARTICLE</v>
      </c>
      <c r="E12" s="15" t="str">
        <f>IFERROR(__xludf.DUMMYFUNCTION("""COMPUTED_VALUE"""),"CORPORATE")</f>
        <v>CORPORATE</v>
      </c>
      <c r="F12" s="15" t="str">
        <f>IFERROR(__xludf.DUMMYFUNCTION("""COMPUTED_VALUE"""),"Article")</f>
        <v>Article</v>
      </c>
      <c r="G12" s="15" t="b">
        <f>IFERROR(__xludf.DUMMYFUNCTION("""COMPUTED_VALUE"""),FALSE)</f>
        <v>0</v>
      </c>
      <c r="H12" s="15"/>
      <c r="I12" s="15">
        <f>IFERROR(__xludf.DUMMYFUNCTION("""COMPUTED_VALUE"""),1.0)</f>
        <v>1</v>
      </c>
      <c r="J12" s="15">
        <f>IFERROR(__xludf.DUMMYFUNCTION("""COMPUTED_VALUE"""),0.0)</f>
        <v>0</v>
      </c>
      <c r="K12" s="15">
        <f>IFERROR(__xludf.DUMMYFUNCTION("""COMPUTED_VALUE"""),1.0)</f>
        <v>1</v>
      </c>
    </row>
    <row r="13" ht="15.75" customHeight="1">
      <c r="A13" s="14" t="str">
        <f>IFERROR(__xludf.DUMMYFUNCTION("""COMPUTED_VALUE"""),"https://www.reddit.com/r/Analyzify/comments/1d2js1n")</f>
        <v>https://www.reddit.com/r/Analyzify/comments/1d2js1n</v>
      </c>
      <c r="B13" s="15" t="str">
        <f>IFERROR(__xludf.DUMMYFUNCTION("""COMPUTED_VALUE"""),"The Best PPC Agencies in London 2024")</f>
        <v>The Best PPC Agencies in London 2024</v>
      </c>
      <c r="C13" s="14" t="str">
        <f>IFERROR(__xludf.DUMMYFUNCTION("""COMPUTED_VALUE"""),"reddit.com")</f>
        <v>reddit.com</v>
      </c>
      <c r="D13" s="15" t="str">
        <f>IFERROR(__xludf.DUMMYFUNCTION("""COMPUTED_VALUE"""),"DISCUSSION")</f>
        <v>DISCUSSION</v>
      </c>
      <c r="E13" s="15" t="str">
        <f>IFERROR(__xludf.DUMMYFUNCTION("""COMPUTED_VALUE"""),"UGC")</f>
        <v>UGC</v>
      </c>
      <c r="F13" s="15" t="str">
        <f>IFERROR(__xludf.DUMMYFUNCTION("""COMPUTED_VALUE"""),"Discussion")</f>
        <v>Discussion</v>
      </c>
      <c r="G13" s="15" t="b">
        <f>IFERROR(__xludf.DUMMYFUNCTION("""COMPUTED_VALUE"""),FALSE)</f>
        <v>0</v>
      </c>
      <c r="H13" s="15" t="str">
        <f>IFERROR(__xludf.DUMMYFUNCTION("""COMPUTED_VALUE"""),"Push, Push Group, The Brains, PPC Geeks")</f>
        <v>Push, Push Group, The Brains, PPC Geeks</v>
      </c>
      <c r="I13" s="15">
        <f>IFERROR(__xludf.DUMMYFUNCTION("""COMPUTED_VALUE"""),1.0)</f>
        <v>1</v>
      </c>
      <c r="J13" s="15">
        <f>IFERROR(__xludf.DUMMYFUNCTION("""COMPUTED_VALUE"""),0.0)</f>
        <v>0</v>
      </c>
      <c r="K13" s="15">
        <f>IFERROR(__xludf.DUMMYFUNCTION("""COMPUTED_VALUE"""),2.0)</f>
        <v>2</v>
      </c>
    </row>
    <row r="14" ht="15.75" customHeight="1">
      <c r="A14" s="14" t="str">
        <f>IFERROR(__xludf.DUMMYFUNCTION("""COMPUTED_VALUE"""),"https://www.reddit.com/r/DigitalMarketing/comments/1tdfcjb/every_seo_agency_now_lists_ai_search_optimization/")</f>
        <v>https://www.reddit.com/r/DigitalMarketing/comments/1tdfcjb/every_seo_agency_now_lists_ai_search_optimization/</v>
      </c>
      <c r="B14" s="15" t="str">
        <f>IFERROR(__xludf.DUMMYFUNCTION("""COMPUTED_VALUE"""),"Every SEO agency now lists AI search optimization. Most are describing the wrong thing.")</f>
        <v>Every SEO agency now lists AI search optimization. Most are describing the wrong thing.</v>
      </c>
      <c r="C14" s="14" t="str">
        <f>IFERROR(__xludf.DUMMYFUNCTION("""COMPUTED_VALUE"""),"reddit.com")</f>
        <v>reddit.com</v>
      </c>
      <c r="D14" s="15" t="str">
        <f>IFERROR(__xludf.DUMMYFUNCTION("""COMPUTED_VALUE"""),"DISCUSSION")</f>
        <v>DISCUSSION</v>
      </c>
      <c r="E14" s="15" t="str">
        <f>IFERROR(__xludf.DUMMYFUNCTION("""COMPUTED_VALUE"""),"UGC")</f>
        <v>UGC</v>
      </c>
      <c r="F14" s="15" t="str">
        <f>IFERROR(__xludf.DUMMYFUNCTION("""COMPUTED_VALUE"""),"Discussion")</f>
        <v>Discussion</v>
      </c>
      <c r="G14" s="15" t="b">
        <f>IFERROR(__xludf.DUMMYFUNCTION("""COMPUTED_VALUE"""),FALSE)</f>
        <v>0</v>
      </c>
      <c r="H14" s="15" t="str">
        <f>IFERROR(__xludf.DUMMYFUNCTION("""COMPUTED_VALUE"""),"Push, Found")</f>
        <v>Push, Found</v>
      </c>
      <c r="I14" s="15">
        <f>IFERROR(__xludf.DUMMYFUNCTION("""COMPUTED_VALUE"""),1.0)</f>
        <v>1</v>
      </c>
      <c r="J14" s="15">
        <f>IFERROR(__xludf.DUMMYFUNCTION("""COMPUTED_VALUE"""),0.0)</f>
        <v>0</v>
      </c>
      <c r="K14" s="15">
        <f>IFERROR(__xludf.DUMMYFUNCTION("""COMPUTED_VALUE"""),2.0)</f>
        <v>2</v>
      </c>
    </row>
    <row r="15" ht="15.75" customHeight="1">
      <c r="A15" s="14" t="str">
        <f>IFERROR(__xludf.DUMMYFUNCTION("""COMPUTED_VALUE"""),"https://www.reddit.com/r/MktgSupermarket/comments/1rqsemv/i_spent_weeks_researching_london_digital/")</f>
        <v>https://www.reddit.com/r/MktgSupermarket/comments/1rqsemv/i_spent_weeks_researching_london_digital/</v>
      </c>
      <c r="B15" s="15" t="str">
        <f>IFERROR(__xludf.DUMMYFUNCTION("""COMPUTED_VALUE"""),"I spent weeks researching London digital marketing agencies - here is what I actually found")</f>
        <v>I spent weeks researching London digital marketing agencies - here is what I actually found</v>
      </c>
      <c r="C15" s="14" t="str">
        <f>IFERROR(__xludf.DUMMYFUNCTION("""COMPUTED_VALUE"""),"reddit.com")</f>
        <v>reddit.com</v>
      </c>
      <c r="D15" s="15" t="str">
        <f>IFERROR(__xludf.DUMMYFUNCTION("""COMPUTED_VALUE"""),"DISCUSSION")</f>
        <v>DISCUSSION</v>
      </c>
      <c r="E15" s="15" t="str">
        <f>IFERROR(__xludf.DUMMYFUNCTION("""COMPUTED_VALUE"""),"UGC")</f>
        <v>UGC</v>
      </c>
      <c r="F15" s="15" t="str">
        <f>IFERROR(__xludf.DUMMYFUNCTION("""COMPUTED_VALUE"""),"Discussion")</f>
        <v>Discussion</v>
      </c>
      <c r="G15" s="15" t="b">
        <f>IFERROR(__xludf.DUMMYFUNCTION("""COMPUTED_VALUE"""),FALSE)</f>
        <v>0</v>
      </c>
      <c r="H15" s="15" t="str">
        <f>IFERROR(__xludf.DUMMYFUNCTION("""COMPUTED_VALUE"""),"Dept, Brainlabs, ClickSlice, Found, The Good Marketer")</f>
        <v>Dept, Brainlabs, ClickSlice, Found, The Good Marketer</v>
      </c>
      <c r="I15" s="15">
        <f>IFERROR(__xludf.DUMMYFUNCTION("""COMPUTED_VALUE"""),1.0)</f>
        <v>1</v>
      </c>
      <c r="J15" s="15">
        <f>IFERROR(__xludf.DUMMYFUNCTION("""COMPUTED_VALUE"""),0.0)</f>
        <v>0</v>
      </c>
      <c r="K15" s="15">
        <f>IFERROR(__xludf.DUMMYFUNCTION("""COMPUTED_VALUE"""),3.0)</f>
        <v>3</v>
      </c>
    </row>
    <row r="16" ht="15.75" customHeight="1">
      <c r="A16" s="14" t="str">
        <f>IFERROR(__xludf.DUMMYFUNCTION("""COMPUTED_VALUE"""),"https://www.reddit.com/r/aeo/comments/1twcbr2/best_aeo_agency_guide_what_to_look_for_in_an/")</f>
        <v>https://www.reddit.com/r/aeo/comments/1twcbr2/best_aeo_agency_guide_what_to_look_for_in_an/</v>
      </c>
      <c r="B16" s="15" t="str">
        <f>IFERROR(__xludf.DUMMYFUNCTION("""COMPUTED_VALUE"""),"Best AEO Agency Guide What to Look for in an Answer Engine Partner?")</f>
        <v>Best AEO Agency Guide What to Look for in an Answer Engine Partner?</v>
      </c>
      <c r="C16" s="14" t="str">
        <f>IFERROR(__xludf.DUMMYFUNCTION("""COMPUTED_VALUE"""),"reddit.com")</f>
        <v>reddit.com</v>
      </c>
      <c r="D16" s="15" t="str">
        <f>IFERROR(__xludf.DUMMYFUNCTION("""COMPUTED_VALUE"""),"DISCUSSION")</f>
        <v>DISCUSSION</v>
      </c>
      <c r="E16" s="15" t="str">
        <f>IFERROR(__xludf.DUMMYFUNCTION("""COMPUTED_VALUE"""),"UGC")</f>
        <v>UGC</v>
      </c>
      <c r="F16" s="15" t="str">
        <f>IFERROR(__xludf.DUMMYFUNCTION("""COMPUTED_VALUE"""),"Discussion")</f>
        <v>Discussion</v>
      </c>
      <c r="G16" s="15" t="b">
        <f>IFERROR(__xludf.DUMMYFUNCTION("""COMPUTED_VALUE"""),FALSE)</f>
        <v>0</v>
      </c>
      <c r="H16" s="15" t="str">
        <f>IFERROR(__xludf.DUMMYFUNCTION("""COMPUTED_VALUE"""),"Huge")</f>
        <v>Huge</v>
      </c>
      <c r="I16" s="15">
        <f>IFERROR(__xludf.DUMMYFUNCTION("""COMPUTED_VALUE"""),1.0)</f>
        <v>1</v>
      </c>
      <c r="J16" s="15">
        <f>IFERROR(__xludf.DUMMYFUNCTION("""COMPUTED_VALUE"""),0.0)</f>
        <v>0</v>
      </c>
      <c r="K16" s="15">
        <f>IFERROR(__xludf.DUMMYFUNCTION("""COMPUTED_VALUE"""),2.0)</f>
        <v>2</v>
      </c>
    </row>
    <row r="17" ht="15.75" customHeight="1">
      <c r="A17" s="14" t="str">
        <f>IFERROR(__xludf.DUMMYFUNCTION("""COMPUTED_VALUE"""),"https://www.reddit.com/r/agency/comments/1j8nw3r/digital_marketing_attribution_challenges/")</f>
        <v>https://www.reddit.com/r/agency/comments/1j8nw3r/digital_marketing_attribution_challenges/</v>
      </c>
      <c r="B17" s="15" t="str">
        <f>IFERROR(__xludf.DUMMYFUNCTION("""COMPUTED_VALUE"""),"Digital Marketing  &amp;amp; attribution challenges")</f>
        <v>Digital Marketing  &amp;amp; attribution challenges</v>
      </c>
      <c r="C17" s="14" t="str">
        <f>IFERROR(__xludf.DUMMYFUNCTION("""COMPUTED_VALUE"""),"reddit.com")</f>
        <v>reddit.com</v>
      </c>
      <c r="D17" s="15" t="str">
        <f>IFERROR(__xludf.DUMMYFUNCTION("""COMPUTED_VALUE"""),"DISCUSSION")</f>
        <v>DISCUSSION</v>
      </c>
      <c r="E17" s="15" t="str">
        <f>IFERROR(__xludf.DUMMYFUNCTION("""COMPUTED_VALUE"""),"UGC")</f>
        <v>UGC</v>
      </c>
      <c r="F17" s="15" t="str">
        <f>IFERROR(__xludf.DUMMYFUNCTION("""COMPUTED_VALUE"""),"Discussion")</f>
        <v>Discussion</v>
      </c>
      <c r="G17" s="15" t="b">
        <f>IFERROR(__xludf.DUMMYFUNCTION("""COMPUTED_VALUE"""),FALSE)</f>
        <v>0</v>
      </c>
      <c r="H17" s="15" t="str">
        <f>IFERROR(__xludf.DUMMYFUNCTION("""COMPUTED_VALUE"""),"Huge, Measured")</f>
        <v>Huge, Measured</v>
      </c>
      <c r="I17" s="15">
        <f>IFERROR(__xludf.DUMMYFUNCTION("""COMPUTED_VALUE"""),1.0)</f>
        <v>1</v>
      </c>
      <c r="J17" s="15">
        <f>IFERROR(__xludf.DUMMYFUNCTION("""COMPUTED_VALUE"""),0.0)</f>
        <v>0</v>
      </c>
      <c r="K17" s="15">
        <f>IFERROR(__xludf.DUMMYFUNCTION("""COMPUTED_VALUE"""),0.0)</f>
        <v>0</v>
      </c>
    </row>
    <row r="18" ht="15.75" customHeight="1">
      <c r="A18" s="14" t="str">
        <f>IFERROR(__xludf.DUMMYFUNCTION("""COMPUTED_VALUE"""),"https://www.reddit.com/r/branding/comments/d6zp5l/what_are_the_top_branding_agencies_out_there/")</f>
        <v>https://www.reddit.com/r/branding/comments/d6zp5l/what_are_the_top_branding_agencies_out_there/</v>
      </c>
      <c r="B18" s="15" t="str">
        <f>IFERROR(__xludf.DUMMYFUNCTION("""COMPUTED_VALUE"""),"What are the top branding agencies out there?")</f>
        <v>What are the top branding agencies out there?</v>
      </c>
      <c r="C18" s="14" t="str">
        <f>IFERROR(__xludf.DUMMYFUNCTION("""COMPUTED_VALUE"""),"reddit.com")</f>
        <v>reddit.com</v>
      </c>
      <c r="D18" s="15" t="str">
        <f>IFERROR(__xludf.DUMMYFUNCTION("""COMPUTED_VALUE"""),"DISCUSSION")</f>
        <v>DISCUSSION</v>
      </c>
      <c r="E18" s="15" t="str">
        <f>IFERROR(__xludf.DUMMYFUNCTION("""COMPUTED_VALUE"""),"UGC")</f>
        <v>UGC</v>
      </c>
      <c r="F18" s="15" t="str">
        <f>IFERROR(__xludf.DUMMYFUNCTION("""COMPUTED_VALUE"""),"Discussion")</f>
        <v>Discussion</v>
      </c>
      <c r="G18" s="15" t="b">
        <f>IFERROR(__xludf.DUMMYFUNCTION("""COMPUTED_VALUE"""),FALSE)</f>
        <v>0</v>
      </c>
      <c r="H18" s="15"/>
      <c r="I18" s="15">
        <f>IFERROR(__xludf.DUMMYFUNCTION("""COMPUTED_VALUE"""),1.0)</f>
        <v>1</v>
      </c>
      <c r="J18" s="15">
        <f>IFERROR(__xludf.DUMMYFUNCTION("""COMPUTED_VALUE"""),0.0)</f>
        <v>0</v>
      </c>
      <c r="K18" s="15">
        <f>IFERROR(__xludf.DUMMYFUNCTION("""COMPUTED_VALUE"""),2.0)</f>
        <v>2</v>
      </c>
    </row>
    <row r="19" ht="15.75" customHeight="1">
      <c r="A19" s="14" t="str">
        <f>IFERROR(__xludf.DUMMYFUNCTION("""COMPUTED_VALUE"""),"https://www.reddit.com/r/digital_marketing/comments/1sd6dxn/whats_the_best_aeogeo_agency_that_actually_gets/")</f>
        <v>https://www.reddit.com/r/digital_marketing/comments/1sd6dxn/whats_the_best_aeogeo_agency_that_actually_gets/</v>
      </c>
      <c r="B19" s="15" t="str">
        <f>IFERROR(__xludf.DUMMYFUNCTION("""COMPUTED_VALUE"""),"What's the best AEO/GEO Agency that actually gets results?")</f>
        <v>What's the best AEO/GEO Agency that actually gets results?</v>
      </c>
      <c r="C19" s="14" t="str">
        <f>IFERROR(__xludf.DUMMYFUNCTION("""COMPUTED_VALUE"""),"reddit.com")</f>
        <v>reddit.com</v>
      </c>
      <c r="D19" s="15" t="str">
        <f>IFERROR(__xludf.DUMMYFUNCTION("""COMPUTED_VALUE"""),"DISCUSSION")</f>
        <v>DISCUSSION</v>
      </c>
      <c r="E19" s="15" t="str">
        <f>IFERROR(__xludf.DUMMYFUNCTION("""COMPUTED_VALUE"""),"UGC")</f>
        <v>UGC</v>
      </c>
      <c r="F19" s="15" t="str">
        <f>IFERROR(__xludf.DUMMYFUNCTION("""COMPUTED_VALUE"""),"Discussion")</f>
        <v>Discussion</v>
      </c>
      <c r="G19" s="15" t="b">
        <f>IFERROR(__xludf.DUMMYFUNCTION("""COMPUTED_VALUE"""),FALSE)</f>
        <v>0</v>
      </c>
      <c r="H19" s="15" t="str">
        <f>IFERROR(__xludf.DUMMYFUNCTION("""COMPUTED_VALUE"""),"Huge, Measured")</f>
        <v>Huge, Measured</v>
      </c>
      <c r="I19" s="15">
        <f>IFERROR(__xludf.DUMMYFUNCTION("""COMPUTED_VALUE"""),1.0)</f>
        <v>1</v>
      </c>
      <c r="J19" s="15">
        <f>IFERROR(__xludf.DUMMYFUNCTION("""COMPUTED_VALUE"""),0.0)</f>
        <v>0</v>
      </c>
      <c r="K19" s="15">
        <f>IFERROR(__xludf.DUMMYFUNCTION("""COMPUTED_VALUE"""),2.0)</f>
        <v>2</v>
      </c>
    </row>
    <row r="20" ht="15.75" customHeight="1">
      <c r="A20" s="14" t="str">
        <f>IFERROR(__xludf.DUMMYFUNCTION("""COMPUTED_VALUE"""),"https://www.reddit.com/r/ecommerce/comments/1qusfa4/looking_for_best_incrementality_testing_tools/")</f>
        <v>https://www.reddit.com/r/ecommerce/comments/1qusfa4/looking_for_best_incrementality_testing_tools/</v>
      </c>
      <c r="B20" s="15" t="str">
        <f>IFERROR(__xludf.DUMMYFUNCTION("""COMPUTED_VALUE"""),"Looking for best incrementality testing tools (advice/recommendation)")</f>
        <v>Looking for best incrementality testing tools (advice/recommendation)</v>
      </c>
      <c r="C20" s="14" t="str">
        <f>IFERROR(__xludf.DUMMYFUNCTION("""COMPUTED_VALUE"""),"reddit.com")</f>
        <v>reddit.com</v>
      </c>
      <c r="D20" s="15" t="str">
        <f>IFERROR(__xludf.DUMMYFUNCTION("""COMPUTED_VALUE"""),"DISCUSSION")</f>
        <v>DISCUSSION</v>
      </c>
      <c r="E20" s="15" t="str">
        <f>IFERROR(__xludf.DUMMYFUNCTION("""COMPUTED_VALUE"""),"UGC")</f>
        <v>UGC</v>
      </c>
      <c r="F20" s="15" t="str">
        <f>IFERROR(__xludf.DUMMYFUNCTION("""COMPUTED_VALUE"""),"Discussion")</f>
        <v>Discussion</v>
      </c>
      <c r="G20" s="15" t="b">
        <f>IFERROR(__xludf.DUMMYFUNCTION("""COMPUTED_VALUE"""),FALSE)</f>
        <v>0</v>
      </c>
      <c r="H20" s="15" t="str">
        <f>IFERROR(__xludf.DUMMYFUNCTION("""COMPUTED_VALUE"""),"Haus, Measured, SegmentStream, Recast, Rockerbox, Northbeam, Found")</f>
        <v>Haus, Measured, SegmentStream, Recast, Rockerbox, Northbeam, Found</v>
      </c>
      <c r="I20" s="15">
        <f>IFERROR(__xludf.DUMMYFUNCTION("""COMPUTED_VALUE"""),1.0)</f>
        <v>1</v>
      </c>
      <c r="J20" s="15">
        <f>IFERROR(__xludf.DUMMYFUNCTION("""COMPUTED_VALUE"""),0.0)</f>
        <v>0</v>
      </c>
      <c r="K20" s="15">
        <f>IFERROR(__xludf.DUMMYFUNCTION("""COMPUTED_VALUE"""),1.0)</f>
        <v>1</v>
      </c>
    </row>
    <row r="21" ht="15.75" customHeight="1">
      <c r="A21" s="14" t="str">
        <f>IFERROR(__xludf.DUMMYFUNCTION("""COMPUTED_VALUE"""),"https://www.reddit.com/r/smallbusiness/comments/1r3lo3y/good_agency_for_performance_marketing/")</f>
        <v>https://www.reddit.com/r/smallbusiness/comments/1r3lo3y/good_agency_for_performance_marketing/</v>
      </c>
      <c r="B21" s="15" t="str">
        <f>IFERROR(__xludf.DUMMYFUNCTION("""COMPUTED_VALUE"""),"Good agency for performance marketing")</f>
        <v>Good agency for performance marketing</v>
      </c>
      <c r="C21" s="14" t="str">
        <f>IFERROR(__xludf.DUMMYFUNCTION("""COMPUTED_VALUE"""),"reddit.com")</f>
        <v>reddit.com</v>
      </c>
      <c r="D21" s="15" t="str">
        <f>IFERROR(__xludf.DUMMYFUNCTION("""COMPUTED_VALUE"""),"DISCUSSION")</f>
        <v>DISCUSSION</v>
      </c>
      <c r="E21" s="15" t="str">
        <f>IFERROR(__xludf.DUMMYFUNCTION("""COMPUTED_VALUE"""),"UGC")</f>
        <v>UGC</v>
      </c>
      <c r="F21" s="15" t="str">
        <f>IFERROR(__xludf.DUMMYFUNCTION("""COMPUTED_VALUE"""),"Discussion")</f>
        <v>Discussion</v>
      </c>
      <c r="G21" s="15" t="b">
        <f>IFERROR(__xludf.DUMMYFUNCTION("""COMPUTED_VALUE"""),FALSE)</f>
        <v>0</v>
      </c>
      <c r="H21" s="15"/>
      <c r="I21" s="15">
        <f>IFERROR(__xludf.DUMMYFUNCTION("""COMPUTED_VALUE"""),1.0)</f>
        <v>1</v>
      </c>
      <c r="J21" s="15">
        <f>IFERROR(__xludf.DUMMYFUNCTION("""COMPUTED_VALUE"""),0.0)</f>
        <v>0</v>
      </c>
      <c r="K21" s="15">
        <f>IFERROR(__xludf.DUMMYFUNCTION("""COMPUTED_VALUE"""),1.0)</f>
        <v>1</v>
      </c>
    </row>
    <row r="22" ht="15.75" customHeight="1">
      <c r="A22" s="14" t="str">
        <f>IFERROR(__xludf.DUMMYFUNCTION("""COMPUTED_VALUE"""),"https://www.reddit.com/r/u_Temporary_Meeting182/comments/1tp4iah/best_saas_geo_agencies_in_2026_who_should/")</f>
        <v>https://www.reddit.com/r/u_Temporary_Meeting182/comments/1tp4iah/best_saas_geo_agencies_in_2026_who_should/</v>
      </c>
      <c r="B22" s="15" t="str">
        <f>IFERROR(__xludf.DUMMYFUNCTION("""COMPUTED_VALUE"""),"Best SaaS GEO agencies in 2026 - who should enterprises consider?")</f>
        <v>Best SaaS GEO agencies in 2026 - who should enterprises consider?</v>
      </c>
      <c r="C22" s="14" t="str">
        <f>IFERROR(__xludf.DUMMYFUNCTION("""COMPUTED_VALUE"""),"reddit.com")</f>
        <v>reddit.com</v>
      </c>
      <c r="D22" s="15" t="str">
        <f>IFERROR(__xludf.DUMMYFUNCTION("""COMPUTED_VALUE"""),"DISCUSSION")</f>
        <v>DISCUSSION</v>
      </c>
      <c r="E22" s="15" t="str">
        <f>IFERROR(__xludf.DUMMYFUNCTION("""COMPUTED_VALUE"""),"UGC")</f>
        <v>UGC</v>
      </c>
      <c r="F22" s="15" t="str">
        <f>IFERROR(__xludf.DUMMYFUNCTION("""COMPUTED_VALUE"""),"Discussion")</f>
        <v>Discussion</v>
      </c>
      <c r="G22" s="15" t="b">
        <f>IFERROR(__xludf.DUMMYFUNCTION("""COMPUTED_VALUE"""),FALSE)</f>
        <v>0</v>
      </c>
      <c r="H22" s="15" t="str">
        <f>IFERROR(__xludf.DUMMYFUNCTION("""COMPUTED_VALUE"""),"The SEO Works")</f>
        <v>The SEO Works</v>
      </c>
      <c r="I22" s="15">
        <f>IFERROR(__xludf.DUMMYFUNCTION("""COMPUTED_VALUE"""),1.0)</f>
        <v>1</v>
      </c>
      <c r="J22" s="15">
        <f>IFERROR(__xludf.DUMMYFUNCTION("""COMPUTED_VALUE"""),0.0)</f>
        <v>0</v>
      </c>
      <c r="K22" s="15">
        <f>IFERROR(__xludf.DUMMYFUNCTION("""COMPUTED_VALUE"""),2.0)</f>
        <v>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location=":~:text=In%20the%20UK%2C%20many%20big,enjoy%20the%20outstanding%20training%20programs." ref="A7"/>
    <hyperlink r:id="rId11" ref="C7"/>
    <hyperlink r:id="rId12" ref="A8"/>
    <hyperlink r:id="rId13" ref="C8"/>
    <hyperlink r:id="rId14" ref="A9"/>
    <hyperlink r:id="rId15" ref="C9"/>
    <hyperlink r:id="rId16" ref="A10"/>
    <hyperlink r:id="rId17" ref="C10"/>
    <hyperlink r:id="rId18" location=":~:text=AEO%20Collective%20is%20good%2C%20they,3mo%20ago"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s>
  <drawing r:id="rId4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5" t="str">
        <f>IFERROR(__xludf.DUMMYFUNCTION("IFERROR(
  FILTER(
    'PEEC - URLs - All'!A2:K1000,
    REGEXMATCH(LOWER(TO_TEXT('PEEC - URLs - All'!A2:A1000)),""quora"")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5" t="str">
        <f>IFERROR(__xludf.DUMMYFUNCTION("IFERROR(
  FILTER(
    'PEEC - URLs - All'!A2:G1000,
    REGEXMATCH(LOWER(TO_TEXT('PEEC - URLs - All'!A2:A1000)),""medium"")
  ),
  """"
)"),"")</f>
        <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
      LOWER(TO_TEXT('PEEC - URLs - All'!A2:A1000)),
      ""tripadvisor|trustpilot|hellopeter|yelp|yellowpages|hotfrog|cylex|kompass|zoominfo|foursquare|brownbook|manta|crunchbase|angi|m"&amp;"apquest|showmelocal|callupcontact|tuugo|fyple|africabizinfo|businesslist|snupit""
    )
  ),
  """"
)"),"https://www.icpnet.com/resources/blog/scaling-creative-production-without-changing-your-stack-agency-lens")</f>
        <v>https://www.icpnet.com/resources/blog/scaling-creative-production-without-changing-your-stack-agency-lens</v>
      </c>
      <c r="B2" s="15" t="str">
        <f>IFERROR(__xludf.DUMMYFUNCTION("""COMPUTED_VALUE"""),"Scaling Creative Production Without Changing Your Stack (Agency Lens) - ICP")</f>
        <v>Scaling Creative Production Without Changing Your Stack (Agency Lens) - ICP</v>
      </c>
      <c r="C2" s="14" t="str">
        <f>IFERROR(__xludf.DUMMYFUNCTION("""COMPUTED_VALUE"""),"icpnet.com")</f>
        <v>icpnet.com</v>
      </c>
      <c r="D2" s="15" t="str">
        <f>IFERROR(__xludf.DUMMYFUNCTION("""COMPUTED_VALUE"""),"HOW_TO_GUIDE")</f>
        <v>HOW_TO_GUIDE</v>
      </c>
      <c r="E2" s="15" t="str">
        <f>IFERROR(__xludf.DUMMYFUNCTION("""COMPUTED_VALUE"""),"CORPORATE")</f>
        <v>CORPORATE</v>
      </c>
      <c r="F2" s="15" t="str">
        <f>IFERROR(__xludf.DUMMYFUNCTION("""COMPUTED_VALUE"""),"How-To Guide")</f>
        <v>How-To Guide</v>
      </c>
      <c r="G2" s="15" t="b">
        <f>IFERROR(__xludf.DUMMYFUNCTION("""COMPUTED_VALUE"""),FALSE)</f>
        <v>0</v>
      </c>
      <c r="H2" s="15"/>
      <c r="I2" s="15">
        <f>IFERROR(__xludf.DUMMYFUNCTION("""COMPUTED_VALUE"""),1.0)</f>
        <v>1</v>
      </c>
      <c r="J2" s="15">
        <f>IFERROR(__xludf.DUMMYFUNCTION("""COMPUTED_VALUE"""),0.0)</f>
        <v>0</v>
      </c>
      <c r="K2" s="15">
        <f>IFERROR(__xludf.DUMMYFUNCTION("""COMPUTED_VALUE"""),0.0)</f>
        <v>0</v>
      </c>
    </row>
    <row r="3" ht="15.75" customHeight="1">
      <c r="A3" s="14" t="str">
        <f>IFERROR(__xludf.DUMMYFUNCTION("""COMPUTED_VALUE"""),"https://pipeline.zoominfo.com/sales/intent-data-platform")</f>
        <v>https://pipeline.zoominfo.com/sales/intent-data-platform</v>
      </c>
      <c r="B3" s="15" t="str">
        <f>IFERROR(__xludf.DUMMYFUNCTION("""COMPUTED_VALUE"""),"Best Intent Data Platforms in 2026: Identify In-Market B2B Accounts Fast")</f>
        <v>Best Intent Data Platforms in 2026: Identify In-Market B2B Accounts Fast</v>
      </c>
      <c r="C3" s="14" t="str">
        <f>IFERROR(__xludf.DUMMYFUNCTION("""COMPUTED_VALUE"""),"zoominfo.com")</f>
        <v>zoominfo.com</v>
      </c>
      <c r="D3" s="15" t="str">
        <f>IFERROR(__xludf.DUMMYFUNCTION("""COMPUTED_VALUE"""),"LISTICLE")</f>
        <v>LISTICLE</v>
      </c>
      <c r="E3" s="15" t="str">
        <f>IFERROR(__xludf.DUMMYFUNCTION("""COMPUTED_VALUE"""),"CORPORATE")</f>
        <v>CORPORATE</v>
      </c>
      <c r="F3" s="15" t="str">
        <f>IFERROR(__xludf.DUMMYFUNCTION("""COMPUTED_VALUE"""),"Listicle")</f>
        <v>Listicle</v>
      </c>
      <c r="G3" s="15" t="b">
        <f>IFERROR(__xludf.DUMMYFUNCTION("""COMPUTED_VALUE"""),FALSE)</f>
        <v>0</v>
      </c>
      <c r="H3" s="15" t="str">
        <f>IFERROR(__xludf.DUMMYFUNCTION("""COMPUTED_VALUE"""),"Found, Push")</f>
        <v>Found, Push</v>
      </c>
      <c r="I3" s="15">
        <f>IFERROR(__xludf.DUMMYFUNCTION("""COMPUTED_VALUE"""),1.0)</f>
        <v>1</v>
      </c>
      <c r="J3" s="15">
        <f>IFERROR(__xludf.DUMMYFUNCTION("""COMPUTED_VALUE"""),0.0)</f>
        <v>0</v>
      </c>
      <c r="K3" s="15">
        <f>IFERROR(__xludf.DUMMYFUNCTION("""COMPUTED_VALUE"""),0.0)</f>
        <v>0</v>
      </c>
    </row>
    <row r="4" ht="15.75" customHeight="1">
      <c r="A4" s="14" t="str">
        <f>IFERROR(__xludf.DUMMYFUNCTION("""COMPUTED_VALUE"""),"https://uk.trustpilot.com/categories/topography_company")</f>
        <v>https://uk.trustpilot.com/categories/topography_company</v>
      </c>
      <c r="B4" s="15"/>
      <c r="C4" s="14" t="str">
        <f>IFERROR(__xludf.DUMMYFUNCTION("""COMPUTED_VALUE"""),"trustpilot.com")</f>
        <v>trustpilot.com</v>
      </c>
      <c r="D4" s="15" t="str">
        <f>IFERROR(__xludf.DUMMYFUNCTION("""COMPUTED_VALUE"""),"OTHER")</f>
        <v>OTHER</v>
      </c>
      <c r="E4" s="15" t="str">
        <f>IFERROR(__xludf.DUMMYFUNCTION("""COMPUTED_VALUE"""),"OTHER")</f>
        <v>OTHER</v>
      </c>
      <c r="F4" s="15" t="str">
        <f>IFERROR(__xludf.DUMMYFUNCTION("""COMPUTED_VALUE"""),"Other")</f>
        <v>Other</v>
      </c>
      <c r="G4" s="15"/>
      <c r="H4" s="15" t="str">
        <f>IFERROR(__xludf.DUMMYFUNCTION("""COMPUTED_VALUE"""),"Unknown")</f>
        <v>Unknown</v>
      </c>
      <c r="I4" s="15">
        <f>IFERROR(__xludf.DUMMYFUNCTION("""COMPUTED_VALUE"""),1.0)</f>
        <v>1</v>
      </c>
      <c r="J4" s="15">
        <f>IFERROR(__xludf.DUMMYFUNCTION("""COMPUTED_VALUE"""),0.0)</f>
        <v>0</v>
      </c>
      <c r="K4" s="15">
        <f>IFERROR(__xludf.DUMMYFUNCTION("""COMPUTED_VALUE"""),0.0)</f>
        <v>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All'!A2:A1000)),""facebook"")
  ),
  """"
)"),"https://www.ecomone.com/insights/best-facebook-advertising-agencies-uk/")</f>
        <v>https://www.ecomone.com/insights/best-facebook-advertising-agencies-uk/</v>
      </c>
      <c r="B2" s="15" t="str">
        <f>IFERROR(__xludf.DUMMYFUNCTION("""COMPUTED_VALUE"""),"10 Best Facebook Advertising Agencies in the UK 2026")</f>
        <v>10 Best Facebook Advertising Agencies in the UK 2026</v>
      </c>
      <c r="C2" s="14" t="str">
        <f>IFERROR(__xludf.DUMMYFUNCTION("""COMPUTED_VALUE"""),"ecomone.com")</f>
        <v>ecomone.com</v>
      </c>
      <c r="D2" s="15" t="str">
        <f>IFERROR(__xludf.DUMMYFUNCTION("""COMPUTED_VALUE"""),"LISTICLE")</f>
        <v>LISTICLE</v>
      </c>
      <c r="E2" s="15" t="str">
        <f>IFERROR(__xludf.DUMMYFUNCTION("""COMPUTED_VALUE"""),"CORPORATE")</f>
        <v>CORPORATE</v>
      </c>
      <c r="F2" s="15" t="str">
        <f>IFERROR(__xludf.DUMMYFUNCTION("""COMPUTED_VALUE"""),"Listicle")</f>
        <v>Listicle</v>
      </c>
      <c r="G2" s="15" t="b">
        <f>IFERROR(__xludf.DUMMYFUNCTION("""COMPUTED_VALUE"""),FALSE)</f>
        <v>0</v>
      </c>
      <c r="H2" s="15" t="str">
        <f>IFERROR(__xludf.DUMMYFUNCTION("""COMPUTED_VALUE"""),"The Social Shepherd, Push, Push Group, ClickSlice, Disruptive Advertising, Bird Marketing, The SEO Works, Triple Whale, Northbeam")</f>
        <v>The Social Shepherd, Push, Push Group, ClickSlice, Disruptive Advertising, Bird Marketing, The SEO Works, Triple Whale, Northbeam</v>
      </c>
      <c r="I2" s="15">
        <f>IFERROR(__xludf.DUMMYFUNCTION("""COMPUTED_VALUE"""),1.0)</f>
        <v>1</v>
      </c>
      <c r="J2" s="15">
        <f>IFERROR(__xludf.DUMMYFUNCTION("""COMPUTED_VALUE"""),0.0)</f>
        <v>0</v>
      </c>
      <c r="K2" s="15">
        <f>IFERROR(__xludf.DUMMYFUNCTION("""COMPUTED_VALUE"""),0.0)</f>
        <v>0</v>
      </c>
    </row>
    <row r="3" ht="15.75" customHeight="1">
      <c r="A3" s="14" t="str">
        <f>IFERROR(__xludf.DUMMYFUNCTION("""COMPUTED_VALUE"""),"https://www.sevenatoms.com/blog/facebook-advertising-companies")</f>
        <v>https://www.sevenatoms.com/blog/facebook-advertising-companies</v>
      </c>
      <c r="B3" s="15" t="str">
        <f>IFERROR(__xludf.DUMMYFUNCTION("""COMPUTED_VALUE"""),"Top 7 Facebook Advertising Companies")</f>
        <v>Top 7 Facebook Advertising Companies</v>
      </c>
      <c r="C3" s="14" t="str">
        <f>IFERROR(__xludf.DUMMYFUNCTION("""COMPUTED_VALUE"""),"sevenatoms.com")</f>
        <v>sevenatoms.com</v>
      </c>
      <c r="D3" s="15" t="str">
        <f>IFERROR(__xludf.DUMMYFUNCTION("""COMPUTED_VALUE"""),"LISTICLE")</f>
        <v>LISTICLE</v>
      </c>
      <c r="E3" s="15" t="str">
        <f>IFERROR(__xludf.DUMMYFUNCTION("""COMPUTED_VALUE"""),"CORPORATE")</f>
        <v>CORPORATE</v>
      </c>
      <c r="F3" s="15" t="str">
        <f>IFERROR(__xludf.DUMMYFUNCTION("""COMPUTED_VALUE"""),"Listicle")</f>
        <v>Listicle</v>
      </c>
      <c r="G3" s="15" t="b">
        <f>IFERROR(__xludf.DUMMYFUNCTION("""COMPUTED_VALUE"""),FALSE)</f>
        <v>0</v>
      </c>
      <c r="H3" s="15" t="str">
        <f>IFERROR(__xludf.DUMMYFUNCTION("""COMPUTED_VALUE"""),"Deloitte Digital, PPC Geeks, Huge")</f>
        <v>Deloitte Digital, PPC Geeks, Huge</v>
      </c>
      <c r="I3" s="15">
        <f>IFERROR(__xludf.DUMMYFUNCTION("""COMPUTED_VALUE"""),1.0)</f>
        <v>1</v>
      </c>
      <c r="J3" s="15">
        <f>IFERROR(__xludf.DUMMYFUNCTION("""COMPUTED_VALUE"""),0.0)</f>
        <v>0</v>
      </c>
      <c r="K3" s="15">
        <f>IFERROR(__xludf.DUMMYFUNCTION("""COMPUTED_VALUE"""),1.0)</f>
        <v>1</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All'!A2:A1000)),""linkedin"")
  ),
  """"
)"),"https://www.linkedin.com/pulse/top-performance-marketing-agencies-uk-steve-walker-mrjxe")</f>
        <v>https://www.linkedin.com/pulse/top-performance-marketing-agencies-uk-steve-walker-mrjxe</v>
      </c>
      <c r="B2" s="15" t="str">
        <f>IFERROR(__xludf.DUMMYFUNCTION("""COMPUTED_VALUE"""),"Top Content on LinkedIn")</f>
        <v>Top Content on LinkedIn</v>
      </c>
      <c r="C2" s="14" t="str">
        <f>IFERROR(__xludf.DUMMYFUNCTION("""COMPUTED_VALUE"""),"linkedin.com")</f>
        <v>linkedin.com</v>
      </c>
      <c r="D2" s="15" t="str">
        <f>IFERROR(__xludf.DUMMYFUNCTION("""COMPUTED_VALUE"""),"LISTICLE")</f>
        <v>LISTICLE</v>
      </c>
      <c r="E2" s="15" t="str">
        <f>IFERROR(__xludf.DUMMYFUNCTION("""COMPUTED_VALUE"""),"UGC")</f>
        <v>UGC</v>
      </c>
      <c r="F2" s="15" t="str">
        <f>IFERROR(__xludf.DUMMYFUNCTION("""COMPUTED_VALUE"""),"Listicle")</f>
        <v>Listicle</v>
      </c>
      <c r="G2" s="15" t="b">
        <f>IFERROR(__xludf.DUMMYFUNCTION("""COMPUTED_VALUE"""),FALSE)</f>
        <v>0</v>
      </c>
      <c r="H2" s="15"/>
      <c r="I2" s="15">
        <f>IFERROR(__xludf.DUMMYFUNCTION("""COMPUTED_VALUE"""),12.0)</f>
        <v>12</v>
      </c>
      <c r="J2" s="15">
        <f>IFERROR(__xludf.DUMMYFUNCTION("""COMPUTED_VALUE"""),0.01)</f>
        <v>0.01</v>
      </c>
      <c r="K2" s="15">
        <f>IFERROR(__xludf.DUMMYFUNCTION("""COMPUTED_VALUE"""),0.08)</f>
        <v>0.08</v>
      </c>
    </row>
    <row r="3" ht="15.75" customHeight="1">
      <c r="A3" s="14" t="str">
        <f>IFERROR(__xludf.DUMMYFUNCTION("""COMPUTED_VALUE"""),"https://uk.linkedin.com/company/lynchpin-analytics-ltd")</f>
        <v>https://uk.linkedin.com/company/lynchpin-analytics-ltd</v>
      </c>
      <c r="B3" s="15" t="str">
        <f>IFERROR(__xludf.DUMMYFUNCTION("""COMPUTED_VALUE"""),"Lynchpin | LinkedIn")</f>
        <v>Lynchpin | LinkedIn</v>
      </c>
      <c r="C3" s="14" t="str">
        <f>IFERROR(__xludf.DUMMYFUNCTION("""COMPUTED_VALUE"""),"linkedin.com")</f>
        <v>linkedin.com</v>
      </c>
      <c r="D3" s="15" t="str">
        <f>IFERROR(__xludf.DUMMYFUNCTION("""COMPUTED_VALUE"""),"PROFILE")</f>
        <v>PROFILE</v>
      </c>
      <c r="E3" s="15" t="str">
        <f>IFERROR(__xludf.DUMMYFUNCTION("""COMPUTED_VALUE"""),"UGC")</f>
        <v>UGC</v>
      </c>
      <c r="F3" s="15" t="str">
        <f>IFERROR(__xludf.DUMMYFUNCTION("""COMPUTED_VALUE"""),"Profile")</f>
        <v>Profile</v>
      </c>
      <c r="G3" s="15" t="b">
        <f>IFERROR(__xludf.DUMMYFUNCTION("""COMPUTED_VALUE"""),FALSE)</f>
        <v>0</v>
      </c>
      <c r="H3" s="15"/>
      <c r="I3" s="15">
        <f>IFERROR(__xludf.DUMMYFUNCTION("""COMPUTED_VALUE"""),2.0)</f>
        <v>2</v>
      </c>
      <c r="J3" s="15">
        <f>IFERROR(__xludf.DUMMYFUNCTION("""COMPUTED_VALUE"""),0.0)</f>
        <v>0</v>
      </c>
      <c r="K3" s="15">
        <f>IFERROR(__xludf.DUMMYFUNCTION("""COMPUTED_VALUE"""),1.0)</f>
        <v>1</v>
      </c>
    </row>
    <row r="4" ht="15.75" customHeight="1">
      <c r="A4" s="14" t="str">
        <f>IFERROR(__xludf.DUMMYFUNCTION("""COMPUTED_VALUE"""),"https://uk.linkedin.com/company/queryclick")</f>
        <v>https://uk.linkedin.com/company/queryclick</v>
      </c>
      <c r="B4" s="15" t="str">
        <f>IFERROR(__xludf.DUMMYFUNCTION("""COMPUTED_VALUE"""),"QueryClick | LinkedIn")</f>
        <v>QueryClick | LinkedIn</v>
      </c>
      <c r="C4" s="14" t="str">
        <f>IFERROR(__xludf.DUMMYFUNCTION("""COMPUTED_VALUE"""),"linkedin.com")</f>
        <v>linkedin.com</v>
      </c>
      <c r="D4" s="15" t="str">
        <f>IFERROR(__xludf.DUMMYFUNCTION("""COMPUTED_VALUE"""),"PROFILE")</f>
        <v>PROFILE</v>
      </c>
      <c r="E4" s="15" t="str">
        <f>IFERROR(__xludf.DUMMYFUNCTION("""COMPUTED_VALUE"""),"UGC")</f>
        <v>UGC</v>
      </c>
      <c r="F4" s="15" t="str">
        <f>IFERROR(__xludf.DUMMYFUNCTION("""COMPUTED_VALUE"""),"Profile")</f>
        <v>Profile</v>
      </c>
      <c r="G4" s="15" t="b">
        <f>IFERROR(__xludf.DUMMYFUNCTION("""COMPUTED_VALUE"""),FALSE)</f>
        <v>0</v>
      </c>
      <c r="H4" s="15" t="str">
        <f>IFERROR(__xludf.DUMMYFUNCTION("""COMPUTED_VALUE"""),"QueryClick")</f>
        <v>QueryClick</v>
      </c>
      <c r="I4" s="15">
        <f>IFERROR(__xludf.DUMMYFUNCTION("""COMPUTED_VALUE"""),2.0)</f>
        <v>2</v>
      </c>
      <c r="J4" s="15">
        <f>IFERROR(__xludf.DUMMYFUNCTION("""COMPUTED_VALUE"""),0.0)</f>
        <v>0</v>
      </c>
      <c r="K4" s="15">
        <f>IFERROR(__xludf.DUMMYFUNCTION("""COMPUTED_VALUE"""),1.0)</f>
        <v>1</v>
      </c>
    </row>
    <row r="5" ht="15.75" customHeight="1">
      <c r="A5" s="14" t="str">
        <f>IFERROR(__xludf.DUMMYFUNCTION("""COMPUTED_VALUE"""),"https://www.digitallitmus.com/blog/best-linkedin-marketing-agencies-for-2024")</f>
        <v>https://www.digitallitmus.com/blog/best-linkedin-marketing-agencies-for-2024</v>
      </c>
      <c r="B5" s="15" t="str">
        <f>IFERROR(__xludf.DUMMYFUNCTION("""COMPUTED_VALUE"""),"Best LinkedIn Marketing Agencies in the UK (2025)")</f>
        <v>Best LinkedIn Marketing Agencies in the UK (2025)</v>
      </c>
      <c r="C5" s="14" t="str">
        <f>IFERROR(__xludf.DUMMYFUNCTION("""COMPUTED_VALUE"""),"digitallitmus.com")</f>
        <v>digitallitmus.com</v>
      </c>
      <c r="D5" s="15" t="str">
        <f>IFERROR(__xludf.DUMMYFUNCTION("""COMPUTED_VALUE"""),"LISTICLE")</f>
        <v>LISTICLE</v>
      </c>
      <c r="E5" s="15" t="str">
        <f>IFERROR(__xludf.DUMMYFUNCTION("""COMPUTED_VALUE"""),"CORPORATE")</f>
        <v>CORPORATE</v>
      </c>
      <c r="F5" s="15" t="str">
        <f>IFERROR(__xludf.DUMMYFUNCTION("""COMPUTED_VALUE"""),"Listicle")</f>
        <v>Listicle</v>
      </c>
      <c r="G5" s="15" t="b">
        <f>IFERROR(__xludf.DUMMYFUNCTION("""COMPUTED_VALUE"""),FALSE)</f>
        <v>0</v>
      </c>
      <c r="H5" s="15" t="str">
        <f>IFERROR(__xludf.DUMMYFUNCTION("""COMPUTED_VALUE"""),"The Good Marketer, Disruptive Advertising, The Social Shepherd")</f>
        <v>The Good Marketer, Disruptive Advertising, The Social Shepherd</v>
      </c>
      <c r="I5" s="15">
        <f>IFERROR(__xludf.DUMMYFUNCTION("""COMPUTED_VALUE"""),1.0)</f>
        <v>1</v>
      </c>
      <c r="J5" s="15">
        <f>IFERROR(__xludf.DUMMYFUNCTION("""COMPUTED_VALUE"""),0.0)</f>
        <v>0</v>
      </c>
      <c r="K5" s="15">
        <f>IFERROR(__xludf.DUMMYFUNCTION("""COMPUTED_VALUE"""),1.0)</f>
        <v>1</v>
      </c>
    </row>
    <row r="6" ht="15.75" customHeight="1">
      <c r="A6" s="14" t="str">
        <f>IFERROR(__xludf.DUMMYFUNCTION("""COMPUTED_VALUE"""),"https://www.linkedin.com/pulse/deconstructing-common-solutions-first-party-data-pierre-cholet-booce")</f>
        <v>https://www.linkedin.com/pulse/deconstructing-common-solutions-first-party-data-pierre-cholet-booce</v>
      </c>
      <c r="B6" s="15" t="str">
        <f>IFERROR(__xludf.DUMMYFUNCTION("""COMPUTED_VALUE"""),"Deconstructing common solutions for first-party data activation")</f>
        <v>Deconstructing common solutions for first-party data activation</v>
      </c>
      <c r="C6" s="14" t="str">
        <f>IFERROR(__xludf.DUMMYFUNCTION("""COMPUTED_VALUE"""),"linkedin.com")</f>
        <v>linkedin.com</v>
      </c>
      <c r="D6" s="15" t="str">
        <f>IFERROR(__xludf.DUMMYFUNCTION("""COMPUTED_VALUE"""),"ARTICLE")</f>
        <v>ARTICLE</v>
      </c>
      <c r="E6" s="15" t="str">
        <f>IFERROR(__xludf.DUMMYFUNCTION("""COMPUTED_VALUE"""),"UGC")</f>
        <v>UGC</v>
      </c>
      <c r="F6" s="15" t="str">
        <f>IFERROR(__xludf.DUMMYFUNCTION("""COMPUTED_VALUE"""),"Article")</f>
        <v>Article</v>
      </c>
      <c r="G6" s="15" t="b">
        <f>IFERROR(__xludf.DUMMYFUNCTION("""COMPUTED_VALUE"""),FALSE)</f>
        <v>0</v>
      </c>
      <c r="H6" s="15" t="str">
        <f>IFERROR(__xludf.DUMMYFUNCTION("""COMPUTED_VALUE"""),"Epsilon")</f>
        <v>Epsilon</v>
      </c>
      <c r="I6" s="15">
        <f>IFERROR(__xludf.DUMMYFUNCTION("""COMPUTED_VALUE"""),1.0)</f>
        <v>1</v>
      </c>
      <c r="J6" s="15">
        <f>IFERROR(__xludf.DUMMYFUNCTION("""COMPUTED_VALUE"""),0.0)</f>
        <v>0</v>
      </c>
      <c r="K6" s="15">
        <f>IFERROR(__xludf.DUMMYFUNCTION("""COMPUTED_VALUE"""),0.0)</f>
        <v>0</v>
      </c>
    </row>
    <row r="7" ht="15.75" customHeight="1">
      <c r="A7" s="14" t="str">
        <f>IFERROR(__xludf.DUMMYFUNCTION("""COMPUTED_VALUE"""),"https://www.linkedin.com/pulse/top-21-data-science-consulting-companies-2026-saurabh-sharma-kzwge")</f>
        <v>https://www.linkedin.com/pulse/top-21-data-science-consulting-companies-2026-saurabh-sharma-kzwge</v>
      </c>
      <c r="B7" s="15" t="str">
        <f>IFERROR(__xludf.DUMMYFUNCTION("""COMPUTED_VALUE"""),"Top 21 Data Science Consulting Companies in 2026")</f>
        <v>Top 21 Data Science Consulting Companies in 2026</v>
      </c>
      <c r="C7" s="14" t="str">
        <f>IFERROR(__xludf.DUMMYFUNCTION("""COMPUTED_VALUE"""),"linkedin.com")</f>
        <v>linkedin.com</v>
      </c>
      <c r="D7" s="15" t="str">
        <f>IFERROR(__xludf.DUMMYFUNCTION("""COMPUTED_VALUE"""),"LISTICLE")</f>
        <v>LISTICLE</v>
      </c>
      <c r="E7" s="15" t="str">
        <f>IFERROR(__xludf.DUMMYFUNCTION("""COMPUTED_VALUE"""),"UGC")</f>
        <v>UGC</v>
      </c>
      <c r="F7" s="15" t="str">
        <f>IFERROR(__xludf.DUMMYFUNCTION("""COMPUTED_VALUE"""),"Listicle")</f>
        <v>Listicle</v>
      </c>
      <c r="G7" s="15" t="b">
        <f>IFERROR(__xludf.DUMMYFUNCTION("""COMPUTED_VALUE"""),FALSE)</f>
        <v>0</v>
      </c>
      <c r="H7" s="15" t="str">
        <f>IFERROR(__xludf.DUMMYFUNCTION("""COMPUTED_VALUE"""),"PwC")</f>
        <v>PwC</v>
      </c>
      <c r="I7" s="15">
        <f>IFERROR(__xludf.DUMMYFUNCTION("""COMPUTED_VALUE"""),1.0)</f>
        <v>1</v>
      </c>
      <c r="J7" s="15">
        <f>IFERROR(__xludf.DUMMYFUNCTION("""COMPUTED_VALUE"""),0.0)</f>
        <v>0</v>
      </c>
      <c r="K7" s="15">
        <f>IFERROR(__xludf.DUMMYFUNCTION("""COMPUTED_VALUE"""),0.0)</f>
        <v>0</v>
      </c>
    </row>
    <row r="8" ht="15.75" customHeight="1">
      <c r="A8" s="14" t="str">
        <f>IFERROR(__xludf.DUMMYFUNCTION("""COMPUTED_VALUE"""),"https://uk.linkedin.com/company/ruleranalytics")</f>
        <v>https://uk.linkedin.com/company/ruleranalytics</v>
      </c>
      <c r="B8" s="15" t="str">
        <f>IFERROR(__xludf.DUMMYFUNCTION("""COMPUTED_VALUE"""),"Ruler Analytics | LinkedIn")</f>
        <v>Ruler Analytics | LinkedIn</v>
      </c>
      <c r="C8" s="14" t="str">
        <f>IFERROR(__xludf.DUMMYFUNCTION("""COMPUTED_VALUE"""),"linkedin.com")</f>
        <v>linkedin.com</v>
      </c>
      <c r="D8" s="15" t="str">
        <f>IFERROR(__xludf.DUMMYFUNCTION("""COMPUTED_VALUE"""),"PROFILE")</f>
        <v>PROFILE</v>
      </c>
      <c r="E8" s="15" t="str">
        <f>IFERROR(__xludf.DUMMYFUNCTION("""COMPUTED_VALUE"""),"UGC")</f>
        <v>UGC</v>
      </c>
      <c r="F8" s="15" t="str">
        <f>IFERROR(__xludf.DUMMYFUNCTION("""COMPUTED_VALUE"""),"Profile")</f>
        <v>Profile</v>
      </c>
      <c r="G8" s="15" t="b">
        <f>IFERROR(__xludf.DUMMYFUNCTION("""COMPUTED_VALUE"""),FALSE)</f>
        <v>0</v>
      </c>
      <c r="H8" s="15" t="str">
        <f>IFERROR(__xludf.DUMMYFUNCTION("""COMPUTED_VALUE"""),"Ruler Analytics, Impression, Found, Measured, Cometly, Rockerbox, Triple Whale")</f>
        <v>Ruler Analytics, Impression, Found, Measured, Cometly, Rockerbox, Triple Whale</v>
      </c>
      <c r="I8" s="15">
        <f>IFERROR(__xludf.DUMMYFUNCTION("""COMPUTED_VALUE"""),1.0)</f>
        <v>1</v>
      </c>
      <c r="J8" s="15">
        <f>IFERROR(__xludf.DUMMYFUNCTION("""COMPUTED_VALUE"""),0.0)</f>
        <v>0</v>
      </c>
      <c r="K8" s="15">
        <f>IFERROR(__xludf.DUMMYFUNCTION("""COMPUTED_VALUE"""),0.0)</f>
        <v>0</v>
      </c>
    </row>
    <row r="9" ht="15.75" customHeight="1">
      <c r="A9" s="14" t="str">
        <f>IFERROR(__xludf.DUMMYFUNCTION("""COMPUTED_VALUE"""),"https://uk.linkedin.com/company/the-social-shepherd")</f>
        <v>https://uk.linkedin.com/company/the-social-shepherd</v>
      </c>
      <c r="B9" s="15" t="str">
        <f>IFERROR(__xludf.DUMMYFUNCTION("""COMPUTED_VALUE"""),"The Social Shepherd | LinkedIn")</f>
        <v>The Social Shepherd | LinkedIn</v>
      </c>
      <c r="C9" s="14" t="str">
        <f>IFERROR(__xludf.DUMMYFUNCTION("""COMPUTED_VALUE"""),"linkedin.com")</f>
        <v>linkedin.com</v>
      </c>
      <c r="D9" s="15" t="str">
        <f>IFERROR(__xludf.DUMMYFUNCTION("""COMPUTED_VALUE"""),"PROFILE")</f>
        <v>PROFILE</v>
      </c>
      <c r="E9" s="15" t="str">
        <f>IFERROR(__xludf.DUMMYFUNCTION("""COMPUTED_VALUE"""),"UGC")</f>
        <v>UGC</v>
      </c>
      <c r="F9" s="15" t="str">
        <f>IFERROR(__xludf.DUMMYFUNCTION("""COMPUTED_VALUE"""),"Profile")</f>
        <v>Profile</v>
      </c>
      <c r="G9" s="15" t="b">
        <f>IFERROR(__xludf.DUMMYFUNCTION("""COMPUTED_VALUE"""),FALSE)</f>
        <v>0</v>
      </c>
      <c r="H9" s="15" t="str">
        <f>IFERROR(__xludf.DUMMYFUNCTION("""COMPUTED_VALUE"""),"The Social Shepherd, Huge, We Are Social, Born Social")</f>
        <v>The Social Shepherd, Huge, We Are Social, Born Social</v>
      </c>
      <c r="I9" s="15">
        <f>IFERROR(__xludf.DUMMYFUNCTION("""COMPUTED_VALUE"""),1.0)</f>
        <v>1</v>
      </c>
      <c r="J9" s="15">
        <f>IFERROR(__xludf.DUMMYFUNCTION("""COMPUTED_VALUE"""),0.0)</f>
        <v>0</v>
      </c>
      <c r="K9" s="15">
        <f>IFERROR(__xludf.DUMMYFUNCTION("""COMPUTED_VALUE"""),1.0)</f>
        <v>1</v>
      </c>
    </row>
    <row r="10" ht="15.75" customHeight="1">
      <c r="A10" s="14" t="str">
        <f>IFERROR(__xludf.DUMMYFUNCTION("""COMPUTED_VALUE"""),"https://uk.linkedin.com/in/digantika-mitra")</f>
        <v>https://uk.linkedin.com/in/digantika-mitra</v>
      </c>
      <c r="B10" s="15"/>
      <c r="C10" s="14" t="str">
        <f>IFERROR(__xludf.DUMMYFUNCTION("""COMPUTED_VALUE"""),"linkedin.com")</f>
        <v>linkedin.com</v>
      </c>
      <c r="D10" s="15" t="str">
        <f>IFERROR(__xludf.DUMMYFUNCTION("""COMPUTED_VALUE"""),"OTHER")</f>
        <v>OTHER</v>
      </c>
      <c r="E10" s="15" t="str">
        <f>IFERROR(__xludf.DUMMYFUNCTION("""COMPUTED_VALUE"""),"OTHER")</f>
        <v>OTHER</v>
      </c>
      <c r="F10" s="15" t="str">
        <f>IFERROR(__xludf.DUMMYFUNCTION("""COMPUTED_VALUE"""),"Other")</f>
        <v>Other</v>
      </c>
      <c r="G10" s="15"/>
      <c r="H10" s="15" t="str">
        <f>IFERROR(__xludf.DUMMYFUNCTION("""COMPUTED_VALUE"""),"Unknown")</f>
        <v>Unknown</v>
      </c>
      <c r="I10" s="15">
        <f>IFERROR(__xludf.DUMMYFUNCTION("""COMPUTED_VALUE"""),1.0)</f>
        <v>1</v>
      </c>
      <c r="J10" s="15">
        <f>IFERROR(__xludf.DUMMYFUNCTION("""COMPUTED_VALUE"""),0.0)</f>
        <v>0</v>
      </c>
      <c r="K10" s="15">
        <f>IFERROR(__xludf.DUMMYFUNCTION("""COMPUTED_VALUE"""),1.0)</f>
        <v>1</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s>
  <drawing r:id="rId1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REGEXMATCH(LOWER(TO_TEXT('PEEC - URLs - All'!A2:A1000)),""wikipedia"")
  ),
  """"
)"),"https://en.wikipedia.org/wiki/Advertising_agency")</f>
        <v>https://en.wikipedia.org/wiki/Advertising_agency</v>
      </c>
      <c r="B2" s="15" t="str">
        <f>IFERROR(__xludf.DUMMYFUNCTION("""COMPUTED_VALUE"""),"Advertising agency - Wikipedia")</f>
        <v>Advertising agency - Wikipedia</v>
      </c>
      <c r="C2" s="14" t="str">
        <f>IFERROR(__xludf.DUMMYFUNCTION("""COMPUTED_VALUE"""),"wikipedia.org")</f>
        <v>wikipedia.org</v>
      </c>
      <c r="D2" s="15" t="str">
        <f>IFERROR(__xludf.DUMMYFUNCTION("""COMPUTED_VALUE"""),"CATEGORY_PAGE")</f>
        <v>CATEGORY_PAGE</v>
      </c>
      <c r="E2" s="15" t="str">
        <f>IFERROR(__xludf.DUMMYFUNCTION("""COMPUTED_VALUE"""),"REFERENCE")</f>
        <v>REFERENCE</v>
      </c>
      <c r="F2" s="15" t="str">
        <f>IFERROR(__xludf.DUMMYFUNCTION("""COMPUTED_VALUE"""),"Category Page")</f>
        <v>Category Page</v>
      </c>
      <c r="G2" s="15" t="b">
        <f>IFERROR(__xludf.DUMMYFUNCTION("""COMPUTED_VALUE"""),FALSE)</f>
        <v>0</v>
      </c>
      <c r="H2" s="15" t="str">
        <f>IFERROR(__xludf.DUMMYFUNCTION("""COMPUTED_VALUE"""),"PwC, Deloitte Digital, WPP, Omnicom, Dentsu")</f>
        <v>PwC, Deloitte Digital, WPP, Omnicom, Dentsu</v>
      </c>
      <c r="I2" s="15">
        <f>IFERROR(__xludf.DUMMYFUNCTION("""COMPUTED_VALUE"""),1.0)</f>
        <v>1</v>
      </c>
      <c r="J2" s="15">
        <f>IFERROR(__xludf.DUMMYFUNCTION("""COMPUTED_VALUE"""),0.0)</f>
        <v>0</v>
      </c>
      <c r="K2" s="15">
        <f>IFERROR(__xludf.DUMMYFUNCTION("""COMPUTED_VALUE"""),1.0)</f>
        <v>1</v>
      </c>
    </row>
    <row r="3" ht="15.75" customHeight="1">
      <c r="A3" s="14" t="str">
        <f>IFERROR(__xludf.DUMMYFUNCTION("""COMPUTED_VALUE"""),"https://en.wikipedia.org/wiki/Attribution_(marketing)")</f>
        <v>https://en.wikipedia.org/wiki/Attribution_(marketing)</v>
      </c>
      <c r="B3" s="15" t="str">
        <f>IFERROR(__xludf.DUMMYFUNCTION("""COMPUTED_VALUE"""),"Attribution (marketing) - Wikipedia")</f>
        <v>Attribution (marketing) - Wikipedia</v>
      </c>
      <c r="C3" s="14" t="str">
        <f>IFERROR(__xludf.DUMMYFUNCTION("""COMPUTED_VALUE"""),"wikipedia.org")</f>
        <v>wikipedia.org</v>
      </c>
      <c r="D3" s="15" t="str">
        <f>IFERROR(__xludf.DUMMYFUNCTION("""COMPUTED_VALUE"""),"ARTICLE")</f>
        <v>ARTICLE</v>
      </c>
      <c r="E3" s="15" t="str">
        <f>IFERROR(__xludf.DUMMYFUNCTION("""COMPUTED_VALUE"""),"REFERENCE")</f>
        <v>REFERENCE</v>
      </c>
      <c r="F3" s="15" t="str">
        <f>IFERROR(__xludf.DUMMYFUNCTION("""COMPUTED_VALUE"""),"Article")</f>
        <v>Article</v>
      </c>
      <c r="G3" s="15" t="b">
        <f>IFERROR(__xludf.DUMMYFUNCTION("""COMPUTED_VALUE"""),FALSE)</f>
        <v>0</v>
      </c>
      <c r="H3" s="15" t="str">
        <f>IFERROR(__xludf.DUMMYFUNCTION("""COMPUTED_VALUE"""),"Impression, Found, Epsilon, EY")</f>
        <v>Impression, Found, Epsilon, EY</v>
      </c>
      <c r="I3" s="15">
        <f>IFERROR(__xludf.DUMMYFUNCTION("""COMPUTED_VALUE"""),1.0)</f>
        <v>1</v>
      </c>
      <c r="J3" s="15">
        <f>IFERROR(__xludf.DUMMYFUNCTION("""COMPUTED_VALUE"""),0.0)</f>
        <v>0</v>
      </c>
      <c r="K3" s="15">
        <f>IFERROR(__xludf.DUMMYFUNCTION("""COMPUTED_VALUE"""),0.0)</f>
        <v>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All'!D2:D1000)))=""alternative""
  ),
  """"
)"),"https://www.gartner.com/reviews/market/global-digital-marketing-agencies/vendor/r-ga/product/r-ga-global-digital-marketing-services/alternatives")</f>
        <v>https://www.gartner.com/reviews/market/global-digital-marketing-agencies/vendor/r-ga/product/r-ga-global-digital-marketing-services/alternatives</v>
      </c>
      <c r="B2" s="15" t="str">
        <f>IFERROR(__xludf.DUMMYFUNCTION("""COMPUTED_VALUE"""),"Top R/GA Global Digital Marketing Services Alternatives &amp; Competitors 2026 \| Gartner Peer Insights")</f>
        <v>Top R/GA Global Digital Marketing Services Alternatives &amp; Competitors 2026 \| Gartner Peer Insights</v>
      </c>
      <c r="C2" s="14" t="str">
        <f>IFERROR(__xludf.DUMMYFUNCTION("""COMPUTED_VALUE"""),"gartner.com")</f>
        <v>gartner.com</v>
      </c>
      <c r="D2" s="15" t="str">
        <f>IFERROR(__xludf.DUMMYFUNCTION("""COMPUTED_VALUE"""),"ALTERNATIVE")</f>
        <v>ALTERNATIVE</v>
      </c>
      <c r="E2" s="15" t="str">
        <f>IFERROR(__xludf.DUMMYFUNCTION("""COMPUTED_VALUE"""),"CORPORATE")</f>
        <v>CORPORATE</v>
      </c>
      <c r="F2" s="15" t="str">
        <f>IFERROR(__xludf.DUMMYFUNCTION("""COMPUTED_VALUE"""),"Alternative")</f>
        <v>Alternative</v>
      </c>
      <c r="G2" s="15" t="b">
        <f>IFERROR(__xludf.DUMMYFUNCTION("""COMPUTED_VALUE"""),FALSE)</f>
        <v>0</v>
      </c>
      <c r="H2" s="15" t="str">
        <f>IFERROR(__xludf.DUMMYFUNCTION("""COMPUTED_VALUE"""),"Accenture Song, Huge, AKQA")</f>
        <v>Accenture Song, Huge, AKQA</v>
      </c>
      <c r="I2" s="15">
        <f>IFERROR(__xludf.DUMMYFUNCTION("""COMPUTED_VALUE"""),1.0)</f>
        <v>1</v>
      </c>
      <c r="J2" s="15">
        <f>IFERROR(__xludf.DUMMYFUNCTION("""COMPUTED_VALUE"""),0.0)</f>
        <v>0</v>
      </c>
      <c r="K2" s="15">
        <f>IFERROR(__xludf.DUMMYFUNCTION("""COMPUTED_VALUE"""),5.0)</f>
        <v>5</v>
      </c>
    </row>
    <row r="3" ht="15.75" customHeight="1">
      <c r="A3" s="14" t="str">
        <f>IFERROR(__xludf.DUMMYFUNCTION("""COMPUTED_VALUE"""),"https://www.gartner.com/reviews/product/r-ga-global-digital-marketing-services/alternatives")</f>
        <v>https://www.gartner.com/reviews/product/r-ga-global-digital-marketing-services/alternatives</v>
      </c>
      <c r="B3" s="15" t="str">
        <f>IFERROR(__xludf.DUMMYFUNCTION("""COMPUTED_VALUE"""),"Top R/GA Global Digital Marketing Services Alternatives &amp;amp; Competitors 2026 | Gartner Peer Insights")</f>
        <v>Top R/GA Global Digital Marketing Services Alternatives &amp;amp; Competitors 2026 | Gartner Peer Insights</v>
      </c>
      <c r="C3" s="14" t="str">
        <f>IFERROR(__xludf.DUMMYFUNCTION("""COMPUTED_VALUE"""),"gartner.com")</f>
        <v>gartner.com</v>
      </c>
      <c r="D3" s="15" t="str">
        <f>IFERROR(__xludf.DUMMYFUNCTION("""COMPUTED_VALUE"""),"ALTERNATIVE")</f>
        <v>ALTERNATIVE</v>
      </c>
      <c r="E3" s="15" t="str">
        <f>IFERROR(__xludf.DUMMYFUNCTION("""COMPUTED_VALUE"""),"CORPORATE")</f>
        <v>CORPORATE</v>
      </c>
      <c r="F3" s="15" t="str">
        <f>IFERROR(__xludf.DUMMYFUNCTION("""COMPUTED_VALUE"""),"Alternative")</f>
        <v>Alternative</v>
      </c>
      <c r="G3" s="15" t="b">
        <f>IFERROR(__xludf.DUMMYFUNCTION("""COMPUTED_VALUE"""),FALSE)</f>
        <v>0</v>
      </c>
      <c r="H3" s="15" t="str">
        <f>IFERROR(__xludf.DUMMYFUNCTION("""COMPUTED_VALUE"""),"Accenture Song, Huge, AKQA, Merkle, Deloitte Digital")</f>
        <v>Accenture Song, Huge, AKQA, Merkle, Deloitte Digital</v>
      </c>
      <c r="I3" s="15">
        <f>IFERROR(__xludf.DUMMYFUNCTION("""COMPUTED_VALUE"""),1.0)</f>
        <v>1</v>
      </c>
      <c r="J3" s="15">
        <f>IFERROR(__xludf.DUMMYFUNCTION("""COMPUTED_VALUE"""),0.0)</f>
        <v>0</v>
      </c>
      <c r="K3" s="15">
        <f>IFERROR(__xludf.DUMMYFUNCTION("""COMPUTED_VALUE"""),0.0)</f>
        <v>0</v>
      </c>
    </row>
    <row r="4" ht="15.75" customHeight="1">
      <c r="A4" s="14" t="str">
        <f>IFERROR(__xludf.DUMMYFUNCTION("""COMPUTED_VALUE"""),"https://segmentstream.com/blog/articles/top-haus-io-alternatives-for-geo-lift-incrementality-testing")</f>
        <v>https://segmentstream.com/blog/articles/top-haus-io-alternatives-for-geo-lift-incrementality-testing</v>
      </c>
      <c r="B4" s="15" t="str">
        <f>IFERROR(__xludf.DUMMYFUNCTION("""COMPUTED_VALUE"""),"5 Best Haus.io Alternatives (2026) — SegmentStream")</f>
        <v>5 Best Haus.io Alternatives (2026) — SegmentStream</v>
      </c>
      <c r="C4" s="14" t="str">
        <f>IFERROR(__xludf.DUMMYFUNCTION("""COMPUTED_VALUE"""),"segmentstream.com")</f>
        <v>segmentstream.com</v>
      </c>
      <c r="D4" s="15" t="str">
        <f>IFERROR(__xludf.DUMMYFUNCTION("""COMPUTED_VALUE"""),"ALTERNATIVE")</f>
        <v>ALTERNATIVE</v>
      </c>
      <c r="E4" s="15" t="str">
        <f>IFERROR(__xludf.DUMMYFUNCTION("""COMPUTED_VALUE"""),"COMPETITOR")</f>
        <v>COMPETITOR</v>
      </c>
      <c r="F4" s="15" t="str">
        <f>IFERROR(__xludf.DUMMYFUNCTION("""COMPUTED_VALUE"""),"Alternative")</f>
        <v>Alternative</v>
      </c>
      <c r="G4" s="15" t="b">
        <f>IFERROR(__xludf.DUMMYFUNCTION("""COMPUTED_VALUE"""),FALSE)</f>
        <v>0</v>
      </c>
      <c r="H4" s="15" t="str">
        <f>IFERROR(__xludf.DUMMYFUNCTION("""COMPUTED_VALUE"""),"SegmentStream, Haus, Measured, Recast")</f>
        <v>SegmentStream, Haus, Measured, Recast</v>
      </c>
      <c r="I4" s="15">
        <f>IFERROR(__xludf.DUMMYFUNCTION("""COMPUTED_VALUE"""),1.0)</f>
        <v>1</v>
      </c>
      <c r="J4" s="15">
        <f>IFERROR(__xludf.DUMMYFUNCTION("""COMPUTED_VALUE"""),0.0)</f>
        <v>0</v>
      </c>
      <c r="K4" s="15">
        <f>IFERROR(__xludf.DUMMYFUNCTION("""COMPUTED_VALUE"""),0.0)</f>
        <v>0</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s>
  <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All'!D2:D1000)))=""article""
  ),
  """"
)"),"https://thesocialshepherd.com/blog/top-performance-marketing-agencies-uk")</f>
        <v>https://thesocialshepherd.com/blog/top-performance-marketing-agencies-uk</v>
      </c>
      <c r="B2" s="15" t="str">
        <f>IFERROR(__xludf.DUMMYFUNCTION("""COMPUTED_VALUE"""),"The Social Shepherd | Top 13 Performance Marketing Agencies In The UK…")</f>
        <v>The Social Shepherd | Top 13 Performance Marketing Agencies In The UK…</v>
      </c>
      <c r="C2" s="14" t="str">
        <f>IFERROR(__xludf.DUMMYFUNCTION("""COMPUTED_VALUE"""),"thesocialshepherd.com")</f>
        <v>thesocialshepherd.com</v>
      </c>
      <c r="D2" s="15" t="str">
        <f>IFERROR(__xludf.DUMMYFUNCTION("""COMPUTED_VALUE"""),"ARTICLE")</f>
        <v>ARTICLE</v>
      </c>
      <c r="E2" s="15" t="str">
        <f>IFERROR(__xludf.DUMMYFUNCTION("""COMPUTED_VALUE"""),"COMPETITOR")</f>
        <v>COMPETITOR</v>
      </c>
      <c r="F2" s="15" t="str">
        <f>IFERROR(__xludf.DUMMYFUNCTION("""COMPUTED_VALUE"""),"Article")</f>
        <v>Article</v>
      </c>
      <c r="G2" s="15" t="b">
        <f>IFERROR(__xludf.DUMMYFUNCTION("""COMPUTED_VALUE"""),FALSE)</f>
        <v>0</v>
      </c>
      <c r="H2" s="15" t="str">
        <f>IFERROR(__xludf.DUMMYFUNCTION("""COMPUTED_VALUE"""),"The Social Shepherd, 9AM, Gravity Global, Directive Consulting, Gripped, The Brains, The Good Marketer")</f>
        <v>The Social Shepherd, 9AM, Gravity Global, Directive Consulting, Gripped, The Brains, The Good Marketer</v>
      </c>
      <c r="I2" s="15">
        <f>IFERROR(__xludf.DUMMYFUNCTION("""COMPUTED_VALUE"""),36.0)</f>
        <v>36</v>
      </c>
      <c r="J2" s="15">
        <f>IFERROR(__xludf.DUMMYFUNCTION("""COMPUTED_VALUE"""),0.04)</f>
        <v>0.04</v>
      </c>
      <c r="K2" s="15">
        <f>IFERROR(__xludf.DUMMYFUNCTION("""COMPUTED_VALUE"""),0.69)</f>
        <v>0.69</v>
      </c>
    </row>
    <row r="3" ht="15.75" customHeight="1">
      <c r="A3" s="14" t="str">
        <f>IFERROR(__xludf.DUMMYFUNCTION("""COMPUTED_VALUE"""),"https://www.propeller.co.uk/insights/top-digital-marketing-agencies-uk-2025")</f>
        <v>https://www.propeller.co.uk/insights/top-digital-marketing-agencies-uk-2025</v>
      </c>
      <c r="B3" s="15" t="str">
        <f>IFERROR(__xludf.DUMMYFUNCTION("""COMPUTED_VALUE"""),"Top Digital Marketing Agencies UK (2026) | Propeller")</f>
        <v>Top Digital Marketing Agencies UK (2026) | Propeller</v>
      </c>
      <c r="C3" s="14" t="str">
        <f>IFERROR(__xludf.DUMMYFUNCTION("""COMPUTED_VALUE"""),"propeller.co.uk")</f>
        <v>propeller.co.uk</v>
      </c>
      <c r="D3" s="15" t="str">
        <f>IFERROR(__xludf.DUMMYFUNCTION("""COMPUTED_VALUE"""),"ARTICLE")</f>
        <v>ARTICLE</v>
      </c>
      <c r="E3" s="15" t="str">
        <f>IFERROR(__xludf.DUMMYFUNCTION("""COMPUTED_VALUE"""),"CORPORATE")</f>
        <v>CORPORATE</v>
      </c>
      <c r="F3" s="15" t="str">
        <f>IFERROR(__xludf.DUMMYFUNCTION("""COMPUTED_VALUE"""),"Article")</f>
        <v>Article</v>
      </c>
      <c r="G3" s="15" t="b">
        <f>IFERROR(__xludf.DUMMYFUNCTION("""COMPUTED_VALUE"""),FALSE)</f>
        <v>0</v>
      </c>
      <c r="H3" s="15" t="str">
        <f>IFERROR(__xludf.DUMMYFUNCTION("""COMPUTED_VALUE"""),"Propeller, Saatchi &amp; Saatchi, Impression, BBH London, Gripped")</f>
        <v>Propeller, Saatchi &amp; Saatchi, Impression, BBH London, Gripped</v>
      </c>
      <c r="I3" s="15">
        <f>IFERROR(__xludf.DUMMYFUNCTION("""COMPUTED_VALUE"""),24.0)</f>
        <v>24</v>
      </c>
      <c r="J3" s="15">
        <f>IFERROR(__xludf.DUMMYFUNCTION("""COMPUTED_VALUE"""),0.02)</f>
        <v>0.02</v>
      </c>
      <c r="K3" s="15">
        <f>IFERROR(__xludf.DUMMYFUNCTION("""COMPUTED_VALUE"""),0.88)</f>
        <v>0.88</v>
      </c>
    </row>
    <row r="4" ht="15.75" customHeight="1">
      <c r="A4" s="14" t="str">
        <f>IFERROR(__xludf.DUMMYFUNCTION("""COMPUTED_VALUE"""),"https://www.accuracast.com/articles/advertising/ai-marketing-agencies-uk/")</f>
        <v>https://www.accuracast.com/articles/advertising/ai-marketing-agencies-uk/</v>
      </c>
      <c r="B4" s="15" t="str">
        <f>IFERROR(__xludf.DUMMYFUNCTION("""COMPUTED_VALUE"""),"AI Marketing Agencies in the UK: Identifying the True Pioneers - Accuracast")</f>
        <v>AI Marketing Agencies in the UK: Identifying the True Pioneers - Accuracast</v>
      </c>
      <c r="C4" s="14" t="str">
        <f>IFERROR(__xludf.DUMMYFUNCTION("""COMPUTED_VALUE"""),"accuracast.com")</f>
        <v>accuracast.com</v>
      </c>
      <c r="D4" s="15" t="str">
        <f>IFERROR(__xludf.DUMMYFUNCTION("""COMPUTED_VALUE"""),"ARTICLE")</f>
        <v>ARTICLE</v>
      </c>
      <c r="E4" s="15" t="str">
        <f>IFERROR(__xludf.DUMMYFUNCTION("""COMPUTED_VALUE"""),"CORPORATE")</f>
        <v>CORPORATE</v>
      </c>
      <c r="F4" s="15" t="str">
        <f>IFERROR(__xludf.DUMMYFUNCTION("""COMPUTED_VALUE"""),"Article")</f>
        <v>Article</v>
      </c>
      <c r="G4" s="15" t="b">
        <f>IFERROR(__xludf.DUMMYFUNCTION("""COMPUTED_VALUE"""),FALSE)</f>
        <v>0</v>
      </c>
      <c r="H4" s="15" t="str">
        <f>IFERROR(__xludf.DUMMYFUNCTION("""COMPUTED_VALUE"""),"LOCALiQ")</f>
        <v>LOCALiQ</v>
      </c>
      <c r="I4" s="15">
        <f>IFERROR(__xludf.DUMMYFUNCTION("""COMPUTED_VALUE"""),14.0)</f>
        <v>14</v>
      </c>
      <c r="J4" s="15">
        <f>IFERROR(__xludf.DUMMYFUNCTION("""COMPUTED_VALUE"""),0.01)</f>
        <v>0.01</v>
      </c>
      <c r="K4" s="15">
        <f>IFERROR(__xludf.DUMMYFUNCTION("""COMPUTED_VALUE"""),0.64)</f>
        <v>0.64</v>
      </c>
    </row>
    <row r="5" ht="15.75" customHeight="1">
      <c r="A5" s="14" t="str">
        <f>IFERROR(__xludf.DUMMYFUNCTION("""COMPUTED_VALUE"""),"https://news.digitalagencyleaders.net/the-best-ai-marketing-agencies-in-the-uk-2025/")</f>
        <v>https://news.digitalagencyleaders.net/the-best-ai-marketing-agencies-in-the-uk-2025/</v>
      </c>
      <c r="B5" s="15" t="str">
        <f>IFERROR(__xludf.DUMMYFUNCTION("""COMPUTED_VALUE"""),"The Best AI Marketing Agencies in the UK 2025 - Digital Agency News")</f>
        <v>The Best AI Marketing Agencies in the UK 2025 - Digital Agency News</v>
      </c>
      <c r="C5" s="14" t="str">
        <f>IFERROR(__xludf.DUMMYFUNCTION("""COMPUTED_VALUE"""),"digitalagencyleaders.net")</f>
        <v>digitalagencyleaders.net</v>
      </c>
      <c r="D5" s="15" t="str">
        <f>IFERROR(__xludf.DUMMYFUNCTION("""COMPUTED_VALUE"""),"ARTICLE")</f>
        <v>ARTICLE</v>
      </c>
      <c r="E5" s="15" t="str">
        <f>IFERROR(__xludf.DUMMYFUNCTION("""COMPUTED_VALUE"""),"REFERENCE")</f>
        <v>REFERENCE</v>
      </c>
      <c r="F5" s="15" t="str">
        <f>IFERROR(__xludf.DUMMYFUNCTION("""COMPUTED_VALUE"""),"Article")</f>
        <v>Article</v>
      </c>
      <c r="G5" s="15" t="b">
        <f>IFERROR(__xludf.DUMMYFUNCTION("""COMPUTED_VALUE"""),FALSE)</f>
        <v>0</v>
      </c>
      <c r="H5" s="15" t="str">
        <f>IFERROR(__xludf.DUMMYFUNCTION("""COMPUTED_VALUE"""),"Koozai, Found, VCCP, Favoured, Whitehat")</f>
        <v>Koozai, Found, VCCP, Favoured, Whitehat</v>
      </c>
      <c r="I5" s="15">
        <f>IFERROR(__xludf.DUMMYFUNCTION("""COMPUTED_VALUE"""),12.0)</f>
        <v>12</v>
      </c>
      <c r="J5" s="15">
        <f>IFERROR(__xludf.DUMMYFUNCTION("""COMPUTED_VALUE"""),0.01)</f>
        <v>0.01</v>
      </c>
      <c r="K5" s="15">
        <f>IFERROR(__xludf.DUMMYFUNCTION("""COMPUTED_VALUE"""),0.5)</f>
        <v>0.5</v>
      </c>
    </row>
    <row r="6" ht="15.75" customHeight="1">
      <c r="A6" s="14" t="str">
        <f>IFERROR(__xludf.DUMMYFUNCTION("""COMPUTED_VALUE"""),"https://www.dentsu.com/uk/en/media-and-investors/elevating-marketing-measurement-for-the-modern-era")</f>
        <v>https://www.dentsu.com/uk/en/media-and-investors/elevating-marketing-measurement-for-the-modern-era</v>
      </c>
      <c r="B6" s="15" t="str">
        <f>IFERROR(__xludf.DUMMYFUNCTION("""COMPUTED_VALUE"""),"dentsu and Google Meridian: Elevating Marketing Measurement for the Modern Era")</f>
        <v>dentsu and Google Meridian: Elevating Marketing Measurement for the Modern Era</v>
      </c>
      <c r="C6" s="14" t="str">
        <f>IFERROR(__xludf.DUMMYFUNCTION("""COMPUTED_VALUE"""),"dentsu.com")</f>
        <v>dentsu.com</v>
      </c>
      <c r="D6" s="15" t="str">
        <f>IFERROR(__xludf.DUMMYFUNCTION("""COMPUTED_VALUE"""),"ARTICLE")</f>
        <v>ARTICLE</v>
      </c>
      <c r="E6" s="15" t="str">
        <f>IFERROR(__xludf.DUMMYFUNCTION("""COMPUTED_VALUE"""),"COMPETITOR")</f>
        <v>COMPETITOR</v>
      </c>
      <c r="F6" s="15" t="str">
        <f>IFERROR(__xludf.DUMMYFUNCTION("""COMPUTED_VALUE"""),"Article")</f>
        <v>Article</v>
      </c>
      <c r="G6" s="15" t="b">
        <f>IFERROR(__xludf.DUMMYFUNCTION("""COMPUTED_VALUE"""),FALSE)</f>
        <v>0</v>
      </c>
      <c r="H6" s="15" t="str">
        <f>IFERROR(__xludf.DUMMYFUNCTION("""COMPUTED_VALUE"""),"Dentsu")</f>
        <v>Dentsu</v>
      </c>
      <c r="I6" s="15">
        <f>IFERROR(__xludf.DUMMYFUNCTION("""COMPUTED_VALUE"""),11.0)</f>
        <v>11</v>
      </c>
      <c r="J6" s="15">
        <f>IFERROR(__xludf.DUMMYFUNCTION("""COMPUTED_VALUE"""),0.01)</f>
        <v>0.01</v>
      </c>
      <c r="K6" s="15">
        <f>IFERROR(__xludf.DUMMYFUNCTION("""COMPUTED_VALUE"""),1.45)</f>
        <v>1.45</v>
      </c>
    </row>
    <row r="7" ht="15.75" customHeight="1">
      <c r="A7" s="14" t="str">
        <f>IFERROR(__xludf.DUMMYFUNCTION("""COMPUTED_VALUE"""),"https://supermetrics.com/blog/incrementality-testing")</f>
        <v>https://supermetrics.com/blog/incrementality-testing</v>
      </c>
      <c r="B7" s="15" t="str">
        <f>IFERROR(__xludf.DUMMYFUNCTION("""COMPUTED_VALUE"""),"Incrementality Testing – The Only Guide You Need")</f>
        <v>Incrementality Testing – The Only Guide You Need</v>
      </c>
      <c r="C7" s="14" t="str">
        <f>IFERROR(__xludf.DUMMYFUNCTION("""COMPUTED_VALUE"""),"supermetrics.com")</f>
        <v>supermetrics.com</v>
      </c>
      <c r="D7" s="15" t="str">
        <f>IFERROR(__xludf.DUMMYFUNCTION("""COMPUTED_VALUE"""),"ARTICLE")</f>
        <v>ARTICLE</v>
      </c>
      <c r="E7" s="15" t="str">
        <f>IFERROR(__xludf.DUMMYFUNCTION("""COMPUTED_VALUE"""),"CORPORATE")</f>
        <v>CORPORATE</v>
      </c>
      <c r="F7" s="15" t="str">
        <f>IFERROR(__xludf.DUMMYFUNCTION("""COMPUTED_VALUE"""),"Article")</f>
        <v>Article</v>
      </c>
      <c r="G7" s="15" t="b">
        <f>IFERROR(__xludf.DUMMYFUNCTION("""COMPUTED_VALUE"""),FALSE)</f>
        <v>0</v>
      </c>
      <c r="H7" s="15" t="str">
        <f>IFERROR(__xludf.DUMMYFUNCTION("""COMPUTED_VALUE"""),"Haus, Measured")</f>
        <v>Haus, Measured</v>
      </c>
      <c r="I7" s="15">
        <f>IFERROR(__xludf.DUMMYFUNCTION("""COMPUTED_VALUE"""),10.0)</f>
        <v>10</v>
      </c>
      <c r="J7" s="15">
        <f>IFERROR(__xludf.DUMMYFUNCTION("""COMPUTED_VALUE"""),0.01)</f>
        <v>0.01</v>
      </c>
      <c r="K7" s="15">
        <f>IFERROR(__xludf.DUMMYFUNCTION("""COMPUTED_VALUE"""),0.1)</f>
        <v>0.1</v>
      </c>
    </row>
    <row r="8" ht="15.75" customHeight="1">
      <c r="A8" s="14" t="str">
        <f>IFERROR(__xludf.DUMMYFUNCTION("""COMPUTED_VALUE"""),"https://www.appsflyer.com/blog/tips-strategy/incrementality-testing-for-marketers/")</f>
        <v>https://www.appsflyer.com/blog/tips-strategy/incrementality-testing-for-marketers/</v>
      </c>
      <c r="B8" s="15" t="str">
        <f>IFERROR(__xludf.DUMMYFUNCTION("""COMPUTED_VALUE"""),"Incrementality testing 101: Marketers 2023 guide | AppsFlyer")</f>
        <v>Incrementality testing 101: Marketers 2023 guide | AppsFlyer</v>
      </c>
      <c r="C8" s="14" t="str">
        <f>IFERROR(__xludf.DUMMYFUNCTION("""COMPUTED_VALUE"""),"appsflyer.com")</f>
        <v>appsflyer.com</v>
      </c>
      <c r="D8" s="15" t="str">
        <f>IFERROR(__xludf.DUMMYFUNCTION("""COMPUTED_VALUE"""),"ARTICLE")</f>
        <v>ARTICLE</v>
      </c>
      <c r="E8" s="15" t="str">
        <f>IFERROR(__xludf.DUMMYFUNCTION("""COMPUTED_VALUE"""),"CORPORATE")</f>
        <v>CORPORATE</v>
      </c>
      <c r="F8" s="15" t="str">
        <f>IFERROR(__xludf.DUMMYFUNCTION("""COMPUTED_VALUE"""),"Article")</f>
        <v>Article</v>
      </c>
      <c r="G8" s="15" t="b">
        <f>IFERROR(__xludf.DUMMYFUNCTION("""COMPUTED_VALUE"""),FALSE)</f>
        <v>0</v>
      </c>
      <c r="H8" s="15"/>
      <c r="I8" s="15">
        <f>IFERROR(__xludf.DUMMYFUNCTION("""COMPUTED_VALUE"""),8.0)</f>
        <v>8</v>
      </c>
      <c r="J8" s="15">
        <f>IFERROR(__xludf.DUMMYFUNCTION("""COMPUTED_VALUE"""),0.01)</f>
        <v>0.01</v>
      </c>
      <c r="K8" s="15">
        <f>IFERROR(__xludf.DUMMYFUNCTION("""COMPUTED_VALUE"""),0.0)</f>
        <v>0</v>
      </c>
    </row>
    <row r="9" ht="15.75" customHeight="1">
      <c r="A9" s="14" t="str">
        <f>IFERROR(__xludf.DUMMYFUNCTION("""COMPUTED_VALUE"""),"https://inbeat.agency/blog/incrementality-testing")</f>
        <v>https://inbeat.agency/blog/incrementality-testing</v>
      </c>
      <c r="B9" s="15" t="str">
        <f>IFERROR(__xludf.DUMMYFUNCTION("""COMPUTED_VALUE"""),"Incrementality Testing: Calculations, Examples, and More for 2025 - inBeat Agency")</f>
        <v>Incrementality Testing: Calculations, Examples, and More for 2025 - inBeat Agency</v>
      </c>
      <c r="C9" s="15" t="str">
        <f>IFERROR(__xludf.DUMMYFUNCTION("""COMPUTED_VALUE"""),"inbeat.agency")</f>
        <v>inbeat.agency</v>
      </c>
      <c r="D9" s="15" t="str">
        <f>IFERROR(__xludf.DUMMYFUNCTION("""COMPUTED_VALUE"""),"ARTICLE")</f>
        <v>ARTICLE</v>
      </c>
      <c r="E9" s="15" t="str">
        <f>IFERROR(__xludf.DUMMYFUNCTION("""COMPUTED_VALUE"""),"COMPETITOR")</f>
        <v>COMPETITOR</v>
      </c>
      <c r="F9" s="15" t="str">
        <f>IFERROR(__xludf.DUMMYFUNCTION("""COMPUTED_VALUE"""),"Article")</f>
        <v>Article</v>
      </c>
      <c r="G9" s="15" t="b">
        <f>IFERROR(__xludf.DUMMYFUNCTION("""COMPUTED_VALUE"""),FALSE)</f>
        <v>0</v>
      </c>
      <c r="H9" s="15" t="str">
        <f>IFERROR(__xludf.DUMMYFUNCTION("""COMPUTED_VALUE"""),"inBeat, Nielsen, Measured, Found, Push")</f>
        <v>inBeat, Nielsen, Measured, Found, Push</v>
      </c>
      <c r="I9" s="15">
        <f>IFERROR(__xludf.DUMMYFUNCTION("""COMPUTED_VALUE"""),8.0)</f>
        <v>8</v>
      </c>
      <c r="J9" s="15">
        <f>IFERROR(__xludf.DUMMYFUNCTION("""COMPUTED_VALUE"""),0.01)</f>
        <v>0.01</v>
      </c>
      <c r="K9" s="15">
        <f>IFERROR(__xludf.DUMMYFUNCTION("""COMPUTED_VALUE"""),0.25)</f>
        <v>0.25</v>
      </c>
    </row>
    <row r="10" ht="15.75" customHeight="1">
      <c r="A10" s="14" t="str">
        <f>IFERROR(__xludf.DUMMYFUNCTION("""COMPUTED_VALUE"""),"https://www.reuters.com/business/publicis-raises-growth-target-ai-driven-marketing-demand-stays-strong-2026-07-16/")</f>
        <v>https://www.reuters.com/business/publicis-raises-growth-target-ai-driven-marketing-demand-stays-strong-2026-07-16/</v>
      </c>
      <c r="B10" s="15" t="str">
        <f>IFERROR(__xludf.DUMMYFUNCTION("""COMPUTED_VALUE"""),"Publicis raises growth target as AI-driven marketing demand stays strong \| Reuters")</f>
        <v>Publicis raises growth target as AI-driven marketing demand stays strong \| Reuters</v>
      </c>
      <c r="C10" s="14" t="str">
        <f>IFERROR(__xludf.DUMMYFUNCTION("""COMPUTED_VALUE"""),"reuters.com")</f>
        <v>reuters.com</v>
      </c>
      <c r="D10" s="15" t="str">
        <f>IFERROR(__xludf.DUMMYFUNCTION("""COMPUTED_VALUE"""),"ARTICLE")</f>
        <v>ARTICLE</v>
      </c>
      <c r="E10" s="15" t="str">
        <f>IFERROR(__xludf.DUMMYFUNCTION("""COMPUTED_VALUE"""),"EDITORIAL")</f>
        <v>EDITORIAL</v>
      </c>
      <c r="F10" s="15" t="str">
        <f>IFERROR(__xludf.DUMMYFUNCTION("""COMPUTED_VALUE"""),"Article")</f>
        <v>Article</v>
      </c>
      <c r="G10" s="15" t="b">
        <f>IFERROR(__xludf.DUMMYFUNCTION("""COMPUTED_VALUE"""),FALSE)</f>
        <v>0</v>
      </c>
      <c r="H10" s="15" t="str">
        <f>IFERROR(__xludf.DUMMYFUNCTION("""COMPUTED_VALUE"""),"Publicis Groupe")</f>
        <v>Publicis Groupe</v>
      </c>
      <c r="I10" s="15">
        <f>IFERROR(__xludf.DUMMYFUNCTION("""COMPUTED_VALUE"""),8.0)</f>
        <v>8</v>
      </c>
      <c r="J10" s="15">
        <f>IFERROR(__xludf.DUMMYFUNCTION("""COMPUTED_VALUE"""),0.01)</f>
        <v>0.01</v>
      </c>
      <c r="K10" s="15">
        <f>IFERROR(__xludf.DUMMYFUNCTION("""COMPUTED_VALUE"""),2.0)</f>
        <v>2</v>
      </c>
    </row>
    <row r="11" ht="15.75" customHeight="1">
      <c r="A11" s="14" t="str">
        <f>IFERROR(__xludf.DUMMYFUNCTION("""COMPUTED_VALUE"""),"https://sellforte.com/blog/what-is-incrementality-testing")</f>
        <v>https://sellforte.com/blog/what-is-incrementality-testing</v>
      </c>
      <c r="B11" s="15" t="str">
        <f>IFERROR(__xludf.DUMMYFUNCTION("""COMPUTED_VALUE"""),"What is Incrementality Testing? Guide for Marketers")</f>
        <v>What is Incrementality Testing? Guide for Marketers</v>
      </c>
      <c r="C11" s="14" t="str">
        <f>IFERROR(__xludf.DUMMYFUNCTION("""COMPUTED_VALUE"""),"sellforte.com")</f>
        <v>sellforte.com</v>
      </c>
      <c r="D11" s="15" t="str">
        <f>IFERROR(__xludf.DUMMYFUNCTION("""COMPUTED_VALUE"""),"ARTICLE")</f>
        <v>ARTICLE</v>
      </c>
      <c r="E11" s="15" t="str">
        <f>IFERROR(__xludf.DUMMYFUNCTION("""COMPUTED_VALUE"""),"COMPETITOR")</f>
        <v>COMPETITOR</v>
      </c>
      <c r="F11" s="15" t="str">
        <f>IFERROR(__xludf.DUMMYFUNCTION("""COMPUTED_VALUE"""),"Article")</f>
        <v>Article</v>
      </c>
      <c r="G11" s="15" t="b">
        <f>IFERROR(__xludf.DUMMYFUNCTION("""COMPUTED_VALUE"""),FALSE)</f>
        <v>0</v>
      </c>
      <c r="H11" s="15" t="str">
        <f>IFERROR(__xludf.DUMMYFUNCTION("""COMPUTED_VALUE"""),"Sellforte, Huge, Measured, Found")</f>
        <v>Sellforte, Huge, Measured, Found</v>
      </c>
      <c r="I11" s="15">
        <f>IFERROR(__xludf.DUMMYFUNCTION("""COMPUTED_VALUE"""),7.0)</f>
        <v>7</v>
      </c>
      <c r="J11" s="15">
        <f>IFERROR(__xludf.DUMMYFUNCTION("""COMPUTED_VALUE"""),0.01)</f>
        <v>0.01</v>
      </c>
      <c r="K11" s="15">
        <f>IFERROR(__xludf.DUMMYFUNCTION("""COMPUTED_VALUE"""),1.14)</f>
        <v>1.14</v>
      </c>
    </row>
    <row r="12" ht="15.75" customHeight="1">
      <c r="A12" s="14" t="str">
        <f>IFERROR(__xludf.DUMMYFUNCTION("""COMPUTED_VALUE"""),"https://www.ie.edu/uncover-ie/the-big-six-agencies-marcom-ie-business-school/")</f>
        <v>https://www.ie.edu/uncover-ie/the-big-six-agencies-marcom-ie-business-school/</v>
      </c>
      <c r="B12" s="15" t="str">
        <f>IFERROR(__xludf.DUMMYFUNCTION("""COMPUTED_VALUE"""),"Big Six Agency Networks: Owners, Brands &amp;amp; Services (2026)")</f>
        <v>Big Six Agency Networks: Owners, Brands &amp;amp; Services (2026)</v>
      </c>
      <c r="C12" s="14" t="str">
        <f>IFERROR(__xludf.DUMMYFUNCTION("""COMPUTED_VALUE"""),"ie.edu")</f>
        <v>ie.edu</v>
      </c>
      <c r="D12" s="15" t="str">
        <f>IFERROR(__xludf.DUMMYFUNCTION("""COMPUTED_VALUE"""),"ARTICLE")</f>
        <v>ARTICLE</v>
      </c>
      <c r="E12" s="15" t="str">
        <f>IFERROR(__xludf.DUMMYFUNCTION("""COMPUTED_VALUE"""),"INSTITUTIONAL")</f>
        <v>INSTITUTIONAL</v>
      </c>
      <c r="F12" s="15" t="str">
        <f>IFERROR(__xludf.DUMMYFUNCTION("""COMPUTED_VALUE"""),"Article")</f>
        <v>Article</v>
      </c>
      <c r="G12" s="15" t="b">
        <f>IFERROR(__xludf.DUMMYFUNCTION("""COMPUTED_VALUE"""),FALSE)</f>
        <v>0</v>
      </c>
      <c r="H12" s="15" t="str">
        <f>IFERROR(__xludf.DUMMYFUNCTION("""COMPUTED_VALUE"""),"WPP, Omnicom, Dentsu, Ogilvy, GroupM, Publicis Groupe, Saatchi &amp; Saatchi, BBH London, Merkle")</f>
        <v>WPP, Omnicom, Dentsu, Ogilvy, GroupM, Publicis Groupe, Saatchi &amp; Saatchi, BBH London, Merkle</v>
      </c>
      <c r="I12" s="15">
        <f>IFERROR(__xludf.DUMMYFUNCTION("""COMPUTED_VALUE"""),5.0)</f>
        <v>5</v>
      </c>
      <c r="J12" s="15">
        <f>IFERROR(__xludf.DUMMYFUNCTION("""COMPUTED_VALUE"""),0.0)</f>
        <v>0</v>
      </c>
      <c r="K12" s="15">
        <f>IFERROR(__xludf.DUMMYFUNCTION("""COMPUTED_VALUE"""),0.8)</f>
        <v>0.8</v>
      </c>
    </row>
    <row r="13" ht="15.75" customHeight="1">
      <c r="A13" s="14" t="str">
        <f>IFERROR(__xludf.DUMMYFUNCTION("""COMPUTED_VALUE"""),"https://www.the7stars.co.uk/blog/the7stars-becomes-a-google-marketing-platform-certified-partner/")</f>
        <v>https://www.the7stars.co.uk/blog/the7stars-becomes-a-google-marketing-platform-certified-partner/</v>
      </c>
      <c r="B13" s="15" t="str">
        <f>IFERROR(__xludf.DUMMYFUNCTION("""COMPUTED_VALUE"""),"the7stars | The UKs largest Independent Media Agency | the7stars")</f>
        <v>the7stars | The UKs largest Independent Media Agency | the7stars</v>
      </c>
      <c r="C13" s="14" t="str">
        <f>IFERROR(__xludf.DUMMYFUNCTION("""COMPUTED_VALUE"""),"the7stars.co.uk")</f>
        <v>the7stars.co.uk</v>
      </c>
      <c r="D13" s="15" t="str">
        <f>IFERROR(__xludf.DUMMYFUNCTION("""COMPUTED_VALUE"""),"ARTICLE")</f>
        <v>ARTICLE</v>
      </c>
      <c r="E13" s="15" t="str">
        <f>IFERROR(__xludf.DUMMYFUNCTION("""COMPUTED_VALUE"""),"CORPORATE")</f>
        <v>CORPORATE</v>
      </c>
      <c r="F13" s="15" t="str">
        <f>IFERROR(__xludf.DUMMYFUNCTION("""COMPUTED_VALUE"""),"Article")</f>
        <v>Article</v>
      </c>
      <c r="G13" s="15" t="b">
        <f>IFERROR(__xludf.DUMMYFUNCTION("""COMPUTED_VALUE"""),FALSE)</f>
        <v>0</v>
      </c>
      <c r="H13" s="15"/>
      <c r="I13" s="15">
        <f>IFERROR(__xludf.DUMMYFUNCTION("""COMPUTED_VALUE"""),5.0)</f>
        <v>5</v>
      </c>
      <c r="J13" s="15">
        <f>IFERROR(__xludf.DUMMYFUNCTION("""COMPUTED_VALUE"""),0.0)</f>
        <v>0</v>
      </c>
      <c r="K13" s="15">
        <f>IFERROR(__xludf.DUMMYFUNCTION("""COMPUTED_VALUE"""),0.8)</f>
        <v>0.8</v>
      </c>
    </row>
    <row r="14" ht="15.75" customHeight="1">
      <c r="A14" s="14" t="str">
        <f>IFERROR(__xludf.DUMMYFUNCTION("""COMPUTED_VALUE"""),"https://www.techradar.com/pro/hubspot-increased-leads-by-1850-percent-and-we-asked-them-how-the-aeo-playbook")</f>
        <v>https://www.techradar.com/pro/hubspot-increased-leads-by-1850-percent-and-we-asked-them-how-the-aeo-playbook</v>
      </c>
      <c r="B14" s="15" t="str">
        <f>IFERROR(__xludf.DUMMYFUNCTION("""COMPUTED_VALUE"""),"HubSpot increased leads by 1850%, and we asked them how: The AEO playbook | TechRadar")</f>
        <v>HubSpot increased leads by 1850%, and we asked them how: The AEO playbook | TechRadar</v>
      </c>
      <c r="C14" s="14" t="str">
        <f>IFERROR(__xludf.DUMMYFUNCTION("""COMPUTED_VALUE"""),"techradar.com")</f>
        <v>techradar.com</v>
      </c>
      <c r="D14" s="15" t="str">
        <f>IFERROR(__xludf.DUMMYFUNCTION("""COMPUTED_VALUE"""),"ARTICLE")</f>
        <v>ARTICLE</v>
      </c>
      <c r="E14" s="15" t="str">
        <f>IFERROR(__xludf.DUMMYFUNCTION("""COMPUTED_VALUE"""),"EDITORIAL")</f>
        <v>EDITORIAL</v>
      </c>
      <c r="F14" s="15" t="str">
        <f>IFERROR(__xludf.DUMMYFUNCTION("""COMPUTED_VALUE"""),"Article")</f>
        <v>Article</v>
      </c>
      <c r="G14" s="15" t="b">
        <f>IFERROR(__xludf.DUMMYFUNCTION("""COMPUTED_VALUE"""),FALSE)</f>
        <v>0</v>
      </c>
      <c r="H14" s="15"/>
      <c r="I14" s="15">
        <f>IFERROR(__xludf.DUMMYFUNCTION("""COMPUTED_VALUE"""),4.0)</f>
        <v>4</v>
      </c>
      <c r="J14" s="15">
        <f>IFERROR(__xludf.DUMMYFUNCTION("""COMPUTED_VALUE"""),0.0)</f>
        <v>0</v>
      </c>
      <c r="K14" s="15">
        <f>IFERROR(__xludf.DUMMYFUNCTION("""COMPUTED_VALUE"""),2.0)</f>
        <v>2</v>
      </c>
    </row>
    <row r="15" ht="15.75" customHeight="1">
      <c r="A15" s="14" t="str">
        <f>IFERROR(__xludf.DUMMYFUNCTION("""COMPUTED_VALUE"""),"https://www.architecturaldigest.com/story/is-your-business-ready-for-the-ai-overview-era")</f>
        <v>https://www.architecturaldigest.com/story/is-your-business-ready-for-the-ai-overview-era</v>
      </c>
      <c r="B15" s="15" t="str">
        <f>IFERROR(__xludf.DUMMYFUNCTION("""COMPUTED_VALUE"""),"Is Your Business Ready for the AI Overview Era? | Architectural Digest")</f>
        <v>Is Your Business Ready for the AI Overview Era? | Architectural Digest</v>
      </c>
      <c r="C15" s="14" t="str">
        <f>IFERROR(__xludf.DUMMYFUNCTION("""COMPUTED_VALUE"""),"architecturaldigest.com")</f>
        <v>architecturaldigest.com</v>
      </c>
      <c r="D15" s="15" t="str">
        <f>IFERROR(__xludf.DUMMYFUNCTION("""COMPUTED_VALUE"""),"ARTICLE")</f>
        <v>ARTICLE</v>
      </c>
      <c r="E15" s="15" t="str">
        <f>IFERROR(__xludf.DUMMYFUNCTION("""COMPUTED_VALUE"""),"EDITORIAL")</f>
        <v>EDITORIAL</v>
      </c>
      <c r="F15" s="15" t="str">
        <f>IFERROR(__xludf.DUMMYFUNCTION("""COMPUTED_VALUE"""),"Article")</f>
        <v>Article</v>
      </c>
      <c r="G15" s="15" t="b">
        <f>IFERROR(__xludf.DUMMYFUNCTION("""COMPUTED_VALUE"""),FALSE)</f>
        <v>0</v>
      </c>
      <c r="H15" s="15"/>
      <c r="I15" s="15">
        <f>IFERROR(__xludf.DUMMYFUNCTION("""COMPUTED_VALUE"""),3.0)</f>
        <v>3</v>
      </c>
      <c r="J15" s="15">
        <f>IFERROR(__xludf.DUMMYFUNCTION("""COMPUTED_VALUE"""),0.0)</f>
        <v>0</v>
      </c>
      <c r="K15" s="15">
        <f>IFERROR(__xludf.DUMMYFUNCTION("""COMPUTED_VALUE"""),1.67)</f>
        <v>1.67</v>
      </c>
    </row>
    <row r="16" ht="15.75" customHeight="1">
      <c r="A16" s="14" t="str">
        <f>IFERROR(__xludf.DUMMYFUNCTION("""COMPUTED_VALUE"""),"https://www.ft.com/content/ccf5ea33-1398-4b9d-8bf6-a403f2f5493e")</f>
        <v>https://www.ft.com/content/ccf5ea33-1398-4b9d-8bf6-a403f2f5493e</v>
      </c>
      <c r="B16" s="15" t="str">
        <f>IFERROR(__xludf.DUMMYFUNCTION("""COMPUTED_VALUE"""),"Subscribe to read")</f>
        <v>Subscribe to read</v>
      </c>
      <c r="C16" s="14" t="str">
        <f>IFERROR(__xludf.DUMMYFUNCTION("""COMPUTED_VALUE"""),"ft.com")</f>
        <v>ft.com</v>
      </c>
      <c r="D16" s="15" t="str">
        <f>IFERROR(__xludf.DUMMYFUNCTION("""COMPUTED_VALUE"""),"ARTICLE")</f>
        <v>ARTICLE</v>
      </c>
      <c r="E16" s="15" t="str">
        <f>IFERROR(__xludf.DUMMYFUNCTION("""COMPUTED_VALUE"""),"EDITORIAL")</f>
        <v>EDITORIAL</v>
      </c>
      <c r="F16" s="15" t="str">
        <f>IFERROR(__xludf.DUMMYFUNCTION("""COMPUTED_VALUE"""),"Article")</f>
        <v>Article</v>
      </c>
      <c r="G16" s="15" t="b">
        <f>IFERROR(__xludf.DUMMYFUNCTION("""COMPUTED_VALUE"""),FALSE)</f>
        <v>0</v>
      </c>
      <c r="H16" s="15" t="str">
        <f>IFERROR(__xludf.DUMMYFUNCTION("""COMPUTED_VALUE"""),"WPP")</f>
        <v>WPP</v>
      </c>
      <c r="I16" s="15">
        <f>IFERROR(__xludf.DUMMYFUNCTION("""COMPUTED_VALUE"""),3.0)</f>
        <v>3</v>
      </c>
      <c r="J16" s="15">
        <f>IFERROR(__xludf.DUMMYFUNCTION("""COMPUTED_VALUE"""),0.0)</f>
        <v>0</v>
      </c>
      <c r="K16" s="15">
        <f>IFERROR(__xludf.DUMMYFUNCTION("""COMPUTED_VALUE"""),1.67)</f>
        <v>1.67</v>
      </c>
    </row>
    <row r="17" ht="15.75" customHeight="1">
      <c r="A17" s="14" t="str">
        <f>IFERROR(__xludf.DUMMYFUNCTION("""COMPUTED_VALUE"""),"https://www.happyhourproductions.co.uk/insights/top-creative-agencies-2026")</f>
        <v>https://www.happyhourproductions.co.uk/insights/top-creative-agencies-2026</v>
      </c>
      <c r="B17" s="15" t="str">
        <f>IFERROR(__xludf.DUMMYFUNCTION("""COMPUTED_VALUE"""),"Happy Hour Ranked in Campaign Magazine's Top 20 UK Creative Agencies for 2026 | Happy Hour Productions")</f>
        <v>Happy Hour Ranked in Campaign Magazine's Top 20 UK Creative Agencies for 2026 | Happy Hour Productions</v>
      </c>
      <c r="C17" s="14" t="str">
        <f>IFERROR(__xludf.DUMMYFUNCTION("""COMPUTED_VALUE"""),"happyhourproductions.co.uk")</f>
        <v>happyhourproductions.co.uk</v>
      </c>
      <c r="D17" s="15" t="str">
        <f>IFERROR(__xludf.DUMMYFUNCTION("""COMPUTED_VALUE"""),"ARTICLE")</f>
        <v>ARTICLE</v>
      </c>
      <c r="E17" s="15" t="str">
        <f>IFERROR(__xludf.DUMMYFUNCTION("""COMPUTED_VALUE"""),"CORPORATE")</f>
        <v>CORPORATE</v>
      </c>
      <c r="F17" s="15" t="str">
        <f>IFERROR(__xludf.DUMMYFUNCTION("""COMPUTED_VALUE"""),"Article")</f>
        <v>Article</v>
      </c>
      <c r="G17" s="15" t="b">
        <f>IFERROR(__xludf.DUMMYFUNCTION("""COMPUTED_VALUE"""),FALSE)</f>
        <v>0</v>
      </c>
      <c r="H17" s="15" t="str">
        <f>IFERROR(__xludf.DUMMYFUNCTION("""COMPUTED_VALUE"""),"Huge")</f>
        <v>Huge</v>
      </c>
      <c r="I17" s="15">
        <f>IFERROR(__xludf.DUMMYFUNCTION("""COMPUTED_VALUE"""),3.0)</f>
        <v>3</v>
      </c>
      <c r="J17" s="15">
        <f>IFERROR(__xludf.DUMMYFUNCTION("""COMPUTED_VALUE"""),0.0)</f>
        <v>0</v>
      </c>
      <c r="K17" s="15">
        <f>IFERROR(__xludf.DUMMYFUNCTION("""COMPUTED_VALUE"""),0.0)</f>
        <v>0</v>
      </c>
    </row>
    <row r="18" ht="15.75" customHeight="1">
      <c r="A18" s="14" t="str">
        <f>IFERROR(__xludf.DUMMYFUNCTION("""COMPUTED_VALUE"""),"https://saatchi.co.uk/news/john-lewis-partnership-appoints-saatchi/")</f>
        <v>https://saatchi.co.uk/news/john-lewis-partnership-appoints-saatchi/</v>
      </c>
      <c r="B18" s="15" t="str">
        <f>IFERROR(__xludf.DUMMYFUNCTION("""COMPUTED_VALUE"""),"John Lewis Partnership appoints Saatchi &amp;amp; Saatchi as new creative partner - Saatchi &amp;amp; Saatchi London")</f>
        <v>John Lewis Partnership appoints Saatchi &amp;amp; Saatchi as new creative partner - Saatchi &amp;amp; Saatchi London</v>
      </c>
      <c r="C18" s="14" t="str">
        <f>IFERROR(__xludf.DUMMYFUNCTION("""COMPUTED_VALUE"""),"saatchi.co.uk")</f>
        <v>saatchi.co.uk</v>
      </c>
      <c r="D18" s="15" t="str">
        <f>IFERROR(__xludf.DUMMYFUNCTION("""COMPUTED_VALUE"""),"ARTICLE")</f>
        <v>ARTICLE</v>
      </c>
      <c r="E18" s="15" t="str">
        <f>IFERROR(__xludf.DUMMYFUNCTION("""COMPUTED_VALUE"""),"COMPETITOR")</f>
        <v>COMPETITOR</v>
      </c>
      <c r="F18" s="15" t="str">
        <f>IFERROR(__xludf.DUMMYFUNCTION("""COMPUTED_VALUE"""),"Article")</f>
        <v>Article</v>
      </c>
      <c r="G18" s="15" t="b">
        <f>IFERROR(__xludf.DUMMYFUNCTION("""COMPUTED_VALUE"""),FALSE)</f>
        <v>0</v>
      </c>
      <c r="H18" s="15" t="str">
        <f>IFERROR(__xludf.DUMMYFUNCTION("""COMPUTED_VALUE"""),"Saatchi &amp; Saatchi, Adam&amp;eveDDB, Publicis Groupe, Push, Varn")</f>
        <v>Saatchi &amp; Saatchi, Adam&amp;eveDDB, Publicis Groupe, Push, Varn</v>
      </c>
      <c r="I18" s="15">
        <f>IFERROR(__xludf.DUMMYFUNCTION("""COMPUTED_VALUE"""),3.0)</f>
        <v>3</v>
      </c>
      <c r="J18" s="15">
        <f>IFERROR(__xludf.DUMMYFUNCTION("""COMPUTED_VALUE"""),0.0)</f>
        <v>0</v>
      </c>
      <c r="K18" s="15">
        <f>IFERROR(__xludf.DUMMYFUNCTION("""COMPUTED_VALUE"""),0.67)</f>
        <v>0.67</v>
      </c>
    </row>
    <row r="19" ht="15.75" customHeight="1">
      <c r="A19" s="14" t="str">
        <f>IFERROR(__xludf.DUMMYFUNCTION("""COMPUTED_VALUE"""),"https://www.wsj.com/cio-journal/the-ai-superfans-companies-count-on-to-convert-the-skeptics-5b301a90")</f>
        <v>https://www.wsj.com/cio-journal/the-ai-superfans-companies-count-on-to-convert-the-skeptics-5b301a90</v>
      </c>
      <c r="B19" s="15" t="str">
        <f>IFERROR(__xludf.DUMMYFUNCTION("""COMPUTED_VALUE"""),"The AI Superfans Companies Count On to Convert the Skeptics - WSJ")</f>
        <v>The AI Superfans Companies Count On to Convert the Skeptics - WSJ</v>
      </c>
      <c r="C19" s="14" t="str">
        <f>IFERROR(__xludf.DUMMYFUNCTION("""COMPUTED_VALUE"""),"wsj.com")</f>
        <v>wsj.com</v>
      </c>
      <c r="D19" s="15" t="str">
        <f>IFERROR(__xludf.DUMMYFUNCTION("""COMPUTED_VALUE"""),"ARTICLE")</f>
        <v>ARTICLE</v>
      </c>
      <c r="E19" s="15" t="str">
        <f>IFERROR(__xludf.DUMMYFUNCTION("""COMPUTED_VALUE"""),"EDITORIAL")</f>
        <v>EDITORIAL</v>
      </c>
      <c r="F19" s="15" t="str">
        <f>IFERROR(__xludf.DUMMYFUNCTION("""COMPUTED_VALUE"""),"Article")</f>
        <v>Article</v>
      </c>
      <c r="G19" s="15" t="b">
        <f>IFERROR(__xludf.DUMMYFUNCTION("""COMPUTED_VALUE"""),FALSE)</f>
        <v>0</v>
      </c>
      <c r="H19" s="15"/>
      <c r="I19" s="15">
        <f>IFERROR(__xludf.DUMMYFUNCTION("""COMPUTED_VALUE"""),3.0)</f>
        <v>3</v>
      </c>
      <c r="J19" s="15">
        <f>IFERROR(__xludf.DUMMYFUNCTION("""COMPUTED_VALUE"""),0.0)</f>
        <v>0</v>
      </c>
      <c r="K19" s="15">
        <f>IFERROR(__xludf.DUMMYFUNCTION("""COMPUTED_VALUE"""),1.67)</f>
        <v>1.67</v>
      </c>
    </row>
    <row r="20" ht="15.75" customHeight="1">
      <c r="A20" s="14" t="str">
        <f>IFERROR(__xludf.DUMMYFUNCTION("""COMPUTED_VALUE"""),"https://anicca.co.uk/blog/map-of-uk-google-ads-premier-partner-agencies-march-2022/")</f>
        <v>https://anicca.co.uk/blog/map-of-uk-google-ads-premier-partner-agencies-march-2022/</v>
      </c>
      <c r="B20" s="15" t="str">
        <f>IFERROR(__xludf.DUMMYFUNCTION("""COMPUTED_VALUE"""),"Interactive Map of UK Google Ads Premier Partner Agencies (2022)")</f>
        <v>Interactive Map of UK Google Ads Premier Partner Agencies (2022)</v>
      </c>
      <c r="C20" s="14" t="str">
        <f>IFERROR(__xludf.DUMMYFUNCTION("""COMPUTED_VALUE"""),"anicca.co.uk")</f>
        <v>anicca.co.uk</v>
      </c>
      <c r="D20" s="15" t="str">
        <f>IFERROR(__xludf.DUMMYFUNCTION("""COMPUTED_VALUE"""),"ARTICLE")</f>
        <v>ARTICLE</v>
      </c>
      <c r="E20" s="15" t="str">
        <f>IFERROR(__xludf.DUMMYFUNCTION("""COMPUTED_VALUE"""),"COMPETITOR")</f>
        <v>COMPETITOR</v>
      </c>
      <c r="F20" s="15" t="str">
        <f>IFERROR(__xludf.DUMMYFUNCTION("""COMPUTED_VALUE"""),"Article")</f>
        <v>Article</v>
      </c>
      <c r="G20" s="15" t="b">
        <f>IFERROR(__xludf.DUMMYFUNCTION("""COMPUTED_VALUE"""),FALSE)</f>
        <v>0</v>
      </c>
      <c r="H20" s="15" t="str">
        <f>IFERROR(__xludf.DUMMYFUNCTION("""COMPUTED_VALUE"""),"Anicca Digital, Found")</f>
        <v>Anicca Digital, Found</v>
      </c>
      <c r="I20" s="15">
        <f>IFERROR(__xludf.DUMMYFUNCTION("""COMPUTED_VALUE"""),2.0)</f>
        <v>2</v>
      </c>
      <c r="J20" s="15">
        <f>IFERROR(__xludf.DUMMYFUNCTION("""COMPUTED_VALUE"""),0.0)</f>
        <v>0</v>
      </c>
      <c r="K20" s="15">
        <f>IFERROR(__xludf.DUMMYFUNCTION("""COMPUTED_VALUE"""),0.5)</f>
        <v>0.5</v>
      </c>
    </row>
    <row r="21" ht="15.75" customHeight="1">
      <c r="A21" s="14" t="str">
        <f>IFERROR(__xludf.DUMMYFUNCTION("""COMPUTED_VALUE"""),"https://www.businessinsider.com/ai-adoption-strategies-companies-2026-7")</f>
        <v>https://www.businessinsider.com/ai-adoption-strategies-companies-2026-7</v>
      </c>
      <c r="B21" s="15" t="str">
        <f>IFERROR(__xludf.DUMMYFUNCTION("""COMPUTED_VALUE"""),"Adopting AI Is Easy. Using AI Effectively Is Hard. - Business Insider")</f>
        <v>Adopting AI Is Easy. Using AI Effectively Is Hard. - Business Insider</v>
      </c>
      <c r="C21" s="14" t="str">
        <f>IFERROR(__xludf.DUMMYFUNCTION("""COMPUTED_VALUE"""),"businessinsider.com")</f>
        <v>businessinsider.com</v>
      </c>
      <c r="D21" s="15" t="str">
        <f>IFERROR(__xludf.DUMMYFUNCTION("""COMPUTED_VALUE"""),"ARTICLE")</f>
        <v>ARTICLE</v>
      </c>
      <c r="E21" s="15" t="str">
        <f>IFERROR(__xludf.DUMMYFUNCTION("""COMPUTED_VALUE"""),"EDITORIAL")</f>
        <v>EDITORIAL</v>
      </c>
      <c r="F21" s="15" t="str">
        <f>IFERROR(__xludf.DUMMYFUNCTION("""COMPUTED_VALUE"""),"Article")</f>
        <v>Article</v>
      </c>
      <c r="G21" s="15" t="b">
        <f>IFERROR(__xludf.DUMMYFUNCTION("""COMPUTED_VALUE"""),FALSE)</f>
        <v>0</v>
      </c>
      <c r="H21" s="15" t="str">
        <f>IFERROR(__xludf.DUMMYFUNCTION("""COMPUTED_VALUE"""),"Found, McKinsey &amp; Company, PwC")</f>
        <v>Found, McKinsey &amp; Company, PwC</v>
      </c>
      <c r="I21" s="15">
        <f>IFERROR(__xludf.DUMMYFUNCTION("""COMPUTED_VALUE"""),2.0)</f>
        <v>2</v>
      </c>
      <c r="J21" s="15">
        <f>IFERROR(__xludf.DUMMYFUNCTION("""COMPUTED_VALUE"""),0.0)</f>
        <v>0</v>
      </c>
      <c r="K21" s="15">
        <f>IFERROR(__xludf.DUMMYFUNCTION("""COMPUTED_VALUE"""),1.5)</f>
        <v>1.5</v>
      </c>
    </row>
    <row r="22" ht="15.75" customHeight="1">
      <c r="A22" s="14" t="str">
        <f>IFERROR(__xludf.DUMMYFUNCTION("""COMPUTED_VALUE"""),"https://cleandigital.co.uk/blog/clean-digital-achieves-google-premier-partner-status")</f>
        <v>https://cleandigital.co.uk/blog/clean-digital-achieves-google-premier-partner-status</v>
      </c>
      <c r="B22" s="15" t="str">
        <f>IFERROR(__xludf.DUMMYFUNCTION("""COMPUTED_VALUE"""),"Clean Digital Achieves Google Premier Partner Status")</f>
        <v>Clean Digital Achieves Google Premier Partner Status</v>
      </c>
      <c r="C22" s="14" t="str">
        <f>IFERROR(__xludf.DUMMYFUNCTION("""COMPUTED_VALUE"""),"cleandigital.co.uk")</f>
        <v>cleandigital.co.uk</v>
      </c>
      <c r="D22" s="15" t="str">
        <f>IFERROR(__xludf.DUMMYFUNCTION("""COMPUTED_VALUE"""),"ARTICLE")</f>
        <v>ARTICLE</v>
      </c>
      <c r="E22" s="15" t="str">
        <f>IFERROR(__xludf.DUMMYFUNCTION("""COMPUTED_VALUE"""),"CORPORATE")</f>
        <v>CORPORATE</v>
      </c>
      <c r="F22" s="15" t="str">
        <f>IFERROR(__xludf.DUMMYFUNCTION("""COMPUTED_VALUE"""),"Article")</f>
        <v>Article</v>
      </c>
      <c r="G22" s="15" t="b">
        <f>IFERROR(__xludf.DUMMYFUNCTION("""COMPUTED_VALUE"""),FALSE)</f>
        <v>0</v>
      </c>
      <c r="H22" s="15"/>
      <c r="I22" s="15">
        <f>IFERROR(__xludf.DUMMYFUNCTION("""COMPUTED_VALUE"""),2.0)</f>
        <v>2</v>
      </c>
      <c r="J22" s="15">
        <f>IFERROR(__xludf.DUMMYFUNCTION("""COMPUTED_VALUE"""),0.0)</f>
        <v>0</v>
      </c>
      <c r="K22" s="15">
        <f>IFERROR(__xludf.DUMMYFUNCTION("""COMPUTED_VALUE"""),0.0)</f>
        <v>0</v>
      </c>
    </row>
    <row r="23" ht="15.75" customHeight="1">
      <c r="A23" s="14" t="str">
        <f>IFERROR(__xludf.DUMMYFUNCTION("""COMPUTED_VALUE"""),"https://www.deloitte.co.uk/fast50/winners/2016/winner-profiles/brainlabs/")</f>
        <v>https://www.deloitte.co.uk/fast50/winners/2016/winner-profiles/brainlabs/</v>
      </c>
      <c r="B23" s="15" t="str">
        <f>IFERROR(__xludf.DUMMYFUNCTION("""COMPUTED_VALUE"""),"Brainlabs | UK Technology Fast 50 | Deloitte UK")</f>
        <v>Brainlabs | UK Technology Fast 50 | Deloitte UK</v>
      </c>
      <c r="C23" s="14" t="str">
        <f>IFERROR(__xludf.DUMMYFUNCTION("""COMPUTED_VALUE"""),"deloitte.co.uk")</f>
        <v>deloitte.co.uk</v>
      </c>
      <c r="D23" s="15" t="str">
        <f>IFERROR(__xludf.DUMMYFUNCTION("""COMPUTED_VALUE"""),"ARTICLE")</f>
        <v>ARTICLE</v>
      </c>
      <c r="E23" s="15" t="str">
        <f>IFERROR(__xludf.DUMMYFUNCTION("""COMPUTED_VALUE"""),"CORPORATE")</f>
        <v>CORPORATE</v>
      </c>
      <c r="F23" s="15" t="str">
        <f>IFERROR(__xludf.DUMMYFUNCTION("""COMPUTED_VALUE"""),"Article")</f>
        <v>Article</v>
      </c>
      <c r="G23" s="15" t="b">
        <f>IFERROR(__xludf.DUMMYFUNCTION("""COMPUTED_VALUE"""),FALSE)</f>
        <v>0</v>
      </c>
      <c r="H23" s="15" t="str">
        <f>IFERROR(__xludf.DUMMYFUNCTION("""COMPUTED_VALUE"""),"Brainlabs")</f>
        <v>Brainlabs</v>
      </c>
      <c r="I23" s="15">
        <f>IFERROR(__xludf.DUMMYFUNCTION("""COMPUTED_VALUE"""),2.0)</f>
        <v>2</v>
      </c>
      <c r="J23" s="15">
        <f>IFERROR(__xludf.DUMMYFUNCTION("""COMPUTED_VALUE"""),0.0)</f>
        <v>0</v>
      </c>
      <c r="K23" s="15">
        <f>IFERROR(__xludf.DUMMYFUNCTION("""COMPUTED_VALUE"""),1.0)</f>
        <v>1</v>
      </c>
    </row>
    <row r="24" ht="15.75" customHeight="1">
      <c r="A24" s="14" t="str">
        <f>IFERROR(__xludf.DUMMYFUNCTION("""COMPUTED_VALUE"""),"https://www.itpro.com/business/business-strategy/ai-projects-are-stalling-at-mid-market-firms-google-cloud-and-accenture-want-to-solve-that")</f>
        <v>https://www.itpro.com/business/business-strategy/ai-projects-are-stalling-at-mid-market-firms-google-cloud-and-accenture-want-to-solve-that</v>
      </c>
      <c r="B24" s="15" t="str">
        <f>IFERROR(__xludf.DUMMYFUNCTION("""COMPUTED_VALUE"""),"AI projects are stalling at mid-market firms – Google Cloud and Accenture want to solve that | IT Pro")</f>
        <v>AI projects are stalling at mid-market firms – Google Cloud and Accenture want to solve that | IT Pro</v>
      </c>
      <c r="C24" s="14" t="str">
        <f>IFERROR(__xludf.DUMMYFUNCTION("""COMPUTED_VALUE"""),"itpro.com")</f>
        <v>itpro.com</v>
      </c>
      <c r="D24" s="15" t="str">
        <f>IFERROR(__xludf.DUMMYFUNCTION("""COMPUTED_VALUE"""),"ARTICLE")</f>
        <v>ARTICLE</v>
      </c>
      <c r="E24" s="15" t="str">
        <f>IFERROR(__xludf.DUMMYFUNCTION("""COMPUTED_VALUE"""),"EDITORIAL")</f>
        <v>EDITORIAL</v>
      </c>
      <c r="F24" s="15" t="str">
        <f>IFERROR(__xludf.DUMMYFUNCTION("""COMPUTED_VALUE"""),"Article")</f>
        <v>Article</v>
      </c>
      <c r="G24" s="15" t="b">
        <f>IFERROR(__xludf.DUMMYFUNCTION("""COMPUTED_VALUE"""),FALSE)</f>
        <v>0</v>
      </c>
      <c r="H24" s="15" t="str">
        <f>IFERROR(__xludf.DUMMYFUNCTION("""COMPUTED_VALUE"""),"Push, Found")</f>
        <v>Push, Found</v>
      </c>
      <c r="I24" s="15">
        <f>IFERROR(__xludf.DUMMYFUNCTION("""COMPUTED_VALUE"""),2.0)</f>
        <v>2</v>
      </c>
      <c r="J24" s="15">
        <f>IFERROR(__xludf.DUMMYFUNCTION("""COMPUTED_VALUE"""),0.0)</f>
        <v>0</v>
      </c>
      <c r="K24" s="15">
        <f>IFERROR(__xludf.DUMMYFUNCTION("""COMPUTED_VALUE"""),2.0)</f>
        <v>2</v>
      </c>
    </row>
    <row r="25" ht="15.75" customHeight="1">
      <c r="A25" s="14" t="str">
        <f>IFERROR(__xludf.DUMMYFUNCTION("""COMPUTED_VALUE"""),"https://www.mobitsolutions.com/digital-marketing-in-the-uk-what-agencies-charge-vs-what-you-get-back/")</f>
        <v>https://www.mobitsolutions.com/digital-marketing-in-the-uk-what-agencies-charge-vs-what-you-get-back/</v>
      </c>
      <c r="B25" s="15" t="str">
        <f>IFERROR(__xludf.DUMMYFUNCTION("""COMPUTED_VALUE"""),"Digital Marketing in the UK: What Agencies Charge vs. What You Get Back - Mobit Solutions Presents Cost Effective IT Solutions")</f>
        <v>Digital Marketing in the UK: What Agencies Charge vs. What You Get Back - Mobit Solutions Presents Cost Effective IT Solutions</v>
      </c>
      <c r="C25" s="14" t="str">
        <f>IFERROR(__xludf.DUMMYFUNCTION("""COMPUTED_VALUE"""),"mobitsolutions.com")</f>
        <v>mobitsolutions.com</v>
      </c>
      <c r="D25" s="15" t="str">
        <f>IFERROR(__xludf.DUMMYFUNCTION("""COMPUTED_VALUE"""),"ARTICLE")</f>
        <v>ARTICLE</v>
      </c>
      <c r="E25" s="15" t="str">
        <f>IFERROR(__xludf.DUMMYFUNCTION("""COMPUTED_VALUE"""),"CORPORATE")</f>
        <v>CORPORATE</v>
      </c>
      <c r="F25" s="15" t="str">
        <f>IFERROR(__xludf.DUMMYFUNCTION("""COMPUTED_VALUE"""),"Article")</f>
        <v>Article</v>
      </c>
      <c r="G25" s="15" t="b">
        <f>IFERROR(__xludf.DUMMYFUNCTION("""COMPUTED_VALUE"""),FALSE)</f>
        <v>0</v>
      </c>
      <c r="H25" s="15" t="str">
        <f>IFERROR(__xludf.DUMMYFUNCTION("""COMPUTED_VALUE"""),"Found, Bird Marketing, Impression, The Good Marketer, NoGood")</f>
        <v>Found, Bird Marketing, Impression, The Good Marketer, NoGood</v>
      </c>
      <c r="I25" s="15">
        <f>IFERROR(__xludf.DUMMYFUNCTION("""COMPUTED_VALUE"""),2.0)</f>
        <v>2</v>
      </c>
      <c r="J25" s="15">
        <f>IFERROR(__xludf.DUMMYFUNCTION("""COMPUTED_VALUE"""),0.0)</f>
        <v>0</v>
      </c>
      <c r="K25" s="15">
        <f>IFERROR(__xludf.DUMMYFUNCTION("""COMPUTED_VALUE"""),0.5)</f>
        <v>0.5</v>
      </c>
    </row>
    <row r="26" ht="15.75" customHeight="1">
      <c r="A26" s="14" t="str">
        <f>IFERROR(__xludf.DUMMYFUNCTION("""COMPUTED_VALUE"""),"https://www.thetimes.co.uk/article/open-communication-partners-fastest-growing-sunday-times-100-3m3klfjkf")</f>
        <v>https://www.thetimes.co.uk/article/open-communication-partners-fastest-growing-sunday-times-100-3m3klfjkf</v>
      </c>
      <c r="B26" s="15" t="str">
        <f>IFERROR(__xludf.DUMMYFUNCTION("""COMPUTED_VALUE"""),"Open Partners")</f>
        <v>Open Partners</v>
      </c>
      <c r="C26" s="14" t="str">
        <f>IFERROR(__xludf.DUMMYFUNCTION("""COMPUTED_VALUE"""),"thetimes.co.uk")</f>
        <v>thetimes.co.uk</v>
      </c>
      <c r="D26" s="15" t="str">
        <f>IFERROR(__xludf.DUMMYFUNCTION("""COMPUTED_VALUE"""),"ARTICLE")</f>
        <v>ARTICLE</v>
      </c>
      <c r="E26" s="15" t="str">
        <f>IFERROR(__xludf.DUMMYFUNCTION("""COMPUTED_VALUE"""),"EDITORIAL")</f>
        <v>EDITORIAL</v>
      </c>
      <c r="F26" s="15" t="str">
        <f>IFERROR(__xludf.DUMMYFUNCTION("""COMPUTED_VALUE"""),"Article")</f>
        <v>Article</v>
      </c>
      <c r="G26" s="15" t="b">
        <f>IFERROR(__xludf.DUMMYFUNCTION("""COMPUTED_VALUE"""),FALSE)</f>
        <v>0</v>
      </c>
      <c r="H26" s="15" t="str">
        <f>IFERROR(__xludf.DUMMYFUNCTION("""COMPUTED_VALUE"""),"Open Partners")</f>
        <v>Open Partners</v>
      </c>
      <c r="I26" s="15">
        <f>IFERROR(__xludf.DUMMYFUNCTION("""COMPUTED_VALUE"""),2.0)</f>
        <v>2</v>
      </c>
      <c r="J26" s="15">
        <f>IFERROR(__xludf.DUMMYFUNCTION("""COMPUTED_VALUE"""),0.0)</f>
        <v>0</v>
      </c>
      <c r="K26" s="15">
        <f>IFERROR(__xludf.DUMMYFUNCTION("""COMPUTED_VALUE"""),1.5)</f>
        <v>1.5</v>
      </c>
    </row>
    <row r="27" ht="15.75" customHeight="1">
      <c r="A27" s="14" t="str">
        <f>IFERROR(__xludf.DUMMYFUNCTION("""COMPUTED_VALUE"""),"https://www.theverge.com/tech/900302/ai-seo-industry-google-search-chatgpt-gemini-marketing")</f>
        <v>https://www.theverge.com/tech/900302/ai-seo-industry-google-search-chatgpt-gemini-marketing</v>
      </c>
      <c r="B27" s="15" t="str">
        <f>IFERROR(__xludf.DUMMYFUNCTION("""COMPUTED_VALUE"""),"Can AI responses be influenced? The SEO industry is trying | The Verge")</f>
        <v>Can AI responses be influenced? The SEO industry is trying | The Verge</v>
      </c>
      <c r="C27" s="14" t="str">
        <f>IFERROR(__xludf.DUMMYFUNCTION("""COMPUTED_VALUE"""),"theverge.com")</f>
        <v>theverge.com</v>
      </c>
      <c r="D27" s="15" t="str">
        <f>IFERROR(__xludf.DUMMYFUNCTION("""COMPUTED_VALUE"""),"ARTICLE")</f>
        <v>ARTICLE</v>
      </c>
      <c r="E27" s="15" t="str">
        <f>IFERROR(__xludf.DUMMYFUNCTION("""COMPUTED_VALUE"""),"EDITORIAL")</f>
        <v>EDITORIAL</v>
      </c>
      <c r="F27" s="15" t="str">
        <f>IFERROR(__xludf.DUMMYFUNCTION("""COMPUTED_VALUE"""),"Article")</f>
        <v>Article</v>
      </c>
      <c r="G27" s="15" t="b">
        <f>IFERROR(__xludf.DUMMYFUNCTION("""COMPUTED_VALUE"""),FALSE)</f>
        <v>0</v>
      </c>
      <c r="H27" s="15" t="str">
        <f>IFERROR(__xludf.DUMMYFUNCTION("""COMPUTED_VALUE"""),"Huge, Found, Recast")</f>
        <v>Huge, Found, Recast</v>
      </c>
      <c r="I27" s="15">
        <f>IFERROR(__xludf.DUMMYFUNCTION("""COMPUTED_VALUE"""),2.0)</f>
        <v>2</v>
      </c>
      <c r="J27" s="15">
        <f>IFERROR(__xludf.DUMMYFUNCTION("""COMPUTED_VALUE"""),0.0)</f>
        <v>0</v>
      </c>
      <c r="K27" s="15">
        <f>IFERROR(__xludf.DUMMYFUNCTION("""COMPUTED_VALUE"""),2.0)</f>
        <v>2</v>
      </c>
    </row>
    <row r="28" ht="15.75" customHeight="1">
      <c r="A28" s="14" t="str">
        <f>IFERROR(__xludf.DUMMYFUNCTION("""COMPUTED_VALUE"""),"https://whitehat-seo.co.uk/blog/ai-consultancy-ai-consulting")</f>
        <v>https://whitehat-seo.co.uk/blog/ai-consultancy-ai-consulting</v>
      </c>
      <c r="B28" s="15" t="str">
        <f>IFERROR(__xludf.DUMMYFUNCTION("""COMPUTED_VALUE"""),"AI Consultancy &amp; Implementation Services UK \| Whitehat")</f>
        <v>AI Consultancy &amp; Implementation Services UK \| Whitehat</v>
      </c>
      <c r="C28" s="14" t="str">
        <f>IFERROR(__xludf.DUMMYFUNCTION("""COMPUTED_VALUE"""),"whitehat-seo.co.uk")</f>
        <v>whitehat-seo.co.uk</v>
      </c>
      <c r="D28" s="15" t="str">
        <f>IFERROR(__xludf.DUMMYFUNCTION("""COMPUTED_VALUE"""),"ARTICLE")</f>
        <v>ARTICLE</v>
      </c>
      <c r="E28" s="15" t="str">
        <f>IFERROR(__xludf.DUMMYFUNCTION("""COMPUTED_VALUE"""),"COMPETITOR")</f>
        <v>COMPETITOR</v>
      </c>
      <c r="F28" s="15" t="str">
        <f>IFERROR(__xludf.DUMMYFUNCTION("""COMPUTED_VALUE"""),"Article")</f>
        <v>Article</v>
      </c>
      <c r="G28" s="15" t="b">
        <f>IFERROR(__xludf.DUMMYFUNCTION("""COMPUTED_VALUE"""),FALSE)</f>
        <v>0</v>
      </c>
      <c r="H28" s="15" t="str">
        <f>IFERROR(__xludf.DUMMYFUNCTION("""COMPUTED_VALUE"""),"Whitehat, Found, PwC, Measured")</f>
        <v>Whitehat, Found, PwC, Measured</v>
      </c>
      <c r="I28" s="15">
        <f>IFERROR(__xludf.DUMMYFUNCTION("""COMPUTED_VALUE"""),2.0)</f>
        <v>2</v>
      </c>
      <c r="J28" s="15">
        <f>IFERROR(__xludf.DUMMYFUNCTION("""COMPUTED_VALUE"""),0.0)</f>
        <v>0</v>
      </c>
      <c r="K28" s="15">
        <f>IFERROR(__xludf.DUMMYFUNCTION("""COMPUTED_VALUE"""),2.5)</f>
        <v>2.5</v>
      </c>
    </row>
    <row r="29" ht="15.75" customHeight="1">
      <c r="A29" s="14" t="str">
        <f>IFERROR(__xludf.DUMMYFUNCTION("""COMPUTED_VALUE"""),"https://www.11x.marketing/blog/what-is-performance-marketing-agency")</f>
        <v>https://www.11x.marketing/blog/what-is-performance-marketing-agency</v>
      </c>
      <c r="B29" s="15" t="str">
        <f>IFERROR(__xludf.DUMMYFUNCTION("""COMPUTED_VALUE"""),"What Is a Performance Marketing Agency? - 11x Marketing")</f>
        <v>What Is a Performance Marketing Agency? - 11x Marketing</v>
      </c>
      <c r="C29" s="15" t="str">
        <f>IFERROR(__xludf.DUMMYFUNCTION("""COMPUTED_VALUE"""),"11x.marketing")</f>
        <v>11x.marketing</v>
      </c>
      <c r="D29" s="15" t="str">
        <f>IFERROR(__xludf.DUMMYFUNCTION("""COMPUTED_VALUE"""),"ARTICLE")</f>
        <v>ARTICLE</v>
      </c>
      <c r="E29" s="15" t="str">
        <f>IFERROR(__xludf.DUMMYFUNCTION("""COMPUTED_VALUE"""),"CORPORATE")</f>
        <v>CORPORATE</v>
      </c>
      <c r="F29" s="15" t="str">
        <f>IFERROR(__xludf.DUMMYFUNCTION("""COMPUTED_VALUE"""),"Article")</f>
        <v>Article</v>
      </c>
      <c r="G29" s="15" t="b">
        <f>IFERROR(__xludf.DUMMYFUNCTION("""COMPUTED_VALUE"""),FALSE)</f>
        <v>0</v>
      </c>
      <c r="H29" s="15" t="str">
        <f>IFERROR(__xludf.DUMMYFUNCTION("""COMPUTED_VALUE"""),"Found")</f>
        <v>Found</v>
      </c>
      <c r="I29" s="15">
        <f>IFERROR(__xludf.DUMMYFUNCTION("""COMPUTED_VALUE"""),1.0)</f>
        <v>1</v>
      </c>
      <c r="J29" s="15">
        <f>IFERROR(__xludf.DUMMYFUNCTION("""COMPUTED_VALUE"""),0.0)</f>
        <v>0</v>
      </c>
      <c r="K29" s="15">
        <f>IFERROR(__xludf.DUMMYFUNCTION("""COMPUTED_VALUE"""),0.0)</f>
        <v>0</v>
      </c>
    </row>
    <row r="30" ht="15.75" customHeight="1">
      <c r="A30" s="14" t="str">
        <f>IFERROR(__xludf.DUMMYFUNCTION("""COMPUTED_VALUE"""),"https://www.advanced-television.com/2026/03/17/smartly-acquires-incrmntal-measurement-platform/")</f>
        <v>https://www.advanced-television.com/2026/03/17/smartly-acquires-incrmntal-measurement-platform/</v>
      </c>
      <c r="B30" s="15" t="str">
        <f>IFERROR(__xludf.DUMMYFUNCTION("""COMPUTED_VALUE"""),"Smartly set to acquire Incrmntal | Advanced Television")</f>
        <v>Smartly set to acquire Incrmntal | Advanced Television</v>
      </c>
      <c r="C30" s="14" t="str">
        <f>IFERROR(__xludf.DUMMYFUNCTION("""COMPUTED_VALUE"""),"advanced-television.com")</f>
        <v>advanced-television.com</v>
      </c>
      <c r="D30" s="15" t="str">
        <f>IFERROR(__xludf.DUMMYFUNCTION("""COMPUTED_VALUE"""),"ARTICLE")</f>
        <v>ARTICLE</v>
      </c>
      <c r="E30" s="15" t="str">
        <f>IFERROR(__xludf.DUMMYFUNCTION("""COMPUTED_VALUE"""),"EDITORIAL")</f>
        <v>EDITORIAL</v>
      </c>
      <c r="F30" s="15" t="str">
        <f>IFERROR(__xludf.DUMMYFUNCTION("""COMPUTED_VALUE"""),"Article")</f>
        <v>Article</v>
      </c>
      <c r="G30" s="15" t="b">
        <f>IFERROR(__xludf.DUMMYFUNCTION("""COMPUTED_VALUE"""),FALSE)</f>
        <v>0</v>
      </c>
      <c r="H30" s="15"/>
      <c r="I30" s="15">
        <f>IFERROR(__xludf.DUMMYFUNCTION("""COMPUTED_VALUE"""),1.0)</f>
        <v>1</v>
      </c>
      <c r="J30" s="15">
        <f>IFERROR(__xludf.DUMMYFUNCTION("""COMPUTED_VALUE"""),0.0)</f>
        <v>0</v>
      </c>
      <c r="K30" s="15">
        <f>IFERROR(__xludf.DUMMYFUNCTION("""COMPUTED_VALUE"""),0.0)</f>
        <v>0</v>
      </c>
    </row>
    <row r="31" ht="15.75" customHeight="1">
      <c r="A31" s="14" t="str">
        <f>IFERROR(__xludf.DUMMYFUNCTION("""COMPUTED_VALUE"""),"https://aiblmedia.com/practical-ai-insights/research/")</f>
        <v>https://aiblmedia.com/practical-ai-insights/research/</v>
      </c>
      <c r="B31" s="15" t="str">
        <f>IFERROR(__xludf.DUMMYFUNCTION("""COMPUTED_VALUE"""),"UK AI Adoption Research Reports 2026 | aibl")</f>
        <v>UK AI Adoption Research Reports 2026 | aibl</v>
      </c>
      <c r="C31" s="14" t="str">
        <f>IFERROR(__xludf.DUMMYFUNCTION("""COMPUTED_VALUE"""),"aiblmedia.com")</f>
        <v>aiblmedia.com</v>
      </c>
      <c r="D31" s="15" t="str">
        <f>IFERROR(__xludf.DUMMYFUNCTION("""COMPUTED_VALUE"""),"ARTICLE")</f>
        <v>ARTICLE</v>
      </c>
      <c r="E31" s="15" t="str">
        <f>IFERROR(__xludf.DUMMYFUNCTION("""COMPUTED_VALUE"""),"EDITORIAL")</f>
        <v>EDITORIAL</v>
      </c>
      <c r="F31" s="15" t="str">
        <f>IFERROR(__xludf.DUMMYFUNCTION("""COMPUTED_VALUE"""),"Article")</f>
        <v>Article</v>
      </c>
      <c r="G31" s="15" t="b">
        <f>IFERROR(__xludf.DUMMYFUNCTION("""COMPUTED_VALUE"""),FALSE)</f>
        <v>0</v>
      </c>
      <c r="H31" s="15"/>
      <c r="I31" s="15">
        <f>IFERROR(__xludf.DUMMYFUNCTION("""COMPUTED_VALUE"""),1.0)</f>
        <v>1</v>
      </c>
      <c r="J31" s="15">
        <f>IFERROR(__xludf.DUMMYFUNCTION("""COMPUTED_VALUE"""),0.0)</f>
        <v>0</v>
      </c>
      <c r="K31" s="15">
        <f>IFERROR(__xludf.DUMMYFUNCTION("""COMPUTED_VALUE"""),0.0)</f>
        <v>0</v>
      </c>
    </row>
    <row r="32" ht="15.75" customHeight="1">
      <c r="A32" s="14" t="str">
        <f>IFERROR(__xludf.DUMMYFUNCTION("""COMPUTED_VALUE"""),"https://arxiv.org/abs/2509.08919")</f>
        <v>https://arxiv.org/abs/2509.08919</v>
      </c>
      <c r="B32" s="15" t="str">
        <f>IFERROR(__xludf.DUMMYFUNCTION("""COMPUTED_VALUE"""),"[2509.08919] Generative Engine Optimization: How to Dominate AI Search")</f>
        <v>[2509.08919] Generative Engine Optimization: How to Dominate AI Search</v>
      </c>
      <c r="C32" s="14" t="str">
        <f>IFERROR(__xludf.DUMMYFUNCTION("""COMPUTED_VALUE"""),"arxiv.org")</f>
        <v>arxiv.org</v>
      </c>
      <c r="D32" s="15" t="str">
        <f>IFERROR(__xludf.DUMMYFUNCTION("""COMPUTED_VALUE"""),"ARTICLE")</f>
        <v>ARTICLE</v>
      </c>
      <c r="E32" s="15" t="str">
        <f>IFERROR(__xludf.DUMMYFUNCTION("""COMPUTED_VALUE"""),"REFERENCE")</f>
        <v>REFERENCE</v>
      </c>
      <c r="F32" s="15" t="str">
        <f>IFERROR(__xludf.DUMMYFUNCTION("""COMPUTED_VALUE"""),"Article")</f>
        <v>Article</v>
      </c>
      <c r="G32" s="15" t="b">
        <f>IFERROR(__xludf.DUMMYFUNCTION("""COMPUTED_VALUE"""),FALSE)</f>
        <v>0</v>
      </c>
      <c r="H32" s="15"/>
      <c r="I32" s="15">
        <f>IFERROR(__xludf.DUMMYFUNCTION("""COMPUTED_VALUE"""),1.0)</f>
        <v>1</v>
      </c>
      <c r="J32" s="15">
        <f>IFERROR(__xludf.DUMMYFUNCTION("""COMPUTED_VALUE"""),0.0)</f>
        <v>0</v>
      </c>
      <c r="K32" s="15">
        <f>IFERROR(__xludf.DUMMYFUNCTION("""COMPUTED_VALUE"""),2.0)</f>
        <v>2</v>
      </c>
    </row>
    <row r="33" ht="15.75" customHeight="1">
      <c r="A33" s="14" t="str">
        <f>IFERROR(__xludf.DUMMYFUNCTION("""COMPUTED_VALUE"""),"https://arxiv.org/abs/2604.07585")</f>
        <v>https://arxiv.org/abs/2604.07585</v>
      </c>
      <c r="B33" s="15" t="str">
        <f>IFERROR(__xludf.DUMMYFUNCTION("""COMPUTED_VALUE"""),"[2604.07585] Don't Measure Once: Measuring Visibility in AI Search (GEO)")</f>
        <v>[2604.07585] Don't Measure Once: Measuring Visibility in AI Search (GEO)</v>
      </c>
      <c r="C33" s="14" t="str">
        <f>IFERROR(__xludf.DUMMYFUNCTION("""COMPUTED_VALUE"""),"arxiv.org")</f>
        <v>arxiv.org</v>
      </c>
      <c r="D33" s="15" t="str">
        <f>IFERROR(__xludf.DUMMYFUNCTION("""COMPUTED_VALUE"""),"ARTICLE")</f>
        <v>ARTICLE</v>
      </c>
      <c r="E33" s="15" t="str">
        <f>IFERROR(__xludf.DUMMYFUNCTION("""COMPUTED_VALUE"""),"REFERENCE")</f>
        <v>REFERENCE</v>
      </c>
      <c r="F33" s="15" t="str">
        <f>IFERROR(__xludf.DUMMYFUNCTION("""COMPUTED_VALUE"""),"Article")</f>
        <v>Article</v>
      </c>
      <c r="G33" s="15" t="b">
        <f>IFERROR(__xludf.DUMMYFUNCTION("""COMPUTED_VALUE"""),FALSE)</f>
        <v>0</v>
      </c>
      <c r="H33" s="15"/>
      <c r="I33" s="15">
        <f>IFERROR(__xludf.DUMMYFUNCTION("""COMPUTED_VALUE"""),1.0)</f>
        <v>1</v>
      </c>
      <c r="J33" s="15">
        <f>IFERROR(__xludf.DUMMYFUNCTION("""COMPUTED_VALUE"""),0.0)</f>
        <v>0</v>
      </c>
      <c r="K33" s="15">
        <f>IFERROR(__xludf.DUMMYFUNCTION("""COMPUTED_VALUE"""),2.0)</f>
        <v>2</v>
      </c>
    </row>
    <row r="34" ht="15.75" customHeight="1">
      <c r="A34" s="14" t="str">
        <f>IFERROR(__xludf.DUMMYFUNCTION("""COMPUTED_VALUE"""),"https://arxiv.org/abs/2606.04362")</f>
        <v>https://arxiv.org/abs/2606.04362</v>
      </c>
      <c r="B34" s="15" t="str">
        <f>IFERROR(__xludf.DUMMYFUNCTION("""COMPUTED_VALUE"""),"[2606.04362] Disentangling Answer Engine Optimization from Platform Growth: A Log-Based Natural Experiment on ChatGPT Referral Traffic")</f>
        <v>[2606.04362] Disentangling Answer Engine Optimization from Platform Growth: A Log-Based Natural Experiment on ChatGPT Referral Traffic</v>
      </c>
      <c r="C34" s="14" t="str">
        <f>IFERROR(__xludf.DUMMYFUNCTION("""COMPUTED_VALUE"""),"arxiv.org")</f>
        <v>arxiv.org</v>
      </c>
      <c r="D34" s="15" t="str">
        <f>IFERROR(__xludf.DUMMYFUNCTION("""COMPUTED_VALUE"""),"ARTICLE")</f>
        <v>ARTICLE</v>
      </c>
      <c r="E34" s="15" t="str">
        <f>IFERROR(__xludf.DUMMYFUNCTION("""COMPUTED_VALUE"""),"REFERENCE")</f>
        <v>REFERENCE</v>
      </c>
      <c r="F34" s="15" t="str">
        <f>IFERROR(__xludf.DUMMYFUNCTION("""COMPUTED_VALUE"""),"Article")</f>
        <v>Article</v>
      </c>
      <c r="G34" s="15" t="b">
        <f>IFERROR(__xludf.DUMMYFUNCTION("""COMPUTED_VALUE"""),FALSE)</f>
        <v>0</v>
      </c>
      <c r="H34" s="15"/>
      <c r="I34" s="15">
        <f>IFERROR(__xludf.DUMMYFUNCTION("""COMPUTED_VALUE"""),1.0)</f>
        <v>1</v>
      </c>
      <c r="J34" s="15">
        <f>IFERROR(__xludf.DUMMYFUNCTION("""COMPUTED_VALUE"""),0.0)</f>
        <v>0</v>
      </c>
      <c r="K34" s="15">
        <f>IFERROR(__xludf.DUMMYFUNCTION("""COMPUTED_VALUE"""),2.0)</f>
        <v>2</v>
      </c>
    </row>
    <row r="35" ht="15.75" customHeight="1">
      <c r="A35" s="14" t="str">
        <f>IFERROR(__xludf.DUMMYFUNCTION("""COMPUTED_VALUE"""),"https://brandience.com/insights/measuring-success-attribution-models-explained-by-a-full-service-agency")</f>
        <v>https://brandience.com/insights/measuring-success-attribution-models-explained-by-a-full-service-agency</v>
      </c>
      <c r="B35" s="15" t="str">
        <f>IFERROR(__xludf.DUMMYFUNCTION("""COMPUTED_VALUE"""),"Measuring Success: Attribution Models Explained by a Full‑Service Agency | Brandience")</f>
        <v>Measuring Success: Attribution Models Explained by a Full‑Service Agency | Brandience</v>
      </c>
      <c r="C35" s="14" t="str">
        <f>IFERROR(__xludf.DUMMYFUNCTION("""COMPUTED_VALUE"""),"brandience.com")</f>
        <v>brandience.com</v>
      </c>
      <c r="D35" s="15" t="str">
        <f>IFERROR(__xludf.DUMMYFUNCTION("""COMPUTED_VALUE"""),"ARTICLE")</f>
        <v>ARTICLE</v>
      </c>
      <c r="E35" s="15" t="str">
        <f>IFERROR(__xludf.DUMMYFUNCTION("""COMPUTED_VALUE"""),"CORPORATE")</f>
        <v>CORPORATE</v>
      </c>
      <c r="F35" s="15" t="str">
        <f>IFERROR(__xludf.DUMMYFUNCTION("""COMPUTED_VALUE"""),"Article")</f>
        <v>Article</v>
      </c>
      <c r="G35" s="15" t="b">
        <f>IFERROR(__xludf.DUMMYFUNCTION("""COMPUTED_VALUE"""),FALSE)</f>
        <v>0</v>
      </c>
      <c r="H35" s="15" t="str">
        <f>IFERROR(__xludf.DUMMYFUNCTION("""COMPUTED_VALUE"""),"Found")</f>
        <v>Found</v>
      </c>
      <c r="I35" s="15">
        <f>IFERROR(__xludf.DUMMYFUNCTION("""COMPUTED_VALUE"""),1.0)</f>
        <v>1</v>
      </c>
      <c r="J35" s="15">
        <f>IFERROR(__xludf.DUMMYFUNCTION("""COMPUTED_VALUE"""),0.0)</f>
        <v>0</v>
      </c>
      <c r="K35" s="15">
        <f>IFERROR(__xludf.DUMMYFUNCTION("""COMPUTED_VALUE"""),0.0)</f>
        <v>0</v>
      </c>
    </row>
    <row r="36" ht="15.75" customHeight="1">
      <c r="A36" s="14" t="str">
        <f>IFERROR(__xludf.DUMMYFUNCTION("""COMPUTED_VALUE"""),"https://www.brandlective.com/2025/11/03/how-reddit-fits-into-a-geo-aeo-strategy/")</f>
        <v>https://www.brandlective.com/2025/11/03/how-reddit-fits-into-a-geo-aeo-strategy/</v>
      </c>
      <c r="B36" s="15" t="str">
        <f>IFERROR(__xludf.DUMMYFUNCTION("""COMPUTED_VALUE"""),"How Reddit Fits Into a GEO &amp;amp; AEO Strategy – Brandlective Communications Ltd")</f>
        <v>How Reddit Fits Into a GEO &amp;amp; AEO Strategy – Brandlective Communications Ltd</v>
      </c>
      <c r="C36" s="14" t="str">
        <f>IFERROR(__xludf.DUMMYFUNCTION("""COMPUTED_VALUE"""),"brandlective.com")</f>
        <v>brandlective.com</v>
      </c>
      <c r="D36" s="15" t="str">
        <f>IFERROR(__xludf.DUMMYFUNCTION("""COMPUTED_VALUE"""),"ARTICLE")</f>
        <v>ARTICLE</v>
      </c>
      <c r="E36" s="15" t="str">
        <f>IFERROR(__xludf.DUMMYFUNCTION("""COMPUTED_VALUE"""),"CORPORATE")</f>
        <v>CORPORATE</v>
      </c>
      <c r="F36" s="15" t="str">
        <f>IFERROR(__xludf.DUMMYFUNCTION("""COMPUTED_VALUE"""),"Article")</f>
        <v>Article</v>
      </c>
      <c r="G36" s="15" t="b">
        <f>IFERROR(__xludf.DUMMYFUNCTION("""COMPUTED_VALUE"""),FALSE)</f>
        <v>0</v>
      </c>
      <c r="H36" s="15"/>
      <c r="I36" s="15">
        <f>IFERROR(__xludf.DUMMYFUNCTION("""COMPUTED_VALUE"""),1.0)</f>
        <v>1</v>
      </c>
      <c r="J36" s="15">
        <f>IFERROR(__xludf.DUMMYFUNCTION("""COMPUTED_VALUE"""),0.0)</f>
        <v>0</v>
      </c>
      <c r="K36" s="15">
        <f>IFERROR(__xludf.DUMMYFUNCTION("""COMPUTED_VALUE"""),1.0)</f>
        <v>1</v>
      </c>
    </row>
    <row r="37" ht="15.75" customHeight="1">
      <c r="A37" s="14" t="str">
        <f>IFERROR(__xludf.DUMMYFUNCTION("""COMPUTED_VALUE"""),"https://business.adobe.com/blog/basics/marketing-attribution")</f>
        <v>https://business.adobe.com/blog/basics/marketing-attribution</v>
      </c>
      <c r="B37" s="15" t="str">
        <f>IFERROR(__xludf.DUMMYFUNCTION("""COMPUTED_VALUE"""),"Marketing attribution — models and best practices")</f>
        <v>Marketing attribution — models and best practices</v>
      </c>
      <c r="C37" s="14" t="str">
        <f>IFERROR(__xludf.DUMMYFUNCTION("""COMPUTED_VALUE"""),"adobe.com")</f>
        <v>adobe.com</v>
      </c>
      <c r="D37" s="15" t="str">
        <f>IFERROR(__xludf.DUMMYFUNCTION("""COMPUTED_VALUE"""),"ARTICLE")</f>
        <v>ARTICLE</v>
      </c>
      <c r="E37" s="15" t="str">
        <f>IFERROR(__xludf.DUMMYFUNCTION("""COMPUTED_VALUE"""),"CORPORATE")</f>
        <v>CORPORATE</v>
      </c>
      <c r="F37" s="15" t="str">
        <f>IFERROR(__xludf.DUMMYFUNCTION("""COMPUTED_VALUE"""),"Article")</f>
        <v>Article</v>
      </c>
      <c r="G37" s="15" t="b">
        <f>IFERROR(__xludf.DUMMYFUNCTION("""COMPUTED_VALUE"""),FALSE)</f>
        <v>0</v>
      </c>
      <c r="H37" s="15" t="str">
        <f>IFERROR(__xludf.DUMMYFUNCTION("""COMPUTED_VALUE"""),"Push")</f>
        <v>Push</v>
      </c>
      <c r="I37" s="15">
        <f>IFERROR(__xludf.DUMMYFUNCTION("""COMPUTED_VALUE"""),1.0)</f>
        <v>1</v>
      </c>
      <c r="J37" s="15">
        <f>IFERROR(__xludf.DUMMYFUNCTION("""COMPUTED_VALUE"""),0.0)</f>
        <v>0</v>
      </c>
      <c r="K37" s="15">
        <f>IFERROR(__xludf.DUMMYFUNCTION("""COMPUTED_VALUE"""),0.0)</f>
        <v>0</v>
      </c>
    </row>
    <row r="38" ht="15.75" customHeight="1">
      <c r="A38" s="14" t="str">
        <f>IFERROR(__xludf.DUMMYFUNCTION("""COMPUTED_VALUE"""),"https://business.google.com/us/think/measurement/incrementality-testing/")</f>
        <v>https://business.google.com/us/think/measurement/incrementality-testing/</v>
      </c>
      <c r="B38" s="15" t="str">
        <f>IFERROR(__xludf.DUMMYFUNCTION("""COMPUTED_VALUE"""),"Use incrementality testing for effective marketing measurement")</f>
        <v>Use incrementality testing for effective marketing measurement</v>
      </c>
      <c r="C38" s="14" t="str">
        <f>IFERROR(__xludf.DUMMYFUNCTION("""COMPUTED_VALUE"""),"google.com")</f>
        <v>google.com</v>
      </c>
      <c r="D38" s="15" t="str">
        <f>IFERROR(__xludf.DUMMYFUNCTION("""COMPUTED_VALUE"""),"ARTICLE")</f>
        <v>ARTICLE</v>
      </c>
      <c r="E38" s="15" t="str">
        <f>IFERROR(__xludf.DUMMYFUNCTION("""COMPUTED_VALUE"""),"OTHER")</f>
        <v>OTHER</v>
      </c>
      <c r="F38" s="15" t="str">
        <f>IFERROR(__xludf.DUMMYFUNCTION("""COMPUTED_VALUE"""),"Article")</f>
        <v>Article</v>
      </c>
      <c r="G38" s="15" t="b">
        <f>IFERROR(__xludf.DUMMYFUNCTION("""COMPUTED_VALUE"""),FALSE)</f>
        <v>0</v>
      </c>
      <c r="H38" s="15"/>
      <c r="I38" s="15">
        <f>IFERROR(__xludf.DUMMYFUNCTION("""COMPUTED_VALUE"""),1.0)</f>
        <v>1</v>
      </c>
      <c r="J38" s="15">
        <f>IFERROR(__xludf.DUMMYFUNCTION("""COMPUTED_VALUE"""),0.0)</f>
        <v>0</v>
      </c>
      <c r="K38" s="15">
        <f>IFERROR(__xludf.DUMMYFUNCTION("""COMPUTED_VALUE"""),0.0)</f>
        <v>0</v>
      </c>
    </row>
    <row r="39" ht="15.75" customHeight="1">
      <c r="A39" s="14" t="str">
        <f>IFERROR(__xludf.DUMMYFUNCTION("""COMPUTED_VALUE"""),"https://www.businessinsider.com/ai-search-reshapes-seo-fueling-geo-gold-rush-2025-11")</f>
        <v>https://www.businessinsider.com/ai-search-reshapes-seo-fueling-geo-gold-rush-2025-11</v>
      </c>
      <c r="B39" s="15" t="str">
        <f>IFERROR(__xludf.DUMMYFUNCTION("""COMPUTED_VALUE"""),"AI Search Reshapes SEO, Fueling GEO Gold Rush - Business Insider")</f>
        <v>AI Search Reshapes SEO, Fueling GEO Gold Rush - Business Insider</v>
      </c>
      <c r="C39" s="14" t="str">
        <f>IFERROR(__xludf.DUMMYFUNCTION("""COMPUTED_VALUE"""),"businessinsider.com")</f>
        <v>businessinsider.com</v>
      </c>
      <c r="D39" s="15" t="str">
        <f>IFERROR(__xludf.DUMMYFUNCTION("""COMPUTED_VALUE"""),"ARTICLE")</f>
        <v>ARTICLE</v>
      </c>
      <c r="E39" s="15" t="str">
        <f>IFERROR(__xludf.DUMMYFUNCTION("""COMPUTED_VALUE"""),"EDITORIAL")</f>
        <v>EDITORIAL</v>
      </c>
      <c r="F39" s="15" t="str">
        <f>IFERROR(__xludf.DUMMYFUNCTION("""COMPUTED_VALUE"""),"Article")</f>
        <v>Article</v>
      </c>
      <c r="G39" s="15" t="b">
        <f>IFERROR(__xludf.DUMMYFUNCTION("""COMPUTED_VALUE"""),FALSE)</f>
        <v>0</v>
      </c>
      <c r="H39" s="15" t="str">
        <f>IFERROR(__xludf.DUMMYFUNCTION("""COMPUTED_VALUE"""),"Huge, Found, Measured, WPP")</f>
        <v>Huge, Found, Measured, WPP</v>
      </c>
      <c r="I39" s="15">
        <f>IFERROR(__xludf.DUMMYFUNCTION("""COMPUTED_VALUE"""),1.0)</f>
        <v>1</v>
      </c>
      <c r="J39" s="15">
        <f>IFERROR(__xludf.DUMMYFUNCTION("""COMPUTED_VALUE"""),0.0)</f>
        <v>0</v>
      </c>
      <c r="K39" s="15">
        <f>IFERROR(__xludf.DUMMYFUNCTION("""COMPUTED_VALUE"""),3.0)</f>
        <v>3</v>
      </c>
    </row>
    <row r="40" ht="15.75" customHeight="1">
      <c r="A40" s="14" t="str">
        <f>IFERROR(__xludf.DUMMYFUNCTION("""COMPUTED_VALUE"""),"https://www.businessinsider.com/bain-cmo-erika-serow-cannes-lions-2026-7")</f>
        <v>https://www.businessinsider.com/bain-cmo-erika-serow-cannes-lions-2026-7</v>
      </c>
      <c r="B40" s="15" t="str">
        <f>IFERROR(__xludf.DUMMYFUNCTION("""COMPUTED_VALUE"""),"Bain's Erika Serow Says AI Strategy Has Evolved for the Better - Business Insider")</f>
        <v>Bain's Erika Serow Says AI Strategy Has Evolved for the Better - Business Insider</v>
      </c>
      <c r="C40" s="14" t="str">
        <f>IFERROR(__xludf.DUMMYFUNCTION("""COMPUTED_VALUE"""),"businessinsider.com")</f>
        <v>businessinsider.com</v>
      </c>
      <c r="D40" s="15" t="str">
        <f>IFERROR(__xludf.DUMMYFUNCTION("""COMPUTED_VALUE"""),"ARTICLE")</f>
        <v>ARTICLE</v>
      </c>
      <c r="E40" s="15" t="str">
        <f>IFERROR(__xludf.DUMMYFUNCTION("""COMPUTED_VALUE"""),"EDITORIAL")</f>
        <v>EDITORIAL</v>
      </c>
      <c r="F40" s="15" t="str">
        <f>IFERROR(__xludf.DUMMYFUNCTION("""COMPUTED_VALUE"""),"Article")</f>
        <v>Article</v>
      </c>
      <c r="G40" s="15" t="b">
        <f>IFERROR(__xludf.DUMMYFUNCTION("""COMPUTED_VALUE"""),FALSE)</f>
        <v>0</v>
      </c>
      <c r="H40" s="15"/>
      <c r="I40" s="15">
        <f>IFERROR(__xludf.DUMMYFUNCTION("""COMPUTED_VALUE"""),1.0)</f>
        <v>1</v>
      </c>
      <c r="J40" s="15">
        <f>IFERROR(__xludf.DUMMYFUNCTION("""COMPUTED_VALUE"""),0.0)</f>
        <v>0</v>
      </c>
      <c r="K40" s="15">
        <f>IFERROR(__xludf.DUMMYFUNCTION("""COMPUTED_VALUE"""),2.0)</f>
        <v>2</v>
      </c>
    </row>
    <row r="41" ht="15.75" customHeight="1">
      <c r="A41" s="14" t="str">
        <f>IFERROR(__xludf.DUMMYFUNCTION("""COMPUTED_VALUE"""),"https://www.cometly.com/post/marketing-measurement-and-attribution")</f>
        <v>https://www.cometly.com/post/marketing-measurement-and-attribution</v>
      </c>
      <c r="B41" s="15" t="str">
        <f>IFERROR(__xludf.DUMMYFUNCTION("""COMPUTED_VALUE"""),"Marketing Measurement And Attribution: Complete Guide")</f>
        <v>Marketing Measurement And Attribution: Complete Guide</v>
      </c>
      <c r="C41" s="14" t="str">
        <f>IFERROR(__xludf.DUMMYFUNCTION("""COMPUTED_VALUE"""),"cometly.com")</f>
        <v>cometly.com</v>
      </c>
      <c r="D41" s="15" t="str">
        <f>IFERROR(__xludf.DUMMYFUNCTION("""COMPUTED_VALUE"""),"ARTICLE")</f>
        <v>ARTICLE</v>
      </c>
      <c r="E41" s="15" t="str">
        <f>IFERROR(__xludf.DUMMYFUNCTION("""COMPUTED_VALUE"""),"COMPETITOR")</f>
        <v>COMPETITOR</v>
      </c>
      <c r="F41" s="15" t="str">
        <f>IFERROR(__xludf.DUMMYFUNCTION("""COMPUTED_VALUE"""),"Article")</f>
        <v>Article</v>
      </c>
      <c r="G41" s="15" t="b">
        <f>IFERROR(__xludf.DUMMYFUNCTION("""COMPUTED_VALUE"""),FALSE)</f>
        <v>0</v>
      </c>
      <c r="H41" s="15" t="str">
        <f>IFERROR(__xludf.DUMMYFUNCTION("""COMPUTED_VALUE"""),"Cometly, Impression, Measured")</f>
        <v>Cometly, Impression, Measured</v>
      </c>
      <c r="I41" s="15">
        <f>IFERROR(__xludf.DUMMYFUNCTION("""COMPUTED_VALUE"""),1.0)</f>
        <v>1</v>
      </c>
      <c r="J41" s="15">
        <f>IFERROR(__xludf.DUMMYFUNCTION("""COMPUTED_VALUE"""),0.0)</f>
        <v>0</v>
      </c>
      <c r="K41" s="15">
        <f>IFERROR(__xludf.DUMMYFUNCTION("""COMPUTED_VALUE"""),0.0)</f>
        <v>0</v>
      </c>
    </row>
    <row r="42" ht="15.75" customHeight="1">
      <c r="A42" s="14" t="str">
        <f>IFERROR(__xludf.DUMMYFUNCTION("""COMPUTED_VALUE"""),"https://www.consultancy.eu/news/7008/googles-top-emea-premier-partner-digital-marketing-consultancies")</f>
        <v>https://www.consultancy.eu/news/7008/googles-top-emea-premier-partner-digital-marketing-consultancies</v>
      </c>
      <c r="B42" s="15" t="str">
        <f>IFERROR(__xludf.DUMMYFUNCTION("""COMPUTED_VALUE"""),"Google’s top EMEA premier partner digital marketing consultancies")</f>
        <v>Google’s top EMEA premier partner digital marketing consultancies</v>
      </c>
      <c r="C42" s="15" t="str">
        <f>IFERROR(__xludf.DUMMYFUNCTION("""COMPUTED_VALUE"""),"consultancy.eu")</f>
        <v>consultancy.eu</v>
      </c>
      <c r="D42" s="15" t="str">
        <f>IFERROR(__xludf.DUMMYFUNCTION("""COMPUTED_VALUE"""),"ARTICLE")</f>
        <v>ARTICLE</v>
      </c>
      <c r="E42" s="15" t="str">
        <f>IFERROR(__xludf.DUMMYFUNCTION("""COMPUTED_VALUE"""),"REFERENCE")</f>
        <v>REFERENCE</v>
      </c>
      <c r="F42" s="15" t="str">
        <f>IFERROR(__xludf.DUMMYFUNCTION("""COMPUTED_VALUE"""),"Article")</f>
        <v>Article</v>
      </c>
      <c r="G42" s="15" t="b">
        <f>IFERROR(__xludf.DUMMYFUNCTION("""COMPUTED_VALUE"""),FALSE)</f>
        <v>0</v>
      </c>
      <c r="H42" s="15" t="str">
        <f>IFERROR(__xludf.DUMMYFUNCTION("""COMPUTED_VALUE"""),"Merkle, Croud, Labelium, Brainlabs, Jellyfish, Artefact")</f>
        <v>Merkle, Croud, Labelium, Brainlabs, Jellyfish, Artefact</v>
      </c>
      <c r="I42" s="15">
        <f>IFERROR(__xludf.DUMMYFUNCTION("""COMPUTED_VALUE"""),1.0)</f>
        <v>1</v>
      </c>
      <c r="J42" s="15">
        <f>IFERROR(__xludf.DUMMYFUNCTION("""COMPUTED_VALUE"""),0.0)</f>
        <v>0</v>
      </c>
      <c r="K42" s="15">
        <f>IFERROR(__xludf.DUMMYFUNCTION("""COMPUTED_VALUE"""),1.0)</f>
        <v>1</v>
      </c>
    </row>
    <row r="43" ht="15.75" customHeight="1">
      <c r="A43" s="14" t="str">
        <f>IFERROR(__xludf.DUMMYFUNCTION("""COMPUTED_VALUE"""),"https://croud.com/resources/custom-attribution/")</f>
        <v>https://croud.com/resources/custom-attribution/</v>
      </c>
      <c r="B43" s="15" t="str">
        <f>IFERROR(__xludf.DUMMYFUNCTION("""COMPUTED_VALUE"""),"The Complete Guide to Custom Attribution Models | Croud")</f>
        <v>The Complete Guide to Custom Attribution Models | Croud</v>
      </c>
      <c r="C43" s="14" t="str">
        <f>IFERROR(__xludf.DUMMYFUNCTION("""COMPUTED_VALUE"""),"croud.com")</f>
        <v>croud.com</v>
      </c>
      <c r="D43" s="15" t="str">
        <f>IFERROR(__xludf.DUMMYFUNCTION("""COMPUTED_VALUE"""),"ARTICLE")</f>
        <v>ARTICLE</v>
      </c>
      <c r="E43" s="15" t="str">
        <f>IFERROR(__xludf.DUMMYFUNCTION("""COMPUTED_VALUE"""),"COMPETITOR")</f>
        <v>COMPETITOR</v>
      </c>
      <c r="F43" s="15" t="str">
        <f>IFERROR(__xludf.DUMMYFUNCTION("""COMPUTED_VALUE"""),"Article")</f>
        <v>Article</v>
      </c>
      <c r="G43" s="15" t="b">
        <f>IFERROR(__xludf.DUMMYFUNCTION("""COMPUTED_VALUE"""),FALSE)</f>
        <v>0</v>
      </c>
      <c r="H43" s="15" t="str">
        <f>IFERROR(__xludf.DUMMYFUNCTION("""COMPUTED_VALUE"""),"Croud, Huge")</f>
        <v>Croud, Huge</v>
      </c>
      <c r="I43" s="15">
        <f>IFERROR(__xludf.DUMMYFUNCTION("""COMPUTED_VALUE"""),1.0)</f>
        <v>1</v>
      </c>
      <c r="J43" s="15">
        <f>IFERROR(__xludf.DUMMYFUNCTION("""COMPUTED_VALUE"""),0.0)</f>
        <v>0</v>
      </c>
      <c r="K43" s="15">
        <f>IFERROR(__xludf.DUMMYFUNCTION("""COMPUTED_VALUE"""),1.0)</f>
        <v>1</v>
      </c>
    </row>
    <row r="44" ht="15.75" customHeight="1">
      <c r="A44" s="14" t="str">
        <f>IFERROR(__xludf.DUMMYFUNCTION("""COMPUTED_VALUE"""),"https://digitalagencynetwork.com/geo-agency/")</f>
        <v>https://digitalagencynetwork.com/geo-agency/</v>
      </c>
      <c r="B44" s="15" t="str">
        <f>IFERROR(__xludf.DUMMYFUNCTION("""COMPUTED_VALUE"""),"What is a GEO Agency? Top 10 GEO Agencies Leading AI Search Optimization")</f>
        <v>What is a GEO Agency? Top 10 GEO Agencies Leading AI Search Optimization</v>
      </c>
      <c r="C44" s="14" t="str">
        <f>IFERROR(__xludf.DUMMYFUNCTION("""COMPUTED_VALUE"""),"digitalagencynetwork.com")</f>
        <v>digitalagencynetwork.com</v>
      </c>
      <c r="D44" s="15" t="str">
        <f>IFERROR(__xludf.DUMMYFUNCTION("""COMPUTED_VALUE"""),"ARTICLE")</f>
        <v>ARTICLE</v>
      </c>
      <c r="E44" s="15" t="str">
        <f>IFERROR(__xludf.DUMMYFUNCTION("""COMPUTED_VALUE"""),"REFERENCE")</f>
        <v>REFERENCE</v>
      </c>
      <c r="F44" s="15" t="str">
        <f>IFERROR(__xludf.DUMMYFUNCTION("""COMPUTED_VALUE"""),"Article")</f>
        <v>Article</v>
      </c>
      <c r="G44" s="15" t="b">
        <f>IFERROR(__xludf.DUMMYFUNCTION("""COMPUTED_VALUE"""),FALSE)</f>
        <v>0</v>
      </c>
      <c r="H44" s="15" t="str">
        <f>IFERROR(__xludf.DUMMYFUNCTION("""COMPUTED_VALUE"""),"Favoured, QuantumBlack, Propeller, GA Agency, The SEO Works, Found")</f>
        <v>Favoured, QuantumBlack, Propeller, GA Agency, The SEO Works, Found</v>
      </c>
      <c r="I44" s="15">
        <f>IFERROR(__xludf.DUMMYFUNCTION("""COMPUTED_VALUE"""),1.0)</f>
        <v>1</v>
      </c>
      <c r="J44" s="15">
        <f>IFERROR(__xludf.DUMMYFUNCTION("""COMPUTED_VALUE"""),0.0)</f>
        <v>0</v>
      </c>
      <c r="K44" s="15">
        <f>IFERROR(__xludf.DUMMYFUNCTION("""COMPUTED_VALUE"""),0.0)</f>
        <v>0</v>
      </c>
    </row>
    <row r="45" ht="15.75" customHeight="1">
      <c r="A45" s="14" t="str">
        <f>IFERROR(__xludf.DUMMYFUNCTION("""COMPUTED_VALUE"""),"https://www.ekimetrics.com/articles/marketing-mix-modeling-how-to-measure-marketing-impact-and-optimize-budget-allocation")</f>
        <v>https://www.ekimetrics.com/articles/marketing-mix-modeling-how-to-measure-marketing-impact-and-optimize-budget-allocation</v>
      </c>
      <c r="B45" s="15" t="str">
        <f>IFERROR(__xludf.DUMMYFUNCTION("""COMPUTED_VALUE"""),"Marketing Mix Modeling: How to Measure Marketing Impact and Optimize Budget Allocation")</f>
        <v>Marketing Mix Modeling: How to Measure Marketing Impact and Optimize Budget Allocation</v>
      </c>
      <c r="C45" s="14" t="str">
        <f>IFERROR(__xludf.DUMMYFUNCTION("""COMPUTED_VALUE"""),"ekimetrics.com")</f>
        <v>ekimetrics.com</v>
      </c>
      <c r="D45" s="15" t="str">
        <f>IFERROR(__xludf.DUMMYFUNCTION("""COMPUTED_VALUE"""),"ARTICLE")</f>
        <v>ARTICLE</v>
      </c>
      <c r="E45" s="15" t="str">
        <f>IFERROR(__xludf.DUMMYFUNCTION("""COMPUTED_VALUE"""),"COMPETITOR")</f>
        <v>COMPETITOR</v>
      </c>
      <c r="F45" s="15" t="str">
        <f>IFERROR(__xludf.DUMMYFUNCTION("""COMPUTED_VALUE"""),"Article")</f>
        <v>Article</v>
      </c>
      <c r="G45" s="15" t="b">
        <f>IFERROR(__xludf.DUMMYFUNCTION("""COMPUTED_VALUE"""),FALSE)</f>
        <v>0</v>
      </c>
      <c r="H45" s="15" t="str">
        <f>IFERROR(__xludf.DUMMYFUNCTION("""COMPUTED_VALUE"""),"Found, Momentum, Ekimetrics")</f>
        <v>Found, Momentum, Ekimetrics</v>
      </c>
      <c r="I45" s="15">
        <f>IFERROR(__xludf.DUMMYFUNCTION("""COMPUTED_VALUE"""),1.0)</f>
        <v>1</v>
      </c>
      <c r="J45" s="15">
        <f>IFERROR(__xludf.DUMMYFUNCTION("""COMPUTED_VALUE"""),0.0)</f>
        <v>0</v>
      </c>
      <c r="K45" s="15">
        <f>IFERROR(__xludf.DUMMYFUNCTION("""COMPUTED_VALUE"""),1.0)</f>
        <v>1</v>
      </c>
    </row>
    <row r="46" ht="15.75" customHeight="1">
      <c r="A46" s="14" t="str">
        <f>IFERROR(__xludf.DUMMYFUNCTION("""COMPUTED_VALUE"""),"https://www.emarketer.com/content/faq-on-ai-media-buying--platform-tools--agency-strategy--how-win-2026")</f>
        <v>https://www.emarketer.com/content/faq-on-ai-media-buying--platform-tools--agency-strategy--how-win-2026</v>
      </c>
      <c r="B46" s="15" t="str">
        <f>IFERROR(__xludf.DUMMYFUNCTION("""COMPUTED_VALUE"""),"FAQ on AI media buying: Platform tools, agency strategy, and how to win in 2026")</f>
        <v>FAQ on AI media buying: Platform tools, agency strategy, and how to win in 2026</v>
      </c>
      <c r="C46" s="14" t="str">
        <f>IFERROR(__xludf.DUMMYFUNCTION("""COMPUTED_VALUE"""),"emarketer.com")</f>
        <v>emarketer.com</v>
      </c>
      <c r="D46" s="15" t="str">
        <f>IFERROR(__xludf.DUMMYFUNCTION("""COMPUTED_VALUE"""),"ARTICLE")</f>
        <v>ARTICLE</v>
      </c>
      <c r="E46" s="15" t="str">
        <f>IFERROR(__xludf.DUMMYFUNCTION("""COMPUTED_VALUE"""),"EDITORIAL")</f>
        <v>EDITORIAL</v>
      </c>
      <c r="F46" s="15" t="str">
        <f>IFERROR(__xludf.DUMMYFUNCTION("""COMPUTED_VALUE"""),"Article")</f>
        <v>Article</v>
      </c>
      <c r="G46" s="15" t="b">
        <f>IFERROR(__xludf.DUMMYFUNCTION("""COMPUTED_VALUE"""),FALSE)</f>
        <v>0</v>
      </c>
      <c r="H46" s="15" t="str">
        <f>IFERROR(__xludf.DUMMYFUNCTION("""COMPUTED_VALUE"""),"Push, Publicis Groupe, Omnicom, WPP")</f>
        <v>Push, Publicis Groupe, Omnicom, WPP</v>
      </c>
      <c r="I46" s="15">
        <f>IFERROR(__xludf.DUMMYFUNCTION("""COMPUTED_VALUE"""),1.0)</f>
        <v>1</v>
      </c>
      <c r="J46" s="15">
        <f>IFERROR(__xludf.DUMMYFUNCTION("""COMPUTED_VALUE"""),0.0)</f>
        <v>0</v>
      </c>
      <c r="K46" s="15">
        <f>IFERROR(__xludf.DUMMYFUNCTION("""COMPUTED_VALUE"""),0.0)</f>
        <v>0</v>
      </c>
    </row>
    <row r="47" ht="15.75" customHeight="1">
      <c r="A47" s="14" t="str">
        <f>IFERROR(__xludf.DUMMYFUNCTION("""COMPUTED_VALUE"""),"https://en.wikipedia.org/wiki/Attribution_(marketing)")</f>
        <v>https://en.wikipedia.org/wiki/Attribution_(marketing)</v>
      </c>
      <c r="B47" s="15" t="str">
        <f>IFERROR(__xludf.DUMMYFUNCTION("""COMPUTED_VALUE"""),"Attribution (marketing) - Wikipedia")</f>
        <v>Attribution (marketing) - Wikipedia</v>
      </c>
      <c r="C47" s="14" t="str">
        <f>IFERROR(__xludf.DUMMYFUNCTION("""COMPUTED_VALUE"""),"wikipedia.org")</f>
        <v>wikipedia.org</v>
      </c>
      <c r="D47" s="15" t="str">
        <f>IFERROR(__xludf.DUMMYFUNCTION("""COMPUTED_VALUE"""),"ARTICLE")</f>
        <v>ARTICLE</v>
      </c>
      <c r="E47" s="15" t="str">
        <f>IFERROR(__xludf.DUMMYFUNCTION("""COMPUTED_VALUE"""),"REFERENCE")</f>
        <v>REFERENCE</v>
      </c>
      <c r="F47" s="15" t="str">
        <f>IFERROR(__xludf.DUMMYFUNCTION("""COMPUTED_VALUE"""),"Article")</f>
        <v>Article</v>
      </c>
      <c r="G47" s="15" t="b">
        <f>IFERROR(__xludf.DUMMYFUNCTION("""COMPUTED_VALUE"""),FALSE)</f>
        <v>0</v>
      </c>
      <c r="H47" s="15" t="str">
        <f>IFERROR(__xludf.DUMMYFUNCTION("""COMPUTED_VALUE"""),"Impression, Found, Epsilon, EY")</f>
        <v>Impression, Found, Epsilon, EY</v>
      </c>
      <c r="I47" s="15">
        <f>IFERROR(__xludf.DUMMYFUNCTION("""COMPUTED_VALUE"""),1.0)</f>
        <v>1</v>
      </c>
      <c r="J47" s="15">
        <f>IFERROR(__xludf.DUMMYFUNCTION("""COMPUTED_VALUE"""),0.0)</f>
        <v>0</v>
      </c>
      <c r="K47" s="15">
        <f>IFERROR(__xludf.DUMMYFUNCTION("""COMPUTED_VALUE"""),0.0)</f>
        <v>0</v>
      </c>
    </row>
    <row r="48" ht="15.75" customHeight="1">
      <c r="A48" s="14" t="str">
        <f>IFERROR(__xludf.DUMMYFUNCTION("""COMPUTED_VALUE"""),"https://www.enrichlabs.ai/blog/what-is-an-ai-marketing-agent")</f>
        <v>https://www.enrichlabs.ai/blog/what-is-an-ai-marketing-agent</v>
      </c>
      <c r="B48" s="15" t="str">
        <f>IFERROR(__xludf.DUMMYFUNCTION("""COMPUTED_VALUE"""),"What Is an AI Marketing Agent? Complete 2026 Definition + Examples | Enrich Labs")</f>
        <v>What Is an AI Marketing Agent? Complete 2026 Definition + Examples | Enrich Labs</v>
      </c>
      <c r="C48" s="14" t="str">
        <f>IFERROR(__xludf.DUMMYFUNCTION("""COMPUTED_VALUE"""),"enrichlabs.ai")</f>
        <v>enrichlabs.ai</v>
      </c>
      <c r="D48" s="15" t="str">
        <f>IFERROR(__xludf.DUMMYFUNCTION("""COMPUTED_VALUE"""),"ARTICLE")</f>
        <v>ARTICLE</v>
      </c>
      <c r="E48" s="15" t="str">
        <f>IFERROR(__xludf.DUMMYFUNCTION("""COMPUTED_VALUE"""),"CORPORATE")</f>
        <v>CORPORATE</v>
      </c>
      <c r="F48" s="15" t="str">
        <f>IFERROR(__xludf.DUMMYFUNCTION("""COMPUTED_VALUE"""),"Article")</f>
        <v>Article</v>
      </c>
      <c r="G48" s="15" t="b">
        <f>IFERROR(__xludf.DUMMYFUNCTION("""COMPUTED_VALUE"""),FALSE)</f>
        <v>0</v>
      </c>
      <c r="H48" s="15"/>
      <c r="I48" s="15">
        <f>IFERROR(__xludf.DUMMYFUNCTION("""COMPUTED_VALUE"""),1.0)</f>
        <v>1</v>
      </c>
      <c r="J48" s="15">
        <f>IFERROR(__xludf.DUMMYFUNCTION("""COMPUTED_VALUE"""),0.0)</f>
        <v>0</v>
      </c>
      <c r="K48" s="15">
        <f>IFERROR(__xludf.DUMMYFUNCTION("""COMPUTED_VALUE"""),0.0)</f>
        <v>0</v>
      </c>
    </row>
    <row r="49" ht="15.75" customHeight="1">
      <c r="A49" s="14" t="str">
        <f>IFERROR(__xludf.DUMMYFUNCTION("""COMPUTED_VALUE"""),"https://www.exchangewire.com/blog/2023/02/16/fifty-fives-record-setting-growth-in-2022-sparks-an-expansion-of-services-brand-refresh/")</f>
        <v>https://www.exchangewire.com/blog/2023/02/16/fifty-fives-record-setting-growth-in-2022-sparks-an-expansion-of-services-brand-refresh/</v>
      </c>
      <c r="B49" s="15" t="str">
        <f>IFERROR(__xludf.DUMMYFUNCTION("""COMPUTED_VALUE"""),"fifty-five’s Record-Setting Growth in 2022 Sparks an Expansion of Services &amp;amp; Brand Refresh - ExchangeWire.com")</f>
        <v>fifty-five’s Record-Setting Growth in 2022 Sparks an Expansion of Services &amp;amp; Brand Refresh - ExchangeWire.com</v>
      </c>
      <c r="C49" s="14" t="str">
        <f>IFERROR(__xludf.DUMMYFUNCTION("""COMPUTED_VALUE"""),"exchangewire.com")</f>
        <v>exchangewire.com</v>
      </c>
      <c r="D49" s="15" t="str">
        <f>IFERROR(__xludf.DUMMYFUNCTION("""COMPUTED_VALUE"""),"ARTICLE")</f>
        <v>ARTICLE</v>
      </c>
      <c r="E49" s="15" t="str">
        <f>IFERROR(__xludf.DUMMYFUNCTION("""COMPUTED_VALUE"""),"EDITORIAL")</f>
        <v>EDITORIAL</v>
      </c>
      <c r="F49" s="15" t="str">
        <f>IFERROR(__xludf.DUMMYFUNCTION("""COMPUTED_VALUE"""),"Article")</f>
        <v>Article</v>
      </c>
      <c r="G49" s="15" t="b">
        <f>IFERROR(__xludf.DUMMYFUNCTION("""COMPUTED_VALUE"""),FALSE)</f>
        <v>0</v>
      </c>
      <c r="H49" s="15"/>
      <c r="I49" s="15">
        <f>IFERROR(__xludf.DUMMYFUNCTION("""COMPUTED_VALUE"""),1.0)</f>
        <v>1</v>
      </c>
      <c r="J49" s="15">
        <f>IFERROR(__xludf.DUMMYFUNCTION("""COMPUTED_VALUE"""),0.0)</f>
        <v>0</v>
      </c>
      <c r="K49" s="15">
        <f>IFERROR(__xludf.DUMMYFUNCTION("""COMPUTED_VALUE"""),1.0)</f>
        <v>1</v>
      </c>
    </row>
    <row r="50" ht="15.75" customHeight="1">
      <c r="A50" s="14" t="str">
        <f>IFERROR(__xludf.DUMMYFUNCTION("""COMPUTED_VALUE"""),"https://www.experian.com/blogs/marketing-forward/first-party-data-activation-2026/")</f>
        <v>https://www.experian.com/blogs/marketing-forward/first-party-data-activation-2026/</v>
      </c>
      <c r="B50" s="15" t="str">
        <f>IFERROR(__xludf.DUMMYFUNCTION("""COMPUTED_VALUE"""),"How activation drives first-party value | Experian Marketing")</f>
        <v>How activation drives first-party value | Experian Marketing</v>
      </c>
      <c r="C50" s="14" t="str">
        <f>IFERROR(__xludf.DUMMYFUNCTION("""COMPUTED_VALUE"""),"experian.com")</f>
        <v>experian.com</v>
      </c>
      <c r="D50" s="15" t="str">
        <f>IFERROR(__xludf.DUMMYFUNCTION("""COMPUTED_VALUE"""),"ARTICLE")</f>
        <v>ARTICLE</v>
      </c>
      <c r="E50" s="15" t="str">
        <f>IFERROR(__xludf.DUMMYFUNCTION("""COMPUTED_VALUE"""),"CORPORATE")</f>
        <v>CORPORATE</v>
      </c>
      <c r="F50" s="15" t="str">
        <f>IFERROR(__xludf.DUMMYFUNCTION("""COMPUTED_VALUE"""),"Article")</f>
        <v>Article</v>
      </c>
      <c r="G50" s="15" t="b">
        <f>IFERROR(__xludf.DUMMYFUNCTION("""COMPUTED_VALUE"""),FALSE)</f>
        <v>0</v>
      </c>
      <c r="H50" s="15"/>
      <c r="I50" s="15">
        <f>IFERROR(__xludf.DUMMYFUNCTION("""COMPUTED_VALUE"""),1.0)</f>
        <v>1</v>
      </c>
      <c r="J50" s="15">
        <f>IFERROR(__xludf.DUMMYFUNCTION("""COMPUTED_VALUE"""),0.0)</f>
        <v>0</v>
      </c>
      <c r="K50" s="15">
        <f>IFERROR(__xludf.DUMMYFUNCTION("""COMPUTED_VALUE"""),1.0)</f>
        <v>1</v>
      </c>
    </row>
    <row r="51" ht="15.75" customHeight="1">
      <c r="A51" s="14" t="str">
        <f>IFERROR(__xludf.DUMMYFUNCTION("""COMPUTED_VALUE"""),"https://www.fortismedia.com/en/articles/roi-marketing-agency/")</f>
        <v>https://www.fortismedia.com/en/articles/roi-marketing-agency/</v>
      </c>
      <c r="B51" s="15" t="str">
        <f>IFERROR(__xludf.DUMMYFUNCTION("""COMPUTED_VALUE"""),"Articles - Fortis Media")</f>
        <v>Articles - Fortis Media</v>
      </c>
      <c r="C51" s="14" t="str">
        <f>IFERROR(__xludf.DUMMYFUNCTION("""COMPUTED_VALUE"""),"fortismedia.com")</f>
        <v>fortismedia.com</v>
      </c>
      <c r="D51" s="15" t="str">
        <f>IFERROR(__xludf.DUMMYFUNCTION("""COMPUTED_VALUE"""),"ARTICLE")</f>
        <v>ARTICLE</v>
      </c>
      <c r="E51" s="15" t="str">
        <f>IFERROR(__xludf.DUMMYFUNCTION("""COMPUTED_VALUE"""),"CORPORATE")</f>
        <v>CORPORATE</v>
      </c>
      <c r="F51" s="15" t="str">
        <f>IFERROR(__xludf.DUMMYFUNCTION("""COMPUTED_VALUE"""),"Article")</f>
        <v>Article</v>
      </c>
      <c r="G51" s="15" t="b">
        <f>IFERROR(__xludf.DUMMYFUNCTION("""COMPUTED_VALUE"""),FALSE)</f>
        <v>0</v>
      </c>
      <c r="H51" s="15" t="str">
        <f>IFERROR(__xludf.DUMMYFUNCTION("""COMPUTED_VALUE"""),"Transmission")</f>
        <v>Transmission</v>
      </c>
      <c r="I51" s="15">
        <f>IFERROR(__xludf.DUMMYFUNCTION("""COMPUTED_VALUE"""),1.0)</f>
        <v>1</v>
      </c>
      <c r="J51" s="15">
        <f>IFERROR(__xludf.DUMMYFUNCTION("""COMPUTED_VALUE"""),0.0)</f>
        <v>0</v>
      </c>
      <c r="K51" s="15">
        <f>IFERROR(__xludf.DUMMYFUNCTION("""COMPUTED_VALUE"""),0.0)</f>
        <v>0</v>
      </c>
    </row>
    <row r="52" ht="15.75" customHeight="1">
      <c r="A52" s="14" t="str">
        <f>IFERROR(__xludf.DUMMYFUNCTION("""COMPUTED_VALUE"""),"https://funnel.io/blog/incrementality-testing")</f>
        <v>https://funnel.io/blog/incrementality-testing</v>
      </c>
      <c r="B52" s="15" t="str">
        <f>IFERROR(__xludf.DUMMYFUNCTION("""COMPUTED_VALUE"""),"What is incrementality testing?")</f>
        <v>What is incrementality testing?</v>
      </c>
      <c r="C52" s="14" t="str">
        <f>IFERROR(__xludf.DUMMYFUNCTION("""COMPUTED_VALUE"""),"funnel.io")</f>
        <v>funnel.io</v>
      </c>
      <c r="D52" s="15" t="str">
        <f>IFERROR(__xludf.DUMMYFUNCTION("""COMPUTED_VALUE"""),"ARTICLE")</f>
        <v>ARTICLE</v>
      </c>
      <c r="E52" s="15" t="str">
        <f>IFERROR(__xludf.DUMMYFUNCTION("""COMPUTED_VALUE"""),"CORPORATE")</f>
        <v>CORPORATE</v>
      </c>
      <c r="F52" s="15" t="str">
        <f>IFERROR(__xludf.DUMMYFUNCTION("""COMPUTED_VALUE"""),"Article")</f>
        <v>Article</v>
      </c>
      <c r="G52" s="15" t="b">
        <f>IFERROR(__xludf.DUMMYFUNCTION("""COMPUTED_VALUE"""),FALSE)</f>
        <v>0</v>
      </c>
      <c r="H52" s="15" t="str">
        <f>IFERROR(__xludf.DUMMYFUNCTION("""COMPUTED_VALUE"""),"Huge")</f>
        <v>Huge</v>
      </c>
      <c r="I52" s="15">
        <f>IFERROR(__xludf.DUMMYFUNCTION("""COMPUTED_VALUE"""),1.0)</f>
        <v>1</v>
      </c>
      <c r="J52" s="15">
        <f>IFERROR(__xludf.DUMMYFUNCTION("""COMPUTED_VALUE"""),0.0)</f>
        <v>0</v>
      </c>
      <c r="K52" s="15">
        <f>IFERROR(__xludf.DUMMYFUNCTION("""COMPUTED_VALUE"""),1.0)</f>
        <v>1</v>
      </c>
    </row>
    <row r="53" ht="15.75" customHeight="1">
      <c r="A53" s="14" t="str">
        <f>IFERROR(__xludf.DUMMYFUNCTION("""COMPUTED_VALUE"""),"https://improvado.io/blog/marketing-attribution-models")</f>
        <v>https://improvado.io/blog/marketing-attribution-models</v>
      </c>
      <c r="B53" s="15" t="str">
        <f>IFERROR(__xludf.DUMMYFUNCTION("""COMPUTED_VALUE"""),"Marketing Attribution Models: Multi-Touch, Offline &amp;amp; Revenue Guide")</f>
        <v>Marketing Attribution Models: Multi-Touch, Offline &amp;amp; Revenue Guide</v>
      </c>
      <c r="C53" s="14" t="str">
        <f>IFERROR(__xludf.DUMMYFUNCTION("""COMPUTED_VALUE"""),"improvado.io")</f>
        <v>improvado.io</v>
      </c>
      <c r="D53" s="15" t="str">
        <f>IFERROR(__xludf.DUMMYFUNCTION("""COMPUTED_VALUE"""),"ARTICLE")</f>
        <v>ARTICLE</v>
      </c>
      <c r="E53" s="15" t="str">
        <f>IFERROR(__xludf.DUMMYFUNCTION("""COMPUTED_VALUE"""),"CORPORATE")</f>
        <v>CORPORATE</v>
      </c>
      <c r="F53" s="15" t="str">
        <f>IFERROR(__xludf.DUMMYFUNCTION("""COMPUTED_VALUE"""),"Article")</f>
        <v>Article</v>
      </c>
      <c r="G53" s="15" t="b">
        <f>IFERROR(__xludf.DUMMYFUNCTION("""COMPUTED_VALUE"""),FALSE)</f>
        <v>0</v>
      </c>
      <c r="H53" s="15" t="str">
        <f>IFERROR(__xludf.DUMMYFUNCTION("""COMPUTED_VALUE"""),"Push")</f>
        <v>Push</v>
      </c>
      <c r="I53" s="15">
        <f>IFERROR(__xludf.DUMMYFUNCTION("""COMPUTED_VALUE"""),1.0)</f>
        <v>1</v>
      </c>
      <c r="J53" s="15">
        <f>IFERROR(__xludf.DUMMYFUNCTION("""COMPUTED_VALUE"""),0.0)</f>
        <v>0</v>
      </c>
      <c r="K53" s="15">
        <f>IFERROR(__xludf.DUMMYFUNCTION("""COMPUTED_VALUE"""),0.0)</f>
        <v>0</v>
      </c>
    </row>
    <row r="54" ht="15.75" customHeight="1">
      <c r="A54" s="14" t="str">
        <f>IFERROR(__xludf.DUMMYFUNCTION("""COMPUTED_VALUE"""),"https://ipa.co.uk/knowledge/publications-reports/making-effectiveness-work/")</f>
        <v>https://ipa.co.uk/knowledge/publications-reports/making-effectiveness-work/</v>
      </c>
      <c r="B54" s="15" t="str">
        <f>IFERROR(__xludf.DUMMYFUNCTION("""COMPUTED_VALUE"""),"IPA | Making effectiveness work")</f>
        <v>IPA | Making effectiveness work</v>
      </c>
      <c r="C54" s="14" t="str">
        <f>IFERROR(__xludf.DUMMYFUNCTION("""COMPUTED_VALUE"""),"ipa.co.uk")</f>
        <v>ipa.co.uk</v>
      </c>
      <c r="D54" s="15" t="str">
        <f>IFERROR(__xludf.DUMMYFUNCTION("""COMPUTED_VALUE"""),"ARTICLE")</f>
        <v>ARTICLE</v>
      </c>
      <c r="E54" s="15" t="str">
        <f>IFERROR(__xludf.DUMMYFUNCTION("""COMPUTED_VALUE"""),"INSTITUTIONAL")</f>
        <v>INSTITUTIONAL</v>
      </c>
      <c r="F54" s="15" t="str">
        <f>IFERROR(__xludf.DUMMYFUNCTION("""COMPUTED_VALUE"""),"Article")</f>
        <v>Article</v>
      </c>
      <c r="G54" s="15" t="b">
        <f>IFERROR(__xludf.DUMMYFUNCTION("""COMPUTED_VALUE"""),FALSE)</f>
        <v>0</v>
      </c>
      <c r="H54" s="15"/>
      <c r="I54" s="15">
        <f>IFERROR(__xludf.DUMMYFUNCTION("""COMPUTED_VALUE"""),1.0)</f>
        <v>1</v>
      </c>
      <c r="J54" s="15">
        <f>IFERROR(__xludf.DUMMYFUNCTION("""COMPUTED_VALUE"""),0.0)</f>
        <v>0</v>
      </c>
      <c r="K54" s="15">
        <f>IFERROR(__xludf.DUMMYFUNCTION("""COMPUTED_VALUE"""),0.0)</f>
        <v>0</v>
      </c>
    </row>
    <row r="55" ht="15.75" customHeight="1">
      <c r="A55" s="14" t="str">
        <f>IFERROR(__xludf.DUMMYFUNCTION("""COMPUTED_VALUE"""),"https://www.linkedin.com/pulse/deconstructing-common-solutions-first-party-data-pierre-cholet-booce")</f>
        <v>https://www.linkedin.com/pulse/deconstructing-common-solutions-first-party-data-pierre-cholet-booce</v>
      </c>
      <c r="B55" s="15" t="str">
        <f>IFERROR(__xludf.DUMMYFUNCTION("""COMPUTED_VALUE"""),"Deconstructing common solutions for first-party data activation")</f>
        <v>Deconstructing common solutions for first-party data activation</v>
      </c>
      <c r="C55" s="14" t="str">
        <f>IFERROR(__xludf.DUMMYFUNCTION("""COMPUTED_VALUE"""),"linkedin.com")</f>
        <v>linkedin.com</v>
      </c>
      <c r="D55" s="15" t="str">
        <f>IFERROR(__xludf.DUMMYFUNCTION("""COMPUTED_VALUE"""),"ARTICLE")</f>
        <v>ARTICLE</v>
      </c>
      <c r="E55" s="15" t="str">
        <f>IFERROR(__xludf.DUMMYFUNCTION("""COMPUTED_VALUE"""),"UGC")</f>
        <v>UGC</v>
      </c>
      <c r="F55" s="15" t="str">
        <f>IFERROR(__xludf.DUMMYFUNCTION("""COMPUTED_VALUE"""),"Article")</f>
        <v>Article</v>
      </c>
      <c r="G55" s="15" t="b">
        <f>IFERROR(__xludf.DUMMYFUNCTION("""COMPUTED_VALUE"""),FALSE)</f>
        <v>0</v>
      </c>
      <c r="H55" s="15" t="str">
        <f>IFERROR(__xludf.DUMMYFUNCTION("""COMPUTED_VALUE"""),"Epsilon")</f>
        <v>Epsilon</v>
      </c>
      <c r="I55" s="15">
        <f>IFERROR(__xludf.DUMMYFUNCTION("""COMPUTED_VALUE"""),1.0)</f>
        <v>1</v>
      </c>
      <c r="J55" s="15">
        <f>IFERROR(__xludf.DUMMYFUNCTION("""COMPUTED_VALUE"""),0.0)</f>
        <v>0</v>
      </c>
      <c r="K55" s="15">
        <f>IFERROR(__xludf.DUMMYFUNCTION("""COMPUTED_VALUE"""),0.0)</f>
        <v>0</v>
      </c>
    </row>
    <row r="56" ht="15.75" customHeight="1">
      <c r="A56" s="14" t="str">
        <f>IFERROR(__xludf.DUMMYFUNCTION("""COMPUTED_VALUE"""),"https://m.economictimes.com/industry/services/advertising/bcg-sees-wider-ai-execution-gap-in-india-as-marketers-prepare-for-agentic-ai/articleshow/132398248.cms")</f>
        <v>https://m.economictimes.com/industry/services/advertising/bcg-sees-wider-ai-execution-gap-in-india-as-marketers-prepare-for-agentic-ai/articleshow/132398248.cms</v>
      </c>
      <c r="B56" s="15" t="str">
        <f>IFERROR(__xludf.DUMMYFUNCTION("""COMPUTED_VALUE"""),"BCG sees wider AI execution gap in India as marketers prepare for agentic AI - The Economic Times")</f>
        <v>BCG sees wider AI execution gap in India as marketers prepare for agentic AI - The Economic Times</v>
      </c>
      <c r="C56" s="14" t="str">
        <f>IFERROR(__xludf.DUMMYFUNCTION("""COMPUTED_VALUE"""),"economictimes.com")</f>
        <v>economictimes.com</v>
      </c>
      <c r="D56" s="15" t="str">
        <f>IFERROR(__xludf.DUMMYFUNCTION("""COMPUTED_VALUE"""),"ARTICLE")</f>
        <v>ARTICLE</v>
      </c>
      <c r="E56" s="15" t="str">
        <f>IFERROR(__xludf.DUMMYFUNCTION("""COMPUTED_VALUE"""),"EDITORIAL")</f>
        <v>EDITORIAL</v>
      </c>
      <c r="F56" s="15" t="str">
        <f>IFERROR(__xludf.DUMMYFUNCTION("""COMPUTED_VALUE"""),"Article")</f>
        <v>Article</v>
      </c>
      <c r="G56" s="15" t="b">
        <f>IFERROR(__xludf.DUMMYFUNCTION("""COMPUTED_VALUE"""),FALSE)</f>
        <v>0</v>
      </c>
      <c r="H56" s="15" t="str">
        <f>IFERROR(__xludf.DUMMYFUNCTION("""COMPUTED_VALUE"""),"Found, Kantar, WPP, Disrupt Marketing, Momentum")</f>
        <v>Found, Kantar, WPP, Disrupt Marketing, Momentum</v>
      </c>
      <c r="I56" s="15">
        <f>IFERROR(__xludf.DUMMYFUNCTION("""COMPUTED_VALUE"""),1.0)</f>
        <v>1</v>
      </c>
      <c r="J56" s="15">
        <f>IFERROR(__xludf.DUMMYFUNCTION("""COMPUTED_VALUE"""),0.0)</f>
        <v>0</v>
      </c>
      <c r="K56" s="15">
        <f>IFERROR(__xludf.DUMMYFUNCTION("""COMPUTED_VALUE"""),2.0)</f>
        <v>2</v>
      </c>
    </row>
    <row r="57" ht="15.75" customHeight="1">
      <c r="A57" s="14" t="str">
        <f>IFERROR(__xludf.DUMMYFUNCTION("""COMPUTED_VALUE"""),"https://www.marketingweek.com/john-lewis-new-agency/")</f>
        <v>https://www.marketingweek.com/john-lewis-new-agency/</v>
      </c>
      <c r="B57" s="15" t="str">
        <f>IFERROR(__xludf.DUMMYFUNCTION("""COMPUTED_VALUE"""),"Emphasising ‘the John Lewis difference’: Inside the Partnership’s choice of new agency")</f>
        <v>Emphasising ‘the John Lewis difference’: Inside the Partnership’s choice of new agency</v>
      </c>
      <c r="C57" s="14" t="str">
        <f>IFERROR(__xludf.DUMMYFUNCTION("""COMPUTED_VALUE"""),"marketingweek.com")</f>
        <v>marketingweek.com</v>
      </c>
      <c r="D57" s="15" t="str">
        <f>IFERROR(__xludf.DUMMYFUNCTION("""COMPUTED_VALUE"""),"ARTICLE")</f>
        <v>ARTICLE</v>
      </c>
      <c r="E57" s="15" t="str">
        <f>IFERROR(__xludf.DUMMYFUNCTION("""COMPUTED_VALUE"""),"EDITORIAL")</f>
        <v>EDITORIAL</v>
      </c>
      <c r="F57" s="15" t="str">
        <f>IFERROR(__xludf.DUMMYFUNCTION("""COMPUTED_VALUE"""),"Article")</f>
        <v>Article</v>
      </c>
      <c r="G57" s="15" t="b">
        <f>IFERROR(__xludf.DUMMYFUNCTION("""COMPUTED_VALUE"""),FALSE)</f>
        <v>0</v>
      </c>
      <c r="H57" s="15" t="str">
        <f>IFERROR(__xludf.DUMMYFUNCTION("""COMPUTED_VALUE"""),"Saatchi &amp; Saatchi, Adam&amp;eveDDB")</f>
        <v>Saatchi &amp; Saatchi, Adam&amp;eveDDB</v>
      </c>
      <c r="I57" s="15">
        <f>IFERROR(__xludf.DUMMYFUNCTION("""COMPUTED_VALUE"""),1.0)</f>
        <v>1</v>
      </c>
      <c r="J57" s="15">
        <f>IFERROR(__xludf.DUMMYFUNCTION("""COMPUTED_VALUE"""),0.0)</f>
        <v>0</v>
      </c>
      <c r="K57" s="15">
        <f>IFERROR(__xludf.DUMMYFUNCTION("""COMPUTED_VALUE"""),1.0)</f>
        <v>1</v>
      </c>
    </row>
    <row r="58" ht="15.75" customHeight="1">
      <c r="A58" s="14" t="str">
        <f>IFERROR(__xludf.DUMMYFUNCTION("""COMPUTED_VALUE"""),"https://www.measured.com/faq/incrementality-testing-how-to-choose-the-right-platform/")</f>
        <v>https://www.measured.com/faq/incrementality-testing-how-to-choose-the-right-platform/</v>
      </c>
      <c r="B58" s="15" t="str">
        <f>IFERROR(__xludf.DUMMYFUNCTION("""COMPUTED_VALUE"""),"Incrementality Testing: How To Choose The Right Platform | Measured®")</f>
        <v>Incrementality Testing: How To Choose The Right Platform | Measured®</v>
      </c>
      <c r="C58" s="14" t="str">
        <f>IFERROR(__xludf.DUMMYFUNCTION("""COMPUTED_VALUE"""),"measured.com")</f>
        <v>measured.com</v>
      </c>
      <c r="D58" s="15" t="str">
        <f>IFERROR(__xludf.DUMMYFUNCTION("""COMPUTED_VALUE"""),"ARTICLE")</f>
        <v>ARTICLE</v>
      </c>
      <c r="E58" s="15" t="str">
        <f>IFERROR(__xludf.DUMMYFUNCTION("""COMPUTED_VALUE"""),"COMPETITOR")</f>
        <v>COMPETITOR</v>
      </c>
      <c r="F58" s="15" t="str">
        <f>IFERROR(__xludf.DUMMYFUNCTION("""COMPUTED_VALUE"""),"Article")</f>
        <v>Article</v>
      </c>
      <c r="G58" s="15" t="b">
        <f>IFERROR(__xludf.DUMMYFUNCTION("""COMPUTED_VALUE"""),FALSE)</f>
        <v>0</v>
      </c>
      <c r="H58" s="15" t="str">
        <f>IFERROR(__xludf.DUMMYFUNCTION("""COMPUTED_VALUE"""),"Measured, Found")</f>
        <v>Measured, Found</v>
      </c>
      <c r="I58" s="15">
        <f>IFERROR(__xludf.DUMMYFUNCTION("""COMPUTED_VALUE"""),1.0)</f>
        <v>1</v>
      </c>
      <c r="J58" s="15">
        <f>IFERROR(__xludf.DUMMYFUNCTION("""COMPUTED_VALUE"""),0.0)</f>
        <v>0</v>
      </c>
      <c r="K58" s="15">
        <f>IFERROR(__xludf.DUMMYFUNCTION("""COMPUTED_VALUE"""),1.0)</f>
        <v>1</v>
      </c>
    </row>
    <row r="59" ht="15.75" customHeight="1">
      <c r="A59" s="14" t="str">
        <f>IFERROR(__xludf.DUMMYFUNCTION("""COMPUTED_VALUE"""),"https://www.measured.com/faq/what-is-incrementality-testing/")</f>
        <v>https://www.measured.com/faq/what-is-incrementality-testing/</v>
      </c>
      <c r="B59" s="15" t="str">
        <f>IFERROR(__xludf.DUMMYFUNCTION("""COMPUTED_VALUE"""),"What is Incrementality Testing (w/ Calculations &amp;amp; Examples)")</f>
        <v>What is Incrementality Testing (w/ Calculations &amp;amp; Examples)</v>
      </c>
      <c r="C59" s="14" t="str">
        <f>IFERROR(__xludf.DUMMYFUNCTION("""COMPUTED_VALUE"""),"measured.com")</f>
        <v>measured.com</v>
      </c>
      <c r="D59" s="15" t="str">
        <f>IFERROR(__xludf.DUMMYFUNCTION("""COMPUTED_VALUE"""),"ARTICLE")</f>
        <v>ARTICLE</v>
      </c>
      <c r="E59" s="15" t="str">
        <f>IFERROR(__xludf.DUMMYFUNCTION("""COMPUTED_VALUE"""),"COMPETITOR")</f>
        <v>COMPETITOR</v>
      </c>
      <c r="F59" s="15" t="str">
        <f>IFERROR(__xludf.DUMMYFUNCTION("""COMPUTED_VALUE"""),"Article")</f>
        <v>Article</v>
      </c>
      <c r="G59" s="15" t="b">
        <f>IFERROR(__xludf.DUMMYFUNCTION("""COMPUTED_VALUE"""),FALSE)</f>
        <v>0</v>
      </c>
      <c r="H59" s="15" t="str">
        <f>IFERROR(__xludf.DUMMYFUNCTION("""COMPUTED_VALUE"""),"Measured")</f>
        <v>Measured</v>
      </c>
      <c r="I59" s="15">
        <f>IFERROR(__xludf.DUMMYFUNCTION("""COMPUTED_VALUE"""),1.0)</f>
        <v>1</v>
      </c>
      <c r="J59" s="15">
        <f>IFERROR(__xludf.DUMMYFUNCTION("""COMPUTED_VALUE"""),0.0)</f>
        <v>0</v>
      </c>
      <c r="K59" s="15">
        <f>IFERROR(__xludf.DUMMYFUNCTION("""COMPUTED_VALUE"""),1.0)</f>
        <v>1</v>
      </c>
    </row>
    <row r="60" ht="15.75" customHeight="1">
      <c r="A60" s="14" t="str">
        <f>IFERROR(__xludf.DUMMYFUNCTION("""COMPUTED_VALUE"""),"https://oaknorth.co.uk/press/eci-partners-acquires-majority-stake-in-digital-marketing-agency-croud-to-accelerate-growth-following-77-6m-club-loan-from-oaknorth/")</f>
        <v>https://oaknorth.co.uk/press/eci-partners-acquires-majority-stake-in-digital-marketing-agency-croud-to-accelerate-growth-following-77-6m-club-loan-from-oaknorth/</v>
      </c>
      <c r="B60" s="15" t="str">
        <f>IFERROR(__xludf.DUMMYFUNCTION("""COMPUTED_VALUE"""),"ECI Partners acquires majority stake in digital marketing agency, Croud, to accelerate growth, following £77.6m club loan from OakNorth | OakNorth Bank | Business Loans &amp;amp; Savings Accounts")</f>
        <v>ECI Partners acquires majority stake in digital marketing agency, Croud, to accelerate growth, following £77.6m club loan from OakNorth | OakNorth Bank | Business Loans &amp;amp; Savings Accounts</v>
      </c>
      <c r="C60" s="14" t="str">
        <f>IFERROR(__xludf.DUMMYFUNCTION("""COMPUTED_VALUE"""),"oaknorth.co.uk")</f>
        <v>oaknorth.co.uk</v>
      </c>
      <c r="D60" s="15" t="str">
        <f>IFERROR(__xludf.DUMMYFUNCTION("""COMPUTED_VALUE"""),"ARTICLE")</f>
        <v>ARTICLE</v>
      </c>
      <c r="E60" s="15" t="str">
        <f>IFERROR(__xludf.DUMMYFUNCTION("""COMPUTED_VALUE"""),"CORPORATE")</f>
        <v>CORPORATE</v>
      </c>
      <c r="F60" s="15" t="str">
        <f>IFERROR(__xludf.DUMMYFUNCTION("""COMPUTED_VALUE"""),"Article")</f>
        <v>Article</v>
      </c>
      <c r="G60" s="15" t="b">
        <f>IFERROR(__xludf.DUMMYFUNCTION("""COMPUTED_VALUE"""),FALSE)</f>
        <v>0</v>
      </c>
      <c r="H60" s="15" t="str">
        <f>IFERROR(__xludf.DUMMYFUNCTION("""COMPUTED_VALUE"""),"Croud, Born Social")</f>
        <v>Croud, Born Social</v>
      </c>
      <c r="I60" s="15">
        <f>IFERROR(__xludf.DUMMYFUNCTION("""COMPUTED_VALUE"""),1.0)</f>
        <v>1</v>
      </c>
      <c r="J60" s="15">
        <f>IFERROR(__xludf.DUMMYFUNCTION("""COMPUTED_VALUE"""),0.0)</f>
        <v>0</v>
      </c>
      <c r="K60" s="15">
        <f>IFERROR(__xludf.DUMMYFUNCTION("""COMPUTED_VALUE"""),1.0)</f>
        <v>1</v>
      </c>
    </row>
    <row r="61" ht="15.75" customHeight="1">
      <c r="A61" s="14" t="str">
        <f>IFERROR(__xludf.DUMMYFUNCTION("""COMPUTED_VALUE"""),"https://omnicommedia.com/uk/omnicom-consultancy-trkkn-launches-in-uk/")</f>
        <v>https://omnicommedia.com/uk/omnicom-consultancy-trkkn-launches-in-uk/</v>
      </c>
      <c r="B61" s="15" t="str">
        <f>IFERROR(__xludf.DUMMYFUNCTION("""COMPUTED_VALUE"""),"Omnicom consultancy TRKKN launches in UK – Omnicom Media United Kingdom")</f>
        <v>Omnicom consultancy TRKKN launches in UK – Omnicom Media United Kingdom</v>
      </c>
      <c r="C61" s="14" t="str">
        <f>IFERROR(__xludf.DUMMYFUNCTION("""COMPUTED_VALUE"""),"omnicommedia.com")</f>
        <v>omnicommedia.com</v>
      </c>
      <c r="D61" s="15" t="str">
        <f>IFERROR(__xludf.DUMMYFUNCTION("""COMPUTED_VALUE"""),"ARTICLE")</f>
        <v>ARTICLE</v>
      </c>
      <c r="E61" s="15" t="str">
        <f>IFERROR(__xludf.DUMMYFUNCTION("""COMPUTED_VALUE"""),"CORPORATE")</f>
        <v>CORPORATE</v>
      </c>
      <c r="F61" s="15" t="str">
        <f>IFERROR(__xludf.DUMMYFUNCTION("""COMPUTED_VALUE"""),"Article")</f>
        <v>Article</v>
      </c>
      <c r="G61" s="15" t="b">
        <f>IFERROR(__xludf.DUMMYFUNCTION("""COMPUTED_VALUE"""),FALSE)</f>
        <v>0</v>
      </c>
      <c r="H61" s="15" t="str">
        <f>IFERROR(__xludf.DUMMYFUNCTION("""COMPUTED_VALUE"""),"Omnicom")</f>
        <v>Omnicom</v>
      </c>
      <c r="I61" s="15">
        <f>IFERROR(__xludf.DUMMYFUNCTION("""COMPUTED_VALUE"""),1.0)</f>
        <v>1</v>
      </c>
      <c r="J61" s="15">
        <f>IFERROR(__xludf.DUMMYFUNCTION("""COMPUTED_VALUE"""),0.0)</f>
        <v>0</v>
      </c>
      <c r="K61" s="15">
        <f>IFERROR(__xludf.DUMMYFUNCTION("""COMPUTED_VALUE"""),1.0)</f>
        <v>1</v>
      </c>
    </row>
    <row r="62" ht="15.75" customHeight="1">
      <c r="A62" s="14" t="str">
        <f>IFERROR(__xludf.DUMMYFUNCTION("""COMPUTED_VALUE"""),"https://queryclick.com/insights/ecommerce-insights-conversions-rebound-external-factors/")</f>
        <v>https://queryclick.com/insights/ecommerce-insights-conversions-rebound-external-factors/</v>
      </c>
      <c r="B62" s="15" t="str">
        <f>IFERROR(__xludf.DUMMYFUNCTION("""COMPUTED_VALUE"""),"eCommerce Insights: Conversions Rebound &amp;amp; External Factors - QueryClick")</f>
        <v>eCommerce Insights: Conversions Rebound &amp;amp; External Factors - QueryClick</v>
      </c>
      <c r="C62" s="14" t="str">
        <f>IFERROR(__xludf.DUMMYFUNCTION("""COMPUTED_VALUE"""),"queryclick.com")</f>
        <v>queryclick.com</v>
      </c>
      <c r="D62" s="15" t="str">
        <f>IFERROR(__xludf.DUMMYFUNCTION("""COMPUTED_VALUE"""),"ARTICLE")</f>
        <v>ARTICLE</v>
      </c>
      <c r="E62" s="15" t="str">
        <f>IFERROR(__xludf.DUMMYFUNCTION("""COMPUTED_VALUE"""),"COMPETITOR")</f>
        <v>COMPETITOR</v>
      </c>
      <c r="F62" s="15" t="str">
        <f>IFERROR(__xludf.DUMMYFUNCTION("""COMPUTED_VALUE"""),"Article")</f>
        <v>Article</v>
      </c>
      <c r="G62" s="15" t="b">
        <f>IFERROR(__xludf.DUMMYFUNCTION("""COMPUTED_VALUE"""),FALSE)</f>
        <v>0</v>
      </c>
      <c r="H62" s="15" t="str">
        <f>IFERROR(__xludf.DUMMYFUNCTION("""COMPUTED_VALUE"""),"McKinsey &amp; Company, QuantumBlack, QueryClick")</f>
        <v>McKinsey &amp; Company, QuantumBlack, QueryClick</v>
      </c>
      <c r="I62" s="15">
        <f>IFERROR(__xludf.DUMMYFUNCTION("""COMPUTED_VALUE"""),1.0)</f>
        <v>1</v>
      </c>
      <c r="J62" s="15">
        <f>IFERROR(__xludf.DUMMYFUNCTION("""COMPUTED_VALUE"""),0.0)</f>
        <v>0</v>
      </c>
      <c r="K62" s="15">
        <f>IFERROR(__xludf.DUMMYFUNCTION("""COMPUTED_VALUE"""),1.0)</f>
        <v>1</v>
      </c>
    </row>
    <row r="63" ht="15.75" customHeight="1">
      <c r="A63" s="14" t="str">
        <f>IFERROR(__xludf.DUMMYFUNCTION("""COMPUTED_VALUE"""),"https://www.scalewithfuture.com/resources/from-concept-to-completion-choosing-the-right-creative-production-agency")</f>
        <v>https://www.scalewithfuture.com/resources/from-concept-to-completion-choosing-the-right-creative-production-agency</v>
      </c>
      <c r="B63" s="15" t="str">
        <f>IFERROR(__xludf.DUMMYFUNCTION("""COMPUTED_VALUE"""),"Choosing the Right Creative Production Agency")</f>
        <v>Choosing the Right Creative Production Agency</v>
      </c>
      <c r="C63" s="14" t="str">
        <f>IFERROR(__xludf.DUMMYFUNCTION("""COMPUTED_VALUE"""),"scalewithfuture.com")</f>
        <v>scalewithfuture.com</v>
      </c>
      <c r="D63" s="15" t="str">
        <f>IFERROR(__xludf.DUMMYFUNCTION("""COMPUTED_VALUE"""),"ARTICLE")</f>
        <v>ARTICLE</v>
      </c>
      <c r="E63" s="15" t="str">
        <f>IFERROR(__xludf.DUMMYFUNCTION("""COMPUTED_VALUE"""),"CORPORATE")</f>
        <v>CORPORATE</v>
      </c>
      <c r="F63" s="15" t="str">
        <f>IFERROR(__xludf.DUMMYFUNCTION("""COMPUTED_VALUE"""),"Article")</f>
        <v>Article</v>
      </c>
      <c r="G63" s="15" t="b">
        <f>IFERROR(__xludf.DUMMYFUNCTION("""COMPUTED_VALUE"""),FALSE)</f>
        <v>0</v>
      </c>
      <c r="H63" s="15" t="str">
        <f>IFERROR(__xludf.DUMMYFUNCTION("""COMPUTED_VALUE"""),"Impression")</f>
        <v>Impression</v>
      </c>
      <c r="I63" s="15">
        <f>IFERROR(__xludf.DUMMYFUNCTION("""COMPUTED_VALUE"""),1.0)</f>
        <v>1</v>
      </c>
      <c r="J63" s="15">
        <f>IFERROR(__xludf.DUMMYFUNCTION("""COMPUTED_VALUE"""),0.0)</f>
        <v>0</v>
      </c>
      <c r="K63" s="15">
        <f>IFERROR(__xludf.DUMMYFUNCTION("""COMPUTED_VALUE"""),0.0)</f>
        <v>0</v>
      </c>
    </row>
    <row r="64" ht="15.75" customHeight="1">
      <c r="A64" s="14" t="str">
        <f>IFERROR(__xludf.DUMMYFUNCTION("""COMPUTED_VALUE"""),"https://www.shopify.com/blog/paid-media")</f>
        <v>https://www.shopify.com/blog/paid-media</v>
      </c>
      <c r="B64" s="15" t="str">
        <f>IFERROR(__xludf.DUMMYFUNCTION("""COMPUTED_VALUE"""),"What Is Paid Media? Guide for Ecommerce Business Owners - Shopify")</f>
        <v>What Is Paid Media? Guide for Ecommerce Business Owners - Shopify</v>
      </c>
      <c r="C64" s="14" t="str">
        <f>IFERROR(__xludf.DUMMYFUNCTION("""COMPUTED_VALUE"""),"shopify.com")</f>
        <v>shopify.com</v>
      </c>
      <c r="D64" s="15" t="str">
        <f>IFERROR(__xludf.DUMMYFUNCTION("""COMPUTED_VALUE"""),"ARTICLE")</f>
        <v>ARTICLE</v>
      </c>
      <c r="E64" s="15" t="str">
        <f>IFERROR(__xludf.DUMMYFUNCTION("""COMPUTED_VALUE"""),"CORPORATE")</f>
        <v>CORPORATE</v>
      </c>
      <c r="F64" s="15" t="str">
        <f>IFERROR(__xludf.DUMMYFUNCTION("""COMPUTED_VALUE"""),"Article")</f>
        <v>Article</v>
      </c>
      <c r="G64" s="15" t="b">
        <f>IFERROR(__xludf.DUMMYFUNCTION("""COMPUTED_VALUE"""),FALSE)</f>
        <v>0</v>
      </c>
      <c r="H64" s="15"/>
      <c r="I64" s="15">
        <f>IFERROR(__xludf.DUMMYFUNCTION("""COMPUTED_VALUE"""),1.0)</f>
        <v>1</v>
      </c>
      <c r="J64" s="15">
        <f>IFERROR(__xludf.DUMMYFUNCTION("""COMPUTED_VALUE"""),0.0)</f>
        <v>0</v>
      </c>
      <c r="K64" s="15">
        <f>IFERROR(__xludf.DUMMYFUNCTION("""COMPUTED_VALUE"""),1.0)</f>
        <v>1</v>
      </c>
    </row>
    <row r="65" ht="15.75" customHeight="1">
      <c r="A65" s="14" t="str">
        <f>IFERROR(__xludf.DUMMYFUNCTION("""COMPUTED_VALUE"""),"https://www.superside.com/blog/creative-at-scale")</f>
        <v>https://www.superside.com/blog/creative-at-scale</v>
      </c>
      <c r="B65" s="15" t="str">
        <f>IFERROR(__xludf.DUMMYFUNCTION("""COMPUTED_VALUE"""),"Driving Creative at Scale for Brands To Achieve Success (Services &amp;amp; Tips)")</f>
        <v>Driving Creative at Scale for Brands To Achieve Success (Services &amp;amp; Tips)</v>
      </c>
      <c r="C65" s="14" t="str">
        <f>IFERROR(__xludf.DUMMYFUNCTION("""COMPUTED_VALUE"""),"superside.com")</f>
        <v>superside.com</v>
      </c>
      <c r="D65" s="15" t="str">
        <f>IFERROR(__xludf.DUMMYFUNCTION("""COMPUTED_VALUE"""),"ARTICLE")</f>
        <v>ARTICLE</v>
      </c>
      <c r="E65" s="15" t="str">
        <f>IFERROR(__xludf.DUMMYFUNCTION("""COMPUTED_VALUE"""),"COMPETITOR")</f>
        <v>COMPETITOR</v>
      </c>
      <c r="F65" s="15" t="str">
        <f>IFERROR(__xludf.DUMMYFUNCTION("""COMPUTED_VALUE"""),"Article")</f>
        <v>Article</v>
      </c>
      <c r="G65" s="15" t="b">
        <f>IFERROR(__xludf.DUMMYFUNCTION("""COMPUTED_VALUE"""),FALSE)</f>
        <v>0</v>
      </c>
      <c r="H65" s="15" t="str">
        <f>IFERROR(__xludf.DUMMYFUNCTION("""COMPUTED_VALUE"""),"Superside, GroupM, WPP, Publicis Groupe, Accenture Song, Deloitte Digital")</f>
        <v>Superside, GroupM, WPP, Publicis Groupe, Accenture Song, Deloitte Digital</v>
      </c>
      <c r="I65" s="15">
        <f>IFERROR(__xludf.DUMMYFUNCTION("""COMPUTED_VALUE"""),1.0)</f>
        <v>1</v>
      </c>
      <c r="J65" s="15">
        <f>IFERROR(__xludf.DUMMYFUNCTION("""COMPUTED_VALUE"""),0.0)</f>
        <v>0</v>
      </c>
      <c r="K65" s="15">
        <f>IFERROR(__xludf.DUMMYFUNCTION("""COMPUTED_VALUE"""),1.0)</f>
        <v>1</v>
      </c>
    </row>
    <row r="66" ht="15.75" customHeight="1">
      <c r="A66" s="14" t="str">
        <f>IFERROR(__xludf.DUMMYFUNCTION("""COMPUTED_VALUE"""),"https://www.techradar.com/pro/companies-that-can-serve-both-human-and-agent-audiences-will-be-the-ones-that-survive-wordpress-vip-cto-spells-out-the-future-of-seo-geo-and-more")</f>
        <v>https://www.techradar.com/pro/companies-that-can-serve-both-human-and-agent-audiences-will-be-the-ones-that-survive-wordpress-vip-cto-spells-out-the-future-of-seo-geo-and-more</v>
      </c>
      <c r="B66" s="15" t="str">
        <f>IFERROR(__xludf.DUMMYFUNCTION("""COMPUTED_VALUE"""),"States push back against rising AI-driven electricity infrastructure costs | TechRadar")</f>
        <v>States push back against rising AI-driven electricity infrastructure costs | TechRadar</v>
      </c>
      <c r="C66" s="14" t="str">
        <f>IFERROR(__xludf.DUMMYFUNCTION("""COMPUTED_VALUE"""),"techradar.com")</f>
        <v>techradar.com</v>
      </c>
      <c r="D66" s="15" t="str">
        <f>IFERROR(__xludf.DUMMYFUNCTION("""COMPUTED_VALUE"""),"ARTICLE")</f>
        <v>ARTICLE</v>
      </c>
      <c r="E66" s="15" t="str">
        <f>IFERROR(__xludf.DUMMYFUNCTION("""COMPUTED_VALUE"""),"EDITORIAL")</f>
        <v>EDITORIAL</v>
      </c>
      <c r="F66" s="15" t="str">
        <f>IFERROR(__xludf.DUMMYFUNCTION("""COMPUTED_VALUE"""),"Article")</f>
        <v>Article</v>
      </c>
      <c r="G66" s="15" t="b">
        <f>IFERROR(__xludf.DUMMYFUNCTION("""COMPUTED_VALUE"""),FALSE)</f>
        <v>0</v>
      </c>
      <c r="H66" s="15" t="str">
        <f>IFERROR(__xludf.DUMMYFUNCTION("""COMPUTED_VALUE"""),"Huge, Push")</f>
        <v>Huge, Push</v>
      </c>
      <c r="I66" s="15">
        <f>IFERROR(__xludf.DUMMYFUNCTION("""COMPUTED_VALUE"""),1.0)</f>
        <v>1</v>
      </c>
      <c r="J66" s="15">
        <f>IFERROR(__xludf.DUMMYFUNCTION("""COMPUTED_VALUE"""),0.0)</f>
        <v>0</v>
      </c>
      <c r="K66" s="15">
        <f>IFERROR(__xludf.DUMMYFUNCTION("""COMPUTED_VALUE"""),2.0)</f>
        <v>2</v>
      </c>
    </row>
    <row r="67" ht="15.75" customHeight="1">
      <c r="A67" s="14" t="str">
        <f>IFERROR(__xludf.DUMMYFUNCTION("""COMPUTED_VALUE"""),"https://www.techradar.com/pro/how-ai-has-made-bad-measurement-worse")</f>
        <v>https://www.techradar.com/pro/how-ai-has-made-bad-measurement-worse</v>
      </c>
      <c r="B67" s="15" t="str">
        <f>IFERROR(__xludf.DUMMYFUNCTION("""COMPUTED_VALUE"""),"How AI has made bad measurement worse | TechRadar")</f>
        <v>How AI has made bad measurement worse | TechRadar</v>
      </c>
      <c r="C67" s="14" t="str">
        <f>IFERROR(__xludf.DUMMYFUNCTION("""COMPUTED_VALUE"""),"techradar.com")</f>
        <v>techradar.com</v>
      </c>
      <c r="D67" s="15" t="str">
        <f>IFERROR(__xludf.DUMMYFUNCTION("""COMPUTED_VALUE"""),"ARTICLE")</f>
        <v>ARTICLE</v>
      </c>
      <c r="E67" s="15" t="str">
        <f>IFERROR(__xludf.DUMMYFUNCTION("""COMPUTED_VALUE"""),"EDITORIAL")</f>
        <v>EDITORIAL</v>
      </c>
      <c r="F67" s="15" t="str">
        <f>IFERROR(__xludf.DUMMYFUNCTION("""COMPUTED_VALUE"""),"Article")</f>
        <v>Article</v>
      </c>
      <c r="G67" s="15" t="b">
        <f>IFERROR(__xludf.DUMMYFUNCTION("""COMPUTED_VALUE"""),FALSE)</f>
        <v>0</v>
      </c>
      <c r="H67" s="15"/>
      <c r="I67" s="15">
        <f>IFERROR(__xludf.DUMMYFUNCTION("""COMPUTED_VALUE"""),1.0)</f>
        <v>1</v>
      </c>
      <c r="J67" s="15">
        <f>IFERROR(__xludf.DUMMYFUNCTION("""COMPUTED_VALUE"""),0.0)</f>
        <v>0</v>
      </c>
      <c r="K67" s="15">
        <f>IFERROR(__xludf.DUMMYFUNCTION("""COMPUTED_VALUE"""),2.0)</f>
        <v>2</v>
      </c>
    </row>
    <row r="68" ht="15.75" customHeight="1">
      <c r="A68" s="14" t="str">
        <f>IFERROR(__xludf.DUMMYFUNCTION("""COMPUTED_VALUE"""),"https://www.techradar.com/pro/many-businesses-are-deploying-ai-faster-than-theyre-preparing-employees-leading-to-an-ai-underclass-at-some-firms")</f>
        <v>https://www.techradar.com/pro/many-businesses-are-deploying-ai-faster-than-theyre-preparing-employees-leading-to-an-ai-underclass-at-some-firms</v>
      </c>
      <c r="B68" s="15" t="str">
        <f>IFERROR(__xludf.DUMMYFUNCTION("""COMPUTED_VALUE"""),"Many businesses are deploying AI faster than they’re preparing employees — leading to an 'AI underclass' at some firms | TechRadar")</f>
        <v>Many businesses are deploying AI faster than they’re preparing employees — leading to an 'AI underclass' at some firms | TechRadar</v>
      </c>
      <c r="C68" s="14" t="str">
        <f>IFERROR(__xludf.DUMMYFUNCTION("""COMPUTED_VALUE"""),"techradar.com")</f>
        <v>techradar.com</v>
      </c>
      <c r="D68" s="15" t="str">
        <f>IFERROR(__xludf.DUMMYFUNCTION("""COMPUTED_VALUE"""),"ARTICLE")</f>
        <v>ARTICLE</v>
      </c>
      <c r="E68" s="15" t="str">
        <f>IFERROR(__xludf.DUMMYFUNCTION("""COMPUTED_VALUE"""),"EDITORIAL")</f>
        <v>EDITORIAL</v>
      </c>
      <c r="F68" s="15" t="str">
        <f>IFERROR(__xludf.DUMMYFUNCTION("""COMPUTED_VALUE"""),"Article")</f>
        <v>Article</v>
      </c>
      <c r="G68" s="15" t="b">
        <f>IFERROR(__xludf.DUMMYFUNCTION("""COMPUTED_VALUE"""),FALSE)</f>
        <v>0</v>
      </c>
      <c r="H68" s="15" t="str">
        <f>IFERROR(__xludf.DUMMYFUNCTION("""COMPUTED_VALUE"""),"Found, Huge")</f>
        <v>Found, Huge</v>
      </c>
      <c r="I68" s="15">
        <f>IFERROR(__xludf.DUMMYFUNCTION("""COMPUTED_VALUE"""),1.0)</f>
        <v>1</v>
      </c>
      <c r="J68" s="15">
        <f>IFERROR(__xludf.DUMMYFUNCTION("""COMPUTED_VALUE"""),0.0)</f>
        <v>0</v>
      </c>
      <c r="K68" s="15">
        <f>IFERROR(__xludf.DUMMYFUNCTION("""COMPUTED_VALUE"""),2.0)</f>
        <v>2</v>
      </c>
    </row>
    <row r="69" ht="15.75" customHeight="1">
      <c r="A69" s="14" t="str">
        <f>IFERROR(__xludf.DUMMYFUNCTION("""COMPUTED_VALUE"""),"https://www.techradar.com/pro/marketing-doesnt-have-a-data-problem-it-has-an-action-problem")</f>
        <v>https://www.techradar.com/pro/marketing-doesnt-have-a-data-problem-it-has-an-action-problem</v>
      </c>
      <c r="B69" s="15" t="str">
        <f>IFERROR(__xludf.DUMMYFUNCTION("""COMPUTED_VALUE"""),"Marketing doesn’t have a data problem: it has an action problem | TechRadar")</f>
        <v>Marketing doesn’t have a data problem: it has an action problem | TechRadar</v>
      </c>
      <c r="C69" s="14" t="str">
        <f>IFERROR(__xludf.DUMMYFUNCTION("""COMPUTED_VALUE"""),"techradar.com")</f>
        <v>techradar.com</v>
      </c>
      <c r="D69" s="15" t="str">
        <f>IFERROR(__xludf.DUMMYFUNCTION("""COMPUTED_VALUE"""),"ARTICLE")</f>
        <v>ARTICLE</v>
      </c>
      <c r="E69" s="15" t="str">
        <f>IFERROR(__xludf.DUMMYFUNCTION("""COMPUTED_VALUE"""),"EDITORIAL")</f>
        <v>EDITORIAL</v>
      </c>
      <c r="F69" s="15" t="str">
        <f>IFERROR(__xludf.DUMMYFUNCTION("""COMPUTED_VALUE"""),"Article")</f>
        <v>Article</v>
      </c>
      <c r="G69" s="15" t="b">
        <f>IFERROR(__xludf.DUMMYFUNCTION("""COMPUTED_VALUE"""),FALSE)</f>
        <v>0</v>
      </c>
      <c r="H69" s="15" t="str">
        <f>IFERROR(__xludf.DUMMYFUNCTION("""COMPUTED_VALUE"""),"Found")</f>
        <v>Found</v>
      </c>
      <c r="I69" s="15">
        <f>IFERROR(__xludf.DUMMYFUNCTION("""COMPUTED_VALUE"""),1.0)</f>
        <v>1</v>
      </c>
      <c r="J69" s="15">
        <f>IFERROR(__xludf.DUMMYFUNCTION("""COMPUTED_VALUE"""),0.0)</f>
        <v>0</v>
      </c>
      <c r="K69" s="15">
        <f>IFERROR(__xludf.DUMMYFUNCTION("""COMPUTED_VALUE"""),2.0)</f>
        <v>2</v>
      </c>
    </row>
    <row r="70" ht="15.75" customHeight="1">
      <c r="A70" s="14" t="str">
        <f>IFERROR(__xludf.DUMMYFUNCTION("""COMPUTED_VALUE"""),"https://www.theaustralian.com.au/business/growth-agenda/marketers-trapped-in-roi-death-spiral-need-to-think-like-investors/news-story/4103c5b9879892d34bcaee3dc85a71fa")</f>
        <v>https://www.theaustralian.com.au/business/growth-agenda/marketers-trapped-in-roi-death-spiral-need-to-think-like-investors/news-story/4103c5b9879892d34bcaee3dc85a71fa</v>
      </c>
      <c r="B70" s="15" t="str">
        <f>IFERROR(__xludf.DUMMYFUNCTION("""COMPUTED_VALUE"""),"Subscribe to The Australian \| Newspaper home delivery, website, iPad, iPhone &amp; Android apps")</f>
        <v>Subscribe to The Australian \| Newspaper home delivery, website, iPad, iPhone &amp; Android apps</v>
      </c>
      <c r="C70" s="14" t="str">
        <f>IFERROR(__xludf.DUMMYFUNCTION("""COMPUTED_VALUE"""),"theaustralian.com.au")</f>
        <v>theaustralian.com.au</v>
      </c>
      <c r="D70" s="15" t="str">
        <f>IFERROR(__xludf.DUMMYFUNCTION("""COMPUTED_VALUE"""),"ARTICLE")</f>
        <v>ARTICLE</v>
      </c>
      <c r="E70" s="15" t="str">
        <f>IFERROR(__xludf.DUMMYFUNCTION("""COMPUTED_VALUE"""),"EDITORIAL")</f>
        <v>EDITORIAL</v>
      </c>
      <c r="F70" s="15" t="str">
        <f>IFERROR(__xludf.DUMMYFUNCTION("""COMPUTED_VALUE"""),"Article")</f>
        <v>Article</v>
      </c>
      <c r="G70" s="15" t="b">
        <f>IFERROR(__xludf.DUMMYFUNCTION("""COMPUTED_VALUE"""),FALSE)</f>
        <v>0</v>
      </c>
      <c r="H70" s="15"/>
      <c r="I70" s="15">
        <f>IFERROR(__xludf.DUMMYFUNCTION("""COMPUTED_VALUE"""),1.0)</f>
        <v>1</v>
      </c>
      <c r="J70" s="15">
        <f>IFERROR(__xludf.DUMMYFUNCTION("""COMPUTED_VALUE"""),0.0)</f>
        <v>0</v>
      </c>
      <c r="K70" s="15">
        <f>IFERROR(__xludf.DUMMYFUNCTION("""COMPUTED_VALUE"""),2.0)</f>
        <v>2</v>
      </c>
    </row>
    <row r="71" ht="15.75" customHeight="1">
      <c r="A71" s="14" t="str">
        <f>IFERROR(__xludf.DUMMYFUNCTION("""COMPUTED_VALUE"""),"https://www.theaustralian.com.au/business/growth-agenda/reinventing-media-how-accenture-song-plans-to-overhaul-media/news-story/69b59fae5073dde8984e001927f62bfd")</f>
        <v>https://www.theaustralian.com.au/business/growth-agenda/reinventing-media-how-accenture-song-plans-to-overhaul-media/news-story/69b59fae5073dde8984e001927f62bfd</v>
      </c>
      <c r="B71" s="15" t="str">
        <f>IFERROR(__xludf.DUMMYFUNCTION("""COMPUTED_VALUE"""),"Accenture Song to reinvent media \| The Australian")</f>
        <v>Accenture Song to reinvent media \| The Australian</v>
      </c>
      <c r="C71" s="14" t="str">
        <f>IFERROR(__xludf.DUMMYFUNCTION("""COMPUTED_VALUE"""),"theaustralian.com.au")</f>
        <v>theaustralian.com.au</v>
      </c>
      <c r="D71" s="15" t="str">
        <f>IFERROR(__xludf.DUMMYFUNCTION("""COMPUTED_VALUE"""),"ARTICLE")</f>
        <v>ARTICLE</v>
      </c>
      <c r="E71" s="15" t="str">
        <f>IFERROR(__xludf.DUMMYFUNCTION("""COMPUTED_VALUE"""),"EDITORIAL")</f>
        <v>EDITORIAL</v>
      </c>
      <c r="F71" s="15" t="str">
        <f>IFERROR(__xludf.DUMMYFUNCTION("""COMPUTED_VALUE"""),"Article")</f>
        <v>Article</v>
      </c>
      <c r="G71" s="15" t="b">
        <f>IFERROR(__xludf.DUMMYFUNCTION("""COMPUTED_VALUE"""),FALSE)</f>
        <v>0</v>
      </c>
      <c r="H71" s="15" t="str">
        <f>IFERROR(__xludf.DUMMYFUNCTION("""COMPUTED_VALUE"""),"Accenture Song, Huge, Momentum")</f>
        <v>Accenture Song, Huge, Momentum</v>
      </c>
      <c r="I71" s="15">
        <f>IFERROR(__xludf.DUMMYFUNCTION("""COMPUTED_VALUE"""),1.0)</f>
        <v>1</v>
      </c>
      <c r="J71" s="15">
        <f>IFERROR(__xludf.DUMMYFUNCTION("""COMPUTED_VALUE"""),0.0)</f>
        <v>0</v>
      </c>
      <c r="K71" s="15">
        <f>IFERROR(__xludf.DUMMYFUNCTION("""COMPUTED_VALUE"""),3.0)</f>
        <v>3</v>
      </c>
    </row>
    <row r="72" ht="15.75" customHeight="1">
      <c r="A72" s="14" t="str">
        <f>IFERROR(__xludf.DUMMYFUNCTION("""COMPUTED_VALUE"""),"https://www.theguardian.com/business/2026/feb/26/wpp-merge-ad-agencies-cut-jobs-ai-threat-advertising")</f>
        <v>https://www.theguardian.com/business/2026/feb/26/wpp-merge-ad-agencies-cut-jobs-ai-threat-advertising</v>
      </c>
      <c r="B72" s="15" t="str">
        <f>IFERROR(__xludf.DUMMYFUNCTION("""COMPUTED_VALUE"""),"WPP to sell assets and cut jobs in radical shake-up to counter AI threat | WPP | The Guardian")</f>
        <v>WPP to sell assets and cut jobs in radical shake-up to counter AI threat | WPP | The Guardian</v>
      </c>
      <c r="C72" s="14" t="str">
        <f>IFERROR(__xludf.DUMMYFUNCTION("""COMPUTED_VALUE"""),"theguardian.com")</f>
        <v>theguardian.com</v>
      </c>
      <c r="D72" s="15" t="str">
        <f>IFERROR(__xludf.DUMMYFUNCTION("""COMPUTED_VALUE"""),"ARTICLE")</f>
        <v>ARTICLE</v>
      </c>
      <c r="E72" s="15" t="str">
        <f>IFERROR(__xludf.DUMMYFUNCTION("""COMPUTED_VALUE"""),"EDITORIAL")</f>
        <v>EDITORIAL</v>
      </c>
      <c r="F72" s="15" t="str">
        <f>IFERROR(__xludf.DUMMYFUNCTION("""COMPUTED_VALUE"""),"Article")</f>
        <v>Article</v>
      </c>
      <c r="G72" s="15" t="b">
        <f>IFERROR(__xludf.DUMMYFUNCTION("""COMPUTED_VALUE"""),FALSE)</f>
        <v>0</v>
      </c>
      <c r="H72" s="15" t="str">
        <f>IFERROR(__xludf.DUMMYFUNCTION("""COMPUTED_VALUE"""),"WPP, Ogilvy, AKQA, Huge, Publicis Groupe, Omnicom")</f>
        <v>WPP, Ogilvy, AKQA, Huge, Publicis Groupe, Omnicom</v>
      </c>
      <c r="I72" s="15">
        <f>IFERROR(__xludf.DUMMYFUNCTION("""COMPUTED_VALUE"""),1.0)</f>
        <v>1</v>
      </c>
      <c r="J72" s="15">
        <f>IFERROR(__xludf.DUMMYFUNCTION("""COMPUTED_VALUE"""),0.0)</f>
        <v>0</v>
      </c>
      <c r="K72" s="15">
        <f>IFERROR(__xludf.DUMMYFUNCTION("""COMPUTED_VALUE"""),2.0)</f>
        <v>2</v>
      </c>
    </row>
    <row r="73" ht="15.75" customHeight="1">
      <c r="A73" s="14" t="str">
        <f>IFERROR(__xludf.DUMMYFUNCTION("""COMPUTED_VALUE"""),"https://www.thetimes.co.uk/article/jman-group-fastest-growing-sunday-times-100-8vl7jfw3p")</f>
        <v>https://www.thetimes.co.uk/article/jman-group-fastest-growing-sunday-times-100-8vl7jfw3p</v>
      </c>
      <c r="B73" s="15" t="str">
        <f>IFERROR(__xludf.DUMMYFUNCTION("""COMPUTED_VALUE"""),"JMAN Group")</f>
        <v>JMAN Group</v>
      </c>
      <c r="C73" s="14" t="str">
        <f>IFERROR(__xludf.DUMMYFUNCTION("""COMPUTED_VALUE"""),"thetimes.co.uk")</f>
        <v>thetimes.co.uk</v>
      </c>
      <c r="D73" s="15" t="str">
        <f>IFERROR(__xludf.DUMMYFUNCTION("""COMPUTED_VALUE"""),"ARTICLE")</f>
        <v>ARTICLE</v>
      </c>
      <c r="E73" s="15" t="str">
        <f>IFERROR(__xludf.DUMMYFUNCTION("""COMPUTED_VALUE"""),"EDITORIAL")</f>
        <v>EDITORIAL</v>
      </c>
      <c r="F73" s="15" t="str">
        <f>IFERROR(__xludf.DUMMYFUNCTION("""COMPUTED_VALUE"""),"Article")</f>
        <v>Article</v>
      </c>
      <c r="G73" s="15" t="b">
        <f>IFERROR(__xludf.DUMMYFUNCTION("""COMPUTED_VALUE"""),FALSE)</f>
        <v>0</v>
      </c>
      <c r="H73" s="15"/>
      <c r="I73" s="15">
        <f>IFERROR(__xludf.DUMMYFUNCTION("""COMPUTED_VALUE"""),1.0)</f>
        <v>1</v>
      </c>
      <c r="J73" s="15">
        <f>IFERROR(__xludf.DUMMYFUNCTION("""COMPUTED_VALUE"""),0.0)</f>
        <v>0</v>
      </c>
      <c r="K73" s="15">
        <f>IFERROR(__xludf.DUMMYFUNCTION("""COMPUTED_VALUE"""),2.0)</f>
        <v>2</v>
      </c>
    </row>
    <row r="74" ht="15.75" customHeight="1">
      <c r="A74" s="14" t="str">
        <f>IFERROR(__xludf.DUMMYFUNCTION("""COMPUTED_VALUE"""),"https://www.thetradedesk.com/resources/premium-internet-reach-audiences-activate-first-party-data")</f>
        <v>https://www.thetradedesk.com/resources/premium-internet-reach-audiences-activate-first-party-data</v>
      </c>
      <c r="B74" s="15" t="str">
        <f>IFERROR(__xludf.DUMMYFUNCTION("""COMPUTED_VALUE"""),"How to activate your data on the premium internet | The Trade Desk")</f>
        <v>How to activate your data on the premium internet | The Trade Desk</v>
      </c>
      <c r="C74" s="14" t="str">
        <f>IFERROR(__xludf.DUMMYFUNCTION("""COMPUTED_VALUE"""),"thetradedesk.com")</f>
        <v>thetradedesk.com</v>
      </c>
      <c r="D74" s="15" t="str">
        <f>IFERROR(__xludf.DUMMYFUNCTION("""COMPUTED_VALUE"""),"ARTICLE")</f>
        <v>ARTICLE</v>
      </c>
      <c r="E74" s="15" t="str">
        <f>IFERROR(__xludf.DUMMYFUNCTION("""COMPUTED_VALUE"""),"CORPORATE")</f>
        <v>CORPORATE</v>
      </c>
      <c r="F74" s="15" t="str">
        <f>IFERROR(__xludf.DUMMYFUNCTION("""COMPUTED_VALUE"""),"Article")</f>
        <v>Article</v>
      </c>
      <c r="G74" s="15" t="b">
        <f>IFERROR(__xludf.DUMMYFUNCTION("""COMPUTED_VALUE"""),FALSE)</f>
        <v>0</v>
      </c>
      <c r="H74" s="15"/>
      <c r="I74" s="15">
        <f>IFERROR(__xludf.DUMMYFUNCTION("""COMPUTED_VALUE"""),1.0)</f>
        <v>1</v>
      </c>
      <c r="J74" s="15">
        <f>IFERROR(__xludf.DUMMYFUNCTION("""COMPUTED_VALUE"""),0.0)</f>
        <v>0</v>
      </c>
      <c r="K74" s="15">
        <f>IFERROR(__xludf.DUMMYFUNCTION("""COMPUTED_VALUE"""),1.0)</f>
        <v>1</v>
      </c>
    </row>
    <row r="75" ht="15.75" customHeight="1">
      <c r="A75" s="14" t="str">
        <f>IFERROR(__xludf.DUMMYFUNCTION("""COMPUTED_VALUE"""),"https://www.theverge.com/podcast/959792/digitas-ceo-amy-lanzi-cannes-ad-industry-marketing-ai-creators")</f>
        <v>https://www.theverge.com/podcast/959792/digitas-ceo-amy-lanzi-cannes-ad-industry-marketing-ai-creators</v>
      </c>
      <c r="B75" s="15" t="str">
        <f>IFERROR(__xludf.DUMMYFUNCTION("""COMPUTED_VALUE"""),"AI won’t save advertising, says Digitas’ Amy Lanzi | The Verge")</f>
        <v>AI won’t save advertising, says Digitas’ Amy Lanzi | The Verge</v>
      </c>
      <c r="C75" s="14" t="str">
        <f>IFERROR(__xludf.DUMMYFUNCTION("""COMPUTED_VALUE"""),"theverge.com")</f>
        <v>theverge.com</v>
      </c>
      <c r="D75" s="15" t="str">
        <f>IFERROR(__xludf.DUMMYFUNCTION("""COMPUTED_VALUE"""),"ARTICLE")</f>
        <v>ARTICLE</v>
      </c>
      <c r="E75" s="15" t="str">
        <f>IFERROR(__xludf.DUMMYFUNCTION("""COMPUTED_VALUE"""),"EDITORIAL")</f>
        <v>EDITORIAL</v>
      </c>
      <c r="F75" s="15" t="str">
        <f>IFERROR(__xludf.DUMMYFUNCTION("""COMPUTED_VALUE"""),"Article")</f>
        <v>Article</v>
      </c>
      <c r="G75" s="15" t="b">
        <f>IFERROR(__xludf.DUMMYFUNCTION("""COMPUTED_VALUE"""),FALSE)</f>
        <v>0</v>
      </c>
      <c r="H75" s="15" t="str">
        <f>IFERROR(__xludf.DUMMYFUNCTION("""COMPUTED_VALUE"""),"Publicis Groupe, Huge, Found, Push, Omnicom, Recast")</f>
        <v>Publicis Groupe, Huge, Found, Push, Omnicom, Recast</v>
      </c>
      <c r="I75" s="15">
        <f>IFERROR(__xludf.DUMMYFUNCTION("""COMPUTED_VALUE"""),1.0)</f>
        <v>1</v>
      </c>
      <c r="J75" s="15">
        <f>IFERROR(__xludf.DUMMYFUNCTION("""COMPUTED_VALUE"""),0.0)</f>
        <v>0</v>
      </c>
      <c r="K75" s="15">
        <f>IFERROR(__xludf.DUMMYFUNCTION("""COMPUTED_VALUE"""),2.0)</f>
        <v>2</v>
      </c>
    </row>
    <row r="76" ht="15.75" customHeight="1">
      <c r="A76" s="14" t="str">
        <f>IFERROR(__xludf.DUMMYFUNCTION("""COMPUTED_VALUE"""),"https://tinuiti.com/blog/measurement/incrementality-in-marketing/")</f>
        <v>https://tinuiti.com/blog/measurement/incrementality-in-marketing/</v>
      </c>
      <c r="B76" s="15" t="str">
        <f>IFERROR(__xludf.DUMMYFUNCTION("""COMPUTED_VALUE"""),"Incrementality in Marketing: What It Is &amp;amp; How to Calculate")</f>
        <v>Incrementality in Marketing: What It Is &amp;amp; How to Calculate</v>
      </c>
      <c r="C76" s="14" t="str">
        <f>IFERROR(__xludf.DUMMYFUNCTION("""COMPUTED_VALUE"""),"tinuiti.com")</f>
        <v>tinuiti.com</v>
      </c>
      <c r="D76" s="15" t="str">
        <f>IFERROR(__xludf.DUMMYFUNCTION("""COMPUTED_VALUE"""),"ARTICLE")</f>
        <v>ARTICLE</v>
      </c>
      <c r="E76" s="15" t="str">
        <f>IFERROR(__xludf.DUMMYFUNCTION("""COMPUTED_VALUE"""),"COMPETITOR")</f>
        <v>COMPETITOR</v>
      </c>
      <c r="F76" s="15" t="str">
        <f>IFERROR(__xludf.DUMMYFUNCTION("""COMPUTED_VALUE"""),"Article")</f>
        <v>Article</v>
      </c>
      <c r="G76" s="15" t="b">
        <f>IFERROR(__xludf.DUMMYFUNCTION("""COMPUTED_VALUE"""),FALSE)</f>
        <v>0</v>
      </c>
      <c r="H76" s="15" t="str">
        <f>IFERROR(__xludf.DUMMYFUNCTION("""COMPUTED_VALUE"""),"Tinuiti, Measured, Push")</f>
        <v>Tinuiti, Measured, Push</v>
      </c>
      <c r="I76" s="15">
        <f>IFERROR(__xludf.DUMMYFUNCTION("""COMPUTED_VALUE"""),1.0)</f>
        <v>1</v>
      </c>
      <c r="J76" s="15">
        <f>IFERROR(__xludf.DUMMYFUNCTION("""COMPUTED_VALUE"""),0.0)</f>
        <v>0</v>
      </c>
      <c r="K76" s="15">
        <f>IFERROR(__xludf.DUMMYFUNCTION("""COMPUTED_VALUE"""),1.0)</f>
        <v>1</v>
      </c>
    </row>
    <row r="77" ht="15.75" customHeight="1">
      <c r="A77" s="14" t="str">
        <f>IFERROR(__xludf.DUMMYFUNCTION("""COMPUTED_VALUE"""),"https://www.triplewhale.com/blog/marketing-attribution")</f>
        <v>https://www.triplewhale.com/blog/marketing-attribution</v>
      </c>
      <c r="B77" s="15" t="str">
        <f>IFERROR(__xludf.DUMMYFUNCTION("""COMPUTED_VALUE"""),"Marketing Attribution: Models, Benefits, and Best Practices | Triple Whale")</f>
        <v>Marketing Attribution: Models, Benefits, and Best Practices | Triple Whale</v>
      </c>
      <c r="C77" s="14" t="str">
        <f>IFERROR(__xludf.DUMMYFUNCTION("""COMPUTED_VALUE"""),"triplewhale.com")</f>
        <v>triplewhale.com</v>
      </c>
      <c r="D77" s="15" t="str">
        <f>IFERROR(__xludf.DUMMYFUNCTION("""COMPUTED_VALUE"""),"ARTICLE")</f>
        <v>ARTICLE</v>
      </c>
      <c r="E77" s="15" t="str">
        <f>IFERROR(__xludf.DUMMYFUNCTION("""COMPUTED_VALUE"""),"COMPETITOR")</f>
        <v>COMPETITOR</v>
      </c>
      <c r="F77" s="15" t="str">
        <f>IFERROR(__xludf.DUMMYFUNCTION("""COMPUTED_VALUE"""),"Article")</f>
        <v>Article</v>
      </c>
      <c r="G77" s="15" t="b">
        <f>IFERROR(__xludf.DUMMYFUNCTION("""COMPUTED_VALUE"""),FALSE)</f>
        <v>0</v>
      </c>
      <c r="H77" s="15" t="str">
        <f>IFERROR(__xludf.DUMMYFUNCTION("""COMPUTED_VALUE"""),"Triple Whale, Ruler Analytics")</f>
        <v>Triple Whale, Ruler Analytics</v>
      </c>
      <c r="I77" s="15">
        <f>IFERROR(__xludf.DUMMYFUNCTION("""COMPUTED_VALUE"""),1.0)</f>
        <v>1</v>
      </c>
      <c r="J77" s="15">
        <f>IFERROR(__xludf.DUMMYFUNCTION("""COMPUTED_VALUE"""),0.0)</f>
        <v>0</v>
      </c>
      <c r="K77" s="15">
        <f>IFERROR(__xludf.DUMMYFUNCTION("""COMPUTED_VALUE"""),0.0)</f>
        <v>0</v>
      </c>
    </row>
    <row r="78" ht="15.75" customHeight="1">
      <c r="A78" s="14" t="str">
        <f>IFERROR(__xludf.DUMMYFUNCTION("""COMPUTED_VALUE"""),"https://whitehat-seo.co.uk/blog/ai-impact-on-consulting")</f>
        <v>https://whitehat-seo.co.uk/blog/ai-impact-on-consulting</v>
      </c>
      <c r="B78" s="15" t="str">
        <f>IFERROR(__xludf.DUMMYFUNCTION("""COMPUTED_VALUE"""),"How AI Is Reshaping Consulting in 2026 | Whitehat")</f>
        <v>How AI Is Reshaping Consulting in 2026 | Whitehat</v>
      </c>
      <c r="C78" s="14" t="str">
        <f>IFERROR(__xludf.DUMMYFUNCTION("""COMPUTED_VALUE"""),"whitehat-seo.co.uk")</f>
        <v>whitehat-seo.co.uk</v>
      </c>
      <c r="D78" s="15" t="str">
        <f>IFERROR(__xludf.DUMMYFUNCTION("""COMPUTED_VALUE"""),"ARTICLE")</f>
        <v>ARTICLE</v>
      </c>
      <c r="E78" s="15" t="str">
        <f>IFERROR(__xludf.DUMMYFUNCTION("""COMPUTED_VALUE"""),"COMPETITOR")</f>
        <v>COMPETITOR</v>
      </c>
      <c r="F78" s="15" t="str">
        <f>IFERROR(__xludf.DUMMYFUNCTION("""COMPUTED_VALUE"""),"Article")</f>
        <v>Article</v>
      </c>
      <c r="G78" s="15" t="b">
        <f>IFERROR(__xludf.DUMMYFUNCTION("""COMPUTED_VALUE"""),FALSE)</f>
        <v>0</v>
      </c>
      <c r="H78" s="15" t="str">
        <f>IFERROR(__xludf.DUMMYFUNCTION("""COMPUTED_VALUE"""),"Whitehat, Found, EY, PwC, QuantumBlack, Measured, Push")</f>
        <v>Whitehat, Found, EY, PwC, QuantumBlack, Measured, Push</v>
      </c>
      <c r="I78" s="15">
        <f>IFERROR(__xludf.DUMMYFUNCTION("""COMPUTED_VALUE"""),1.0)</f>
        <v>1</v>
      </c>
      <c r="J78" s="15">
        <f>IFERROR(__xludf.DUMMYFUNCTION("""COMPUTED_VALUE"""),0.0)</f>
        <v>0</v>
      </c>
      <c r="K78" s="15">
        <f>IFERROR(__xludf.DUMMYFUNCTION("""COMPUTED_VALUE"""),0.0)</f>
        <v>0</v>
      </c>
    </row>
    <row r="79" ht="15.75" customHeight="1">
      <c r="A79" s="14" t="str">
        <f>IFERROR(__xludf.DUMMYFUNCTION("""COMPUTED_VALUE"""),"https://www.wpp.com/en/news/2025/03/wpp-claims-top-honours-on-the-warc-creative-100")</f>
        <v>https://www.wpp.com/en/news/2025/03/wpp-claims-top-honours-on-the-warc-creative-100</v>
      </c>
      <c r="B79" s="15" t="str">
        <f>IFERROR(__xludf.DUMMYFUNCTION("""COMPUTED_VALUE"""),"WPP claims top honours on the WARC Creative 100 for third consecutive year | WPP")</f>
        <v>WPP claims top honours on the WARC Creative 100 for third consecutive year | WPP</v>
      </c>
      <c r="C79" s="14" t="str">
        <f>IFERROR(__xludf.DUMMYFUNCTION("""COMPUTED_VALUE"""),"wpp.com")</f>
        <v>wpp.com</v>
      </c>
      <c r="D79" s="15" t="str">
        <f>IFERROR(__xludf.DUMMYFUNCTION("""COMPUTED_VALUE"""),"ARTICLE")</f>
        <v>ARTICLE</v>
      </c>
      <c r="E79" s="15" t="str">
        <f>IFERROR(__xludf.DUMMYFUNCTION("""COMPUTED_VALUE"""),"COMPETITOR")</f>
        <v>COMPETITOR</v>
      </c>
      <c r="F79" s="15" t="str">
        <f>IFERROR(__xludf.DUMMYFUNCTION("""COMPUTED_VALUE"""),"Article")</f>
        <v>Article</v>
      </c>
      <c r="G79" s="15" t="b">
        <f>IFERROR(__xludf.DUMMYFUNCTION("""COMPUTED_VALUE"""),FALSE)</f>
        <v>0</v>
      </c>
      <c r="H79" s="15" t="str">
        <f>IFERROR(__xludf.DUMMYFUNCTION("""COMPUTED_VALUE"""),"WPP, Ogilvy, AKQA")</f>
        <v>WPP, Ogilvy, AKQA</v>
      </c>
      <c r="I79" s="15">
        <f>IFERROR(__xludf.DUMMYFUNCTION("""COMPUTED_VALUE"""),1.0)</f>
        <v>1</v>
      </c>
      <c r="J79" s="15">
        <f>IFERROR(__xludf.DUMMYFUNCTION("""COMPUTED_VALUE"""),0.0)</f>
        <v>0</v>
      </c>
      <c r="K79" s="15">
        <f>IFERROR(__xludf.DUMMYFUNCTION("""COMPUTED_VALUE"""),2.0)</f>
        <v>2</v>
      </c>
    </row>
    <row r="80" ht="15.75" customHeight="1">
      <c r="A80" s="14" t="str">
        <f>IFERROR(__xludf.DUMMYFUNCTION("""COMPUTED_VALUE"""),"https://www.wpp.com/en/news/2025/06/wpp-wins-creative-company-of-the-year-at-cannes-lions-2025")</f>
        <v>https://www.wpp.com/en/news/2025/06/wpp-wins-creative-company-of-the-year-at-cannes-lions-2025</v>
      </c>
      <c r="B80" s="15" t="str">
        <f>IFERROR(__xludf.DUMMYFUNCTION("""COMPUTED_VALUE"""),"WPP wins Creative Company of the Year at Cannes Lions 2025 | WPP")</f>
        <v>WPP wins Creative Company of the Year at Cannes Lions 2025 | WPP</v>
      </c>
      <c r="C80" s="14" t="str">
        <f>IFERROR(__xludf.DUMMYFUNCTION("""COMPUTED_VALUE"""),"wpp.com")</f>
        <v>wpp.com</v>
      </c>
      <c r="D80" s="15" t="str">
        <f>IFERROR(__xludf.DUMMYFUNCTION("""COMPUTED_VALUE"""),"ARTICLE")</f>
        <v>ARTICLE</v>
      </c>
      <c r="E80" s="15" t="str">
        <f>IFERROR(__xludf.DUMMYFUNCTION("""COMPUTED_VALUE"""),"COMPETITOR")</f>
        <v>COMPETITOR</v>
      </c>
      <c r="F80" s="15" t="str">
        <f>IFERROR(__xludf.DUMMYFUNCTION("""COMPUTED_VALUE"""),"Article")</f>
        <v>Article</v>
      </c>
      <c r="G80" s="15" t="b">
        <f>IFERROR(__xludf.DUMMYFUNCTION("""COMPUTED_VALUE"""),FALSE)</f>
        <v>0</v>
      </c>
      <c r="H80" s="15" t="str">
        <f>IFERROR(__xludf.DUMMYFUNCTION("""COMPUTED_VALUE"""),"WPP, Ogilvy, Huge, AKQA")</f>
        <v>WPP, Ogilvy, Huge, AKQA</v>
      </c>
      <c r="I80" s="15">
        <f>IFERROR(__xludf.DUMMYFUNCTION("""COMPUTED_VALUE"""),1.0)</f>
        <v>1</v>
      </c>
      <c r="J80" s="15">
        <f>IFERROR(__xludf.DUMMYFUNCTION("""COMPUTED_VALUE"""),0.0)</f>
        <v>0</v>
      </c>
      <c r="K80" s="15">
        <f>IFERROR(__xludf.DUMMYFUNCTION("""COMPUTED_VALUE"""),0.0)</f>
        <v>0</v>
      </c>
    </row>
    <row r="81" ht="15.75" customHeight="1">
      <c r="A81" s="14" t="str">
        <f>IFERROR(__xludf.DUMMYFUNCTION("""COMPUTED_VALUE"""),"https://xo3d.co.uk/blog/3d-creative-agency-for-marketing-professionals/")</f>
        <v>https://xo3d.co.uk/blog/3d-creative-agency-for-marketing-professionals/</v>
      </c>
      <c r="B81" s="15" t="str">
        <f>IFERROR(__xludf.DUMMYFUNCTION("""COMPUTED_VALUE"""),"3D Creative Studios: A Guide for Marketing Professionals | XO3D")</f>
        <v>3D Creative Studios: A Guide for Marketing Professionals | XO3D</v>
      </c>
      <c r="C81" s="14" t="str">
        <f>IFERROR(__xludf.DUMMYFUNCTION("""COMPUTED_VALUE"""),"xo3d.co.uk")</f>
        <v>xo3d.co.uk</v>
      </c>
      <c r="D81" s="15" t="str">
        <f>IFERROR(__xludf.DUMMYFUNCTION("""COMPUTED_VALUE"""),"ARTICLE")</f>
        <v>ARTICLE</v>
      </c>
      <c r="E81" s="15" t="str">
        <f>IFERROR(__xludf.DUMMYFUNCTION("""COMPUTED_VALUE"""),"CORPORATE")</f>
        <v>CORPORATE</v>
      </c>
      <c r="F81" s="15" t="str">
        <f>IFERROR(__xludf.DUMMYFUNCTION("""COMPUTED_VALUE"""),"Article")</f>
        <v>Article</v>
      </c>
      <c r="G81" s="15" t="b">
        <f>IFERROR(__xludf.DUMMYFUNCTION("""COMPUTED_VALUE"""),FALSE)</f>
        <v>0</v>
      </c>
      <c r="H81" s="15"/>
      <c r="I81" s="15">
        <f>IFERROR(__xludf.DUMMYFUNCTION("""COMPUTED_VALUE"""),1.0)</f>
        <v>1</v>
      </c>
      <c r="J81" s="15">
        <f>IFERROR(__xludf.DUMMYFUNCTION("""COMPUTED_VALUE"""),0.0)</f>
        <v>0</v>
      </c>
      <c r="K81" s="15">
        <f>IFERROR(__xludf.DUMMYFUNCTION("""COMPUTED_VALUE"""),1.0)</f>
        <v>1</v>
      </c>
    </row>
    <row r="82" ht="15.75" customHeight="1">
      <c r="A82" s="14" t="str">
        <f>IFERROR(__xludf.DUMMYFUNCTION("""COMPUTED_VALUE"""),"https://www.youtube.com/watch?v=J3TiyuWqYng")</f>
        <v>https://www.youtube.com/watch?v=J3TiyuWqYng</v>
      </c>
      <c r="B82" s="15" t="str">
        <f>IFERROR(__xludf.DUMMYFUNCTION("""COMPUTED_VALUE"""),"The #1 AI Creative Strategy That Helped This Agency Scale to 2k+ Ads Per Month")</f>
        <v>The #1 AI Creative Strategy That Helped This Agency Scale to 2k+ Ads Per Month</v>
      </c>
      <c r="C82" s="14" t="str">
        <f>IFERROR(__xludf.DUMMYFUNCTION("""COMPUTED_VALUE"""),"youtube.com")</f>
        <v>youtube.com</v>
      </c>
      <c r="D82" s="15" t="str">
        <f>IFERROR(__xludf.DUMMYFUNCTION("""COMPUTED_VALUE"""),"ARTICLE")</f>
        <v>ARTICLE</v>
      </c>
      <c r="E82" s="15" t="str">
        <f>IFERROR(__xludf.DUMMYFUNCTION("""COMPUTED_VALUE"""),"UGC")</f>
        <v>UGC</v>
      </c>
      <c r="F82" s="15" t="str">
        <f>IFERROR(__xludf.DUMMYFUNCTION("""COMPUTED_VALUE"""),"Article")</f>
        <v>Article</v>
      </c>
      <c r="G82" s="15" t="b">
        <f>IFERROR(__xludf.DUMMYFUNCTION("""COMPUTED_VALUE"""),FALSE)</f>
        <v>0</v>
      </c>
      <c r="H82" s="15" t="str">
        <f>IFERROR(__xludf.DUMMYFUNCTION("""COMPUTED_VALUE"""),"Huge, Found, Push, Impression, Measured")</f>
        <v>Huge, Found, Push, Impression, Measured</v>
      </c>
      <c r="I82" s="15">
        <f>IFERROR(__xludf.DUMMYFUNCTION("""COMPUTED_VALUE"""),1.0)</f>
        <v>1</v>
      </c>
      <c r="J82" s="15">
        <f>IFERROR(__xludf.DUMMYFUNCTION("""COMPUTED_VALUE"""),0.0)</f>
        <v>0</v>
      </c>
      <c r="K82" s="15">
        <f>IFERROR(__xludf.DUMMYFUNCTION("""COMPUTED_VALUE"""),2.0)</f>
        <v>2</v>
      </c>
    </row>
    <row r="83" ht="15.75" customHeight="1">
      <c r="A83" s="14" t="str">
        <f>IFERROR(__xludf.DUMMYFUNCTION("""COMPUTED_VALUE"""),"https://www.youtube.com/watch?v=KjRgCP-x_Dw")</f>
        <v>https://www.youtube.com/watch?v=KjRgCP-x_Dw</v>
      </c>
      <c r="B83" s="15" t="str">
        <f>IFERROR(__xludf.DUMMYFUNCTION("""COMPUTED_VALUE"""),"Creative Production Operations on a Global Scale: An Agency Perspective")</f>
        <v>Creative Production Operations on a Global Scale: An Agency Perspective</v>
      </c>
      <c r="C83" s="14" t="str">
        <f>IFERROR(__xludf.DUMMYFUNCTION("""COMPUTED_VALUE"""),"youtube.com")</f>
        <v>youtube.com</v>
      </c>
      <c r="D83" s="15" t="str">
        <f>IFERROR(__xludf.DUMMYFUNCTION("""COMPUTED_VALUE"""),"ARTICLE")</f>
        <v>ARTICLE</v>
      </c>
      <c r="E83" s="15" t="str">
        <f>IFERROR(__xludf.DUMMYFUNCTION("""COMPUTED_VALUE"""),"UGC")</f>
        <v>UGC</v>
      </c>
      <c r="F83" s="15" t="str">
        <f>IFERROR(__xludf.DUMMYFUNCTION("""COMPUTED_VALUE"""),"Article")</f>
        <v>Article</v>
      </c>
      <c r="G83" s="15" t="b">
        <f>IFERROR(__xludf.DUMMYFUNCTION("""COMPUTED_VALUE"""),FALSE)</f>
        <v>0</v>
      </c>
      <c r="H83" s="15" t="str">
        <f>IFERROR(__xludf.DUMMYFUNCTION("""COMPUTED_VALUE"""),"WPP, Found")</f>
        <v>WPP, Found</v>
      </c>
      <c r="I83" s="15">
        <f>IFERROR(__xludf.DUMMYFUNCTION("""COMPUTED_VALUE"""),1.0)</f>
        <v>1</v>
      </c>
      <c r="J83" s="15">
        <f>IFERROR(__xludf.DUMMYFUNCTION("""COMPUTED_VALUE"""),0.0)</f>
        <v>0</v>
      </c>
      <c r="K83" s="15">
        <f>IFERROR(__xludf.DUMMYFUNCTION("""COMPUTED_VALUE"""),0.0)</f>
        <v>0</v>
      </c>
    </row>
    <row r="84" ht="15.75" customHeight="1">
      <c r="A84" s="14" t="str">
        <f>IFERROR(__xludf.DUMMYFUNCTION("""COMPUTED_VALUE"""),"https://www.youtube.com/watch?v=osffLDnwyR8")</f>
        <v>https://www.youtube.com/watch?v=osffLDnwyR8</v>
      </c>
      <c r="B84" s="15" t="str">
        <f>IFERROR(__xludf.DUMMYFUNCTION("""COMPUTED_VALUE"""),"Attribution vs. MMM: What Really Works? | Stefan Hock (About You)")</f>
        <v>Attribution vs. MMM: What Really Works? | Stefan Hock (About You)</v>
      </c>
      <c r="C84" s="14" t="str">
        <f>IFERROR(__xludf.DUMMYFUNCTION("""COMPUTED_VALUE"""),"youtube.com")</f>
        <v>youtube.com</v>
      </c>
      <c r="D84" s="15" t="str">
        <f>IFERROR(__xludf.DUMMYFUNCTION("""COMPUTED_VALUE"""),"ARTICLE")</f>
        <v>ARTICLE</v>
      </c>
      <c r="E84" s="15" t="str">
        <f>IFERROR(__xludf.DUMMYFUNCTION("""COMPUTED_VALUE"""),"UGC")</f>
        <v>UGC</v>
      </c>
      <c r="F84" s="15" t="str">
        <f>IFERROR(__xludf.DUMMYFUNCTION("""COMPUTED_VALUE"""),"Article")</f>
        <v>Article</v>
      </c>
      <c r="G84" s="15" t="b">
        <f>IFERROR(__xludf.DUMMYFUNCTION("""COMPUTED_VALUE"""),FALSE)</f>
        <v>0</v>
      </c>
      <c r="H84" s="15" t="str">
        <f>IFERROR(__xludf.DUMMYFUNCTION("""COMPUTED_VALUE"""),"Huge, Impression, Push")</f>
        <v>Huge, Impression, Push</v>
      </c>
      <c r="I84" s="15">
        <f>IFERROR(__xludf.DUMMYFUNCTION("""COMPUTED_VALUE"""),1.0)</f>
        <v>1</v>
      </c>
      <c r="J84" s="15">
        <f>IFERROR(__xludf.DUMMYFUNCTION("""COMPUTED_VALUE"""),0.0)</f>
        <v>0</v>
      </c>
      <c r="K84" s="15">
        <f>IFERROR(__xludf.DUMMYFUNCTION("""COMPUTED_VALUE"""),0.0)</f>
        <v>0</v>
      </c>
    </row>
    <row r="85" ht="15.75" customHeight="1">
      <c r="A85" s="14" t="str">
        <f>IFERROR(__xludf.DUMMYFUNCTION("""COMPUTED_VALUE"""),"https://zetaglobal.com/resource-center/ai-first-party-data-agency-growth/")</f>
        <v>https://zetaglobal.com/resource-center/ai-first-party-data-agency-growth/</v>
      </c>
      <c r="B85" s="15" t="str">
        <f>IFERROR(__xludf.DUMMYFUNCTION("""COMPUTED_VALUE"""),"AI-Powered First-Party Data for Agency Growth | Zeta")</f>
        <v>AI-Powered First-Party Data for Agency Growth | Zeta</v>
      </c>
      <c r="C85" s="14" t="str">
        <f>IFERROR(__xludf.DUMMYFUNCTION("""COMPUTED_VALUE"""),"zetaglobal.com")</f>
        <v>zetaglobal.com</v>
      </c>
      <c r="D85" s="15" t="str">
        <f>IFERROR(__xludf.DUMMYFUNCTION("""COMPUTED_VALUE"""),"ARTICLE")</f>
        <v>ARTICLE</v>
      </c>
      <c r="E85" s="15" t="str">
        <f>IFERROR(__xludf.DUMMYFUNCTION("""COMPUTED_VALUE"""),"CORPORATE")</f>
        <v>CORPORATE</v>
      </c>
      <c r="F85" s="15" t="str">
        <f>IFERROR(__xludf.DUMMYFUNCTION("""COMPUTED_VALUE"""),"Article")</f>
        <v>Article</v>
      </c>
      <c r="G85" s="15" t="b">
        <f>IFERROR(__xludf.DUMMYFUNCTION("""COMPUTED_VALUE"""),FALSE)</f>
        <v>0</v>
      </c>
      <c r="H85" s="15" t="str">
        <f>IFERROR(__xludf.DUMMYFUNCTION("""COMPUTED_VALUE"""),"Found, Measured, Impression")</f>
        <v>Found, Measured, Impression</v>
      </c>
      <c r="I85" s="15">
        <f>IFERROR(__xludf.DUMMYFUNCTION("""COMPUTED_VALUE"""),1.0)</f>
        <v>1</v>
      </c>
      <c r="J85" s="15">
        <f>IFERROR(__xludf.DUMMYFUNCTION("""COMPUTED_VALUE"""),0.0)</f>
        <v>0</v>
      </c>
      <c r="K85" s="15">
        <f>IFERROR(__xludf.DUMMYFUNCTION("""COMPUTED_VALUE"""),2.0)</f>
        <v>2</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A10"/>
    <hyperlink r:id="rId16" ref="C10"/>
    <hyperlink r:id="rId17" ref="A11"/>
    <hyperlink r:id="rId18" ref="C11"/>
    <hyperlink r:id="rId19" ref="A12"/>
    <hyperlink r:id="rId20" ref="C12"/>
    <hyperlink r:id="rId21" ref="A13"/>
    <hyperlink r:id="rId22" ref="C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ref="A37"/>
    <hyperlink r:id="rId69" ref="C37"/>
    <hyperlink r:id="rId70" ref="A38"/>
    <hyperlink r:id="rId71" ref="C38"/>
    <hyperlink r:id="rId72" ref="A39"/>
    <hyperlink r:id="rId73" ref="C39"/>
    <hyperlink r:id="rId74" ref="A40"/>
    <hyperlink r:id="rId75" ref="C40"/>
    <hyperlink r:id="rId76" ref="A41"/>
    <hyperlink r:id="rId77" ref="C41"/>
    <hyperlink r:id="rId78" ref="A42"/>
    <hyperlink r:id="rId79" ref="A43"/>
    <hyperlink r:id="rId80" ref="C43"/>
    <hyperlink r:id="rId81" ref="A44"/>
    <hyperlink r:id="rId82" ref="C44"/>
    <hyperlink r:id="rId83" ref="A45"/>
    <hyperlink r:id="rId84" ref="C45"/>
    <hyperlink r:id="rId85" ref="A46"/>
    <hyperlink r:id="rId86" ref="C46"/>
    <hyperlink r:id="rId87" ref="A47"/>
    <hyperlink r:id="rId88" ref="C47"/>
    <hyperlink r:id="rId89" ref="A48"/>
    <hyperlink r:id="rId90" ref="C48"/>
    <hyperlink r:id="rId91" ref="A49"/>
    <hyperlink r:id="rId92" ref="C49"/>
    <hyperlink r:id="rId93" ref="A50"/>
    <hyperlink r:id="rId94" ref="C50"/>
    <hyperlink r:id="rId95" ref="A51"/>
    <hyperlink r:id="rId96" ref="C51"/>
    <hyperlink r:id="rId97" ref="A52"/>
    <hyperlink r:id="rId98" ref="C52"/>
    <hyperlink r:id="rId99" ref="A53"/>
    <hyperlink r:id="rId100" ref="C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C78"/>
    <hyperlink r:id="rId151" ref="A79"/>
    <hyperlink r:id="rId152" ref="C79"/>
    <hyperlink r:id="rId153" ref="A80"/>
    <hyperlink r:id="rId154" ref="C80"/>
    <hyperlink r:id="rId155" ref="A81"/>
    <hyperlink r:id="rId156" ref="C81"/>
    <hyperlink r:id="rId157" ref="A82"/>
    <hyperlink r:id="rId158" ref="C82"/>
    <hyperlink r:id="rId159" ref="A83"/>
    <hyperlink r:id="rId160" ref="C83"/>
    <hyperlink r:id="rId161" ref="A84"/>
    <hyperlink r:id="rId162" ref="C84"/>
    <hyperlink r:id="rId163" ref="A85"/>
    <hyperlink r:id="rId164" ref="C85"/>
  </hyperlinks>
  <drawing r:id="rId165"/>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All'!D2:D1000)))=""category_page""
  ),
  """"
)"),"https://agencies.semrush.com/list/united-kingdom/")</f>
        <v>https://agencies.semrush.com/list/united-kingdom/</v>
      </c>
      <c r="B2" s="15" t="str">
        <f>IFERROR(__xludf.DUMMYFUNCTION("""COMPUTED_VALUE"""),"Best Digital Marketing Agencies in United Kingdom 2026 | Semrush")</f>
        <v>Best Digital Marketing Agencies in United Kingdom 2026 | Semrush</v>
      </c>
      <c r="C2" s="14" t="str">
        <f>IFERROR(__xludf.DUMMYFUNCTION("""COMPUTED_VALUE"""),"semrush.com")</f>
        <v>semrush.com</v>
      </c>
      <c r="D2" s="15" t="str">
        <f>IFERROR(__xludf.DUMMYFUNCTION("""COMPUTED_VALUE"""),"CATEGORY_PAGE")</f>
        <v>CATEGORY_PAGE</v>
      </c>
      <c r="E2" s="15" t="str">
        <f>IFERROR(__xludf.DUMMYFUNCTION("""COMPUTED_VALUE"""),"CORPORATE")</f>
        <v>CORPORATE</v>
      </c>
      <c r="F2" s="15" t="str">
        <f>IFERROR(__xludf.DUMMYFUNCTION("""COMPUTED_VALUE"""),"Category Page")</f>
        <v>Category Page</v>
      </c>
      <c r="G2" s="15" t="b">
        <f>IFERROR(__xludf.DUMMYFUNCTION("""COMPUTED_VALUE"""),FALSE)</f>
        <v>0</v>
      </c>
      <c r="H2" s="15" t="str">
        <f>IFERROR(__xludf.DUMMYFUNCTION("""COMPUTED_VALUE"""),"Found, Bird Marketing, Measured, Passion Digital")</f>
        <v>Found, Bird Marketing, Measured, Passion Digital</v>
      </c>
      <c r="I2" s="15">
        <f>IFERROR(__xludf.DUMMYFUNCTION("""COMPUTED_VALUE"""),80.0)</f>
        <v>80</v>
      </c>
      <c r="J2" s="15">
        <f>IFERROR(__xludf.DUMMYFUNCTION("""COMPUTED_VALUE"""),0.08)</f>
        <v>0.08</v>
      </c>
      <c r="K2" s="15">
        <f>IFERROR(__xludf.DUMMYFUNCTION("""COMPUTED_VALUE"""),0.18)</f>
        <v>0.18</v>
      </c>
    </row>
    <row r="3" ht="15.75" customHeight="1">
      <c r="A3" s="14" t="str">
        <f>IFERROR(__xludf.DUMMYFUNCTION("""COMPUTED_VALUE"""),"https://clutch.co/agencies/uk")</f>
        <v>https://clutch.co/agencies/uk</v>
      </c>
      <c r="B3" s="15" t="str">
        <f>IFERROR(__xludf.DUMMYFUNCTION("""COMPUTED_VALUE"""),"Top Advertising Agencies in the United Kingdom - Jul 2026 Rankings | Clutch.co")</f>
        <v>Top Advertising Agencies in the United Kingdom - Jul 2026 Rankings | Clutch.co</v>
      </c>
      <c r="C3" s="14" t="str">
        <f>IFERROR(__xludf.DUMMYFUNCTION("""COMPUTED_VALUE"""),"clutch.co")</f>
        <v>clutch.co</v>
      </c>
      <c r="D3" s="15" t="str">
        <f>IFERROR(__xludf.DUMMYFUNCTION("""COMPUTED_VALUE"""),"CATEGORY_PAGE")</f>
        <v>CATEGORY_PAGE</v>
      </c>
      <c r="E3" s="15" t="str">
        <f>IFERROR(__xludf.DUMMYFUNCTION("""COMPUTED_VALUE"""),"CORPORATE")</f>
        <v>CORPORATE</v>
      </c>
      <c r="F3" s="15" t="str">
        <f>IFERROR(__xludf.DUMMYFUNCTION("""COMPUTED_VALUE"""),"Category Page")</f>
        <v>Category Page</v>
      </c>
      <c r="G3" s="15" t="b">
        <f>IFERROR(__xludf.DUMMYFUNCTION("""COMPUTED_VALUE"""),FALSE)</f>
        <v>0</v>
      </c>
      <c r="H3" s="15" t="str">
        <f>IFERROR(__xludf.DUMMYFUNCTION("""COMPUTED_VALUE"""),"Favoured, Ninja Promo, Chello, ROAST, M3.agency, The SEO Works, Push")</f>
        <v>Favoured, Ninja Promo, Chello, ROAST, M3.agency, The SEO Works, Push</v>
      </c>
      <c r="I3" s="15">
        <f>IFERROR(__xludf.DUMMYFUNCTION("""COMPUTED_VALUE"""),69.0)</f>
        <v>69</v>
      </c>
      <c r="J3" s="15">
        <f>IFERROR(__xludf.DUMMYFUNCTION("""COMPUTED_VALUE"""),0.07)</f>
        <v>0.07</v>
      </c>
      <c r="K3" s="15">
        <f>IFERROR(__xludf.DUMMYFUNCTION("""COMPUTED_VALUE"""),0.25)</f>
        <v>0.25</v>
      </c>
    </row>
    <row r="4" ht="15.75" customHeight="1">
      <c r="A4" s="14" t="str">
        <f>IFERROR(__xludf.DUMMYFUNCTION("""COMPUTED_VALUE"""),"https://digitalagencynetwork.com/agencies/uk/ai-marketing/")</f>
        <v>https://digitalagencynetwork.com/agencies/uk/ai-marketing/</v>
      </c>
      <c r="B4" s="15" t="str">
        <f>IFERROR(__xludf.DUMMYFUNCTION("""COMPUTED_VALUE"""),"Top AI Marketing Agencies in UK (2026)")</f>
        <v>Top AI Marketing Agencies in UK (2026)</v>
      </c>
      <c r="C4" s="14" t="str">
        <f>IFERROR(__xludf.DUMMYFUNCTION("""COMPUTED_VALUE"""),"digitalagencynetwork.com")</f>
        <v>digitalagencynetwork.com</v>
      </c>
      <c r="D4" s="15" t="str">
        <f>IFERROR(__xludf.DUMMYFUNCTION("""COMPUTED_VALUE"""),"CATEGORY_PAGE")</f>
        <v>CATEGORY_PAGE</v>
      </c>
      <c r="E4" s="15" t="str">
        <f>IFERROR(__xludf.DUMMYFUNCTION("""COMPUTED_VALUE"""),"REFERENCE")</f>
        <v>REFERENCE</v>
      </c>
      <c r="F4" s="15" t="str">
        <f>IFERROR(__xludf.DUMMYFUNCTION("""COMPUTED_VALUE"""),"Category Page")</f>
        <v>Category Page</v>
      </c>
      <c r="G4" s="15" t="b">
        <f>IFERROR(__xludf.DUMMYFUNCTION("""COMPUTED_VALUE"""),FALSE)</f>
        <v>0</v>
      </c>
      <c r="H4" s="15" t="str">
        <f>IFERROR(__xludf.DUMMYFUNCTION("""COMPUTED_VALUE"""),"Favoured, Propeller, GA Agency, Make Agency, Anicca Digital, Found, FirstMotion, Bird Marketing, Ninja Promo, ROAST, Open Partners, Hallam")</f>
        <v>Favoured, Propeller, GA Agency, Make Agency, Anicca Digital, Found, FirstMotion, Bird Marketing, Ninja Promo, ROAST, Open Partners, Hallam</v>
      </c>
      <c r="I4" s="15">
        <f>IFERROR(__xludf.DUMMYFUNCTION("""COMPUTED_VALUE"""),63.0)</f>
        <v>63</v>
      </c>
      <c r="J4" s="15">
        <f>IFERROR(__xludf.DUMMYFUNCTION("""COMPUTED_VALUE"""),0.06)</f>
        <v>0.06</v>
      </c>
      <c r="K4" s="15">
        <f>IFERROR(__xludf.DUMMYFUNCTION("""COMPUTED_VALUE"""),0.38)</f>
        <v>0.38</v>
      </c>
    </row>
    <row r="5" ht="15.75" customHeight="1">
      <c r="A5" s="14" t="str">
        <f>IFERROR(__xludf.DUMMYFUNCTION("""COMPUTED_VALUE"""),"https://clutch.co/agencies/digital-marketing/uk")</f>
        <v>https://clutch.co/agencies/digital-marketing/uk</v>
      </c>
      <c r="B5" s="15" t="str">
        <f>IFERROR(__xludf.DUMMYFUNCTION("""COMPUTED_VALUE"""),"Top Digital Marketing Agencies in the UK - Jul 2026 Rankings | Clutch.co")</f>
        <v>Top Digital Marketing Agencies in the UK - Jul 2026 Rankings | Clutch.co</v>
      </c>
      <c r="C5" s="14" t="str">
        <f>IFERROR(__xludf.DUMMYFUNCTION("""COMPUTED_VALUE"""),"clutch.co")</f>
        <v>clutch.co</v>
      </c>
      <c r="D5" s="15" t="str">
        <f>IFERROR(__xludf.DUMMYFUNCTION("""COMPUTED_VALUE"""),"CATEGORY_PAGE")</f>
        <v>CATEGORY_PAGE</v>
      </c>
      <c r="E5" s="15" t="str">
        <f>IFERROR(__xludf.DUMMYFUNCTION("""COMPUTED_VALUE"""),"CORPORATE")</f>
        <v>CORPORATE</v>
      </c>
      <c r="F5" s="15" t="str">
        <f>IFERROR(__xludf.DUMMYFUNCTION("""COMPUTED_VALUE"""),"Category Page")</f>
        <v>Category Page</v>
      </c>
      <c r="G5" s="15" t="b">
        <f>IFERROR(__xludf.DUMMYFUNCTION("""COMPUTED_VALUE"""),FALSE)</f>
        <v>0</v>
      </c>
      <c r="H5" s="15" t="str">
        <f>IFERROR(__xludf.DUMMYFUNCTION("""COMPUTED_VALUE"""),"M3.agency, Favoured, Ninja Promo, ROAST, Soap Media, GA Agency, The SEO Works, Propeller, Bird Marketing, Launch Online, Passion Digital")</f>
        <v>M3.agency, Favoured, Ninja Promo, ROAST, Soap Media, GA Agency, The SEO Works, Propeller, Bird Marketing, Launch Online, Passion Digital</v>
      </c>
      <c r="I5" s="15">
        <f>IFERROR(__xludf.DUMMYFUNCTION("""COMPUTED_VALUE"""),57.0)</f>
        <v>57</v>
      </c>
      <c r="J5" s="15">
        <f>IFERROR(__xludf.DUMMYFUNCTION("""COMPUTED_VALUE"""),0.06)</f>
        <v>0.06</v>
      </c>
      <c r="K5" s="15">
        <f>IFERROR(__xludf.DUMMYFUNCTION("""COMPUTED_VALUE"""),1.04)</f>
        <v>1.04</v>
      </c>
    </row>
    <row r="6" ht="15.75" customHeight="1">
      <c r="A6" s="14" t="str">
        <f>IFERROR(__xludf.DUMMYFUNCTION("""COMPUTED_VALUE"""),"https://www.sortlist.co.uk/s/ai-marketing/united-kingdom-gb")</f>
        <v>https://www.sortlist.co.uk/s/ai-marketing/united-kingdom-gb</v>
      </c>
      <c r="B6" s="15" t="str">
        <f>IFERROR(__xludf.DUMMYFUNCTION("""COMPUTED_VALUE"""),"10+ Top AI Marketing Companies in the UK - 2026 Reviews")</f>
        <v>10+ Top AI Marketing Companies in the UK - 2026 Reviews</v>
      </c>
      <c r="C6" s="14" t="str">
        <f>IFERROR(__xludf.DUMMYFUNCTION("""COMPUTED_VALUE"""),"sortlist.co.uk")</f>
        <v>sortlist.co.uk</v>
      </c>
      <c r="D6" s="15" t="str">
        <f>IFERROR(__xludf.DUMMYFUNCTION("""COMPUTED_VALUE"""),"CATEGORY_PAGE")</f>
        <v>CATEGORY_PAGE</v>
      </c>
      <c r="E6" s="15" t="str">
        <f>IFERROR(__xludf.DUMMYFUNCTION("""COMPUTED_VALUE"""),"REFERENCE")</f>
        <v>REFERENCE</v>
      </c>
      <c r="F6" s="15" t="str">
        <f>IFERROR(__xludf.DUMMYFUNCTION("""COMPUTED_VALUE"""),"Category Page")</f>
        <v>Category Page</v>
      </c>
      <c r="G6" s="15" t="b">
        <f>IFERROR(__xludf.DUMMYFUNCTION("""COMPUTED_VALUE"""),FALSE)</f>
        <v>0</v>
      </c>
      <c r="H6" s="15"/>
      <c r="I6" s="15">
        <f>IFERROR(__xludf.DUMMYFUNCTION("""COMPUTED_VALUE"""),43.0)</f>
        <v>43</v>
      </c>
      <c r="J6" s="15">
        <f>IFERROR(__xludf.DUMMYFUNCTION("""COMPUTED_VALUE"""),0.04)</f>
        <v>0.04</v>
      </c>
      <c r="K6" s="15">
        <f>IFERROR(__xludf.DUMMYFUNCTION("""COMPUTED_VALUE"""),0.51)</f>
        <v>0.51</v>
      </c>
    </row>
    <row r="7" ht="15.75" customHeight="1">
      <c r="A7" s="14" t="str">
        <f>IFERROR(__xludf.DUMMYFUNCTION("""COMPUTED_VALUE"""),"https://agencies.semrush.com/list/display-advertising/united-kingdom/")</f>
        <v>https://agencies.semrush.com/list/display-advertising/united-kingdom/</v>
      </c>
      <c r="B7" s="15" t="str">
        <f>IFERROR(__xludf.DUMMYFUNCTION("""COMPUTED_VALUE"""),"Best Display Ads Agencies in United Kingdom 2026 | Semrush")</f>
        <v>Best Display Ads Agencies in United Kingdom 2026 | Semrush</v>
      </c>
      <c r="C7" s="14" t="str">
        <f>IFERROR(__xludf.DUMMYFUNCTION("""COMPUTED_VALUE"""),"semrush.com")</f>
        <v>semrush.com</v>
      </c>
      <c r="D7" s="15" t="str">
        <f>IFERROR(__xludf.DUMMYFUNCTION("""COMPUTED_VALUE"""),"CATEGORY_PAGE")</f>
        <v>CATEGORY_PAGE</v>
      </c>
      <c r="E7" s="15" t="str">
        <f>IFERROR(__xludf.DUMMYFUNCTION("""COMPUTED_VALUE"""),"CORPORATE")</f>
        <v>CORPORATE</v>
      </c>
      <c r="F7" s="15" t="str">
        <f>IFERROR(__xludf.DUMMYFUNCTION("""COMPUTED_VALUE"""),"Category Page")</f>
        <v>Category Page</v>
      </c>
      <c r="G7" s="15" t="b">
        <f>IFERROR(__xludf.DUMMYFUNCTION("""COMPUTED_VALUE"""),FALSE)</f>
        <v>0</v>
      </c>
      <c r="H7" s="15" t="str">
        <f>IFERROR(__xludf.DUMMYFUNCTION("""COMPUTED_VALUE"""),"Found, Passion Digital, Soap Media, GA Agency, The SEO Works")</f>
        <v>Found, Passion Digital, Soap Media, GA Agency, The SEO Works</v>
      </c>
      <c r="I7" s="15">
        <f>IFERROR(__xludf.DUMMYFUNCTION("""COMPUTED_VALUE"""),40.0)</f>
        <v>40</v>
      </c>
      <c r="J7" s="15">
        <f>IFERROR(__xludf.DUMMYFUNCTION("""COMPUTED_VALUE"""),0.04)</f>
        <v>0.04</v>
      </c>
      <c r="K7" s="15">
        <f>IFERROR(__xludf.DUMMYFUNCTION("""COMPUTED_VALUE"""),0.53)</f>
        <v>0.53</v>
      </c>
    </row>
    <row r="8" ht="15.75" customHeight="1">
      <c r="A8" s="14" t="str">
        <f>IFERROR(__xludf.DUMMYFUNCTION("""COMPUTED_VALUE"""),"https://www.sortlist.co.uk/s/display-advertising/united-kingdom-gb")</f>
        <v>https://www.sortlist.co.uk/s/display-advertising/united-kingdom-gb</v>
      </c>
      <c r="B8" s="15" t="str">
        <f>IFERROR(__xludf.DUMMYFUNCTION("""COMPUTED_VALUE"""),"The 10 Best Display Advertising Agencies in The United Kingdom - 2026 Reviews")</f>
        <v>The 10 Best Display Advertising Agencies in The United Kingdom - 2026 Reviews</v>
      </c>
      <c r="C8" s="14" t="str">
        <f>IFERROR(__xludf.DUMMYFUNCTION("""COMPUTED_VALUE"""),"sortlist.co.uk")</f>
        <v>sortlist.co.uk</v>
      </c>
      <c r="D8" s="15" t="str">
        <f>IFERROR(__xludf.DUMMYFUNCTION("""COMPUTED_VALUE"""),"CATEGORY_PAGE")</f>
        <v>CATEGORY_PAGE</v>
      </c>
      <c r="E8" s="15" t="str">
        <f>IFERROR(__xludf.DUMMYFUNCTION("""COMPUTED_VALUE"""),"REFERENCE")</f>
        <v>REFERENCE</v>
      </c>
      <c r="F8" s="15" t="str">
        <f>IFERROR(__xludf.DUMMYFUNCTION("""COMPUTED_VALUE"""),"Category Page")</f>
        <v>Category Page</v>
      </c>
      <c r="G8" s="15" t="b">
        <f>IFERROR(__xludf.DUMMYFUNCTION("""COMPUTED_VALUE"""),FALSE)</f>
        <v>0</v>
      </c>
      <c r="H8" s="15" t="str">
        <f>IFERROR(__xludf.DUMMYFUNCTION("""COMPUTED_VALUE"""),"Found, Momentum, M3.agency, Ninja Promo, Impression")</f>
        <v>Found, Momentum, M3.agency, Ninja Promo, Impression</v>
      </c>
      <c r="I8" s="15">
        <f>IFERROR(__xludf.DUMMYFUNCTION("""COMPUTED_VALUE"""),38.0)</f>
        <v>38</v>
      </c>
      <c r="J8" s="15">
        <f>IFERROR(__xludf.DUMMYFUNCTION("""COMPUTED_VALUE"""),0.04)</f>
        <v>0.04</v>
      </c>
      <c r="K8" s="15">
        <f>IFERROR(__xludf.DUMMYFUNCTION("""COMPUTED_VALUE"""),0.66)</f>
        <v>0.66</v>
      </c>
    </row>
    <row r="9" ht="15.75" customHeight="1">
      <c r="A9" s="14" t="str">
        <f>IFERROR(__xludf.DUMMYFUNCTION("""COMPUTED_VALUE"""),"https://www.sortlist.co.uk/s/marketing-analytics/united-kingdom-gb")</f>
        <v>https://www.sortlist.co.uk/s/marketing-analytics/united-kingdom-gb</v>
      </c>
      <c r="B9" s="15" t="str">
        <f>IFERROR(__xludf.DUMMYFUNCTION("""COMPUTED_VALUE"""),"The 10 Best Marketing Analytics Companies in The United Kingdom - 2026 Reviews")</f>
        <v>The 10 Best Marketing Analytics Companies in The United Kingdom - 2026 Reviews</v>
      </c>
      <c r="C9" s="14" t="str">
        <f>IFERROR(__xludf.DUMMYFUNCTION("""COMPUTED_VALUE"""),"sortlist.co.uk")</f>
        <v>sortlist.co.uk</v>
      </c>
      <c r="D9" s="15" t="str">
        <f>IFERROR(__xludf.DUMMYFUNCTION("""COMPUTED_VALUE"""),"CATEGORY_PAGE")</f>
        <v>CATEGORY_PAGE</v>
      </c>
      <c r="E9" s="15" t="str">
        <f>IFERROR(__xludf.DUMMYFUNCTION("""COMPUTED_VALUE"""),"REFERENCE")</f>
        <v>REFERENCE</v>
      </c>
      <c r="F9" s="15" t="str">
        <f>IFERROR(__xludf.DUMMYFUNCTION("""COMPUTED_VALUE"""),"Category Page")</f>
        <v>Category Page</v>
      </c>
      <c r="G9" s="15" t="b">
        <f>IFERROR(__xludf.DUMMYFUNCTION("""COMPUTED_VALUE"""),FALSE)</f>
        <v>0</v>
      </c>
      <c r="H9" s="15" t="str">
        <f>IFERROR(__xludf.DUMMYFUNCTION("""COMPUTED_VALUE"""),"McKinsey &amp; Company, Momentum, M3.agency, Found, Ninja Promo, Bird Marketing")</f>
        <v>McKinsey &amp; Company, Momentum, M3.agency, Found, Ninja Promo, Bird Marketing</v>
      </c>
      <c r="I9" s="15">
        <f>IFERROR(__xludf.DUMMYFUNCTION("""COMPUTED_VALUE"""),38.0)</f>
        <v>38</v>
      </c>
      <c r="J9" s="15">
        <f>IFERROR(__xludf.DUMMYFUNCTION("""COMPUTED_VALUE"""),0.04)</f>
        <v>0.04</v>
      </c>
      <c r="K9" s="15">
        <f>IFERROR(__xludf.DUMMYFUNCTION("""COMPUTED_VALUE"""),0.61)</f>
        <v>0.61</v>
      </c>
    </row>
    <row r="10" ht="15.75" customHeight="1">
      <c r="A10" s="14" t="str">
        <f>IFERROR(__xludf.DUMMYFUNCTION("""COMPUTED_VALUE"""),"https://digitalagencynetwork.com/agencies/london/ai-marketing/")</f>
        <v>https://digitalagencynetwork.com/agencies/london/ai-marketing/</v>
      </c>
      <c r="B10" s="15" t="str">
        <f>IFERROR(__xludf.DUMMYFUNCTION("""COMPUTED_VALUE"""),"Top AI Marketing Agencies in London (2026)")</f>
        <v>Top AI Marketing Agencies in London (2026)</v>
      </c>
      <c r="C10" s="14" t="str">
        <f>IFERROR(__xludf.DUMMYFUNCTION("""COMPUTED_VALUE"""),"digitalagencynetwork.com")</f>
        <v>digitalagencynetwork.com</v>
      </c>
      <c r="D10" s="15" t="str">
        <f>IFERROR(__xludf.DUMMYFUNCTION("""COMPUTED_VALUE"""),"CATEGORY_PAGE")</f>
        <v>CATEGORY_PAGE</v>
      </c>
      <c r="E10" s="15" t="str">
        <f>IFERROR(__xludf.DUMMYFUNCTION("""COMPUTED_VALUE"""),"REFERENCE")</f>
        <v>REFERENCE</v>
      </c>
      <c r="F10" s="15" t="str">
        <f>IFERROR(__xludf.DUMMYFUNCTION("""COMPUTED_VALUE"""),"Category Page")</f>
        <v>Category Page</v>
      </c>
      <c r="G10" s="15" t="b">
        <f>IFERROR(__xludf.DUMMYFUNCTION("""COMPUTED_VALUE"""),FALSE)</f>
        <v>0</v>
      </c>
      <c r="H10" s="15" t="str">
        <f>IFERROR(__xludf.DUMMYFUNCTION("""COMPUTED_VALUE"""),"Favoured, Propeller, FirstMotion, Ninja Promo, Bird Marketing, Found, Make Agency, ROAST, GA Agency")</f>
        <v>Favoured, Propeller, FirstMotion, Ninja Promo, Bird Marketing, Found, Make Agency, ROAST, GA Agency</v>
      </c>
      <c r="I10" s="15">
        <f>IFERROR(__xludf.DUMMYFUNCTION("""COMPUTED_VALUE"""),32.0)</f>
        <v>32</v>
      </c>
      <c r="J10" s="15">
        <f>IFERROR(__xludf.DUMMYFUNCTION("""COMPUTED_VALUE"""),0.03)</f>
        <v>0.03</v>
      </c>
      <c r="K10" s="15">
        <f>IFERROR(__xludf.DUMMYFUNCTION("""COMPUTED_VALUE"""),0.31)</f>
        <v>0.31</v>
      </c>
    </row>
    <row r="11" ht="15.75" customHeight="1">
      <c r="A11" s="14" t="str">
        <f>IFERROR(__xludf.DUMMYFUNCTION("""COMPUTED_VALUE"""),"https://www.designrush.com/agency/creative-agencies/uk")</f>
        <v>https://www.designrush.com/agency/creative-agencies/uk</v>
      </c>
      <c r="B11" s="15" t="str">
        <f>IFERROR(__xludf.DUMMYFUNCTION("""COMPUTED_VALUE"""),"Top Creative Agencies in the United Kingdom | 2026")</f>
        <v>Top Creative Agencies in the United Kingdom | 2026</v>
      </c>
      <c r="C11" s="14" t="str">
        <f>IFERROR(__xludf.DUMMYFUNCTION("""COMPUTED_VALUE"""),"designrush.com")</f>
        <v>designrush.com</v>
      </c>
      <c r="D11" s="15" t="str">
        <f>IFERROR(__xludf.DUMMYFUNCTION("""COMPUTED_VALUE"""),"CATEGORY_PAGE")</f>
        <v>CATEGORY_PAGE</v>
      </c>
      <c r="E11" s="15" t="str">
        <f>IFERROR(__xludf.DUMMYFUNCTION("""COMPUTED_VALUE"""),"CORPORATE")</f>
        <v>CORPORATE</v>
      </c>
      <c r="F11" s="15" t="str">
        <f>IFERROR(__xludf.DUMMYFUNCTION("""COMPUTED_VALUE"""),"Category Page")</f>
        <v>Category Page</v>
      </c>
      <c r="G11" s="15" t="b">
        <f>IFERROR(__xludf.DUMMYFUNCTION("""COMPUTED_VALUE"""),FALSE)</f>
        <v>0</v>
      </c>
      <c r="H11" s="15" t="str">
        <f>IFERROR(__xludf.DUMMYFUNCTION("""COMPUTED_VALUE"""),"Huge, Directive Consulting")</f>
        <v>Huge, Directive Consulting</v>
      </c>
      <c r="I11" s="15">
        <f>IFERROR(__xludf.DUMMYFUNCTION("""COMPUTED_VALUE"""),31.0)</f>
        <v>31</v>
      </c>
      <c r="J11" s="15">
        <f>IFERROR(__xludf.DUMMYFUNCTION("""COMPUTED_VALUE"""),0.03)</f>
        <v>0.03</v>
      </c>
      <c r="K11" s="15">
        <f>IFERROR(__xludf.DUMMYFUNCTION("""COMPUTED_VALUE"""),0.03)</f>
        <v>0.03</v>
      </c>
    </row>
    <row r="12" ht="15.75" customHeight="1">
      <c r="A12" s="14" t="str">
        <f>IFERROR(__xludf.DUMMYFUNCTION("""COMPUTED_VALUE"""),"https://ensun.io/search/marketing-analytics/united-kingdom")</f>
        <v>https://ensun.io/search/marketing-analytics/united-kingdom</v>
      </c>
      <c r="B12" s="15" t="str">
        <f>IFERROR(__xludf.DUMMYFUNCTION("""COMPUTED_VALUE"""),"Top 0 Marketing Analytics Companies in United Kingdom (2026) \| ensun")</f>
        <v>Top 0 Marketing Analytics Companies in United Kingdom (2026) \| ensun</v>
      </c>
      <c r="C12" s="14" t="str">
        <f>IFERROR(__xludf.DUMMYFUNCTION("""COMPUTED_VALUE"""),"ensun.io")</f>
        <v>ensun.io</v>
      </c>
      <c r="D12" s="15" t="str">
        <f>IFERROR(__xludf.DUMMYFUNCTION("""COMPUTED_VALUE"""),"CATEGORY_PAGE")</f>
        <v>CATEGORY_PAGE</v>
      </c>
      <c r="E12" s="15" t="str">
        <f>IFERROR(__xludf.DUMMYFUNCTION("""COMPUTED_VALUE"""),"OTHER")</f>
        <v>OTHER</v>
      </c>
      <c r="F12" s="15" t="str">
        <f>IFERROR(__xludf.DUMMYFUNCTION("""COMPUTED_VALUE"""),"Category Page")</f>
        <v>Category Page</v>
      </c>
      <c r="G12" s="15" t="b">
        <f>IFERROR(__xludf.DUMMYFUNCTION("""COMPUTED_VALUE"""),FALSE)</f>
        <v>0</v>
      </c>
      <c r="H12" s="15"/>
      <c r="I12" s="15">
        <f>IFERROR(__xludf.DUMMYFUNCTION("""COMPUTED_VALUE"""),29.0)</f>
        <v>29</v>
      </c>
      <c r="J12" s="15">
        <f>IFERROR(__xludf.DUMMYFUNCTION("""COMPUTED_VALUE"""),0.03)</f>
        <v>0.03</v>
      </c>
      <c r="K12" s="15">
        <f>IFERROR(__xludf.DUMMYFUNCTION("""COMPUTED_VALUE"""),0.72)</f>
        <v>0.72</v>
      </c>
    </row>
    <row r="13" ht="15.75" customHeight="1">
      <c r="A13" s="14" t="str">
        <f>IFERROR(__xludf.DUMMYFUNCTION("""COMPUTED_VALUE"""),"https://digitalagencynetwork.com/agencies/london/")</f>
        <v>https://digitalagencynetwork.com/agencies/london/</v>
      </c>
      <c r="B13" s="15" t="str">
        <f>IFERROR(__xludf.DUMMYFUNCTION("""COMPUTED_VALUE"""),"Best Digital Marketing Agencies in London (2026)")</f>
        <v>Best Digital Marketing Agencies in London (2026)</v>
      </c>
      <c r="C13" s="14" t="str">
        <f>IFERROR(__xludf.DUMMYFUNCTION("""COMPUTED_VALUE"""),"digitalagencynetwork.com")</f>
        <v>digitalagencynetwork.com</v>
      </c>
      <c r="D13" s="15" t="str">
        <f>IFERROR(__xludf.DUMMYFUNCTION("""COMPUTED_VALUE"""),"CATEGORY_PAGE")</f>
        <v>CATEGORY_PAGE</v>
      </c>
      <c r="E13" s="15" t="str">
        <f>IFERROR(__xludf.DUMMYFUNCTION("""COMPUTED_VALUE"""),"REFERENCE")</f>
        <v>REFERENCE</v>
      </c>
      <c r="F13" s="15" t="str">
        <f>IFERROR(__xludf.DUMMYFUNCTION("""COMPUTED_VALUE"""),"Category Page")</f>
        <v>Category Page</v>
      </c>
      <c r="G13" s="15" t="b">
        <f>IFERROR(__xludf.DUMMYFUNCTION("""COMPUTED_VALUE"""),FALSE)</f>
        <v>0</v>
      </c>
      <c r="H13" s="15" t="str">
        <f>IFERROR(__xludf.DUMMYFUNCTION("""COMPUTED_VALUE"""),"Favoured, Hallam, Propeller, Make Agency, Bird Marketing, FirstMotion, Impression, GA Agency, Push, Ninja Promo, ROAST, Found, Passion Digital")</f>
        <v>Favoured, Hallam, Propeller, Make Agency, Bird Marketing, FirstMotion, Impression, GA Agency, Push, Ninja Promo, ROAST, Found, Passion Digital</v>
      </c>
      <c r="I13" s="15">
        <f>IFERROR(__xludf.DUMMYFUNCTION("""COMPUTED_VALUE"""),28.0)</f>
        <v>28</v>
      </c>
      <c r="J13" s="15">
        <f>IFERROR(__xludf.DUMMYFUNCTION("""COMPUTED_VALUE"""),0.03)</f>
        <v>0.03</v>
      </c>
      <c r="K13" s="15">
        <f>IFERROR(__xludf.DUMMYFUNCTION("""COMPUTED_VALUE"""),0.29)</f>
        <v>0.29</v>
      </c>
    </row>
    <row r="14" ht="15.75" customHeight="1">
      <c r="A14" s="14" t="str">
        <f>IFERROR(__xludf.DUMMYFUNCTION("""COMPUTED_VALUE"""),"https://digitalagencynetwork.com/agencies/uk/")</f>
        <v>https://digitalagencynetwork.com/agencies/uk/</v>
      </c>
      <c r="B14" s="15" t="str">
        <f>IFERROR(__xludf.DUMMYFUNCTION("""COMPUTED_VALUE"""),"Best Digital Marketing Agencies in the UK | Digital Agency Network")</f>
        <v>Best Digital Marketing Agencies in the UK | Digital Agency Network</v>
      </c>
      <c r="C14" s="14" t="str">
        <f>IFERROR(__xludf.DUMMYFUNCTION("""COMPUTED_VALUE"""),"digitalagencynetwork.com")</f>
        <v>digitalagencynetwork.com</v>
      </c>
      <c r="D14" s="15" t="str">
        <f>IFERROR(__xludf.DUMMYFUNCTION("""COMPUTED_VALUE"""),"CATEGORY_PAGE")</f>
        <v>CATEGORY_PAGE</v>
      </c>
      <c r="E14" s="15" t="str">
        <f>IFERROR(__xludf.DUMMYFUNCTION("""COMPUTED_VALUE"""),"REFERENCE")</f>
        <v>REFERENCE</v>
      </c>
      <c r="F14" s="15" t="str">
        <f>IFERROR(__xludf.DUMMYFUNCTION("""COMPUTED_VALUE"""),"Category Page")</f>
        <v>Category Page</v>
      </c>
      <c r="G14" s="15" t="b">
        <f>IFERROR(__xludf.DUMMYFUNCTION("""COMPUTED_VALUE"""),FALSE)</f>
        <v>0</v>
      </c>
      <c r="H14" s="15" t="str">
        <f>IFERROR(__xludf.DUMMYFUNCTION("""COMPUTED_VALUE"""),"Favoured, Propeller, FirstMotion, The SEO Works, Hallam, Anicca Digital, ROAST, Found, Make Agency, Ninja Promo, Bird Marketing, Push, M3.agency, GA Agency")</f>
        <v>Favoured, Propeller, FirstMotion, The SEO Works, Hallam, Anicca Digital, ROAST, Found, Make Agency, Ninja Promo, Bird Marketing, Push, M3.agency, GA Agency</v>
      </c>
      <c r="I14" s="15">
        <f>IFERROR(__xludf.DUMMYFUNCTION("""COMPUTED_VALUE"""),27.0)</f>
        <v>27</v>
      </c>
      <c r="J14" s="15">
        <f>IFERROR(__xludf.DUMMYFUNCTION("""COMPUTED_VALUE"""),0.03)</f>
        <v>0.03</v>
      </c>
      <c r="K14" s="15">
        <f>IFERROR(__xludf.DUMMYFUNCTION("""COMPUTED_VALUE"""),0.37)</f>
        <v>0.37</v>
      </c>
    </row>
    <row r="15" ht="15.75" customHeight="1">
      <c r="A15" s="14" t="str">
        <f>IFERROR(__xludf.DUMMYFUNCTION("""COMPUTED_VALUE"""),"https://www.sortlist.co.uk/s/paid-media/london-england-gb")</f>
        <v>https://www.sortlist.co.uk/s/paid-media/london-england-gb</v>
      </c>
      <c r="B15" s="15" t="str">
        <f>IFERROR(__xludf.DUMMYFUNCTION("""COMPUTED_VALUE"""),"The 10 Best Paid Media Agencies in London - 2026 Reviews")</f>
        <v>The 10 Best Paid Media Agencies in London - 2026 Reviews</v>
      </c>
      <c r="C15" s="14" t="str">
        <f>IFERROR(__xludf.DUMMYFUNCTION("""COMPUTED_VALUE"""),"sortlist.co.uk")</f>
        <v>sortlist.co.uk</v>
      </c>
      <c r="D15" s="15" t="str">
        <f>IFERROR(__xludf.DUMMYFUNCTION("""COMPUTED_VALUE"""),"CATEGORY_PAGE")</f>
        <v>CATEGORY_PAGE</v>
      </c>
      <c r="E15" s="15" t="str">
        <f>IFERROR(__xludf.DUMMYFUNCTION("""COMPUTED_VALUE"""),"REFERENCE")</f>
        <v>REFERENCE</v>
      </c>
      <c r="F15" s="15" t="str">
        <f>IFERROR(__xludf.DUMMYFUNCTION("""COMPUTED_VALUE"""),"Category Page")</f>
        <v>Category Page</v>
      </c>
      <c r="G15" s="15" t="b">
        <f>IFERROR(__xludf.DUMMYFUNCTION("""COMPUTED_VALUE"""),FALSE)</f>
        <v>0</v>
      </c>
      <c r="H15" s="15" t="str">
        <f>IFERROR(__xludf.DUMMYFUNCTION("""COMPUTED_VALUE"""),"Push, Triple Whale, Northbeam, Whitehat, Found")</f>
        <v>Push, Triple Whale, Northbeam, Whitehat, Found</v>
      </c>
      <c r="I15" s="15">
        <f>IFERROR(__xludf.DUMMYFUNCTION("""COMPUTED_VALUE"""),27.0)</f>
        <v>27</v>
      </c>
      <c r="J15" s="15">
        <f>IFERROR(__xludf.DUMMYFUNCTION("""COMPUTED_VALUE"""),0.03)</f>
        <v>0.03</v>
      </c>
      <c r="K15" s="15">
        <f>IFERROR(__xludf.DUMMYFUNCTION("""COMPUTED_VALUE"""),0.26)</f>
        <v>0.26</v>
      </c>
    </row>
    <row r="16" ht="15.75" customHeight="1">
      <c r="A16" s="14" t="str">
        <f>IFERROR(__xludf.DUMMYFUNCTION("""COMPUTED_VALUE"""),"https://clutch.co/agencies/creative/uk")</f>
        <v>https://clutch.co/agencies/creative/uk</v>
      </c>
      <c r="B16" s="15" t="str">
        <f>IFERROR(__xludf.DUMMYFUNCTION("""COMPUTED_VALUE"""),"Top Creative Agencies in the United Kingdom - Jul 2026 Rankings | Clutch.co")</f>
        <v>Top Creative Agencies in the United Kingdom - Jul 2026 Rankings | Clutch.co</v>
      </c>
      <c r="C16" s="14" t="str">
        <f>IFERROR(__xludf.DUMMYFUNCTION("""COMPUTED_VALUE"""),"clutch.co")</f>
        <v>clutch.co</v>
      </c>
      <c r="D16" s="15" t="str">
        <f>IFERROR(__xludf.DUMMYFUNCTION("""COMPUTED_VALUE"""),"CATEGORY_PAGE")</f>
        <v>CATEGORY_PAGE</v>
      </c>
      <c r="E16" s="15" t="str">
        <f>IFERROR(__xludf.DUMMYFUNCTION("""COMPUTED_VALUE"""),"CORPORATE")</f>
        <v>CORPORATE</v>
      </c>
      <c r="F16" s="15" t="str">
        <f>IFERROR(__xludf.DUMMYFUNCTION("""COMPUTED_VALUE"""),"Category Page")</f>
        <v>Category Page</v>
      </c>
      <c r="G16" s="15" t="b">
        <f>IFERROR(__xludf.DUMMYFUNCTION("""COMPUTED_VALUE"""),FALSE)</f>
        <v>0</v>
      </c>
      <c r="H16" s="15" t="str">
        <f>IFERROR(__xludf.DUMMYFUNCTION("""COMPUTED_VALUE"""),"Polaris, Chello, Favoured, Make Agency")</f>
        <v>Polaris, Chello, Favoured, Make Agency</v>
      </c>
      <c r="I16" s="15">
        <f>IFERROR(__xludf.DUMMYFUNCTION("""COMPUTED_VALUE"""),26.0)</f>
        <v>26</v>
      </c>
      <c r="J16" s="15">
        <f>IFERROR(__xludf.DUMMYFUNCTION("""COMPUTED_VALUE"""),0.03)</f>
        <v>0.03</v>
      </c>
      <c r="K16" s="15">
        <f>IFERROR(__xludf.DUMMYFUNCTION("""COMPUTED_VALUE"""),0.31)</f>
        <v>0.31</v>
      </c>
    </row>
    <row r="17" ht="15.75" customHeight="1">
      <c r="A17" s="14" t="str">
        <f>IFERROR(__xludf.DUMMYFUNCTION("""COMPUTED_VALUE"""),"https://agencies.semrush.com/list/ai-optimization/london-city/")</f>
        <v>https://agencies.semrush.com/list/ai-optimization/london-city/</v>
      </c>
      <c r="B17" s="15" t="str">
        <f>IFERROR(__xludf.DUMMYFUNCTION("""COMPUTED_VALUE"""),"Best AI Search Optimization Agencies in London 2026 | Semrush")</f>
        <v>Best AI Search Optimization Agencies in London 2026 | Semrush</v>
      </c>
      <c r="C17" s="14" t="str">
        <f>IFERROR(__xludf.DUMMYFUNCTION("""COMPUTED_VALUE"""),"semrush.com")</f>
        <v>semrush.com</v>
      </c>
      <c r="D17" s="15" t="str">
        <f>IFERROR(__xludf.DUMMYFUNCTION("""COMPUTED_VALUE"""),"CATEGORY_PAGE")</f>
        <v>CATEGORY_PAGE</v>
      </c>
      <c r="E17" s="15" t="str">
        <f>IFERROR(__xludf.DUMMYFUNCTION("""COMPUTED_VALUE"""),"CORPORATE")</f>
        <v>CORPORATE</v>
      </c>
      <c r="F17" s="15" t="str">
        <f>IFERROR(__xludf.DUMMYFUNCTION("""COMPUTED_VALUE"""),"Category Page")</f>
        <v>Category Page</v>
      </c>
      <c r="G17" s="15" t="b">
        <f>IFERROR(__xludf.DUMMYFUNCTION("""COMPUTED_VALUE"""),FALSE)</f>
        <v>0</v>
      </c>
      <c r="H17" s="15" t="str">
        <f>IFERROR(__xludf.DUMMYFUNCTION("""COMPUTED_VALUE"""),"Found, Measured, Passion Digital, The SEO Works, Gravity Global, ROAST")</f>
        <v>Found, Measured, Passion Digital, The SEO Works, Gravity Global, ROAST</v>
      </c>
      <c r="I17" s="15">
        <f>IFERROR(__xludf.DUMMYFUNCTION("""COMPUTED_VALUE"""),25.0)</f>
        <v>25</v>
      </c>
      <c r="J17" s="15">
        <f>IFERROR(__xludf.DUMMYFUNCTION("""COMPUTED_VALUE"""),0.02)</f>
        <v>0.02</v>
      </c>
      <c r="K17" s="15">
        <f>IFERROR(__xludf.DUMMYFUNCTION("""COMPUTED_VALUE"""),0.16)</f>
        <v>0.16</v>
      </c>
    </row>
    <row r="18" ht="15.75" customHeight="1">
      <c r="A18" s="14" t="str">
        <f>IFERROR(__xludf.DUMMYFUNCTION("""COMPUTED_VALUE"""),"https://agencies.semrush.com/list/ai-optimization/united-kingdom/")</f>
        <v>https://agencies.semrush.com/list/ai-optimization/united-kingdom/</v>
      </c>
      <c r="B18" s="15" t="str">
        <f>IFERROR(__xludf.DUMMYFUNCTION("""COMPUTED_VALUE"""),"Best AI Search Optimization Agencies in United Kingdom 2026 | Semrush")</f>
        <v>Best AI Search Optimization Agencies in United Kingdom 2026 | Semrush</v>
      </c>
      <c r="C18" s="14" t="str">
        <f>IFERROR(__xludf.DUMMYFUNCTION("""COMPUTED_VALUE"""),"semrush.com")</f>
        <v>semrush.com</v>
      </c>
      <c r="D18" s="15" t="str">
        <f>IFERROR(__xludf.DUMMYFUNCTION("""COMPUTED_VALUE"""),"CATEGORY_PAGE")</f>
        <v>CATEGORY_PAGE</v>
      </c>
      <c r="E18" s="15" t="str">
        <f>IFERROR(__xludf.DUMMYFUNCTION("""COMPUTED_VALUE"""),"CORPORATE")</f>
        <v>CORPORATE</v>
      </c>
      <c r="F18" s="15" t="str">
        <f>IFERROR(__xludf.DUMMYFUNCTION("""COMPUTED_VALUE"""),"Category Page")</f>
        <v>Category Page</v>
      </c>
      <c r="G18" s="15" t="b">
        <f>IFERROR(__xludf.DUMMYFUNCTION("""COMPUTED_VALUE"""),FALSE)</f>
        <v>0</v>
      </c>
      <c r="H18" s="15" t="str">
        <f>IFERROR(__xludf.DUMMYFUNCTION("""COMPUTED_VALUE"""),"Found, Measured, Click Intelligence, Passion Digital, The SEO Works, Gravity Global, ROAST, Huge")</f>
        <v>Found, Measured, Click Intelligence, Passion Digital, The SEO Works, Gravity Global, ROAST, Huge</v>
      </c>
      <c r="I18" s="15">
        <f>IFERROR(__xludf.DUMMYFUNCTION("""COMPUTED_VALUE"""),25.0)</f>
        <v>25</v>
      </c>
      <c r="J18" s="15">
        <f>IFERROR(__xludf.DUMMYFUNCTION("""COMPUTED_VALUE"""),0.02)</f>
        <v>0.02</v>
      </c>
      <c r="K18" s="15">
        <f>IFERROR(__xludf.DUMMYFUNCTION("""COMPUTED_VALUE"""),0.0)</f>
        <v>0</v>
      </c>
    </row>
    <row r="19" ht="15.75" customHeight="1">
      <c r="A19" s="14" t="str">
        <f>IFERROR(__xludf.DUMMYFUNCTION("""COMPUTED_VALUE"""),"https://agencies.semrush.com/list/display-advertising/london-city/")</f>
        <v>https://agencies.semrush.com/list/display-advertising/london-city/</v>
      </c>
      <c r="B19" s="15" t="str">
        <f>IFERROR(__xludf.DUMMYFUNCTION("""COMPUTED_VALUE"""),"Best Display Ads Agencies in London 2026 | Semrush")</f>
        <v>Best Display Ads Agencies in London 2026 | Semrush</v>
      </c>
      <c r="C19" s="14" t="str">
        <f>IFERROR(__xludf.DUMMYFUNCTION("""COMPUTED_VALUE"""),"semrush.com")</f>
        <v>semrush.com</v>
      </c>
      <c r="D19" s="15" t="str">
        <f>IFERROR(__xludf.DUMMYFUNCTION("""COMPUTED_VALUE"""),"CATEGORY_PAGE")</f>
        <v>CATEGORY_PAGE</v>
      </c>
      <c r="E19" s="15" t="str">
        <f>IFERROR(__xludf.DUMMYFUNCTION("""COMPUTED_VALUE"""),"CORPORATE")</f>
        <v>CORPORATE</v>
      </c>
      <c r="F19" s="15" t="str">
        <f>IFERROR(__xludf.DUMMYFUNCTION("""COMPUTED_VALUE"""),"Category Page")</f>
        <v>Category Page</v>
      </c>
      <c r="G19" s="15" t="b">
        <f>IFERROR(__xludf.DUMMYFUNCTION("""COMPUTED_VALUE"""),FALSE)</f>
        <v>0</v>
      </c>
      <c r="H19" s="15" t="str">
        <f>IFERROR(__xludf.DUMMYFUNCTION("""COMPUTED_VALUE"""),"Passion Digital, GA Agency, The SEO Works, ROAST, Found")</f>
        <v>Passion Digital, GA Agency, The SEO Works, ROAST, Found</v>
      </c>
      <c r="I19" s="15">
        <f>IFERROR(__xludf.DUMMYFUNCTION("""COMPUTED_VALUE"""),25.0)</f>
        <v>25</v>
      </c>
      <c r="J19" s="15">
        <f>IFERROR(__xludf.DUMMYFUNCTION("""COMPUTED_VALUE"""),0.02)</f>
        <v>0.02</v>
      </c>
      <c r="K19" s="15">
        <f>IFERROR(__xludf.DUMMYFUNCTION("""COMPUTED_VALUE"""),0.64)</f>
        <v>0.64</v>
      </c>
    </row>
    <row r="20" ht="15.75" customHeight="1">
      <c r="A20" s="14" t="str">
        <f>IFERROR(__xludf.DUMMYFUNCTION("""COMPUTED_VALUE"""),"https://digitalagencynetwork.com/agencies/uk/creative/")</f>
        <v>https://digitalagencynetwork.com/agencies/uk/creative/</v>
      </c>
      <c r="B20" s="15" t="str">
        <f>IFERROR(__xludf.DUMMYFUNCTION("""COMPUTED_VALUE"""),"Top Creative Agencies in UK (2026)")</f>
        <v>Top Creative Agencies in UK (2026)</v>
      </c>
      <c r="C20" s="14" t="str">
        <f>IFERROR(__xludf.DUMMYFUNCTION("""COMPUTED_VALUE"""),"digitalagencynetwork.com")</f>
        <v>digitalagencynetwork.com</v>
      </c>
      <c r="D20" s="15" t="str">
        <f>IFERROR(__xludf.DUMMYFUNCTION("""COMPUTED_VALUE"""),"CATEGORY_PAGE")</f>
        <v>CATEGORY_PAGE</v>
      </c>
      <c r="E20" s="15" t="str">
        <f>IFERROR(__xludf.DUMMYFUNCTION("""COMPUTED_VALUE"""),"REFERENCE")</f>
        <v>REFERENCE</v>
      </c>
      <c r="F20" s="15" t="str">
        <f>IFERROR(__xludf.DUMMYFUNCTION("""COMPUTED_VALUE"""),"Category Page")</f>
        <v>Category Page</v>
      </c>
      <c r="G20" s="15" t="b">
        <f>IFERROR(__xludf.DUMMYFUNCTION("""COMPUTED_VALUE"""),FALSE)</f>
        <v>0</v>
      </c>
      <c r="H20" s="15" t="str">
        <f>IFERROR(__xludf.DUMMYFUNCTION("""COMPUTED_VALUE"""),"Favoured, Propeller, M3.agency, Make Agency, Impression, Bird Marketing")</f>
        <v>Favoured, Propeller, M3.agency, Make Agency, Impression, Bird Marketing</v>
      </c>
      <c r="I20" s="15">
        <f>IFERROR(__xludf.DUMMYFUNCTION("""COMPUTED_VALUE"""),25.0)</f>
        <v>25</v>
      </c>
      <c r="J20" s="15">
        <f>IFERROR(__xludf.DUMMYFUNCTION("""COMPUTED_VALUE"""),0.02)</f>
        <v>0.02</v>
      </c>
      <c r="K20" s="15">
        <f>IFERROR(__xludf.DUMMYFUNCTION("""COMPUTED_VALUE"""),0.12)</f>
        <v>0.12</v>
      </c>
    </row>
    <row r="21" ht="15.75" customHeight="1">
      <c r="A21" s="14" t="str">
        <f>IFERROR(__xludf.DUMMYFUNCTION("""COMPUTED_VALUE"""),"https://clutch.co/agencies/ppc/uk/england")</f>
        <v>https://clutch.co/agencies/ppc/uk/england</v>
      </c>
      <c r="B21" s="15" t="str">
        <f>IFERROR(__xludf.DUMMYFUNCTION("""COMPUTED_VALUE"""),"Top PPC Agencies in England - Jul 2026 Rankings \| Clutch.co")</f>
        <v>Top PPC Agencies in England - Jul 2026 Rankings \| Clutch.co</v>
      </c>
      <c r="C21" s="14" t="str">
        <f>IFERROR(__xludf.DUMMYFUNCTION("""COMPUTED_VALUE"""),"clutch.co")</f>
        <v>clutch.co</v>
      </c>
      <c r="D21" s="15" t="str">
        <f>IFERROR(__xludf.DUMMYFUNCTION("""COMPUTED_VALUE"""),"CATEGORY_PAGE")</f>
        <v>CATEGORY_PAGE</v>
      </c>
      <c r="E21" s="15" t="str">
        <f>IFERROR(__xludf.DUMMYFUNCTION("""COMPUTED_VALUE"""),"CORPORATE")</f>
        <v>CORPORATE</v>
      </c>
      <c r="F21" s="15" t="str">
        <f>IFERROR(__xludf.DUMMYFUNCTION("""COMPUTED_VALUE"""),"Category Page")</f>
        <v>Category Page</v>
      </c>
      <c r="G21" s="15" t="b">
        <f>IFERROR(__xludf.DUMMYFUNCTION("""COMPUTED_VALUE"""),FALSE)</f>
        <v>0</v>
      </c>
      <c r="H21" s="15" t="str">
        <f>IFERROR(__xludf.DUMMYFUNCTION("""COMPUTED_VALUE"""),"Launch Online, M3.agency, ROAST, Soap Media, GA Agency, The SEO Works, Huge, Ninja Promo, Momentum, Propeller, Found")</f>
        <v>Launch Online, M3.agency, ROAST, Soap Media, GA Agency, The SEO Works, Huge, Ninja Promo, Momentum, Propeller, Found</v>
      </c>
      <c r="I21" s="15">
        <f>IFERROR(__xludf.DUMMYFUNCTION("""COMPUTED_VALUE"""),23.0)</f>
        <v>23</v>
      </c>
      <c r="J21" s="15">
        <f>IFERROR(__xludf.DUMMYFUNCTION("""COMPUTED_VALUE"""),0.02)</f>
        <v>0.02</v>
      </c>
      <c r="K21" s="15">
        <f>IFERROR(__xludf.DUMMYFUNCTION("""COMPUTED_VALUE"""),0.17)</f>
        <v>0.17</v>
      </c>
    </row>
    <row r="22" ht="15.75" customHeight="1">
      <c r="A22" s="14" t="str">
        <f>IFERROR(__xludf.DUMMYFUNCTION("""COMPUTED_VALUE"""),"https://www.sortlist.co.uk/s/performance-marketing/united-kingdom-gb")</f>
        <v>https://www.sortlist.co.uk/s/performance-marketing/united-kingdom-gb</v>
      </c>
      <c r="B22" s="15" t="str">
        <f>IFERROR(__xludf.DUMMYFUNCTION("""COMPUTED_VALUE"""),"The 10 Best Performance Marketing Agencies in The United Kingdom - 2026 Reviews")</f>
        <v>The 10 Best Performance Marketing Agencies in The United Kingdom - 2026 Reviews</v>
      </c>
      <c r="C22" s="14" t="str">
        <f>IFERROR(__xludf.DUMMYFUNCTION("""COMPUTED_VALUE"""),"sortlist.co.uk")</f>
        <v>sortlist.co.uk</v>
      </c>
      <c r="D22" s="15" t="str">
        <f>IFERROR(__xludf.DUMMYFUNCTION("""COMPUTED_VALUE"""),"CATEGORY_PAGE")</f>
        <v>CATEGORY_PAGE</v>
      </c>
      <c r="E22" s="15" t="str">
        <f>IFERROR(__xludf.DUMMYFUNCTION("""COMPUTED_VALUE"""),"REFERENCE")</f>
        <v>REFERENCE</v>
      </c>
      <c r="F22" s="15" t="str">
        <f>IFERROR(__xludf.DUMMYFUNCTION("""COMPUTED_VALUE"""),"Category Page")</f>
        <v>Category Page</v>
      </c>
      <c r="G22" s="15" t="b">
        <f>IFERROR(__xludf.DUMMYFUNCTION("""COMPUTED_VALUE"""),FALSE)</f>
        <v>0</v>
      </c>
      <c r="H22" s="15" t="str">
        <f>IFERROR(__xludf.DUMMYFUNCTION("""COMPUTED_VALUE"""),"Momentum, M3.agency, Found, McKinsey &amp; Company, Push")</f>
        <v>Momentum, M3.agency, Found, McKinsey &amp; Company, Push</v>
      </c>
      <c r="I22" s="15">
        <f>IFERROR(__xludf.DUMMYFUNCTION("""COMPUTED_VALUE"""),23.0)</f>
        <v>23</v>
      </c>
      <c r="J22" s="15">
        <f>IFERROR(__xludf.DUMMYFUNCTION("""COMPUTED_VALUE"""),0.02)</f>
        <v>0.02</v>
      </c>
      <c r="K22" s="15">
        <f>IFERROR(__xludf.DUMMYFUNCTION("""COMPUTED_VALUE"""),0.13)</f>
        <v>0.13</v>
      </c>
    </row>
    <row r="23" ht="15.75" customHeight="1">
      <c r="A23" s="14" t="str">
        <f>IFERROR(__xludf.DUMMYFUNCTION("""COMPUTED_VALUE"""),"https://clutch.co/agencies/social-media-marketing/uk")</f>
        <v>https://clutch.co/agencies/social-media-marketing/uk</v>
      </c>
      <c r="B23" s="15" t="str">
        <f>IFERROR(__xludf.DUMMYFUNCTION("""COMPUTED_VALUE"""),"Top Social Media Marketing Agencies in the United Kingdom - Jul 2026 Rankings \| Clutch.co")</f>
        <v>Top Social Media Marketing Agencies in the United Kingdom - Jul 2026 Rankings \| Clutch.co</v>
      </c>
      <c r="C23" s="14" t="str">
        <f>IFERROR(__xludf.DUMMYFUNCTION("""COMPUTED_VALUE"""),"clutch.co")</f>
        <v>clutch.co</v>
      </c>
      <c r="D23" s="15" t="str">
        <f>IFERROR(__xludf.DUMMYFUNCTION("""COMPUTED_VALUE"""),"CATEGORY_PAGE")</f>
        <v>CATEGORY_PAGE</v>
      </c>
      <c r="E23" s="15" t="str">
        <f>IFERROR(__xludf.DUMMYFUNCTION("""COMPUTED_VALUE"""),"CORPORATE")</f>
        <v>CORPORATE</v>
      </c>
      <c r="F23" s="15" t="str">
        <f>IFERROR(__xludf.DUMMYFUNCTION("""COMPUTED_VALUE"""),"Category Page")</f>
        <v>Category Page</v>
      </c>
      <c r="G23" s="15" t="b">
        <f>IFERROR(__xludf.DUMMYFUNCTION("""COMPUTED_VALUE"""),FALSE)</f>
        <v>0</v>
      </c>
      <c r="H23" s="15" t="str">
        <f>IFERROR(__xludf.DUMMYFUNCTION("""COMPUTED_VALUE"""),"Ninja Promo, ROAST, Favoured, Soap Media, Impression, Found, Momentum, M3.agency, Propeller")</f>
        <v>Ninja Promo, ROAST, Favoured, Soap Media, Impression, Found, Momentum, M3.agency, Propeller</v>
      </c>
      <c r="I23" s="15">
        <f>IFERROR(__xludf.DUMMYFUNCTION("""COMPUTED_VALUE"""),22.0)</f>
        <v>22</v>
      </c>
      <c r="J23" s="15">
        <f>IFERROR(__xludf.DUMMYFUNCTION("""COMPUTED_VALUE"""),0.02)</f>
        <v>0.02</v>
      </c>
      <c r="K23" s="15">
        <f>IFERROR(__xludf.DUMMYFUNCTION("""COMPUTED_VALUE"""),0.68)</f>
        <v>0.68</v>
      </c>
    </row>
    <row r="24" ht="15.75" customHeight="1">
      <c r="A24" s="14" t="str">
        <f>IFERROR(__xludf.DUMMYFUNCTION("""COMPUTED_VALUE"""),"https://www.goodfirms.co/directory/country/top-digital-marketing-companies/gb")</f>
        <v>https://www.goodfirms.co/directory/country/top-digital-marketing-companies/gb</v>
      </c>
      <c r="B24" s="15" t="str">
        <f>IFERROR(__xludf.DUMMYFUNCTION("""COMPUTED_VALUE"""),"Top Digital Marketing Agencies in UK - 2026 Reviews | Goodfirms")</f>
        <v>Top Digital Marketing Agencies in UK - 2026 Reviews | Goodfirms</v>
      </c>
      <c r="C24" s="14" t="str">
        <f>IFERROR(__xludf.DUMMYFUNCTION("""COMPUTED_VALUE"""),"goodfirms.co")</f>
        <v>goodfirms.co</v>
      </c>
      <c r="D24" s="15" t="str">
        <f>IFERROR(__xludf.DUMMYFUNCTION("""COMPUTED_VALUE"""),"CATEGORY_PAGE")</f>
        <v>CATEGORY_PAGE</v>
      </c>
      <c r="E24" s="15" t="str">
        <f>IFERROR(__xludf.DUMMYFUNCTION("""COMPUTED_VALUE"""),"UGC")</f>
        <v>UGC</v>
      </c>
      <c r="F24" s="15" t="str">
        <f>IFERROR(__xludf.DUMMYFUNCTION("""COMPUTED_VALUE"""),"Category Page")</f>
        <v>Category Page</v>
      </c>
      <c r="G24" s="15" t="b">
        <f>IFERROR(__xludf.DUMMYFUNCTION("""COMPUTED_VALUE"""),FALSE)</f>
        <v>0</v>
      </c>
      <c r="H24" s="15" t="str">
        <f>IFERROR(__xludf.DUMMYFUNCTION("""COMPUTED_VALUE"""),"WebFX, The SEO Works, Bird Marketing, Impression, Push, Found")</f>
        <v>WebFX, The SEO Works, Bird Marketing, Impression, Push, Found</v>
      </c>
      <c r="I24" s="15">
        <f>IFERROR(__xludf.DUMMYFUNCTION("""COMPUTED_VALUE"""),22.0)</f>
        <v>22</v>
      </c>
      <c r="J24" s="15">
        <f>IFERROR(__xludf.DUMMYFUNCTION("""COMPUTED_VALUE"""),0.02)</f>
        <v>0.02</v>
      </c>
      <c r="K24" s="15">
        <f>IFERROR(__xludf.DUMMYFUNCTION("""COMPUTED_VALUE"""),0.09)</f>
        <v>0.09</v>
      </c>
    </row>
    <row r="25" ht="15.75" customHeight="1">
      <c r="A25" s="14" t="str">
        <f>IFERROR(__xludf.DUMMYFUNCTION("""COMPUTED_VALUE"""),"https://slashdot.org/software/incrementality-testing/in-uk/")</f>
        <v>https://slashdot.org/software/incrementality-testing/in-uk/</v>
      </c>
      <c r="B25" s="15" t="str">
        <f>IFERROR(__xludf.DUMMYFUNCTION("""COMPUTED_VALUE"""),"Top Incrementality Testing Tools in the UK in 2026")</f>
        <v>Top Incrementality Testing Tools in the UK in 2026</v>
      </c>
      <c r="C25" s="14" t="str">
        <f>IFERROR(__xludf.DUMMYFUNCTION("""COMPUTED_VALUE"""),"slashdot.org")</f>
        <v>slashdot.org</v>
      </c>
      <c r="D25" s="15" t="str">
        <f>IFERROR(__xludf.DUMMYFUNCTION("""COMPUTED_VALUE"""),"CATEGORY_PAGE")</f>
        <v>CATEGORY_PAGE</v>
      </c>
      <c r="E25" s="15" t="str">
        <f>IFERROR(__xludf.DUMMYFUNCTION("""COMPUTED_VALUE"""),"EDITORIAL")</f>
        <v>EDITORIAL</v>
      </c>
      <c r="F25" s="15" t="str">
        <f>IFERROR(__xludf.DUMMYFUNCTION("""COMPUTED_VALUE"""),"Category Page")</f>
        <v>Category Page</v>
      </c>
      <c r="G25" s="15" t="b">
        <f>IFERROR(__xludf.DUMMYFUNCTION("""COMPUTED_VALUE"""),FALSE)</f>
        <v>0</v>
      </c>
      <c r="H25" s="15" t="str">
        <f>IFERROR(__xludf.DUMMYFUNCTION("""COMPUTED_VALUE"""),"Measured, Sellforte, Rockerbox, Recast, Disrupt Marketing, Haus, Analytic Partners")</f>
        <v>Measured, Sellforte, Rockerbox, Recast, Disrupt Marketing, Haus, Analytic Partners</v>
      </c>
      <c r="I25" s="15">
        <f>IFERROR(__xludf.DUMMYFUNCTION("""COMPUTED_VALUE"""),21.0)</f>
        <v>21</v>
      </c>
      <c r="J25" s="15">
        <f>IFERROR(__xludf.DUMMYFUNCTION("""COMPUTED_VALUE"""),0.02)</f>
        <v>0.02</v>
      </c>
      <c r="K25" s="15">
        <f>IFERROR(__xludf.DUMMYFUNCTION("""COMPUTED_VALUE"""),1.19)</f>
        <v>1.19</v>
      </c>
    </row>
    <row r="26" ht="15.75" customHeight="1">
      <c r="A26" s="14" t="str">
        <f>IFERROR(__xludf.DUMMYFUNCTION("""COMPUTED_VALUE"""),"https://www.sortlist.co.uk/s/display-advertising/england-england-gb")</f>
        <v>https://www.sortlist.co.uk/s/display-advertising/england-england-gb</v>
      </c>
      <c r="B26" s="15" t="str">
        <f>IFERROR(__xludf.DUMMYFUNCTION("""COMPUTED_VALUE"""),"The 10 Best Display Advertising Agencies in England - 2026 Reviews")</f>
        <v>The 10 Best Display Advertising Agencies in England - 2026 Reviews</v>
      </c>
      <c r="C26" s="14" t="str">
        <f>IFERROR(__xludf.DUMMYFUNCTION("""COMPUTED_VALUE"""),"sortlist.co.uk")</f>
        <v>sortlist.co.uk</v>
      </c>
      <c r="D26" s="15" t="str">
        <f>IFERROR(__xludf.DUMMYFUNCTION("""COMPUTED_VALUE"""),"CATEGORY_PAGE")</f>
        <v>CATEGORY_PAGE</v>
      </c>
      <c r="E26" s="15" t="str">
        <f>IFERROR(__xludf.DUMMYFUNCTION("""COMPUTED_VALUE"""),"REFERENCE")</f>
        <v>REFERENCE</v>
      </c>
      <c r="F26" s="15" t="str">
        <f>IFERROR(__xludf.DUMMYFUNCTION("""COMPUTED_VALUE"""),"Category Page")</f>
        <v>Category Page</v>
      </c>
      <c r="G26" s="15" t="b">
        <f>IFERROR(__xludf.DUMMYFUNCTION("""COMPUTED_VALUE"""),FALSE)</f>
        <v>0</v>
      </c>
      <c r="H26" s="15" t="str">
        <f>IFERROR(__xludf.DUMMYFUNCTION("""COMPUTED_VALUE"""),"Found, Momentum, M3.agency, Ninja Promo")</f>
        <v>Found, Momentum, M3.agency, Ninja Promo</v>
      </c>
      <c r="I26" s="15">
        <f>IFERROR(__xludf.DUMMYFUNCTION("""COMPUTED_VALUE"""),20.0)</f>
        <v>20</v>
      </c>
      <c r="J26" s="15">
        <f>IFERROR(__xludf.DUMMYFUNCTION("""COMPUTED_VALUE"""),0.02)</f>
        <v>0.02</v>
      </c>
      <c r="K26" s="15">
        <f>IFERROR(__xludf.DUMMYFUNCTION("""COMPUTED_VALUE"""),0.2)</f>
        <v>0.2</v>
      </c>
    </row>
    <row r="27" ht="15.75" customHeight="1">
      <c r="A27" s="14" t="str">
        <f>IFERROR(__xludf.DUMMYFUNCTION("""COMPUTED_VALUE"""),"https://www.sortlist.co.uk/s/performance-marketing/london-england-gb")</f>
        <v>https://www.sortlist.co.uk/s/performance-marketing/london-england-gb</v>
      </c>
      <c r="B27" s="15" t="str">
        <f>IFERROR(__xludf.DUMMYFUNCTION("""COMPUTED_VALUE"""),"The 10 Best Performance Marketing Agencies in London - 2026 Reviews")</f>
        <v>The 10 Best Performance Marketing Agencies in London - 2026 Reviews</v>
      </c>
      <c r="C27" s="14" t="str">
        <f>IFERROR(__xludf.DUMMYFUNCTION("""COMPUTED_VALUE"""),"sortlist.co.uk")</f>
        <v>sortlist.co.uk</v>
      </c>
      <c r="D27" s="15" t="str">
        <f>IFERROR(__xludf.DUMMYFUNCTION("""COMPUTED_VALUE"""),"CATEGORY_PAGE")</f>
        <v>CATEGORY_PAGE</v>
      </c>
      <c r="E27" s="15" t="str">
        <f>IFERROR(__xludf.DUMMYFUNCTION("""COMPUTED_VALUE"""),"REFERENCE")</f>
        <v>REFERENCE</v>
      </c>
      <c r="F27" s="15" t="str">
        <f>IFERROR(__xludf.DUMMYFUNCTION("""COMPUTED_VALUE"""),"Category Page")</f>
        <v>Category Page</v>
      </c>
      <c r="G27" s="15" t="b">
        <f>IFERROR(__xludf.DUMMYFUNCTION("""COMPUTED_VALUE"""),FALSE)</f>
        <v>0</v>
      </c>
      <c r="H27" s="15" t="str">
        <f>IFERROR(__xludf.DUMMYFUNCTION("""COMPUTED_VALUE"""),"Push, Triple Whale, Northbeam, Whitehat, Found, Momentum, M3.agency")</f>
        <v>Push, Triple Whale, Northbeam, Whitehat, Found, Momentum, M3.agency</v>
      </c>
      <c r="I27" s="15">
        <f>IFERROR(__xludf.DUMMYFUNCTION("""COMPUTED_VALUE"""),19.0)</f>
        <v>19</v>
      </c>
      <c r="J27" s="15">
        <f>IFERROR(__xludf.DUMMYFUNCTION("""COMPUTED_VALUE"""),0.02)</f>
        <v>0.02</v>
      </c>
      <c r="K27" s="15">
        <f>IFERROR(__xludf.DUMMYFUNCTION("""COMPUTED_VALUE"""),0.11)</f>
        <v>0.11</v>
      </c>
    </row>
    <row r="28" ht="15.75" customHeight="1">
      <c r="A28" s="14" t="str">
        <f>IFERROR(__xludf.DUMMYFUNCTION("""COMPUTED_VALUE"""),"https://clutch.co/consulting/ai/uk")</f>
        <v>https://clutch.co/consulting/ai/uk</v>
      </c>
      <c r="B28" s="15" t="str">
        <f>IFERROR(__xludf.DUMMYFUNCTION("""COMPUTED_VALUE"""),"Top AI Consultants in the United Kingdom - Jul 2026 Rankings \| Clutch.co")</f>
        <v>Top AI Consultants in the United Kingdom - Jul 2026 Rankings \| Clutch.co</v>
      </c>
      <c r="C28" s="14" t="str">
        <f>IFERROR(__xludf.DUMMYFUNCTION("""COMPUTED_VALUE"""),"clutch.co")</f>
        <v>clutch.co</v>
      </c>
      <c r="D28" s="15" t="str">
        <f>IFERROR(__xludf.DUMMYFUNCTION("""COMPUTED_VALUE"""),"CATEGORY_PAGE")</f>
        <v>CATEGORY_PAGE</v>
      </c>
      <c r="E28" s="15" t="str">
        <f>IFERROR(__xludf.DUMMYFUNCTION("""COMPUTED_VALUE"""),"CORPORATE")</f>
        <v>CORPORATE</v>
      </c>
      <c r="F28" s="15" t="str">
        <f>IFERROR(__xludf.DUMMYFUNCTION("""COMPUTED_VALUE"""),"Category Page")</f>
        <v>Category Page</v>
      </c>
      <c r="G28" s="15" t="b">
        <f>IFERROR(__xludf.DUMMYFUNCTION("""COMPUTED_VALUE"""),FALSE)</f>
        <v>0</v>
      </c>
      <c r="H28" s="15" t="str">
        <f>IFERROR(__xludf.DUMMYFUNCTION("""COMPUTED_VALUE"""),"Found")</f>
        <v>Found</v>
      </c>
      <c r="I28" s="15">
        <f>IFERROR(__xludf.DUMMYFUNCTION("""COMPUTED_VALUE"""),18.0)</f>
        <v>18</v>
      </c>
      <c r="J28" s="15">
        <f>IFERROR(__xludf.DUMMYFUNCTION("""COMPUTED_VALUE"""),0.02)</f>
        <v>0.02</v>
      </c>
      <c r="K28" s="15">
        <f>IFERROR(__xludf.DUMMYFUNCTION("""COMPUTED_VALUE"""),0.06)</f>
        <v>0.06</v>
      </c>
    </row>
    <row r="29" ht="15.75" customHeight="1">
      <c r="A29" s="14" t="str">
        <f>IFERROR(__xludf.DUMMYFUNCTION("""COMPUTED_VALUE"""),"https://www.designrush.com/agency/digital-marketing/uk")</f>
        <v>https://www.designrush.com/agency/digital-marketing/uk</v>
      </c>
      <c r="B29" s="15" t="str">
        <f>IFERROR(__xludf.DUMMYFUNCTION("""COMPUTED_VALUE"""),"Top Digital Marketing Agencies in the United Kingdom | 2026")</f>
        <v>Top Digital Marketing Agencies in the United Kingdom | 2026</v>
      </c>
      <c r="C29" s="14" t="str">
        <f>IFERROR(__xludf.DUMMYFUNCTION("""COMPUTED_VALUE"""),"designrush.com")</f>
        <v>designrush.com</v>
      </c>
      <c r="D29" s="15" t="str">
        <f>IFERROR(__xludf.DUMMYFUNCTION("""COMPUTED_VALUE"""),"CATEGORY_PAGE")</f>
        <v>CATEGORY_PAGE</v>
      </c>
      <c r="E29" s="15" t="str">
        <f>IFERROR(__xludf.DUMMYFUNCTION("""COMPUTED_VALUE"""),"CORPORATE")</f>
        <v>CORPORATE</v>
      </c>
      <c r="F29" s="15" t="str">
        <f>IFERROR(__xludf.DUMMYFUNCTION("""COMPUTED_VALUE"""),"Category Page")</f>
        <v>Category Page</v>
      </c>
      <c r="G29" s="15" t="b">
        <f>IFERROR(__xludf.DUMMYFUNCTION("""COMPUTED_VALUE"""),FALSE)</f>
        <v>0</v>
      </c>
      <c r="H29" s="15" t="str">
        <f>IFERROR(__xludf.DUMMYFUNCTION("""COMPUTED_VALUE"""),"Bird Marketing, Genie Crawl, Nielsen, Favoured, WebFX, Directive Consulting, Momentum")</f>
        <v>Bird Marketing, Genie Crawl, Nielsen, Favoured, WebFX, Directive Consulting, Momentum</v>
      </c>
      <c r="I29" s="15">
        <f>IFERROR(__xludf.DUMMYFUNCTION("""COMPUTED_VALUE"""),18.0)</f>
        <v>18</v>
      </c>
      <c r="J29" s="15">
        <f>IFERROR(__xludf.DUMMYFUNCTION("""COMPUTED_VALUE"""),0.02)</f>
        <v>0.02</v>
      </c>
      <c r="K29" s="15">
        <f>IFERROR(__xludf.DUMMYFUNCTION("""COMPUTED_VALUE"""),0.0)</f>
        <v>0</v>
      </c>
    </row>
    <row r="30" ht="15.75" customHeight="1">
      <c r="A30" s="14" t="str">
        <f>IFERROR(__xludf.DUMMYFUNCTION("""COMPUTED_VALUE"""),"https://clutch.co/agencies/ppc/uk")</f>
        <v>https://clutch.co/agencies/ppc/uk</v>
      </c>
      <c r="B30" s="15" t="str">
        <f>IFERROR(__xludf.DUMMYFUNCTION("""COMPUTED_VALUE"""),"Top PPC Agencies in the United Kingdom - Jul 2026 Rankings \| Clutch.co")</f>
        <v>Top PPC Agencies in the United Kingdom - Jul 2026 Rankings \| Clutch.co</v>
      </c>
      <c r="C30" s="14" t="str">
        <f>IFERROR(__xludf.DUMMYFUNCTION("""COMPUTED_VALUE"""),"clutch.co")</f>
        <v>clutch.co</v>
      </c>
      <c r="D30" s="15" t="str">
        <f>IFERROR(__xludf.DUMMYFUNCTION("""COMPUTED_VALUE"""),"CATEGORY_PAGE")</f>
        <v>CATEGORY_PAGE</v>
      </c>
      <c r="E30" s="15" t="str">
        <f>IFERROR(__xludf.DUMMYFUNCTION("""COMPUTED_VALUE"""),"CORPORATE")</f>
        <v>CORPORATE</v>
      </c>
      <c r="F30" s="15" t="str">
        <f>IFERROR(__xludf.DUMMYFUNCTION("""COMPUTED_VALUE"""),"Category Page")</f>
        <v>Category Page</v>
      </c>
      <c r="G30" s="15" t="b">
        <f>IFERROR(__xludf.DUMMYFUNCTION("""COMPUTED_VALUE"""),FALSE)</f>
        <v>0</v>
      </c>
      <c r="H30" s="15" t="str">
        <f>IFERROR(__xludf.DUMMYFUNCTION("""COMPUTED_VALUE"""),"Launch Online, M3.agency, Ninja Promo, ROAST, Soap Media, GA Agency, The SEO Works, Propeller, Impression, ClickSlice, Found, Bind Media, Passion Digital, PPC Geeks, Gripped")</f>
        <v>Launch Online, M3.agency, Ninja Promo, ROAST, Soap Media, GA Agency, The SEO Works, Propeller, Impression, ClickSlice, Found, Bind Media, Passion Digital, PPC Geeks, Gripped</v>
      </c>
      <c r="I30" s="15">
        <f>IFERROR(__xludf.DUMMYFUNCTION("""COMPUTED_VALUE"""),16.0)</f>
        <v>16</v>
      </c>
      <c r="J30" s="15">
        <f>IFERROR(__xludf.DUMMYFUNCTION("""COMPUTED_VALUE"""),0.02)</f>
        <v>0.02</v>
      </c>
      <c r="K30" s="15">
        <f>IFERROR(__xludf.DUMMYFUNCTION("""COMPUTED_VALUE"""),0.38)</f>
        <v>0.38</v>
      </c>
    </row>
    <row r="31" ht="15.75" customHeight="1">
      <c r="A31" s="14" t="str">
        <f>IFERROR(__xludf.DUMMYFUNCTION("""COMPUTED_VALUE"""),"https://www.impressiondigital.com/paid-media/")</f>
        <v>https://www.impressiondigital.com/paid-media/</v>
      </c>
      <c r="B31" s="15" t="str">
        <f>IFERROR(__xludf.DUMMYFUNCTION("""COMPUTED_VALUE"""),"Paid Media Agency | London &amp;amp; Nottingham | Impression")</f>
        <v>Paid Media Agency | London &amp;amp; Nottingham | Impression</v>
      </c>
      <c r="C31" s="14" t="str">
        <f>IFERROR(__xludf.DUMMYFUNCTION("""COMPUTED_VALUE"""),"impressiondigital.com")</f>
        <v>impressiondigital.com</v>
      </c>
      <c r="D31" s="15" t="str">
        <f>IFERROR(__xludf.DUMMYFUNCTION("""COMPUTED_VALUE"""),"CATEGORY_PAGE")</f>
        <v>CATEGORY_PAGE</v>
      </c>
      <c r="E31" s="15" t="str">
        <f>IFERROR(__xludf.DUMMYFUNCTION("""COMPUTED_VALUE"""),"COMPETITOR")</f>
        <v>COMPETITOR</v>
      </c>
      <c r="F31" s="15" t="str">
        <f>IFERROR(__xludf.DUMMYFUNCTION("""COMPUTED_VALUE"""),"Category Page")</f>
        <v>Category Page</v>
      </c>
      <c r="G31" s="15" t="b">
        <f>IFERROR(__xludf.DUMMYFUNCTION("""COMPUTED_VALUE"""),FALSE)</f>
        <v>0</v>
      </c>
      <c r="H31" s="15" t="str">
        <f>IFERROR(__xludf.DUMMYFUNCTION("""COMPUTED_VALUE"""),"Impression")</f>
        <v>Impression</v>
      </c>
      <c r="I31" s="15">
        <f>IFERROR(__xludf.DUMMYFUNCTION("""COMPUTED_VALUE"""),16.0)</f>
        <v>16</v>
      </c>
      <c r="J31" s="15">
        <f>IFERROR(__xludf.DUMMYFUNCTION("""COMPUTED_VALUE"""),0.02)</f>
        <v>0.02</v>
      </c>
      <c r="K31" s="15">
        <f>IFERROR(__xludf.DUMMYFUNCTION("""COMPUTED_VALUE"""),1.13)</f>
        <v>1.13</v>
      </c>
    </row>
    <row r="32" ht="15.75" customHeight="1">
      <c r="A32" s="14" t="str">
        <f>IFERROR(__xludf.DUMMYFUNCTION("""COMPUTED_VALUE"""),"https://www.sortlist.co.uk/s/creative/united-kingdom-gb")</f>
        <v>https://www.sortlist.co.uk/s/creative/united-kingdom-gb</v>
      </c>
      <c r="B32" s="15" t="str">
        <f>IFERROR(__xludf.DUMMYFUNCTION("""COMPUTED_VALUE"""),"The 10 Best Creative Agencies in The United Kingdom - 2026 Reviews")</f>
        <v>The 10 Best Creative Agencies in The United Kingdom - 2026 Reviews</v>
      </c>
      <c r="C32" s="14" t="str">
        <f>IFERROR(__xludf.DUMMYFUNCTION("""COMPUTED_VALUE"""),"sortlist.co.uk")</f>
        <v>sortlist.co.uk</v>
      </c>
      <c r="D32" s="15" t="str">
        <f>IFERROR(__xludf.DUMMYFUNCTION("""COMPUTED_VALUE"""),"CATEGORY_PAGE")</f>
        <v>CATEGORY_PAGE</v>
      </c>
      <c r="E32" s="15" t="str">
        <f>IFERROR(__xludf.DUMMYFUNCTION("""COMPUTED_VALUE"""),"REFERENCE")</f>
        <v>REFERENCE</v>
      </c>
      <c r="F32" s="15" t="str">
        <f>IFERROR(__xludf.DUMMYFUNCTION("""COMPUTED_VALUE"""),"Category Page")</f>
        <v>Category Page</v>
      </c>
      <c r="G32" s="15" t="b">
        <f>IFERROR(__xludf.DUMMYFUNCTION("""COMPUTED_VALUE"""),FALSE)</f>
        <v>0</v>
      </c>
      <c r="H32" s="15" t="str">
        <f>IFERROR(__xludf.DUMMYFUNCTION("""COMPUTED_VALUE"""),"Ninja Promo, Whitehat, Momentum")</f>
        <v>Ninja Promo, Whitehat, Momentum</v>
      </c>
      <c r="I32" s="15">
        <f>IFERROR(__xludf.DUMMYFUNCTION("""COMPUTED_VALUE"""),16.0)</f>
        <v>16</v>
      </c>
      <c r="J32" s="15">
        <f>IFERROR(__xludf.DUMMYFUNCTION("""COMPUTED_VALUE"""),0.02)</f>
        <v>0.02</v>
      </c>
      <c r="K32" s="15">
        <f>IFERROR(__xludf.DUMMYFUNCTION("""COMPUTED_VALUE"""),0.13)</f>
        <v>0.13</v>
      </c>
    </row>
    <row r="33" ht="15.75" customHeight="1">
      <c r="A33" s="14" t="str">
        <f>IFERROR(__xludf.DUMMYFUNCTION("""COMPUTED_VALUE"""),"https://www.sortlist.co.uk/s/paid-media/united-kingdom-gb")</f>
        <v>https://www.sortlist.co.uk/s/paid-media/united-kingdom-gb</v>
      </c>
      <c r="B33" s="15" t="str">
        <f>IFERROR(__xludf.DUMMYFUNCTION("""COMPUTED_VALUE"""),"The 10 Best Paid Media Agencies in The United Kingdom - 2026 Reviews")</f>
        <v>The 10 Best Paid Media Agencies in The United Kingdom - 2026 Reviews</v>
      </c>
      <c r="C33" s="14" t="str">
        <f>IFERROR(__xludf.DUMMYFUNCTION("""COMPUTED_VALUE"""),"sortlist.co.uk")</f>
        <v>sortlist.co.uk</v>
      </c>
      <c r="D33" s="15" t="str">
        <f>IFERROR(__xludf.DUMMYFUNCTION("""COMPUTED_VALUE"""),"CATEGORY_PAGE")</f>
        <v>CATEGORY_PAGE</v>
      </c>
      <c r="E33" s="15" t="str">
        <f>IFERROR(__xludf.DUMMYFUNCTION("""COMPUTED_VALUE"""),"REFERENCE")</f>
        <v>REFERENCE</v>
      </c>
      <c r="F33" s="15" t="str">
        <f>IFERROR(__xludf.DUMMYFUNCTION("""COMPUTED_VALUE"""),"Category Page")</f>
        <v>Category Page</v>
      </c>
      <c r="G33" s="15" t="b">
        <f>IFERROR(__xludf.DUMMYFUNCTION("""COMPUTED_VALUE"""),FALSE)</f>
        <v>0</v>
      </c>
      <c r="H33" s="15" t="str">
        <f>IFERROR(__xludf.DUMMYFUNCTION("""COMPUTED_VALUE"""),"Push, Triple Whale, Northbeam, Found, Momentum, M3.agency, McKinsey &amp; Company, Impression")</f>
        <v>Push, Triple Whale, Northbeam, Found, Momentum, M3.agency, McKinsey &amp; Company, Impression</v>
      </c>
      <c r="I33" s="15">
        <f>IFERROR(__xludf.DUMMYFUNCTION("""COMPUTED_VALUE"""),16.0)</f>
        <v>16</v>
      </c>
      <c r="J33" s="15">
        <f>IFERROR(__xludf.DUMMYFUNCTION("""COMPUTED_VALUE"""),0.02)</f>
        <v>0.02</v>
      </c>
      <c r="K33" s="15">
        <f>IFERROR(__xludf.DUMMYFUNCTION("""COMPUTED_VALUE"""),0.0)</f>
        <v>0</v>
      </c>
    </row>
    <row r="34" ht="15.75" customHeight="1">
      <c r="A34" s="14" t="str">
        <f>IFERROR(__xludf.DUMMYFUNCTION("""COMPUTED_VALUE"""),"https://www.sortlist.co.uk/s/attribution-marketing/london-england-gb")</f>
        <v>https://www.sortlist.co.uk/s/attribution-marketing/london-england-gb</v>
      </c>
      <c r="B34" s="15" t="str">
        <f>IFERROR(__xludf.DUMMYFUNCTION("""COMPUTED_VALUE"""),"The 10 Best Attribution Marketing Agencies in London - 2026 Reviews")</f>
        <v>The 10 Best Attribution Marketing Agencies in London - 2026 Reviews</v>
      </c>
      <c r="C34" s="14" t="str">
        <f>IFERROR(__xludf.DUMMYFUNCTION("""COMPUTED_VALUE"""),"sortlist.co.uk")</f>
        <v>sortlist.co.uk</v>
      </c>
      <c r="D34" s="15" t="str">
        <f>IFERROR(__xludf.DUMMYFUNCTION("""COMPUTED_VALUE"""),"CATEGORY_PAGE")</f>
        <v>CATEGORY_PAGE</v>
      </c>
      <c r="E34" s="15" t="str">
        <f>IFERROR(__xludf.DUMMYFUNCTION("""COMPUTED_VALUE"""),"REFERENCE")</f>
        <v>REFERENCE</v>
      </c>
      <c r="F34" s="15" t="str">
        <f>IFERROR(__xludf.DUMMYFUNCTION("""COMPUTED_VALUE"""),"Category Page")</f>
        <v>Category Page</v>
      </c>
      <c r="G34" s="15" t="b">
        <f>IFERROR(__xludf.DUMMYFUNCTION("""COMPUTED_VALUE"""),FALSE)</f>
        <v>0</v>
      </c>
      <c r="H34" s="15" t="str">
        <f>IFERROR(__xludf.DUMMYFUNCTION("""COMPUTED_VALUE"""),"GA Agency")</f>
        <v>GA Agency</v>
      </c>
      <c r="I34" s="15">
        <f>IFERROR(__xludf.DUMMYFUNCTION("""COMPUTED_VALUE"""),15.0)</f>
        <v>15</v>
      </c>
      <c r="J34" s="15">
        <f>IFERROR(__xludf.DUMMYFUNCTION("""COMPUTED_VALUE"""),0.01)</f>
        <v>0.01</v>
      </c>
      <c r="K34" s="15">
        <f>IFERROR(__xludf.DUMMYFUNCTION("""COMPUTED_VALUE"""),0.07)</f>
        <v>0.07</v>
      </c>
    </row>
    <row r="35" ht="15.75" customHeight="1">
      <c r="A35" s="14" t="str">
        <f>IFERROR(__xludf.DUMMYFUNCTION("""COMPUTED_VALUE"""),"https://www.sortlist.co.uk/s/display-advertising/london-england-gb")</f>
        <v>https://www.sortlist.co.uk/s/display-advertising/london-england-gb</v>
      </c>
      <c r="B35" s="15" t="str">
        <f>IFERROR(__xludf.DUMMYFUNCTION("""COMPUTED_VALUE"""),"The 10 Best Display Advertising Agencies in London - 2026 Reviews")</f>
        <v>The 10 Best Display Advertising Agencies in London - 2026 Reviews</v>
      </c>
      <c r="C35" s="14" t="str">
        <f>IFERROR(__xludf.DUMMYFUNCTION("""COMPUTED_VALUE"""),"sortlist.co.uk")</f>
        <v>sortlist.co.uk</v>
      </c>
      <c r="D35" s="15" t="str">
        <f>IFERROR(__xludf.DUMMYFUNCTION("""COMPUTED_VALUE"""),"CATEGORY_PAGE")</f>
        <v>CATEGORY_PAGE</v>
      </c>
      <c r="E35" s="15" t="str">
        <f>IFERROR(__xludf.DUMMYFUNCTION("""COMPUTED_VALUE"""),"REFERENCE")</f>
        <v>REFERENCE</v>
      </c>
      <c r="F35" s="15" t="str">
        <f>IFERROR(__xludf.DUMMYFUNCTION("""COMPUTED_VALUE"""),"Category Page")</f>
        <v>Category Page</v>
      </c>
      <c r="G35" s="15" t="b">
        <f>IFERROR(__xludf.DUMMYFUNCTION("""COMPUTED_VALUE"""),FALSE)</f>
        <v>0</v>
      </c>
      <c r="H35" s="15" t="str">
        <f>IFERROR(__xludf.DUMMYFUNCTION("""COMPUTED_VALUE"""),"Found, Ninja Promo, Momentum, M3.agency, Transmission")</f>
        <v>Found, Ninja Promo, Momentum, M3.agency, Transmission</v>
      </c>
      <c r="I35" s="15">
        <f>IFERROR(__xludf.DUMMYFUNCTION("""COMPUTED_VALUE"""),15.0)</f>
        <v>15</v>
      </c>
      <c r="J35" s="15">
        <f>IFERROR(__xludf.DUMMYFUNCTION("""COMPUTED_VALUE"""),0.01)</f>
        <v>0.01</v>
      </c>
      <c r="K35" s="15">
        <f>IFERROR(__xludf.DUMMYFUNCTION("""COMPUTED_VALUE"""),0.47)</f>
        <v>0.47</v>
      </c>
    </row>
    <row r="36" ht="15.75" customHeight="1">
      <c r="A36" s="14" t="str">
        <f>IFERROR(__xludf.DUMMYFUNCTION("""COMPUTED_VALUE"""),"https://www.sortlist.co.uk/social-media/united-kingdom-gb")</f>
        <v>https://www.sortlist.co.uk/social-media/united-kingdom-gb</v>
      </c>
      <c r="B36" s="15" t="str">
        <f>IFERROR(__xludf.DUMMYFUNCTION("""COMPUTED_VALUE"""),"The 10 Best Social Media Agencies in The United Kingdom - 2026 Reviews")</f>
        <v>The 10 Best Social Media Agencies in The United Kingdom - 2026 Reviews</v>
      </c>
      <c r="C36" s="14" t="str">
        <f>IFERROR(__xludf.DUMMYFUNCTION("""COMPUTED_VALUE"""),"sortlist.co.uk")</f>
        <v>sortlist.co.uk</v>
      </c>
      <c r="D36" s="15" t="str">
        <f>IFERROR(__xludf.DUMMYFUNCTION("""COMPUTED_VALUE"""),"CATEGORY_PAGE")</f>
        <v>CATEGORY_PAGE</v>
      </c>
      <c r="E36" s="15" t="str">
        <f>IFERROR(__xludf.DUMMYFUNCTION("""COMPUTED_VALUE"""),"REFERENCE")</f>
        <v>REFERENCE</v>
      </c>
      <c r="F36" s="15" t="str">
        <f>IFERROR(__xludf.DUMMYFUNCTION("""COMPUTED_VALUE"""),"Category Page")</f>
        <v>Category Page</v>
      </c>
      <c r="G36" s="15" t="b">
        <f>IFERROR(__xludf.DUMMYFUNCTION("""COMPUTED_VALUE"""),FALSE)</f>
        <v>0</v>
      </c>
      <c r="H36" s="15" t="str">
        <f>IFERROR(__xludf.DUMMYFUNCTION("""COMPUTED_VALUE"""),"Publicis Groupe, Found, Momentum, M3.agency")</f>
        <v>Publicis Groupe, Found, Momentum, M3.agency</v>
      </c>
      <c r="I36" s="15">
        <f>IFERROR(__xludf.DUMMYFUNCTION("""COMPUTED_VALUE"""),15.0)</f>
        <v>15</v>
      </c>
      <c r="J36" s="15">
        <f>IFERROR(__xludf.DUMMYFUNCTION("""COMPUTED_VALUE"""),0.01)</f>
        <v>0.01</v>
      </c>
      <c r="K36" s="15">
        <f>IFERROR(__xludf.DUMMYFUNCTION("""COMPUTED_VALUE"""),0.13)</f>
        <v>0.13</v>
      </c>
    </row>
    <row r="37" ht="15.75" customHeight="1">
      <c r="A37" s="14" t="str">
        <f>IFERROR(__xludf.DUMMYFUNCTION("""COMPUTED_VALUE"""),"https://www.sortlist.co.uk/web-analytics/united-kingdom-gb")</f>
        <v>https://www.sortlist.co.uk/web-analytics/united-kingdom-gb</v>
      </c>
      <c r="B37" s="15" t="str">
        <f>IFERROR(__xludf.DUMMYFUNCTION("""COMPUTED_VALUE"""),"The 10 Best Web Analytics Agencies in The United Kingdom - 2026 Reviews")</f>
        <v>The 10 Best Web Analytics Agencies in The United Kingdom - 2026 Reviews</v>
      </c>
      <c r="C37" s="14" t="str">
        <f>IFERROR(__xludf.DUMMYFUNCTION("""COMPUTED_VALUE"""),"sortlist.co.uk")</f>
        <v>sortlist.co.uk</v>
      </c>
      <c r="D37" s="15" t="str">
        <f>IFERROR(__xludf.DUMMYFUNCTION("""COMPUTED_VALUE"""),"CATEGORY_PAGE")</f>
        <v>CATEGORY_PAGE</v>
      </c>
      <c r="E37" s="15" t="str">
        <f>IFERROR(__xludf.DUMMYFUNCTION("""COMPUTED_VALUE"""),"REFERENCE")</f>
        <v>REFERENCE</v>
      </c>
      <c r="F37" s="15" t="str">
        <f>IFERROR(__xludf.DUMMYFUNCTION("""COMPUTED_VALUE"""),"Category Page")</f>
        <v>Category Page</v>
      </c>
      <c r="G37" s="15" t="b">
        <f>IFERROR(__xludf.DUMMYFUNCTION("""COMPUTED_VALUE"""),FALSE)</f>
        <v>0</v>
      </c>
      <c r="H37" s="15" t="str">
        <f>IFERROR(__xludf.DUMMYFUNCTION("""COMPUTED_VALUE"""),"Found, Whitehat")</f>
        <v>Found, Whitehat</v>
      </c>
      <c r="I37" s="15">
        <f>IFERROR(__xludf.DUMMYFUNCTION("""COMPUTED_VALUE"""),15.0)</f>
        <v>15</v>
      </c>
      <c r="J37" s="15">
        <f>IFERROR(__xludf.DUMMYFUNCTION("""COMPUTED_VALUE"""),0.01)</f>
        <v>0.01</v>
      </c>
      <c r="K37" s="15">
        <f>IFERROR(__xludf.DUMMYFUNCTION("""COMPUTED_VALUE"""),0.0)</f>
        <v>0</v>
      </c>
    </row>
    <row r="38" ht="15.75" customHeight="1">
      <c r="A38" s="14" t="str">
        <f>IFERROR(__xludf.DUMMYFUNCTION("""COMPUTED_VALUE"""),"https://clutch.co/consulting/ai/strategy/uk")</f>
        <v>https://clutch.co/consulting/ai/strategy/uk</v>
      </c>
      <c r="B38" s="15" t="str">
        <f>IFERROR(__xludf.DUMMYFUNCTION("""COMPUTED_VALUE"""),"Top AI Strategy Companies in the United Kingdom - Jul 2026 Rankings \| Clutch.co")</f>
        <v>Top AI Strategy Companies in the United Kingdom - Jul 2026 Rankings \| Clutch.co</v>
      </c>
      <c r="C38" s="14" t="str">
        <f>IFERROR(__xludf.DUMMYFUNCTION("""COMPUTED_VALUE"""),"clutch.co")</f>
        <v>clutch.co</v>
      </c>
      <c r="D38" s="15" t="str">
        <f>IFERROR(__xludf.DUMMYFUNCTION("""COMPUTED_VALUE"""),"CATEGORY_PAGE")</f>
        <v>CATEGORY_PAGE</v>
      </c>
      <c r="E38" s="15" t="str">
        <f>IFERROR(__xludf.DUMMYFUNCTION("""COMPUTED_VALUE"""),"CORPORATE")</f>
        <v>CORPORATE</v>
      </c>
      <c r="F38" s="15" t="str">
        <f>IFERROR(__xludf.DUMMYFUNCTION("""COMPUTED_VALUE"""),"Category Page")</f>
        <v>Category Page</v>
      </c>
      <c r="G38" s="15" t="b">
        <f>IFERROR(__xludf.DUMMYFUNCTION("""COMPUTED_VALUE"""),FALSE)</f>
        <v>0</v>
      </c>
      <c r="H38" s="15" t="str">
        <f>IFERROR(__xludf.DUMMYFUNCTION("""COMPUTED_VALUE"""),"Found, Impression")</f>
        <v>Found, Impression</v>
      </c>
      <c r="I38" s="15">
        <f>IFERROR(__xludf.DUMMYFUNCTION("""COMPUTED_VALUE"""),13.0)</f>
        <v>13</v>
      </c>
      <c r="J38" s="15">
        <f>IFERROR(__xludf.DUMMYFUNCTION("""COMPUTED_VALUE"""),0.01)</f>
        <v>0.01</v>
      </c>
      <c r="K38" s="15">
        <f>IFERROR(__xludf.DUMMYFUNCTION("""COMPUTED_VALUE"""),0.23)</f>
        <v>0.23</v>
      </c>
    </row>
    <row r="39" ht="15.75" customHeight="1">
      <c r="A39" s="14" t="str">
        <f>IFERROR(__xludf.DUMMYFUNCTION("""COMPUTED_VALUE"""),"https://superbcompanies.com/categories/creative-agencies-in-the-uk/")</f>
        <v>https://superbcompanies.com/categories/creative-agencies-in-the-uk/</v>
      </c>
      <c r="B39" s="15" t="str">
        <f>IFERROR(__xludf.DUMMYFUNCTION("""COMPUTED_VALUE"""),"Top 100 Creative Agencies in the United Kingdom - Jul 2026 | Ranking | SuperbCompanies")</f>
        <v>Top 100 Creative Agencies in the United Kingdom - Jul 2026 | Ranking | SuperbCompanies</v>
      </c>
      <c r="C39" s="14" t="str">
        <f>IFERROR(__xludf.DUMMYFUNCTION("""COMPUTED_VALUE"""),"superbcompanies.com")</f>
        <v>superbcompanies.com</v>
      </c>
      <c r="D39" s="15" t="str">
        <f>IFERROR(__xludf.DUMMYFUNCTION("""COMPUTED_VALUE"""),"CATEGORY_PAGE")</f>
        <v>CATEGORY_PAGE</v>
      </c>
      <c r="E39" s="15" t="str">
        <f>IFERROR(__xludf.DUMMYFUNCTION("""COMPUTED_VALUE"""),"REFERENCE")</f>
        <v>REFERENCE</v>
      </c>
      <c r="F39" s="15" t="str">
        <f>IFERROR(__xludf.DUMMYFUNCTION("""COMPUTED_VALUE"""),"Category Page")</f>
        <v>Category Page</v>
      </c>
      <c r="G39" s="15" t="b">
        <f>IFERROR(__xludf.DUMMYFUNCTION("""COMPUTED_VALUE"""),FALSE)</f>
        <v>0</v>
      </c>
      <c r="H39" s="15" t="str">
        <f>IFERROR(__xludf.DUMMYFUNCTION("""COMPUTED_VALUE"""),"Bird Marketing, The SEO Works, Dept, Found, Impression")</f>
        <v>Bird Marketing, The SEO Works, Dept, Found, Impression</v>
      </c>
      <c r="I39" s="15">
        <f>IFERROR(__xludf.DUMMYFUNCTION("""COMPUTED_VALUE"""),13.0)</f>
        <v>13</v>
      </c>
      <c r="J39" s="15">
        <f>IFERROR(__xludf.DUMMYFUNCTION("""COMPUTED_VALUE"""),0.01)</f>
        <v>0.01</v>
      </c>
      <c r="K39" s="15">
        <f>IFERROR(__xludf.DUMMYFUNCTION("""COMPUTED_VALUE"""),0.0)</f>
        <v>0</v>
      </c>
    </row>
    <row r="40" ht="15.75" customHeight="1">
      <c r="A40" s="14" t="str">
        <f>IFERROR(__xludf.DUMMYFUNCTION("""COMPUTED_VALUE"""),"https://www.50pros.com/hire/advertising/attribution-and-measurement")</f>
        <v>https://www.50pros.com/hire/advertising/attribution-and-measurement</v>
      </c>
      <c r="B40" s="15" t="str">
        <f>IFERROR(__xludf.DUMMYFUNCTION("""COMPUTED_VALUE"""),"Top Attribution &amp; Measurement Agencies to Hire in June 2026")</f>
        <v>Top Attribution &amp; Measurement Agencies to Hire in June 2026</v>
      </c>
      <c r="C40" s="14" t="str">
        <f>IFERROR(__xludf.DUMMYFUNCTION("""COMPUTED_VALUE"""),"50pros.com")</f>
        <v>50pros.com</v>
      </c>
      <c r="D40" s="15" t="str">
        <f>IFERROR(__xludf.DUMMYFUNCTION("""COMPUTED_VALUE"""),"CATEGORY_PAGE")</f>
        <v>CATEGORY_PAGE</v>
      </c>
      <c r="E40" s="15" t="str">
        <f>IFERROR(__xludf.DUMMYFUNCTION("""COMPUTED_VALUE"""),"REFERENCE")</f>
        <v>REFERENCE</v>
      </c>
      <c r="F40" s="15" t="str">
        <f>IFERROR(__xludf.DUMMYFUNCTION("""COMPUTED_VALUE"""),"Category Page")</f>
        <v>Category Page</v>
      </c>
      <c r="G40" s="15" t="b">
        <f>IFERROR(__xludf.DUMMYFUNCTION("""COMPUTED_VALUE"""),FALSE)</f>
        <v>0</v>
      </c>
      <c r="H40" s="15" t="str">
        <f>IFERROR(__xludf.DUMMYFUNCTION("""COMPUTED_VALUE"""),"The SEO Works, Found, Huge")</f>
        <v>The SEO Works, Found, Huge</v>
      </c>
      <c r="I40" s="15">
        <f>IFERROR(__xludf.DUMMYFUNCTION("""COMPUTED_VALUE"""),12.0)</f>
        <v>12</v>
      </c>
      <c r="J40" s="15">
        <f>IFERROR(__xludf.DUMMYFUNCTION("""COMPUTED_VALUE"""),0.01)</f>
        <v>0.01</v>
      </c>
      <c r="K40" s="15">
        <f>IFERROR(__xludf.DUMMYFUNCTION("""COMPUTED_VALUE"""),0.0)</f>
        <v>0</v>
      </c>
    </row>
    <row r="41" ht="15.75" customHeight="1">
      <c r="A41" s="14" t="str">
        <f>IFERROR(__xludf.DUMMYFUNCTION("""COMPUTED_VALUE"""),"https://www.50pros.com/hire/digital-marketing/marketing-attribution")</f>
        <v>https://www.50pros.com/hire/digital-marketing/marketing-attribution</v>
      </c>
      <c r="B41" s="15" t="str">
        <f>IFERROR(__xludf.DUMMYFUNCTION("""COMPUTED_VALUE"""),"Top Marketing Attribution Agencies to Hire in June 2026")</f>
        <v>Top Marketing Attribution Agencies to Hire in June 2026</v>
      </c>
      <c r="C41" s="14" t="str">
        <f>IFERROR(__xludf.DUMMYFUNCTION("""COMPUTED_VALUE"""),"50pros.com")</f>
        <v>50pros.com</v>
      </c>
      <c r="D41" s="15" t="str">
        <f>IFERROR(__xludf.DUMMYFUNCTION("""COMPUTED_VALUE"""),"CATEGORY_PAGE")</f>
        <v>CATEGORY_PAGE</v>
      </c>
      <c r="E41" s="15" t="str">
        <f>IFERROR(__xludf.DUMMYFUNCTION("""COMPUTED_VALUE"""),"REFERENCE")</f>
        <v>REFERENCE</v>
      </c>
      <c r="F41" s="15" t="str">
        <f>IFERROR(__xludf.DUMMYFUNCTION("""COMPUTED_VALUE"""),"Category Page")</f>
        <v>Category Page</v>
      </c>
      <c r="G41" s="15" t="b">
        <f>IFERROR(__xludf.DUMMYFUNCTION("""COMPUTED_VALUE"""),FALSE)</f>
        <v>0</v>
      </c>
      <c r="H41" s="15" t="str">
        <f>IFERROR(__xludf.DUMMYFUNCTION("""COMPUTED_VALUE"""),"The SEO Works, Found, Huge, Impression")</f>
        <v>The SEO Works, Found, Huge, Impression</v>
      </c>
      <c r="I41" s="15">
        <f>IFERROR(__xludf.DUMMYFUNCTION("""COMPUTED_VALUE"""),12.0)</f>
        <v>12</v>
      </c>
      <c r="J41" s="15">
        <f>IFERROR(__xludf.DUMMYFUNCTION("""COMPUTED_VALUE"""),0.01)</f>
        <v>0.01</v>
      </c>
      <c r="K41" s="15">
        <f>IFERROR(__xludf.DUMMYFUNCTION("""COMPUTED_VALUE"""),0.08)</f>
        <v>0.08</v>
      </c>
    </row>
    <row r="42" ht="15.75" customHeight="1">
      <c r="A42" s="14" t="str">
        <f>IFERROR(__xludf.DUMMYFUNCTION("""COMPUTED_VALUE"""),"https://clutch.co/consulting/ai/uk/england/london")</f>
        <v>https://clutch.co/consulting/ai/uk/england/london</v>
      </c>
      <c r="B42" s="15" t="str">
        <f>IFERROR(__xludf.DUMMYFUNCTION("""COMPUTED_VALUE"""),"Top AI Consulting Agencies in London - Jul 2026 Rankings \| Clutch.co")</f>
        <v>Top AI Consulting Agencies in London - Jul 2026 Rankings \| Clutch.co</v>
      </c>
      <c r="C42" s="14" t="str">
        <f>IFERROR(__xludf.DUMMYFUNCTION("""COMPUTED_VALUE"""),"clutch.co")</f>
        <v>clutch.co</v>
      </c>
      <c r="D42" s="15" t="str">
        <f>IFERROR(__xludf.DUMMYFUNCTION("""COMPUTED_VALUE"""),"CATEGORY_PAGE")</f>
        <v>CATEGORY_PAGE</v>
      </c>
      <c r="E42" s="15" t="str">
        <f>IFERROR(__xludf.DUMMYFUNCTION("""COMPUTED_VALUE"""),"CORPORATE")</f>
        <v>CORPORATE</v>
      </c>
      <c r="F42" s="15" t="str">
        <f>IFERROR(__xludf.DUMMYFUNCTION("""COMPUTED_VALUE"""),"Category Page")</f>
        <v>Category Page</v>
      </c>
      <c r="G42" s="15" t="b">
        <f>IFERROR(__xludf.DUMMYFUNCTION("""COMPUTED_VALUE"""),FALSE)</f>
        <v>0</v>
      </c>
      <c r="H42" s="15" t="str">
        <f>IFERROR(__xludf.DUMMYFUNCTION("""COMPUTED_VALUE"""),"Momentum, Impression, Found")</f>
        <v>Momentum, Impression, Found</v>
      </c>
      <c r="I42" s="15">
        <f>IFERROR(__xludf.DUMMYFUNCTION("""COMPUTED_VALUE"""),12.0)</f>
        <v>12</v>
      </c>
      <c r="J42" s="15">
        <f>IFERROR(__xludf.DUMMYFUNCTION("""COMPUTED_VALUE"""),0.01)</f>
        <v>0.01</v>
      </c>
      <c r="K42" s="15">
        <f>IFERROR(__xludf.DUMMYFUNCTION("""COMPUTED_VALUE"""),0.17)</f>
        <v>0.17</v>
      </c>
    </row>
    <row r="43" ht="15.75" customHeight="1">
      <c r="A43" s="14" t="str">
        <f>IFERROR(__xludf.DUMMYFUNCTION("""COMPUTED_VALUE"""),"https://agencies.semrush.com/list/display-advertising/london-city/small-business/")</f>
        <v>https://agencies.semrush.com/list/display-advertising/london-city/small-business/</v>
      </c>
      <c r="B43" s="15" t="str">
        <f>IFERROR(__xludf.DUMMYFUNCTION("""COMPUTED_VALUE"""),"Best Display Ads Agencies for Small Business in London 2026 | Semrush")</f>
        <v>Best Display Ads Agencies for Small Business in London 2026 | Semrush</v>
      </c>
      <c r="C43" s="14" t="str">
        <f>IFERROR(__xludf.DUMMYFUNCTION("""COMPUTED_VALUE"""),"semrush.com")</f>
        <v>semrush.com</v>
      </c>
      <c r="D43" s="15" t="str">
        <f>IFERROR(__xludf.DUMMYFUNCTION("""COMPUTED_VALUE"""),"CATEGORY_PAGE")</f>
        <v>CATEGORY_PAGE</v>
      </c>
      <c r="E43" s="15" t="str">
        <f>IFERROR(__xludf.DUMMYFUNCTION("""COMPUTED_VALUE"""),"CORPORATE")</f>
        <v>CORPORATE</v>
      </c>
      <c r="F43" s="15" t="str">
        <f>IFERROR(__xludf.DUMMYFUNCTION("""COMPUTED_VALUE"""),"Category Page")</f>
        <v>Category Page</v>
      </c>
      <c r="G43" s="15" t="b">
        <f>IFERROR(__xludf.DUMMYFUNCTION("""COMPUTED_VALUE"""),FALSE)</f>
        <v>0</v>
      </c>
      <c r="H43" s="15" t="str">
        <f>IFERROR(__xludf.DUMMYFUNCTION("""COMPUTED_VALUE"""),"The SEO Works, Found, Measured")</f>
        <v>The SEO Works, Found, Measured</v>
      </c>
      <c r="I43" s="15">
        <f>IFERROR(__xludf.DUMMYFUNCTION("""COMPUTED_VALUE"""),11.0)</f>
        <v>11</v>
      </c>
      <c r="J43" s="15">
        <f>IFERROR(__xludf.DUMMYFUNCTION("""COMPUTED_VALUE"""),0.01)</f>
        <v>0.01</v>
      </c>
      <c r="K43" s="15">
        <f>IFERROR(__xludf.DUMMYFUNCTION("""COMPUTED_VALUE"""),0.09)</f>
        <v>0.09</v>
      </c>
    </row>
    <row r="44" ht="15.75" customHeight="1">
      <c r="A44" s="14" t="str">
        <f>IFERROR(__xludf.DUMMYFUNCTION("""COMPUTED_VALUE"""),"https://clutch.co/agencies/digital/uk")</f>
        <v>https://clutch.co/agencies/digital/uk</v>
      </c>
      <c r="B44" s="15" t="str">
        <f>IFERROR(__xludf.DUMMYFUNCTION("""COMPUTED_VALUE"""),"Top Full-Service Digital Agencies in the United Kingdom - Jul 2026 Rankings | Clutch.co")</f>
        <v>Top Full-Service Digital Agencies in the United Kingdom - Jul 2026 Rankings | Clutch.co</v>
      </c>
      <c r="C44" s="14" t="str">
        <f>IFERROR(__xludf.DUMMYFUNCTION("""COMPUTED_VALUE"""),"clutch.co")</f>
        <v>clutch.co</v>
      </c>
      <c r="D44" s="15" t="str">
        <f>IFERROR(__xludf.DUMMYFUNCTION("""COMPUTED_VALUE"""),"CATEGORY_PAGE")</f>
        <v>CATEGORY_PAGE</v>
      </c>
      <c r="E44" s="15" t="str">
        <f>IFERROR(__xludf.DUMMYFUNCTION("""COMPUTED_VALUE"""),"CORPORATE")</f>
        <v>CORPORATE</v>
      </c>
      <c r="F44" s="15" t="str">
        <f>IFERROR(__xludf.DUMMYFUNCTION("""COMPUTED_VALUE"""),"Category Page")</f>
        <v>Category Page</v>
      </c>
      <c r="G44" s="15" t="b">
        <f>IFERROR(__xludf.DUMMYFUNCTION("""COMPUTED_VALUE"""),FALSE)</f>
        <v>0</v>
      </c>
      <c r="H44" s="15" t="str">
        <f>IFERROR(__xludf.DUMMYFUNCTION("""COMPUTED_VALUE"""),"Soap Media, Favoured, Momentum, Impression, M3.agency, The SEO Works")</f>
        <v>Soap Media, Favoured, Momentum, Impression, M3.agency, The SEO Works</v>
      </c>
      <c r="I44" s="15">
        <f>IFERROR(__xludf.DUMMYFUNCTION("""COMPUTED_VALUE"""),11.0)</f>
        <v>11</v>
      </c>
      <c r="J44" s="15">
        <f>IFERROR(__xludf.DUMMYFUNCTION("""COMPUTED_VALUE"""),0.01)</f>
        <v>0.01</v>
      </c>
      <c r="K44" s="15">
        <f>IFERROR(__xludf.DUMMYFUNCTION("""COMPUTED_VALUE"""),0.18)</f>
        <v>0.18</v>
      </c>
    </row>
    <row r="45" ht="15.75" customHeight="1">
      <c r="A45" s="14" t="str">
        <f>IFERROR(__xludf.DUMMYFUNCTION("""COMPUTED_VALUE"""),"https://www.gartner.com/reviews/market/incrementality-measurement-platforms")</f>
        <v>https://www.gartner.com/reviews/market/incrementality-measurement-platforms</v>
      </c>
      <c r="B45" s="15" t="str">
        <f>IFERROR(__xludf.DUMMYFUNCTION("""COMPUTED_VALUE"""),"Best Incrementality Measurement Platforms Reviews 2026 \| Gartner Peer Insights")</f>
        <v>Best Incrementality Measurement Platforms Reviews 2026 \| Gartner Peer Insights</v>
      </c>
      <c r="C45" s="14" t="str">
        <f>IFERROR(__xludf.DUMMYFUNCTION("""COMPUTED_VALUE"""),"gartner.com")</f>
        <v>gartner.com</v>
      </c>
      <c r="D45" s="15" t="str">
        <f>IFERROR(__xludf.DUMMYFUNCTION("""COMPUTED_VALUE"""),"CATEGORY_PAGE")</f>
        <v>CATEGORY_PAGE</v>
      </c>
      <c r="E45" s="15" t="str">
        <f>IFERROR(__xludf.DUMMYFUNCTION("""COMPUTED_VALUE"""),"CORPORATE")</f>
        <v>CORPORATE</v>
      </c>
      <c r="F45" s="15" t="str">
        <f>IFERROR(__xludf.DUMMYFUNCTION("""COMPUTED_VALUE"""),"Category Page")</f>
        <v>Category Page</v>
      </c>
      <c r="G45" s="15" t="b">
        <f>IFERROR(__xludf.DUMMYFUNCTION("""COMPUTED_VALUE"""),FALSE)</f>
        <v>0</v>
      </c>
      <c r="H45" s="15" t="str">
        <f>IFERROR(__xludf.DUMMYFUNCTION("""COMPUTED_VALUE"""),"Haus, SegmentStream, Measured, Recast")</f>
        <v>Haus, SegmentStream, Measured, Recast</v>
      </c>
      <c r="I45" s="15">
        <f>IFERROR(__xludf.DUMMYFUNCTION("""COMPUTED_VALUE"""),11.0)</f>
        <v>11</v>
      </c>
      <c r="J45" s="15">
        <f>IFERROR(__xludf.DUMMYFUNCTION("""COMPUTED_VALUE"""),0.01)</f>
        <v>0.01</v>
      </c>
      <c r="K45" s="15">
        <f>IFERROR(__xludf.DUMMYFUNCTION("""COMPUTED_VALUE"""),1.09)</f>
        <v>1.09</v>
      </c>
    </row>
    <row r="46" ht="15.75" customHeight="1">
      <c r="A46" s="14" t="str">
        <f>IFERROR(__xludf.DUMMYFUNCTION("""COMPUTED_VALUE"""),"https://www.google.co.uk/intl/en/ads/publisher/partners/find-a-partner/")</f>
        <v>https://www.google.co.uk/intl/en/ads/publisher/partners/find-a-partner/</v>
      </c>
      <c r="B46" s="15" t="str">
        <f>IFERROR(__xludf.DUMMYFUNCTION("""COMPUTED_VALUE"""),"Find a Publishing Partner")</f>
        <v>Find a Publishing Partner</v>
      </c>
      <c r="C46" s="14" t="str">
        <f>IFERROR(__xludf.DUMMYFUNCTION("""COMPUTED_VALUE"""),"google.co.uk")</f>
        <v>google.co.uk</v>
      </c>
      <c r="D46" s="15" t="str">
        <f>IFERROR(__xludf.DUMMYFUNCTION("""COMPUTED_VALUE"""),"CATEGORY_PAGE")</f>
        <v>CATEGORY_PAGE</v>
      </c>
      <c r="E46" s="15" t="str">
        <f>IFERROR(__xludf.DUMMYFUNCTION("""COMPUTED_VALUE"""),"CORPORATE")</f>
        <v>CORPORATE</v>
      </c>
      <c r="F46" s="15" t="str">
        <f>IFERROR(__xludf.DUMMYFUNCTION("""COMPUTED_VALUE"""),"Category Page")</f>
        <v>Category Page</v>
      </c>
      <c r="G46" s="15" t="b">
        <f>IFERROR(__xludf.DUMMYFUNCTION("""COMPUTED_VALUE"""),FALSE)</f>
        <v>0</v>
      </c>
      <c r="H46" s="15" t="str">
        <f>IFERROR(__xludf.DUMMYFUNCTION("""COMPUTED_VALUE"""),"Found")</f>
        <v>Found</v>
      </c>
      <c r="I46" s="15">
        <f>IFERROR(__xludf.DUMMYFUNCTION("""COMPUTED_VALUE"""),11.0)</f>
        <v>11</v>
      </c>
      <c r="J46" s="15">
        <f>IFERROR(__xludf.DUMMYFUNCTION("""COMPUTED_VALUE"""),0.01)</f>
        <v>0.01</v>
      </c>
      <c r="K46" s="15">
        <f>IFERROR(__xludf.DUMMYFUNCTION("""COMPUTED_VALUE"""),1.0)</f>
        <v>1</v>
      </c>
    </row>
    <row r="47" ht="15.75" customHeight="1">
      <c r="A47" s="14" t="str">
        <f>IFERROR(__xludf.DUMMYFUNCTION("""COMPUTED_VALUE"""),"https://www.greenbook.org/market-research-companies/united-kingdom")</f>
        <v>https://www.greenbook.org/market-research-companies/united-kingdom</v>
      </c>
      <c r="B47" s="15" t="str">
        <f>IFERROR(__xludf.DUMMYFUNCTION("""COMPUTED_VALUE"""),"Top Marketing Research Firms in United Kingdom — Greenbook")</f>
        <v>Top Marketing Research Firms in United Kingdom — Greenbook</v>
      </c>
      <c r="C47" s="14" t="str">
        <f>IFERROR(__xludf.DUMMYFUNCTION("""COMPUTED_VALUE"""),"greenbook.org")</f>
        <v>greenbook.org</v>
      </c>
      <c r="D47" s="15" t="str">
        <f>IFERROR(__xludf.DUMMYFUNCTION("""COMPUTED_VALUE"""),"CATEGORY_PAGE")</f>
        <v>CATEGORY_PAGE</v>
      </c>
      <c r="E47" s="15" t="str">
        <f>IFERROR(__xludf.DUMMYFUNCTION("""COMPUTED_VALUE"""),"REFERENCE")</f>
        <v>REFERENCE</v>
      </c>
      <c r="F47" s="15" t="str">
        <f>IFERROR(__xludf.DUMMYFUNCTION("""COMPUTED_VALUE"""),"Category Page")</f>
        <v>Category Page</v>
      </c>
      <c r="G47" s="15" t="b">
        <f>IFERROR(__xludf.DUMMYFUNCTION("""COMPUTED_VALUE"""),FALSE)</f>
        <v>0</v>
      </c>
      <c r="H47" s="15" t="str">
        <f>IFERROR(__xludf.DUMMYFUNCTION("""COMPUTED_VALUE"""),"YouGov, Accenture Song, Kantar, Found")</f>
        <v>YouGov, Accenture Song, Kantar, Found</v>
      </c>
      <c r="I47" s="15">
        <f>IFERROR(__xludf.DUMMYFUNCTION("""COMPUTED_VALUE"""),11.0)</f>
        <v>11</v>
      </c>
      <c r="J47" s="15">
        <f>IFERROR(__xludf.DUMMYFUNCTION("""COMPUTED_VALUE"""),0.01)</f>
        <v>0.01</v>
      </c>
      <c r="K47" s="15">
        <f>IFERROR(__xludf.DUMMYFUNCTION("""COMPUTED_VALUE"""),0.0)</f>
        <v>0</v>
      </c>
    </row>
    <row r="48" ht="15.75" customHeight="1">
      <c r="A48" s="14" t="str">
        <f>IFERROR(__xludf.DUMMYFUNCTION("""COMPUTED_VALUE"""),"https://www.marketingagencyindex.com/uk/industries/ai")</f>
        <v>https://www.marketingagencyindex.com/uk/industries/ai</v>
      </c>
      <c r="B48" s="15" t="str">
        <f>IFERROR(__xludf.DUMMYFUNCTION("""COMPUTED_VALUE"""),"Best AI Marketing Agencies in the UK | Agency Index")</f>
        <v>Best AI Marketing Agencies in the UK | Agency Index</v>
      </c>
      <c r="C48" s="14" t="str">
        <f>IFERROR(__xludf.DUMMYFUNCTION("""COMPUTED_VALUE"""),"marketingagencyindex.com")</f>
        <v>marketingagencyindex.com</v>
      </c>
      <c r="D48" s="15" t="str">
        <f>IFERROR(__xludf.DUMMYFUNCTION("""COMPUTED_VALUE"""),"CATEGORY_PAGE")</f>
        <v>CATEGORY_PAGE</v>
      </c>
      <c r="E48" s="15" t="str">
        <f>IFERROR(__xludf.DUMMYFUNCTION("""COMPUTED_VALUE"""),"UGC")</f>
        <v>UGC</v>
      </c>
      <c r="F48" s="15" t="str">
        <f>IFERROR(__xludf.DUMMYFUNCTION("""COMPUTED_VALUE"""),"Category Page")</f>
        <v>Category Page</v>
      </c>
      <c r="G48" s="15" t="b">
        <f>IFERROR(__xludf.DUMMYFUNCTION("""COMPUTED_VALUE"""),FALSE)</f>
        <v>0</v>
      </c>
      <c r="H48" s="15" t="str">
        <f>IFERROR(__xludf.DUMMYFUNCTION("""COMPUTED_VALUE"""),"Impression, The SEO Works, The Brains, Propellernet")</f>
        <v>Impression, The SEO Works, The Brains, Propellernet</v>
      </c>
      <c r="I48" s="15">
        <f>IFERROR(__xludf.DUMMYFUNCTION("""COMPUTED_VALUE"""),11.0)</f>
        <v>11</v>
      </c>
      <c r="J48" s="15">
        <f>IFERROR(__xludf.DUMMYFUNCTION("""COMPUTED_VALUE"""),0.01)</f>
        <v>0.01</v>
      </c>
      <c r="K48" s="15">
        <f>IFERROR(__xludf.DUMMYFUNCTION("""COMPUTED_VALUE"""),0.0)</f>
        <v>0</v>
      </c>
    </row>
    <row r="49" ht="15.75" customHeight="1">
      <c r="A49" s="14" t="str">
        <f>IFERROR(__xludf.DUMMYFUNCTION("""COMPUTED_VALUE"""),"https://clutch.co/agencies/digital-marketing/uk/england/london")</f>
        <v>https://clutch.co/agencies/digital-marketing/uk/england/london</v>
      </c>
      <c r="B49" s="15" t="str">
        <f>IFERROR(__xludf.DUMMYFUNCTION("""COMPUTED_VALUE"""),"Top London Digital Marketing Agencies - Jul 2026 Rankings | Clutch.co")</f>
        <v>Top London Digital Marketing Agencies - Jul 2026 Rankings | Clutch.co</v>
      </c>
      <c r="C49" s="14" t="str">
        <f>IFERROR(__xludf.DUMMYFUNCTION("""COMPUTED_VALUE"""),"clutch.co")</f>
        <v>clutch.co</v>
      </c>
      <c r="D49" s="15" t="str">
        <f>IFERROR(__xludf.DUMMYFUNCTION("""COMPUTED_VALUE"""),"CATEGORY_PAGE")</f>
        <v>CATEGORY_PAGE</v>
      </c>
      <c r="E49" s="15" t="str">
        <f>IFERROR(__xludf.DUMMYFUNCTION("""COMPUTED_VALUE"""),"CORPORATE")</f>
        <v>CORPORATE</v>
      </c>
      <c r="F49" s="15" t="str">
        <f>IFERROR(__xludf.DUMMYFUNCTION("""COMPUTED_VALUE"""),"Category Page")</f>
        <v>Category Page</v>
      </c>
      <c r="G49" s="15" t="b">
        <f>IFERROR(__xludf.DUMMYFUNCTION("""COMPUTED_VALUE"""),FALSE)</f>
        <v>0</v>
      </c>
      <c r="H49" s="15" t="str">
        <f>IFERROR(__xludf.DUMMYFUNCTION("""COMPUTED_VALUE"""),"M3.agency, Ninja Promo, ROAST, Favoured, GA Agency, Propeller, Bird Marketing, Passion Digital, Impression")</f>
        <v>M3.agency, Ninja Promo, ROAST, Favoured, GA Agency, Propeller, Bird Marketing, Passion Digital, Impression</v>
      </c>
      <c r="I49" s="15">
        <f>IFERROR(__xludf.DUMMYFUNCTION("""COMPUTED_VALUE"""),10.0)</f>
        <v>10</v>
      </c>
      <c r="J49" s="15">
        <f>IFERROR(__xludf.DUMMYFUNCTION("""COMPUTED_VALUE"""),0.01)</f>
        <v>0.01</v>
      </c>
      <c r="K49" s="15">
        <f>IFERROR(__xludf.DUMMYFUNCTION("""COMPUTED_VALUE"""),0.1)</f>
        <v>0.1</v>
      </c>
    </row>
    <row r="50" ht="15.75" customHeight="1">
      <c r="A50" s="14" t="str">
        <f>IFERROR(__xludf.DUMMYFUNCTION("""COMPUTED_VALUE"""),"https://clutch.co/agencies/media-buying/uk")</f>
        <v>https://clutch.co/agencies/media-buying/uk</v>
      </c>
      <c r="B50" s="15" t="str">
        <f>IFERROR(__xludf.DUMMYFUNCTION("""COMPUTED_VALUE"""),"Top Media Buying Agencies in the United Kingdom - Jul 2026 Rankings | Clutch.co")</f>
        <v>Top Media Buying Agencies in the United Kingdom - Jul 2026 Rankings | Clutch.co</v>
      </c>
      <c r="C50" s="14" t="str">
        <f>IFERROR(__xludf.DUMMYFUNCTION("""COMPUTED_VALUE"""),"clutch.co")</f>
        <v>clutch.co</v>
      </c>
      <c r="D50" s="15" t="str">
        <f>IFERROR(__xludf.DUMMYFUNCTION("""COMPUTED_VALUE"""),"CATEGORY_PAGE")</f>
        <v>CATEGORY_PAGE</v>
      </c>
      <c r="E50" s="15" t="str">
        <f>IFERROR(__xludf.DUMMYFUNCTION("""COMPUTED_VALUE"""),"CORPORATE")</f>
        <v>CORPORATE</v>
      </c>
      <c r="F50" s="15" t="str">
        <f>IFERROR(__xludf.DUMMYFUNCTION("""COMPUTED_VALUE"""),"Category Page")</f>
        <v>Category Page</v>
      </c>
      <c r="G50" s="15" t="b">
        <f>IFERROR(__xludf.DUMMYFUNCTION("""COMPUTED_VALUE"""),FALSE)</f>
        <v>0</v>
      </c>
      <c r="H50" s="15" t="str">
        <f>IFERROR(__xludf.DUMMYFUNCTION("""COMPUTED_VALUE"""),"ROAST, Impression, NP Digital, Propellernet")</f>
        <v>ROAST, Impression, NP Digital, Propellernet</v>
      </c>
      <c r="I50" s="15">
        <f>IFERROR(__xludf.DUMMYFUNCTION("""COMPUTED_VALUE"""),10.0)</f>
        <v>10</v>
      </c>
      <c r="J50" s="15">
        <f>IFERROR(__xludf.DUMMYFUNCTION("""COMPUTED_VALUE"""),0.01)</f>
        <v>0.01</v>
      </c>
      <c r="K50" s="15">
        <f>IFERROR(__xludf.DUMMYFUNCTION("""COMPUTED_VALUE"""),0.9)</f>
        <v>0.9</v>
      </c>
    </row>
    <row r="51" ht="15.75" customHeight="1">
      <c r="A51" s="14" t="str">
        <f>IFERROR(__xludf.DUMMYFUNCTION("""COMPUTED_VALUE"""),"https://clutch.co/agencies/ppc/google-adwords/uk")</f>
        <v>https://clutch.co/agencies/ppc/google-adwords/uk</v>
      </c>
      <c r="B51" s="15" t="str">
        <f>IFERROR(__xludf.DUMMYFUNCTION("""COMPUTED_VALUE"""),"Top Adwords PPC Agencies in the United Kingdom - Jul 2026 Rankings | Clutch.co")</f>
        <v>Top Adwords PPC Agencies in the United Kingdom - Jul 2026 Rankings | Clutch.co</v>
      </c>
      <c r="C51" s="14" t="str">
        <f>IFERROR(__xludf.DUMMYFUNCTION("""COMPUTED_VALUE"""),"clutch.co")</f>
        <v>clutch.co</v>
      </c>
      <c r="D51" s="15" t="str">
        <f>IFERROR(__xludf.DUMMYFUNCTION("""COMPUTED_VALUE"""),"CATEGORY_PAGE")</f>
        <v>CATEGORY_PAGE</v>
      </c>
      <c r="E51" s="15" t="str">
        <f>IFERROR(__xludf.DUMMYFUNCTION("""COMPUTED_VALUE"""),"CORPORATE")</f>
        <v>CORPORATE</v>
      </c>
      <c r="F51" s="15" t="str">
        <f>IFERROR(__xludf.DUMMYFUNCTION("""COMPUTED_VALUE"""),"Category Page")</f>
        <v>Category Page</v>
      </c>
      <c r="G51" s="15" t="b">
        <f>IFERROR(__xludf.DUMMYFUNCTION("""COMPUTED_VALUE"""),FALSE)</f>
        <v>0</v>
      </c>
      <c r="H51" s="15" t="str">
        <f>IFERROR(__xludf.DUMMYFUNCTION("""COMPUTED_VALUE"""),"Propeller, Push, ROAST, M3.agency, Momentum, Launch Online, Huge, Ninja Promo, The SEO Works, Soap Media, GA Agency, Measured, Impression, ClickSlice, Found")</f>
        <v>Propeller, Push, ROAST, M3.agency, Momentum, Launch Online, Huge, Ninja Promo, The SEO Works, Soap Media, GA Agency, Measured, Impression, ClickSlice, Found</v>
      </c>
      <c r="I51" s="15">
        <f>IFERROR(__xludf.DUMMYFUNCTION("""COMPUTED_VALUE"""),10.0)</f>
        <v>10</v>
      </c>
      <c r="J51" s="15">
        <f>IFERROR(__xludf.DUMMYFUNCTION("""COMPUTED_VALUE"""),0.01)</f>
        <v>0.01</v>
      </c>
      <c r="K51" s="15">
        <f>IFERROR(__xludf.DUMMYFUNCTION("""COMPUTED_VALUE"""),0.2)</f>
        <v>0.2</v>
      </c>
    </row>
    <row r="52" ht="15.75" customHeight="1">
      <c r="A52" s="14" t="str">
        <f>IFERROR(__xludf.DUMMYFUNCTION("""COMPUTED_VALUE"""),"https://www.marketingagencyindex.com/uk/services/social-media-advertising")</f>
        <v>https://www.marketingagencyindex.com/uk/services/social-media-advertising</v>
      </c>
      <c r="B52" s="15" t="str">
        <f>IFERROR(__xludf.DUMMYFUNCTION("""COMPUTED_VALUE"""),"Best Social Media Advertising Agencies in the UK | Agency Index")</f>
        <v>Best Social Media Advertising Agencies in the UK | Agency Index</v>
      </c>
      <c r="C52" s="14" t="str">
        <f>IFERROR(__xludf.DUMMYFUNCTION("""COMPUTED_VALUE"""),"marketingagencyindex.com")</f>
        <v>marketingagencyindex.com</v>
      </c>
      <c r="D52" s="15" t="str">
        <f>IFERROR(__xludf.DUMMYFUNCTION("""COMPUTED_VALUE"""),"CATEGORY_PAGE")</f>
        <v>CATEGORY_PAGE</v>
      </c>
      <c r="E52" s="15" t="str">
        <f>IFERROR(__xludf.DUMMYFUNCTION("""COMPUTED_VALUE"""),"UGC")</f>
        <v>UGC</v>
      </c>
      <c r="F52" s="15" t="str">
        <f>IFERROR(__xludf.DUMMYFUNCTION("""COMPUTED_VALUE"""),"Category Page")</f>
        <v>Category Page</v>
      </c>
      <c r="G52" s="15" t="b">
        <f>IFERROR(__xludf.DUMMYFUNCTION("""COMPUTED_VALUE"""),FALSE)</f>
        <v>0</v>
      </c>
      <c r="H52" s="15" t="str">
        <f>IFERROR(__xludf.DUMMYFUNCTION("""COMPUTED_VALUE"""),"Momentum, GA Agency, The SEO Works, Measured")</f>
        <v>Momentum, GA Agency, The SEO Works, Measured</v>
      </c>
      <c r="I52" s="15">
        <f>IFERROR(__xludf.DUMMYFUNCTION("""COMPUTED_VALUE"""),10.0)</f>
        <v>10</v>
      </c>
      <c r="J52" s="15">
        <f>IFERROR(__xludf.DUMMYFUNCTION("""COMPUTED_VALUE"""),0.01)</f>
        <v>0.01</v>
      </c>
      <c r="K52" s="15">
        <f>IFERROR(__xludf.DUMMYFUNCTION("""COMPUTED_VALUE"""),0.6)</f>
        <v>0.6</v>
      </c>
    </row>
    <row r="53" ht="15.75" customHeight="1">
      <c r="A53" s="14" t="str">
        <f>IFERROR(__xludf.DUMMYFUNCTION("""COMPUTED_VALUE"""),"https://agencies.semrush.com/list/analytics-data-science/united-kingdom/")</f>
        <v>https://agencies.semrush.com/list/analytics-data-science/united-kingdom/</v>
      </c>
      <c r="B53" s="15" t="str">
        <f>IFERROR(__xludf.DUMMYFUNCTION("""COMPUTED_VALUE"""),"Best Data Analytics Services in United Kingdom 2026 | Semrush")</f>
        <v>Best Data Analytics Services in United Kingdom 2026 | Semrush</v>
      </c>
      <c r="C53" s="14" t="str">
        <f>IFERROR(__xludf.DUMMYFUNCTION("""COMPUTED_VALUE"""),"semrush.com")</f>
        <v>semrush.com</v>
      </c>
      <c r="D53" s="15" t="str">
        <f>IFERROR(__xludf.DUMMYFUNCTION("""COMPUTED_VALUE"""),"CATEGORY_PAGE")</f>
        <v>CATEGORY_PAGE</v>
      </c>
      <c r="E53" s="15" t="str">
        <f>IFERROR(__xludf.DUMMYFUNCTION("""COMPUTED_VALUE"""),"CORPORATE")</f>
        <v>CORPORATE</v>
      </c>
      <c r="F53" s="15" t="str">
        <f>IFERROR(__xludf.DUMMYFUNCTION("""COMPUTED_VALUE"""),"Category Page")</f>
        <v>Category Page</v>
      </c>
      <c r="G53" s="15" t="b">
        <f>IFERROR(__xludf.DUMMYFUNCTION("""COMPUTED_VALUE"""),FALSE)</f>
        <v>0</v>
      </c>
      <c r="H53" s="15" t="str">
        <f>IFERROR(__xludf.DUMMYFUNCTION("""COMPUTED_VALUE"""),"Found, The SEO Works, Huge")</f>
        <v>Found, The SEO Works, Huge</v>
      </c>
      <c r="I53" s="15">
        <f>IFERROR(__xludf.DUMMYFUNCTION("""COMPUTED_VALUE"""),9.0)</f>
        <v>9</v>
      </c>
      <c r="J53" s="15">
        <f>IFERROR(__xludf.DUMMYFUNCTION("""COMPUTED_VALUE"""),0.01)</f>
        <v>0.01</v>
      </c>
      <c r="K53" s="15">
        <f>IFERROR(__xludf.DUMMYFUNCTION("""COMPUTED_VALUE"""),0.0)</f>
        <v>0</v>
      </c>
    </row>
    <row r="54" ht="15.75" customHeight="1">
      <c r="A54" s="14" t="str">
        <f>IFERROR(__xludf.DUMMYFUNCTION("""COMPUTED_VALUE"""),"https://clutch.co/agencies/programmatic/uk")</f>
        <v>https://clutch.co/agencies/programmatic/uk</v>
      </c>
      <c r="B54" s="15" t="str">
        <f>IFERROR(__xludf.DUMMYFUNCTION("""COMPUTED_VALUE"""),"Top Programmatic Advertising Companies in the United Kingdom - Jul 2026 Rankings \| Clutch.co")</f>
        <v>Top Programmatic Advertising Companies in the United Kingdom - Jul 2026 Rankings \| Clutch.co</v>
      </c>
      <c r="C54" s="14" t="str">
        <f>IFERROR(__xludf.DUMMYFUNCTION("""COMPUTED_VALUE"""),"clutch.co")</f>
        <v>clutch.co</v>
      </c>
      <c r="D54" s="15" t="str">
        <f>IFERROR(__xludf.DUMMYFUNCTION("""COMPUTED_VALUE"""),"CATEGORY_PAGE")</f>
        <v>CATEGORY_PAGE</v>
      </c>
      <c r="E54" s="15" t="str">
        <f>IFERROR(__xludf.DUMMYFUNCTION("""COMPUTED_VALUE"""),"CORPORATE")</f>
        <v>CORPORATE</v>
      </c>
      <c r="F54" s="15" t="str">
        <f>IFERROR(__xludf.DUMMYFUNCTION("""COMPUTED_VALUE"""),"Category Page")</f>
        <v>Category Page</v>
      </c>
      <c r="G54" s="15" t="b">
        <f>IFERROR(__xludf.DUMMYFUNCTION("""COMPUTED_VALUE"""),FALSE)</f>
        <v>0</v>
      </c>
      <c r="H54" s="15" t="str">
        <f>IFERROR(__xludf.DUMMYFUNCTION("""COMPUTED_VALUE"""),"ROAST, Ninja Promo, The SEO Works, M3.agency")</f>
        <v>ROAST, Ninja Promo, The SEO Works, M3.agency</v>
      </c>
      <c r="I54" s="15">
        <f>IFERROR(__xludf.DUMMYFUNCTION("""COMPUTED_VALUE"""),9.0)</f>
        <v>9</v>
      </c>
      <c r="J54" s="15">
        <f>IFERROR(__xludf.DUMMYFUNCTION("""COMPUTED_VALUE"""),0.01)</f>
        <v>0.01</v>
      </c>
      <c r="K54" s="15">
        <f>IFERROR(__xludf.DUMMYFUNCTION("""COMPUTED_VALUE"""),1.44)</f>
        <v>1.44</v>
      </c>
    </row>
    <row r="55" ht="15.75" customHeight="1">
      <c r="A55" s="14" t="str">
        <f>IFERROR(__xludf.DUMMYFUNCTION("""COMPUTED_VALUE"""),"https://clutch.co/agencies/sem/uk")</f>
        <v>https://clutch.co/agencies/sem/uk</v>
      </c>
      <c r="B55" s="15" t="str">
        <f>IFERROR(__xludf.DUMMYFUNCTION("""COMPUTED_VALUE"""),"Top Search Engine Marketing Agencies in the United Kingdom - Jul 2026 Rankings | Clutch.co")</f>
        <v>Top Search Engine Marketing Agencies in the United Kingdom - Jul 2026 Rankings | Clutch.co</v>
      </c>
      <c r="C55" s="14" t="str">
        <f>IFERROR(__xludf.DUMMYFUNCTION("""COMPUTED_VALUE"""),"clutch.co")</f>
        <v>clutch.co</v>
      </c>
      <c r="D55" s="15" t="str">
        <f>IFERROR(__xludf.DUMMYFUNCTION("""COMPUTED_VALUE"""),"CATEGORY_PAGE")</f>
        <v>CATEGORY_PAGE</v>
      </c>
      <c r="E55" s="15" t="str">
        <f>IFERROR(__xludf.DUMMYFUNCTION("""COMPUTED_VALUE"""),"CORPORATE")</f>
        <v>CORPORATE</v>
      </c>
      <c r="F55" s="15" t="str">
        <f>IFERROR(__xludf.DUMMYFUNCTION("""COMPUTED_VALUE"""),"Category Page")</f>
        <v>Category Page</v>
      </c>
      <c r="G55" s="15" t="b">
        <f>IFERROR(__xludf.DUMMYFUNCTION("""COMPUTED_VALUE"""),FALSE)</f>
        <v>0</v>
      </c>
      <c r="H55" s="15" t="str">
        <f>IFERROR(__xludf.DUMMYFUNCTION("""COMPUTED_VALUE"""),"Huge, The SEO Works, ROAST, M3.agency, GA Agency, Ninja Promo, Propeller, Soap Media, Found, ClickSlice, Impression, Passion Digital, Genie Crawl")</f>
        <v>Huge, The SEO Works, ROAST, M3.agency, GA Agency, Ninja Promo, Propeller, Soap Media, Found, ClickSlice, Impression, Passion Digital, Genie Crawl</v>
      </c>
      <c r="I55" s="15">
        <f>IFERROR(__xludf.DUMMYFUNCTION("""COMPUTED_VALUE"""),9.0)</f>
        <v>9</v>
      </c>
      <c r="J55" s="15">
        <f>IFERROR(__xludf.DUMMYFUNCTION("""COMPUTED_VALUE"""),0.01)</f>
        <v>0.01</v>
      </c>
      <c r="K55" s="15">
        <f>IFERROR(__xludf.DUMMYFUNCTION("""COMPUTED_VALUE"""),0.67)</f>
        <v>0.67</v>
      </c>
    </row>
    <row r="56" ht="15.75" customHeight="1">
      <c r="A56" s="14" t="str">
        <f>IFERROR(__xludf.DUMMYFUNCTION("""COMPUTED_VALUE"""),"https://www.sortlist.co.uk/s/performance-marketing/england-england-gb")</f>
        <v>https://www.sortlist.co.uk/s/performance-marketing/england-england-gb</v>
      </c>
      <c r="B56" s="15" t="str">
        <f>IFERROR(__xludf.DUMMYFUNCTION("""COMPUTED_VALUE"""),"The 10 Best Performance Marketing Agencies in England - 2026 Reviews")</f>
        <v>The 10 Best Performance Marketing Agencies in England - 2026 Reviews</v>
      </c>
      <c r="C56" s="14" t="str">
        <f>IFERROR(__xludf.DUMMYFUNCTION("""COMPUTED_VALUE"""),"sortlist.co.uk")</f>
        <v>sortlist.co.uk</v>
      </c>
      <c r="D56" s="15" t="str">
        <f>IFERROR(__xludf.DUMMYFUNCTION("""COMPUTED_VALUE"""),"CATEGORY_PAGE")</f>
        <v>CATEGORY_PAGE</v>
      </c>
      <c r="E56" s="15" t="str">
        <f>IFERROR(__xludf.DUMMYFUNCTION("""COMPUTED_VALUE"""),"REFERENCE")</f>
        <v>REFERENCE</v>
      </c>
      <c r="F56" s="15" t="str">
        <f>IFERROR(__xludf.DUMMYFUNCTION("""COMPUTED_VALUE"""),"Category Page")</f>
        <v>Category Page</v>
      </c>
      <c r="G56" s="15" t="b">
        <f>IFERROR(__xludf.DUMMYFUNCTION("""COMPUTED_VALUE"""),FALSE)</f>
        <v>0</v>
      </c>
      <c r="H56" s="15" t="str">
        <f>IFERROR(__xludf.DUMMYFUNCTION("""COMPUTED_VALUE"""),"Momentum, M3.agency, Found, McKinsey &amp; Company")</f>
        <v>Momentum, M3.agency, Found, McKinsey &amp; Company</v>
      </c>
      <c r="I56" s="15">
        <f>IFERROR(__xludf.DUMMYFUNCTION("""COMPUTED_VALUE"""),9.0)</f>
        <v>9</v>
      </c>
      <c r="J56" s="15">
        <f>IFERROR(__xludf.DUMMYFUNCTION("""COMPUTED_VALUE"""),0.01)</f>
        <v>0.01</v>
      </c>
      <c r="K56" s="15">
        <f>IFERROR(__xludf.DUMMYFUNCTION("""COMPUTED_VALUE"""),0.0)</f>
        <v>0</v>
      </c>
    </row>
    <row r="57" ht="15.75" customHeight="1">
      <c r="A57" s="14" t="str">
        <f>IFERROR(__xludf.DUMMYFUNCTION("""COMPUTED_VALUE"""),"https://agencyvista.com/lists/google-marketing-platform-sales-partners/")</f>
        <v>https://agencyvista.com/lists/google-marketing-platform-sales-partners/</v>
      </c>
      <c r="B57" s="15" t="str">
        <f>IFERROR(__xludf.DUMMYFUNCTION("""COMPUTED_VALUE"""),"Google Marketing Platform Sales Partners. May 2025 Reviews. | Agency Vista")</f>
        <v>Google Marketing Platform Sales Partners. May 2025 Reviews. | Agency Vista</v>
      </c>
      <c r="C57" s="14" t="str">
        <f>IFERROR(__xludf.DUMMYFUNCTION("""COMPUTED_VALUE"""),"agencyvista.com")</f>
        <v>agencyvista.com</v>
      </c>
      <c r="D57" s="15" t="str">
        <f>IFERROR(__xludf.DUMMYFUNCTION("""COMPUTED_VALUE"""),"CATEGORY_PAGE")</f>
        <v>CATEGORY_PAGE</v>
      </c>
      <c r="E57" s="15" t="str">
        <f>IFERROR(__xludf.DUMMYFUNCTION("""COMPUTED_VALUE"""),"CORPORATE")</f>
        <v>CORPORATE</v>
      </c>
      <c r="F57" s="15" t="str">
        <f>IFERROR(__xludf.DUMMYFUNCTION("""COMPUTED_VALUE"""),"Category Page")</f>
        <v>Category Page</v>
      </c>
      <c r="G57" s="15" t="b">
        <f>IFERROR(__xludf.DUMMYFUNCTION("""COMPUTED_VALUE"""),FALSE)</f>
        <v>0</v>
      </c>
      <c r="H57" s="15" t="str">
        <f>IFERROR(__xludf.DUMMYFUNCTION("""COMPUTED_VALUE"""),"AKQA, Brainlabs, Artefact, Merkle, Jellyfish, Adswerve, Deloitte Digital, Dentsu, Croud, Brainlabs, Ogilvy, Dept")</f>
        <v>AKQA, Brainlabs, Artefact, Merkle, Jellyfish, Adswerve, Deloitte Digital, Dentsu, Croud, Brainlabs, Ogilvy, Dept</v>
      </c>
      <c r="I57" s="15">
        <f>IFERROR(__xludf.DUMMYFUNCTION("""COMPUTED_VALUE"""),8.0)</f>
        <v>8</v>
      </c>
      <c r="J57" s="15">
        <f>IFERROR(__xludf.DUMMYFUNCTION("""COMPUTED_VALUE"""),0.01)</f>
        <v>0.01</v>
      </c>
      <c r="K57" s="15">
        <f>IFERROR(__xludf.DUMMYFUNCTION("""COMPUTED_VALUE"""),0.5)</f>
        <v>0.5</v>
      </c>
    </row>
    <row r="58" ht="15.75" customHeight="1">
      <c r="A58" s="14" t="str">
        <f>IFERROR(__xludf.DUMMYFUNCTION("""COMPUTED_VALUE"""),"https://www.sortlist.co.uk/s/artificial-intelligence/london-england-gb")</f>
        <v>https://www.sortlist.co.uk/s/artificial-intelligence/london-england-gb</v>
      </c>
      <c r="B58" s="15" t="str">
        <f>IFERROR(__xludf.DUMMYFUNCTION("""COMPUTED_VALUE"""),"The 10 Best Artificial Intelligence Agencies in London - 2026 Reviews")</f>
        <v>The 10 Best Artificial Intelligence Agencies in London - 2026 Reviews</v>
      </c>
      <c r="C58" s="14" t="str">
        <f>IFERROR(__xludf.DUMMYFUNCTION("""COMPUTED_VALUE"""),"sortlist.co.uk")</f>
        <v>sortlist.co.uk</v>
      </c>
      <c r="D58" s="15" t="str">
        <f>IFERROR(__xludf.DUMMYFUNCTION("""COMPUTED_VALUE"""),"CATEGORY_PAGE")</f>
        <v>CATEGORY_PAGE</v>
      </c>
      <c r="E58" s="15" t="str">
        <f>IFERROR(__xludf.DUMMYFUNCTION("""COMPUTED_VALUE"""),"REFERENCE")</f>
        <v>REFERENCE</v>
      </c>
      <c r="F58" s="15" t="str">
        <f>IFERROR(__xludf.DUMMYFUNCTION("""COMPUTED_VALUE"""),"Category Page")</f>
        <v>Category Page</v>
      </c>
      <c r="G58" s="15" t="b">
        <f>IFERROR(__xludf.DUMMYFUNCTION("""COMPUTED_VALUE"""),FALSE)</f>
        <v>0</v>
      </c>
      <c r="H58" s="15"/>
      <c r="I58" s="15">
        <f>IFERROR(__xludf.DUMMYFUNCTION("""COMPUTED_VALUE"""),8.0)</f>
        <v>8</v>
      </c>
      <c r="J58" s="15">
        <f>IFERROR(__xludf.DUMMYFUNCTION("""COMPUTED_VALUE"""),0.01)</f>
        <v>0.01</v>
      </c>
      <c r="K58" s="15">
        <f>IFERROR(__xludf.DUMMYFUNCTION("""COMPUTED_VALUE"""),0.13)</f>
        <v>0.13</v>
      </c>
    </row>
    <row r="59" ht="15.75" customHeight="1">
      <c r="A59" s="14" t="str">
        <f>IFERROR(__xludf.DUMMYFUNCTION("""COMPUTED_VALUE"""),"https://agencies.semrush.com/list/search-engine-marketing/united-kingdom/")</f>
        <v>https://agencies.semrush.com/list/search-engine-marketing/united-kingdom/</v>
      </c>
      <c r="B59" s="15" t="str">
        <f>IFERROR(__xludf.DUMMYFUNCTION("""COMPUTED_VALUE"""),"Best Search Engine Marketing Companies in United Kingdom 2026 | Semrush")</f>
        <v>Best Search Engine Marketing Companies in United Kingdom 2026 | Semrush</v>
      </c>
      <c r="C59" s="14" t="str">
        <f>IFERROR(__xludf.DUMMYFUNCTION("""COMPUTED_VALUE"""),"semrush.com")</f>
        <v>semrush.com</v>
      </c>
      <c r="D59" s="15" t="str">
        <f>IFERROR(__xludf.DUMMYFUNCTION("""COMPUTED_VALUE"""),"CATEGORY_PAGE")</f>
        <v>CATEGORY_PAGE</v>
      </c>
      <c r="E59" s="15" t="str">
        <f>IFERROR(__xludf.DUMMYFUNCTION("""COMPUTED_VALUE"""),"CORPORATE")</f>
        <v>CORPORATE</v>
      </c>
      <c r="F59" s="15" t="str">
        <f>IFERROR(__xludf.DUMMYFUNCTION("""COMPUTED_VALUE"""),"Category Page")</f>
        <v>Category Page</v>
      </c>
      <c r="G59" s="15" t="b">
        <f>IFERROR(__xludf.DUMMYFUNCTION("""COMPUTED_VALUE"""),FALSE)</f>
        <v>0</v>
      </c>
      <c r="H59" s="15" t="str">
        <f>IFERROR(__xludf.DUMMYFUNCTION("""COMPUTED_VALUE"""),"Found, Impression, Bird Marketing, Measured, Click Intelligence, Passion Digital, Soap Media")</f>
        <v>Found, Impression, Bird Marketing, Measured, Click Intelligence, Passion Digital, Soap Media</v>
      </c>
      <c r="I59" s="15">
        <f>IFERROR(__xludf.DUMMYFUNCTION("""COMPUTED_VALUE"""),7.0)</f>
        <v>7</v>
      </c>
      <c r="J59" s="15">
        <f>IFERROR(__xludf.DUMMYFUNCTION("""COMPUTED_VALUE"""),0.01)</f>
        <v>0.01</v>
      </c>
      <c r="K59" s="15">
        <f>IFERROR(__xludf.DUMMYFUNCTION("""COMPUTED_VALUE"""),0.0)</f>
        <v>0</v>
      </c>
    </row>
    <row r="60" ht="15.75" customHeight="1">
      <c r="A60" s="14" t="str">
        <f>IFERROR(__xludf.DUMMYFUNCTION("""COMPUTED_VALUE"""),"https://digitalagencynetwork.com/agencies/uk/branding/")</f>
        <v>https://digitalagencynetwork.com/agencies/uk/branding/</v>
      </c>
      <c r="B60" s="15" t="str">
        <f>IFERROR(__xludf.DUMMYFUNCTION("""COMPUTED_VALUE"""),"Top Branding Agencies in UK (2026)")</f>
        <v>Top Branding Agencies in UK (2026)</v>
      </c>
      <c r="C60" s="14" t="str">
        <f>IFERROR(__xludf.DUMMYFUNCTION("""COMPUTED_VALUE"""),"digitalagencynetwork.com")</f>
        <v>digitalagencynetwork.com</v>
      </c>
      <c r="D60" s="15" t="str">
        <f>IFERROR(__xludf.DUMMYFUNCTION("""COMPUTED_VALUE"""),"CATEGORY_PAGE")</f>
        <v>CATEGORY_PAGE</v>
      </c>
      <c r="E60" s="15" t="str">
        <f>IFERROR(__xludf.DUMMYFUNCTION("""COMPUTED_VALUE"""),"REFERENCE")</f>
        <v>REFERENCE</v>
      </c>
      <c r="F60" s="15" t="str">
        <f>IFERROR(__xludf.DUMMYFUNCTION("""COMPUTED_VALUE"""),"Category Page")</f>
        <v>Category Page</v>
      </c>
      <c r="G60" s="15" t="b">
        <f>IFERROR(__xludf.DUMMYFUNCTION("""COMPUTED_VALUE"""),FALSE)</f>
        <v>0</v>
      </c>
      <c r="H60" s="15" t="str">
        <f>IFERROR(__xludf.DUMMYFUNCTION("""COMPUTED_VALUE"""),"Favoured, Bird Marketing, Hallam, M3.agency, Impression")</f>
        <v>Favoured, Bird Marketing, Hallam, M3.agency, Impression</v>
      </c>
      <c r="I60" s="15">
        <f>IFERROR(__xludf.DUMMYFUNCTION("""COMPUTED_VALUE"""),7.0)</f>
        <v>7</v>
      </c>
      <c r="J60" s="15">
        <f>IFERROR(__xludf.DUMMYFUNCTION("""COMPUTED_VALUE"""),0.01)</f>
        <v>0.01</v>
      </c>
      <c r="K60" s="15">
        <f>IFERROR(__xludf.DUMMYFUNCTION("""COMPUTED_VALUE"""),0.29)</f>
        <v>0.29</v>
      </c>
    </row>
    <row r="61" ht="15.75" customHeight="1">
      <c r="A61" s="14" t="str">
        <f>IFERROR(__xludf.DUMMYFUNCTION("""COMPUTED_VALUE"""),"https://www.aeodirectory.com/aeo/search/?country=United+Kingdom&amp;page=7")</f>
        <v>https://www.aeodirectory.com/aeo/search/?country=United+Kingdom&amp;page=7</v>
      </c>
      <c r="B61" s="15"/>
      <c r="C61" s="14" t="str">
        <f>IFERROR(__xludf.DUMMYFUNCTION("""COMPUTED_VALUE"""),"aeodirectory.com")</f>
        <v>aeodirectory.com</v>
      </c>
      <c r="D61" s="15" t="str">
        <f>IFERROR(__xludf.DUMMYFUNCTION("""COMPUTED_VALUE"""),"CATEGORY_PAGE")</f>
        <v>CATEGORY_PAGE</v>
      </c>
      <c r="E61" s="15" t="str">
        <f>IFERROR(__xludf.DUMMYFUNCTION("""COMPUTED_VALUE"""),"REFERENCE")</f>
        <v>REFERENCE</v>
      </c>
      <c r="F61" s="15" t="str">
        <f>IFERROR(__xludf.DUMMYFUNCTION("""COMPUTED_VALUE"""),"Category Page")</f>
        <v>Category Page</v>
      </c>
      <c r="G61" s="15" t="b">
        <f>IFERROR(__xludf.DUMMYFUNCTION("""COMPUTED_VALUE"""),FALSE)</f>
        <v>0</v>
      </c>
      <c r="H61" s="15"/>
      <c r="I61" s="15">
        <f>IFERROR(__xludf.DUMMYFUNCTION("""COMPUTED_VALUE"""),6.0)</f>
        <v>6</v>
      </c>
      <c r="J61" s="15">
        <f>IFERROR(__xludf.DUMMYFUNCTION("""COMPUTED_VALUE"""),0.01)</f>
        <v>0.01</v>
      </c>
      <c r="K61" s="15">
        <f>IFERROR(__xludf.DUMMYFUNCTION("""COMPUTED_VALUE"""),0.0)</f>
        <v>0</v>
      </c>
    </row>
    <row r="62" ht="15.75" customHeight="1">
      <c r="A62" s="14" t="str">
        <f>IFERROR(__xludf.DUMMYFUNCTION("""COMPUTED_VALUE"""),"https://agencies.semrush.com/list/ai-optimization/united-kingdom/enterprise-business/")</f>
        <v>https://agencies.semrush.com/list/ai-optimization/united-kingdom/enterprise-business/</v>
      </c>
      <c r="B62" s="15" t="str">
        <f>IFERROR(__xludf.DUMMYFUNCTION("""COMPUTED_VALUE"""),"Best AI Search Optimization Agencies for Enterprise Business in United Kingdom 2026 | Semrush")</f>
        <v>Best AI Search Optimization Agencies for Enterprise Business in United Kingdom 2026 | Semrush</v>
      </c>
      <c r="C62" s="14" t="str">
        <f>IFERROR(__xludf.DUMMYFUNCTION("""COMPUTED_VALUE"""),"semrush.com")</f>
        <v>semrush.com</v>
      </c>
      <c r="D62" s="15" t="str">
        <f>IFERROR(__xludf.DUMMYFUNCTION("""COMPUTED_VALUE"""),"CATEGORY_PAGE")</f>
        <v>CATEGORY_PAGE</v>
      </c>
      <c r="E62" s="15" t="str">
        <f>IFERROR(__xludf.DUMMYFUNCTION("""COMPUTED_VALUE"""),"CORPORATE")</f>
        <v>CORPORATE</v>
      </c>
      <c r="F62" s="15" t="str">
        <f>IFERROR(__xludf.DUMMYFUNCTION("""COMPUTED_VALUE"""),"Category Page")</f>
        <v>Category Page</v>
      </c>
      <c r="G62" s="15" t="b">
        <f>IFERROR(__xludf.DUMMYFUNCTION("""COMPUTED_VALUE"""),FALSE)</f>
        <v>0</v>
      </c>
      <c r="H62" s="15" t="str">
        <f>IFERROR(__xludf.DUMMYFUNCTION("""COMPUTED_VALUE"""),"Found, Measured, Click Intelligence, Momentum, The SEO Works, Gravity Global, ROAST, Huge")</f>
        <v>Found, Measured, Click Intelligence, Momentum, The SEO Works, Gravity Global, ROAST, Huge</v>
      </c>
      <c r="I62" s="15">
        <f>IFERROR(__xludf.DUMMYFUNCTION("""COMPUTED_VALUE"""),6.0)</f>
        <v>6</v>
      </c>
      <c r="J62" s="15">
        <f>IFERROR(__xludf.DUMMYFUNCTION("""COMPUTED_VALUE"""),0.01)</f>
        <v>0.01</v>
      </c>
      <c r="K62" s="15">
        <f>IFERROR(__xludf.DUMMYFUNCTION("""COMPUTED_VALUE"""),0.0)</f>
        <v>0</v>
      </c>
    </row>
    <row r="63" ht="15.75" customHeight="1">
      <c r="A63" s="14" t="str">
        <f>IFERROR(__xludf.DUMMYFUNCTION("""COMPUTED_VALUE"""),"https://agencies.semrush.com/list/analytics-data-science/business-professional-services/united-kingdom/")</f>
        <v>https://agencies.semrush.com/list/analytics-data-science/business-professional-services/united-kingdom/</v>
      </c>
      <c r="B63" s="15" t="str">
        <f>IFERROR(__xludf.DUMMYFUNCTION("""COMPUTED_VALUE"""),"Best B2B Services Data Analytics Services in United Kingdom 2026 | Semrush")</f>
        <v>Best B2B Services Data Analytics Services in United Kingdom 2026 | Semrush</v>
      </c>
      <c r="C63" s="14" t="str">
        <f>IFERROR(__xludf.DUMMYFUNCTION("""COMPUTED_VALUE"""),"semrush.com")</f>
        <v>semrush.com</v>
      </c>
      <c r="D63" s="15" t="str">
        <f>IFERROR(__xludf.DUMMYFUNCTION("""COMPUTED_VALUE"""),"CATEGORY_PAGE")</f>
        <v>CATEGORY_PAGE</v>
      </c>
      <c r="E63" s="15" t="str">
        <f>IFERROR(__xludf.DUMMYFUNCTION("""COMPUTED_VALUE"""),"CORPORATE")</f>
        <v>CORPORATE</v>
      </c>
      <c r="F63" s="15" t="str">
        <f>IFERROR(__xludf.DUMMYFUNCTION("""COMPUTED_VALUE"""),"Category Page")</f>
        <v>Category Page</v>
      </c>
      <c r="G63" s="15" t="b">
        <f>IFERROR(__xludf.DUMMYFUNCTION("""COMPUTED_VALUE"""),FALSE)</f>
        <v>0</v>
      </c>
      <c r="H63" s="15" t="str">
        <f>IFERROR(__xludf.DUMMYFUNCTION("""COMPUTED_VALUE"""),"Found, The SEO Works, Huge, Measured")</f>
        <v>Found, The SEO Works, Huge, Measured</v>
      </c>
      <c r="I63" s="15">
        <f>IFERROR(__xludf.DUMMYFUNCTION("""COMPUTED_VALUE"""),6.0)</f>
        <v>6</v>
      </c>
      <c r="J63" s="15">
        <f>IFERROR(__xludf.DUMMYFUNCTION("""COMPUTED_VALUE"""),0.01)</f>
        <v>0.01</v>
      </c>
      <c r="K63" s="15">
        <f>IFERROR(__xludf.DUMMYFUNCTION("""COMPUTED_VALUE"""),0.0)</f>
        <v>0</v>
      </c>
    </row>
    <row r="64" ht="15.75" customHeight="1">
      <c r="A64" s="14" t="str">
        <f>IFERROR(__xludf.DUMMYFUNCTION("""COMPUTED_VALUE"""),"https://clutch.co/agencies/ppc/display")</f>
        <v>https://clutch.co/agencies/ppc/display</v>
      </c>
      <c r="B64" s="15" t="str">
        <f>IFERROR(__xludf.DUMMYFUNCTION("""COMPUTED_VALUE"""),"Top Display Advertising Agencies - Jul 2026 Rankings | Clutch.co")</f>
        <v>Top Display Advertising Agencies - Jul 2026 Rankings | Clutch.co</v>
      </c>
      <c r="C64" s="14" t="str">
        <f>IFERROR(__xludf.DUMMYFUNCTION("""COMPUTED_VALUE"""),"clutch.co")</f>
        <v>clutch.co</v>
      </c>
      <c r="D64" s="15" t="str">
        <f>IFERROR(__xludf.DUMMYFUNCTION("""COMPUTED_VALUE"""),"CATEGORY_PAGE")</f>
        <v>CATEGORY_PAGE</v>
      </c>
      <c r="E64" s="15" t="str">
        <f>IFERROR(__xludf.DUMMYFUNCTION("""COMPUTED_VALUE"""),"CORPORATE")</f>
        <v>CORPORATE</v>
      </c>
      <c r="F64" s="15" t="str">
        <f>IFERROR(__xludf.DUMMYFUNCTION("""COMPUTED_VALUE"""),"Category Page")</f>
        <v>Category Page</v>
      </c>
      <c r="G64" s="15" t="b">
        <f>IFERROR(__xludf.DUMMYFUNCTION("""COMPUTED_VALUE"""),FALSE)</f>
        <v>0</v>
      </c>
      <c r="H64" s="15" t="str">
        <f>IFERROR(__xludf.DUMMYFUNCTION("""COMPUTED_VALUE"""),"Ninja Promo, Soap Media, Found, The SEO Works, GA Agency")</f>
        <v>Ninja Promo, Soap Media, Found, The SEO Works, GA Agency</v>
      </c>
      <c r="I64" s="15">
        <f>IFERROR(__xludf.DUMMYFUNCTION("""COMPUTED_VALUE"""),6.0)</f>
        <v>6</v>
      </c>
      <c r="J64" s="15">
        <f>IFERROR(__xludf.DUMMYFUNCTION("""COMPUTED_VALUE"""),0.01)</f>
        <v>0.01</v>
      </c>
      <c r="K64" s="15">
        <f>IFERROR(__xludf.DUMMYFUNCTION("""COMPUTED_VALUE"""),0.0)</f>
        <v>0</v>
      </c>
    </row>
    <row r="65" ht="15.75" customHeight="1">
      <c r="A65" s="14" t="str">
        <f>IFERROR(__xludf.DUMMYFUNCTION("""COMPUTED_VALUE"""),"https://www.sortlist.co.uk/s/ai-marketing/greater-london-england-gb")</f>
        <v>https://www.sortlist.co.uk/s/ai-marketing/greater-london-england-gb</v>
      </c>
      <c r="B65" s="15" t="str">
        <f>IFERROR(__xludf.DUMMYFUNCTION("""COMPUTED_VALUE"""),"The 10 Best AI Marketing Companies in Greater London - 2026 Reviews")</f>
        <v>The 10 Best AI Marketing Companies in Greater London - 2026 Reviews</v>
      </c>
      <c r="C65" s="14" t="str">
        <f>IFERROR(__xludf.DUMMYFUNCTION("""COMPUTED_VALUE"""),"sortlist.co.uk")</f>
        <v>sortlist.co.uk</v>
      </c>
      <c r="D65" s="15" t="str">
        <f>IFERROR(__xludf.DUMMYFUNCTION("""COMPUTED_VALUE"""),"CATEGORY_PAGE")</f>
        <v>CATEGORY_PAGE</v>
      </c>
      <c r="E65" s="15" t="str">
        <f>IFERROR(__xludf.DUMMYFUNCTION("""COMPUTED_VALUE"""),"REFERENCE")</f>
        <v>REFERENCE</v>
      </c>
      <c r="F65" s="15" t="str">
        <f>IFERROR(__xludf.DUMMYFUNCTION("""COMPUTED_VALUE"""),"Category Page")</f>
        <v>Category Page</v>
      </c>
      <c r="G65" s="15" t="b">
        <f>IFERROR(__xludf.DUMMYFUNCTION("""COMPUTED_VALUE"""),FALSE)</f>
        <v>0</v>
      </c>
      <c r="H65" s="15" t="str">
        <f>IFERROR(__xludf.DUMMYFUNCTION("""COMPUTED_VALUE"""),"Hallam")</f>
        <v>Hallam</v>
      </c>
      <c r="I65" s="15">
        <f>IFERROR(__xludf.DUMMYFUNCTION("""COMPUTED_VALUE"""),6.0)</f>
        <v>6</v>
      </c>
      <c r="J65" s="15">
        <f>IFERROR(__xludf.DUMMYFUNCTION("""COMPUTED_VALUE"""),0.01)</f>
        <v>0.01</v>
      </c>
      <c r="K65" s="15">
        <f>IFERROR(__xludf.DUMMYFUNCTION("""COMPUTED_VALUE"""),0.0)</f>
        <v>0</v>
      </c>
    </row>
    <row r="66" ht="15.75" customHeight="1">
      <c r="A66" s="14" t="str">
        <f>IFERROR(__xludf.DUMMYFUNCTION("""COMPUTED_VALUE"""),"https://www.sortlist.co.uk/s/paid-media/england-england-gb")</f>
        <v>https://www.sortlist.co.uk/s/paid-media/england-england-gb</v>
      </c>
      <c r="B66" s="15" t="str">
        <f>IFERROR(__xludf.DUMMYFUNCTION("""COMPUTED_VALUE"""),"The 10 Best Paid Media Agencies in England - 2026 Reviews")</f>
        <v>The 10 Best Paid Media Agencies in England - 2026 Reviews</v>
      </c>
      <c r="C66" s="14" t="str">
        <f>IFERROR(__xludf.DUMMYFUNCTION("""COMPUTED_VALUE"""),"sortlist.co.uk")</f>
        <v>sortlist.co.uk</v>
      </c>
      <c r="D66" s="15" t="str">
        <f>IFERROR(__xludf.DUMMYFUNCTION("""COMPUTED_VALUE"""),"CATEGORY_PAGE")</f>
        <v>CATEGORY_PAGE</v>
      </c>
      <c r="E66" s="15" t="str">
        <f>IFERROR(__xludf.DUMMYFUNCTION("""COMPUTED_VALUE"""),"REFERENCE")</f>
        <v>REFERENCE</v>
      </c>
      <c r="F66" s="15" t="str">
        <f>IFERROR(__xludf.DUMMYFUNCTION("""COMPUTED_VALUE"""),"Category Page")</f>
        <v>Category Page</v>
      </c>
      <c r="G66" s="15" t="b">
        <f>IFERROR(__xludf.DUMMYFUNCTION("""COMPUTED_VALUE"""),FALSE)</f>
        <v>0</v>
      </c>
      <c r="H66" s="15" t="str">
        <f>IFERROR(__xludf.DUMMYFUNCTION("""COMPUTED_VALUE"""),"Push, Triple Whale, Northbeam, Found, Momentum, M3.agency, McKinsey &amp; Company")</f>
        <v>Push, Triple Whale, Northbeam, Found, Momentum, M3.agency, McKinsey &amp; Company</v>
      </c>
      <c r="I66" s="15">
        <f>IFERROR(__xludf.DUMMYFUNCTION("""COMPUTED_VALUE"""),6.0)</f>
        <v>6</v>
      </c>
      <c r="J66" s="15">
        <f>IFERROR(__xludf.DUMMYFUNCTION("""COMPUTED_VALUE"""),0.01)</f>
        <v>0.01</v>
      </c>
      <c r="K66" s="15">
        <f>IFERROR(__xludf.DUMMYFUNCTION("""COMPUTED_VALUE"""),0.5)</f>
        <v>0.5</v>
      </c>
    </row>
    <row r="67" ht="15.75" customHeight="1">
      <c r="A67" s="14" t="str">
        <f>IFERROR(__xludf.DUMMYFUNCTION("""COMPUTED_VALUE"""),"https://clutch.co/agencies/performance-marketing")</f>
        <v>https://clutch.co/agencies/performance-marketing</v>
      </c>
      <c r="B67" s="15" t="str">
        <f>IFERROR(__xludf.DUMMYFUNCTION("""COMPUTED_VALUE"""),"Top Performance Marketing Agencies - Jul 2026 Rankings | Clutch.co")</f>
        <v>Top Performance Marketing Agencies - Jul 2026 Rankings | Clutch.co</v>
      </c>
      <c r="C67" s="14" t="str">
        <f>IFERROR(__xludf.DUMMYFUNCTION("""COMPUTED_VALUE"""),"clutch.co")</f>
        <v>clutch.co</v>
      </c>
      <c r="D67" s="15" t="str">
        <f>IFERROR(__xludf.DUMMYFUNCTION("""COMPUTED_VALUE"""),"CATEGORY_PAGE")</f>
        <v>CATEGORY_PAGE</v>
      </c>
      <c r="E67" s="15" t="str">
        <f>IFERROR(__xludf.DUMMYFUNCTION("""COMPUTED_VALUE"""),"CORPORATE")</f>
        <v>CORPORATE</v>
      </c>
      <c r="F67" s="15" t="str">
        <f>IFERROR(__xludf.DUMMYFUNCTION("""COMPUTED_VALUE"""),"Category Page")</f>
        <v>Category Page</v>
      </c>
      <c r="G67" s="15" t="b">
        <f>IFERROR(__xludf.DUMMYFUNCTION("""COMPUTED_VALUE"""),FALSE)</f>
        <v>0</v>
      </c>
      <c r="H67" s="15" t="str">
        <f>IFERROR(__xludf.DUMMYFUNCTION("""COMPUTED_VALUE"""),"Disruptive Advertising, Launch Online, Found, Momentum, GA Agency")</f>
        <v>Disruptive Advertising, Launch Online, Found, Momentum, GA Agency</v>
      </c>
      <c r="I67" s="15">
        <f>IFERROR(__xludf.DUMMYFUNCTION("""COMPUTED_VALUE"""),5.0)</f>
        <v>5</v>
      </c>
      <c r="J67" s="15">
        <f>IFERROR(__xludf.DUMMYFUNCTION("""COMPUTED_VALUE"""),0.0)</f>
        <v>0</v>
      </c>
      <c r="K67" s="15">
        <f>IFERROR(__xludf.DUMMYFUNCTION("""COMPUTED_VALUE"""),0.8)</f>
        <v>0.8</v>
      </c>
    </row>
    <row r="68" ht="15.75" customHeight="1">
      <c r="A68" s="14" t="str">
        <f>IFERROR(__xludf.DUMMYFUNCTION("""COMPUTED_VALUE"""),"https://clutch.co/agencies/ppc/display/uk?page=1")</f>
        <v>https://clutch.co/agencies/ppc/display/uk?page=1</v>
      </c>
      <c r="B68" s="15" t="str">
        <f>IFERROR(__xludf.DUMMYFUNCTION("""COMPUTED_VALUE"""),"Page 2 - Top Display Advertising Services in the United Kingdom - Jul 2026 Rankings \| Clutch.co")</f>
        <v>Page 2 - Top Display Advertising Services in the United Kingdom - Jul 2026 Rankings \| Clutch.co</v>
      </c>
      <c r="C68" s="14" t="str">
        <f>IFERROR(__xludf.DUMMYFUNCTION("""COMPUTED_VALUE"""),"clutch.co")</f>
        <v>clutch.co</v>
      </c>
      <c r="D68" s="15" t="str">
        <f>IFERROR(__xludf.DUMMYFUNCTION("""COMPUTED_VALUE"""),"CATEGORY_PAGE")</f>
        <v>CATEGORY_PAGE</v>
      </c>
      <c r="E68" s="15" t="str">
        <f>IFERROR(__xludf.DUMMYFUNCTION("""COMPUTED_VALUE"""),"CORPORATE")</f>
        <v>CORPORATE</v>
      </c>
      <c r="F68" s="15" t="str">
        <f>IFERROR(__xludf.DUMMYFUNCTION("""COMPUTED_VALUE"""),"Category Page")</f>
        <v>Category Page</v>
      </c>
      <c r="G68" s="15" t="b">
        <f>IFERROR(__xludf.DUMMYFUNCTION("""COMPUTED_VALUE"""),FALSE)</f>
        <v>0</v>
      </c>
      <c r="H68" s="15" t="str">
        <f>IFERROR(__xludf.DUMMYFUNCTION("""COMPUTED_VALUE"""),"Ninja Promo, Soap Media, The SEO Works, GA Agency, Bind Media, Found")</f>
        <v>Ninja Promo, Soap Media, The SEO Works, GA Agency, Bind Media, Found</v>
      </c>
      <c r="I68" s="15">
        <f>IFERROR(__xludf.DUMMYFUNCTION("""COMPUTED_VALUE"""),5.0)</f>
        <v>5</v>
      </c>
      <c r="J68" s="15">
        <f>IFERROR(__xludf.DUMMYFUNCTION("""COMPUTED_VALUE"""),0.0)</f>
        <v>0</v>
      </c>
      <c r="K68" s="15">
        <f>IFERROR(__xludf.DUMMYFUNCTION("""COMPUTED_VALUE"""),0.0)</f>
        <v>0</v>
      </c>
    </row>
    <row r="69" ht="15.75" customHeight="1">
      <c r="A69" s="14" t="str">
        <f>IFERROR(__xludf.DUMMYFUNCTION("""COMPUTED_VALUE"""),"https://www.designrush.com/agency/social-media-marketing/uk")</f>
        <v>https://www.designrush.com/agency/social-media-marketing/uk</v>
      </c>
      <c r="B69" s="15" t="str">
        <f>IFERROR(__xludf.DUMMYFUNCTION("""COMPUTED_VALUE"""),"Top Social Media Marketing Companies in the United Kingdom | 2026")</f>
        <v>Top Social Media Marketing Companies in the United Kingdom | 2026</v>
      </c>
      <c r="C69" s="14" t="str">
        <f>IFERROR(__xludf.DUMMYFUNCTION("""COMPUTED_VALUE"""),"designrush.com")</f>
        <v>designrush.com</v>
      </c>
      <c r="D69" s="15" t="str">
        <f>IFERROR(__xludf.DUMMYFUNCTION("""COMPUTED_VALUE"""),"CATEGORY_PAGE")</f>
        <v>CATEGORY_PAGE</v>
      </c>
      <c r="E69" s="15" t="str">
        <f>IFERROR(__xludf.DUMMYFUNCTION("""COMPUTED_VALUE"""),"CORPORATE")</f>
        <v>CORPORATE</v>
      </c>
      <c r="F69" s="15" t="str">
        <f>IFERROR(__xludf.DUMMYFUNCTION("""COMPUTED_VALUE"""),"Category Page")</f>
        <v>Category Page</v>
      </c>
      <c r="G69" s="15" t="b">
        <f>IFERROR(__xludf.DUMMYFUNCTION("""COMPUTED_VALUE"""),FALSE)</f>
        <v>0</v>
      </c>
      <c r="H69" s="15" t="str">
        <f>IFERROR(__xludf.DUMMYFUNCTION("""COMPUTED_VALUE"""),"WebFX, Nielsen, Bird Marketing, Genie Crawl, Favoured, Impression, The SEO Works")</f>
        <v>WebFX, Nielsen, Bird Marketing, Genie Crawl, Favoured, Impression, The SEO Works</v>
      </c>
      <c r="I69" s="15">
        <f>IFERROR(__xludf.DUMMYFUNCTION("""COMPUTED_VALUE"""),5.0)</f>
        <v>5</v>
      </c>
      <c r="J69" s="15">
        <f>IFERROR(__xludf.DUMMYFUNCTION("""COMPUTED_VALUE"""),0.0)</f>
        <v>0</v>
      </c>
      <c r="K69" s="15">
        <f>IFERROR(__xludf.DUMMYFUNCTION("""COMPUTED_VALUE"""),0.0)</f>
        <v>0</v>
      </c>
    </row>
    <row r="70" ht="15.75" customHeight="1">
      <c r="A70" s="14" t="str">
        <f>IFERROR(__xludf.DUMMYFUNCTION("""COMPUTED_VALUE"""),"https://enterprisemarketingportal.google/work-with-partners")</f>
        <v>https://enterprisemarketingportal.google/work-with-partners</v>
      </c>
      <c r="B70" s="15" t="str">
        <f>IFERROR(__xludf.DUMMYFUNCTION("""COMPUTED_VALUE"""),"Work with Partners")</f>
        <v>Work with Partners</v>
      </c>
      <c r="C70" s="15" t="str">
        <f>IFERROR(__xludf.DUMMYFUNCTION("""COMPUTED_VALUE"""),"enterprisemarketingportal.google")</f>
        <v>enterprisemarketingportal.google</v>
      </c>
      <c r="D70" s="15" t="str">
        <f>IFERROR(__xludf.DUMMYFUNCTION("""COMPUTED_VALUE"""),"CATEGORY_PAGE")</f>
        <v>CATEGORY_PAGE</v>
      </c>
      <c r="E70" s="15" t="str">
        <f>IFERROR(__xludf.DUMMYFUNCTION("""COMPUTED_VALUE"""),"CORPORATE")</f>
        <v>CORPORATE</v>
      </c>
      <c r="F70" s="15" t="str">
        <f>IFERROR(__xludf.DUMMYFUNCTION("""COMPUTED_VALUE"""),"Category Page")</f>
        <v>Category Page</v>
      </c>
      <c r="G70" s="15" t="b">
        <f>IFERROR(__xludf.DUMMYFUNCTION("""COMPUTED_VALUE"""),FALSE)</f>
        <v>0</v>
      </c>
      <c r="H70" s="15"/>
      <c r="I70" s="15">
        <f>IFERROR(__xludf.DUMMYFUNCTION("""COMPUTED_VALUE"""),5.0)</f>
        <v>5</v>
      </c>
      <c r="J70" s="15">
        <f>IFERROR(__xludf.DUMMYFUNCTION("""COMPUTED_VALUE"""),0.0)</f>
        <v>0</v>
      </c>
      <c r="K70" s="15">
        <f>IFERROR(__xludf.DUMMYFUNCTION("""COMPUTED_VALUE"""),2.8)</f>
        <v>2.8</v>
      </c>
    </row>
    <row r="71" ht="15.75" customHeight="1">
      <c r="A71" s="14" t="str">
        <f>IFERROR(__xludf.DUMMYFUNCTION("""COMPUTED_VALUE"""),"https://www.goodfirms.co/advertising-companies/creative/uk")</f>
        <v>https://www.goodfirms.co/advertising-companies/creative/uk</v>
      </c>
      <c r="B71" s="15" t="str">
        <f>IFERROR(__xludf.DUMMYFUNCTION("""COMPUTED_VALUE"""),"Top Creative Agencies in the United Kingdom - 2026 Reviews | Goodfirms")</f>
        <v>Top Creative Agencies in the United Kingdom - 2026 Reviews | Goodfirms</v>
      </c>
      <c r="C71" s="14" t="str">
        <f>IFERROR(__xludf.DUMMYFUNCTION("""COMPUTED_VALUE"""),"goodfirms.co")</f>
        <v>goodfirms.co</v>
      </c>
      <c r="D71" s="15" t="str">
        <f>IFERROR(__xludf.DUMMYFUNCTION("""COMPUTED_VALUE"""),"CATEGORY_PAGE")</f>
        <v>CATEGORY_PAGE</v>
      </c>
      <c r="E71" s="15" t="str">
        <f>IFERROR(__xludf.DUMMYFUNCTION("""COMPUTED_VALUE"""),"UGC")</f>
        <v>UGC</v>
      </c>
      <c r="F71" s="15" t="str">
        <f>IFERROR(__xludf.DUMMYFUNCTION("""COMPUTED_VALUE"""),"Category Page")</f>
        <v>Category Page</v>
      </c>
      <c r="G71" s="15" t="b">
        <f>IFERROR(__xludf.DUMMYFUNCTION("""COMPUTED_VALUE"""),FALSE)</f>
        <v>0</v>
      </c>
      <c r="H71" s="15" t="str">
        <f>IFERROR(__xludf.DUMMYFUNCTION("""COMPUTED_VALUE"""),"Haus, Found")</f>
        <v>Haus, Found</v>
      </c>
      <c r="I71" s="15">
        <f>IFERROR(__xludf.DUMMYFUNCTION("""COMPUTED_VALUE"""),5.0)</f>
        <v>5</v>
      </c>
      <c r="J71" s="15">
        <f>IFERROR(__xludf.DUMMYFUNCTION("""COMPUTED_VALUE"""),0.0)</f>
        <v>0</v>
      </c>
      <c r="K71" s="15">
        <f>IFERROR(__xludf.DUMMYFUNCTION("""COMPUTED_VALUE"""),0.0)</f>
        <v>0</v>
      </c>
    </row>
    <row r="72" ht="15.75" customHeight="1">
      <c r="A72" s="14" t="str">
        <f>IFERROR(__xludf.DUMMYFUNCTION("""COMPUTED_VALUE"""),"https://www.goodfirms.co/directory/country/top-digital-marketing-companies/advertising-ppc/uk")</f>
        <v>https://www.goodfirms.co/directory/country/top-digital-marketing-companies/advertising-ppc/uk</v>
      </c>
      <c r="B72" s="15" t="str">
        <f>IFERROR(__xludf.DUMMYFUNCTION("""COMPUTED_VALUE"""),"Top PPC Agencies in the UK - 2026 Reviews | Goodfirms")</f>
        <v>Top PPC Agencies in the UK - 2026 Reviews | Goodfirms</v>
      </c>
      <c r="C72" s="14" t="str">
        <f>IFERROR(__xludf.DUMMYFUNCTION("""COMPUTED_VALUE"""),"goodfirms.co")</f>
        <v>goodfirms.co</v>
      </c>
      <c r="D72" s="15" t="str">
        <f>IFERROR(__xludf.DUMMYFUNCTION("""COMPUTED_VALUE"""),"CATEGORY_PAGE")</f>
        <v>CATEGORY_PAGE</v>
      </c>
      <c r="E72" s="15" t="str">
        <f>IFERROR(__xludf.DUMMYFUNCTION("""COMPUTED_VALUE"""),"UGC")</f>
        <v>UGC</v>
      </c>
      <c r="F72" s="15" t="str">
        <f>IFERROR(__xludf.DUMMYFUNCTION("""COMPUTED_VALUE"""),"Category Page")</f>
        <v>Category Page</v>
      </c>
      <c r="G72" s="15" t="b">
        <f>IFERROR(__xludf.DUMMYFUNCTION("""COMPUTED_VALUE"""),FALSE)</f>
        <v>0</v>
      </c>
      <c r="H72" s="15" t="str">
        <f>IFERROR(__xludf.DUMMYFUNCTION("""COMPUTED_VALUE"""),"WebFX, The SEO Works, Bird Marketing, Push, Found")</f>
        <v>WebFX, The SEO Works, Bird Marketing, Push, Found</v>
      </c>
      <c r="I72" s="15">
        <f>IFERROR(__xludf.DUMMYFUNCTION("""COMPUTED_VALUE"""),5.0)</f>
        <v>5</v>
      </c>
      <c r="J72" s="15">
        <f>IFERROR(__xludf.DUMMYFUNCTION("""COMPUTED_VALUE"""),0.0)</f>
        <v>0</v>
      </c>
      <c r="K72" s="15">
        <f>IFERROR(__xludf.DUMMYFUNCTION("""COMPUTED_VALUE"""),0.0)</f>
        <v>0</v>
      </c>
    </row>
    <row r="73" ht="15.75" customHeight="1">
      <c r="A73" s="14" t="str">
        <f>IFERROR(__xludf.DUMMYFUNCTION("""COMPUTED_VALUE"""),"https://www.sortlist.co.uk/branding/united-kingdom-gb")</f>
        <v>https://www.sortlist.co.uk/branding/united-kingdom-gb</v>
      </c>
      <c r="B73" s="15" t="str">
        <f>IFERROR(__xludf.DUMMYFUNCTION("""COMPUTED_VALUE"""),"The 10 Best Branding Agencies in The United Kingdom - 2026 Reviews")</f>
        <v>The 10 Best Branding Agencies in The United Kingdom - 2026 Reviews</v>
      </c>
      <c r="C73" s="14" t="str">
        <f>IFERROR(__xludf.DUMMYFUNCTION("""COMPUTED_VALUE"""),"sortlist.co.uk")</f>
        <v>sortlist.co.uk</v>
      </c>
      <c r="D73" s="15" t="str">
        <f>IFERROR(__xludf.DUMMYFUNCTION("""COMPUTED_VALUE"""),"CATEGORY_PAGE")</f>
        <v>CATEGORY_PAGE</v>
      </c>
      <c r="E73" s="15" t="str">
        <f>IFERROR(__xludf.DUMMYFUNCTION("""COMPUTED_VALUE"""),"REFERENCE")</f>
        <v>REFERENCE</v>
      </c>
      <c r="F73" s="15" t="str">
        <f>IFERROR(__xludf.DUMMYFUNCTION("""COMPUTED_VALUE"""),"Category Page")</f>
        <v>Category Page</v>
      </c>
      <c r="G73" s="15" t="b">
        <f>IFERROR(__xludf.DUMMYFUNCTION("""COMPUTED_VALUE"""),FALSE)</f>
        <v>0</v>
      </c>
      <c r="H73" s="15" t="str">
        <f>IFERROR(__xludf.DUMMYFUNCTION("""COMPUTED_VALUE"""),"Momentum, M3.agency, Found, McKinsey &amp; Company")</f>
        <v>Momentum, M3.agency, Found, McKinsey &amp; Company</v>
      </c>
      <c r="I73" s="15">
        <f>IFERROR(__xludf.DUMMYFUNCTION("""COMPUTED_VALUE"""),5.0)</f>
        <v>5</v>
      </c>
      <c r="J73" s="15">
        <f>IFERROR(__xludf.DUMMYFUNCTION("""COMPUTED_VALUE"""),0.0)</f>
        <v>0</v>
      </c>
      <c r="K73" s="15">
        <f>IFERROR(__xludf.DUMMYFUNCTION("""COMPUTED_VALUE"""),0.0)</f>
        <v>0</v>
      </c>
    </row>
    <row r="74" ht="15.75" customHeight="1">
      <c r="A74" s="14" t="str">
        <f>IFERROR(__xludf.DUMMYFUNCTION("""COMPUTED_VALUE"""),"https://www.sortlist.co.uk/digital-marketing/united-kingdom-gb")</f>
        <v>https://www.sortlist.co.uk/digital-marketing/united-kingdom-gb</v>
      </c>
      <c r="B74" s="15" t="str">
        <f>IFERROR(__xludf.DUMMYFUNCTION("""COMPUTED_VALUE"""),"100+ Top Digital Marketing Agencies in the UK - 2026 Reviews")</f>
        <v>100+ Top Digital Marketing Agencies in the UK - 2026 Reviews</v>
      </c>
      <c r="C74" s="14" t="str">
        <f>IFERROR(__xludf.DUMMYFUNCTION("""COMPUTED_VALUE"""),"sortlist.co.uk")</f>
        <v>sortlist.co.uk</v>
      </c>
      <c r="D74" s="15" t="str">
        <f>IFERROR(__xludf.DUMMYFUNCTION("""COMPUTED_VALUE"""),"CATEGORY_PAGE")</f>
        <v>CATEGORY_PAGE</v>
      </c>
      <c r="E74" s="15" t="str">
        <f>IFERROR(__xludf.DUMMYFUNCTION("""COMPUTED_VALUE"""),"REFERENCE")</f>
        <v>REFERENCE</v>
      </c>
      <c r="F74" s="15" t="str">
        <f>IFERROR(__xludf.DUMMYFUNCTION("""COMPUTED_VALUE"""),"Category Page")</f>
        <v>Category Page</v>
      </c>
      <c r="G74" s="15" t="b">
        <f>IFERROR(__xludf.DUMMYFUNCTION("""COMPUTED_VALUE"""),FALSE)</f>
        <v>0</v>
      </c>
      <c r="H74" s="15" t="str">
        <f>IFERROR(__xludf.DUMMYFUNCTION("""COMPUTED_VALUE"""),"Found, Momentum, M3.agency")</f>
        <v>Found, Momentum, M3.agency</v>
      </c>
      <c r="I74" s="15">
        <f>IFERROR(__xludf.DUMMYFUNCTION("""COMPUTED_VALUE"""),5.0)</f>
        <v>5</v>
      </c>
      <c r="J74" s="15">
        <f>IFERROR(__xludf.DUMMYFUNCTION("""COMPUTED_VALUE"""),0.0)</f>
        <v>0</v>
      </c>
      <c r="K74" s="15">
        <f>IFERROR(__xludf.DUMMYFUNCTION("""COMPUTED_VALUE"""),0.0)</f>
        <v>0</v>
      </c>
    </row>
    <row r="75" ht="15.75" customHeight="1">
      <c r="A75" s="14" t="str">
        <f>IFERROR(__xludf.DUMMYFUNCTION("""COMPUTED_VALUE"""),"https://www.sortlist.co.uk/media-planning/united-kingdom-gb")</f>
        <v>https://www.sortlist.co.uk/media-planning/united-kingdom-gb</v>
      </c>
      <c r="B75" s="15" t="str">
        <f>IFERROR(__xludf.DUMMYFUNCTION("""COMPUTED_VALUE"""),"The 10 Best Media Agencies in The United Kingdom - 2026 Reviews")</f>
        <v>The 10 Best Media Agencies in The United Kingdom - 2026 Reviews</v>
      </c>
      <c r="C75" s="14" t="str">
        <f>IFERROR(__xludf.DUMMYFUNCTION("""COMPUTED_VALUE"""),"sortlist.co.uk")</f>
        <v>sortlist.co.uk</v>
      </c>
      <c r="D75" s="15" t="str">
        <f>IFERROR(__xludf.DUMMYFUNCTION("""COMPUTED_VALUE"""),"CATEGORY_PAGE")</f>
        <v>CATEGORY_PAGE</v>
      </c>
      <c r="E75" s="15" t="str">
        <f>IFERROR(__xludf.DUMMYFUNCTION("""COMPUTED_VALUE"""),"REFERENCE")</f>
        <v>REFERENCE</v>
      </c>
      <c r="F75" s="15" t="str">
        <f>IFERROR(__xludf.DUMMYFUNCTION("""COMPUTED_VALUE"""),"Category Page")</f>
        <v>Category Page</v>
      </c>
      <c r="G75" s="15" t="b">
        <f>IFERROR(__xludf.DUMMYFUNCTION("""COMPUTED_VALUE"""),FALSE)</f>
        <v>0</v>
      </c>
      <c r="H75" s="15" t="str">
        <f>IFERROR(__xludf.DUMMYFUNCTION("""COMPUTED_VALUE"""),"Momentum, M3.agency, Ninja Promo, YouGov, Kantar")</f>
        <v>Momentum, M3.agency, Ninja Promo, YouGov, Kantar</v>
      </c>
      <c r="I75" s="15">
        <f>IFERROR(__xludf.DUMMYFUNCTION("""COMPUTED_VALUE"""),5.0)</f>
        <v>5</v>
      </c>
      <c r="J75" s="15">
        <f>IFERROR(__xludf.DUMMYFUNCTION("""COMPUTED_VALUE"""),0.0)</f>
        <v>0</v>
      </c>
      <c r="K75" s="15">
        <f>IFERROR(__xludf.DUMMYFUNCTION("""COMPUTED_VALUE"""),0.0)</f>
        <v>0</v>
      </c>
    </row>
    <row r="76" ht="15.75" customHeight="1">
      <c r="A76" s="14" t="str">
        <f>IFERROR(__xludf.DUMMYFUNCTION("""COMPUTED_VALUE"""),"https://www.sortlist.co.uk/s/attribution-marketing/united-kingdom-gb")</f>
        <v>https://www.sortlist.co.uk/s/attribution-marketing/united-kingdom-gb</v>
      </c>
      <c r="B76" s="15" t="str">
        <f>IFERROR(__xludf.DUMMYFUNCTION("""COMPUTED_VALUE"""),"The 10 Best Attribution Marketing Agencies in The United Kingdom - 2026 Reviews")</f>
        <v>The 10 Best Attribution Marketing Agencies in The United Kingdom - 2026 Reviews</v>
      </c>
      <c r="C76" s="14" t="str">
        <f>IFERROR(__xludf.DUMMYFUNCTION("""COMPUTED_VALUE"""),"sortlist.co.uk")</f>
        <v>sortlist.co.uk</v>
      </c>
      <c r="D76" s="15" t="str">
        <f>IFERROR(__xludf.DUMMYFUNCTION("""COMPUTED_VALUE"""),"CATEGORY_PAGE")</f>
        <v>CATEGORY_PAGE</v>
      </c>
      <c r="E76" s="15" t="str">
        <f>IFERROR(__xludf.DUMMYFUNCTION("""COMPUTED_VALUE"""),"REFERENCE")</f>
        <v>REFERENCE</v>
      </c>
      <c r="F76" s="15" t="str">
        <f>IFERROR(__xludf.DUMMYFUNCTION("""COMPUTED_VALUE"""),"Category Page")</f>
        <v>Category Page</v>
      </c>
      <c r="G76" s="15" t="b">
        <f>IFERROR(__xludf.DUMMYFUNCTION("""COMPUTED_VALUE"""),FALSE)</f>
        <v>0</v>
      </c>
      <c r="H76" s="15" t="str">
        <f>IFERROR(__xludf.DUMMYFUNCTION("""COMPUTED_VALUE"""),"GA Agency")</f>
        <v>GA Agency</v>
      </c>
      <c r="I76" s="15">
        <f>IFERROR(__xludf.DUMMYFUNCTION("""COMPUTED_VALUE"""),5.0)</f>
        <v>5</v>
      </c>
      <c r="J76" s="15">
        <f>IFERROR(__xludf.DUMMYFUNCTION("""COMPUTED_VALUE"""),0.0)</f>
        <v>0</v>
      </c>
      <c r="K76" s="15">
        <f>IFERROR(__xludf.DUMMYFUNCTION("""COMPUTED_VALUE"""),0.6)</f>
        <v>0.6</v>
      </c>
    </row>
    <row r="77" ht="15.75" customHeight="1">
      <c r="A77" s="14" t="str">
        <f>IFERROR(__xludf.DUMMYFUNCTION("""COMPUTED_VALUE"""),"https://www.sortlist.com/i/s/data-driven-marketing/united-kingdom-gb")</f>
        <v>https://www.sortlist.com/i/s/data-driven-marketing/united-kingdom-gb</v>
      </c>
      <c r="B77" s="15" t="str">
        <f>IFERROR(__xludf.DUMMYFUNCTION("""COMPUTED_VALUE"""),"The 10 Best Data Driven Marketing Agencies in The United Kingdom - 2026 Reviews")</f>
        <v>The 10 Best Data Driven Marketing Agencies in The United Kingdom - 2026 Reviews</v>
      </c>
      <c r="C77" s="14" t="str">
        <f>IFERROR(__xludf.DUMMYFUNCTION("""COMPUTED_VALUE"""),"sortlist.com")</f>
        <v>sortlist.com</v>
      </c>
      <c r="D77" s="15" t="str">
        <f>IFERROR(__xludf.DUMMYFUNCTION("""COMPUTED_VALUE"""),"CATEGORY_PAGE")</f>
        <v>CATEGORY_PAGE</v>
      </c>
      <c r="E77" s="15" t="str">
        <f>IFERROR(__xludf.DUMMYFUNCTION("""COMPUTED_VALUE"""),"CORPORATE")</f>
        <v>CORPORATE</v>
      </c>
      <c r="F77" s="15" t="str">
        <f>IFERROR(__xludf.DUMMYFUNCTION("""COMPUTED_VALUE"""),"Category Page")</f>
        <v>Category Page</v>
      </c>
      <c r="G77" s="15" t="b">
        <f>IFERROR(__xludf.DUMMYFUNCTION("""COMPUTED_VALUE"""),FALSE)</f>
        <v>0</v>
      </c>
      <c r="H77" s="15" t="str">
        <f>IFERROR(__xludf.DUMMYFUNCTION("""COMPUTED_VALUE"""),"Momentum, M3.agency, Ninja Promo, Bird Marketing")</f>
        <v>Momentum, M3.agency, Ninja Promo, Bird Marketing</v>
      </c>
      <c r="I77" s="15">
        <f>IFERROR(__xludf.DUMMYFUNCTION("""COMPUTED_VALUE"""),5.0)</f>
        <v>5</v>
      </c>
      <c r="J77" s="15">
        <f>IFERROR(__xludf.DUMMYFUNCTION("""COMPUTED_VALUE"""),0.0)</f>
        <v>0</v>
      </c>
      <c r="K77" s="15">
        <f>IFERROR(__xludf.DUMMYFUNCTION("""COMPUTED_VALUE"""),0.0)</f>
        <v>0</v>
      </c>
    </row>
    <row r="78" ht="15.75" customHeight="1">
      <c r="A78" s="14" t="str">
        <f>IFERROR(__xludf.DUMMYFUNCTION("""COMPUTED_VALUE"""),"https://clutch.co/agencies/branding/uk")</f>
        <v>https://clutch.co/agencies/branding/uk</v>
      </c>
      <c r="B78" s="15" t="str">
        <f>IFERROR(__xludf.DUMMYFUNCTION("""COMPUTED_VALUE"""),"Top Branding Agencies in the United Kingdom - Jul 2026 Rankings \| Clutch.co")</f>
        <v>Top Branding Agencies in the United Kingdom - Jul 2026 Rankings \| Clutch.co</v>
      </c>
      <c r="C78" s="14" t="str">
        <f>IFERROR(__xludf.DUMMYFUNCTION("""COMPUTED_VALUE"""),"clutch.co")</f>
        <v>clutch.co</v>
      </c>
      <c r="D78" s="15" t="str">
        <f>IFERROR(__xludf.DUMMYFUNCTION("""COMPUTED_VALUE"""),"CATEGORY_PAGE")</f>
        <v>CATEGORY_PAGE</v>
      </c>
      <c r="E78" s="15" t="str">
        <f>IFERROR(__xludf.DUMMYFUNCTION("""COMPUTED_VALUE"""),"CORPORATE")</f>
        <v>CORPORATE</v>
      </c>
      <c r="F78" s="15" t="str">
        <f>IFERROR(__xludf.DUMMYFUNCTION("""COMPUTED_VALUE"""),"Category Page")</f>
        <v>Category Page</v>
      </c>
      <c r="G78" s="15" t="b">
        <f>IFERROR(__xludf.DUMMYFUNCTION("""COMPUTED_VALUE"""),FALSE)</f>
        <v>0</v>
      </c>
      <c r="H78" s="15" t="str">
        <f>IFERROR(__xludf.DUMMYFUNCTION("""COMPUTED_VALUE"""),"Chello, Impression, Polaris, Favoured, Found")</f>
        <v>Chello, Impression, Polaris, Favoured, Found</v>
      </c>
      <c r="I78" s="15">
        <f>IFERROR(__xludf.DUMMYFUNCTION("""COMPUTED_VALUE"""),4.0)</f>
        <v>4</v>
      </c>
      <c r="J78" s="15">
        <f>IFERROR(__xludf.DUMMYFUNCTION("""COMPUTED_VALUE"""),0.0)</f>
        <v>0</v>
      </c>
      <c r="K78" s="15">
        <f>IFERROR(__xludf.DUMMYFUNCTION("""COMPUTED_VALUE"""),2.0)</f>
        <v>2</v>
      </c>
    </row>
    <row r="79" ht="15.75" customHeight="1">
      <c r="A79" s="14" t="str">
        <f>IFERROR(__xludf.DUMMYFUNCTION("""COMPUTED_VALUE"""),"https://clutch.co/agencies/ppc/advertising-industry/uk")</f>
        <v>https://clutch.co/agencies/ppc/advertising-industry/uk</v>
      </c>
      <c r="B79" s="15" t="str">
        <f>IFERROR(__xludf.DUMMYFUNCTION("""COMPUTED_VALUE"""),"Top PPC Agencies for Ad Agencies in the United Kingdom - Jul 2026 Rankings \| Clutch.co")</f>
        <v>Top PPC Agencies for Ad Agencies in the United Kingdom - Jul 2026 Rankings \| Clutch.co</v>
      </c>
      <c r="C79" s="14" t="str">
        <f>IFERROR(__xludf.DUMMYFUNCTION("""COMPUTED_VALUE"""),"clutch.co")</f>
        <v>clutch.co</v>
      </c>
      <c r="D79" s="15" t="str">
        <f>IFERROR(__xludf.DUMMYFUNCTION("""COMPUTED_VALUE"""),"CATEGORY_PAGE")</f>
        <v>CATEGORY_PAGE</v>
      </c>
      <c r="E79" s="15" t="str">
        <f>IFERROR(__xludf.DUMMYFUNCTION("""COMPUTED_VALUE"""),"CORPORATE")</f>
        <v>CORPORATE</v>
      </c>
      <c r="F79" s="15" t="str">
        <f>IFERROR(__xludf.DUMMYFUNCTION("""COMPUTED_VALUE"""),"Category Page")</f>
        <v>Category Page</v>
      </c>
      <c r="G79" s="15" t="b">
        <f>IFERROR(__xludf.DUMMYFUNCTION("""COMPUTED_VALUE"""),FALSE)</f>
        <v>0</v>
      </c>
      <c r="H79" s="15" t="str">
        <f>IFERROR(__xludf.DUMMYFUNCTION("""COMPUTED_VALUE"""),"Launch Online, Ninja Promo, M3.agency, ClickSlice, Gripped, Genie Crawl, Impression")</f>
        <v>Launch Online, Ninja Promo, M3.agency, ClickSlice, Gripped, Genie Crawl, Impression</v>
      </c>
      <c r="I79" s="15">
        <f>IFERROR(__xludf.DUMMYFUNCTION("""COMPUTED_VALUE"""),4.0)</f>
        <v>4</v>
      </c>
      <c r="J79" s="15">
        <f>IFERROR(__xludf.DUMMYFUNCTION("""COMPUTED_VALUE"""),0.0)</f>
        <v>0</v>
      </c>
      <c r="K79" s="15">
        <f>IFERROR(__xludf.DUMMYFUNCTION("""COMPUTED_VALUE"""),0.75)</f>
        <v>0.75</v>
      </c>
    </row>
    <row r="80" ht="15.75" customHeight="1">
      <c r="A80" s="14" t="str">
        <f>IFERROR(__xludf.DUMMYFUNCTION("""COMPUTED_VALUE"""),"https://clutch.co/agencies/ppc/display/uk/england/london")</f>
        <v>https://clutch.co/agencies/ppc/display/uk/england/london</v>
      </c>
      <c r="B80" s="15" t="str">
        <f>IFERROR(__xludf.DUMMYFUNCTION("""COMPUTED_VALUE"""),"Top Display Advertising Agencies - Jul 2026 Rankings \| Clutch.co")</f>
        <v>Top Display Advertising Agencies - Jul 2026 Rankings \| Clutch.co</v>
      </c>
      <c r="C80" s="14" t="str">
        <f>IFERROR(__xludf.DUMMYFUNCTION("""COMPUTED_VALUE"""),"clutch.co")</f>
        <v>clutch.co</v>
      </c>
      <c r="D80" s="15" t="str">
        <f>IFERROR(__xludf.DUMMYFUNCTION("""COMPUTED_VALUE"""),"CATEGORY_PAGE")</f>
        <v>CATEGORY_PAGE</v>
      </c>
      <c r="E80" s="15" t="str">
        <f>IFERROR(__xludf.DUMMYFUNCTION("""COMPUTED_VALUE"""),"CORPORATE")</f>
        <v>CORPORATE</v>
      </c>
      <c r="F80" s="15" t="str">
        <f>IFERROR(__xludf.DUMMYFUNCTION("""COMPUTED_VALUE"""),"Category Page")</f>
        <v>Category Page</v>
      </c>
      <c r="G80" s="15" t="b">
        <f>IFERROR(__xludf.DUMMYFUNCTION("""COMPUTED_VALUE"""),FALSE)</f>
        <v>0</v>
      </c>
      <c r="H80" s="15" t="str">
        <f>IFERROR(__xludf.DUMMYFUNCTION("""COMPUTED_VALUE"""),"Ninja Promo, Soap Media, Huge, Found, The SEO Works, GA Agency")</f>
        <v>Ninja Promo, Soap Media, Huge, Found, The SEO Works, GA Agency</v>
      </c>
      <c r="I80" s="15">
        <f>IFERROR(__xludf.DUMMYFUNCTION("""COMPUTED_VALUE"""),4.0)</f>
        <v>4</v>
      </c>
      <c r="J80" s="15">
        <f>IFERROR(__xludf.DUMMYFUNCTION("""COMPUTED_VALUE"""),0.0)</f>
        <v>0</v>
      </c>
      <c r="K80" s="15">
        <f>IFERROR(__xludf.DUMMYFUNCTION("""COMPUTED_VALUE"""),0.0)</f>
        <v>0</v>
      </c>
    </row>
    <row r="81" ht="15.75" customHeight="1">
      <c r="A81" s="14" t="str">
        <f>IFERROR(__xludf.DUMMYFUNCTION("""COMPUTED_VALUE"""),"https://www.designrush.com/agency/ad-agencies/uk")</f>
        <v>https://www.designrush.com/agency/ad-agencies/uk</v>
      </c>
      <c r="B81" s="15" t="str">
        <f>IFERROR(__xludf.DUMMYFUNCTION("""COMPUTED_VALUE"""),"Top Advertising Agencies in the United Kingdom | 2026")</f>
        <v>Top Advertising Agencies in the United Kingdom | 2026</v>
      </c>
      <c r="C81" s="14" t="str">
        <f>IFERROR(__xludf.DUMMYFUNCTION("""COMPUTED_VALUE"""),"designrush.com")</f>
        <v>designrush.com</v>
      </c>
      <c r="D81" s="15" t="str">
        <f>IFERROR(__xludf.DUMMYFUNCTION("""COMPUTED_VALUE"""),"CATEGORY_PAGE")</f>
        <v>CATEGORY_PAGE</v>
      </c>
      <c r="E81" s="15" t="str">
        <f>IFERROR(__xludf.DUMMYFUNCTION("""COMPUTED_VALUE"""),"CORPORATE")</f>
        <v>CORPORATE</v>
      </c>
      <c r="F81" s="15" t="str">
        <f>IFERROR(__xludf.DUMMYFUNCTION("""COMPUTED_VALUE"""),"Category Page")</f>
        <v>Category Page</v>
      </c>
      <c r="G81" s="15" t="b">
        <f>IFERROR(__xludf.DUMMYFUNCTION("""COMPUTED_VALUE"""),FALSE)</f>
        <v>0</v>
      </c>
      <c r="H81" s="15" t="str">
        <f>IFERROR(__xludf.DUMMYFUNCTION("""COMPUTED_VALUE"""),"Favoured, PPC Geeks, Passion Digital")</f>
        <v>Favoured, PPC Geeks, Passion Digital</v>
      </c>
      <c r="I81" s="15">
        <f>IFERROR(__xludf.DUMMYFUNCTION("""COMPUTED_VALUE"""),4.0)</f>
        <v>4</v>
      </c>
      <c r="J81" s="15">
        <f>IFERROR(__xludf.DUMMYFUNCTION("""COMPUTED_VALUE"""),0.0)</f>
        <v>0</v>
      </c>
      <c r="K81" s="15">
        <f>IFERROR(__xludf.DUMMYFUNCTION("""COMPUTED_VALUE"""),0.0)</f>
        <v>0</v>
      </c>
    </row>
    <row r="82" ht="15.75" customHeight="1">
      <c r="A82" s="14" t="str">
        <f>IFERROR(__xludf.DUMMYFUNCTION("""COMPUTED_VALUE"""),"https://www.marketingagencyindex.com/uk/services/ppc")</f>
        <v>https://www.marketingagencyindex.com/uk/services/ppc</v>
      </c>
      <c r="B82" s="15" t="str">
        <f>IFERROR(__xludf.DUMMYFUNCTION("""COMPUTED_VALUE"""),"Best PPC Agencies in the UK | Agency Index")</f>
        <v>Best PPC Agencies in the UK | Agency Index</v>
      </c>
      <c r="C82" s="14" t="str">
        <f>IFERROR(__xludf.DUMMYFUNCTION("""COMPUTED_VALUE"""),"marketingagencyindex.com")</f>
        <v>marketingagencyindex.com</v>
      </c>
      <c r="D82" s="15" t="str">
        <f>IFERROR(__xludf.DUMMYFUNCTION("""COMPUTED_VALUE"""),"CATEGORY_PAGE")</f>
        <v>CATEGORY_PAGE</v>
      </c>
      <c r="E82" s="15" t="str">
        <f>IFERROR(__xludf.DUMMYFUNCTION("""COMPUTED_VALUE"""),"UGC")</f>
        <v>UGC</v>
      </c>
      <c r="F82" s="15" t="str">
        <f>IFERROR(__xludf.DUMMYFUNCTION("""COMPUTED_VALUE"""),"Category Page")</f>
        <v>Category Page</v>
      </c>
      <c r="G82" s="15" t="b">
        <f>IFERROR(__xludf.DUMMYFUNCTION("""COMPUTED_VALUE"""),FALSE)</f>
        <v>0</v>
      </c>
      <c r="H82" s="15" t="str">
        <f>IFERROR(__xludf.DUMMYFUNCTION("""COMPUTED_VALUE"""),"Momentum")</f>
        <v>Momentum</v>
      </c>
      <c r="I82" s="15">
        <f>IFERROR(__xludf.DUMMYFUNCTION("""COMPUTED_VALUE"""),4.0)</f>
        <v>4</v>
      </c>
      <c r="J82" s="15">
        <f>IFERROR(__xludf.DUMMYFUNCTION("""COMPUTED_VALUE"""),0.0)</f>
        <v>0</v>
      </c>
      <c r="K82" s="15">
        <f>IFERROR(__xludf.DUMMYFUNCTION("""COMPUTED_VALUE"""),0.0)</f>
        <v>0</v>
      </c>
    </row>
    <row r="83" ht="15.75" customHeight="1">
      <c r="A83" s="14" t="str">
        <f>IFERROR(__xludf.DUMMYFUNCTION("""COMPUTED_VALUE"""),"https://marketingplatform.google.com/about/partners/?authuser=1")</f>
        <v>https://marketingplatform.google.com/about/partners/?authuser=1</v>
      </c>
      <c r="B83" s="15" t="str">
        <f>IFERROR(__xludf.DUMMYFUNCTION("""COMPUTED_VALUE"""),"Meet Your New Marketing Partner - Google Marketing Platform Partners")</f>
        <v>Meet Your New Marketing Partner - Google Marketing Platform Partners</v>
      </c>
      <c r="C83" s="14" t="str">
        <f>IFERROR(__xludf.DUMMYFUNCTION("""COMPUTED_VALUE"""),"google.com")</f>
        <v>google.com</v>
      </c>
      <c r="D83" s="15" t="str">
        <f>IFERROR(__xludf.DUMMYFUNCTION("""COMPUTED_VALUE"""),"CATEGORY_PAGE")</f>
        <v>CATEGORY_PAGE</v>
      </c>
      <c r="E83" s="15" t="str">
        <f>IFERROR(__xludf.DUMMYFUNCTION("""COMPUTED_VALUE"""),"OTHER")</f>
        <v>OTHER</v>
      </c>
      <c r="F83" s="15" t="str">
        <f>IFERROR(__xludf.DUMMYFUNCTION("""COMPUTED_VALUE"""),"Category Page")</f>
        <v>Category Page</v>
      </c>
      <c r="G83" s="15" t="b">
        <f>IFERROR(__xludf.DUMMYFUNCTION("""COMPUTED_VALUE"""),FALSE)</f>
        <v>0</v>
      </c>
      <c r="H83" s="15"/>
      <c r="I83" s="15">
        <f>IFERROR(__xludf.DUMMYFUNCTION("""COMPUTED_VALUE"""),4.0)</f>
        <v>4</v>
      </c>
      <c r="J83" s="15">
        <f>IFERROR(__xludf.DUMMYFUNCTION("""COMPUTED_VALUE"""),0.0)</f>
        <v>0</v>
      </c>
      <c r="K83" s="15">
        <f>IFERROR(__xludf.DUMMYFUNCTION("""COMPUTED_VALUE"""),1.25)</f>
        <v>1.25</v>
      </c>
    </row>
    <row r="84" ht="15.75" customHeight="1">
      <c r="A84" s="14" t="str">
        <f>IFERROR(__xludf.DUMMYFUNCTION("""COMPUTED_VALUE"""),"https://www.softwaresuggest.com/services/marketing-analytics-companies/uk")</f>
        <v>https://www.softwaresuggest.com/services/marketing-analytics-companies/uk</v>
      </c>
      <c r="B84" s="15" t="str">
        <f>IFERROR(__xludf.DUMMYFUNCTION("""COMPUTED_VALUE"""),"Top Marketing analytics Companies in the UK for 2025")</f>
        <v>Top Marketing analytics Companies in the UK for 2025</v>
      </c>
      <c r="C84" s="14" t="str">
        <f>IFERROR(__xludf.DUMMYFUNCTION("""COMPUTED_VALUE"""),"softwaresuggest.com")</f>
        <v>softwaresuggest.com</v>
      </c>
      <c r="D84" s="15" t="str">
        <f>IFERROR(__xludf.DUMMYFUNCTION("""COMPUTED_VALUE"""),"CATEGORY_PAGE")</f>
        <v>CATEGORY_PAGE</v>
      </c>
      <c r="E84" s="15" t="str">
        <f>IFERROR(__xludf.DUMMYFUNCTION("""COMPUTED_VALUE"""),"REFERENCE")</f>
        <v>REFERENCE</v>
      </c>
      <c r="F84" s="15" t="str">
        <f>IFERROR(__xludf.DUMMYFUNCTION("""COMPUTED_VALUE"""),"Category Page")</f>
        <v>Category Page</v>
      </c>
      <c r="G84" s="15" t="b">
        <f>IFERROR(__xludf.DUMMYFUNCTION("""COMPUTED_VALUE"""),FALSE)</f>
        <v>0</v>
      </c>
      <c r="H84" s="15" t="str">
        <f>IFERROR(__xludf.DUMMYFUNCTION("""COMPUTED_VALUE"""),"Disrupt Marketing")</f>
        <v>Disrupt Marketing</v>
      </c>
      <c r="I84" s="15">
        <f>IFERROR(__xludf.DUMMYFUNCTION("""COMPUTED_VALUE"""),4.0)</f>
        <v>4</v>
      </c>
      <c r="J84" s="15">
        <f>IFERROR(__xludf.DUMMYFUNCTION("""COMPUTED_VALUE"""),0.0)</f>
        <v>0</v>
      </c>
      <c r="K84" s="15">
        <f>IFERROR(__xludf.DUMMYFUNCTION("""COMPUTED_VALUE"""),0.0)</f>
        <v>0</v>
      </c>
    </row>
    <row r="85" ht="15.75" customHeight="1">
      <c r="A85" s="14" t="str">
        <f>IFERROR(__xludf.DUMMYFUNCTION("""COMPUTED_VALUE"""),"https://www.sortlist.co.uk/s/ai-marketing/england-england-gb")</f>
        <v>https://www.sortlist.co.uk/s/ai-marketing/england-england-gb</v>
      </c>
      <c r="B85" s="15" t="str">
        <f>IFERROR(__xludf.DUMMYFUNCTION("""COMPUTED_VALUE"""),"The 10 Best AI Marketing Companies in England - 2026 Reviews")</f>
        <v>The 10 Best AI Marketing Companies in England - 2026 Reviews</v>
      </c>
      <c r="C85" s="14" t="str">
        <f>IFERROR(__xludf.DUMMYFUNCTION("""COMPUTED_VALUE"""),"sortlist.co.uk")</f>
        <v>sortlist.co.uk</v>
      </c>
      <c r="D85" s="15" t="str">
        <f>IFERROR(__xludf.DUMMYFUNCTION("""COMPUTED_VALUE"""),"CATEGORY_PAGE")</f>
        <v>CATEGORY_PAGE</v>
      </c>
      <c r="E85" s="15" t="str">
        <f>IFERROR(__xludf.DUMMYFUNCTION("""COMPUTED_VALUE"""),"REFERENCE")</f>
        <v>REFERENCE</v>
      </c>
      <c r="F85" s="15" t="str">
        <f>IFERROR(__xludf.DUMMYFUNCTION("""COMPUTED_VALUE"""),"Category Page")</f>
        <v>Category Page</v>
      </c>
      <c r="G85" s="15" t="b">
        <f>IFERROR(__xludf.DUMMYFUNCTION("""COMPUTED_VALUE"""),FALSE)</f>
        <v>0</v>
      </c>
      <c r="H85" s="15"/>
      <c r="I85" s="15">
        <f>IFERROR(__xludf.DUMMYFUNCTION("""COMPUTED_VALUE"""),4.0)</f>
        <v>4</v>
      </c>
      <c r="J85" s="15">
        <f>IFERROR(__xludf.DUMMYFUNCTION("""COMPUTED_VALUE"""),0.0)</f>
        <v>0</v>
      </c>
      <c r="K85" s="15">
        <f>IFERROR(__xludf.DUMMYFUNCTION("""COMPUTED_VALUE"""),0.0)</f>
        <v>0</v>
      </c>
    </row>
    <row r="86" ht="15.75" customHeight="1">
      <c r="A86" s="14" t="str">
        <f>IFERROR(__xludf.DUMMYFUNCTION("""COMPUTED_VALUE"""),"https://www.sortlist.co.uk/s/attribution-marketing/england-england-gb#:~:text=Up%20Analytics%20consist%20of%20a,for%20work%20in%20Attribution%20Marketing")</f>
        <v>https://www.sortlist.co.uk/s/attribution-marketing/england-england-gb#:~:text=Up%20Analytics%20consist%20of%20a,for%20work%20in%20Attribution%20Marketing</v>
      </c>
      <c r="B86" s="15" t="str">
        <f>IFERROR(__xludf.DUMMYFUNCTION("""COMPUTED_VALUE"""),"The 10 Best Attribution Marketing Agencies in England - 2026 Reviews")</f>
        <v>The 10 Best Attribution Marketing Agencies in England - 2026 Reviews</v>
      </c>
      <c r="C86" s="14" t="str">
        <f>IFERROR(__xludf.DUMMYFUNCTION("""COMPUTED_VALUE"""),"sortlist.co.uk")</f>
        <v>sortlist.co.uk</v>
      </c>
      <c r="D86" s="15" t="str">
        <f>IFERROR(__xludf.DUMMYFUNCTION("""COMPUTED_VALUE"""),"CATEGORY_PAGE")</f>
        <v>CATEGORY_PAGE</v>
      </c>
      <c r="E86" s="15" t="str">
        <f>IFERROR(__xludf.DUMMYFUNCTION("""COMPUTED_VALUE"""),"REFERENCE")</f>
        <v>REFERENCE</v>
      </c>
      <c r="F86" s="15" t="str">
        <f>IFERROR(__xludf.DUMMYFUNCTION("""COMPUTED_VALUE"""),"Category Page")</f>
        <v>Category Page</v>
      </c>
      <c r="G86" s="15" t="b">
        <f>IFERROR(__xludf.DUMMYFUNCTION("""COMPUTED_VALUE"""),FALSE)</f>
        <v>0</v>
      </c>
      <c r="H86" s="15" t="str">
        <f>IFERROR(__xludf.DUMMYFUNCTION("""COMPUTED_VALUE"""),"GA Agency")</f>
        <v>GA Agency</v>
      </c>
      <c r="I86" s="15">
        <f>IFERROR(__xludf.DUMMYFUNCTION("""COMPUTED_VALUE"""),4.0)</f>
        <v>4</v>
      </c>
      <c r="J86" s="15">
        <f>IFERROR(__xludf.DUMMYFUNCTION("""COMPUTED_VALUE"""),0.0)</f>
        <v>0</v>
      </c>
      <c r="K86" s="15">
        <f>IFERROR(__xludf.DUMMYFUNCTION("""COMPUTED_VALUE"""),0.75)</f>
        <v>0.75</v>
      </c>
    </row>
    <row r="87" ht="15.75" customHeight="1">
      <c r="A87" s="14" t="str">
        <f>IFERROR(__xludf.DUMMYFUNCTION("""COMPUTED_VALUE"""),"https://www.sortlist.co.uk/s/marketing-analytics/west-midlands-england-gb")</f>
        <v>https://www.sortlist.co.uk/s/marketing-analytics/west-midlands-england-gb</v>
      </c>
      <c r="B87" s="15" t="str">
        <f>IFERROR(__xludf.DUMMYFUNCTION("""COMPUTED_VALUE"""),"The 10 Best Marketing Analytics Companies in West Midlands - 2026 Reviews")</f>
        <v>The 10 Best Marketing Analytics Companies in West Midlands - 2026 Reviews</v>
      </c>
      <c r="C87" s="14" t="str">
        <f>IFERROR(__xludf.DUMMYFUNCTION("""COMPUTED_VALUE"""),"sortlist.co.uk")</f>
        <v>sortlist.co.uk</v>
      </c>
      <c r="D87" s="15" t="str">
        <f>IFERROR(__xludf.DUMMYFUNCTION("""COMPUTED_VALUE"""),"CATEGORY_PAGE")</f>
        <v>CATEGORY_PAGE</v>
      </c>
      <c r="E87" s="15" t="str">
        <f>IFERROR(__xludf.DUMMYFUNCTION("""COMPUTED_VALUE"""),"REFERENCE")</f>
        <v>REFERENCE</v>
      </c>
      <c r="F87" s="15" t="str">
        <f>IFERROR(__xludf.DUMMYFUNCTION("""COMPUTED_VALUE"""),"Category Page")</f>
        <v>Category Page</v>
      </c>
      <c r="G87" s="15" t="b">
        <f>IFERROR(__xludf.DUMMYFUNCTION("""COMPUTED_VALUE"""),FALSE)</f>
        <v>0</v>
      </c>
      <c r="H87" s="15" t="str">
        <f>IFERROR(__xludf.DUMMYFUNCTION("""COMPUTED_VALUE"""),"Momentum, M3.agency, Ninja Promo")</f>
        <v>Momentum, M3.agency, Ninja Promo</v>
      </c>
      <c r="I87" s="15">
        <f>IFERROR(__xludf.DUMMYFUNCTION("""COMPUTED_VALUE"""),4.0)</f>
        <v>4</v>
      </c>
      <c r="J87" s="15">
        <f>IFERROR(__xludf.DUMMYFUNCTION("""COMPUTED_VALUE"""),0.0)</f>
        <v>0</v>
      </c>
      <c r="K87" s="15">
        <f>IFERROR(__xludf.DUMMYFUNCTION("""COMPUTED_VALUE"""),0.0)</f>
        <v>0</v>
      </c>
    </row>
    <row r="88" ht="15.75" customHeight="1">
      <c r="A88" s="14" t="str">
        <f>IFERROR(__xludf.DUMMYFUNCTION("""COMPUTED_VALUE"""),"https://agencies.semrush.com/list/market-analysis/united-kingdom/")</f>
        <v>https://agencies.semrush.com/list/market-analysis/united-kingdom/</v>
      </c>
      <c r="B88" s="15" t="str">
        <f>IFERROR(__xludf.DUMMYFUNCTION("""COMPUTED_VALUE"""),"Best Market Research Companies in United Kingdom 2026 | Semrush")</f>
        <v>Best Market Research Companies in United Kingdom 2026 | Semrush</v>
      </c>
      <c r="C88" s="14" t="str">
        <f>IFERROR(__xludf.DUMMYFUNCTION("""COMPUTED_VALUE"""),"semrush.com")</f>
        <v>semrush.com</v>
      </c>
      <c r="D88" s="15" t="str">
        <f>IFERROR(__xludf.DUMMYFUNCTION("""COMPUTED_VALUE"""),"CATEGORY_PAGE")</f>
        <v>CATEGORY_PAGE</v>
      </c>
      <c r="E88" s="15" t="str">
        <f>IFERROR(__xludf.DUMMYFUNCTION("""COMPUTED_VALUE"""),"CORPORATE")</f>
        <v>CORPORATE</v>
      </c>
      <c r="F88" s="15" t="str">
        <f>IFERROR(__xludf.DUMMYFUNCTION("""COMPUTED_VALUE"""),"Category Page")</f>
        <v>Category Page</v>
      </c>
      <c r="G88" s="15" t="b">
        <f>IFERROR(__xludf.DUMMYFUNCTION("""COMPUTED_VALUE"""),FALSE)</f>
        <v>0</v>
      </c>
      <c r="H88" s="15" t="str">
        <f>IFERROR(__xludf.DUMMYFUNCTION("""COMPUTED_VALUE"""),"Found, GA Agency, Huge")</f>
        <v>Found, GA Agency, Huge</v>
      </c>
      <c r="I88" s="15">
        <f>IFERROR(__xludf.DUMMYFUNCTION("""COMPUTED_VALUE"""),3.0)</f>
        <v>3</v>
      </c>
      <c r="J88" s="15">
        <f>IFERROR(__xludf.DUMMYFUNCTION("""COMPUTED_VALUE"""),0.0)</f>
        <v>0</v>
      </c>
      <c r="K88" s="15">
        <f>IFERROR(__xludf.DUMMYFUNCTION("""COMPUTED_VALUE"""),0.0)</f>
        <v>0</v>
      </c>
    </row>
    <row r="89" ht="15.75" customHeight="1">
      <c r="A89" s="14" t="str">
        <f>IFERROR(__xludf.DUMMYFUNCTION("""COMPUTED_VALUE"""),"https://agencylist.com/data-and-analytics/gb/")</f>
        <v>https://agencylist.com/data-and-analytics/gb/</v>
      </c>
      <c r="B89" s="15" t="str">
        <f>IFERROR(__xludf.DUMMYFUNCTION("""COMPUTED_VALUE"""),"Top Data and Analytics Agencies in United Kingdom")</f>
        <v>Top Data and Analytics Agencies in United Kingdom</v>
      </c>
      <c r="C89" s="14" t="str">
        <f>IFERROR(__xludf.DUMMYFUNCTION("""COMPUTED_VALUE"""),"agencylist.com")</f>
        <v>agencylist.com</v>
      </c>
      <c r="D89" s="15" t="str">
        <f>IFERROR(__xludf.DUMMYFUNCTION("""COMPUTED_VALUE"""),"CATEGORY_PAGE")</f>
        <v>CATEGORY_PAGE</v>
      </c>
      <c r="E89" s="15" t="str">
        <f>IFERROR(__xludf.DUMMYFUNCTION("""COMPUTED_VALUE"""),"REFERENCE")</f>
        <v>REFERENCE</v>
      </c>
      <c r="F89" s="15" t="str">
        <f>IFERROR(__xludf.DUMMYFUNCTION("""COMPUTED_VALUE"""),"Category Page")</f>
        <v>Category Page</v>
      </c>
      <c r="G89" s="15" t="b">
        <f>IFERROR(__xludf.DUMMYFUNCTION("""COMPUTED_VALUE"""),FALSE)</f>
        <v>0</v>
      </c>
      <c r="H89" s="15"/>
      <c r="I89" s="15">
        <f>IFERROR(__xludf.DUMMYFUNCTION("""COMPUTED_VALUE"""),3.0)</f>
        <v>3</v>
      </c>
      <c r="J89" s="15">
        <f>IFERROR(__xludf.DUMMYFUNCTION("""COMPUTED_VALUE"""),0.0)</f>
        <v>0</v>
      </c>
      <c r="K89" s="15">
        <f>IFERROR(__xludf.DUMMYFUNCTION("""COMPUTED_VALUE"""),0.0)</f>
        <v>0</v>
      </c>
    </row>
    <row r="90" ht="15.75" customHeight="1">
      <c r="A90" s="14" t="str">
        <f>IFERROR(__xludf.DUMMYFUNCTION("""COMPUTED_VALUE"""),"https://clutch.co/agencies/ppc/display/uk?page=2")</f>
        <v>https://clutch.co/agencies/ppc/display/uk?page=2</v>
      </c>
      <c r="B90" s="15" t="str">
        <f>IFERROR(__xludf.DUMMYFUNCTION("""COMPUTED_VALUE"""),"Page 2 - Top Display Advertising Services in the United Kingdom - Jul 2026 Rankings \| Clutch.co")</f>
        <v>Page 2 - Top Display Advertising Services in the United Kingdom - Jul 2026 Rankings \| Clutch.co</v>
      </c>
      <c r="C90" s="14" t="str">
        <f>IFERROR(__xludf.DUMMYFUNCTION("""COMPUTED_VALUE"""),"clutch.co")</f>
        <v>clutch.co</v>
      </c>
      <c r="D90" s="15" t="str">
        <f>IFERROR(__xludf.DUMMYFUNCTION("""COMPUTED_VALUE"""),"CATEGORY_PAGE")</f>
        <v>CATEGORY_PAGE</v>
      </c>
      <c r="E90" s="15" t="str">
        <f>IFERROR(__xludf.DUMMYFUNCTION("""COMPUTED_VALUE"""),"CORPORATE")</f>
        <v>CORPORATE</v>
      </c>
      <c r="F90" s="15" t="str">
        <f>IFERROR(__xludf.DUMMYFUNCTION("""COMPUTED_VALUE"""),"Category Page")</f>
        <v>Category Page</v>
      </c>
      <c r="G90" s="15" t="b">
        <f>IFERROR(__xludf.DUMMYFUNCTION("""COMPUTED_VALUE"""),FALSE)</f>
        <v>0</v>
      </c>
      <c r="H90" s="15" t="str">
        <f>IFERROR(__xludf.DUMMYFUNCTION("""COMPUTED_VALUE"""),"Ninja Promo, Soap Media, The SEO Works, GA Agency, Bind Media, Found")</f>
        <v>Ninja Promo, Soap Media, The SEO Works, GA Agency, Bind Media, Found</v>
      </c>
      <c r="I90" s="15">
        <f>IFERROR(__xludf.DUMMYFUNCTION("""COMPUTED_VALUE"""),3.0)</f>
        <v>3</v>
      </c>
      <c r="J90" s="15">
        <f>IFERROR(__xludf.DUMMYFUNCTION("""COMPUTED_VALUE"""),0.0)</f>
        <v>0</v>
      </c>
      <c r="K90" s="15">
        <f>IFERROR(__xludf.DUMMYFUNCTION("""COMPUTED_VALUE"""),0.0)</f>
        <v>0</v>
      </c>
    </row>
    <row r="91" ht="15.75" customHeight="1">
      <c r="A91" s="14" t="str">
        <f>IFERROR(__xludf.DUMMYFUNCTION("""COMPUTED_VALUE"""),"https://www.goodfirms.co/advertising-companies/creative/uk?sort_by=rating")</f>
        <v>https://www.goodfirms.co/advertising-companies/creative/uk?sort_by=rating</v>
      </c>
      <c r="B91" s="15" t="str">
        <f>IFERROR(__xludf.DUMMYFUNCTION("""COMPUTED_VALUE"""),"Top Creative Agencies in the United Kingdom - 2026 Reviews | Goodfirms")</f>
        <v>Top Creative Agencies in the United Kingdom - 2026 Reviews | Goodfirms</v>
      </c>
      <c r="C91" s="14" t="str">
        <f>IFERROR(__xludf.DUMMYFUNCTION("""COMPUTED_VALUE"""),"goodfirms.co")</f>
        <v>goodfirms.co</v>
      </c>
      <c r="D91" s="15" t="str">
        <f>IFERROR(__xludf.DUMMYFUNCTION("""COMPUTED_VALUE"""),"CATEGORY_PAGE")</f>
        <v>CATEGORY_PAGE</v>
      </c>
      <c r="E91" s="15" t="str">
        <f>IFERROR(__xludf.DUMMYFUNCTION("""COMPUTED_VALUE"""),"UGC")</f>
        <v>UGC</v>
      </c>
      <c r="F91" s="15" t="str">
        <f>IFERROR(__xludf.DUMMYFUNCTION("""COMPUTED_VALUE"""),"Category Page")</f>
        <v>Category Page</v>
      </c>
      <c r="G91" s="15" t="b">
        <f>IFERROR(__xludf.DUMMYFUNCTION("""COMPUTED_VALUE"""),FALSE)</f>
        <v>0</v>
      </c>
      <c r="H91" s="15" t="str">
        <f>IFERROR(__xludf.DUMMYFUNCTION("""COMPUTED_VALUE"""),"Impression, Found")</f>
        <v>Impression, Found</v>
      </c>
      <c r="I91" s="15">
        <f>IFERROR(__xludf.DUMMYFUNCTION("""COMPUTED_VALUE"""),3.0)</f>
        <v>3</v>
      </c>
      <c r="J91" s="15">
        <f>IFERROR(__xludf.DUMMYFUNCTION("""COMPUTED_VALUE"""),0.0)</f>
        <v>0</v>
      </c>
      <c r="K91" s="15">
        <f>IFERROR(__xludf.DUMMYFUNCTION("""COMPUTED_VALUE"""),0.0)</f>
        <v>0</v>
      </c>
    </row>
    <row r="92" ht="15.75" customHeight="1">
      <c r="A92" s="14" t="str">
        <f>IFERROR(__xludf.DUMMYFUNCTION("""COMPUTED_VALUE"""),"https://www.google.com/ads/publisher/partners/find-a-partner/")</f>
        <v>https://www.google.com/ads/publisher/partners/find-a-partner/</v>
      </c>
      <c r="B92" s="15" t="str">
        <f>IFERROR(__xludf.DUMMYFUNCTION("""COMPUTED_VALUE"""),"Find a Publishing Partner \| Certified Publishing Partner – Google")</f>
        <v>Find a Publishing Partner \| Certified Publishing Partner – Google</v>
      </c>
      <c r="C92" s="14" t="str">
        <f>IFERROR(__xludf.DUMMYFUNCTION("""COMPUTED_VALUE"""),"google.com")</f>
        <v>google.com</v>
      </c>
      <c r="D92" s="15" t="str">
        <f>IFERROR(__xludf.DUMMYFUNCTION("""COMPUTED_VALUE"""),"CATEGORY_PAGE")</f>
        <v>CATEGORY_PAGE</v>
      </c>
      <c r="E92" s="15" t="str">
        <f>IFERROR(__xludf.DUMMYFUNCTION("""COMPUTED_VALUE"""),"OTHER")</f>
        <v>OTHER</v>
      </c>
      <c r="F92" s="15" t="str">
        <f>IFERROR(__xludf.DUMMYFUNCTION("""COMPUTED_VALUE"""),"Category Page")</f>
        <v>Category Page</v>
      </c>
      <c r="G92" s="15" t="b">
        <f>IFERROR(__xludf.DUMMYFUNCTION("""COMPUTED_VALUE"""),FALSE)</f>
        <v>0</v>
      </c>
      <c r="H92" s="15" t="str">
        <f>IFERROR(__xludf.DUMMYFUNCTION("""COMPUTED_VALUE"""),"Found")</f>
        <v>Found</v>
      </c>
      <c r="I92" s="15">
        <f>IFERROR(__xludf.DUMMYFUNCTION("""COMPUTED_VALUE"""),3.0)</f>
        <v>3</v>
      </c>
      <c r="J92" s="15">
        <f>IFERROR(__xludf.DUMMYFUNCTION("""COMPUTED_VALUE"""),0.0)</f>
        <v>0</v>
      </c>
      <c r="K92" s="15">
        <f>IFERROR(__xludf.DUMMYFUNCTION("""COMPUTED_VALUE"""),0.0)</f>
        <v>0</v>
      </c>
    </row>
    <row r="93" ht="15.75" customHeight="1">
      <c r="A93" s="14" t="str">
        <f>IFERROR(__xludf.DUMMYFUNCTION("""COMPUTED_VALUE"""),"https://www.marketingagencyindex.com/uk/services/creative-ai-agencies")</f>
        <v>https://www.marketingagencyindex.com/uk/services/creative-ai-agencies</v>
      </c>
      <c r="B93" s="15" t="str">
        <f>IFERROR(__xludf.DUMMYFUNCTION("""COMPUTED_VALUE"""),"Creative agencies for AI - AgencyIndex")</f>
        <v>Creative agencies for AI - AgencyIndex</v>
      </c>
      <c r="C93" s="14" t="str">
        <f>IFERROR(__xludf.DUMMYFUNCTION("""COMPUTED_VALUE"""),"marketingagencyindex.com")</f>
        <v>marketingagencyindex.com</v>
      </c>
      <c r="D93" s="15" t="str">
        <f>IFERROR(__xludf.DUMMYFUNCTION("""COMPUTED_VALUE"""),"CATEGORY_PAGE")</f>
        <v>CATEGORY_PAGE</v>
      </c>
      <c r="E93" s="15" t="str">
        <f>IFERROR(__xludf.DUMMYFUNCTION("""COMPUTED_VALUE"""),"UGC")</f>
        <v>UGC</v>
      </c>
      <c r="F93" s="15" t="str">
        <f>IFERROR(__xludf.DUMMYFUNCTION("""COMPUTED_VALUE"""),"Category Page")</f>
        <v>Category Page</v>
      </c>
      <c r="G93" s="15" t="b">
        <f>IFERROR(__xludf.DUMMYFUNCTION("""COMPUTED_VALUE"""),FALSE)</f>
        <v>0</v>
      </c>
      <c r="H93" s="15" t="str">
        <f>IFERROR(__xludf.DUMMYFUNCTION("""COMPUTED_VALUE"""),"The Brains")</f>
        <v>The Brains</v>
      </c>
      <c r="I93" s="15">
        <f>IFERROR(__xludf.DUMMYFUNCTION("""COMPUTED_VALUE"""),3.0)</f>
        <v>3</v>
      </c>
      <c r="J93" s="15">
        <f>IFERROR(__xludf.DUMMYFUNCTION("""COMPUTED_VALUE"""),0.0)</f>
        <v>0</v>
      </c>
      <c r="K93" s="15">
        <f>IFERROR(__xludf.DUMMYFUNCTION("""COMPUTED_VALUE"""),0.0)</f>
        <v>0</v>
      </c>
    </row>
    <row r="94" ht="15.75" customHeight="1">
      <c r="A94" s="14" t="str">
        <f>IFERROR(__xludf.DUMMYFUNCTION("""COMPUTED_VALUE"""),"https://www.mida.so/cro-agency/service/a-b-testing")</f>
        <v>https://www.mida.so/cro-agency/service/a-b-testing</v>
      </c>
      <c r="B94" s="15" t="str">
        <f>IFERROR(__xludf.DUMMYFUNCTION("""COMPUTED_VALUE"""),"Top 95 CRO Agencies Offering A/B testing (2026) | Mida")</f>
        <v>Top 95 CRO Agencies Offering A/B testing (2026) | Mida</v>
      </c>
      <c r="C94" s="14" t="str">
        <f>IFERROR(__xludf.DUMMYFUNCTION("""COMPUTED_VALUE"""),"mida.so")</f>
        <v>mida.so</v>
      </c>
      <c r="D94" s="15" t="str">
        <f>IFERROR(__xludf.DUMMYFUNCTION("""COMPUTED_VALUE"""),"CATEGORY_PAGE")</f>
        <v>CATEGORY_PAGE</v>
      </c>
      <c r="E94" s="15" t="str">
        <f>IFERROR(__xludf.DUMMYFUNCTION("""COMPUTED_VALUE"""),"CORPORATE")</f>
        <v>CORPORATE</v>
      </c>
      <c r="F94" s="15" t="str">
        <f>IFERROR(__xludf.DUMMYFUNCTION("""COMPUTED_VALUE"""),"Category Page")</f>
        <v>Category Page</v>
      </c>
      <c r="G94" s="15" t="b">
        <f>IFERROR(__xludf.DUMMYFUNCTION("""COMPUTED_VALUE"""),FALSE)</f>
        <v>0</v>
      </c>
      <c r="H94" s="15" t="str">
        <f>IFERROR(__xludf.DUMMYFUNCTION("""COMPUTED_VALUE"""),"Impression, Journey Further, NoGood, Open Partners, Tinuiti")</f>
        <v>Impression, Journey Further, NoGood, Open Partners, Tinuiti</v>
      </c>
      <c r="I94" s="15">
        <f>IFERROR(__xludf.DUMMYFUNCTION("""COMPUTED_VALUE"""),3.0)</f>
        <v>3</v>
      </c>
      <c r="J94" s="15">
        <f>IFERROR(__xludf.DUMMYFUNCTION("""COMPUTED_VALUE"""),0.0)</f>
        <v>0</v>
      </c>
      <c r="K94" s="15">
        <f>IFERROR(__xludf.DUMMYFUNCTION("""COMPUTED_VALUE"""),3.0)</f>
        <v>3</v>
      </c>
    </row>
    <row r="95" ht="15.75" customHeight="1">
      <c r="A95" s="14" t="str">
        <f>IFERROR(__xludf.DUMMYFUNCTION("""COMPUTED_VALUE"""),"https://www.sortlist.co.uk/s/data-driven-marketing/united-kingdom-gb")</f>
        <v>https://www.sortlist.co.uk/s/data-driven-marketing/united-kingdom-gb</v>
      </c>
      <c r="B95" s="15" t="str">
        <f>IFERROR(__xludf.DUMMYFUNCTION("""COMPUTED_VALUE"""),"The 10 Best Data Driven Marketing Agencies in The United Kingdom - 2026 Reviews")</f>
        <v>The 10 Best Data Driven Marketing Agencies in The United Kingdom - 2026 Reviews</v>
      </c>
      <c r="C95" s="14" t="str">
        <f>IFERROR(__xludf.DUMMYFUNCTION("""COMPUTED_VALUE"""),"sortlist.co.uk")</f>
        <v>sortlist.co.uk</v>
      </c>
      <c r="D95" s="15" t="str">
        <f>IFERROR(__xludf.DUMMYFUNCTION("""COMPUTED_VALUE"""),"CATEGORY_PAGE")</f>
        <v>CATEGORY_PAGE</v>
      </c>
      <c r="E95" s="15" t="str">
        <f>IFERROR(__xludf.DUMMYFUNCTION("""COMPUTED_VALUE"""),"REFERENCE")</f>
        <v>REFERENCE</v>
      </c>
      <c r="F95" s="15" t="str">
        <f>IFERROR(__xludf.DUMMYFUNCTION("""COMPUTED_VALUE"""),"Category Page")</f>
        <v>Category Page</v>
      </c>
      <c r="G95" s="15" t="b">
        <f>IFERROR(__xludf.DUMMYFUNCTION("""COMPUTED_VALUE"""),FALSE)</f>
        <v>0</v>
      </c>
      <c r="H95" s="15" t="str">
        <f>IFERROR(__xludf.DUMMYFUNCTION("""COMPUTED_VALUE"""),"Momentum, M3.agency, Ninja Promo, Bird Marketing")</f>
        <v>Momentum, M3.agency, Ninja Promo, Bird Marketing</v>
      </c>
      <c r="I95" s="15">
        <f>IFERROR(__xludf.DUMMYFUNCTION("""COMPUTED_VALUE"""),3.0)</f>
        <v>3</v>
      </c>
      <c r="J95" s="15">
        <f>IFERROR(__xludf.DUMMYFUNCTION("""COMPUTED_VALUE"""),0.0)</f>
        <v>0</v>
      </c>
      <c r="K95" s="15">
        <f>IFERROR(__xludf.DUMMYFUNCTION("""COMPUTED_VALUE"""),0.0)</f>
        <v>0</v>
      </c>
    </row>
    <row r="96" ht="15.75" customHeight="1">
      <c r="A96" s="14" t="str">
        <f>IFERROR(__xludf.DUMMYFUNCTION("""COMPUTED_VALUE"""),"https://agencies.semrush.com/list/ai-optimization/london-city/mid-business/")</f>
        <v>https://agencies.semrush.com/list/ai-optimization/london-city/mid-business/</v>
      </c>
      <c r="B96" s="15" t="str">
        <f>IFERROR(__xludf.DUMMYFUNCTION("""COMPUTED_VALUE"""),"Best AI Search Optimization Agencies for Mid Business in London 2026 | Semrush")</f>
        <v>Best AI Search Optimization Agencies for Mid Business in London 2026 | Semrush</v>
      </c>
      <c r="C96" s="14" t="str">
        <f>IFERROR(__xludf.DUMMYFUNCTION("""COMPUTED_VALUE"""),"semrush.com")</f>
        <v>semrush.com</v>
      </c>
      <c r="D96" s="15" t="str">
        <f>IFERROR(__xludf.DUMMYFUNCTION("""COMPUTED_VALUE"""),"CATEGORY_PAGE")</f>
        <v>CATEGORY_PAGE</v>
      </c>
      <c r="E96" s="15" t="str">
        <f>IFERROR(__xludf.DUMMYFUNCTION("""COMPUTED_VALUE"""),"CORPORATE")</f>
        <v>CORPORATE</v>
      </c>
      <c r="F96" s="15" t="str">
        <f>IFERROR(__xludf.DUMMYFUNCTION("""COMPUTED_VALUE"""),"Category Page")</f>
        <v>Category Page</v>
      </c>
      <c r="G96" s="15" t="b">
        <f>IFERROR(__xludf.DUMMYFUNCTION("""COMPUTED_VALUE"""),FALSE)</f>
        <v>0</v>
      </c>
      <c r="H96" s="15" t="str">
        <f>IFERROR(__xludf.DUMMYFUNCTION("""COMPUTED_VALUE"""),"Found, Measured, Passion Digital, The SEO Works, Gravity Global, ROAST")</f>
        <v>Found, Measured, Passion Digital, The SEO Works, Gravity Global, ROAST</v>
      </c>
      <c r="I96" s="15">
        <f>IFERROR(__xludf.DUMMYFUNCTION("""COMPUTED_VALUE"""),2.0)</f>
        <v>2</v>
      </c>
      <c r="J96" s="15">
        <f>IFERROR(__xludf.DUMMYFUNCTION("""COMPUTED_VALUE"""),0.0)</f>
        <v>0</v>
      </c>
      <c r="K96" s="15">
        <f>IFERROR(__xludf.DUMMYFUNCTION("""COMPUTED_VALUE"""),0.0)</f>
        <v>0</v>
      </c>
    </row>
    <row r="97" ht="15.75" customHeight="1">
      <c r="A97" s="14" t="str">
        <f>IFERROR(__xludf.DUMMYFUNCTION("""COMPUTED_VALUE"""),"https://agencies.semrush.com/list/analytics-data-science/london-city/")</f>
        <v>https://agencies.semrush.com/list/analytics-data-science/london-city/</v>
      </c>
      <c r="B97" s="15" t="str">
        <f>IFERROR(__xludf.DUMMYFUNCTION("""COMPUTED_VALUE"""),"Best Data Analytics Services in London 2026 | Semrush")</f>
        <v>Best Data Analytics Services in London 2026 | Semrush</v>
      </c>
      <c r="C97" s="14" t="str">
        <f>IFERROR(__xludf.DUMMYFUNCTION("""COMPUTED_VALUE"""),"semrush.com")</f>
        <v>semrush.com</v>
      </c>
      <c r="D97" s="15" t="str">
        <f>IFERROR(__xludf.DUMMYFUNCTION("""COMPUTED_VALUE"""),"CATEGORY_PAGE")</f>
        <v>CATEGORY_PAGE</v>
      </c>
      <c r="E97" s="15" t="str">
        <f>IFERROR(__xludf.DUMMYFUNCTION("""COMPUTED_VALUE"""),"CORPORATE")</f>
        <v>CORPORATE</v>
      </c>
      <c r="F97" s="15" t="str">
        <f>IFERROR(__xludf.DUMMYFUNCTION("""COMPUTED_VALUE"""),"Category Page")</f>
        <v>Category Page</v>
      </c>
      <c r="G97" s="15" t="b">
        <f>IFERROR(__xludf.DUMMYFUNCTION("""COMPUTED_VALUE"""),FALSE)</f>
        <v>0</v>
      </c>
      <c r="H97" s="15" t="str">
        <f>IFERROR(__xludf.DUMMYFUNCTION("""COMPUTED_VALUE"""),"The SEO Works, Found, Measured")</f>
        <v>The SEO Works, Found, Measured</v>
      </c>
      <c r="I97" s="15">
        <f>IFERROR(__xludf.DUMMYFUNCTION("""COMPUTED_VALUE"""),2.0)</f>
        <v>2</v>
      </c>
      <c r="J97" s="15">
        <f>IFERROR(__xludf.DUMMYFUNCTION("""COMPUTED_VALUE"""),0.0)</f>
        <v>0</v>
      </c>
      <c r="K97" s="15">
        <f>IFERROR(__xludf.DUMMYFUNCTION("""COMPUTED_VALUE"""),0.0)</f>
        <v>0</v>
      </c>
    </row>
    <row r="98" ht="15.75" customHeight="1">
      <c r="A98" s="14" t="str">
        <f>IFERROR(__xludf.DUMMYFUNCTION("""COMPUTED_VALUE"""),"https://agencies.semrush.com/list/ppc/london-city/")</f>
        <v>https://agencies.semrush.com/list/ppc/london-city/</v>
      </c>
      <c r="B98" s="15" t="str">
        <f>IFERROR(__xludf.DUMMYFUNCTION("""COMPUTED_VALUE"""),"Best PPC Agencies in London 2026 | Semrush")</f>
        <v>Best PPC Agencies in London 2026 | Semrush</v>
      </c>
      <c r="C98" s="14" t="str">
        <f>IFERROR(__xludf.DUMMYFUNCTION("""COMPUTED_VALUE"""),"semrush.com")</f>
        <v>semrush.com</v>
      </c>
      <c r="D98" s="15" t="str">
        <f>IFERROR(__xludf.DUMMYFUNCTION("""COMPUTED_VALUE"""),"CATEGORY_PAGE")</f>
        <v>CATEGORY_PAGE</v>
      </c>
      <c r="E98" s="15" t="str">
        <f>IFERROR(__xludf.DUMMYFUNCTION("""COMPUTED_VALUE"""),"CORPORATE")</f>
        <v>CORPORATE</v>
      </c>
      <c r="F98" s="15" t="str">
        <f>IFERROR(__xludf.DUMMYFUNCTION("""COMPUTED_VALUE"""),"Category Page")</f>
        <v>Category Page</v>
      </c>
      <c r="G98" s="15" t="b">
        <f>IFERROR(__xludf.DUMMYFUNCTION("""COMPUTED_VALUE"""),FALSE)</f>
        <v>0</v>
      </c>
      <c r="H98" s="15" t="str">
        <f>IFERROR(__xludf.DUMMYFUNCTION("""COMPUTED_VALUE"""),"Impression, Passion Digital, Found, GA Agency, The SEO Works, ROAST")</f>
        <v>Impression, Passion Digital, Found, GA Agency, The SEO Works, ROAST</v>
      </c>
      <c r="I98" s="15">
        <f>IFERROR(__xludf.DUMMYFUNCTION("""COMPUTED_VALUE"""),2.0)</f>
        <v>2</v>
      </c>
      <c r="J98" s="15">
        <f>IFERROR(__xludf.DUMMYFUNCTION("""COMPUTED_VALUE"""),0.0)</f>
        <v>0</v>
      </c>
      <c r="K98" s="15">
        <f>IFERROR(__xludf.DUMMYFUNCTION("""COMPUTED_VALUE"""),0.0)</f>
        <v>0</v>
      </c>
    </row>
    <row r="99" ht="15.75" customHeight="1">
      <c r="A99" s="14" t="str">
        <f>IFERROR(__xludf.DUMMYFUNCTION("""COMPUTED_VALUE"""),"https://agencies.semrush.com/list/programmatic-advertising/united-kingdom/")</f>
        <v>https://agencies.semrush.com/list/programmatic-advertising/united-kingdom/</v>
      </c>
      <c r="B99" s="15" t="str">
        <f>IFERROR(__xludf.DUMMYFUNCTION("""COMPUTED_VALUE"""),"Best Programmatic Advertising Agencies in United Kingdom 2026 | Semrush")</f>
        <v>Best Programmatic Advertising Agencies in United Kingdom 2026 | Semrush</v>
      </c>
      <c r="C99" s="14" t="str">
        <f>IFERROR(__xludf.DUMMYFUNCTION("""COMPUTED_VALUE"""),"semrush.com")</f>
        <v>semrush.com</v>
      </c>
      <c r="D99" s="15" t="str">
        <f>IFERROR(__xludf.DUMMYFUNCTION("""COMPUTED_VALUE"""),"CATEGORY_PAGE")</f>
        <v>CATEGORY_PAGE</v>
      </c>
      <c r="E99" s="15" t="str">
        <f>IFERROR(__xludf.DUMMYFUNCTION("""COMPUTED_VALUE"""),"CORPORATE")</f>
        <v>CORPORATE</v>
      </c>
      <c r="F99" s="15" t="str">
        <f>IFERROR(__xludf.DUMMYFUNCTION("""COMPUTED_VALUE"""),"Category Page")</f>
        <v>Category Page</v>
      </c>
      <c r="G99" s="15" t="b">
        <f>IFERROR(__xludf.DUMMYFUNCTION("""COMPUTED_VALUE"""),FALSE)</f>
        <v>0</v>
      </c>
      <c r="H99" s="15" t="str">
        <f>IFERROR(__xludf.DUMMYFUNCTION("""COMPUTED_VALUE"""),"Found, Passion Digital, GA Agency, The SEO Works, ROAST")</f>
        <v>Found, Passion Digital, GA Agency, The SEO Works, ROAST</v>
      </c>
      <c r="I99" s="15">
        <f>IFERROR(__xludf.DUMMYFUNCTION("""COMPUTED_VALUE"""),2.0)</f>
        <v>2</v>
      </c>
      <c r="J99" s="15">
        <f>IFERROR(__xludf.DUMMYFUNCTION("""COMPUTED_VALUE"""),0.0)</f>
        <v>0</v>
      </c>
      <c r="K99" s="15">
        <f>IFERROR(__xludf.DUMMYFUNCTION("""COMPUTED_VALUE"""),0.0)</f>
        <v>0</v>
      </c>
    </row>
    <row r="100" ht="15.75" customHeight="1">
      <c r="A100" s="14" t="str">
        <f>IFERROR(__xludf.DUMMYFUNCTION("""COMPUTED_VALUE"""),"https://agencylist.com/services/programmatic-display-and-video/gb/")</f>
        <v>https://agencylist.com/services/programmatic-display-and-video/gb/</v>
      </c>
      <c r="B100" s="15" t="str">
        <f>IFERROR(__xludf.DUMMYFUNCTION("""COMPUTED_VALUE"""),"Top Programmatic Display and Video Agencies in United Kingdom")</f>
        <v>Top Programmatic Display and Video Agencies in United Kingdom</v>
      </c>
      <c r="C100" s="14" t="str">
        <f>IFERROR(__xludf.DUMMYFUNCTION("""COMPUTED_VALUE"""),"agencylist.com")</f>
        <v>agencylist.com</v>
      </c>
      <c r="D100" s="15" t="str">
        <f>IFERROR(__xludf.DUMMYFUNCTION("""COMPUTED_VALUE"""),"CATEGORY_PAGE")</f>
        <v>CATEGORY_PAGE</v>
      </c>
      <c r="E100" s="15" t="str">
        <f>IFERROR(__xludf.DUMMYFUNCTION("""COMPUTED_VALUE"""),"REFERENCE")</f>
        <v>REFERENCE</v>
      </c>
      <c r="F100" s="15" t="str">
        <f>IFERROR(__xludf.DUMMYFUNCTION("""COMPUTED_VALUE"""),"Category Page")</f>
        <v>Category Page</v>
      </c>
      <c r="G100" s="15" t="b">
        <f>IFERROR(__xludf.DUMMYFUNCTION("""COMPUTED_VALUE"""),FALSE)</f>
        <v>0</v>
      </c>
      <c r="H100" s="15"/>
      <c r="I100" s="15">
        <f>IFERROR(__xludf.DUMMYFUNCTION("""COMPUTED_VALUE"""),2.0)</f>
        <v>2</v>
      </c>
      <c r="J100" s="15">
        <f>IFERROR(__xludf.DUMMYFUNCTION("""COMPUTED_VALUE"""),0.0)</f>
        <v>0</v>
      </c>
      <c r="K100" s="15">
        <f>IFERROR(__xludf.DUMMYFUNCTION("""COMPUTED_VALUE"""),0.0)</f>
        <v>0</v>
      </c>
    </row>
    <row r="101" ht="15.75" customHeight="1">
      <c r="A101" s="14" t="str">
        <f>IFERROR(__xludf.DUMMYFUNCTION("""COMPUTED_VALUE"""),"https://www.bcg.com/capabilities/artificial-intelligence")</f>
        <v>https://www.bcg.com/capabilities/artificial-intelligence</v>
      </c>
      <c r="B101" s="15" t="str">
        <f>IFERROR(__xludf.DUMMYFUNCTION("""COMPUTED_VALUE"""),"AI @ Scale | AI Consulting and Strategy | BCG")</f>
        <v>AI @ Scale | AI Consulting and Strategy | BCG</v>
      </c>
      <c r="C101" s="14" t="str">
        <f>IFERROR(__xludf.DUMMYFUNCTION("""COMPUTED_VALUE"""),"bcg.com")</f>
        <v>bcg.com</v>
      </c>
      <c r="D101" s="15" t="str">
        <f>IFERROR(__xludf.DUMMYFUNCTION("""COMPUTED_VALUE"""),"CATEGORY_PAGE")</f>
        <v>CATEGORY_PAGE</v>
      </c>
      <c r="E101" s="15" t="str">
        <f>IFERROR(__xludf.DUMMYFUNCTION("""COMPUTED_VALUE"""),"CORPORATE")</f>
        <v>CORPORATE</v>
      </c>
      <c r="F101" s="15" t="str">
        <f>IFERROR(__xludf.DUMMYFUNCTION("""COMPUTED_VALUE"""),"Category Page")</f>
        <v>Category Page</v>
      </c>
      <c r="G101" s="15" t="b">
        <f>IFERROR(__xludf.DUMMYFUNCTION("""COMPUTED_VALUE"""),FALSE)</f>
        <v>0</v>
      </c>
      <c r="H101" s="15" t="str">
        <f>IFERROR(__xludf.DUMMYFUNCTION("""COMPUTED_VALUE"""),"Disrupt Marketing, Found")</f>
        <v>Disrupt Marketing, Found</v>
      </c>
      <c r="I101" s="15">
        <f>IFERROR(__xludf.DUMMYFUNCTION("""COMPUTED_VALUE"""),2.0)</f>
        <v>2</v>
      </c>
      <c r="J101" s="15">
        <f>IFERROR(__xludf.DUMMYFUNCTION("""COMPUTED_VALUE"""),0.0)</f>
        <v>0</v>
      </c>
      <c r="K101" s="15">
        <f>IFERROR(__xludf.DUMMYFUNCTION("""COMPUTED_VALUE"""),0.0)</f>
        <v>0</v>
      </c>
    </row>
    <row r="102" ht="15.75" customHeight="1">
      <c r="A102" s="14" t="str">
        <f>IFERROR(__xludf.DUMMYFUNCTION("""COMPUTED_VALUE"""),"https://clutch.co/agencies")</f>
        <v>https://clutch.co/agencies</v>
      </c>
      <c r="B102" s="15" t="str">
        <f>IFERROR(__xludf.DUMMYFUNCTION("""COMPUTED_VALUE"""),"Top Advertising Agencies &amp;amp; Marketing Companies - Jul 2026 Rankings | Clutch.co")</f>
        <v>Top Advertising Agencies &amp;amp; Marketing Companies - Jul 2026 Rankings | Clutch.co</v>
      </c>
      <c r="C102" s="14" t="str">
        <f>IFERROR(__xludf.DUMMYFUNCTION("""COMPUTED_VALUE"""),"clutch.co")</f>
        <v>clutch.co</v>
      </c>
      <c r="D102" s="15" t="str">
        <f>IFERROR(__xludf.DUMMYFUNCTION("""COMPUTED_VALUE"""),"CATEGORY_PAGE")</f>
        <v>CATEGORY_PAGE</v>
      </c>
      <c r="E102" s="15" t="str">
        <f>IFERROR(__xludf.DUMMYFUNCTION("""COMPUTED_VALUE"""),"CORPORATE")</f>
        <v>CORPORATE</v>
      </c>
      <c r="F102" s="15" t="str">
        <f>IFERROR(__xludf.DUMMYFUNCTION("""COMPUTED_VALUE"""),"Category Page")</f>
        <v>Category Page</v>
      </c>
      <c r="G102" s="15" t="b">
        <f>IFERROR(__xludf.DUMMYFUNCTION("""COMPUTED_VALUE"""),FALSE)</f>
        <v>0</v>
      </c>
      <c r="H102" s="15" t="str">
        <f>IFERROR(__xludf.DUMMYFUNCTION("""COMPUTED_VALUE"""),"Power Digital, Ignite Visibility, Favoured, Ninja Promo, WebFX, Chello, ROAST, M3.agency, The SEO Works")</f>
        <v>Power Digital, Ignite Visibility, Favoured, Ninja Promo, WebFX, Chello, ROAST, M3.agency, The SEO Works</v>
      </c>
      <c r="I102" s="15">
        <f>IFERROR(__xludf.DUMMYFUNCTION("""COMPUTED_VALUE"""),2.0)</f>
        <v>2</v>
      </c>
      <c r="J102" s="15">
        <f>IFERROR(__xludf.DUMMYFUNCTION("""COMPUTED_VALUE"""),0.0)</f>
        <v>0</v>
      </c>
      <c r="K102" s="15">
        <f>IFERROR(__xludf.DUMMYFUNCTION("""COMPUTED_VALUE"""),0.0)</f>
        <v>0</v>
      </c>
    </row>
    <row r="103" ht="15.75" customHeight="1">
      <c r="A103" s="14" t="str">
        <f>IFERROR(__xludf.DUMMYFUNCTION("""COMPUTED_VALUE"""),"https://clutch.co/agencies/ppc/display/uk/england")</f>
        <v>https://clutch.co/agencies/ppc/display/uk/england</v>
      </c>
      <c r="B103" s="15" t="str">
        <f>IFERROR(__xludf.DUMMYFUNCTION("""COMPUTED_VALUE"""),"Top Display Advertising Agencies - Jul 2026 Rankings \| Clutch.co")</f>
        <v>Top Display Advertising Agencies - Jul 2026 Rankings \| Clutch.co</v>
      </c>
      <c r="C103" s="14" t="str">
        <f>IFERROR(__xludf.DUMMYFUNCTION("""COMPUTED_VALUE"""),"clutch.co")</f>
        <v>clutch.co</v>
      </c>
      <c r="D103" s="15" t="str">
        <f>IFERROR(__xludf.DUMMYFUNCTION("""COMPUTED_VALUE"""),"CATEGORY_PAGE")</f>
        <v>CATEGORY_PAGE</v>
      </c>
      <c r="E103" s="15" t="str">
        <f>IFERROR(__xludf.DUMMYFUNCTION("""COMPUTED_VALUE"""),"CORPORATE")</f>
        <v>CORPORATE</v>
      </c>
      <c r="F103" s="15" t="str">
        <f>IFERROR(__xludf.DUMMYFUNCTION("""COMPUTED_VALUE"""),"Category Page")</f>
        <v>Category Page</v>
      </c>
      <c r="G103" s="15" t="b">
        <f>IFERROR(__xludf.DUMMYFUNCTION("""COMPUTED_VALUE"""),FALSE)</f>
        <v>0</v>
      </c>
      <c r="H103" s="15" t="str">
        <f>IFERROR(__xludf.DUMMYFUNCTION("""COMPUTED_VALUE"""),"Ninja Promo, Soap Media, Found, The SEO Works, GA Agency")</f>
        <v>Ninja Promo, Soap Media, Found, The SEO Works, GA Agency</v>
      </c>
      <c r="I103" s="15">
        <f>IFERROR(__xludf.DUMMYFUNCTION("""COMPUTED_VALUE"""),2.0)</f>
        <v>2</v>
      </c>
      <c r="J103" s="15">
        <f>IFERROR(__xludf.DUMMYFUNCTION("""COMPUTED_VALUE"""),0.0)</f>
        <v>0</v>
      </c>
      <c r="K103" s="15">
        <f>IFERROR(__xludf.DUMMYFUNCTION("""COMPUTED_VALUE"""),0.5)</f>
        <v>0.5</v>
      </c>
    </row>
    <row r="104" ht="15.75" customHeight="1">
      <c r="A104" s="14" t="str">
        <f>IFERROR(__xludf.DUMMYFUNCTION("""COMPUTED_VALUE"""),"https://clutch.co/consulting/ai/uk?page=3")</f>
        <v>https://clutch.co/consulting/ai/uk?page=3</v>
      </c>
      <c r="B104" s="15" t="str">
        <f>IFERROR(__xludf.DUMMYFUNCTION("""COMPUTED_VALUE"""),"Page 3 - Top AI Consultants in the United Kingdom - Jul 2026 Rankings \| Clutch.co")</f>
        <v>Page 3 - Top AI Consultants in the United Kingdom - Jul 2026 Rankings \| Clutch.co</v>
      </c>
      <c r="C104" s="14" t="str">
        <f>IFERROR(__xludf.DUMMYFUNCTION("""COMPUTED_VALUE"""),"clutch.co")</f>
        <v>clutch.co</v>
      </c>
      <c r="D104" s="15" t="str">
        <f>IFERROR(__xludf.DUMMYFUNCTION("""COMPUTED_VALUE"""),"CATEGORY_PAGE")</f>
        <v>CATEGORY_PAGE</v>
      </c>
      <c r="E104" s="15" t="str">
        <f>IFERROR(__xludf.DUMMYFUNCTION("""COMPUTED_VALUE"""),"CORPORATE")</f>
        <v>CORPORATE</v>
      </c>
      <c r="F104" s="15" t="str">
        <f>IFERROR(__xludf.DUMMYFUNCTION("""COMPUTED_VALUE"""),"Category Page")</f>
        <v>Category Page</v>
      </c>
      <c r="G104" s="15" t="b">
        <f>IFERROR(__xludf.DUMMYFUNCTION("""COMPUTED_VALUE"""),FALSE)</f>
        <v>0</v>
      </c>
      <c r="H104" s="15" t="str">
        <f>IFERROR(__xludf.DUMMYFUNCTION("""COMPUTED_VALUE"""),"Found, Impression")</f>
        <v>Found, Impression</v>
      </c>
      <c r="I104" s="15">
        <f>IFERROR(__xludf.DUMMYFUNCTION("""COMPUTED_VALUE"""),2.0)</f>
        <v>2</v>
      </c>
      <c r="J104" s="15">
        <f>IFERROR(__xludf.DUMMYFUNCTION("""COMPUTED_VALUE"""),0.0)</f>
        <v>0</v>
      </c>
      <c r="K104" s="15">
        <f>IFERROR(__xludf.DUMMYFUNCTION("""COMPUTED_VALUE"""),0.0)</f>
        <v>0</v>
      </c>
    </row>
    <row r="105" ht="15.75" customHeight="1">
      <c r="A105" s="14" t="str">
        <f>IFERROR(__xludf.DUMMYFUNCTION("""COMPUTED_VALUE"""),"https://www.goodfirms.co/advertising-companies/creative/uk?page=2")</f>
        <v>https://www.goodfirms.co/advertising-companies/creative/uk?page=2</v>
      </c>
      <c r="B105" s="15" t="str">
        <f>IFERROR(__xludf.DUMMYFUNCTION("""COMPUTED_VALUE"""),"Top Creative Agencies in the United Kingdom - 2026 Reviews | Goodfirms")</f>
        <v>Top Creative Agencies in the United Kingdom - 2026 Reviews | Goodfirms</v>
      </c>
      <c r="C105" s="14" t="str">
        <f>IFERROR(__xludf.DUMMYFUNCTION("""COMPUTED_VALUE"""),"goodfirms.co")</f>
        <v>goodfirms.co</v>
      </c>
      <c r="D105" s="15" t="str">
        <f>IFERROR(__xludf.DUMMYFUNCTION("""COMPUTED_VALUE"""),"CATEGORY_PAGE")</f>
        <v>CATEGORY_PAGE</v>
      </c>
      <c r="E105" s="15" t="str">
        <f>IFERROR(__xludf.DUMMYFUNCTION("""COMPUTED_VALUE"""),"UGC")</f>
        <v>UGC</v>
      </c>
      <c r="F105" s="15" t="str">
        <f>IFERROR(__xludf.DUMMYFUNCTION("""COMPUTED_VALUE"""),"Category Page")</f>
        <v>Category Page</v>
      </c>
      <c r="G105" s="15" t="b">
        <f>IFERROR(__xludf.DUMMYFUNCTION("""COMPUTED_VALUE"""),FALSE)</f>
        <v>0</v>
      </c>
      <c r="H105" s="15" t="str">
        <f>IFERROR(__xludf.DUMMYFUNCTION("""COMPUTED_VALUE"""),"The Social Shepherd, Mother London, Huge, Impression, Found")</f>
        <v>The Social Shepherd, Mother London, Huge, Impression, Found</v>
      </c>
      <c r="I105" s="15">
        <f>IFERROR(__xludf.DUMMYFUNCTION("""COMPUTED_VALUE"""),2.0)</f>
        <v>2</v>
      </c>
      <c r="J105" s="15">
        <f>IFERROR(__xludf.DUMMYFUNCTION("""COMPUTED_VALUE"""),0.0)</f>
        <v>0</v>
      </c>
      <c r="K105" s="15">
        <f>IFERROR(__xludf.DUMMYFUNCTION("""COMPUTED_VALUE"""),0.0)</f>
        <v>0</v>
      </c>
    </row>
    <row r="106" ht="15.75" customHeight="1">
      <c r="A106" s="14" t="str">
        <f>IFERROR(__xludf.DUMMYFUNCTION("""COMPUTED_VALUE"""),"https://lon.havas.com/havas-london/")</f>
        <v>https://lon.havas.com/havas-london/</v>
      </c>
      <c r="B106" s="15" t="str">
        <f>IFERROR(__xludf.DUMMYFUNCTION("""COMPUTED_VALUE"""),"Havas London - UK Advertising Agency")</f>
        <v>Havas London - UK Advertising Agency</v>
      </c>
      <c r="C106" s="14" t="str">
        <f>IFERROR(__xludf.DUMMYFUNCTION("""COMPUTED_VALUE"""),"havas.com")</f>
        <v>havas.com</v>
      </c>
      <c r="D106" s="15" t="str">
        <f>IFERROR(__xludf.DUMMYFUNCTION("""COMPUTED_VALUE"""),"CATEGORY_PAGE")</f>
        <v>CATEGORY_PAGE</v>
      </c>
      <c r="E106" s="15" t="str">
        <f>IFERROR(__xludf.DUMMYFUNCTION("""COMPUTED_VALUE"""),"CORPORATE")</f>
        <v>CORPORATE</v>
      </c>
      <c r="F106" s="15" t="str">
        <f>IFERROR(__xludf.DUMMYFUNCTION("""COMPUTED_VALUE"""),"Category Page")</f>
        <v>Category Page</v>
      </c>
      <c r="G106" s="15" t="b">
        <f>IFERROR(__xludf.DUMMYFUNCTION("""COMPUTED_VALUE"""),FALSE)</f>
        <v>0</v>
      </c>
      <c r="H106" s="15" t="str">
        <f>IFERROR(__xludf.DUMMYFUNCTION("""COMPUTED_VALUE"""),"Disrupt Marketing")</f>
        <v>Disrupt Marketing</v>
      </c>
      <c r="I106" s="15">
        <f>IFERROR(__xludf.DUMMYFUNCTION("""COMPUTED_VALUE"""),2.0)</f>
        <v>2</v>
      </c>
      <c r="J106" s="15">
        <f>IFERROR(__xludf.DUMMYFUNCTION("""COMPUTED_VALUE"""),0.0)</f>
        <v>0</v>
      </c>
      <c r="K106" s="15">
        <f>IFERROR(__xludf.DUMMYFUNCTION("""COMPUTED_VALUE"""),1.0)</f>
        <v>1</v>
      </c>
    </row>
    <row r="107" ht="15.75" customHeight="1">
      <c r="A107" s="14" t="str">
        <f>IFERROR(__xludf.DUMMYFUNCTION("""COMPUTED_VALUE"""),"https://www.marketingagencyindex.com/uk/services/creative")</f>
        <v>https://www.marketingagencyindex.com/uk/services/creative</v>
      </c>
      <c r="B107" s="15" t="str">
        <f>IFERROR(__xludf.DUMMYFUNCTION("""COMPUTED_VALUE"""),"Best Creative Agencies in the UK | Agency Index")</f>
        <v>Best Creative Agencies in the UK | Agency Index</v>
      </c>
      <c r="C107" s="14" t="str">
        <f>IFERROR(__xludf.DUMMYFUNCTION("""COMPUTED_VALUE"""),"marketingagencyindex.com")</f>
        <v>marketingagencyindex.com</v>
      </c>
      <c r="D107" s="15" t="str">
        <f>IFERROR(__xludf.DUMMYFUNCTION("""COMPUTED_VALUE"""),"CATEGORY_PAGE")</f>
        <v>CATEGORY_PAGE</v>
      </c>
      <c r="E107" s="15" t="str">
        <f>IFERROR(__xludf.DUMMYFUNCTION("""COMPUTED_VALUE"""),"UGC")</f>
        <v>UGC</v>
      </c>
      <c r="F107" s="15" t="str">
        <f>IFERROR(__xludf.DUMMYFUNCTION("""COMPUTED_VALUE"""),"Category Page")</f>
        <v>Category Page</v>
      </c>
      <c r="G107" s="15" t="b">
        <f>IFERROR(__xludf.DUMMYFUNCTION("""COMPUTED_VALUE"""),FALSE)</f>
        <v>0</v>
      </c>
      <c r="H107" s="15" t="str">
        <f>IFERROR(__xludf.DUMMYFUNCTION("""COMPUTED_VALUE"""),"Momentum, Mother London, Adam&amp;eveDDB")</f>
        <v>Momentum, Mother London, Adam&amp;eveDDB</v>
      </c>
      <c r="I107" s="15">
        <f>IFERROR(__xludf.DUMMYFUNCTION("""COMPUTED_VALUE"""),2.0)</f>
        <v>2</v>
      </c>
      <c r="J107" s="15">
        <f>IFERROR(__xludf.DUMMYFUNCTION("""COMPUTED_VALUE"""),0.0)</f>
        <v>0</v>
      </c>
      <c r="K107" s="15">
        <f>IFERROR(__xludf.DUMMYFUNCTION("""COMPUTED_VALUE"""),0.0)</f>
        <v>0</v>
      </c>
    </row>
    <row r="108" ht="15.75" customHeight="1">
      <c r="A108" s="14" t="str">
        <f>IFERROR(__xludf.DUMMYFUNCTION("""COMPUTED_VALUE"""),"https://www.masoncircle.com/blog/")</f>
        <v>https://www.masoncircle.com/blog/</v>
      </c>
      <c r="B108" s="15" t="str">
        <f>IFERROR(__xludf.DUMMYFUNCTION("""COMPUTED_VALUE"""),"Digital Marketing Services in London &amp;amp; Dubai | Social Marketing Agency London")</f>
        <v>Digital Marketing Services in London &amp;amp; Dubai | Social Marketing Agency London</v>
      </c>
      <c r="C108" s="14" t="str">
        <f>IFERROR(__xludf.DUMMYFUNCTION("""COMPUTED_VALUE"""),"masoncircle.com")</f>
        <v>masoncircle.com</v>
      </c>
      <c r="D108" s="15" t="str">
        <f>IFERROR(__xludf.DUMMYFUNCTION("""COMPUTED_VALUE"""),"CATEGORY_PAGE")</f>
        <v>CATEGORY_PAGE</v>
      </c>
      <c r="E108" s="15" t="str">
        <f>IFERROR(__xludf.DUMMYFUNCTION("""COMPUTED_VALUE"""),"CORPORATE")</f>
        <v>CORPORATE</v>
      </c>
      <c r="F108" s="15" t="str">
        <f>IFERROR(__xludf.DUMMYFUNCTION("""COMPUTED_VALUE"""),"Category Page")</f>
        <v>Category Page</v>
      </c>
      <c r="G108" s="15" t="b">
        <f>IFERROR(__xludf.DUMMYFUNCTION("""COMPUTED_VALUE"""),FALSE)</f>
        <v>0</v>
      </c>
      <c r="H108" s="15"/>
      <c r="I108" s="15">
        <f>IFERROR(__xludf.DUMMYFUNCTION("""COMPUTED_VALUE"""),2.0)</f>
        <v>2</v>
      </c>
      <c r="J108" s="15">
        <f>IFERROR(__xludf.DUMMYFUNCTION("""COMPUTED_VALUE"""),0.0)</f>
        <v>0</v>
      </c>
      <c r="K108" s="15">
        <f>IFERROR(__xludf.DUMMYFUNCTION("""COMPUTED_VALUE"""),0.5)</f>
        <v>0.5</v>
      </c>
    </row>
    <row r="109" ht="15.75" customHeight="1">
      <c r="A109" s="14" t="str">
        <f>IFERROR(__xludf.DUMMYFUNCTION("""COMPUTED_VALUE"""),"https://www.rightfirms.co/directory/geo-services/country/united-kingdom")</f>
        <v>https://www.rightfirms.co/directory/geo-services/country/united-kingdom</v>
      </c>
      <c r="B109" s="15" t="str">
        <f>IFERROR(__xludf.DUMMYFUNCTION("""COMPUTED_VALUE"""),"Top GEO Services Companies in the United Kingdom | RightFirms")</f>
        <v>Top GEO Services Companies in the United Kingdom | RightFirms</v>
      </c>
      <c r="C109" s="14" t="str">
        <f>IFERROR(__xludf.DUMMYFUNCTION("""COMPUTED_VALUE"""),"rightfirms.co")</f>
        <v>rightfirms.co</v>
      </c>
      <c r="D109" s="15" t="str">
        <f>IFERROR(__xludf.DUMMYFUNCTION("""COMPUTED_VALUE"""),"CATEGORY_PAGE")</f>
        <v>CATEGORY_PAGE</v>
      </c>
      <c r="E109" s="15" t="str">
        <f>IFERROR(__xludf.DUMMYFUNCTION("""COMPUTED_VALUE"""),"REFERENCE")</f>
        <v>REFERENCE</v>
      </c>
      <c r="F109" s="15" t="str">
        <f>IFERROR(__xludf.DUMMYFUNCTION("""COMPUTED_VALUE"""),"Category Page")</f>
        <v>Category Page</v>
      </c>
      <c r="G109" s="15" t="b">
        <f>IFERROR(__xludf.DUMMYFUNCTION("""COMPUTED_VALUE"""),FALSE)</f>
        <v>0</v>
      </c>
      <c r="H109" s="15" t="str">
        <f>IFERROR(__xludf.DUMMYFUNCTION("""COMPUTED_VALUE"""),"The SEO Works")</f>
        <v>The SEO Works</v>
      </c>
      <c r="I109" s="15">
        <f>IFERROR(__xludf.DUMMYFUNCTION("""COMPUTED_VALUE"""),2.0)</f>
        <v>2</v>
      </c>
      <c r="J109" s="15">
        <f>IFERROR(__xludf.DUMMYFUNCTION("""COMPUTED_VALUE"""),0.0)</f>
        <v>0</v>
      </c>
      <c r="K109" s="15">
        <f>IFERROR(__xludf.DUMMYFUNCTION("""COMPUTED_VALUE"""),0.0)</f>
        <v>0</v>
      </c>
    </row>
    <row r="110" ht="15.75" customHeight="1">
      <c r="A110" s="14" t="str">
        <f>IFERROR(__xludf.DUMMYFUNCTION("""COMPUTED_VALUE"""),"https://www.sortlist.co.uk/s/ai-marketing/london-england-gb")</f>
        <v>https://www.sortlist.co.uk/s/ai-marketing/london-england-gb</v>
      </c>
      <c r="B110" s="15" t="str">
        <f>IFERROR(__xludf.DUMMYFUNCTION("""COMPUTED_VALUE"""),"The 10 Best AI Marketing Companies in London - 2026 Reviews")</f>
        <v>The 10 Best AI Marketing Companies in London - 2026 Reviews</v>
      </c>
      <c r="C110" s="14" t="str">
        <f>IFERROR(__xludf.DUMMYFUNCTION("""COMPUTED_VALUE"""),"sortlist.co.uk")</f>
        <v>sortlist.co.uk</v>
      </c>
      <c r="D110" s="15" t="str">
        <f>IFERROR(__xludf.DUMMYFUNCTION("""COMPUTED_VALUE"""),"CATEGORY_PAGE")</f>
        <v>CATEGORY_PAGE</v>
      </c>
      <c r="E110" s="15" t="str">
        <f>IFERROR(__xludf.DUMMYFUNCTION("""COMPUTED_VALUE"""),"REFERENCE")</f>
        <v>REFERENCE</v>
      </c>
      <c r="F110" s="15" t="str">
        <f>IFERROR(__xludf.DUMMYFUNCTION("""COMPUTED_VALUE"""),"Category Page")</f>
        <v>Category Page</v>
      </c>
      <c r="G110" s="15" t="b">
        <f>IFERROR(__xludf.DUMMYFUNCTION("""COMPUTED_VALUE"""),FALSE)</f>
        <v>0</v>
      </c>
      <c r="H110" s="15" t="str">
        <f>IFERROR(__xludf.DUMMYFUNCTION("""COMPUTED_VALUE"""),"Hallam")</f>
        <v>Hallam</v>
      </c>
      <c r="I110" s="15">
        <f>IFERROR(__xludf.DUMMYFUNCTION("""COMPUTED_VALUE"""),2.0)</f>
        <v>2</v>
      </c>
      <c r="J110" s="15">
        <f>IFERROR(__xludf.DUMMYFUNCTION("""COMPUTED_VALUE"""),0.0)</f>
        <v>0</v>
      </c>
      <c r="K110" s="15">
        <f>IFERROR(__xludf.DUMMYFUNCTION("""COMPUTED_VALUE"""),0.0)</f>
        <v>0</v>
      </c>
    </row>
    <row r="111" ht="15.75" customHeight="1">
      <c r="A111" s="14" t="str">
        <f>IFERROR(__xludf.DUMMYFUNCTION("""COMPUTED_VALUE"""),"https://www.sortlist.co.uk/s/attribution-marketing/essex-england-gb")</f>
        <v>https://www.sortlist.co.uk/s/attribution-marketing/essex-england-gb</v>
      </c>
      <c r="B111" s="15" t="str">
        <f>IFERROR(__xludf.DUMMYFUNCTION("""COMPUTED_VALUE"""),"The 10 Best Attribution Marketing Agencies in Essex - 2026 Reviews")</f>
        <v>The 10 Best Attribution Marketing Agencies in Essex - 2026 Reviews</v>
      </c>
      <c r="C111" s="14" t="str">
        <f>IFERROR(__xludf.DUMMYFUNCTION("""COMPUTED_VALUE"""),"sortlist.co.uk")</f>
        <v>sortlist.co.uk</v>
      </c>
      <c r="D111" s="15" t="str">
        <f>IFERROR(__xludf.DUMMYFUNCTION("""COMPUTED_VALUE"""),"CATEGORY_PAGE")</f>
        <v>CATEGORY_PAGE</v>
      </c>
      <c r="E111" s="15" t="str">
        <f>IFERROR(__xludf.DUMMYFUNCTION("""COMPUTED_VALUE"""),"REFERENCE")</f>
        <v>REFERENCE</v>
      </c>
      <c r="F111" s="15" t="str">
        <f>IFERROR(__xludf.DUMMYFUNCTION("""COMPUTED_VALUE"""),"Category Page")</f>
        <v>Category Page</v>
      </c>
      <c r="G111" s="15" t="b">
        <f>IFERROR(__xludf.DUMMYFUNCTION("""COMPUTED_VALUE"""),FALSE)</f>
        <v>0</v>
      </c>
      <c r="H111" s="15" t="str">
        <f>IFERROR(__xludf.DUMMYFUNCTION("""COMPUTED_VALUE"""),"GA Agency")</f>
        <v>GA Agency</v>
      </c>
      <c r="I111" s="15">
        <f>IFERROR(__xludf.DUMMYFUNCTION("""COMPUTED_VALUE"""),2.0)</f>
        <v>2</v>
      </c>
      <c r="J111" s="15">
        <f>IFERROR(__xludf.DUMMYFUNCTION("""COMPUTED_VALUE"""),0.0)</f>
        <v>0</v>
      </c>
      <c r="K111" s="15">
        <f>IFERROR(__xludf.DUMMYFUNCTION("""COMPUTED_VALUE"""),0.0)</f>
        <v>0</v>
      </c>
    </row>
    <row r="112" ht="15.75" customHeight="1">
      <c r="A112" s="14" t="str">
        <f>IFERROR(__xludf.DUMMYFUNCTION("""COMPUTED_VALUE"""),"https://www.sortlist.co.uk/s/creative/england-england-gb")</f>
        <v>https://www.sortlist.co.uk/s/creative/england-england-gb</v>
      </c>
      <c r="B112" s="15" t="str">
        <f>IFERROR(__xludf.DUMMYFUNCTION("""COMPUTED_VALUE"""),"The 10 Best Creative Agencies in England - 2026 Reviews")</f>
        <v>The 10 Best Creative Agencies in England - 2026 Reviews</v>
      </c>
      <c r="C112" s="14" t="str">
        <f>IFERROR(__xludf.DUMMYFUNCTION("""COMPUTED_VALUE"""),"sortlist.co.uk")</f>
        <v>sortlist.co.uk</v>
      </c>
      <c r="D112" s="15" t="str">
        <f>IFERROR(__xludf.DUMMYFUNCTION("""COMPUTED_VALUE"""),"CATEGORY_PAGE")</f>
        <v>CATEGORY_PAGE</v>
      </c>
      <c r="E112" s="15" t="str">
        <f>IFERROR(__xludf.DUMMYFUNCTION("""COMPUTED_VALUE"""),"REFERENCE")</f>
        <v>REFERENCE</v>
      </c>
      <c r="F112" s="15" t="str">
        <f>IFERROR(__xludf.DUMMYFUNCTION("""COMPUTED_VALUE"""),"Category Page")</f>
        <v>Category Page</v>
      </c>
      <c r="G112" s="15" t="b">
        <f>IFERROR(__xludf.DUMMYFUNCTION("""COMPUTED_VALUE"""),FALSE)</f>
        <v>0</v>
      </c>
      <c r="H112" s="15" t="str">
        <f>IFERROR(__xludf.DUMMYFUNCTION("""COMPUTED_VALUE"""),"Ninja Promo, Whitehat, Momentum")</f>
        <v>Ninja Promo, Whitehat, Momentum</v>
      </c>
      <c r="I112" s="15">
        <f>IFERROR(__xludf.DUMMYFUNCTION("""COMPUTED_VALUE"""),2.0)</f>
        <v>2</v>
      </c>
      <c r="J112" s="15">
        <f>IFERROR(__xludf.DUMMYFUNCTION("""COMPUTED_VALUE"""),0.0)</f>
        <v>0</v>
      </c>
      <c r="K112" s="15">
        <f>IFERROR(__xludf.DUMMYFUNCTION("""COMPUTED_VALUE"""),0.0)</f>
        <v>0</v>
      </c>
    </row>
    <row r="113" ht="15.75" customHeight="1">
      <c r="A113" s="14" t="str">
        <f>IFERROR(__xludf.DUMMYFUNCTION("""COMPUTED_VALUE"""),"https://www.sortlist.co.uk/s/digital-advertising/united-kingdom-gb")</f>
        <v>https://www.sortlist.co.uk/s/digital-advertising/united-kingdom-gb</v>
      </c>
      <c r="B113" s="15" t="str">
        <f>IFERROR(__xludf.DUMMYFUNCTION("""COMPUTED_VALUE"""),"The 10 Best Digital Advertising Agencies in The United Kingdom - 2026 Reviews")</f>
        <v>The 10 Best Digital Advertising Agencies in The United Kingdom - 2026 Reviews</v>
      </c>
      <c r="C113" s="14" t="str">
        <f>IFERROR(__xludf.DUMMYFUNCTION("""COMPUTED_VALUE"""),"sortlist.co.uk")</f>
        <v>sortlist.co.uk</v>
      </c>
      <c r="D113" s="15" t="str">
        <f>IFERROR(__xludf.DUMMYFUNCTION("""COMPUTED_VALUE"""),"CATEGORY_PAGE")</f>
        <v>CATEGORY_PAGE</v>
      </c>
      <c r="E113" s="15" t="str">
        <f>IFERROR(__xludf.DUMMYFUNCTION("""COMPUTED_VALUE"""),"REFERENCE")</f>
        <v>REFERENCE</v>
      </c>
      <c r="F113" s="15" t="str">
        <f>IFERROR(__xludf.DUMMYFUNCTION("""COMPUTED_VALUE"""),"Category Page")</f>
        <v>Category Page</v>
      </c>
      <c r="G113" s="15" t="b">
        <f>IFERROR(__xludf.DUMMYFUNCTION("""COMPUTED_VALUE"""),FALSE)</f>
        <v>0</v>
      </c>
      <c r="H113" s="15" t="str">
        <f>IFERROR(__xludf.DUMMYFUNCTION("""COMPUTED_VALUE"""),"Found, Momentum, M3.agency")</f>
        <v>Found, Momentum, M3.agency</v>
      </c>
      <c r="I113" s="15">
        <f>IFERROR(__xludf.DUMMYFUNCTION("""COMPUTED_VALUE"""),2.0)</f>
        <v>2</v>
      </c>
      <c r="J113" s="15">
        <f>IFERROR(__xludf.DUMMYFUNCTION("""COMPUTED_VALUE"""),0.0)</f>
        <v>0</v>
      </c>
      <c r="K113" s="15">
        <f>IFERROR(__xludf.DUMMYFUNCTION("""COMPUTED_VALUE"""),0.0)</f>
        <v>0</v>
      </c>
    </row>
    <row r="114" ht="15.75" customHeight="1">
      <c r="A114" s="14" t="str">
        <f>IFERROR(__xludf.DUMMYFUNCTION("""COMPUTED_VALUE"""),"https://www.sortlist.co.uk/s/marketing-analytics/birmingham-england-gb")</f>
        <v>https://www.sortlist.co.uk/s/marketing-analytics/birmingham-england-gb</v>
      </c>
      <c r="B114" s="15" t="str">
        <f>IFERROR(__xludf.DUMMYFUNCTION("""COMPUTED_VALUE"""),"The 10 Best Marketing Analytics Companies in Birmingham - 2026 Reviews")</f>
        <v>The 10 Best Marketing Analytics Companies in Birmingham - 2026 Reviews</v>
      </c>
      <c r="C114" s="14" t="str">
        <f>IFERROR(__xludf.DUMMYFUNCTION("""COMPUTED_VALUE"""),"sortlist.co.uk")</f>
        <v>sortlist.co.uk</v>
      </c>
      <c r="D114" s="15" t="str">
        <f>IFERROR(__xludf.DUMMYFUNCTION("""COMPUTED_VALUE"""),"CATEGORY_PAGE")</f>
        <v>CATEGORY_PAGE</v>
      </c>
      <c r="E114" s="15" t="str">
        <f>IFERROR(__xludf.DUMMYFUNCTION("""COMPUTED_VALUE"""),"REFERENCE")</f>
        <v>REFERENCE</v>
      </c>
      <c r="F114" s="15" t="str">
        <f>IFERROR(__xludf.DUMMYFUNCTION("""COMPUTED_VALUE"""),"Category Page")</f>
        <v>Category Page</v>
      </c>
      <c r="G114" s="15" t="b">
        <f>IFERROR(__xludf.DUMMYFUNCTION("""COMPUTED_VALUE"""),FALSE)</f>
        <v>0</v>
      </c>
      <c r="H114" s="15" t="str">
        <f>IFERROR(__xludf.DUMMYFUNCTION("""COMPUTED_VALUE"""),"Momentum, M3.agency, Ninja Promo")</f>
        <v>Momentum, M3.agency, Ninja Promo</v>
      </c>
      <c r="I114" s="15">
        <f>IFERROR(__xludf.DUMMYFUNCTION("""COMPUTED_VALUE"""),2.0)</f>
        <v>2</v>
      </c>
      <c r="J114" s="15">
        <f>IFERROR(__xludf.DUMMYFUNCTION("""COMPUTED_VALUE"""),0.0)</f>
        <v>0</v>
      </c>
      <c r="K114" s="15">
        <f>IFERROR(__xludf.DUMMYFUNCTION("""COMPUTED_VALUE"""),0.0)</f>
        <v>0</v>
      </c>
    </row>
    <row r="115" ht="15.75" customHeight="1">
      <c r="A115" s="14" t="str">
        <f>IFERROR(__xludf.DUMMYFUNCTION("""COMPUTED_VALUE"""),"https://www.sortlist.co.uk/s/paid-media/greater-london-england-gb")</f>
        <v>https://www.sortlist.co.uk/s/paid-media/greater-london-england-gb</v>
      </c>
      <c r="B115" s="15" t="str">
        <f>IFERROR(__xludf.DUMMYFUNCTION("""COMPUTED_VALUE"""),"The 10 Best Paid Media Agencies in Greater London - 2026 Reviews")</f>
        <v>The 10 Best Paid Media Agencies in Greater London - 2026 Reviews</v>
      </c>
      <c r="C115" s="14" t="str">
        <f>IFERROR(__xludf.DUMMYFUNCTION("""COMPUTED_VALUE"""),"sortlist.co.uk")</f>
        <v>sortlist.co.uk</v>
      </c>
      <c r="D115" s="15" t="str">
        <f>IFERROR(__xludf.DUMMYFUNCTION("""COMPUTED_VALUE"""),"CATEGORY_PAGE")</f>
        <v>CATEGORY_PAGE</v>
      </c>
      <c r="E115" s="15" t="str">
        <f>IFERROR(__xludf.DUMMYFUNCTION("""COMPUTED_VALUE"""),"REFERENCE")</f>
        <v>REFERENCE</v>
      </c>
      <c r="F115" s="15" t="str">
        <f>IFERROR(__xludf.DUMMYFUNCTION("""COMPUTED_VALUE"""),"Category Page")</f>
        <v>Category Page</v>
      </c>
      <c r="G115" s="15" t="b">
        <f>IFERROR(__xludf.DUMMYFUNCTION("""COMPUTED_VALUE"""),FALSE)</f>
        <v>0</v>
      </c>
      <c r="H115" s="15" t="str">
        <f>IFERROR(__xludf.DUMMYFUNCTION("""COMPUTED_VALUE"""),"Push, Triple Whale, Northbeam, McKinsey &amp; Company, Momentum, M3.agency")</f>
        <v>Push, Triple Whale, Northbeam, McKinsey &amp; Company, Momentum, M3.agency</v>
      </c>
      <c r="I115" s="15">
        <f>IFERROR(__xludf.DUMMYFUNCTION("""COMPUTED_VALUE"""),2.0)</f>
        <v>2</v>
      </c>
      <c r="J115" s="15">
        <f>IFERROR(__xludf.DUMMYFUNCTION("""COMPUTED_VALUE"""),0.0)</f>
        <v>0</v>
      </c>
      <c r="K115" s="15">
        <f>IFERROR(__xludf.DUMMYFUNCTION("""COMPUTED_VALUE"""),0.0)</f>
        <v>0</v>
      </c>
    </row>
    <row r="116" ht="15.75" customHeight="1">
      <c r="A116" s="14" t="str">
        <f>IFERROR(__xludf.DUMMYFUNCTION("""COMPUTED_VALUE"""),"https://www.sortlist.com/marketing-analytics")</f>
        <v>https://www.sortlist.com/marketing-analytics</v>
      </c>
      <c r="B116" s="15" t="str">
        <f>IFERROR(__xludf.DUMMYFUNCTION("""COMPUTED_VALUE"""),"The 100 Best Marketing Analytics Companies - 2026 Reviews")</f>
        <v>The 100 Best Marketing Analytics Companies - 2026 Reviews</v>
      </c>
      <c r="C116" s="14" t="str">
        <f>IFERROR(__xludf.DUMMYFUNCTION("""COMPUTED_VALUE"""),"sortlist.com")</f>
        <v>sortlist.com</v>
      </c>
      <c r="D116" s="15" t="str">
        <f>IFERROR(__xludf.DUMMYFUNCTION("""COMPUTED_VALUE"""),"CATEGORY_PAGE")</f>
        <v>CATEGORY_PAGE</v>
      </c>
      <c r="E116" s="15" t="str">
        <f>IFERROR(__xludf.DUMMYFUNCTION("""COMPUTED_VALUE"""),"CORPORATE")</f>
        <v>CORPORATE</v>
      </c>
      <c r="F116" s="15" t="str">
        <f>IFERROR(__xludf.DUMMYFUNCTION("""COMPUTED_VALUE"""),"Category Page")</f>
        <v>Category Page</v>
      </c>
      <c r="G116" s="15" t="b">
        <f>IFERROR(__xludf.DUMMYFUNCTION("""COMPUTED_VALUE"""),FALSE)</f>
        <v>0</v>
      </c>
      <c r="H116" s="15" t="str">
        <f>IFERROR(__xludf.DUMMYFUNCTION("""COMPUTED_VALUE"""),"Ninja Promo")</f>
        <v>Ninja Promo</v>
      </c>
      <c r="I116" s="15">
        <f>IFERROR(__xludf.DUMMYFUNCTION("""COMPUTED_VALUE"""),2.0)</f>
        <v>2</v>
      </c>
      <c r="J116" s="15">
        <f>IFERROR(__xludf.DUMMYFUNCTION("""COMPUTED_VALUE"""),0.0)</f>
        <v>0</v>
      </c>
      <c r="K116" s="15">
        <f>IFERROR(__xludf.DUMMYFUNCTION("""COMPUTED_VALUE"""),0.0)</f>
        <v>0</v>
      </c>
    </row>
    <row r="117" ht="15.75" customHeight="1">
      <c r="A117" s="14" t="str">
        <f>IFERROR(__xludf.DUMMYFUNCTION("""COMPUTED_VALUE"""),"https://themanifest.com/programmatic/agencies/uk")</f>
        <v>https://themanifest.com/programmatic/agencies/uk</v>
      </c>
      <c r="B117" s="15" t="str">
        <f>IFERROR(__xludf.DUMMYFUNCTION("""COMPUTED_VALUE"""),"The Best Programmatic Advertising Companies in United Kingdom - Jun 2026 \| The Manifest")</f>
        <v>The Best Programmatic Advertising Companies in United Kingdom - Jun 2026 \| The Manifest</v>
      </c>
      <c r="C117" s="14" t="str">
        <f>IFERROR(__xludf.DUMMYFUNCTION("""COMPUTED_VALUE"""),"themanifest.com")</f>
        <v>themanifest.com</v>
      </c>
      <c r="D117" s="15" t="str">
        <f>IFERROR(__xludf.DUMMYFUNCTION("""COMPUTED_VALUE"""),"CATEGORY_PAGE")</f>
        <v>CATEGORY_PAGE</v>
      </c>
      <c r="E117" s="15" t="str">
        <f>IFERROR(__xludf.DUMMYFUNCTION("""COMPUTED_VALUE"""),"REFERENCE")</f>
        <v>REFERENCE</v>
      </c>
      <c r="F117" s="15" t="str">
        <f>IFERROR(__xludf.DUMMYFUNCTION("""COMPUTED_VALUE"""),"Category Page")</f>
        <v>Category Page</v>
      </c>
      <c r="G117" s="15" t="b">
        <f>IFERROR(__xludf.DUMMYFUNCTION("""COMPUTED_VALUE"""),FALSE)</f>
        <v>0</v>
      </c>
      <c r="H117" s="15" t="str">
        <f>IFERROR(__xludf.DUMMYFUNCTION("""COMPUTED_VALUE"""),"ROAST, Ninja Promo, The SEO Works, M3.agency")</f>
        <v>ROAST, Ninja Promo, The SEO Works, M3.agency</v>
      </c>
      <c r="I117" s="15">
        <f>IFERROR(__xludf.DUMMYFUNCTION("""COMPUTED_VALUE"""),2.0)</f>
        <v>2</v>
      </c>
      <c r="J117" s="15">
        <f>IFERROR(__xludf.DUMMYFUNCTION("""COMPUTED_VALUE"""),0.0)</f>
        <v>0</v>
      </c>
      <c r="K117" s="15">
        <f>IFERROR(__xludf.DUMMYFUNCTION("""COMPUTED_VALUE"""),0.0)</f>
        <v>0</v>
      </c>
    </row>
    <row r="118" ht="15.75" customHeight="1">
      <c r="A118" s="14" t="str">
        <f>IFERROR(__xludf.DUMMYFUNCTION("""COMPUTED_VALUE"""),"https://www.50pros.com/hire/market-research")</f>
        <v>https://www.50pros.com/hire/market-research</v>
      </c>
      <c r="B118" s="15" t="str">
        <f>IFERROR(__xludf.DUMMYFUNCTION("""COMPUTED_VALUE"""),"Top Market Research Agencies to Hire in June 2026")</f>
        <v>Top Market Research Agencies to Hire in June 2026</v>
      </c>
      <c r="C118" s="14" t="str">
        <f>IFERROR(__xludf.DUMMYFUNCTION("""COMPUTED_VALUE"""),"50pros.com")</f>
        <v>50pros.com</v>
      </c>
      <c r="D118" s="15" t="str">
        <f>IFERROR(__xludf.DUMMYFUNCTION("""COMPUTED_VALUE"""),"CATEGORY_PAGE")</f>
        <v>CATEGORY_PAGE</v>
      </c>
      <c r="E118" s="15" t="str">
        <f>IFERROR(__xludf.DUMMYFUNCTION("""COMPUTED_VALUE"""),"REFERENCE")</f>
        <v>REFERENCE</v>
      </c>
      <c r="F118" s="15" t="str">
        <f>IFERROR(__xludf.DUMMYFUNCTION("""COMPUTED_VALUE"""),"Category Page")</f>
        <v>Category Page</v>
      </c>
      <c r="G118" s="15" t="b">
        <f>IFERROR(__xludf.DUMMYFUNCTION("""COMPUTED_VALUE"""),FALSE)</f>
        <v>0</v>
      </c>
      <c r="H118" s="15" t="str">
        <f>IFERROR(__xludf.DUMMYFUNCTION("""COMPUTED_VALUE"""),"Huge, Found, Push")</f>
        <v>Huge, Found, Push</v>
      </c>
      <c r="I118" s="15">
        <f>IFERROR(__xludf.DUMMYFUNCTION("""COMPUTED_VALUE"""),1.0)</f>
        <v>1</v>
      </c>
      <c r="J118" s="15">
        <f>IFERROR(__xludf.DUMMYFUNCTION("""COMPUTED_VALUE"""),0.0)</f>
        <v>0</v>
      </c>
      <c r="K118" s="15">
        <f>IFERROR(__xludf.DUMMYFUNCTION("""COMPUTED_VALUE"""),1.0)</f>
        <v>1</v>
      </c>
    </row>
    <row r="119" ht="15.75" customHeight="1">
      <c r="A119" s="14" t="str">
        <f>IFERROR(__xludf.DUMMYFUNCTION("""COMPUTED_VALUE"""),"https://adassoc.org.uk/ukadvertising-companies/")</f>
        <v>https://adassoc.org.uk/ukadvertising-companies/</v>
      </c>
      <c r="B119" s="15" t="str">
        <f>IFERROR(__xludf.DUMMYFUNCTION("""COMPUTED_VALUE"""),"UKAEG Companies Archive - Advertising Association")</f>
        <v>UKAEG Companies Archive - Advertising Association</v>
      </c>
      <c r="C119" s="14" t="str">
        <f>IFERROR(__xludf.DUMMYFUNCTION("""COMPUTED_VALUE"""),"adassoc.org.uk")</f>
        <v>adassoc.org.uk</v>
      </c>
      <c r="D119" s="15" t="str">
        <f>IFERROR(__xludf.DUMMYFUNCTION("""COMPUTED_VALUE"""),"CATEGORY_PAGE")</f>
        <v>CATEGORY_PAGE</v>
      </c>
      <c r="E119" s="15" t="str">
        <f>IFERROR(__xludf.DUMMYFUNCTION("""COMPUTED_VALUE"""),"INSTITUTIONAL")</f>
        <v>INSTITUTIONAL</v>
      </c>
      <c r="F119" s="15" t="str">
        <f>IFERROR(__xludf.DUMMYFUNCTION("""COMPUTED_VALUE"""),"Category Page")</f>
        <v>Category Page</v>
      </c>
      <c r="G119" s="15" t="b">
        <f>IFERROR(__xludf.DUMMYFUNCTION("""COMPUTED_VALUE"""),FALSE)</f>
        <v>0</v>
      </c>
      <c r="H119" s="15" t="str">
        <f>IFERROR(__xludf.DUMMYFUNCTION("""COMPUTED_VALUE"""),"Adam&amp;eveDDB, Huge, Croud, Push, Found, VCCP")</f>
        <v>Adam&amp;eveDDB, Huge, Croud, Push, Found, VCCP</v>
      </c>
      <c r="I119" s="15">
        <f>IFERROR(__xludf.DUMMYFUNCTION("""COMPUTED_VALUE"""),1.0)</f>
        <v>1</v>
      </c>
      <c r="J119" s="15">
        <f>IFERROR(__xludf.DUMMYFUNCTION("""COMPUTED_VALUE"""),0.0)</f>
        <v>0</v>
      </c>
      <c r="K119" s="15">
        <f>IFERROR(__xludf.DUMMYFUNCTION("""COMPUTED_VALUE"""),0.0)</f>
        <v>0</v>
      </c>
    </row>
    <row r="120" ht="15.75" customHeight="1">
      <c r="A120" s="14" t="str">
        <f>IFERROR(__xludf.DUMMYFUNCTION("""COMPUTED_VALUE"""),"https://aeoengine.ai/blog")</f>
        <v>https://aeoengine.ai/blog</v>
      </c>
      <c r="B120" s="15" t="str">
        <f>IFERROR(__xludf.DUMMYFUNCTION("""COMPUTED_VALUE"""),"AEO Engine Blog")</f>
        <v>AEO Engine Blog</v>
      </c>
      <c r="C120" s="14" t="str">
        <f>IFERROR(__xludf.DUMMYFUNCTION("""COMPUTED_VALUE"""),"aeoengine.ai")</f>
        <v>aeoengine.ai</v>
      </c>
      <c r="D120" s="15" t="str">
        <f>IFERROR(__xludf.DUMMYFUNCTION("""COMPUTED_VALUE"""),"CATEGORY_PAGE")</f>
        <v>CATEGORY_PAGE</v>
      </c>
      <c r="E120" s="15" t="str">
        <f>IFERROR(__xludf.DUMMYFUNCTION("""COMPUTED_VALUE"""),"CORPORATE")</f>
        <v>CORPORATE</v>
      </c>
      <c r="F120" s="15" t="str">
        <f>IFERROR(__xludf.DUMMYFUNCTION("""COMPUTED_VALUE"""),"Category Page")</f>
        <v>Category Page</v>
      </c>
      <c r="G120" s="15" t="b">
        <f>IFERROR(__xludf.DUMMYFUNCTION("""COMPUTED_VALUE"""),FALSE)</f>
        <v>0</v>
      </c>
      <c r="H120" s="15" t="str">
        <f>IFERROR(__xludf.DUMMYFUNCTION("""COMPUTED_VALUE"""),"Found, NoGood")</f>
        <v>Found, NoGood</v>
      </c>
      <c r="I120" s="15">
        <f>IFERROR(__xludf.DUMMYFUNCTION("""COMPUTED_VALUE"""),1.0)</f>
        <v>1</v>
      </c>
      <c r="J120" s="15">
        <f>IFERROR(__xludf.DUMMYFUNCTION("""COMPUTED_VALUE"""),0.0)</f>
        <v>0</v>
      </c>
      <c r="K120" s="15">
        <f>IFERROR(__xludf.DUMMYFUNCTION("""COMPUTED_VALUE"""),1.0)</f>
        <v>1</v>
      </c>
    </row>
    <row r="121" ht="15.75" customHeight="1">
      <c r="A121" s="14" t="str">
        <f>IFERROR(__xludf.DUMMYFUNCTION("""COMPUTED_VALUE"""),"https://agencies.semrush.com/list/advertising/united-kingdom/small-business/")</f>
        <v>https://agencies.semrush.com/list/advertising/united-kingdom/small-business/</v>
      </c>
      <c r="B121" s="15" t="str">
        <f>IFERROR(__xludf.DUMMYFUNCTION("""COMPUTED_VALUE"""),"Best Advertising Agencies for Small Business in United Kingdom 2026 | Semrush")</f>
        <v>Best Advertising Agencies for Small Business in United Kingdom 2026 | Semrush</v>
      </c>
      <c r="C121" s="14" t="str">
        <f>IFERROR(__xludf.DUMMYFUNCTION("""COMPUTED_VALUE"""),"semrush.com")</f>
        <v>semrush.com</v>
      </c>
      <c r="D121" s="15" t="str">
        <f>IFERROR(__xludf.DUMMYFUNCTION("""COMPUTED_VALUE"""),"CATEGORY_PAGE")</f>
        <v>CATEGORY_PAGE</v>
      </c>
      <c r="E121" s="15" t="str">
        <f>IFERROR(__xludf.DUMMYFUNCTION("""COMPUTED_VALUE"""),"CORPORATE")</f>
        <v>CORPORATE</v>
      </c>
      <c r="F121" s="15" t="str">
        <f>IFERROR(__xludf.DUMMYFUNCTION("""COMPUTED_VALUE"""),"Category Page")</f>
        <v>Category Page</v>
      </c>
      <c r="G121" s="15" t="b">
        <f>IFERROR(__xludf.DUMMYFUNCTION("""COMPUTED_VALUE"""),FALSE)</f>
        <v>0</v>
      </c>
      <c r="H121" s="15" t="str">
        <f>IFERROR(__xludf.DUMMYFUNCTION("""COMPUTED_VALUE"""),"Found, Impression, Click Intelligence, Soap Media")</f>
        <v>Found, Impression, Click Intelligence, Soap Media</v>
      </c>
      <c r="I121" s="15">
        <f>IFERROR(__xludf.DUMMYFUNCTION("""COMPUTED_VALUE"""),1.0)</f>
        <v>1</v>
      </c>
      <c r="J121" s="15">
        <f>IFERROR(__xludf.DUMMYFUNCTION("""COMPUTED_VALUE"""),0.0)</f>
        <v>0</v>
      </c>
      <c r="K121" s="15">
        <f>IFERROR(__xludf.DUMMYFUNCTION("""COMPUTED_VALUE"""),0.0)</f>
        <v>0</v>
      </c>
    </row>
    <row r="122" ht="15.75" customHeight="1">
      <c r="A122" s="14" t="str">
        <f>IFERROR(__xludf.DUMMYFUNCTION("""COMPUTED_VALUE"""),"https://agencies.semrush.com/list/ai-optimization/united-kingdom/mid-business/")</f>
        <v>https://agencies.semrush.com/list/ai-optimization/united-kingdom/mid-business/</v>
      </c>
      <c r="B122" s="15" t="str">
        <f>IFERROR(__xludf.DUMMYFUNCTION("""COMPUTED_VALUE"""),"Best AI Search Optimization Agencies for Mid Business in United Kingdom 2026 | Semrush")</f>
        <v>Best AI Search Optimization Agencies for Mid Business in United Kingdom 2026 | Semrush</v>
      </c>
      <c r="C122" s="14" t="str">
        <f>IFERROR(__xludf.DUMMYFUNCTION("""COMPUTED_VALUE"""),"semrush.com")</f>
        <v>semrush.com</v>
      </c>
      <c r="D122" s="15" t="str">
        <f>IFERROR(__xludf.DUMMYFUNCTION("""COMPUTED_VALUE"""),"CATEGORY_PAGE")</f>
        <v>CATEGORY_PAGE</v>
      </c>
      <c r="E122" s="15" t="str">
        <f>IFERROR(__xludf.DUMMYFUNCTION("""COMPUTED_VALUE"""),"CORPORATE")</f>
        <v>CORPORATE</v>
      </c>
      <c r="F122" s="15" t="str">
        <f>IFERROR(__xludf.DUMMYFUNCTION("""COMPUTED_VALUE"""),"Category Page")</f>
        <v>Category Page</v>
      </c>
      <c r="G122" s="15" t="b">
        <f>IFERROR(__xludf.DUMMYFUNCTION("""COMPUTED_VALUE"""),FALSE)</f>
        <v>0</v>
      </c>
      <c r="H122" s="15" t="str">
        <f>IFERROR(__xludf.DUMMYFUNCTION("""COMPUTED_VALUE"""),"Found, Measured, Click Intelligence, Passion Digital, The SEO Works, Gravity Global, ROAST, Huge")</f>
        <v>Found, Measured, Click Intelligence, Passion Digital, The SEO Works, Gravity Global, ROAST, Huge</v>
      </c>
      <c r="I122" s="15">
        <f>IFERROR(__xludf.DUMMYFUNCTION("""COMPUTED_VALUE"""),1.0)</f>
        <v>1</v>
      </c>
      <c r="J122" s="15">
        <f>IFERROR(__xludf.DUMMYFUNCTION("""COMPUTED_VALUE"""),0.0)</f>
        <v>0</v>
      </c>
      <c r="K122" s="15">
        <f>IFERROR(__xludf.DUMMYFUNCTION("""COMPUTED_VALUE"""),0.0)</f>
        <v>0</v>
      </c>
    </row>
    <row r="123" ht="15.75" customHeight="1">
      <c r="A123" s="14" t="str">
        <f>IFERROR(__xludf.DUMMYFUNCTION("""COMPUTED_VALUE"""),"https://agencies.semrush.com/list/display-advertising/")</f>
        <v>https://agencies.semrush.com/list/display-advertising/</v>
      </c>
      <c r="B123" s="15" t="str">
        <f>IFERROR(__xludf.DUMMYFUNCTION("""COMPUTED_VALUE"""),"Best Display Ads Agencies in the World 2026 | Semrush")</f>
        <v>Best Display Ads Agencies in the World 2026 | Semrush</v>
      </c>
      <c r="C123" s="14" t="str">
        <f>IFERROR(__xludf.DUMMYFUNCTION("""COMPUTED_VALUE"""),"semrush.com")</f>
        <v>semrush.com</v>
      </c>
      <c r="D123" s="15" t="str">
        <f>IFERROR(__xludf.DUMMYFUNCTION("""COMPUTED_VALUE"""),"CATEGORY_PAGE")</f>
        <v>CATEGORY_PAGE</v>
      </c>
      <c r="E123" s="15" t="str">
        <f>IFERROR(__xludf.DUMMYFUNCTION("""COMPUTED_VALUE"""),"CORPORATE")</f>
        <v>CORPORATE</v>
      </c>
      <c r="F123" s="15" t="str">
        <f>IFERROR(__xludf.DUMMYFUNCTION("""COMPUTED_VALUE"""),"Category Page")</f>
        <v>Category Page</v>
      </c>
      <c r="G123" s="15" t="b">
        <f>IFERROR(__xludf.DUMMYFUNCTION("""COMPUTED_VALUE"""),FALSE)</f>
        <v>0</v>
      </c>
      <c r="H123" s="15"/>
      <c r="I123" s="15">
        <f>IFERROR(__xludf.DUMMYFUNCTION("""COMPUTED_VALUE"""),1.0)</f>
        <v>1</v>
      </c>
      <c r="J123" s="15">
        <f>IFERROR(__xludf.DUMMYFUNCTION("""COMPUTED_VALUE"""),0.0)</f>
        <v>0</v>
      </c>
      <c r="K123" s="15">
        <f>IFERROR(__xludf.DUMMYFUNCTION("""COMPUTED_VALUE"""),0.0)</f>
        <v>0</v>
      </c>
    </row>
    <row r="124" ht="15.75" customHeight="1">
      <c r="A124" s="14" t="str">
        <f>IFERROR(__xludf.DUMMYFUNCTION("""COMPUTED_VALUE"""),"https://agencies.semrush.com/list/los-angeles/")</f>
        <v>https://agencies.semrush.com/list/los-angeles/</v>
      </c>
      <c r="B124" s="15" t="str">
        <f>IFERROR(__xludf.DUMMYFUNCTION("""COMPUTED_VALUE"""),"Best Digital Marketing Agencies in Los Angeles 2026 | Semrush")</f>
        <v>Best Digital Marketing Agencies in Los Angeles 2026 | Semrush</v>
      </c>
      <c r="C124" s="14" t="str">
        <f>IFERROR(__xludf.DUMMYFUNCTION("""COMPUTED_VALUE"""),"semrush.com")</f>
        <v>semrush.com</v>
      </c>
      <c r="D124" s="15" t="str">
        <f>IFERROR(__xludf.DUMMYFUNCTION("""COMPUTED_VALUE"""),"CATEGORY_PAGE")</f>
        <v>CATEGORY_PAGE</v>
      </c>
      <c r="E124" s="15" t="str">
        <f>IFERROR(__xludf.DUMMYFUNCTION("""COMPUTED_VALUE"""),"CORPORATE")</f>
        <v>CORPORATE</v>
      </c>
      <c r="F124" s="15" t="str">
        <f>IFERROR(__xludf.DUMMYFUNCTION("""COMPUTED_VALUE"""),"Category Page")</f>
        <v>Category Page</v>
      </c>
      <c r="G124" s="15" t="b">
        <f>IFERROR(__xludf.DUMMYFUNCTION("""COMPUTED_VALUE"""),FALSE)</f>
        <v>0</v>
      </c>
      <c r="H124" s="15" t="str">
        <f>IFERROR(__xludf.DUMMYFUNCTION("""COMPUTED_VALUE"""),"Bird Marketing")</f>
        <v>Bird Marketing</v>
      </c>
      <c r="I124" s="15">
        <f>IFERROR(__xludf.DUMMYFUNCTION("""COMPUTED_VALUE"""),1.0)</f>
        <v>1</v>
      </c>
      <c r="J124" s="15">
        <f>IFERROR(__xludf.DUMMYFUNCTION("""COMPUTED_VALUE"""),0.0)</f>
        <v>0</v>
      </c>
      <c r="K124" s="15">
        <f>IFERROR(__xludf.DUMMYFUNCTION("""COMPUTED_VALUE"""),0.0)</f>
        <v>0</v>
      </c>
    </row>
    <row r="125" ht="15.75" customHeight="1">
      <c r="A125" s="14" t="str">
        <f>IFERROR(__xludf.DUMMYFUNCTION("""COMPUTED_VALUE"""),"https://agencies.semrush.com/list/ppc/united-kingdom/")</f>
        <v>https://agencies.semrush.com/list/ppc/united-kingdom/</v>
      </c>
      <c r="B125" s="15" t="str">
        <f>IFERROR(__xludf.DUMMYFUNCTION("""COMPUTED_VALUE"""),"Best PPC Agencies in United Kingdom 2026 | Semrush")</f>
        <v>Best PPC Agencies in United Kingdom 2026 | Semrush</v>
      </c>
      <c r="C125" s="14" t="str">
        <f>IFERROR(__xludf.DUMMYFUNCTION("""COMPUTED_VALUE"""),"semrush.com")</f>
        <v>semrush.com</v>
      </c>
      <c r="D125" s="15" t="str">
        <f>IFERROR(__xludf.DUMMYFUNCTION("""COMPUTED_VALUE"""),"CATEGORY_PAGE")</f>
        <v>CATEGORY_PAGE</v>
      </c>
      <c r="E125" s="15" t="str">
        <f>IFERROR(__xludf.DUMMYFUNCTION("""COMPUTED_VALUE"""),"CORPORATE")</f>
        <v>CORPORATE</v>
      </c>
      <c r="F125" s="15" t="str">
        <f>IFERROR(__xludf.DUMMYFUNCTION("""COMPUTED_VALUE"""),"Category Page")</f>
        <v>Category Page</v>
      </c>
      <c r="G125" s="15" t="b">
        <f>IFERROR(__xludf.DUMMYFUNCTION("""COMPUTED_VALUE"""),FALSE)</f>
        <v>0</v>
      </c>
      <c r="H125" s="15" t="str">
        <f>IFERROR(__xludf.DUMMYFUNCTION("""COMPUTED_VALUE"""),"Found, Impression, Passion Digital, Soap Media")</f>
        <v>Found, Impression, Passion Digital, Soap Media</v>
      </c>
      <c r="I125" s="15">
        <f>IFERROR(__xludf.DUMMYFUNCTION("""COMPUTED_VALUE"""),1.0)</f>
        <v>1</v>
      </c>
      <c r="J125" s="15">
        <f>IFERROR(__xludf.DUMMYFUNCTION("""COMPUTED_VALUE"""),0.0)</f>
        <v>0</v>
      </c>
      <c r="K125" s="15">
        <f>IFERROR(__xludf.DUMMYFUNCTION("""COMPUTED_VALUE"""),0.0)</f>
        <v>0</v>
      </c>
    </row>
    <row r="126" ht="15.75" customHeight="1">
      <c r="A126" s="14" t="str">
        <f>IFERROR(__xludf.DUMMYFUNCTION("""COMPUTED_VALUE"""),"https://agencies.semrush.com/list/ppc/united-states/")</f>
        <v>https://agencies.semrush.com/list/ppc/united-states/</v>
      </c>
      <c r="B126" s="15" t="str">
        <f>IFERROR(__xludf.DUMMYFUNCTION("""COMPUTED_VALUE"""),"Best PPC Agencies in United States 2026 | Semrush")</f>
        <v>Best PPC Agencies in United States 2026 | Semrush</v>
      </c>
      <c r="C126" s="14" t="str">
        <f>IFERROR(__xludf.DUMMYFUNCTION("""COMPUTED_VALUE"""),"semrush.com")</f>
        <v>semrush.com</v>
      </c>
      <c r="D126" s="15" t="str">
        <f>IFERROR(__xludf.DUMMYFUNCTION("""COMPUTED_VALUE"""),"CATEGORY_PAGE")</f>
        <v>CATEGORY_PAGE</v>
      </c>
      <c r="E126" s="15" t="str">
        <f>IFERROR(__xludf.DUMMYFUNCTION("""COMPUTED_VALUE"""),"CORPORATE")</f>
        <v>CORPORATE</v>
      </c>
      <c r="F126" s="15" t="str">
        <f>IFERROR(__xludf.DUMMYFUNCTION("""COMPUTED_VALUE"""),"Category Page")</f>
        <v>Category Page</v>
      </c>
      <c r="G126" s="15" t="b">
        <f>IFERROR(__xludf.DUMMYFUNCTION("""COMPUTED_VALUE"""),FALSE)</f>
        <v>0</v>
      </c>
      <c r="H126" s="15" t="str">
        <f>IFERROR(__xludf.DUMMYFUNCTION("""COMPUTED_VALUE"""),"Whitehat")</f>
        <v>Whitehat</v>
      </c>
      <c r="I126" s="15">
        <f>IFERROR(__xludf.DUMMYFUNCTION("""COMPUTED_VALUE"""),1.0)</f>
        <v>1</v>
      </c>
      <c r="J126" s="15">
        <f>IFERROR(__xludf.DUMMYFUNCTION("""COMPUTED_VALUE"""),0.0)</f>
        <v>0</v>
      </c>
      <c r="K126" s="15">
        <f>IFERROR(__xludf.DUMMYFUNCTION("""COMPUTED_VALUE"""),1.0)</f>
        <v>1</v>
      </c>
    </row>
    <row r="127" ht="15.75" customHeight="1">
      <c r="A127" s="14" t="str">
        <f>IFERROR(__xludf.DUMMYFUNCTION("""COMPUTED_VALUE"""),"https://www.businessofapps.com/marketplace/performance-marketing/")</f>
        <v>https://www.businessofapps.com/marketplace/performance-marketing/</v>
      </c>
      <c r="B127" s="15" t="str">
        <f>IFERROR(__xludf.DUMMYFUNCTION("""COMPUTED_VALUE"""),"Top Performance Marketing Agencies (2026) - Business of Apps")</f>
        <v>Top Performance Marketing Agencies (2026) - Business of Apps</v>
      </c>
      <c r="C127" s="14" t="str">
        <f>IFERROR(__xludf.DUMMYFUNCTION("""COMPUTED_VALUE"""),"businessofapps.com")</f>
        <v>businessofapps.com</v>
      </c>
      <c r="D127" s="15" t="str">
        <f>IFERROR(__xludf.DUMMYFUNCTION("""COMPUTED_VALUE"""),"CATEGORY_PAGE")</f>
        <v>CATEGORY_PAGE</v>
      </c>
      <c r="E127" s="15" t="str">
        <f>IFERROR(__xludf.DUMMYFUNCTION("""COMPUTED_VALUE"""),"EDITORIAL")</f>
        <v>EDITORIAL</v>
      </c>
      <c r="F127" s="15" t="str">
        <f>IFERROR(__xludf.DUMMYFUNCTION("""COMPUTED_VALUE"""),"Category Page")</f>
        <v>Category Page</v>
      </c>
      <c r="G127" s="15" t="b">
        <f>IFERROR(__xludf.DUMMYFUNCTION("""COMPUTED_VALUE"""),TRUE)</f>
        <v>1</v>
      </c>
      <c r="H127" s="15" t="str">
        <f>IFERROR(__xludf.DUMMYFUNCTION("""COMPUTED_VALUE"""),"Push, The Social Shepherd, Measured, Favoured, Incubeta")</f>
        <v>Push, The Social Shepherd, Measured, Favoured, Incubeta</v>
      </c>
      <c r="I127" s="15">
        <f>IFERROR(__xludf.DUMMYFUNCTION("""COMPUTED_VALUE"""),1.0)</f>
        <v>1</v>
      </c>
      <c r="J127" s="15">
        <f>IFERROR(__xludf.DUMMYFUNCTION("""COMPUTED_VALUE"""),0.0)</f>
        <v>0</v>
      </c>
      <c r="K127" s="15">
        <f>IFERROR(__xludf.DUMMYFUNCTION("""COMPUTED_VALUE"""),0.0)</f>
        <v>0</v>
      </c>
    </row>
    <row r="128" ht="15.75" customHeight="1">
      <c r="A128" s="14" t="str">
        <f>IFERROR(__xludf.DUMMYFUNCTION("""COMPUTED_VALUE"""),"https://clicktrain.com/en-gb/ppc-agencies/")</f>
        <v>https://clicktrain.com/en-gb/ppc-agencies/</v>
      </c>
      <c r="B128" s="15" t="str">
        <f>IFERROR(__xludf.DUMMYFUNCTION("""COMPUTED_VALUE"""),"PPC Agencies in the United Kingdom 2026 Rankings")</f>
        <v>PPC Agencies in the United Kingdom 2026 Rankings</v>
      </c>
      <c r="C128" s="14" t="str">
        <f>IFERROR(__xludf.DUMMYFUNCTION("""COMPUTED_VALUE"""),"clicktrain.com")</f>
        <v>clicktrain.com</v>
      </c>
      <c r="D128" s="15" t="str">
        <f>IFERROR(__xludf.DUMMYFUNCTION("""COMPUTED_VALUE"""),"CATEGORY_PAGE")</f>
        <v>CATEGORY_PAGE</v>
      </c>
      <c r="E128" s="15" t="str">
        <f>IFERROR(__xludf.DUMMYFUNCTION("""COMPUTED_VALUE"""),"CORPORATE")</f>
        <v>CORPORATE</v>
      </c>
      <c r="F128" s="15" t="str">
        <f>IFERROR(__xludf.DUMMYFUNCTION("""COMPUTED_VALUE"""),"Category Page")</f>
        <v>Category Page</v>
      </c>
      <c r="G128" s="15" t="b">
        <f>IFERROR(__xludf.DUMMYFUNCTION("""COMPUTED_VALUE"""),FALSE)</f>
        <v>0</v>
      </c>
      <c r="H128" s="15" t="str">
        <f>IFERROR(__xludf.DUMMYFUNCTION("""COMPUTED_VALUE"""),"Anicca Digital")</f>
        <v>Anicca Digital</v>
      </c>
      <c r="I128" s="15">
        <f>IFERROR(__xludf.DUMMYFUNCTION("""COMPUTED_VALUE"""),1.0)</f>
        <v>1</v>
      </c>
      <c r="J128" s="15">
        <f>IFERROR(__xludf.DUMMYFUNCTION("""COMPUTED_VALUE"""),0.0)</f>
        <v>0</v>
      </c>
      <c r="K128" s="15">
        <f>IFERROR(__xludf.DUMMYFUNCTION("""COMPUTED_VALUE"""),0.0)</f>
        <v>0</v>
      </c>
    </row>
    <row r="129" ht="15.75" customHeight="1">
      <c r="A129" s="14" t="str">
        <f>IFERROR(__xludf.DUMMYFUNCTION("""COMPUTED_VALUE"""),"https://clutch.co/agencies/account-based-marketing/uk")</f>
        <v>https://clutch.co/agencies/account-based-marketing/uk</v>
      </c>
      <c r="B129" s="15" t="str">
        <f>IFERROR(__xludf.DUMMYFUNCTION("""COMPUTED_VALUE"""),"Top Account Based Marketing Agencies in the United Kingdom - Jul 2026 Rankings \| Clutch.co")</f>
        <v>Top Account Based Marketing Agencies in the United Kingdom - Jul 2026 Rankings \| Clutch.co</v>
      </c>
      <c r="C129" s="14" t="str">
        <f>IFERROR(__xludf.DUMMYFUNCTION("""COMPUTED_VALUE"""),"clutch.co")</f>
        <v>clutch.co</v>
      </c>
      <c r="D129" s="15" t="str">
        <f>IFERROR(__xludf.DUMMYFUNCTION("""COMPUTED_VALUE"""),"CATEGORY_PAGE")</f>
        <v>CATEGORY_PAGE</v>
      </c>
      <c r="E129" s="15" t="str">
        <f>IFERROR(__xludf.DUMMYFUNCTION("""COMPUTED_VALUE"""),"CORPORATE")</f>
        <v>CORPORATE</v>
      </c>
      <c r="F129" s="15" t="str">
        <f>IFERROR(__xludf.DUMMYFUNCTION("""COMPUTED_VALUE"""),"Category Page")</f>
        <v>Category Page</v>
      </c>
      <c r="G129" s="15" t="b">
        <f>IFERROR(__xludf.DUMMYFUNCTION("""COMPUTED_VALUE"""),FALSE)</f>
        <v>0</v>
      </c>
      <c r="H129" s="15" t="str">
        <f>IFERROR(__xludf.DUMMYFUNCTION("""COMPUTED_VALUE"""),"Found, Gripped, Momentum")</f>
        <v>Found, Gripped, Momentum</v>
      </c>
      <c r="I129" s="15">
        <f>IFERROR(__xludf.DUMMYFUNCTION("""COMPUTED_VALUE"""),1.0)</f>
        <v>1</v>
      </c>
      <c r="J129" s="15">
        <f>IFERROR(__xludf.DUMMYFUNCTION("""COMPUTED_VALUE"""),0.0)</f>
        <v>0</v>
      </c>
      <c r="K129" s="15">
        <f>IFERROR(__xludf.DUMMYFUNCTION("""COMPUTED_VALUE"""),0.0)</f>
        <v>0</v>
      </c>
    </row>
    <row r="130" ht="15.75" customHeight="1">
      <c r="A130" s="14" t="str">
        <f>IFERROR(__xludf.DUMMYFUNCTION("""COMPUTED_VALUE"""),"https://clutch.co/agencies/conversion-optimization/uk")</f>
        <v>https://clutch.co/agencies/conversion-optimization/uk</v>
      </c>
      <c r="B130" s="15" t="str">
        <f>IFERROR(__xludf.DUMMYFUNCTION("""COMPUTED_VALUE"""),"Top Conversion Rate Optimization Services in the United Kingdom - Jul 2026 Rankings \| Clutch.co")</f>
        <v>Top Conversion Rate Optimization Services in the United Kingdom - Jul 2026 Rankings \| Clutch.co</v>
      </c>
      <c r="C130" s="14" t="str">
        <f>IFERROR(__xludf.DUMMYFUNCTION("""COMPUTED_VALUE"""),"clutch.co")</f>
        <v>clutch.co</v>
      </c>
      <c r="D130" s="15" t="str">
        <f>IFERROR(__xludf.DUMMYFUNCTION("""COMPUTED_VALUE"""),"CATEGORY_PAGE")</f>
        <v>CATEGORY_PAGE</v>
      </c>
      <c r="E130" s="15" t="str">
        <f>IFERROR(__xludf.DUMMYFUNCTION("""COMPUTED_VALUE"""),"CORPORATE")</f>
        <v>CORPORATE</v>
      </c>
      <c r="F130" s="15" t="str">
        <f>IFERROR(__xludf.DUMMYFUNCTION("""COMPUTED_VALUE"""),"Category Page")</f>
        <v>Category Page</v>
      </c>
      <c r="G130" s="15" t="b">
        <f>IFERROR(__xludf.DUMMYFUNCTION("""COMPUTED_VALUE"""),FALSE)</f>
        <v>0</v>
      </c>
      <c r="H130" s="15" t="str">
        <f>IFERROR(__xludf.DUMMYFUNCTION("""COMPUTED_VALUE"""),"Soap Media, Launch Online, Propeller, Found, Gripped, Bind Media")</f>
        <v>Soap Media, Launch Online, Propeller, Found, Gripped, Bind Media</v>
      </c>
      <c r="I130" s="15">
        <f>IFERROR(__xludf.DUMMYFUNCTION("""COMPUTED_VALUE"""),1.0)</f>
        <v>1</v>
      </c>
      <c r="J130" s="15">
        <f>IFERROR(__xludf.DUMMYFUNCTION("""COMPUTED_VALUE"""),0.0)</f>
        <v>0</v>
      </c>
      <c r="K130" s="15">
        <f>IFERROR(__xludf.DUMMYFUNCTION("""COMPUTED_VALUE"""),0.0)</f>
        <v>0</v>
      </c>
    </row>
    <row r="131" ht="15.75" customHeight="1">
      <c r="A131" s="14" t="str">
        <f>IFERROR(__xludf.DUMMYFUNCTION("""COMPUTED_VALUE"""),"https://clutch.co/agencies/digital-marketing#:~:text=Disruptive%20Advertising%20is%20a%20digital,driven%20approaches%20and%20proactive%20communication.")</f>
        <v>https://clutch.co/agencies/digital-marketing#:~:text=Disruptive%20Advertising%20is%20a%20digital,driven%20approaches%20and%20proactive%20communication.</v>
      </c>
      <c r="B131" s="15" t="str">
        <f>IFERROR(__xludf.DUMMYFUNCTION("""COMPUTED_VALUE"""),"Best Digital Marketing Agencies - Jul 2026 Rankings \| Clutch.co")</f>
        <v>Best Digital Marketing Agencies - Jul 2026 Rankings \| Clutch.co</v>
      </c>
      <c r="C131" s="14" t="str">
        <f>IFERROR(__xludf.DUMMYFUNCTION("""COMPUTED_VALUE"""),"clutch.co")</f>
        <v>clutch.co</v>
      </c>
      <c r="D131" s="15" t="str">
        <f>IFERROR(__xludf.DUMMYFUNCTION("""COMPUTED_VALUE"""),"CATEGORY_PAGE")</f>
        <v>CATEGORY_PAGE</v>
      </c>
      <c r="E131" s="15" t="str">
        <f>IFERROR(__xludf.DUMMYFUNCTION("""COMPUTED_VALUE"""),"CORPORATE")</f>
        <v>CORPORATE</v>
      </c>
      <c r="F131" s="15" t="str">
        <f>IFERROR(__xludf.DUMMYFUNCTION("""COMPUTED_VALUE"""),"Category Page")</f>
        <v>Category Page</v>
      </c>
      <c r="G131" s="15" t="b">
        <f>IFERROR(__xludf.DUMMYFUNCTION("""COMPUTED_VALUE"""),FALSE)</f>
        <v>0</v>
      </c>
      <c r="H131" s="15" t="str">
        <f>IFERROR(__xludf.DUMMYFUNCTION("""COMPUTED_VALUE"""),"Ignite Visibility, Disruptive Advertising, Propeller, Power Digital, WebFX, GA Agency, Ninja Promo, M3.agency, ROAST, Acadia, Impression")</f>
        <v>Ignite Visibility, Disruptive Advertising, Propeller, Power Digital, WebFX, GA Agency, Ninja Promo, M3.agency, ROAST, Acadia, Impression</v>
      </c>
      <c r="I131" s="15">
        <f>IFERROR(__xludf.DUMMYFUNCTION("""COMPUTED_VALUE"""),1.0)</f>
        <v>1</v>
      </c>
      <c r="J131" s="15">
        <f>IFERROR(__xludf.DUMMYFUNCTION("""COMPUTED_VALUE"""),0.0)</f>
        <v>0</v>
      </c>
      <c r="K131" s="15">
        <f>IFERROR(__xludf.DUMMYFUNCTION("""COMPUTED_VALUE"""),2.0)</f>
        <v>2</v>
      </c>
    </row>
    <row r="132" ht="15.75" customHeight="1">
      <c r="A132" s="14" t="str">
        <f>IFERROR(__xludf.DUMMYFUNCTION("""COMPUTED_VALUE"""),"https://clutch.co/agencies/digital-marketing/enterprise/uk/england/london")</f>
        <v>https://clutch.co/agencies/digital-marketing/enterprise/uk/england/london</v>
      </c>
      <c r="B132" s="15" t="str">
        <f>IFERROR(__xludf.DUMMYFUNCTION("""COMPUTED_VALUE"""),"Top Digital Marketing Agencies for Enterprise in London - Jul 2026 Rankings \| Clutch.co")</f>
        <v>Top Digital Marketing Agencies for Enterprise in London - Jul 2026 Rankings \| Clutch.co</v>
      </c>
      <c r="C132" s="14" t="str">
        <f>IFERROR(__xludf.DUMMYFUNCTION("""COMPUTED_VALUE"""),"clutch.co")</f>
        <v>clutch.co</v>
      </c>
      <c r="D132" s="15" t="str">
        <f>IFERROR(__xludf.DUMMYFUNCTION("""COMPUTED_VALUE"""),"CATEGORY_PAGE")</f>
        <v>CATEGORY_PAGE</v>
      </c>
      <c r="E132" s="15" t="str">
        <f>IFERROR(__xludf.DUMMYFUNCTION("""COMPUTED_VALUE"""),"CORPORATE")</f>
        <v>CORPORATE</v>
      </c>
      <c r="F132" s="15" t="str">
        <f>IFERROR(__xludf.DUMMYFUNCTION("""COMPUTED_VALUE"""),"Category Page")</f>
        <v>Category Page</v>
      </c>
      <c r="G132" s="15" t="b">
        <f>IFERROR(__xludf.DUMMYFUNCTION("""COMPUTED_VALUE"""),FALSE)</f>
        <v>0</v>
      </c>
      <c r="H132" s="15" t="str">
        <f>IFERROR(__xludf.DUMMYFUNCTION("""COMPUTED_VALUE"""),"Impression, M3.agency, Ninja Promo, ROAST, Favoured, GA Agency, Propeller, Bird Marketing, Found")</f>
        <v>Impression, M3.agency, Ninja Promo, ROAST, Favoured, GA Agency, Propeller, Bird Marketing, Found</v>
      </c>
      <c r="I132" s="15">
        <f>IFERROR(__xludf.DUMMYFUNCTION("""COMPUTED_VALUE"""),1.0)</f>
        <v>1</v>
      </c>
      <c r="J132" s="15">
        <f>IFERROR(__xludf.DUMMYFUNCTION("""COMPUTED_VALUE"""),0.0)</f>
        <v>0</v>
      </c>
      <c r="K132" s="15">
        <f>IFERROR(__xludf.DUMMYFUNCTION("""COMPUTED_VALUE"""),1.0)</f>
        <v>1</v>
      </c>
    </row>
    <row r="133" ht="15.75" customHeight="1">
      <c r="A133" s="14" t="str">
        <f>IFERROR(__xludf.DUMMYFUNCTION("""COMPUTED_VALUE"""),"https://clutch.co/agencies/market-research/uk")</f>
        <v>https://clutch.co/agencies/market-research/uk</v>
      </c>
      <c r="B133" s="15" t="str">
        <f>IFERROR(__xludf.DUMMYFUNCTION("""COMPUTED_VALUE"""),"Top Market Research Companies in the United Kingdom - Jul 2026 Rankings \| Clutch.co")</f>
        <v>Top Market Research Companies in the United Kingdom - Jul 2026 Rankings \| Clutch.co</v>
      </c>
      <c r="C133" s="14" t="str">
        <f>IFERROR(__xludf.DUMMYFUNCTION("""COMPUTED_VALUE"""),"clutch.co")</f>
        <v>clutch.co</v>
      </c>
      <c r="D133" s="15" t="str">
        <f>IFERROR(__xludf.DUMMYFUNCTION("""COMPUTED_VALUE"""),"CATEGORY_PAGE")</f>
        <v>CATEGORY_PAGE</v>
      </c>
      <c r="E133" s="15" t="str">
        <f>IFERROR(__xludf.DUMMYFUNCTION("""COMPUTED_VALUE"""),"CORPORATE")</f>
        <v>CORPORATE</v>
      </c>
      <c r="F133" s="15" t="str">
        <f>IFERROR(__xludf.DUMMYFUNCTION("""COMPUTED_VALUE"""),"Category Page")</f>
        <v>Category Page</v>
      </c>
      <c r="G133" s="15" t="b">
        <f>IFERROR(__xludf.DUMMYFUNCTION("""COMPUTED_VALUE"""),FALSE)</f>
        <v>0</v>
      </c>
      <c r="H133" s="15" t="str">
        <f>IFERROR(__xludf.DUMMYFUNCTION("""COMPUTED_VALUE"""),"Found")</f>
        <v>Found</v>
      </c>
      <c r="I133" s="15">
        <f>IFERROR(__xludf.DUMMYFUNCTION("""COMPUTED_VALUE"""),1.0)</f>
        <v>1</v>
      </c>
      <c r="J133" s="15">
        <f>IFERROR(__xludf.DUMMYFUNCTION("""COMPUTED_VALUE"""),0.0)</f>
        <v>0</v>
      </c>
      <c r="K133" s="15">
        <f>IFERROR(__xludf.DUMMYFUNCTION("""COMPUTED_VALUE"""),0.0)</f>
        <v>0</v>
      </c>
    </row>
    <row r="134" ht="15.75" customHeight="1">
      <c r="A134" s="14" t="str">
        <f>IFERROR(__xludf.DUMMYFUNCTION("""COMPUTED_VALUE"""),"https://clutch.co/agencies/ppc/uk/england/nottingham")</f>
        <v>https://clutch.co/agencies/ppc/uk/england/nottingham</v>
      </c>
      <c r="B134" s="15" t="str">
        <f>IFERROR(__xludf.DUMMYFUNCTION("""COMPUTED_VALUE"""),"Top PPC Agencies - Jul 2026 Rankings \| Clutch.co")</f>
        <v>Top PPC Agencies - Jul 2026 Rankings \| Clutch.co</v>
      </c>
      <c r="C134" s="14" t="str">
        <f>IFERROR(__xludf.DUMMYFUNCTION("""COMPUTED_VALUE"""),"clutch.co")</f>
        <v>clutch.co</v>
      </c>
      <c r="D134" s="15" t="str">
        <f>IFERROR(__xludf.DUMMYFUNCTION("""COMPUTED_VALUE"""),"CATEGORY_PAGE")</f>
        <v>CATEGORY_PAGE</v>
      </c>
      <c r="E134" s="15" t="str">
        <f>IFERROR(__xludf.DUMMYFUNCTION("""COMPUTED_VALUE"""),"CORPORATE")</f>
        <v>CORPORATE</v>
      </c>
      <c r="F134" s="15" t="str">
        <f>IFERROR(__xludf.DUMMYFUNCTION("""COMPUTED_VALUE"""),"Category Page")</f>
        <v>Category Page</v>
      </c>
      <c r="G134" s="15" t="b">
        <f>IFERROR(__xludf.DUMMYFUNCTION("""COMPUTED_VALUE"""),FALSE)</f>
        <v>0</v>
      </c>
      <c r="H134" s="15" t="str">
        <f>IFERROR(__xludf.DUMMYFUNCTION("""COMPUTED_VALUE"""),"Propeller, Disruptive Advertising, Single Grain, Launch Online, Ninja Promo")</f>
        <v>Propeller, Disruptive Advertising, Single Grain, Launch Online, Ninja Promo</v>
      </c>
      <c r="I134" s="15">
        <f>IFERROR(__xludf.DUMMYFUNCTION("""COMPUTED_VALUE"""),1.0)</f>
        <v>1</v>
      </c>
      <c r="J134" s="15">
        <f>IFERROR(__xludf.DUMMYFUNCTION("""COMPUTED_VALUE"""),0.0)</f>
        <v>0</v>
      </c>
      <c r="K134" s="15">
        <f>IFERROR(__xludf.DUMMYFUNCTION("""COMPUTED_VALUE"""),0.0)</f>
        <v>0</v>
      </c>
    </row>
    <row r="135" ht="15.75" customHeight="1">
      <c r="A135" s="14" t="str">
        <f>IFERROR(__xludf.DUMMYFUNCTION("""COMPUTED_VALUE"""),"https://clutch.co/agencies/programmatic/uk/england/london")</f>
        <v>https://clutch.co/agencies/programmatic/uk/england/london</v>
      </c>
      <c r="B135" s="15" t="str">
        <f>IFERROR(__xludf.DUMMYFUNCTION("""COMPUTED_VALUE"""),"Top Programmatic Advertising Agencies in London - Jul 2026 Rankings \| Clutch.co")</f>
        <v>Top Programmatic Advertising Agencies in London - Jul 2026 Rankings \| Clutch.co</v>
      </c>
      <c r="C135" s="14" t="str">
        <f>IFERROR(__xludf.DUMMYFUNCTION("""COMPUTED_VALUE"""),"clutch.co")</f>
        <v>clutch.co</v>
      </c>
      <c r="D135" s="15" t="str">
        <f>IFERROR(__xludf.DUMMYFUNCTION("""COMPUTED_VALUE"""),"CATEGORY_PAGE")</f>
        <v>CATEGORY_PAGE</v>
      </c>
      <c r="E135" s="15" t="str">
        <f>IFERROR(__xludf.DUMMYFUNCTION("""COMPUTED_VALUE"""),"CORPORATE")</f>
        <v>CORPORATE</v>
      </c>
      <c r="F135" s="15" t="str">
        <f>IFERROR(__xludf.DUMMYFUNCTION("""COMPUTED_VALUE"""),"Category Page")</f>
        <v>Category Page</v>
      </c>
      <c r="G135" s="15" t="b">
        <f>IFERROR(__xludf.DUMMYFUNCTION("""COMPUTED_VALUE"""),FALSE)</f>
        <v>0</v>
      </c>
      <c r="H135" s="15" t="str">
        <f>IFERROR(__xludf.DUMMYFUNCTION("""COMPUTED_VALUE"""),"ROAST, Ninja Promo, Push, WPP, Omnicom")</f>
        <v>ROAST, Ninja Promo, Push, WPP, Omnicom</v>
      </c>
      <c r="I135" s="15">
        <f>IFERROR(__xludf.DUMMYFUNCTION("""COMPUTED_VALUE"""),1.0)</f>
        <v>1</v>
      </c>
      <c r="J135" s="15">
        <f>IFERROR(__xludf.DUMMYFUNCTION("""COMPUTED_VALUE"""),0.0)</f>
        <v>0</v>
      </c>
      <c r="K135" s="15">
        <f>IFERROR(__xludf.DUMMYFUNCTION("""COMPUTED_VALUE"""),2.0)</f>
        <v>2</v>
      </c>
    </row>
    <row r="136" ht="15.75" customHeight="1">
      <c r="A136" s="14" t="str">
        <f>IFERROR(__xludf.DUMMYFUNCTION("""COMPUTED_VALUE"""),"https://clutch.co/agencies/programmatic/uk?page=2")</f>
        <v>https://clutch.co/agencies/programmatic/uk?page=2</v>
      </c>
      <c r="B136" s="15" t="str">
        <f>IFERROR(__xludf.DUMMYFUNCTION("""COMPUTED_VALUE"""),"Page 2 - Top Programmatic Advertising Companies in the United Kingdom - Jul 2026 Rankings \| Clutch.co")</f>
        <v>Page 2 - Top Programmatic Advertising Companies in the United Kingdom - Jul 2026 Rankings \| Clutch.co</v>
      </c>
      <c r="C136" s="14" t="str">
        <f>IFERROR(__xludf.DUMMYFUNCTION("""COMPUTED_VALUE"""),"clutch.co")</f>
        <v>clutch.co</v>
      </c>
      <c r="D136" s="15" t="str">
        <f>IFERROR(__xludf.DUMMYFUNCTION("""COMPUTED_VALUE"""),"CATEGORY_PAGE")</f>
        <v>CATEGORY_PAGE</v>
      </c>
      <c r="E136" s="15" t="str">
        <f>IFERROR(__xludf.DUMMYFUNCTION("""COMPUTED_VALUE"""),"CORPORATE")</f>
        <v>CORPORATE</v>
      </c>
      <c r="F136" s="15" t="str">
        <f>IFERROR(__xludf.DUMMYFUNCTION("""COMPUTED_VALUE"""),"Category Page")</f>
        <v>Category Page</v>
      </c>
      <c r="G136" s="15" t="b">
        <f>IFERROR(__xludf.DUMMYFUNCTION("""COMPUTED_VALUE"""),FALSE)</f>
        <v>0</v>
      </c>
      <c r="H136" s="15" t="str">
        <f>IFERROR(__xludf.DUMMYFUNCTION("""COMPUTED_VALUE"""),"ROAST, Ninja Promo, The SEO Works, M3.agency")</f>
        <v>ROAST, Ninja Promo, The SEO Works, M3.agency</v>
      </c>
      <c r="I136" s="15">
        <f>IFERROR(__xludf.DUMMYFUNCTION("""COMPUTED_VALUE"""),1.0)</f>
        <v>1</v>
      </c>
      <c r="J136" s="15">
        <f>IFERROR(__xludf.DUMMYFUNCTION("""COMPUTED_VALUE"""),0.0)</f>
        <v>0</v>
      </c>
      <c r="K136" s="15">
        <f>IFERROR(__xludf.DUMMYFUNCTION("""COMPUTED_VALUE"""),0.0)</f>
        <v>0</v>
      </c>
    </row>
    <row r="137" ht="15.75" customHeight="1">
      <c r="A137" s="14" t="str">
        <f>IFERROR(__xludf.DUMMYFUNCTION("""COMPUTED_VALUE"""),"https://clutch.co/agencies/social-media-marketing/tik-tok/uk")</f>
        <v>https://clutch.co/agencies/social-media-marketing/tik-tok/uk</v>
      </c>
      <c r="B137" s="15" t="str">
        <f>IFERROR(__xludf.DUMMYFUNCTION("""COMPUTED_VALUE"""),"Top TikTok Advertising Agencies in the United Kingdom - Jul 2026 Rankings \| Clutch.co")</f>
        <v>Top TikTok Advertising Agencies in the United Kingdom - Jul 2026 Rankings \| Clutch.co</v>
      </c>
      <c r="C137" s="14" t="str">
        <f>IFERROR(__xludf.DUMMYFUNCTION("""COMPUTED_VALUE"""),"clutch.co")</f>
        <v>clutch.co</v>
      </c>
      <c r="D137" s="15" t="str">
        <f>IFERROR(__xludf.DUMMYFUNCTION("""COMPUTED_VALUE"""),"CATEGORY_PAGE")</f>
        <v>CATEGORY_PAGE</v>
      </c>
      <c r="E137" s="15" t="str">
        <f>IFERROR(__xludf.DUMMYFUNCTION("""COMPUTED_VALUE"""),"CORPORATE")</f>
        <v>CORPORATE</v>
      </c>
      <c r="F137" s="15" t="str">
        <f>IFERROR(__xludf.DUMMYFUNCTION("""COMPUTED_VALUE"""),"Category Page")</f>
        <v>Category Page</v>
      </c>
      <c r="G137" s="15" t="b">
        <f>IFERROR(__xludf.DUMMYFUNCTION("""COMPUTED_VALUE"""),FALSE)</f>
        <v>0</v>
      </c>
      <c r="H137" s="15" t="str">
        <f>IFERROR(__xludf.DUMMYFUNCTION("""COMPUTED_VALUE"""),"Favoured, Ninja Promo, Soap Media, M3.agency, Huge, Propeller, Impression, Found")</f>
        <v>Favoured, Ninja Promo, Soap Media, M3.agency, Huge, Propeller, Impression, Found</v>
      </c>
      <c r="I137" s="15">
        <f>IFERROR(__xludf.DUMMYFUNCTION("""COMPUTED_VALUE"""),1.0)</f>
        <v>1</v>
      </c>
      <c r="J137" s="15">
        <f>IFERROR(__xludf.DUMMYFUNCTION("""COMPUTED_VALUE"""),0.0)</f>
        <v>0</v>
      </c>
      <c r="K137" s="15">
        <f>IFERROR(__xludf.DUMMYFUNCTION("""COMPUTED_VALUE"""),2.0)</f>
        <v>2</v>
      </c>
    </row>
    <row r="138" ht="15.75" customHeight="1">
      <c r="A138" s="14" t="str">
        <f>IFERROR(__xludf.DUMMYFUNCTION("""COMPUTED_VALUE"""),"https://clutch.co/developers/ecommerce")</f>
        <v>https://clutch.co/developers/ecommerce</v>
      </c>
      <c r="B138" s="15" t="str">
        <f>IFERROR(__xludf.DUMMYFUNCTION("""COMPUTED_VALUE"""),"Top E-Commerce Development Agencies - Jul 2026 Rankings | Clutch.co")</f>
        <v>Top E-Commerce Development Agencies - Jul 2026 Rankings | Clutch.co</v>
      </c>
      <c r="C138" s="14" t="str">
        <f>IFERROR(__xludf.DUMMYFUNCTION("""COMPUTED_VALUE"""),"clutch.co")</f>
        <v>clutch.co</v>
      </c>
      <c r="D138" s="15" t="str">
        <f>IFERROR(__xludf.DUMMYFUNCTION("""COMPUTED_VALUE"""),"CATEGORY_PAGE")</f>
        <v>CATEGORY_PAGE</v>
      </c>
      <c r="E138" s="15" t="str">
        <f>IFERROR(__xludf.DUMMYFUNCTION("""COMPUTED_VALUE"""),"CORPORATE")</f>
        <v>CORPORATE</v>
      </c>
      <c r="F138" s="15" t="str">
        <f>IFERROR(__xludf.DUMMYFUNCTION("""COMPUTED_VALUE"""),"Category Page")</f>
        <v>Category Page</v>
      </c>
      <c r="G138" s="15" t="b">
        <f>IFERROR(__xludf.DUMMYFUNCTION("""COMPUTED_VALUE"""),FALSE)</f>
        <v>0</v>
      </c>
      <c r="H138" s="15" t="str">
        <f>IFERROR(__xludf.DUMMYFUNCTION("""COMPUTED_VALUE"""),"Found, Launch Online")</f>
        <v>Found, Launch Online</v>
      </c>
      <c r="I138" s="15">
        <f>IFERROR(__xludf.DUMMYFUNCTION("""COMPUTED_VALUE"""),1.0)</f>
        <v>1</v>
      </c>
      <c r="J138" s="15">
        <f>IFERROR(__xludf.DUMMYFUNCTION("""COMPUTED_VALUE"""),0.0)</f>
        <v>0</v>
      </c>
      <c r="K138" s="15">
        <f>IFERROR(__xludf.DUMMYFUNCTION("""COMPUTED_VALUE"""),1.0)</f>
        <v>1</v>
      </c>
    </row>
    <row r="139" ht="15.75" customHeight="1">
      <c r="A139" s="14" t="str">
        <f>IFERROR(__xludf.DUMMYFUNCTION("""COMPUTED_VALUE"""),"https://clutch.co/seo-firms/amazon/uk")</f>
        <v>https://clutch.co/seo-firms/amazon/uk</v>
      </c>
      <c r="B139" s="15" t="str">
        <f>IFERROR(__xludf.DUMMYFUNCTION("""COMPUTED_VALUE"""),"Top Amazon SEO Services in the United Kingdom - Jul 2026 Rankings \| Clutch.co")</f>
        <v>Top Amazon SEO Services in the United Kingdom - Jul 2026 Rankings \| Clutch.co</v>
      </c>
      <c r="C139" s="14" t="str">
        <f>IFERROR(__xludf.DUMMYFUNCTION("""COMPUTED_VALUE"""),"clutch.co")</f>
        <v>clutch.co</v>
      </c>
      <c r="D139" s="15" t="str">
        <f>IFERROR(__xludf.DUMMYFUNCTION("""COMPUTED_VALUE"""),"CATEGORY_PAGE")</f>
        <v>CATEGORY_PAGE</v>
      </c>
      <c r="E139" s="15" t="str">
        <f>IFERROR(__xludf.DUMMYFUNCTION("""COMPUTED_VALUE"""),"CORPORATE")</f>
        <v>CORPORATE</v>
      </c>
      <c r="F139" s="15" t="str">
        <f>IFERROR(__xludf.DUMMYFUNCTION("""COMPUTED_VALUE"""),"Category Page")</f>
        <v>Category Page</v>
      </c>
      <c r="G139" s="15" t="b">
        <f>IFERROR(__xludf.DUMMYFUNCTION("""COMPUTED_VALUE"""),FALSE)</f>
        <v>0</v>
      </c>
      <c r="H139" s="15" t="str">
        <f>IFERROR(__xludf.DUMMYFUNCTION("""COMPUTED_VALUE"""),"IDHL")</f>
        <v>IDHL</v>
      </c>
      <c r="I139" s="15">
        <f>IFERROR(__xludf.DUMMYFUNCTION("""COMPUTED_VALUE"""),1.0)</f>
        <v>1</v>
      </c>
      <c r="J139" s="15">
        <f>IFERROR(__xludf.DUMMYFUNCTION("""COMPUTED_VALUE"""),0.0)</f>
        <v>0</v>
      </c>
      <c r="K139" s="15">
        <f>IFERROR(__xludf.DUMMYFUNCTION("""COMPUTED_VALUE"""),1.0)</f>
        <v>1</v>
      </c>
    </row>
    <row r="140" ht="15.75" customHeight="1">
      <c r="A140" s="14" t="str">
        <f>IFERROR(__xludf.DUMMYFUNCTION("""COMPUTED_VALUE"""),"https://clutch.co/seo-firms/link-building")</f>
        <v>https://clutch.co/seo-firms/link-building</v>
      </c>
      <c r="B140" s="15" t="str">
        <f>IFERROR(__xludf.DUMMYFUNCTION("""COMPUTED_VALUE"""),"Top Link Building Companies - Jul 2026 Rankings \| Clutch.co")</f>
        <v>Top Link Building Companies - Jul 2026 Rankings \| Clutch.co</v>
      </c>
      <c r="C140" s="14" t="str">
        <f>IFERROR(__xludf.DUMMYFUNCTION("""COMPUTED_VALUE"""),"clutch.co")</f>
        <v>clutch.co</v>
      </c>
      <c r="D140" s="15" t="str">
        <f>IFERROR(__xludf.DUMMYFUNCTION("""COMPUTED_VALUE"""),"CATEGORY_PAGE")</f>
        <v>CATEGORY_PAGE</v>
      </c>
      <c r="E140" s="15" t="str">
        <f>IFERROR(__xludf.DUMMYFUNCTION("""COMPUTED_VALUE"""),"CORPORATE")</f>
        <v>CORPORATE</v>
      </c>
      <c r="F140" s="15" t="str">
        <f>IFERROR(__xludf.DUMMYFUNCTION("""COMPUTED_VALUE"""),"Category Page")</f>
        <v>Category Page</v>
      </c>
      <c r="G140" s="15" t="b">
        <f>IFERROR(__xludf.DUMMYFUNCTION("""COMPUTED_VALUE"""),FALSE)</f>
        <v>0</v>
      </c>
      <c r="H140" s="15" t="str">
        <f>IFERROR(__xludf.DUMMYFUNCTION("""COMPUTED_VALUE"""),"Bird Marketing, WebFX, Ignite Visibility, Huge")</f>
        <v>Bird Marketing, WebFX, Ignite Visibility, Huge</v>
      </c>
      <c r="I140" s="15">
        <f>IFERROR(__xludf.DUMMYFUNCTION("""COMPUTED_VALUE"""),1.0)</f>
        <v>1</v>
      </c>
      <c r="J140" s="15">
        <f>IFERROR(__xludf.DUMMYFUNCTION("""COMPUTED_VALUE"""),0.0)</f>
        <v>0</v>
      </c>
      <c r="K140" s="15">
        <f>IFERROR(__xludf.DUMMYFUNCTION("""COMPUTED_VALUE"""),1.0)</f>
        <v>1</v>
      </c>
    </row>
    <row r="141" ht="15.75" customHeight="1">
      <c r="A141" s="14" t="str">
        <f>IFERROR(__xludf.DUMMYFUNCTION("""COMPUTED_VALUE"""),"https://www.consultancy.uk/services/expertise/ai-genai")</f>
        <v>https://www.consultancy.uk/services/expertise/ai-genai</v>
      </c>
      <c r="B141" s="15" t="str">
        <f>IFERROR(__xludf.DUMMYFUNCTION("""COMPUTED_VALUE"""),"AI &amp;amp; Gen AI consulting services in the UK | Consultancy.uk")</f>
        <v>AI &amp;amp; Gen AI consulting services in the UK | Consultancy.uk</v>
      </c>
      <c r="C141" s="14" t="str">
        <f>IFERROR(__xludf.DUMMYFUNCTION("""COMPUTED_VALUE"""),"consultancy.uk")</f>
        <v>consultancy.uk</v>
      </c>
      <c r="D141" s="15" t="str">
        <f>IFERROR(__xludf.DUMMYFUNCTION("""COMPUTED_VALUE"""),"CATEGORY_PAGE")</f>
        <v>CATEGORY_PAGE</v>
      </c>
      <c r="E141" s="15" t="str">
        <f>IFERROR(__xludf.DUMMYFUNCTION("""COMPUTED_VALUE"""),"REFERENCE")</f>
        <v>REFERENCE</v>
      </c>
      <c r="F141" s="15" t="str">
        <f>IFERROR(__xludf.DUMMYFUNCTION("""COMPUTED_VALUE"""),"Category Page")</f>
        <v>Category Page</v>
      </c>
      <c r="G141" s="15" t="b">
        <f>IFERROR(__xludf.DUMMYFUNCTION("""COMPUTED_VALUE"""),FALSE)</f>
        <v>0</v>
      </c>
      <c r="H141" s="15" t="str">
        <f>IFERROR(__xludf.DUMMYFUNCTION("""COMPUTED_VALUE"""),"Found")</f>
        <v>Found</v>
      </c>
      <c r="I141" s="15">
        <f>IFERROR(__xludf.DUMMYFUNCTION("""COMPUTED_VALUE"""),1.0)</f>
        <v>1</v>
      </c>
      <c r="J141" s="15">
        <f>IFERROR(__xludf.DUMMYFUNCTION("""COMPUTED_VALUE"""),0.0)</f>
        <v>0</v>
      </c>
      <c r="K141" s="15">
        <f>IFERROR(__xludf.DUMMYFUNCTION("""COMPUTED_VALUE"""),0.0)</f>
        <v>0</v>
      </c>
    </row>
    <row r="142" ht="15.75" customHeight="1">
      <c r="A142" s="14" t="str">
        <f>IFERROR(__xludf.DUMMYFUNCTION("""COMPUTED_VALUE"""),"https://creativepool.com/advertising-agency")</f>
        <v>https://creativepool.com/advertising-agency</v>
      </c>
      <c r="B142" s="15" t="str">
        <f>IFERROR(__xludf.DUMMYFUNCTION("""COMPUTED_VALUE"""),"Advertising Agencies")</f>
        <v>Advertising Agencies</v>
      </c>
      <c r="C142" s="14" t="str">
        <f>IFERROR(__xludf.DUMMYFUNCTION("""COMPUTED_VALUE"""),"creativepool.com")</f>
        <v>creativepool.com</v>
      </c>
      <c r="D142" s="15" t="str">
        <f>IFERROR(__xludf.DUMMYFUNCTION("""COMPUTED_VALUE"""),"CATEGORY_PAGE")</f>
        <v>CATEGORY_PAGE</v>
      </c>
      <c r="E142" s="15" t="str">
        <f>IFERROR(__xludf.DUMMYFUNCTION("""COMPUTED_VALUE"""),"CORPORATE")</f>
        <v>CORPORATE</v>
      </c>
      <c r="F142" s="15" t="str">
        <f>IFERROR(__xludf.DUMMYFUNCTION("""COMPUTED_VALUE"""),"Category Page")</f>
        <v>Category Page</v>
      </c>
      <c r="G142" s="15" t="b">
        <f>IFERROR(__xludf.DUMMYFUNCTION("""COMPUTED_VALUE"""),FALSE)</f>
        <v>0</v>
      </c>
      <c r="H142" s="15" t="str">
        <f>IFERROR(__xludf.DUMMYFUNCTION("""COMPUTED_VALUE"""),"VCCP, Ogilvy, Saatchi &amp; Saatchi, BBH London")</f>
        <v>VCCP, Ogilvy, Saatchi &amp; Saatchi, BBH London</v>
      </c>
      <c r="I142" s="15">
        <f>IFERROR(__xludf.DUMMYFUNCTION("""COMPUTED_VALUE"""),1.0)</f>
        <v>1</v>
      </c>
      <c r="J142" s="15">
        <f>IFERROR(__xludf.DUMMYFUNCTION("""COMPUTED_VALUE"""),0.0)</f>
        <v>0</v>
      </c>
      <c r="K142" s="15">
        <f>IFERROR(__xludf.DUMMYFUNCTION("""COMPUTED_VALUE"""),1.0)</f>
        <v>1</v>
      </c>
    </row>
    <row r="143" ht="15.75" customHeight="1">
      <c r="A143" s="14" t="str">
        <f>IFERROR(__xludf.DUMMYFUNCTION("""COMPUTED_VALUE"""),"https://www.designrush.com/agency/digital-marketing/analytics")</f>
        <v>https://www.designrush.com/agency/digital-marketing/analytics</v>
      </c>
      <c r="B143" s="15" t="str">
        <f>IFERROR(__xludf.DUMMYFUNCTION("""COMPUTED_VALUE"""),"Top Marketing Analytics Agencies in 2026")</f>
        <v>Top Marketing Analytics Agencies in 2026</v>
      </c>
      <c r="C143" s="14" t="str">
        <f>IFERROR(__xludf.DUMMYFUNCTION("""COMPUTED_VALUE"""),"designrush.com")</f>
        <v>designrush.com</v>
      </c>
      <c r="D143" s="15" t="str">
        <f>IFERROR(__xludf.DUMMYFUNCTION("""COMPUTED_VALUE"""),"CATEGORY_PAGE")</f>
        <v>CATEGORY_PAGE</v>
      </c>
      <c r="E143" s="15" t="str">
        <f>IFERROR(__xludf.DUMMYFUNCTION("""COMPUTED_VALUE"""),"CORPORATE")</f>
        <v>CORPORATE</v>
      </c>
      <c r="F143" s="15" t="str">
        <f>IFERROR(__xludf.DUMMYFUNCTION("""COMPUTED_VALUE"""),"Category Page")</f>
        <v>Category Page</v>
      </c>
      <c r="G143" s="15" t="b">
        <f>IFERROR(__xludf.DUMMYFUNCTION("""COMPUTED_VALUE"""),FALSE)</f>
        <v>0</v>
      </c>
      <c r="H143" s="15" t="str">
        <f>IFERROR(__xludf.DUMMYFUNCTION("""COMPUTED_VALUE"""),"Huge, Monks, Found, Ignite Visibility, Ruler Analytics")</f>
        <v>Huge, Monks, Found, Ignite Visibility, Ruler Analytics</v>
      </c>
      <c r="I143" s="15">
        <f>IFERROR(__xludf.DUMMYFUNCTION("""COMPUTED_VALUE"""),1.0)</f>
        <v>1</v>
      </c>
      <c r="J143" s="15">
        <f>IFERROR(__xludf.DUMMYFUNCTION("""COMPUTED_VALUE"""),0.0)</f>
        <v>0</v>
      </c>
      <c r="K143" s="15">
        <f>IFERROR(__xludf.DUMMYFUNCTION("""COMPUTED_VALUE"""),0.0)</f>
        <v>0</v>
      </c>
    </row>
    <row r="144" ht="15.75" customHeight="1">
      <c r="A144" s="14" t="str">
        <f>IFERROR(__xludf.DUMMYFUNCTION("""COMPUTED_VALUE"""),"https://digitalagencynetwork.com/agencies/london/creative/")</f>
        <v>https://digitalagencynetwork.com/agencies/london/creative/</v>
      </c>
      <c r="B144" s="15" t="str">
        <f>IFERROR(__xludf.DUMMYFUNCTION("""COMPUTED_VALUE"""),"Top Creative Agencies in London (2026)")</f>
        <v>Top Creative Agencies in London (2026)</v>
      </c>
      <c r="C144" s="14" t="str">
        <f>IFERROR(__xludf.DUMMYFUNCTION("""COMPUTED_VALUE"""),"digitalagencynetwork.com")</f>
        <v>digitalagencynetwork.com</v>
      </c>
      <c r="D144" s="15" t="str">
        <f>IFERROR(__xludf.DUMMYFUNCTION("""COMPUTED_VALUE"""),"CATEGORY_PAGE")</f>
        <v>CATEGORY_PAGE</v>
      </c>
      <c r="E144" s="15" t="str">
        <f>IFERROR(__xludf.DUMMYFUNCTION("""COMPUTED_VALUE"""),"REFERENCE")</f>
        <v>REFERENCE</v>
      </c>
      <c r="F144" s="15" t="str">
        <f>IFERROR(__xludf.DUMMYFUNCTION("""COMPUTED_VALUE"""),"Category Page")</f>
        <v>Category Page</v>
      </c>
      <c r="G144" s="15" t="b">
        <f>IFERROR(__xludf.DUMMYFUNCTION("""COMPUTED_VALUE"""),FALSE)</f>
        <v>0</v>
      </c>
      <c r="H144" s="15" t="str">
        <f>IFERROR(__xludf.DUMMYFUNCTION("""COMPUTED_VALUE"""),"Favoured, Propeller, FirstMotion, Impression, Make Agency, Bird Marketing")</f>
        <v>Favoured, Propeller, FirstMotion, Impression, Make Agency, Bird Marketing</v>
      </c>
      <c r="I144" s="15">
        <f>IFERROR(__xludf.DUMMYFUNCTION("""COMPUTED_VALUE"""),1.0)</f>
        <v>1</v>
      </c>
      <c r="J144" s="15">
        <f>IFERROR(__xludf.DUMMYFUNCTION("""COMPUTED_VALUE"""),0.0)</f>
        <v>0</v>
      </c>
      <c r="K144" s="15">
        <f>IFERROR(__xludf.DUMMYFUNCTION("""COMPUTED_VALUE"""),0.0)</f>
        <v>0</v>
      </c>
    </row>
    <row r="145" ht="15.75" customHeight="1">
      <c r="A145" s="14" t="str">
        <f>IFERROR(__xludf.DUMMYFUNCTION("""COMPUTED_VALUE"""),"https://ecosystem.hubspot.com/marketplace/solutions/greece")</f>
        <v>https://ecosystem.hubspot.com/marketplace/solutions/greece</v>
      </c>
      <c r="B145" s="15" t="str">
        <f>IFERROR(__xludf.DUMMYFUNCTION("""COMPUTED_VALUE"""),"The 32 Best Agencies or Service Providers in Greece \| HubSpot")</f>
        <v>The 32 Best Agencies or Service Providers in Greece \| HubSpot</v>
      </c>
      <c r="C145" s="14" t="str">
        <f>IFERROR(__xludf.DUMMYFUNCTION("""COMPUTED_VALUE"""),"hubspot.com")</f>
        <v>hubspot.com</v>
      </c>
      <c r="D145" s="15" t="str">
        <f>IFERROR(__xludf.DUMMYFUNCTION("""COMPUTED_VALUE"""),"CATEGORY_PAGE")</f>
        <v>CATEGORY_PAGE</v>
      </c>
      <c r="E145" s="15" t="str">
        <f>IFERROR(__xludf.DUMMYFUNCTION("""COMPUTED_VALUE"""),"CORPORATE")</f>
        <v>CORPORATE</v>
      </c>
      <c r="F145" s="15" t="str">
        <f>IFERROR(__xludf.DUMMYFUNCTION("""COMPUTED_VALUE"""),"Category Page")</f>
        <v>Category Page</v>
      </c>
      <c r="G145" s="15" t="b">
        <f>IFERROR(__xludf.DUMMYFUNCTION("""COMPUTED_VALUE"""),FALSE)</f>
        <v>0</v>
      </c>
      <c r="H145" s="15" t="str">
        <f>IFERROR(__xludf.DUMMYFUNCTION("""COMPUTED_VALUE"""),"Whitehat, Push")</f>
        <v>Whitehat, Push</v>
      </c>
      <c r="I145" s="15">
        <f>IFERROR(__xludf.DUMMYFUNCTION("""COMPUTED_VALUE"""),1.0)</f>
        <v>1</v>
      </c>
      <c r="J145" s="15">
        <f>IFERROR(__xludf.DUMMYFUNCTION("""COMPUTED_VALUE"""),0.0)</f>
        <v>0</v>
      </c>
      <c r="K145" s="15">
        <f>IFERROR(__xludf.DUMMYFUNCTION("""COMPUTED_VALUE"""),1.0)</f>
        <v>1</v>
      </c>
    </row>
    <row r="146" ht="15.75" customHeight="1">
      <c r="A146" s="14" t="str">
        <f>IFERROR(__xludf.DUMMYFUNCTION("""COMPUTED_VALUE"""),"https://en.wikipedia.org/wiki/Advertising_agency")</f>
        <v>https://en.wikipedia.org/wiki/Advertising_agency</v>
      </c>
      <c r="B146" s="15" t="str">
        <f>IFERROR(__xludf.DUMMYFUNCTION("""COMPUTED_VALUE"""),"Advertising agency - Wikipedia")</f>
        <v>Advertising agency - Wikipedia</v>
      </c>
      <c r="C146" s="14" t="str">
        <f>IFERROR(__xludf.DUMMYFUNCTION("""COMPUTED_VALUE"""),"wikipedia.org")</f>
        <v>wikipedia.org</v>
      </c>
      <c r="D146" s="15" t="str">
        <f>IFERROR(__xludf.DUMMYFUNCTION("""COMPUTED_VALUE"""),"CATEGORY_PAGE")</f>
        <v>CATEGORY_PAGE</v>
      </c>
      <c r="E146" s="15" t="str">
        <f>IFERROR(__xludf.DUMMYFUNCTION("""COMPUTED_VALUE"""),"REFERENCE")</f>
        <v>REFERENCE</v>
      </c>
      <c r="F146" s="15" t="str">
        <f>IFERROR(__xludf.DUMMYFUNCTION("""COMPUTED_VALUE"""),"Category Page")</f>
        <v>Category Page</v>
      </c>
      <c r="G146" s="15" t="b">
        <f>IFERROR(__xludf.DUMMYFUNCTION("""COMPUTED_VALUE"""),FALSE)</f>
        <v>0</v>
      </c>
      <c r="H146" s="15" t="str">
        <f>IFERROR(__xludf.DUMMYFUNCTION("""COMPUTED_VALUE"""),"PwC, Deloitte Digital, WPP, Omnicom, Dentsu")</f>
        <v>PwC, Deloitte Digital, WPP, Omnicom, Dentsu</v>
      </c>
      <c r="I146" s="15">
        <f>IFERROR(__xludf.DUMMYFUNCTION("""COMPUTED_VALUE"""),1.0)</f>
        <v>1</v>
      </c>
      <c r="J146" s="15">
        <f>IFERROR(__xludf.DUMMYFUNCTION("""COMPUTED_VALUE"""),0.0)</f>
        <v>0</v>
      </c>
      <c r="K146" s="15">
        <f>IFERROR(__xludf.DUMMYFUNCTION("""COMPUTED_VALUE"""),1.0)</f>
        <v>1</v>
      </c>
    </row>
    <row r="147" ht="15.75" customHeight="1">
      <c r="A147" s="14" t="str">
        <f>IFERROR(__xludf.DUMMYFUNCTION("""COMPUTED_VALUE"""),"https://ensun.io/search/ai-consulting/united-kingdom")</f>
        <v>https://ensun.io/search/ai-consulting/united-kingdom</v>
      </c>
      <c r="B147" s="15" t="str">
        <f>IFERROR(__xludf.DUMMYFUNCTION("""COMPUTED_VALUE"""),"Top 100 AI Consulting Companies in United Kingdom (2026) \| ensun")</f>
        <v>Top 100 AI Consulting Companies in United Kingdom (2026) \| ensun</v>
      </c>
      <c r="C147" s="14" t="str">
        <f>IFERROR(__xludf.DUMMYFUNCTION("""COMPUTED_VALUE"""),"ensun.io")</f>
        <v>ensun.io</v>
      </c>
      <c r="D147" s="15" t="str">
        <f>IFERROR(__xludf.DUMMYFUNCTION("""COMPUTED_VALUE"""),"CATEGORY_PAGE")</f>
        <v>CATEGORY_PAGE</v>
      </c>
      <c r="E147" s="15" t="str">
        <f>IFERROR(__xludf.DUMMYFUNCTION("""COMPUTED_VALUE"""),"OTHER")</f>
        <v>OTHER</v>
      </c>
      <c r="F147" s="15" t="str">
        <f>IFERROR(__xludf.DUMMYFUNCTION("""COMPUTED_VALUE"""),"Category Page")</f>
        <v>Category Page</v>
      </c>
      <c r="G147" s="15" t="b">
        <f>IFERROR(__xludf.DUMMYFUNCTION("""COMPUTED_VALUE"""),FALSE)</f>
        <v>0</v>
      </c>
      <c r="H147" s="15"/>
      <c r="I147" s="15">
        <f>IFERROR(__xludf.DUMMYFUNCTION("""COMPUTED_VALUE"""),1.0)</f>
        <v>1</v>
      </c>
      <c r="J147" s="15">
        <f>IFERROR(__xludf.DUMMYFUNCTION("""COMPUTED_VALUE"""),0.0)</f>
        <v>0</v>
      </c>
      <c r="K147" s="15">
        <f>IFERROR(__xludf.DUMMYFUNCTION("""COMPUTED_VALUE"""),0.0)</f>
        <v>0</v>
      </c>
    </row>
    <row r="148" ht="15.75" customHeight="1">
      <c r="A148" s="14" t="str">
        <f>IFERROR(__xludf.DUMMYFUNCTION("""COMPUTED_VALUE"""),"https://ensun.io/search/geospatial-gis/united-kingdom")</f>
        <v>https://ensun.io/search/geospatial-gis/united-kingdom</v>
      </c>
      <c r="B148" s="15" t="str">
        <f>IFERROR(__xludf.DUMMYFUNCTION("""COMPUTED_VALUE"""),"Top 100 Geospatial (Gis) Companies in United Kingdom (2026) \| ensun")</f>
        <v>Top 100 Geospatial (Gis) Companies in United Kingdom (2026) \| ensun</v>
      </c>
      <c r="C148" s="14" t="str">
        <f>IFERROR(__xludf.DUMMYFUNCTION("""COMPUTED_VALUE"""),"ensun.io")</f>
        <v>ensun.io</v>
      </c>
      <c r="D148" s="15" t="str">
        <f>IFERROR(__xludf.DUMMYFUNCTION("""COMPUTED_VALUE"""),"CATEGORY_PAGE")</f>
        <v>CATEGORY_PAGE</v>
      </c>
      <c r="E148" s="15" t="str">
        <f>IFERROR(__xludf.DUMMYFUNCTION("""COMPUTED_VALUE"""),"OTHER")</f>
        <v>OTHER</v>
      </c>
      <c r="F148" s="15" t="str">
        <f>IFERROR(__xludf.DUMMYFUNCTION("""COMPUTED_VALUE"""),"Category Page")</f>
        <v>Category Page</v>
      </c>
      <c r="G148" s="15" t="b">
        <f>IFERROR(__xludf.DUMMYFUNCTION("""COMPUTED_VALUE"""),FALSE)</f>
        <v>0</v>
      </c>
      <c r="H148" s="15"/>
      <c r="I148" s="15">
        <f>IFERROR(__xludf.DUMMYFUNCTION("""COMPUTED_VALUE"""),1.0)</f>
        <v>1</v>
      </c>
      <c r="J148" s="15">
        <f>IFERROR(__xludf.DUMMYFUNCTION("""COMPUTED_VALUE"""),0.0)</f>
        <v>0</v>
      </c>
      <c r="K148" s="15">
        <f>IFERROR(__xludf.DUMMYFUNCTION("""COMPUTED_VALUE"""),2.0)</f>
        <v>2</v>
      </c>
    </row>
    <row r="149" ht="15.75" customHeight="1">
      <c r="A149" s="14" t="str">
        <f>IFERROR(__xludf.DUMMYFUNCTION("""COMPUTED_VALUE"""),"https://enterprisemarketingportal.google/find-a-partner")</f>
        <v>https://enterprisemarketingportal.google/find-a-partner</v>
      </c>
      <c r="B149" s="15" t="str">
        <f>IFERROR(__xludf.DUMMYFUNCTION("""COMPUTED_VALUE"""),"Find a Partner Gallery")</f>
        <v>Find a Partner Gallery</v>
      </c>
      <c r="C149" s="15" t="str">
        <f>IFERROR(__xludf.DUMMYFUNCTION("""COMPUTED_VALUE"""),"enterprisemarketingportal.google")</f>
        <v>enterprisemarketingportal.google</v>
      </c>
      <c r="D149" s="15" t="str">
        <f>IFERROR(__xludf.DUMMYFUNCTION("""COMPUTED_VALUE"""),"CATEGORY_PAGE")</f>
        <v>CATEGORY_PAGE</v>
      </c>
      <c r="E149" s="15" t="str">
        <f>IFERROR(__xludf.DUMMYFUNCTION("""COMPUTED_VALUE"""),"CORPORATE")</f>
        <v>CORPORATE</v>
      </c>
      <c r="F149" s="15" t="str">
        <f>IFERROR(__xludf.DUMMYFUNCTION("""COMPUTED_VALUE"""),"Category Page")</f>
        <v>Category Page</v>
      </c>
      <c r="G149" s="15" t="b">
        <f>IFERROR(__xludf.DUMMYFUNCTION("""COMPUTED_VALUE"""),TRUE)</f>
        <v>1</v>
      </c>
      <c r="H149" s="15" t="str">
        <f>IFERROR(__xludf.DUMMYFUNCTION("""COMPUTED_VALUE"""),"Brainlabs, Jellyfish, Incubeta, Brainlabs, Monks, Adswerve, Merkle, Dept, Wpromote, PMG, Tinuiti")</f>
        <v>Brainlabs, Jellyfish, Incubeta, Brainlabs, Monks, Adswerve, Merkle, Dept, Wpromote, PMG, Tinuiti</v>
      </c>
      <c r="I149" s="15">
        <f>IFERROR(__xludf.DUMMYFUNCTION("""COMPUTED_VALUE"""),1.0)</f>
        <v>1</v>
      </c>
      <c r="J149" s="15">
        <f>IFERROR(__xludf.DUMMYFUNCTION("""COMPUTED_VALUE"""),0.0)</f>
        <v>0</v>
      </c>
      <c r="K149" s="15">
        <f>IFERROR(__xludf.DUMMYFUNCTION("""COMPUTED_VALUE"""),0.0)</f>
        <v>0</v>
      </c>
    </row>
    <row r="150" ht="15.75" customHeight="1">
      <c r="A150" s="14" t="str">
        <f>IFERROR(__xludf.DUMMYFUNCTION("""COMPUTED_VALUE"""),"https://www.goodfirms.co/advertising-companies/programmatic")</f>
        <v>https://www.goodfirms.co/advertising-companies/programmatic</v>
      </c>
      <c r="B150" s="15" t="str">
        <f>IFERROR(__xludf.DUMMYFUNCTION("""COMPUTED_VALUE"""),"Top Programmatic Advertising Companies - 2026 Reviews | Goodfirms")</f>
        <v>Top Programmatic Advertising Companies - 2026 Reviews | Goodfirms</v>
      </c>
      <c r="C150" s="14" t="str">
        <f>IFERROR(__xludf.DUMMYFUNCTION("""COMPUTED_VALUE"""),"goodfirms.co")</f>
        <v>goodfirms.co</v>
      </c>
      <c r="D150" s="15" t="str">
        <f>IFERROR(__xludf.DUMMYFUNCTION("""COMPUTED_VALUE"""),"CATEGORY_PAGE")</f>
        <v>CATEGORY_PAGE</v>
      </c>
      <c r="E150" s="15" t="str">
        <f>IFERROR(__xludf.DUMMYFUNCTION("""COMPUTED_VALUE"""),"UGC")</f>
        <v>UGC</v>
      </c>
      <c r="F150" s="15" t="str">
        <f>IFERROR(__xludf.DUMMYFUNCTION("""COMPUTED_VALUE"""),"Category Page")</f>
        <v>Category Page</v>
      </c>
      <c r="G150" s="15" t="b">
        <f>IFERROR(__xludf.DUMMYFUNCTION("""COMPUTED_VALUE"""),FALSE)</f>
        <v>0</v>
      </c>
      <c r="H150" s="15" t="str">
        <f>IFERROR(__xludf.DUMMYFUNCTION("""COMPUTED_VALUE"""),"The SEO Works, Found, Daydream")</f>
        <v>The SEO Works, Found, Daydream</v>
      </c>
      <c r="I150" s="15">
        <f>IFERROR(__xludf.DUMMYFUNCTION("""COMPUTED_VALUE"""),1.0)</f>
        <v>1</v>
      </c>
      <c r="J150" s="15">
        <f>IFERROR(__xludf.DUMMYFUNCTION("""COMPUTED_VALUE"""),0.0)</f>
        <v>0</v>
      </c>
      <c r="K150" s="15">
        <f>IFERROR(__xludf.DUMMYFUNCTION("""COMPUTED_VALUE"""),0.0)</f>
        <v>0</v>
      </c>
    </row>
    <row r="151" ht="15.75" customHeight="1">
      <c r="A151" s="14" t="str">
        <f>IFERROR(__xludf.DUMMYFUNCTION("""COMPUTED_VALUE"""),"https://www.greenbook.org/market-research-firms/tracking")</f>
        <v>https://www.greenbook.org/market-research-firms/tracking</v>
      </c>
      <c r="B151" s="15" t="str">
        <f>IFERROR(__xludf.DUMMYFUNCTION("""COMPUTED_VALUE"""),"Top Tracking Research Companies — Greenbook")</f>
        <v>Top Tracking Research Companies — Greenbook</v>
      </c>
      <c r="C151" s="14" t="str">
        <f>IFERROR(__xludf.DUMMYFUNCTION("""COMPUTED_VALUE"""),"greenbook.org")</f>
        <v>greenbook.org</v>
      </c>
      <c r="D151" s="15" t="str">
        <f>IFERROR(__xludf.DUMMYFUNCTION("""COMPUTED_VALUE"""),"CATEGORY_PAGE")</f>
        <v>CATEGORY_PAGE</v>
      </c>
      <c r="E151" s="15" t="str">
        <f>IFERROR(__xludf.DUMMYFUNCTION("""COMPUTED_VALUE"""),"REFERENCE")</f>
        <v>REFERENCE</v>
      </c>
      <c r="F151" s="15" t="str">
        <f>IFERROR(__xludf.DUMMYFUNCTION("""COMPUTED_VALUE"""),"Category Page")</f>
        <v>Category Page</v>
      </c>
      <c r="G151" s="15" t="b">
        <f>IFERROR(__xludf.DUMMYFUNCTION("""COMPUTED_VALUE"""),FALSE)</f>
        <v>0</v>
      </c>
      <c r="H151" s="15" t="str">
        <f>IFERROR(__xludf.DUMMYFUNCTION("""COMPUTED_VALUE"""),"YouGov")</f>
        <v>YouGov</v>
      </c>
      <c r="I151" s="15">
        <f>IFERROR(__xludf.DUMMYFUNCTION("""COMPUTED_VALUE"""),1.0)</f>
        <v>1</v>
      </c>
      <c r="J151" s="15">
        <f>IFERROR(__xludf.DUMMYFUNCTION("""COMPUTED_VALUE"""),0.0)</f>
        <v>0</v>
      </c>
      <c r="K151" s="15">
        <f>IFERROR(__xludf.DUMMYFUNCTION("""COMPUTED_VALUE"""),0.0)</f>
        <v>0</v>
      </c>
    </row>
    <row r="152" ht="15.75" customHeight="1">
      <c r="A152" s="14" t="str">
        <f>IFERROR(__xludf.DUMMYFUNCTION("""COMPUTED_VALUE"""),"https://scopicstudios.com/blog/best-geo-agencies-ai-search-visibility-2026/")</f>
        <v>https://scopicstudios.com/blog/best-geo-agencies-ai-search-visibility-2026/</v>
      </c>
      <c r="B152" s="15" t="str">
        <f>IFERROR(__xludf.DUMMYFUNCTION("""COMPUTED_VALUE"""),"10 Best GEO Agencies for AI Search Brand Visibility")</f>
        <v>10 Best GEO Agencies for AI Search Brand Visibility</v>
      </c>
      <c r="C152" s="14" t="str">
        <f>IFERROR(__xludf.DUMMYFUNCTION("""COMPUTED_VALUE"""),"scopicstudios.com")</f>
        <v>scopicstudios.com</v>
      </c>
      <c r="D152" s="15" t="str">
        <f>IFERROR(__xludf.DUMMYFUNCTION("""COMPUTED_VALUE"""),"CATEGORY_PAGE")</f>
        <v>CATEGORY_PAGE</v>
      </c>
      <c r="E152" s="15" t="str">
        <f>IFERROR(__xludf.DUMMYFUNCTION("""COMPUTED_VALUE"""),"CORPORATE")</f>
        <v>CORPORATE</v>
      </c>
      <c r="F152" s="15" t="str">
        <f>IFERROR(__xludf.DUMMYFUNCTION("""COMPUTED_VALUE"""),"Category Page")</f>
        <v>Category Page</v>
      </c>
      <c r="G152" s="15" t="b">
        <f>IFERROR(__xludf.DUMMYFUNCTION("""COMPUTED_VALUE"""),FALSE)</f>
        <v>0</v>
      </c>
      <c r="H152" s="15" t="str">
        <f>IFERROR(__xludf.DUMMYFUNCTION("""COMPUTED_VALUE"""),"Passion Digital")</f>
        <v>Passion Digital</v>
      </c>
      <c r="I152" s="15">
        <f>IFERROR(__xludf.DUMMYFUNCTION("""COMPUTED_VALUE"""),1.0)</f>
        <v>1</v>
      </c>
      <c r="J152" s="15">
        <f>IFERROR(__xludf.DUMMYFUNCTION("""COMPUTED_VALUE"""),0.0)</f>
        <v>0</v>
      </c>
      <c r="K152" s="15">
        <f>IFERROR(__xludf.DUMMYFUNCTION("""COMPUTED_VALUE"""),0.0)</f>
        <v>0</v>
      </c>
    </row>
    <row r="153" ht="15.75" customHeight="1">
      <c r="A153" s="14" t="str">
        <f>IFERROR(__xludf.DUMMYFUNCTION("""COMPUTED_VALUE"""),"https://scopicstudios.com/blog/best-incrementality-testing-tools-2026/")</f>
        <v>https://scopicstudios.com/blog/best-incrementality-testing-tools-2026/</v>
      </c>
      <c r="B153" s="15" t="str">
        <f>IFERROR(__xludf.DUMMYFUNCTION("""COMPUTED_VALUE"""),"8 Best Incrementality Testing Tools for Measurement")</f>
        <v>8 Best Incrementality Testing Tools for Measurement</v>
      </c>
      <c r="C153" s="14" t="str">
        <f>IFERROR(__xludf.DUMMYFUNCTION("""COMPUTED_VALUE"""),"scopicstudios.com")</f>
        <v>scopicstudios.com</v>
      </c>
      <c r="D153" s="15" t="str">
        <f>IFERROR(__xludf.DUMMYFUNCTION("""COMPUTED_VALUE"""),"CATEGORY_PAGE")</f>
        <v>CATEGORY_PAGE</v>
      </c>
      <c r="E153" s="15" t="str">
        <f>IFERROR(__xludf.DUMMYFUNCTION("""COMPUTED_VALUE"""),"CORPORATE")</f>
        <v>CORPORATE</v>
      </c>
      <c r="F153" s="15" t="str">
        <f>IFERROR(__xludf.DUMMYFUNCTION("""COMPUTED_VALUE"""),"Category Page")</f>
        <v>Category Page</v>
      </c>
      <c r="G153" s="15" t="b">
        <f>IFERROR(__xludf.DUMMYFUNCTION("""COMPUTED_VALUE"""),FALSE)</f>
        <v>0</v>
      </c>
      <c r="H153" s="15" t="str">
        <f>IFERROR(__xludf.DUMMYFUNCTION("""COMPUTED_VALUE"""),"Impression")</f>
        <v>Impression</v>
      </c>
      <c r="I153" s="15">
        <f>IFERROR(__xludf.DUMMYFUNCTION("""COMPUTED_VALUE"""),1.0)</f>
        <v>1</v>
      </c>
      <c r="J153" s="15">
        <f>IFERROR(__xludf.DUMMYFUNCTION("""COMPUTED_VALUE"""),0.0)</f>
        <v>0</v>
      </c>
      <c r="K153" s="15">
        <f>IFERROR(__xludf.DUMMYFUNCTION("""COMPUTED_VALUE"""),1.0)</f>
        <v>1</v>
      </c>
    </row>
    <row r="154" ht="15.75" customHeight="1">
      <c r="A154" s="14" t="str">
        <f>IFERROR(__xludf.DUMMYFUNCTION("""COMPUTED_VALUE"""),"https://www.seo-london.com/agencies/")</f>
        <v>https://www.seo-london.com/agencies/</v>
      </c>
      <c r="B154" s="15" t="str">
        <f>IFERROR(__xludf.DUMMYFUNCTION("""COMPUTED_VALUE"""),"Agencies – SEO London")</f>
        <v>Agencies – SEO London</v>
      </c>
      <c r="C154" s="14" t="str">
        <f>IFERROR(__xludf.DUMMYFUNCTION("""COMPUTED_VALUE"""),"seo-london.com")</f>
        <v>seo-london.com</v>
      </c>
      <c r="D154" s="15" t="str">
        <f>IFERROR(__xludf.DUMMYFUNCTION("""COMPUTED_VALUE"""),"CATEGORY_PAGE")</f>
        <v>CATEGORY_PAGE</v>
      </c>
      <c r="E154" s="15" t="str">
        <f>IFERROR(__xludf.DUMMYFUNCTION("""COMPUTED_VALUE"""),"CORPORATE")</f>
        <v>CORPORATE</v>
      </c>
      <c r="F154" s="15" t="str">
        <f>IFERROR(__xludf.DUMMYFUNCTION("""COMPUTED_VALUE"""),"Category Page")</f>
        <v>Category Page</v>
      </c>
      <c r="G154" s="15" t="b">
        <f>IFERROR(__xludf.DUMMYFUNCTION("""COMPUTED_VALUE"""),FALSE)</f>
        <v>0</v>
      </c>
      <c r="H154" s="15" t="str">
        <f>IFERROR(__xludf.DUMMYFUNCTION("""COMPUTED_VALUE"""),"ClickSlice, Found")</f>
        <v>ClickSlice, Found</v>
      </c>
      <c r="I154" s="15">
        <f>IFERROR(__xludf.DUMMYFUNCTION("""COMPUTED_VALUE"""),1.0)</f>
        <v>1</v>
      </c>
      <c r="J154" s="15">
        <f>IFERROR(__xludf.DUMMYFUNCTION("""COMPUTED_VALUE"""),0.0)</f>
        <v>0</v>
      </c>
      <c r="K154" s="15">
        <f>IFERROR(__xludf.DUMMYFUNCTION("""COMPUTED_VALUE"""),1.0)</f>
        <v>1</v>
      </c>
    </row>
    <row r="155" ht="15.75" customHeight="1">
      <c r="A155" s="14" t="str">
        <f>IFERROR(__xludf.DUMMYFUNCTION("""COMPUTED_VALUE"""),"https://www.softwareadvice.co.uk/directory/4315/marketing-attribution/software")</f>
        <v>https://www.softwareadvice.co.uk/directory/4315/marketing-attribution/software</v>
      </c>
      <c r="B155" s="15" t="str">
        <f>IFERROR(__xludf.DUMMYFUNCTION("""COMPUTED_VALUE"""),"Best Marketing Attribution Software - 2026 Reviews, Pricing &amp; Demos")</f>
        <v>Best Marketing Attribution Software - 2026 Reviews, Pricing &amp; Demos</v>
      </c>
      <c r="C155" s="14" t="str">
        <f>IFERROR(__xludf.DUMMYFUNCTION("""COMPUTED_VALUE"""),"softwareadvice.co.uk")</f>
        <v>softwareadvice.co.uk</v>
      </c>
      <c r="D155" s="15" t="str">
        <f>IFERROR(__xludf.DUMMYFUNCTION("""COMPUTED_VALUE"""),"CATEGORY_PAGE")</f>
        <v>CATEGORY_PAGE</v>
      </c>
      <c r="E155" s="15" t="str">
        <f>IFERROR(__xludf.DUMMYFUNCTION("""COMPUTED_VALUE"""),"REFERENCE")</f>
        <v>REFERENCE</v>
      </c>
      <c r="F155" s="15" t="str">
        <f>IFERROR(__xludf.DUMMYFUNCTION("""COMPUTED_VALUE"""),"Category Page")</f>
        <v>Category Page</v>
      </c>
      <c r="G155" s="15" t="b">
        <f>IFERROR(__xludf.DUMMYFUNCTION("""COMPUTED_VALUE"""),FALSE)</f>
        <v>0</v>
      </c>
      <c r="H155" s="15"/>
      <c r="I155" s="15">
        <f>IFERROR(__xludf.DUMMYFUNCTION("""COMPUTED_VALUE"""),1.0)</f>
        <v>1</v>
      </c>
      <c r="J155" s="15">
        <f>IFERROR(__xludf.DUMMYFUNCTION("""COMPUTED_VALUE"""),0.0)</f>
        <v>0</v>
      </c>
      <c r="K155" s="15">
        <f>IFERROR(__xludf.DUMMYFUNCTION("""COMPUTED_VALUE"""),0.0)</f>
        <v>0</v>
      </c>
    </row>
    <row r="156" ht="15.75" customHeight="1">
      <c r="A156" s="14" t="str">
        <f>IFERROR(__xludf.DUMMYFUNCTION("""COMPUTED_VALUE"""),"https://www.sortlist.co.uk/s/attribution-marketing/greater-london-england-gb")</f>
        <v>https://www.sortlist.co.uk/s/attribution-marketing/greater-london-england-gb</v>
      </c>
      <c r="B156" s="15" t="str">
        <f>IFERROR(__xludf.DUMMYFUNCTION("""COMPUTED_VALUE"""),"The 10 Best Attribution Marketing Agencies in Greater London - 2026 Reviews")</f>
        <v>The 10 Best Attribution Marketing Agencies in Greater London - 2026 Reviews</v>
      </c>
      <c r="C156" s="14" t="str">
        <f>IFERROR(__xludf.DUMMYFUNCTION("""COMPUTED_VALUE"""),"sortlist.co.uk")</f>
        <v>sortlist.co.uk</v>
      </c>
      <c r="D156" s="15" t="str">
        <f>IFERROR(__xludf.DUMMYFUNCTION("""COMPUTED_VALUE"""),"CATEGORY_PAGE")</f>
        <v>CATEGORY_PAGE</v>
      </c>
      <c r="E156" s="15" t="str">
        <f>IFERROR(__xludf.DUMMYFUNCTION("""COMPUTED_VALUE"""),"REFERENCE")</f>
        <v>REFERENCE</v>
      </c>
      <c r="F156" s="15" t="str">
        <f>IFERROR(__xludf.DUMMYFUNCTION("""COMPUTED_VALUE"""),"Category Page")</f>
        <v>Category Page</v>
      </c>
      <c r="G156" s="15" t="b">
        <f>IFERROR(__xludf.DUMMYFUNCTION("""COMPUTED_VALUE"""),FALSE)</f>
        <v>0</v>
      </c>
      <c r="H156" s="15" t="str">
        <f>IFERROR(__xludf.DUMMYFUNCTION("""COMPUTED_VALUE"""),"GA Agency")</f>
        <v>GA Agency</v>
      </c>
      <c r="I156" s="15">
        <f>IFERROR(__xludf.DUMMYFUNCTION("""COMPUTED_VALUE"""),1.0)</f>
        <v>1</v>
      </c>
      <c r="J156" s="15">
        <f>IFERROR(__xludf.DUMMYFUNCTION("""COMPUTED_VALUE"""),0.0)</f>
        <v>0</v>
      </c>
      <c r="K156" s="15">
        <f>IFERROR(__xludf.DUMMYFUNCTION("""COMPUTED_VALUE"""),0.0)</f>
        <v>0</v>
      </c>
    </row>
    <row r="157" ht="15.75" customHeight="1">
      <c r="A157" s="14" t="str">
        <f>IFERROR(__xludf.DUMMYFUNCTION("""COMPUTED_VALUE"""),"https://www.sortlist.co.uk/s/creative/united-kingdom-gb?custom=creative")</f>
        <v>https://www.sortlist.co.uk/s/creative/united-kingdom-gb?custom=creative</v>
      </c>
      <c r="B157" s="15" t="str">
        <f>IFERROR(__xludf.DUMMYFUNCTION("""COMPUTED_VALUE"""),"The 10 Best Creative Agencies in The United Kingdom - 2026 Reviews")</f>
        <v>The 10 Best Creative Agencies in The United Kingdom - 2026 Reviews</v>
      </c>
      <c r="C157" s="14" t="str">
        <f>IFERROR(__xludf.DUMMYFUNCTION("""COMPUTED_VALUE"""),"sortlist.co.uk")</f>
        <v>sortlist.co.uk</v>
      </c>
      <c r="D157" s="15" t="str">
        <f>IFERROR(__xludf.DUMMYFUNCTION("""COMPUTED_VALUE"""),"CATEGORY_PAGE")</f>
        <v>CATEGORY_PAGE</v>
      </c>
      <c r="E157" s="15" t="str">
        <f>IFERROR(__xludf.DUMMYFUNCTION("""COMPUTED_VALUE"""),"REFERENCE")</f>
        <v>REFERENCE</v>
      </c>
      <c r="F157" s="15" t="str">
        <f>IFERROR(__xludf.DUMMYFUNCTION("""COMPUTED_VALUE"""),"Category Page")</f>
        <v>Category Page</v>
      </c>
      <c r="G157" s="15" t="b">
        <f>IFERROR(__xludf.DUMMYFUNCTION("""COMPUTED_VALUE"""),FALSE)</f>
        <v>0</v>
      </c>
      <c r="H157" s="15" t="str">
        <f>IFERROR(__xludf.DUMMYFUNCTION("""COMPUTED_VALUE"""),"Ninja Promo, Whitehat, Momentum")</f>
        <v>Ninja Promo, Whitehat, Momentum</v>
      </c>
      <c r="I157" s="15">
        <f>IFERROR(__xludf.DUMMYFUNCTION("""COMPUTED_VALUE"""),1.0)</f>
        <v>1</v>
      </c>
      <c r="J157" s="15">
        <f>IFERROR(__xludf.DUMMYFUNCTION("""COMPUTED_VALUE"""),0.0)</f>
        <v>0</v>
      </c>
      <c r="K157" s="15">
        <f>IFERROR(__xludf.DUMMYFUNCTION("""COMPUTED_VALUE"""),0.0)</f>
        <v>0</v>
      </c>
    </row>
    <row r="158" ht="15.75" customHeight="1">
      <c r="A158" s="14" t="str">
        <f>IFERROR(__xludf.DUMMYFUNCTION("""COMPUTED_VALUE"""),"https://www.sortlist.co.uk/s/display-advertising/birmingham-england-gb")</f>
        <v>https://www.sortlist.co.uk/s/display-advertising/birmingham-england-gb</v>
      </c>
      <c r="B158" s="15" t="str">
        <f>IFERROR(__xludf.DUMMYFUNCTION("""COMPUTED_VALUE"""),"The 10 Best Display Advertising Agencies in Birmingham - 2026 Reviews")</f>
        <v>The 10 Best Display Advertising Agencies in Birmingham - 2026 Reviews</v>
      </c>
      <c r="C158" s="14" t="str">
        <f>IFERROR(__xludf.DUMMYFUNCTION("""COMPUTED_VALUE"""),"sortlist.co.uk")</f>
        <v>sortlist.co.uk</v>
      </c>
      <c r="D158" s="15" t="str">
        <f>IFERROR(__xludf.DUMMYFUNCTION("""COMPUTED_VALUE"""),"CATEGORY_PAGE")</f>
        <v>CATEGORY_PAGE</v>
      </c>
      <c r="E158" s="15" t="str">
        <f>IFERROR(__xludf.DUMMYFUNCTION("""COMPUTED_VALUE"""),"REFERENCE")</f>
        <v>REFERENCE</v>
      </c>
      <c r="F158" s="15" t="str">
        <f>IFERROR(__xludf.DUMMYFUNCTION("""COMPUTED_VALUE"""),"Category Page")</f>
        <v>Category Page</v>
      </c>
      <c r="G158" s="15" t="b">
        <f>IFERROR(__xludf.DUMMYFUNCTION("""COMPUTED_VALUE"""),FALSE)</f>
        <v>0</v>
      </c>
      <c r="H158" s="15" t="str">
        <f>IFERROR(__xludf.DUMMYFUNCTION("""COMPUTED_VALUE"""),"Push, Triple Whale, Northbeam, Momentum, M3.agency, Ninja Promo")</f>
        <v>Push, Triple Whale, Northbeam, Momentum, M3.agency, Ninja Promo</v>
      </c>
      <c r="I158" s="15">
        <f>IFERROR(__xludf.DUMMYFUNCTION("""COMPUTED_VALUE"""),1.0)</f>
        <v>1</v>
      </c>
      <c r="J158" s="15">
        <f>IFERROR(__xludf.DUMMYFUNCTION("""COMPUTED_VALUE"""),0.0)</f>
        <v>0</v>
      </c>
      <c r="K158" s="15">
        <f>IFERROR(__xludf.DUMMYFUNCTION("""COMPUTED_VALUE"""),0.0)</f>
        <v>0</v>
      </c>
    </row>
    <row r="159" ht="15.75" customHeight="1">
      <c r="A159" s="14" t="str">
        <f>IFERROR(__xludf.DUMMYFUNCTION("""COMPUTED_VALUE"""),"https://www.sortlist.co.uk/s/display-advertising/greater-london-england-gb")</f>
        <v>https://www.sortlist.co.uk/s/display-advertising/greater-london-england-gb</v>
      </c>
      <c r="B159" s="15" t="str">
        <f>IFERROR(__xludf.DUMMYFUNCTION("""COMPUTED_VALUE"""),"The 10 Best Display Advertising Agencies in Greater London - 2026 Reviews")</f>
        <v>The 10 Best Display Advertising Agencies in Greater London - 2026 Reviews</v>
      </c>
      <c r="C159" s="14" t="str">
        <f>IFERROR(__xludf.DUMMYFUNCTION("""COMPUTED_VALUE"""),"sortlist.co.uk")</f>
        <v>sortlist.co.uk</v>
      </c>
      <c r="D159" s="15" t="str">
        <f>IFERROR(__xludf.DUMMYFUNCTION("""COMPUTED_VALUE"""),"CATEGORY_PAGE")</f>
        <v>CATEGORY_PAGE</v>
      </c>
      <c r="E159" s="15" t="str">
        <f>IFERROR(__xludf.DUMMYFUNCTION("""COMPUTED_VALUE"""),"REFERENCE")</f>
        <v>REFERENCE</v>
      </c>
      <c r="F159" s="15" t="str">
        <f>IFERROR(__xludf.DUMMYFUNCTION("""COMPUTED_VALUE"""),"Category Page")</f>
        <v>Category Page</v>
      </c>
      <c r="G159" s="15" t="b">
        <f>IFERROR(__xludf.DUMMYFUNCTION("""COMPUTED_VALUE"""),FALSE)</f>
        <v>0</v>
      </c>
      <c r="H159" s="15" t="str">
        <f>IFERROR(__xludf.DUMMYFUNCTION("""COMPUTED_VALUE"""),"Push, Triple Whale, Northbeam, Ninja Promo, Momentum, M3.agency")</f>
        <v>Push, Triple Whale, Northbeam, Ninja Promo, Momentum, M3.agency</v>
      </c>
      <c r="I159" s="15">
        <f>IFERROR(__xludf.DUMMYFUNCTION("""COMPUTED_VALUE"""),1.0)</f>
        <v>1</v>
      </c>
      <c r="J159" s="15">
        <f>IFERROR(__xludf.DUMMYFUNCTION("""COMPUTED_VALUE"""),0.0)</f>
        <v>0</v>
      </c>
      <c r="K159" s="15">
        <f>IFERROR(__xludf.DUMMYFUNCTION("""COMPUTED_VALUE"""),0.0)</f>
        <v>0</v>
      </c>
    </row>
    <row r="160" ht="15.75" customHeight="1">
      <c r="A160" s="14" t="str">
        <f>IFERROR(__xludf.DUMMYFUNCTION("""COMPUTED_VALUE"""),"https://www.sortlist.co.uk/s/display-advertising/luton-england-gb")</f>
        <v>https://www.sortlist.co.uk/s/display-advertising/luton-england-gb</v>
      </c>
      <c r="B160" s="15" t="str">
        <f>IFERROR(__xludf.DUMMYFUNCTION("""COMPUTED_VALUE"""),"The 10 Best Display Advertising Agencies in Luton - 2026 Reviews")</f>
        <v>The 10 Best Display Advertising Agencies in Luton - 2026 Reviews</v>
      </c>
      <c r="C160" s="14" t="str">
        <f>IFERROR(__xludf.DUMMYFUNCTION("""COMPUTED_VALUE"""),"sortlist.co.uk")</f>
        <v>sortlist.co.uk</v>
      </c>
      <c r="D160" s="15" t="str">
        <f>IFERROR(__xludf.DUMMYFUNCTION("""COMPUTED_VALUE"""),"CATEGORY_PAGE")</f>
        <v>CATEGORY_PAGE</v>
      </c>
      <c r="E160" s="15" t="str">
        <f>IFERROR(__xludf.DUMMYFUNCTION("""COMPUTED_VALUE"""),"REFERENCE")</f>
        <v>REFERENCE</v>
      </c>
      <c r="F160" s="15" t="str">
        <f>IFERROR(__xludf.DUMMYFUNCTION("""COMPUTED_VALUE"""),"Category Page")</f>
        <v>Category Page</v>
      </c>
      <c r="G160" s="15" t="b">
        <f>IFERROR(__xludf.DUMMYFUNCTION("""COMPUTED_VALUE"""),FALSE)</f>
        <v>0</v>
      </c>
      <c r="H160" s="15" t="str">
        <f>IFERROR(__xludf.DUMMYFUNCTION("""COMPUTED_VALUE"""),"Push, Triple Whale, Northbeam, Found, Ninja Promo")</f>
        <v>Push, Triple Whale, Northbeam, Found, Ninja Promo</v>
      </c>
      <c r="I160" s="15">
        <f>IFERROR(__xludf.DUMMYFUNCTION("""COMPUTED_VALUE"""),1.0)</f>
        <v>1</v>
      </c>
      <c r="J160" s="15">
        <f>IFERROR(__xludf.DUMMYFUNCTION("""COMPUTED_VALUE"""),0.0)</f>
        <v>0</v>
      </c>
      <c r="K160" s="15">
        <f>IFERROR(__xludf.DUMMYFUNCTION("""COMPUTED_VALUE"""),0.0)</f>
        <v>0</v>
      </c>
    </row>
    <row r="161" ht="15.75" customHeight="1">
      <c r="A161" s="14" t="str">
        <f>IFERROR(__xludf.DUMMYFUNCTION("""COMPUTED_VALUE"""),"https://www.sortlist.co.uk/s/display-advertising/manchester-england-gb")</f>
        <v>https://www.sortlist.co.uk/s/display-advertising/manchester-england-gb</v>
      </c>
      <c r="B161" s="15" t="str">
        <f>IFERROR(__xludf.DUMMYFUNCTION("""COMPUTED_VALUE"""),"The 10 Best Display Advertising Agencies in Manchester - 2026 Reviews")</f>
        <v>The 10 Best Display Advertising Agencies in Manchester - 2026 Reviews</v>
      </c>
      <c r="C161" s="14" t="str">
        <f>IFERROR(__xludf.DUMMYFUNCTION("""COMPUTED_VALUE"""),"sortlist.co.uk")</f>
        <v>sortlist.co.uk</v>
      </c>
      <c r="D161" s="15" t="str">
        <f>IFERROR(__xludf.DUMMYFUNCTION("""COMPUTED_VALUE"""),"CATEGORY_PAGE")</f>
        <v>CATEGORY_PAGE</v>
      </c>
      <c r="E161" s="15" t="str">
        <f>IFERROR(__xludf.DUMMYFUNCTION("""COMPUTED_VALUE"""),"REFERENCE")</f>
        <v>REFERENCE</v>
      </c>
      <c r="F161" s="15" t="str">
        <f>IFERROR(__xludf.DUMMYFUNCTION("""COMPUTED_VALUE"""),"Category Page")</f>
        <v>Category Page</v>
      </c>
      <c r="G161" s="15" t="b">
        <f>IFERROR(__xludf.DUMMYFUNCTION("""COMPUTED_VALUE"""),FALSE)</f>
        <v>0</v>
      </c>
      <c r="H161" s="15" t="str">
        <f>IFERROR(__xludf.DUMMYFUNCTION("""COMPUTED_VALUE"""),"Push, Triple Whale, Northbeam, Ninja Promo")</f>
        <v>Push, Triple Whale, Northbeam, Ninja Promo</v>
      </c>
      <c r="I161" s="15">
        <f>IFERROR(__xludf.DUMMYFUNCTION("""COMPUTED_VALUE"""),1.0)</f>
        <v>1</v>
      </c>
      <c r="J161" s="15">
        <f>IFERROR(__xludf.DUMMYFUNCTION("""COMPUTED_VALUE"""),0.0)</f>
        <v>0</v>
      </c>
      <c r="K161" s="15">
        <f>IFERROR(__xludf.DUMMYFUNCTION("""COMPUTED_VALUE"""),0.0)</f>
        <v>0</v>
      </c>
    </row>
    <row r="162" ht="15.75" customHeight="1">
      <c r="A162" s="14" t="str">
        <f>IFERROR(__xludf.DUMMYFUNCTION("""COMPUTED_VALUE"""),"https://www.sortlist.co.uk/s/international-branding/united-kingdom-gb")</f>
        <v>https://www.sortlist.co.uk/s/international-branding/united-kingdom-gb</v>
      </c>
      <c r="B162" s="15" t="str">
        <f>IFERROR(__xludf.DUMMYFUNCTION("""COMPUTED_VALUE"""),"The 10 Best International Branding Agencies in The United Kingdom - 2026 Reviews")</f>
        <v>The 10 Best International Branding Agencies in The United Kingdom - 2026 Reviews</v>
      </c>
      <c r="C162" s="14" t="str">
        <f>IFERROR(__xludf.DUMMYFUNCTION("""COMPUTED_VALUE"""),"sortlist.co.uk")</f>
        <v>sortlist.co.uk</v>
      </c>
      <c r="D162" s="15" t="str">
        <f>IFERROR(__xludf.DUMMYFUNCTION("""COMPUTED_VALUE"""),"CATEGORY_PAGE")</f>
        <v>CATEGORY_PAGE</v>
      </c>
      <c r="E162" s="15" t="str">
        <f>IFERROR(__xludf.DUMMYFUNCTION("""COMPUTED_VALUE"""),"REFERENCE")</f>
        <v>REFERENCE</v>
      </c>
      <c r="F162" s="15" t="str">
        <f>IFERROR(__xludf.DUMMYFUNCTION("""COMPUTED_VALUE"""),"Category Page")</f>
        <v>Category Page</v>
      </c>
      <c r="G162" s="15" t="b">
        <f>IFERROR(__xludf.DUMMYFUNCTION("""COMPUTED_VALUE"""),FALSE)</f>
        <v>0</v>
      </c>
      <c r="H162" s="15" t="str">
        <f>IFERROR(__xludf.DUMMYFUNCTION("""COMPUTED_VALUE"""),"Momentum, M3.agency")</f>
        <v>Momentum, M3.agency</v>
      </c>
      <c r="I162" s="15">
        <f>IFERROR(__xludf.DUMMYFUNCTION("""COMPUTED_VALUE"""),1.0)</f>
        <v>1</v>
      </c>
      <c r="J162" s="15">
        <f>IFERROR(__xludf.DUMMYFUNCTION("""COMPUTED_VALUE"""),0.0)</f>
        <v>0</v>
      </c>
      <c r="K162" s="15">
        <f>IFERROR(__xludf.DUMMYFUNCTION("""COMPUTED_VALUE"""),0.0)</f>
        <v>0</v>
      </c>
    </row>
    <row r="163" ht="15.75" customHeight="1">
      <c r="A163" s="14" t="str">
        <f>IFERROR(__xludf.DUMMYFUNCTION("""COMPUTED_VALUE"""),"https://www.sortlist.co.uk/s/performance-marketing/greater-london-england-gb")</f>
        <v>https://www.sortlist.co.uk/s/performance-marketing/greater-london-england-gb</v>
      </c>
      <c r="B163" s="15" t="str">
        <f>IFERROR(__xludf.DUMMYFUNCTION("""COMPUTED_VALUE"""),"The 10 Best Performance Marketing Agencies in Greater London - 2026 Reviews")</f>
        <v>The 10 Best Performance Marketing Agencies in Greater London - 2026 Reviews</v>
      </c>
      <c r="C163" s="14" t="str">
        <f>IFERROR(__xludf.DUMMYFUNCTION("""COMPUTED_VALUE"""),"sortlist.co.uk")</f>
        <v>sortlist.co.uk</v>
      </c>
      <c r="D163" s="15" t="str">
        <f>IFERROR(__xludf.DUMMYFUNCTION("""COMPUTED_VALUE"""),"CATEGORY_PAGE")</f>
        <v>CATEGORY_PAGE</v>
      </c>
      <c r="E163" s="15" t="str">
        <f>IFERROR(__xludf.DUMMYFUNCTION("""COMPUTED_VALUE"""),"REFERENCE")</f>
        <v>REFERENCE</v>
      </c>
      <c r="F163" s="15" t="str">
        <f>IFERROR(__xludf.DUMMYFUNCTION("""COMPUTED_VALUE"""),"Category Page")</f>
        <v>Category Page</v>
      </c>
      <c r="G163" s="15" t="b">
        <f>IFERROR(__xludf.DUMMYFUNCTION("""COMPUTED_VALUE"""),FALSE)</f>
        <v>0</v>
      </c>
      <c r="H163" s="15" t="str">
        <f>IFERROR(__xludf.DUMMYFUNCTION("""COMPUTED_VALUE"""),"Push, Triple Whale, Northbeam, McKinsey &amp; Company, Momentum, M3.agency, Whitehat")</f>
        <v>Push, Triple Whale, Northbeam, McKinsey &amp; Company, Momentum, M3.agency, Whitehat</v>
      </c>
      <c r="I163" s="15">
        <f>IFERROR(__xludf.DUMMYFUNCTION("""COMPUTED_VALUE"""),1.0)</f>
        <v>1</v>
      </c>
      <c r="J163" s="15">
        <f>IFERROR(__xludf.DUMMYFUNCTION("""COMPUTED_VALUE"""),0.0)</f>
        <v>0</v>
      </c>
      <c r="K163" s="15">
        <f>IFERROR(__xludf.DUMMYFUNCTION("""COMPUTED_VALUE"""),0.0)</f>
        <v>0</v>
      </c>
    </row>
    <row r="164" ht="15.75" customHeight="1">
      <c r="A164" s="14" t="str">
        <f>IFERROR(__xludf.DUMMYFUNCTION("""COMPUTED_VALUE"""),"https://www.sortlist.co.uk/s/programmatic-advertising/london-england-gb")</f>
        <v>https://www.sortlist.co.uk/s/programmatic-advertising/london-england-gb</v>
      </c>
      <c r="B164" s="15" t="str">
        <f>IFERROR(__xludf.DUMMYFUNCTION("""COMPUTED_VALUE"""),"The 10 Best Programmatic Advertising Companies in London - 2026 Reviews")</f>
        <v>The 10 Best Programmatic Advertising Companies in London - 2026 Reviews</v>
      </c>
      <c r="C164" s="14" t="str">
        <f>IFERROR(__xludf.DUMMYFUNCTION("""COMPUTED_VALUE"""),"sortlist.co.uk")</f>
        <v>sortlist.co.uk</v>
      </c>
      <c r="D164" s="15" t="str">
        <f>IFERROR(__xludf.DUMMYFUNCTION("""COMPUTED_VALUE"""),"CATEGORY_PAGE")</f>
        <v>CATEGORY_PAGE</v>
      </c>
      <c r="E164" s="15" t="str">
        <f>IFERROR(__xludf.DUMMYFUNCTION("""COMPUTED_VALUE"""),"REFERENCE")</f>
        <v>REFERENCE</v>
      </c>
      <c r="F164" s="15" t="str">
        <f>IFERROR(__xludf.DUMMYFUNCTION("""COMPUTED_VALUE"""),"Category Page")</f>
        <v>Category Page</v>
      </c>
      <c r="G164" s="15" t="b">
        <f>IFERROR(__xludf.DUMMYFUNCTION("""COMPUTED_VALUE"""),FALSE)</f>
        <v>0</v>
      </c>
      <c r="H164" s="15" t="str">
        <f>IFERROR(__xludf.DUMMYFUNCTION("""COMPUTED_VALUE"""),"Momentum, M3.agency")</f>
        <v>Momentum, M3.agency</v>
      </c>
      <c r="I164" s="15">
        <f>IFERROR(__xludf.DUMMYFUNCTION("""COMPUTED_VALUE"""),1.0)</f>
        <v>1</v>
      </c>
      <c r="J164" s="15">
        <f>IFERROR(__xludf.DUMMYFUNCTION("""COMPUTED_VALUE"""),0.0)</f>
        <v>0</v>
      </c>
      <c r="K164" s="15">
        <f>IFERROR(__xludf.DUMMYFUNCTION("""COMPUTED_VALUE"""),0.0)</f>
        <v>0</v>
      </c>
    </row>
    <row r="165" ht="15.75" customHeight="1">
      <c r="A165" s="14" t="str">
        <f>IFERROR(__xludf.DUMMYFUNCTION("""COMPUTED_VALUE"""),"https://www.sortlist.co.uk/s/storytelling/london-england-gb")</f>
        <v>https://www.sortlist.co.uk/s/storytelling/london-england-gb</v>
      </c>
      <c r="B165" s="15" t="str">
        <f>IFERROR(__xludf.DUMMYFUNCTION("""COMPUTED_VALUE"""),"The 10 Best Storytelling Agencies in London - 2026 Reviews")</f>
        <v>The 10 Best Storytelling Agencies in London - 2026 Reviews</v>
      </c>
      <c r="C165" s="14" t="str">
        <f>IFERROR(__xludf.DUMMYFUNCTION("""COMPUTED_VALUE"""),"sortlist.co.uk")</f>
        <v>sortlist.co.uk</v>
      </c>
      <c r="D165" s="15" t="str">
        <f>IFERROR(__xludf.DUMMYFUNCTION("""COMPUTED_VALUE"""),"CATEGORY_PAGE")</f>
        <v>CATEGORY_PAGE</v>
      </c>
      <c r="E165" s="15" t="str">
        <f>IFERROR(__xludf.DUMMYFUNCTION("""COMPUTED_VALUE"""),"REFERENCE")</f>
        <v>REFERENCE</v>
      </c>
      <c r="F165" s="15" t="str">
        <f>IFERROR(__xludf.DUMMYFUNCTION("""COMPUTED_VALUE"""),"Category Page")</f>
        <v>Category Page</v>
      </c>
      <c r="G165" s="15" t="b">
        <f>IFERROR(__xludf.DUMMYFUNCTION("""COMPUTED_VALUE"""),FALSE)</f>
        <v>0</v>
      </c>
      <c r="H165" s="15" t="str">
        <f>IFERROR(__xludf.DUMMYFUNCTION("""COMPUTED_VALUE"""),"Push, Ninja Promo, McKinsey &amp; Company")</f>
        <v>Push, Ninja Promo, McKinsey &amp; Company</v>
      </c>
      <c r="I165" s="15">
        <f>IFERROR(__xludf.DUMMYFUNCTION("""COMPUTED_VALUE"""),1.0)</f>
        <v>1</v>
      </c>
      <c r="J165" s="15">
        <f>IFERROR(__xludf.DUMMYFUNCTION("""COMPUTED_VALUE"""),0.0)</f>
        <v>0</v>
      </c>
      <c r="K165" s="15">
        <f>IFERROR(__xludf.DUMMYFUNCTION("""COMPUTED_VALUE"""),0.0)</f>
        <v>0</v>
      </c>
    </row>
    <row r="166" ht="15.75" customHeight="1">
      <c r="A166" s="14" t="str">
        <f>IFERROR(__xludf.DUMMYFUNCTION("""COMPUTED_VALUE"""),"https://www.sortlist.co.uk/s/testing-services/united-kingdom-gb")</f>
        <v>https://www.sortlist.co.uk/s/testing-services/united-kingdom-gb</v>
      </c>
      <c r="B166" s="15" t="str">
        <f>IFERROR(__xludf.DUMMYFUNCTION("""COMPUTED_VALUE"""),"The 10 Best Testing Services Companies in The United Kingdom - 2026 Reviews")</f>
        <v>The 10 Best Testing Services Companies in The United Kingdom - 2026 Reviews</v>
      </c>
      <c r="C166" s="14" t="str">
        <f>IFERROR(__xludf.DUMMYFUNCTION("""COMPUTED_VALUE"""),"sortlist.co.uk")</f>
        <v>sortlist.co.uk</v>
      </c>
      <c r="D166" s="15" t="str">
        <f>IFERROR(__xludf.DUMMYFUNCTION("""COMPUTED_VALUE"""),"CATEGORY_PAGE")</f>
        <v>CATEGORY_PAGE</v>
      </c>
      <c r="E166" s="15" t="str">
        <f>IFERROR(__xludf.DUMMYFUNCTION("""COMPUTED_VALUE"""),"REFERENCE")</f>
        <v>REFERENCE</v>
      </c>
      <c r="F166" s="15" t="str">
        <f>IFERROR(__xludf.DUMMYFUNCTION("""COMPUTED_VALUE"""),"Category Page")</f>
        <v>Category Page</v>
      </c>
      <c r="G166" s="15" t="b">
        <f>IFERROR(__xludf.DUMMYFUNCTION("""COMPUTED_VALUE"""),FALSE)</f>
        <v>0</v>
      </c>
      <c r="H166" s="15" t="str">
        <f>IFERROR(__xludf.DUMMYFUNCTION("""COMPUTED_VALUE"""),"Momentum, M3.agency, Whitehat")</f>
        <v>Momentum, M3.agency, Whitehat</v>
      </c>
      <c r="I166" s="15">
        <f>IFERROR(__xludf.DUMMYFUNCTION("""COMPUTED_VALUE"""),1.0)</f>
        <v>1</v>
      </c>
      <c r="J166" s="15">
        <f>IFERROR(__xludf.DUMMYFUNCTION("""COMPUTED_VALUE"""),0.0)</f>
        <v>0</v>
      </c>
      <c r="K166" s="15">
        <f>IFERROR(__xludf.DUMMYFUNCTION("""COMPUTED_VALUE"""),1.0)</f>
        <v>1</v>
      </c>
    </row>
    <row r="167" ht="15.75" customHeight="1">
      <c r="A167" s="14" t="str">
        <f>IFERROR(__xludf.DUMMYFUNCTION("""COMPUTED_VALUE"""),"https://www.sortlist.co.uk/web-analytics/london-england-gb")</f>
        <v>https://www.sortlist.co.uk/web-analytics/london-england-gb</v>
      </c>
      <c r="B167" s="15" t="str">
        <f>IFERROR(__xludf.DUMMYFUNCTION("""COMPUTED_VALUE"""),"The 10 Best Web Analytics Agencies in London - 2026 Reviews")</f>
        <v>The 10 Best Web Analytics Agencies in London - 2026 Reviews</v>
      </c>
      <c r="C167" s="14" t="str">
        <f>IFERROR(__xludf.DUMMYFUNCTION("""COMPUTED_VALUE"""),"sortlist.co.uk")</f>
        <v>sortlist.co.uk</v>
      </c>
      <c r="D167" s="15" t="str">
        <f>IFERROR(__xludf.DUMMYFUNCTION("""COMPUTED_VALUE"""),"CATEGORY_PAGE")</f>
        <v>CATEGORY_PAGE</v>
      </c>
      <c r="E167" s="15" t="str">
        <f>IFERROR(__xludf.DUMMYFUNCTION("""COMPUTED_VALUE"""),"REFERENCE")</f>
        <v>REFERENCE</v>
      </c>
      <c r="F167" s="15" t="str">
        <f>IFERROR(__xludf.DUMMYFUNCTION("""COMPUTED_VALUE"""),"Category Page")</f>
        <v>Category Page</v>
      </c>
      <c r="G167" s="15" t="b">
        <f>IFERROR(__xludf.DUMMYFUNCTION("""COMPUTED_VALUE"""),FALSE)</f>
        <v>0</v>
      </c>
      <c r="H167" s="15" t="str">
        <f>IFERROR(__xludf.DUMMYFUNCTION("""COMPUTED_VALUE"""),"Whitehat, Found")</f>
        <v>Whitehat, Found</v>
      </c>
      <c r="I167" s="15">
        <f>IFERROR(__xludf.DUMMYFUNCTION("""COMPUTED_VALUE"""),1.0)</f>
        <v>1</v>
      </c>
      <c r="J167" s="15">
        <f>IFERROR(__xludf.DUMMYFUNCTION("""COMPUTED_VALUE"""),0.0)</f>
        <v>0</v>
      </c>
      <c r="K167" s="15">
        <f>IFERROR(__xludf.DUMMYFUNCTION("""COMPUTED_VALUE"""),0.0)</f>
        <v>0</v>
      </c>
    </row>
    <row r="168" ht="15.75" customHeight="1">
      <c r="A168" s="14" t="str">
        <f>IFERROR(__xludf.DUMMYFUNCTION("""COMPUTED_VALUE"""),"https://www.sortlist.com/l/dubai-ae")</f>
        <v>https://www.sortlist.com/l/dubai-ae</v>
      </c>
      <c r="B168" s="15" t="str">
        <f>IFERROR(__xludf.DUMMYFUNCTION("""COMPUTED_VALUE"""),"Sortlist")</f>
        <v>Sortlist</v>
      </c>
      <c r="C168" s="14" t="str">
        <f>IFERROR(__xludf.DUMMYFUNCTION("""COMPUTED_VALUE"""),"sortlist.com")</f>
        <v>sortlist.com</v>
      </c>
      <c r="D168" s="15" t="str">
        <f>IFERROR(__xludf.DUMMYFUNCTION("""COMPUTED_VALUE"""),"CATEGORY_PAGE")</f>
        <v>CATEGORY_PAGE</v>
      </c>
      <c r="E168" s="15" t="str">
        <f>IFERROR(__xludf.DUMMYFUNCTION("""COMPUTED_VALUE"""),"CORPORATE")</f>
        <v>CORPORATE</v>
      </c>
      <c r="F168" s="15" t="str">
        <f>IFERROR(__xludf.DUMMYFUNCTION("""COMPUTED_VALUE"""),"Category Page")</f>
        <v>Category Page</v>
      </c>
      <c r="G168" s="15" t="b">
        <f>IFERROR(__xludf.DUMMYFUNCTION("""COMPUTED_VALUE"""),FALSE)</f>
        <v>0</v>
      </c>
      <c r="H168" s="15" t="str">
        <f>IFERROR(__xludf.DUMMYFUNCTION("""COMPUTED_VALUE"""),"Impression, Momentum, M3.agency, Ninja Promo, Push")</f>
        <v>Impression, Momentum, M3.agency, Ninja Promo, Push</v>
      </c>
      <c r="I168" s="15">
        <f>IFERROR(__xludf.DUMMYFUNCTION("""COMPUTED_VALUE"""),1.0)</f>
        <v>1</v>
      </c>
      <c r="J168" s="15">
        <f>IFERROR(__xludf.DUMMYFUNCTION("""COMPUTED_VALUE"""),0.0)</f>
        <v>0</v>
      </c>
      <c r="K168" s="15">
        <f>IFERROR(__xludf.DUMMYFUNCTION("""COMPUTED_VALUE"""),1.0)</f>
        <v>1</v>
      </c>
    </row>
    <row r="169" ht="15.75" customHeight="1">
      <c r="A169" s="14" t="str">
        <f>IFERROR(__xludf.DUMMYFUNCTION("""COMPUTED_VALUE"""),"https://www.sortlist.com/marketing-communication")</f>
        <v>https://www.sortlist.com/marketing-communication</v>
      </c>
      <c r="B169" s="15" t="str">
        <f>IFERROR(__xludf.DUMMYFUNCTION("""COMPUTED_VALUE"""),"The 100 Best Marketing Communication Agencies - 2026 Reviews")</f>
        <v>The 100 Best Marketing Communication Agencies - 2026 Reviews</v>
      </c>
      <c r="C169" s="14" t="str">
        <f>IFERROR(__xludf.DUMMYFUNCTION("""COMPUTED_VALUE"""),"sortlist.com")</f>
        <v>sortlist.com</v>
      </c>
      <c r="D169" s="15" t="str">
        <f>IFERROR(__xludf.DUMMYFUNCTION("""COMPUTED_VALUE"""),"CATEGORY_PAGE")</f>
        <v>CATEGORY_PAGE</v>
      </c>
      <c r="E169" s="15" t="str">
        <f>IFERROR(__xludf.DUMMYFUNCTION("""COMPUTED_VALUE"""),"CORPORATE")</f>
        <v>CORPORATE</v>
      </c>
      <c r="F169" s="15" t="str">
        <f>IFERROR(__xludf.DUMMYFUNCTION("""COMPUTED_VALUE"""),"Category Page")</f>
        <v>Category Page</v>
      </c>
      <c r="G169" s="15" t="b">
        <f>IFERROR(__xludf.DUMMYFUNCTION("""COMPUTED_VALUE"""),FALSE)</f>
        <v>0</v>
      </c>
      <c r="H169" s="15" t="str">
        <f>IFERROR(__xludf.DUMMYFUNCTION("""COMPUTED_VALUE"""),"Push")</f>
        <v>Push</v>
      </c>
      <c r="I169" s="15">
        <f>IFERROR(__xludf.DUMMYFUNCTION("""COMPUTED_VALUE"""),1.0)</f>
        <v>1</v>
      </c>
      <c r="J169" s="15">
        <f>IFERROR(__xludf.DUMMYFUNCTION("""COMPUTED_VALUE"""),0.0)</f>
        <v>0</v>
      </c>
      <c r="K169" s="15">
        <f>IFERROR(__xludf.DUMMYFUNCTION("""COMPUTED_VALUE"""),1.0)</f>
        <v>1</v>
      </c>
    </row>
    <row r="170" ht="15.75" customHeight="1">
      <c r="A170" s="14" t="str">
        <f>IFERROR(__xludf.DUMMYFUNCTION("""COMPUTED_VALUE"""),"https://www.sortlist.com/performance-marketing")</f>
        <v>https://www.sortlist.com/performance-marketing</v>
      </c>
      <c r="B170" s="15" t="str">
        <f>IFERROR(__xludf.DUMMYFUNCTION("""COMPUTED_VALUE"""),"The 100 Best Performance Marketing Agencies - 2026 Reviews")</f>
        <v>The 100 Best Performance Marketing Agencies - 2026 Reviews</v>
      </c>
      <c r="C170" s="14" t="str">
        <f>IFERROR(__xludf.DUMMYFUNCTION("""COMPUTED_VALUE"""),"sortlist.com")</f>
        <v>sortlist.com</v>
      </c>
      <c r="D170" s="15" t="str">
        <f>IFERROR(__xludf.DUMMYFUNCTION("""COMPUTED_VALUE"""),"CATEGORY_PAGE")</f>
        <v>CATEGORY_PAGE</v>
      </c>
      <c r="E170" s="15" t="str">
        <f>IFERROR(__xludf.DUMMYFUNCTION("""COMPUTED_VALUE"""),"CORPORATE")</f>
        <v>CORPORATE</v>
      </c>
      <c r="F170" s="15" t="str">
        <f>IFERROR(__xludf.DUMMYFUNCTION("""COMPUTED_VALUE"""),"Category Page")</f>
        <v>Category Page</v>
      </c>
      <c r="G170" s="15" t="b">
        <f>IFERROR(__xludf.DUMMYFUNCTION("""COMPUTED_VALUE"""),FALSE)</f>
        <v>0</v>
      </c>
      <c r="H170" s="15" t="str">
        <f>IFERROR(__xludf.DUMMYFUNCTION("""COMPUTED_VALUE"""),"Push, Triple Whale, Northbeam, Measured, Found")</f>
        <v>Push, Triple Whale, Northbeam, Measured, Found</v>
      </c>
      <c r="I170" s="15">
        <f>IFERROR(__xludf.DUMMYFUNCTION("""COMPUTED_VALUE"""),1.0)</f>
        <v>1</v>
      </c>
      <c r="J170" s="15">
        <f>IFERROR(__xludf.DUMMYFUNCTION("""COMPUTED_VALUE"""),0.0)</f>
        <v>0</v>
      </c>
      <c r="K170" s="15">
        <f>IFERROR(__xludf.DUMMYFUNCTION("""COMPUTED_VALUE"""),0.0)</f>
        <v>0</v>
      </c>
    </row>
    <row r="171" ht="15.75" customHeight="1">
      <c r="A171" s="14" t="str">
        <f>IFERROR(__xludf.DUMMYFUNCTION("""COMPUTED_VALUE"""),"https://www.sortlist.com/social-media-optimization")</f>
        <v>https://www.sortlist.com/social-media-optimization</v>
      </c>
      <c r="B171" s="15" t="str">
        <f>IFERROR(__xludf.DUMMYFUNCTION("""COMPUTED_VALUE"""),"The 100 Best Social Media Optimization Agencies - 2026 Reviews")</f>
        <v>The 100 Best Social Media Optimization Agencies - 2026 Reviews</v>
      </c>
      <c r="C171" s="14" t="str">
        <f>IFERROR(__xludf.DUMMYFUNCTION("""COMPUTED_VALUE"""),"sortlist.com")</f>
        <v>sortlist.com</v>
      </c>
      <c r="D171" s="15" t="str">
        <f>IFERROR(__xludf.DUMMYFUNCTION("""COMPUTED_VALUE"""),"CATEGORY_PAGE")</f>
        <v>CATEGORY_PAGE</v>
      </c>
      <c r="E171" s="15" t="str">
        <f>IFERROR(__xludf.DUMMYFUNCTION("""COMPUTED_VALUE"""),"CORPORATE")</f>
        <v>CORPORATE</v>
      </c>
      <c r="F171" s="15" t="str">
        <f>IFERROR(__xludf.DUMMYFUNCTION("""COMPUTED_VALUE"""),"Category Page")</f>
        <v>Category Page</v>
      </c>
      <c r="G171" s="15" t="b">
        <f>IFERROR(__xludf.DUMMYFUNCTION("""COMPUTED_VALUE"""),FALSE)</f>
        <v>0</v>
      </c>
      <c r="H171" s="15"/>
      <c r="I171" s="15">
        <f>IFERROR(__xludf.DUMMYFUNCTION("""COMPUTED_VALUE"""),1.0)</f>
        <v>1</v>
      </c>
      <c r="J171" s="15">
        <f>IFERROR(__xludf.DUMMYFUNCTION("""COMPUTED_VALUE"""),0.0)</f>
        <v>0</v>
      </c>
      <c r="K171" s="15">
        <f>IFERROR(__xludf.DUMMYFUNCTION("""COMPUTED_VALUE"""),0.0)</f>
        <v>0</v>
      </c>
    </row>
    <row r="172" ht="15.75" customHeight="1">
      <c r="A172" s="14" t="str">
        <f>IFERROR(__xludf.DUMMYFUNCTION("""COMPUTED_VALUE"""),"https://support.google.com/displayvideo/answer/9030625?hl=en-GB")</f>
        <v>https://support.google.com/displayvideo/answer/9030625?hl=en-GB</v>
      </c>
      <c r="B172" s="15" t="str">
        <f>IFERROR(__xludf.DUMMYFUNCTION("""COMPUTED_VALUE"""),"Ad technology providers - Display &amp; Video 360 Help")</f>
        <v>Ad technology providers - Display &amp; Video 360 Help</v>
      </c>
      <c r="C172" s="14" t="str">
        <f>IFERROR(__xludf.DUMMYFUNCTION("""COMPUTED_VALUE"""),"google.com")</f>
        <v>google.com</v>
      </c>
      <c r="D172" s="15" t="str">
        <f>IFERROR(__xludf.DUMMYFUNCTION("""COMPUTED_VALUE"""),"CATEGORY_PAGE")</f>
        <v>CATEGORY_PAGE</v>
      </c>
      <c r="E172" s="15" t="str">
        <f>IFERROR(__xludf.DUMMYFUNCTION("""COMPUTED_VALUE"""),"OTHER")</f>
        <v>OTHER</v>
      </c>
      <c r="F172" s="15" t="str">
        <f>IFERROR(__xludf.DUMMYFUNCTION("""COMPUTED_VALUE"""),"Category Page")</f>
        <v>Category Page</v>
      </c>
      <c r="G172" s="15" t="b">
        <f>IFERROR(__xludf.DUMMYFUNCTION("""COMPUTED_VALUE"""),FALSE)</f>
        <v>0</v>
      </c>
      <c r="H172" s="15" t="str">
        <f>IFERROR(__xludf.DUMMYFUNCTION("""COMPUTED_VALUE"""),"Epsilon, GroupM, Kantar, Neustar, Nielsen, Rockerbox, Accenture Song, Dentsu, Monks, Merkle, Momentum, Omnicom, YouGov")</f>
        <v>Epsilon, GroupM, Kantar, Neustar, Nielsen, Rockerbox, Accenture Song, Dentsu, Monks, Merkle, Momentum, Omnicom, YouGov</v>
      </c>
      <c r="I172" s="15">
        <f>IFERROR(__xludf.DUMMYFUNCTION("""COMPUTED_VALUE"""),1.0)</f>
        <v>1</v>
      </c>
      <c r="J172" s="15">
        <f>IFERROR(__xludf.DUMMYFUNCTION("""COMPUTED_VALUE"""),0.0)</f>
        <v>0</v>
      </c>
      <c r="K172" s="15">
        <f>IFERROR(__xludf.DUMMYFUNCTION("""COMPUTED_VALUE"""),0.0)</f>
        <v>0</v>
      </c>
    </row>
    <row r="173" ht="15.75" customHeight="1">
      <c r="A173" s="14" t="str">
        <f>IFERROR(__xludf.DUMMYFUNCTION("""COMPUTED_VALUE"""),"https://www.thedca.co/services/production")</f>
        <v>https://www.thedca.co/services/production</v>
      </c>
      <c r="B173" s="15" t="str">
        <f>IFERROR(__xludf.DUMMYFUNCTION("""COMPUTED_VALUE"""),"The best Production Agencies | DCA")</f>
        <v>The best Production Agencies | DCA</v>
      </c>
      <c r="C173" s="14" t="str">
        <f>IFERROR(__xludf.DUMMYFUNCTION("""COMPUTED_VALUE"""),"thedca.co")</f>
        <v>thedca.co</v>
      </c>
      <c r="D173" s="15" t="str">
        <f>IFERROR(__xludf.DUMMYFUNCTION("""COMPUTED_VALUE"""),"CATEGORY_PAGE")</f>
        <v>CATEGORY_PAGE</v>
      </c>
      <c r="E173" s="15" t="str">
        <f>IFERROR(__xludf.DUMMYFUNCTION("""COMPUTED_VALUE"""),"OTHER")</f>
        <v>OTHER</v>
      </c>
      <c r="F173" s="15" t="str">
        <f>IFERROR(__xludf.DUMMYFUNCTION("""COMPUTED_VALUE"""),"Category Page")</f>
        <v>Category Page</v>
      </c>
      <c r="G173" s="15" t="b">
        <f>IFERROR(__xludf.DUMMYFUNCTION("""COMPUTED_VALUE"""),FALSE)</f>
        <v>0</v>
      </c>
      <c r="H173" s="15" t="str">
        <f>IFERROR(__xludf.DUMMYFUNCTION("""COMPUTED_VALUE"""),"ROAST")</f>
        <v>ROAST</v>
      </c>
      <c r="I173" s="15">
        <f>IFERROR(__xludf.DUMMYFUNCTION("""COMPUTED_VALUE"""),1.0)</f>
        <v>1</v>
      </c>
      <c r="J173" s="15">
        <f>IFERROR(__xludf.DUMMYFUNCTION("""COMPUTED_VALUE"""),0.0)</f>
        <v>0</v>
      </c>
      <c r="K173" s="15">
        <f>IFERROR(__xludf.DUMMYFUNCTION("""COMPUTED_VALUE"""),0.0)</f>
        <v>0</v>
      </c>
    </row>
    <row r="174" ht="15.75" customHeight="1">
      <c r="A174" s="14" t="str">
        <f>IFERROR(__xludf.DUMMYFUNCTION("""COMPUTED_VALUE"""),"https://ukagencies.co.uk/services/ppc/")</f>
        <v>https://ukagencies.co.uk/services/ppc/</v>
      </c>
      <c r="B174" s="15" t="str">
        <f>IFERROR(__xludf.DUMMYFUNCTION("""COMPUTED_VALUE"""),"Best PPC Agencies in the UK (2026) - Google Ads Experts | UKAgencies.co.uk")</f>
        <v>Best PPC Agencies in the UK (2026) - Google Ads Experts | UKAgencies.co.uk</v>
      </c>
      <c r="C174" s="14" t="str">
        <f>IFERROR(__xludf.DUMMYFUNCTION("""COMPUTED_VALUE"""),"ukagencies.co.uk")</f>
        <v>ukagencies.co.uk</v>
      </c>
      <c r="D174" s="15" t="str">
        <f>IFERROR(__xludf.DUMMYFUNCTION("""COMPUTED_VALUE"""),"CATEGORY_PAGE")</f>
        <v>CATEGORY_PAGE</v>
      </c>
      <c r="E174" s="15" t="str">
        <f>IFERROR(__xludf.DUMMYFUNCTION("""COMPUTED_VALUE"""),"REFERENCE")</f>
        <v>REFERENCE</v>
      </c>
      <c r="F174" s="15" t="str">
        <f>IFERROR(__xludf.DUMMYFUNCTION("""COMPUTED_VALUE"""),"Category Page")</f>
        <v>Category Page</v>
      </c>
      <c r="G174" s="15" t="b">
        <f>IFERROR(__xludf.DUMMYFUNCTION("""COMPUTED_VALUE"""),FALSE)</f>
        <v>0</v>
      </c>
      <c r="H174" s="15"/>
      <c r="I174" s="15">
        <f>IFERROR(__xludf.DUMMYFUNCTION("""COMPUTED_VALUE"""),1.0)</f>
        <v>1</v>
      </c>
      <c r="J174" s="15">
        <f>IFERROR(__xludf.DUMMYFUNCTION("""COMPUTED_VALUE"""),0.0)</f>
        <v>0</v>
      </c>
      <c r="K174" s="15">
        <f>IFERROR(__xludf.DUMMYFUNCTION("""COMPUTED_VALUE"""),0.0)</f>
        <v>0</v>
      </c>
    </row>
    <row r="175" ht="15.75" customHeight="1">
      <c r="A175" s="14" t="str">
        <f>IFERROR(__xludf.DUMMYFUNCTION("""COMPUTED_VALUE"""),"https://zyppy.com/companies/c/generative-ai-seo/united-kingdom/london/")</f>
        <v>https://zyppy.com/companies/c/generative-ai-seo/united-kingdom/london/</v>
      </c>
      <c r="B175" s="15" t="str">
        <f>IFERROR(__xludf.DUMMYFUNCTION("""COMPUTED_VALUE"""),"Top Generative AI Search Companies in London - July 2026")</f>
        <v>Top Generative AI Search Companies in London - July 2026</v>
      </c>
      <c r="C175" s="14" t="str">
        <f>IFERROR(__xludf.DUMMYFUNCTION("""COMPUTED_VALUE"""),"zyppy.com")</f>
        <v>zyppy.com</v>
      </c>
      <c r="D175" s="15" t="str">
        <f>IFERROR(__xludf.DUMMYFUNCTION("""COMPUTED_VALUE"""),"CATEGORY_PAGE")</f>
        <v>CATEGORY_PAGE</v>
      </c>
      <c r="E175" s="15" t="str">
        <f>IFERROR(__xludf.DUMMYFUNCTION("""COMPUTED_VALUE"""),"CORPORATE")</f>
        <v>CORPORATE</v>
      </c>
      <c r="F175" s="15" t="str">
        <f>IFERROR(__xludf.DUMMYFUNCTION("""COMPUTED_VALUE"""),"Category Page")</f>
        <v>Category Page</v>
      </c>
      <c r="G175" s="15" t="b">
        <f>IFERROR(__xludf.DUMMYFUNCTION("""COMPUTED_VALUE"""),FALSE)</f>
        <v>0</v>
      </c>
      <c r="H175" s="15" t="str">
        <f>IFERROR(__xludf.DUMMYFUNCTION("""COMPUTED_VALUE"""),"Blue Array")</f>
        <v>Blue Array</v>
      </c>
      <c r="I175" s="15">
        <f>IFERROR(__xludf.DUMMYFUNCTION("""COMPUTED_VALUE"""),1.0)</f>
        <v>1</v>
      </c>
      <c r="J175" s="15">
        <f>IFERROR(__xludf.DUMMYFUNCTION("""COMPUTED_VALUE"""),0.0)</f>
        <v>0</v>
      </c>
      <c r="K175" s="15">
        <f>IFERROR(__xludf.DUMMYFUNCTION("""COMPUTED_VALUE"""),0.0)</f>
        <v>0</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C42"/>
    <hyperlink r:id="rId82" ref="A43"/>
    <hyperlink r:id="rId83" ref="C43"/>
    <hyperlink r:id="rId84" ref="A44"/>
    <hyperlink r:id="rId85" ref="C44"/>
    <hyperlink r:id="rId86" ref="A45"/>
    <hyperlink r:id="rId87" ref="C45"/>
    <hyperlink r:id="rId88" ref="A46"/>
    <hyperlink r:id="rId89" ref="C46"/>
    <hyperlink r:id="rId90" ref="A47"/>
    <hyperlink r:id="rId91" ref="C47"/>
    <hyperlink r:id="rId92" ref="A48"/>
    <hyperlink r:id="rId93" ref="C48"/>
    <hyperlink r:id="rId94" ref="A49"/>
    <hyperlink r:id="rId95" ref="C49"/>
    <hyperlink r:id="rId96" ref="A50"/>
    <hyperlink r:id="rId97" ref="C50"/>
    <hyperlink r:id="rId98" ref="A51"/>
    <hyperlink r:id="rId99" ref="C51"/>
    <hyperlink r:id="rId100" ref="A52"/>
    <hyperlink r:id="rId101" ref="C52"/>
    <hyperlink r:id="rId102" ref="A53"/>
    <hyperlink r:id="rId103" ref="C53"/>
    <hyperlink r:id="rId104" ref="A54"/>
    <hyperlink r:id="rId105" ref="C54"/>
    <hyperlink r:id="rId106" ref="A55"/>
    <hyperlink r:id="rId107" ref="C55"/>
    <hyperlink r:id="rId108" ref="A56"/>
    <hyperlink r:id="rId109" ref="C56"/>
    <hyperlink r:id="rId110" ref="A57"/>
    <hyperlink r:id="rId111" ref="C57"/>
    <hyperlink r:id="rId112" ref="A58"/>
    <hyperlink r:id="rId113" ref="C58"/>
    <hyperlink r:id="rId114" ref="A59"/>
    <hyperlink r:id="rId115" ref="C59"/>
    <hyperlink r:id="rId116" ref="A60"/>
    <hyperlink r:id="rId117" ref="C60"/>
    <hyperlink r:id="rId118" ref="A61"/>
    <hyperlink r:id="rId119" ref="C61"/>
    <hyperlink r:id="rId120" ref="A62"/>
    <hyperlink r:id="rId121" ref="C62"/>
    <hyperlink r:id="rId122" ref="A63"/>
    <hyperlink r:id="rId123" ref="C63"/>
    <hyperlink r:id="rId124" ref="A64"/>
    <hyperlink r:id="rId125" ref="C64"/>
    <hyperlink r:id="rId126" ref="A65"/>
    <hyperlink r:id="rId127" ref="C65"/>
    <hyperlink r:id="rId128" ref="A66"/>
    <hyperlink r:id="rId129" ref="C66"/>
    <hyperlink r:id="rId130" ref="A67"/>
    <hyperlink r:id="rId131" ref="C67"/>
    <hyperlink r:id="rId132" ref="A68"/>
    <hyperlink r:id="rId133" ref="C68"/>
    <hyperlink r:id="rId134" ref="A69"/>
    <hyperlink r:id="rId135" ref="C69"/>
    <hyperlink r:id="rId136" ref="A70"/>
    <hyperlink r:id="rId137" ref="A71"/>
    <hyperlink r:id="rId138" ref="C71"/>
    <hyperlink r:id="rId139" ref="A72"/>
    <hyperlink r:id="rId140" ref="C72"/>
    <hyperlink r:id="rId141" ref="A73"/>
    <hyperlink r:id="rId142" ref="C73"/>
    <hyperlink r:id="rId143" ref="A74"/>
    <hyperlink r:id="rId144" ref="C74"/>
    <hyperlink r:id="rId145" ref="A75"/>
    <hyperlink r:id="rId146" ref="C75"/>
    <hyperlink r:id="rId147" ref="A76"/>
    <hyperlink r:id="rId148" ref="C76"/>
    <hyperlink r:id="rId149" ref="A77"/>
    <hyperlink r:id="rId150" ref="C77"/>
    <hyperlink r:id="rId151" ref="A78"/>
    <hyperlink r:id="rId152" ref="C78"/>
    <hyperlink r:id="rId153" ref="A79"/>
    <hyperlink r:id="rId154" ref="C79"/>
    <hyperlink r:id="rId155" ref="A80"/>
    <hyperlink r:id="rId156" ref="C80"/>
    <hyperlink r:id="rId157" ref="A81"/>
    <hyperlink r:id="rId158" ref="C81"/>
    <hyperlink r:id="rId159" ref="A82"/>
    <hyperlink r:id="rId160" ref="C82"/>
    <hyperlink r:id="rId161" ref="A83"/>
    <hyperlink r:id="rId162" ref="C83"/>
    <hyperlink r:id="rId163" ref="A84"/>
    <hyperlink r:id="rId164" ref="C84"/>
    <hyperlink r:id="rId165" ref="A85"/>
    <hyperlink r:id="rId166" ref="C85"/>
    <hyperlink r:id="rId167" location=":~:text=Up%20Analytics%20consist%20of%20a,for%20work%20in%20Attribution%20Marketing" ref="A86"/>
    <hyperlink r:id="rId168" ref="C86"/>
    <hyperlink r:id="rId169" ref="A87"/>
    <hyperlink r:id="rId170" ref="C87"/>
    <hyperlink r:id="rId171" ref="A88"/>
    <hyperlink r:id="rId172" ref="C88"/>
    <hyperlink r:id="rId173" ref="A89"/>
    <hyperlink r:id="rId174" ref="C89"/>
    <hyperlink r:id="rId175" ref="A90"/>
    <hyperlink r:id="rId176" ref="C90"/>
    <hyperlink r:id="rId177" ref="A91"/>
    <hyperlink r:id="rId178" ref="C91"/>
    <hyperlink r:id="rId179" ref="A92"/>
    <hyperlink r:id="rId180" ref="C92"/>
    <hyperlink r:id="rId181" ref="A93"/>
    <hyperlink r:id="rId182" ref="C93"/>
    <hyperlink r:id="rId183" ref="A94"/>
    <hyperlink r:id="rId184" ref="C94"/>
    <hyperlink r:id="rId185" ref="A95"/>
    <hyperlink r:id="rId186" ref="C95"/>
    <hyperlink r:id="rId187" ref="A96"/>
    <hyperlink r:id="rId188" ref="C96"/>
    <hyperlink r:id="rId189" ref="A97"/>
    <hyperlink r:id="rId190" ref="C97"/>
    <hyperlink r:id="rId191" ref="A98"/>
    <hyperlink r:id="rId192" ref="C98"/>
    <hyperlink r:id="rId193" ref="A99"/>
    <hyperlink r:id="rId194" ref="C99"/>
    <hyperlink r:id="rId195" ref="A100"/>
    <hyperlink r:id="rId196" ref="C100"/>
    <hyperlink r:id="rId197" ref="A101"/>
    <hyperlink r:id="rId198" ref="C101"/>
    <hyperlink r:id="rId199" ref="A102"/>
    <hyperlink r:id="rId200" ref="C102"/>
    <hyperlink r:id="rId201" ref="A103"/>
    <hyperlink r:id="rId202" ref="C103"/>
    <hyperlink r:id="rId203" ref="A104"/>
    <hyperlink r:id="rId204" ref="C104"/>
    <hyperlink r:id="rId205" ref="A105"/>
    <hyperlink r:id="rId206" ref="C105"/>
    <hyperlink r:id="rId207" ref="A106"/>
    <hyperlink r:id="rId208" ref="C106"/>
    <hyperlink r:id="rId209" ref="A107"/>
    <hyperlink r:id="rId210" ref="C107"/>
    <hyperlink r:id="rId211" ref="A108"/>
    <hyperlink r:id="rId212" ref="C108"/>
    <hyperlink r:id="rId213" ref="A109"/>
    <hyperlink r:id="rId214" ref="C109"/>
    <hyperlink r:id="rId215" ref="A110"/>
    <hyperlink r:id="rId216" ref="C110"/>
    <hyperlink r:id="rId217" ref="A111"/>
    <hyperlink r:id="rId218" ref="C111"/>
    <hyperlink r:id="rId219" ref="A112"/>
    <hyperlink r:id="rId220" ref="C112"/>
    <hyperlink r:id="rId221" ref="A113"/>
    <hyperlink r:id="rId222" ref="C113"/>
    <hyperlink r:id="rId223" ref="A114"/>
    <hyperlink r:id="rId224" ref="C114"/>
    <hyperlink r:id="rId225" ref="A115"/>
    <hyperlink r:id="rId226" ref="C115"/>
    <hyperlink r:id="rId227" ref="A116"/>
    <hyperlink r:id="rId228" ref="C116"/>
    <hyperlink r:id="rId229" ref="A117"/>
    <hyperlink r:id="rId230" ref="C117"/>
    <hyperlink r:id="rId231" ref="A118"/>
    <hyperlink r:id="rId232" ref="C118"/>
    <hyperlink r:id="rId233" ref="A119"/>
    <hyperlink r:id="rId234" ref="C119"/>
    <hyperlink r:id="rId235" ref="A120"/>
    <hyperlink r:id="rId236" ref="C120"/>
    <hyperlink r:id="rId237" ref="A121"/>
    <hyperlink r:id="rId238" ref="C121"/>
    <hyperlink r:id="rId239" ref="A122"/>
    <hyperlink r:id="rId240" ref="C122"/>
    <hyperlink r:id="rId241" ref="A123"/>
    <hyperlink r:id="rId242" ref="C123"/>
    <hyperlink r:id="rId243" ref="A124"/>
    <hyperlink r:id="rId244" ref="C124"/>
    <hyperlink r:id="rId245" ref="A125"/>
    <hyperlink r:id="rId246" ref="C125"/>
    <hyperlink r:id="rId247" ref="A126"/>
    <hyperlink r:id="rId248" ref="C126"/>
    <hyperlink r:id="rId249" ref="A127"/>
    <hyperlink r:id="rId250" ref="C127"/>
    <hyperlink r:id="rId251" ref="A128"/>
    <hyperlink r:id="rId252" ref="C128"/>
    <hyperlink r:id="rId253" ref="A129"/>
    <hyperlink r:id="rId254" ref="C129"/>
    <hyperlink r:id="rId255" ref="A130"/>
    <hyperlink r:id="rId256" ref="C130"/>
    <hyperlink r:id="rId257" location=":~:text=Disruptive%20Advertising%20is%20a%20digital,driven%20approaches%20and%20proactive%20communication." ref="A131"/>
    <hyperlink r:id="rId258" ref="C131"/>
    <hyperlink r:id="rId259" ref="A132"/>
    <hyperlink r:id="rId260" ref="C132"/>
    <hyperlink r:id="rId261" ref="A133"/>
    <hyperlink r:id="rId262" ref="C133"/>
    <hyperlink r:id="rId263" ref="A134"/>
    <hyperlink r:id="rId264" ref="C134"/>
    <hyperlink r:id="rId265" ref="A135"/>
    <hyperlink r:id="rId266" ref="C135"/>
    <hyperlink r:id="rId267" ref="A136"/>
    <hyperlink r:id="rId268" ref="C136"/>
    <hyperlink r:id="rId269" ref="A137"/>
    <hyperlink r:id="rId270" ref="C137"/>
    <hyperlink r:id="rId271" ref="A138"/>
    <hyperlink r:id="rId272" ref="C138"/>
    <hyperlink r:id="rId273" ref="A139"/>
    <hyperlink r:id="rId274" ref="C139"/>
    <hyperlink r:id="rId275" ref="A140"/>
    <hyperlink r:id="rId276" ref="C140"/>
    <hyperlink r:id="rId277" ref="A141"/>
    <hyperlink r:id="rId278" ref="C141"/>
    <hyperlink r:id="rId279" ref="A142"/>
    <hyperlink r:id="rId280" ref="C142"/>
    <hyperlink r:id="rId281" ref="A143"/>
    <hyperlink r:id="rId282" ref="C143"/>
    <hyperlink r:id="rId283" ref="A144"/>
    <hyperlink r:id="rId284" ref="C144"/>
    <hyperlink r:id="rId285" ref="A145"/>
    <hyperlink r:id="rId286" ref="C145"/>
    <hyperlink r:id="rId287" ref="A146"/>
    <hyperlink r:id="rId288" ref="C146"/>
    <hyperlink r:id="rId289" ref="A147"/>
    <hyperlink r:id="rId290" ref="C147"/>
    <hyperlink r:id="rId291" ref="A148"/>
    <hyperlink r:id="rId292" ref="C148"/>
    <hyperlink r:id="rId293" ref="A149"/>
    <hyperlink r:id="rId294" ref="A150"/>
    <hyperlink r:id="rId295" ref="C150"/>
    <hyperlink r:id="rId296" ref="A151"/>
    <hyperlink r:id="rId297" ref="C151"/>
    <hyperlink r:id="rId298" ref="A152"/>
    <hyperlink r:id="rId299" ref="C152"/>
    <hyperlink r:id="rId300" ref="A153"/>
    <hyperlink r:id="rId301" ref="C153"/>
    <hyperlink r:id="rId302" ref="A154"/>
    <hyperlink r:id="rId303" ref="C154"/>
    <hyperlink r:id="rId304" ref="A155"/>
    <hyperlink r:id="rId305" ref="C155"/>
    <hyperlink r:id="rId306" ref="A156"/>
    <hyperlink r:id="rId307" ref="C156"/>
    <hyperlink r:id="rId308" ref="A157"/>
    <hyperlink r:id="rId309" ref="C157"/>
    <hyperlink r:id="rId310" ref="A158"/>
    <hyperlink r:id="rId311" ref="C158"/>
    <hyperlink r:id="rId312" ref="A159"/>
    <hyperlink r:id="rId313" ref="C159"/>
    <hyperlink r:id="rId314" ref="A160"/>
    <hyperlink r:id="rId315" ref="C160"/>
    <hyperlink r:id="rId316" ref="A161"/>
    <hyperlink r:id="rId317" ref="C161"/>
    <hyperlink r:id="rId318" ref="A162"/>
    <hyperlink r:id="rId319" ref="C162"/>
    <hyperlink r:id="rId320" ref="A163"/>
    <hyperlink r:id="rId321" ref="C163"/>
    <hyperlink r:id="rId322" ref="A164"/>
    <hyperlink r:id="rId323" ref="C164"/>
    <hyperlink r:id="rId324" ref="A165"/>
    <hyperlink r:id="rId325" ref="C165"/>
    <hyperlink r:id="rId326" ref="A166"/>
    <hyperlink r:id="rId327" ref="C166"/>
    <hyperlink r:id="rId328" ref="A167"/>
    <hyperlink r:id="rId329" ref="C167"/>
    <hyperlink r:id="rId330" ref="A168"/>
    <hyperlink r:id="rId331" ref="C168"/>
    <hyperlink r:id="rId332" ref="A169"/>
    <hyperlink r:id="rId333" ref="C169"/>
    <hyperlink r:id="rId334" ref="A170"/>
    <hyperlink r:id="rId335" ref="C170"/>
    <hyperlink r:id="rId336" ref="A171"/>
    <hyperlink r:id="rId337" ref="C171"/>
    <hyperlink r:id="rId338" ref="A172"/>
    <hyperlink r:id="rId339" ref="C172"/>
    <hyperlink r:id="rId340" ref="A173"/>
    <hyperlink r:id="rId341" ref="C173"/>
    <hyperlink r:id="rId342" ref="A174"/>
    <hyperlink r:id="rId343" ref="C174"/>
    <hyperlink r:id="rId344" ref="A175"/>
    <hyperlink r:id="rId345" ref="C175"/>
  </hyperlinks>
  <drawing r:id="rId34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All'!D2:D1000)))=""comparison""
  ),
  """"
)"),"https://www.triplewhale.com/blog/best-incrementality-testing-tools")</f>
        <v>https://www.triplewhale.com/blog/best-incrementality-testing-tools</v>
      </c>
      <c r="B2" s="15" t="str">
        <f>IFERROR(__xludf.DUMMYFUNCTION("""COMPUTED_VALUE"""),"The Best Incrementality Testing Tools for Marketers in 2026 | Triple Whale")</f>
        <v>The Best Incrementality Testing Tools for Marketers in 2026 | Triple Whale</v>
      </c>
      <c r="C2" s="14" t="str">
        <f>IFERROR(__xludf.DUMMYFUNCTION("""COMPUTED_VALUE"""),"triplewhale.com")</f>
        <v>triplewhale.com</v>
      </c>
      <c r="D2" s="15" t="str">
        <f>IFERROR(__xludf.DUMMYFUNCTION("""COMPUTED_VALUE"""),"COMPARISON")</f>
        <v>COMPARISON</v>
      </c>
      <c r="E2" s="15" t="str">
        <f>IFERROR(__xludf.DUMMYFUNCTION("""COMPUTED_VALUE"""),"COMPETITOR")</f>
        <v>COMPETITOR</v>
      </c>
      <c r="F2" s="15" t="str">
        <f>IFERROR(__xludf.DUMMYFUNCTION("""COMPUTED_VALUE"""),"Comparison")</f>
        <v>Comparison</v>
      </c>
      <c r="G2" s="15" t="b">
        <f>IFERROR(__xludf.DUMMYFUNCTION("""COMPUTED_VALUE"""),FALSE)</f>
        <v>0</v>
      </c>
      <c r="H2" s="15" t="str">
        <f>IFERROR(__xludf.DUMMYFUNCTION("""COMPUTED_VALUE"""),"Triple Whale, Haus, Measured")</f>
        <v>Triple Whale, Haus, Measured</v>
      </c>
      <c r="I2" s="15">
        <f>IFERROR(__xludf.DUMMYFUNCTION("""COMPUTED_VALUE"""),28.0)</f>
        <v>28</v>
      </c>
      <c r="J2" s="15">
        <f>IFERROR(__xludf.DUMMYFUNCTION("""COMPUTED_VALUE"""),0.03)</f>
        <v>0.03</v>
      </c>
      <c r="K2" s="15">
        <f>IFERROR(__xludf.DUMMYFUNCTION("""COMPUTED_VALUE"""),0.46)</f>
        <v>0.46</v>
      </c>
    </row>
    <row r="3" ht="15.75" customHeight="1">
      <c r="A3" s="14" t="str">
        <f>IFERROR(__xludf.DUMMYFUNCTION("""COMPUTED_VALUE"""),"https://www.hunterlodge.co.uk/ai-visibility-research/insights/top-ai-visibility-agencies-in-the-uk/")</f>
        <v>https://www.hunterlodge.co.uk/ai-visibility-research/insights/top-ai-visibility-agencies-in-the-uk/</v>
      </c>
      <c r="B3" s="15" t="str">
        <f>IFERROR(__xludf.DUMMYFUNCTION("""COMPUTED_VALUE"""),"Top AI Visibility Agencies in the UK - Hunterlodge")</f>
        <v>Top AI Visibility Agencies in the UK - Hunterlodge</v>
      </c>
      <c r="C3" s="14" t="str">
        <f>IFERROR(__xludf.DUMMYFUNCTION("""COMPUTED_VALUE"""),"hunterlodge.co.uk")</f>
        <v>hunterlodge.co.uk</v>
      </c>
      <c r="D3" s="15" t="str">
        <f>IFERROR(__xludf.DUMMYFUNCTION("""COMPUTED_VALUE"""),"COMPARISON")</f>
        <v>COMPARISON</v>
      </c>
      <c r="E3" s="15" t="str">
        <f>IFERROR(__xludf.DUMMYFUNCTION("""COMPUTED_VALUE"""),"CORPORATE")</f>
        <v>CORPORATE</v>
      </c>
      <c r="F3" s="15" t="str">
        <f>IFERROR(__xludf.DUMMYFUNCTION("""COMPUTED_VALUE"""),"Comparison")</f>
        <v>Comparison</v>
      </c>
      <c r="G3" s="15" t="b">
        <f>IFERROR(__xludf.DUMMYFUNCTION("""COMPUTED_VALUE"""),FALSE)</f>
        <v>0</v>
      </c>
      <c r="H3" s="15" t="str">
        <f>IFERROR(__xludf.DUMMYFUNCTION("""COMPUTED_VALUE"""),"ClickSlice, Found, Hallam, Blue Array, Exposure Ninja, Measured, Buried Agency")</f>
        <v>ClickSlice, Found, Hallam, Blue Array, Exposure Ninja, Measured, Buried Agency</v>
      </c>
      <c r="I3" s="15">
        <f>IFERROR(__xludf.DUMMYFUNCTION("""COMPUTED_VALUE"""),27.0)</f>
        <v>27</v>
      </c>
      <c r="J3" s="15">
        <f>IFERROR(__xludf.DUMMYFUNCTION("""COMPUTED_VALUE"""),0.03)</f>
        <v>0.03</v>
      </c>
      <c r="K3" s="15">
        <f>IFERROR(__xludf.DUMMYFUNCTION("""COMPUTED_VALUE"""),0.63)</f>
        <v>0.63</v>
      </c>
    </row>
    <row r="4" ht="15.75" customHeight="1">
      <c r="A4" s="14" t="str">
        <f>IFERROR(__xludf.DUMMYFUNCTION("""COMPUTED_VALUE"""),"https://sellforte.com/blog/best-incrementality-testing-tools")</f>
        <v>https://sellforte.com/blog/best-incrementality-testing-tools</v>
      </c>
      <c r="B4" s="15" t="str">
        <f>IFERROR(__xludf.DUMMYFUNCTION("""COMPUTED_VALUE"""),"Best Incrementality Testing Tools in 2026: In-depth Vendor Comparison")</f>
        <v>Best Incrementality Testing Tools in 2026: In-depth Vendor Comparison</v>
      </c>
      <c r="C4" s="14" t="str">
        <f>IFERROR(__xludf.DUMMYFUNCTION("""COMPUTED_VALUE"""),"sellforte.com")</f>
        <v>sellforte.com</v>
      </c>
      <c r="D4" s="15" t="str">
        <f>IFERROR(__xludf.DUMMYFUNCTION("""COMPUTED_VALUE"""),"COMPARISON")</f>
        <v>COMPARISON</v>
      </c>
      <c r="E4" s="15" t="str">
        <f>IFERROR(__xludf.DUMMYFUNCTION("""COMPUTED_VALUE"""),"COMPETITOR")</f>
        <v>COMPETITOR</v>
      </c>
      <c r="F4" s="15" t="str">
        <f>IFERROR(__xludf.DUMMYFUNCTION("""COMPUTED_VALUE"""),"Comparison")</f>
        <v>Comparison</v>
      </c>
      <c r="G4" s="15" t="b">
        <f>IFERROR(__xludf.DUMMYFUNCTION("""COMPUTED_VALUE"""),FALSE)</f>
        <v>0</v>
      </c>
      <c r="H4" s="15" t="str">
        <f>IFERROR(__xludf.DUMMYFUNCTION("""COMPUTED_VALUE"""),"Sellforte, Measured, Haus, Recast")</f>
        <v>Sellforte, Measured, Haus, Recast</v>
      </c>
      <c r="I4" s="15">
        <f>IFERROR(__xludf.DUMMYFUNCTION("""COMPUTED_VALUE"""),21.0)</f>
        <v>21</v>
      </c>
      <c r="J4" s="15">
        <f>IFERROR(__xludf.DUMMYFUNCTION("""COMPUTED_VALUE"""),0.02)</f>
        <v>0.02</v>
      </c>
      <c r="K4" s="15">
        <f>IFERROR(__xludf.DUMMYFUNCTION("""COMPUTED_VALUE"""),0.95)</f>
        <v>0.95</v>
      </c>
    </row>
    <row r="5" ht="15.75" customHeight="1">
      <c r="A5" s="14" t="str">
        <f>IFERROR(__xludf.DUMMYFUNCTION("""COMPUTED_VALUE"""),"https://www.techradar.com/pro/aeo-vs-seo-whats-the-difference-and-do-you-need-both")</f>
        <v>https://www.techradar.com/pro/aeo-vs-seo-whats-the-difference-and-do-you-need-both</v>
      </c>
      <c r="B5" s="15" t="str">
        <f>IFERROR(__xludf.DUMMYFUNCTION("""COMPUTED_VALUE"""),"AEO vs SEO: What's the difference &amp;amp; do you need both? | TechRadar")</f>
        <v>AEO vs SEO: What's the difference &amp;amp; do you need both? | TechRadar</v>
      </c>
      <c r="C5" s="14" t="str">
        <f>IFERROR(__xludf.DUMMYFUNCTION("""COMPUTED_VALUE"""),"techradar.com")</f>
        <v>techradar.com</v>
      </c>
      <c r="D5" s="15" t="str">
        <f>IFERROR(__xludf.DUMMYFUNCTION("""COMPUTED_VALUE"""),"COMPARISON")</f>
        <v>COMPARISON</v>
      </c>
      <c r="E5" s="15" t="str">
        <f>IFERROR(__xludf.DUMMYFUNCTION("""COMPUTED_VALUE"""),"EDITORIAL")</f>
        <v>EDITORIAL</v>
      </c>
      <c r="F5" s="15" t="str">
        <f>IFERROR(__xludf.DUMMYFUNCTION("""COMPUTED_VALUE"""),"Comparison")</f>
        <v>Comparison</v>
      </c>
      <c r="G5" s="15" t="b">
        <f>IFERROR(__xludf.DUMMYFUNCTION("""COMPUTED_VALUE"""),FALSE)</f>
        <v>0</v>
      </c>
      <c r="H5" s="15" t="str">
        <f>IFERROR(__xludf.DUMMYFUNCTION("""COMPUTED_VALUE"""),"Found, Huge, Push")</f>
        <v>Found, Huge, Push</v>
      </c>
      <c r="I5" s="15">
        <f>IFERROR(__xludf.DUMMYFUNCTION("""COMPUTED_VALUE"""),13.0)</f>
        <v>13</v>
      </c>
      <c r="J5" s="15">
        <f>IFERROR(__xludf.DUMMYFUNCTION("""COMPUTED_VALUE"""),0.01)</f>
        <v>0.01</v>
      </c>
      <c r="K5" s="15">
        <f>IFERROR(__xludf.DUMMYFUNCTION("""COMPUTED_VALUE"""),2.0)</f>
        <v>2</v>
      </c>
    </row>
    <row r="6" ht="15.75" customHeight="1">
      <c r="A6" s="14" t="str">
        <f>IFERROR(__xludf.DUMMYFUNCTION("""COMPUTED_VALUE"""),"https://seocompare.co.uk/best-ai-search-agencies/")</f>
        <v>https://seocompare.co.uk/best-ai-search-agencies/</v>
      </c>
      <c r="B6" s="15" t="str">
        <f>IFERROR(__xludf.DUMMYFUNCTION("""COMPUTED_VALUE"""),"Best AI Search Agencies UK: 14 Compared 2026")</f>
        <v>Best AI Search Agencies UK: 14 Compared 2026</v>
      </c>
      <c r="C6" s="14" t="str">
        <f>IFERROR(__xludf.DUMMYFUNCTION("""COMPUTED_VALUE"""),"seocompare.co.uk")</f>
        <v>seocompare.co.uk</v>
      </c>
      <c r="D6" s="15" t="str">
        <f>IFERROR(__xludf.DUMMYFUNCTION("""COMPUTED_VALUE"""),"COMPARISON")</f>
        <v>COMPARISON</v>
      </c>
      <c r="E6" s="15" t="str">
        <f>IFERROR(__xludf.DUMMYFUNCTION("""COMPUTED_VALUE"""),"EDITORIAL")</f>
        <v>EDITORIAL</v>
      </c>
      <c r="F6" s="15" t="str">
        <f>IFERROR(__xludf.DUMMYFUNCTION("""COMPUTED_VALUE"""),"Comparison")</f>
        <v>Comparison</v>
      </c>
      <c r="G6" s="15" t="b">
        <f>IFERROR(__xludf.DUMMYFUNCTION("""COMPUTED_VALUE"""),FALSE)</f>
        <v>0</v>
      </c>
      <c r="H6" s="15" t="str">
        <f>IFERROR(__xludf.DUMMYFUNCTION("""COMPUTED_VALUE"""),"Rank4AI, Directive Consulting, Omniscient Digital, Siege Media, Ignite Visibility")</f>
        <v>Rank4AI, Directive Consulting, Omniscient Digital, Siege Media, Ignite Visibility</v>
      </c>
      <c r="I6" s="15">
        <f>IFERROR(__xludf.DUMMYFUNCTION("""COMPUTED_VALUE"""),12.0)</f>
        <v>12</v>
      </c>
      <c r="J6" s="15">
        <f>IFERROR(__xludf.DUMMYFUNCTION("""COMPUTED_VALUE"""),0.01)</f>
        <v>0.01</v>
      </c>
      <c r="K6" s="15">
        <f>IFERROR(__xludf.DUMMYFUNCTION("""COMPUTED_VALUE"""),0.83)</f>
        <v>0.83</v>
      </c>
    </row>
    <row r="7" ht="15.75" customHeight="1">
      <c r="A7" s="14" t="str">
        <f>IFERROR(__xludf.DUMMYFUNCTION("""COMPUTED_VALUE"""),"https://seocompare.co.uk/best-ai-seo-agencies/")</f>
        <v>https://seocompare.co.uk/best-ai-seo-agencies/</v>
      </c>
      <c r="B7" s="15" t="str">
        <f>IFERROR(__xludf.DUMMYFUNCTION("""COMPUTED_VALUE"""),"AI SEO Agency Rankings: 7 Compared for 2026 (with Prices) | SEOCompare")</f>
        <v>AI SEO Agency Rankings: 7 Compared for 2026 (with Prices) | SEOCompare</v>
      </c>
      <c r="C7" s="14" t="str">
        <f>IFERROR(__xludf.DUMMYFUNCTION("""COMPUTED_VALUE"""),"seocompare.co.uk")</f>
        <v>seocompare.co.uk</v>
      </c>
      <c r="D7" s="15" t="str">
        <f>IFERROR(__xludf.DUMMYFUNCTION("""COMPUTED_VALUE"""),"COMPARISON")</f>
        <v>COMPARISON</v>
      </c>
      <c r="E7" s="15" t="str">
        <f>IFERROR(__xludf.DUMMYFUNCTION("""COMPUTED_VALUE"""),"EDITORIAL")</f>
        <v>EDITORIAL</v>
      </c>
      <c r="F7" s="15" t="str">
        <f>IFERROR(__xludf.DUMMYFUNCTION("""COMPUTED_VALUE"""),"Comparison")</f>
        <v>Comparison</v>
      </c>
      <c r="G7" s="15" t="b">
        <f>IFERROR(__xludf.DUMMYFUNCTION("""COMPUTED_VALUE"""),FALSE)</f>
        <v>0</v>
      </c>
      <c r="H7" s="15" t="str">
        <f>IFERROR(__xludf.DUMMYFUNCTION("""COMPUTED_VALUE"""),"Directive Consulting, Rank4AI, Siege Media, Omniscient Digital, Measured")</f>
        <v>Directive Consulting, Rank4AI, Siege Media, Omniscient Digital, Measured</v>
      </c>
      <c r="I7" s="15">
        <f>IFERROR(__xludf.DUMMYFUNCTION("""COMPUTED_VALUE"""),9.0)</f>
        <v>9</v>
      </c>
      <c r="J7" s="15">
        <f>IFERROR(__xludf.DUMMYFUNCTION("""COMPUTED_VALUE"""),0.01)</f>
        <v>0.01</v>
      </c>
      <c r="K7" s="15">
        <f>IFERROR(__xludf.DUMMYFUNCTION("""COMPUTED_VALUE"""),0.0)</f>
        <v>0</v>
      </c>
    </row>
    <row r="8" ht="15.75" customHeight="1">
      <c r="A8" s="14" t="str">
        <f>IFERROR(__xludf.DUMMYFUNCTION("""COMPUTED_VALUE"""),"https://neuraladx.com/top-5-geo-agencies-uk-2026-review/")</f>
        <v>https://neuraladx.com/top-5-geo-agencies-uk-2026-review/</v>
      </c>
      <c r="B8" s="15" t="str">
        <f>IFERROR(__xludf.DUMMYFUNCTION("""COMPUTED_VALUE"""),"Top 5 GEO Agencies UK (2026 Review) - NeuralAdX Ltd")</f>
        <v>Top 5 GEO Agencies UK (2026 Review) - NeuralAdX Ltd</v>
      </c>
      <c r="C8" s="14" t="str">
        <f>IFERROR(__xludf.DUMMYFUNCTION("""COMPUTED_VALUE"""),"neuraladx.com")</f>
        <v>neuraladx.com</v>
      </c>
      <c r="D8" s="15" t="str">
        <f>IFERROR(__xludf.DUMMYFUNCTION("""COMPUTED_VALUE"""),"COMPARISON")</f>
        <v>COMPARISON</v>
      </c>
      <c r="E8" s="15" t="str">
        <f>IFERROR(__xludf.DUMMYFUNCTION("""COMPUTED_VALUE"""),"UGC")</f>
        <v>UGC</v>
      </c>
      <c r="F8" s="15" t="str">
        <f>IFERROR(__xludf.DUMMYFUNCTION("""COMPUTED_VALUE"""),"Comparison")</f>
        <v>Comparison</v>
      </c>
      <c r="G8" s="15" t="b">
        <f>IFERROR(__xludf.DUMMYFUNCTION("""COMPUTED_VALUE"""),FALSE)</f>
        <v>0</v>
      </c>
      <c r="H8" s="15" t="str">
        <f>IFERROR(__xludf.DUMMYFUNCTION("""COMPUTED_VALUE"""),"Found, Exposure Ninja, Measured")</f>
        <v>Found, Exposure Ninja, Measured</v>
      </c>
      <c r="I8" s="15">
        <f>IFERROR(__xludf.DUMMYFUNCTION("""COMPUTED_VALUE"""),7.0)</f>
        <v>7</v>
      </c>
      <c r="J8" s="15">
        <f>IFERROR(__xludf.DUMMYFUNCTION("""COMPUTED_VALUE"""),0.01)</f>
        <v>0.01</v>
      </c>
      <c r="K8" s="15">
        <f>IFERROR(__xludf.DUMMYFUNCTION("""COMPUTED_VALUE"""),1.29)</f>
        <v>1.29</v>
      </c>
    </row>
    <row r="9" ht="15.75" customHeight="1">
      <c r="A9" s="14" t="str">
        <f>IFERROR(__xludf.DUMMYFUNCTION("""COMPUTED_VALUE"""),"https://www.marketingmary.ai/blog/marketing-attribution-models-guide")</f>
        <v>https://www.marketingmary.ai/blog/marketing-attribution-models-guide</v>
      </c>
      <c r="B9" s="15" t="str">
        <f>IFERROR(__xludf.DUMMYFUNCTION("""COMPUTED_VALUE"""),"Marketing Attribution Models 2026: Multi-Touch vs Last Click")</f>
        <v>Marketing Attribution Models 2026: Multi-Touch vs Last Click</v>
      </c>
      <c r="C9" s="14" t="str">
        <f>IFERROR(__xludf.DUMMYFUNCTION("""COMPUTED_VALUE"""),"marketingmary.ai")</f>
        <v>marketingmary.ai</v>
      </c>
      <c r="D9" s="15" t="str">
        <f>IFERROR(__xludf.DUMMYFUNCTION("""COMPUTED_VALUE"""),"COMPARISON")</f>
        <v>COMPARISON</v>
      </c>
      <c r="E9" s="15" t="str">
        <f>IFERROR(__xludf.DUMMYFUNCTION("""COMPUTED_VALUE"""),"CORPORATE")</f>
        <v>CORPORATE</v>
      </c>
      <c r="F9" s="15" t="str">
        <f>IFERROR(__xludf.DUMMYFUNCTION("""COMPUTED_VALUE"""),"Comparison")</f>
        <v>Comparison</v>
      </c>
      <c r="G9" s="15" t="b">
        <f>IFERROR(__xludf.DUMMYFUNCTION("""COMPUTED_VALUE"""),FALSE)</f>
        <v>0</v>
      </c>
      <c r="H9" s="15" t="str">
        <f>IFERROR(__xludf.DUMMYFUNCTION("""COMPUTED_VALUE"""),"Impression, Whitehat")</f>
        <v>Impression, Whitehat</v>
      </c>
      <c r="I9" s="15">
        <f>IFERROR(__xludf.DUMMYFUNCTION("""COMPUTED_VALUE"""),4.0)</f>
        <v>4</v>
      </c>
      <c r="J9" s="15">
        <f>IFERROR(__xludf.DUMMYFUNCTION("""COMPUTED_VALUE"""),0.0)</f>
        <v>0</v>
      </c>
      <c r="K9" s="15">
        <f>IFERROR(__xludf.DUMMYFUNCTION("""COMPUTED_VALUE"""),0.0)</f>
        <v>0</v>
      </c>
    </row>
    <row r="10" ht="15.75" customHeight="1">
      <c r="A10" s="14" t="str">
        <f>IFERROR(__xludf.DUMMYFUNCTION("""COMPUTED_VALUE"""),"https://www.rank4ai.co.uk/research/rankings/ai-search-agencies-compared/")</f>
        <v>https://www.rank4ai.co.uk/research/rankings/ai-search-agencies-compared/</v>
      </c>
      <c r="B10" s="15" t="str">
        <f>IFERROR(__xludf.DUMMYFUNCTION("""COMPUTED_VALUE"""),"AI Search Agencies Compared - UK 2026 | Rank4AI")</f>
        <v>AI Search Agencies Compared - UK 2026 | Rank4AI</v>
      </c>
      <c r="C10" s="14" t="str">
        <f>IFERROR(__xludf.DUMMYFUNCTION("""COMPUTED_VALUE"""),"rank4ai.co.uk")</f>
        <v>rank4ai.co.uk</v>
      </c>
      <c r="D10" s="15" t="str">
        <f>IFERROR(__xludf.DUMMYFUNCTION("""COMPUTED_VALUE"""),"COMPARISON")</f>
        <v>COMPARISON</v>
      </c>
      <c r="E10" s="15" t="str">
        <f>IFERROR(__xludf.DUMMYFUNCTION("""COMPUTED_VALUE"""),"COMPETITOR")</f>
        <v>COMPETITOR</v>
      </c>
      <c r="F10" s="15" t="str">
        <f>IFERROR(__xludf.DUMMYFUNCTION("""COMPUTED_VALUE"""),"Comparison")</f>
        <v>Comparison</v>
      </c>
      <c r="G10" s="15" t="b">
        <f>IFERROR(__xludf.DUMMYFUNCTION("""COMPUTED_VALUE"""),FALSE)</f>
        <v>0</v>
      </c>
      <c r="H10" s="15" t="str">
        <f>IFERROR(__xludf.DUMMYFUNCTION("""COMPUTED_VALUE"""),"Rank4AI, Found, Varn, Buried Agency, Hallam, Screaming Frog")</f>
        <v>Rank4AI, Found, Varn, Buried Agency, Hallam, Screaming Frog</v>
      </c>
      <c r="I10" s="15">
        <f>IFERROR(__xludf.DUMMYFUNCTION("""COMPUTED_VALUE"""),2.0)</f>
        <v>2</v>
      </c>
      <c r="J10" s="15">
        <f>IFERROR(__xludf.DUMMYFUNCTION("""COMPUTED_VALUE"""),0.0)</f>
        <v>0</v>
      </c>
      <c r="K10" s="15">
        <f>IFERROR(__xludf.DUMMYFUNCTION("""COMPUTED_VALUE"""),1.5)</f>
        <v>1.5</v>
      </c>
    </row>
    <row r="11" ht="15.75" customHeight="1">
      <c r="A11" s="14" t="str">
        <f>IFERROR(__xludf.DUMMYFUNCTION("""COMPUTED_VALUE"""),"https://spicyadvisory.com/blog/best-ai-consulting-firms-london-uk-2026")</f>
        <v>https://spicyadvisory.com/blog/best-ai-consulting-firms-london-uk-2026</v>
      </c>
      <c r="B11" s="15" t="str">
        <f>IFERROR(__xludf.DUMMYFUNCTION("""COMPUTED_VALUE"""),"Best AI Consulting Firms in London &amp;amp; the UK (2026): An Honest Comparison | Spicy Advisory")</f>
        <v>Best AI Consulting Firms in London &amp;amp; the UK (2026): An Honest Comparison | Spicy Advisory</v>
      </c>
      <c r="C11" s="14" t="str">
        <f>IFERROR(__xludf.DUMMYFUNCTION("""COMPUTED_VALUE"""),"spicyadvisory.com")</f>
        <v>spicyadvisory.com</v>
      </c>
      <c r="D11" s="15" t="str">
        <f>IFERROR(__xludf.DUMMYFUNCTION("""COMPUTED_VALUE"""),"COMPARISON")</f>
        <v>COMPARISON</v>
      </c>
      <c r="E11" s="15" t="str">
        <f>IFERROR(__xludf.DUMMYFUNCTION("""COMPUTED_VALUE"""),"CORPORATE")</f>
        <v>CORPORATE</v>
      </c>
      <c r="F11" s="15" t="str">
        <f>IFERROR(__xludf.DUMMYFUNCTION("""COMPUTED_VALUE"""),"Comparison")</f>
        <v>Comparison</v>
      </c>
      <c r="G11" s="15" t="b">
        <f>IFERROR(__xludf.DUMMYFUNCTION("""COMPUTED_VALUE"""),FALSE)</f>
        <v>0</v>
      </c>
      <c r="H11" s="15" t="str">
        <f>IFERROR(__xludf.DUMMYFUNCTION("""COMPUTED_VALUE"""),"QuantumBlack, Measured")</f>
        <v>QuantumBlack, Measured</v>
      </c>
      <c r="I11" s="15">
        <f>IFERROR(__xludf.DUMMYFUNCTION("""COMPUTED_VALUE"""),2.0)</f>
        <v>2</v>
      </c>
      <c r="J11" s="15">
        <f>IFERROR(__xludf.DUMMYFUNCTION("""COMPUTED_VALUE"""),0.0)</f>
        <v>0</v>
      </c>
      <c r="K11" s="15">
        <f>IFERROR(__xludf.DUMMYFUNCTION("""COMPUTED_VALUE"""),0.5)</f>
        <v>0.5</v>
      </c>
    </row>
    <row r="12" ht="15.75" customHeight="1">
      <c r="A12" s="14" t="str">
        <f>IFERROR(__xludf.DUMMYFUNCTION("""COMPUTED_VALUE"""),"https://trendfingers.com/signals/marketing-attribution-models-2026.html")</f>
        <v>https://trendfingers.com/signals/marketing-attribution-models-2026.html</v>
      </c>
      <c r="B12" s="15" t="str">
        <f>IFERROR(__xludf.DUMMYFUNCTION("""COMPUTED_VALUE"""),"Marketing Attribution Models in 2026: What Actually Works for UK Agencies | Trendfingers")</f>
        <v>Marketing Attribution Models in 2026: What Actually Works for UK Agencies | Trendfingers</v>
      </c>
      <c r="C12" s="14" t="str">
        <f>IFERROR(__xludf.DUMMYFUNCTION("""COMPUTED_VALUE"""),"trendfingers.com")</f>
        <v>trendfingers.com</v>
      </c>
      <c r="D12" s="15" t="str">
        <f>IFERROR(__xludf.DUMMYFUNCTION("""COMPUTED_VALUE"""),"COMPARISON")</f>
        <v>COMPARISON</v>
      </c>
      <c r="E12" s="15" t="str">
        <f>IFERROR(__xludf.DUMMYFUNCTION("""COMPUTED_VALUE"""),"CORPORATE")</f>
        <v>CORPORATE</v>
      </c>
      <c r="F12" s="15" t="str">
        <f>IFERROR(__xludf.DUMMYFUNCTION("""COMPUTED_VALUE"""),"Comparison")</f>
        <v>Comparison</v>
      </c>
      <c r="G12" s="15" t="b">
        <f>IFERROR(__xludf.DUMMYFUNCTION("""COMPUTED_VALUE"""),FALSE)</f>
        <v>0</v>
      </c>
      <c r="H12" s="15" t="str">
        <f>IFERROR(__xludf.DUMMYFUNCTION("""COMPUTED_VALUE"""),"Measured, Cometly, Found")</f>
        <v>Measured, Cometly, Found</v>
      </c>
      <c r="I12" s="15">
        <f>IFERROR(__xludf.DUMMYFUNCTION("""COMPUTED_VALUE"""),2.0)</f>
        <v>2</v>
      </c>
      <c r="J12" s="15">
        <f>IFERROR(__xludf.DUMMYFUNCTION("""COMPUTED_VALUE"""),0.0)</f>
        <v>0</v>
      </c>
      <c r="K12" s="15">
        <f>IFERROR(__xludf.DUMMYFUNCTION("""COMPUTED_VALUE"""),0.0)</f>
        <v>0</v>
      </c>
    </row>
    <row r="13" ht="15.75" customHeight="1">
      <c r="A13" s="14" t="str">
        <f>IFERROR(__xludf.DUMMYFUNCTION("""COMPUTED_VALUE"""),"https://agencylocator.io/r-ga-vs-accenture-interactive")</f>
        <v>https://agencylocator.io/r-ga-vs-accenture-interactive</v>
      </c>
      <c r="B13" s="15" t="str">
        <f>IFERROR(__xludf.DUMMYFUNCTION("""COMPUTED_VALUE"""),"R/GA vs AKQA: Which Digital Agency Suits Your Needs Best? · agencylocator")</f>
        <v>R/GA vs AKQA: Which Digital Agency Suits Your Needs Best? · agencylocator</v>
      </c>
      <c r="C13" s="14" t="str">
        <f>IFERROR(__xludf.DUMMYFUNCTION("""COMPUTED_VALUE"""),"agencylocator.io")</f>
        <v>agencylocator.io</v>
      </c>
      <c r="D13" s="15" t="str">
        <f>IFERROR(__xludf.DUMMYFUNCTION("""COMPUTED_VALUE"""),"COMPARISON")</f>
        <v>COMPARISON</v>
      </c>
      <c r="E13" s="15" t="str">
        <f>IFERROR(__xludf.DUMMYFUNCTION("""COMPUTED_VALUE"""),"CORPORATE")</f>
        <v>CORPORATE</v>
      </c>
      <c r="F13" s="15" t="str">
        <f>IFERROR(__xludf.DUMMYFUNCTION("""COMPUTED_VALUE"""),"Comparison")</f>
        <v>Comparison</v>
      </c>
      <c r="G13" s="15" t="b">
        <f>IFERROR(__xludf.DUMMYFUNCTION("""COMPUTED_VALUE"""),FALSE)</f>
        <v>0</v>
      </c>
      <c r="H13" s="15" t="str">
        <f>IFERROR(__xludf.DUMMYFUNCTION("""COMPUTED_VALUE"""),"AKQA, WPP, Deloitte Digital, Huge, Accenture Song, Push, Found")</f>
        <v>AKQA, WPP, Deloitte Digital, Huge, Accenture Song, Push, Found</v>
      </c>
      <c r="I13" s="15">
        <f>IFERROR(__xludf.DUMMYFUNCTION("""COMPUTED_VALUE"""),1.0)</f>
        <v>1</v>
      </c>
      <c r="J13" s="15">
        <f>IFERROR(__xludf.DUMMYFUNCTION("""COMPUTED_VALUE"""),0.0)</f>
        <v>0</v>
      </c>
      <c r="K13" s="15">
        <f>IFERROR(__xludf.DUMMYFUNCTION("""COMPUTED_VALUE"""),2.0)</f>
        <v>2</v>
      </c>
    </row>
    <row r="14" ht="15.75" customHeight="1">
      <c r="A14" s="14" t="str">
        <f>IFERROR(__xludf.DUMMYFUNCTION("""COMPUTED_VALUE"""),"https://agencylocator.io/rga-vs-sapient-nitro")</f>
        <v>https://agencylocator.io/rga-vs-sapient-nitro</v>
      </c>
      <c r="B14" s="15" t="str">
        <f>IFERROR(__xludf.DUMMYFUNCTION("""COMPUTED_VALUE"""),"R/GA vs AKQA: Agency Titans Compared for Digital Transformation · agencylocator")</f>
        <v>R/GA vs AKQA: Agency Titans Compared for Digital Transformation · agencylocator</v>
      </c>
      <c r="C14" s="14" t="str">
        <f>IFERROR(__xludf.DUMMYFUNCTION("""COMPUTED_VALUE"""),"agencylocator.io")</f>
        <v>agencylocator.io</v>
      </c>
      <c r="D14" s="15" t="str">
        <f>IFERROR(__xludf.DUMMYFUNCTION("""COMPUTED_VALUE"""),"COMPARISON")</f>
        <v>COMPARISON</v>
      </c>
      <c r="E14" s="15" t="str">
        <f>IFERROR(__xludf.DUMMYFUNCTION("""COMPUTED_VALUE"""),"CORPORATE")</f>
        <v>CORPORATE</v>
      </c>
      <c r="F14" s="15" t="str">
        <f>IFERROR(__xludf.DUMMYFUNCTION("""COMPUTED_VALUE"""),"Comparison")</f>
        <v>Comparison</v>
      </c>
      <c r="G14" s="15" t="b">
        <f>IFERROR(__xludf.DUMMYFUNCTION("""COMPUTED_VALUE"""),FALSE)</f>
        <v>0</v>
      </c>
      <c r="H14" s="15" t="str">
        <f>IFERROR(__xludf.DUMMYFUNCTION("""COMPUTED_VALUE"""),"AKQA, Deloitte Digital, WPP, Accenture Song, Push, Found, Huge, Power Digital")</f>
        <v>AKQA, Deloitte Digital, WPP, Accenture Song, Push, Found, Huge, Power Digital</v>
      </c>
      <c r="I14" s="15">
        <f>IFERROR(__xludf.DUMMYFUNCTION("""COMPUTED_VALUE"""),1.0)</f>
        <v>1</v>
      </c>
      <c r="J14" s="15">
        <f>IFERROR(__xludf.DUMMYFUNCTION("""COMPUTED_VALUE"""),0.0)</f>
        <v>0</v>
      </c>
      <c r="K14" s="15">
        <f>IFERROR(__xludf.DUMMYFUNCTION("""COMPUTED_VALUE"""),0.0)</f>
        <v>0</v>
      </c>
    </row>
    <row r="15" ht="15.75" customHeight="1">
      <c r="A15" s="14" t="str">
        <f>IFERROR(__xludf.DUMMYFUNCTION("""COMPUTED_VALUE"""),"https://www.freshegg.co.uk/analytics/google-analytics-360/")</f>
        <v>https://www.freshegg.co.uk/analytics/google-analytics-360/</v>
      </c>
      <c r="B15" s="15" t="str">
        <f>IFERROR(__xludf.DUMMYFUNCTION("""COMPUTED_VALUE"""),"Google Analytics Agency \| GA4 Services and Support \| Fresh Egg \| Fresh Egg")</f>
        <v>Google Analytics Agency \| GA4 Services and Support \| Fresh Egg \| Fresh Egg</v>
      </c>
      <c r="C15" s="14" t="str">
        <f>IFERROR(__xludf.DUMMYFUNCTION("""COMPUTED_VALUE"""),"freshegg.co.uk")</f>
        <v>freshegg.co.uk</v>
      </c>
      <c r="D15" s="15" t="str">
        <f>IFERROR(__xludf.DUMMYFUNCTION("""COMPUTED_VALUE"""),"COMPARISON")</f>
        <v>COMPARISON</v>
      </c>
      <c r="E15" s="15" t="str">
        <f>IFERROR(__xludf.DUMMYFUNCTION("""COMPUTED_VALUE"""),"CORPORATE")</f>
        <v>CORPORATE</v>
      </c>
      <c r="F15" s="15" t="str">
        <f>IFERROR(__xludf.DUMMYFUNCTION("""COMPUTED_VALUE"""),"Comparison")</f>
        <v>Comparison</v>
      </c>
      <c r="G15" s="15" t="b">
        <f>IFERROR(__xludf.DUMMYFUNCTION("""COMPUTED_VALUE"""),FALSE)</f>
        <v>0</v>
      </c>
      <c r="H15" s="15"/>
      <c r="I15" s="15">
        <f>IFERROR(__xludf.DUMMYFUNCTION("""COMPUTED_VALUE"""),1.0)</f>
        <v>1</v>
      </c>
      <c r="J15" s="15">
        <f>IFERROR(__xludf.DUMMYFUNCTION("""COMPUTED_VALUE"""),0.0)</f>
        <v>0</v>
      </c>
      <c r="K15" s="15">
        <f>IFERROR(__xludf.DUMMYFUNCTION("""COMPUTED_VALUE"""),1.0)</f>
        <v>1</v>
      </c>
    </row>
    <row r="16" ht="15.75" customHeight="1">
      <c r="A16" s="14" t="str">
        <f>IFERROR(__xludf.DUMMYFUNCTION("""COMPUTED_VALUE"""),"https://improvado.io/blog/multi-touch-attribution-solutions")</f>
        <v>https://improvado.io/blog/multi-touch-attribution-solutions</v>
      </c>
      <c r="B16" s="15" t="str">
        <f>IFERROR(__xludf.DUMMYFUNCTION("""COMPUTED_VALUE"""),"12 Best Multi-Touch Attribution Solutions (2026)")</f>
        <v>12 Best Multi-Touch Attribution Solutions (2026)</v>
      </c>
      <c r="C16" s="14" t="str">
        <f>IFERROR(__xludf.DUMMYFUNCTION("""COMPUTED_VALUE"""),"improvado.io")</f>
        <v>improvado.io</v>
      </c>
      <c r="D16" s="15" t="str">
        <f>IFERROR(__xludf.DUMMYFUNCTION("""COMPUTED_VALUE"""),"COMPARISON")</f>
        <v>COMPARISON</v>
      </c>
      <c r="E16" s="15" t="str">
        <f>IFERROR(__xludf.DUMMYFUNCTION("""COMPUTED_VALUE"""),"CORPORATE")</f>
        <v>CORPORATE</v>
      </c>
      <c r="F16" s="15" t="str">
        <f>IFERROR(__xludf.DUMMYFUNCTION("""COMPUTED_VALUE"""),"Comparison")</f>
        <v>Comparison</v>
      </c>
      <c r="G16" s="15" t="b">
        <f>IFERROR(__xludf.DUMMYFUNCTION("""COMPUTED_VALUE"""),FALSE)</f>
        <v>0</v>
      </c>
      <c r="H16" s="15" t="str">
        <f>IFERROR(__xludf.DUMMYFUNCTION("""COMPUTED_VALUE"""),"Rockerbox, Triple Whale, SegmentStream, Northbeam, Ruler Analytics, Neustar")</f>
        <v>Rockerbox, Triple Whale, SegmentStream, Northbeam, Ruler Analytics, Neustar</v>
      </c>
      <c r="I16" s="15">
        <f>IFERROR(__xludf.DUMMYFUNCTION("""COMPUTED_VALUE"""),1.0)</f>
        <v>1</v>
      </c>
      <c r="J16" s="15">
        <f>IFERROR(__xludf.DUMMYFUNCTION("""COMPUTED_VALUE"""),0.0)</f>
        <v>0</v>
      </c>
      <c r="K16" s="15">
        <f>IFERROR(__xludf.DUMMYFUNCTION("""COMPUTED_VALUE"""),2.0)</f>
        <v>2</v>
      </c>
    </row>
    <row r="17" ht="15.75" customHeight="1">
      <c r="A17" s="14" t="str">
        <f>IFERROR(__xludf.DUMMYFUNCTION("""COMPUTED_VALUE"""),"https://insight.atlas-mapping.com/blog/top-8-gis-mapping-companies")</f>
        <v>https://insight.atlas-mapping.com/blog/top-8-gis-mapping-companies</v>
      </c>
      <c r="B17" s="15" t="str">
        <f>IFERROR(__xludf.DUMMYFUNCTION("""COMPUTED_VALUE"""),"Top 8 GIS Mapping Companies (2026)")</f>
        <v>Top 8 GIS Mapping Companies (2026)</v>
      </c>
      <c r="C17" s="14" t="str">
        <f>IFERROR(__xludf.DUMMYFUNCTION("""COMPUTED_VALUE"""),"atlas-mapping.com")</f>
        <v>atlas-mapping.com</v>
      </c>
      <c r="D17" s="15" t="str">
        <f>IFERROR(__xludf.DUMMYFUNCTION("""COMPUTED_VALUE"""),"COMPARISON")</f>
        <v>COMPARISON</v>
      </c>
      <c r="E17" s="15" t="str">
        <f>IFERROR(__xludf.DUMMYFUNCTION("""COMPUTED_VALUE"""),"CORPORATE")</f>
        <v>CORPORATE</v>
      </c>
      <c r="F17" s="15" t="str">
        <f>IFERROR(__xludf.DUMMYFUNCTION("""COMPUTED_VALUE"""),"Comparison")</f>
        <v>Comparison</v>
      </c>
      <c r="G17" s="15" t="b">
        <f>IFERROR(__xludf.DUMMYFUNCTION("""COMPUTED_VALUE"""),FALSE)</f>
        <v>0</v>
      </c>
      <c r="H17" s="15"/>
      <c r="I17" s="15">
        <f>IFERROR(__xludf.DUMMYFUNCTION("""COMPUTED_VALUE"""),1.0)</f>
        <v>1</v>
      </c>
      <c r="J17" s="15">
        <f>IFERROR(__xludf.DUMMYFUNCTION("""COMPUTED_VALUE"""),0.0)</f>
        <v>0</v>
      </c>
      <c r="K17" s="15">
        <f>IFERROR(__xludf.DUMMYFUNCTION("""COMPUTED_VALUE"""),0.0)</f>
        <v>0</v>
      </c>
    </row>
    <row r="18" ht="15.75" customHeight="1">
      <c r="A18" s="14" t="str">
        <f>IFERROR(__xludf.DUMMYFUNCTION("""COMPUTED_VALUE"""),"https://www.medianug.com/blog/paid-social-advertising-agency-vs-performance-marketing-agency-which-does-your-business-actually-need")</f>
        <v>https://www.medianug.com/blog/paid-social-advertising-agency-vs-performance-marketing-agency-which-does-your-business-actually-need</v>
      </c>
      <c r="B18" s="15" t="str">
        <f>IFERROR(__xludf.DUMMYFUNCTION("""COMPUTED_VALUE"""),"Paid Social Advertising Agency vs. Performance Marketing Agency: Which Does Your Business Actually Need?")</f>
        <v>Paid Social Advertising Agency vs. Performance Marketing Agency: Which Does Your Business Actually Need?</v>
      </c>
      <c r="C18" s="14" t="str">
        <f>IFERROR(__xludf.DUMMYFUNCTION("""COMPUTED_VALUE"""),"medianug.com")</f>
        <v>medianug.com</v>
      </c>
      <c r="D18" s="15" t="str">
        <f>IFERROR(__xludf.DUMMYFUNCTION("""COMPUTED_VALUE"""),"COMPARISON")</f>
        <v>COMPARISON</v>
      </c>
      <c r="E18" s="15" t="str">
        <f>IFERROR(__xludf.DUMMYFUNCTION("""COMPUTED_VALUE"""),"OTHER")</f>
        <v>OTHER</v>
      </c>
      <c r="F18" s="15" t="str">
        <f>IFERROR(__xludf.DUMMYFUNCTION("""COMPUTED_VALUE"""),"Comparison")</f>
        <v>Comparison</v>
      </c>
      <c r="G18" s="15" t="b">
        <f>IFERROR(__xludf.DUMMYFUNCTION("""COMPUTED_VALUE"""),FALSE)</f>
        <v>0</v>
      </c>
      <c r="H18" s="15" t="str">
        <f>IFERROR(__xludf.DUMMYFUNCTION("""COMPUTED_VALUE"""),"Momentum, Found")</f>
        <v>Momentum, Found</v>
      </c>
      <c r="I18" s="15">
        <f>IFERROR(__xludf.DUMMYFUNCTION("""COMPUTED_VALUE"""),1.0)</f>
        <v>1</v>
      </c>
      <c r="J18" s="15">
        <f>IFERROR(__xludf.DUMMYFUNCTION("""COMPUTED_VALUE"""),0.0)</f>
        <v>0</v>
      </c>
      <c r="K18" s="15">
        <f>IFERROR(__xludf.DUMMYFUNCTION("""COMPUTED_VALUE"""),1.0)</f>
        <v>1</v>
      </c>
    </row>
    <row r="19" ht="15.75" customHeight="1">
      <c r="A19" s="14" t="str">
        <f>IFERROR(__xludf.DUMMYFUNCTION("""COMPUTED_VALUE"""),"https://neuraladx.com/comparison-of-the-top-10-generative-engine-optimisation-geo-service-agencies-2026/")</f>
        <v>https://neuraladx.com/comparison-of-the-top-10-generative-engine-optimisation-geo-service-agencies-2026/</v>
      </c>
      <c r="B19" s="15" t="str">
        <f>IFERROR(__xludf.DUMMYFUNCTION("""COMPUTED_VALUE"""),"Comparison of the Top 10 Generative Engine Optimisation (GEO) Service Agencies (2026) - NeuralAdX Ltd")</f>
        <v>Comparison of the Top 10 Generative Engine Optimisation (GEO) Service Agencies (2026) - NeuralAdX Ltd</v>
      </c>
      <c r="C19" s="14" t="str">
        <f>IFERROR(__xludf.DUMMYFUNCTION("""COMPUTED_VALUE"""),"neuraladx.com")</f>
        <v>neuraladx.com</v>
      </c>
      <c r="D19" s="15" t="str">
        <f>IFERROR(__xludf.DUMMYFUNCTION("""COMPUTED_VALUE"""),"COMPARISON")</f>
        <v>COMPARISON</v>
      </c>
      <c r="E19" s="15" t="str">
        <f>IFERROR(__xludf.DUMMYFUNCTION("""COMPUTED_VALUE"""),"UGC")</f>
        <v>UGC</v>
      </c>
      <c r="F19" s="15" t="str">
        <f>IFERROR(__xludf.DUMMYFUNCTION("""COMPUTED_VALUE"""),"Comparison")</f>
        <v>Comparison</v>
      </c>
      <c r="G19" s="15" t="b">
        <f>IFERROR(__xludf.DUMMYFUNCTION("""COMPUTED_VALUE"""),FALSE)</f>
        <v>0</v>
      </c>
      <c r="H19" s="15" t="str">
        <f>IFERROR(__xludf.DUMMYFUNCTION("""COMPUTED_VALUE"""),"Varn, Impression, Exposure Ninja, Click Intelligence, Measured")</f>
        <v>Varn, Impression, Exposure Ninja, Click Intelligence, Measured</v>
      </c>
      <c r="I19" s="15">
        <f>IFERROR(__xludf.DUMMYFUNCTION("""COMPUTED_VALUE"""),1.0)</f>
        <v>1</v>
      </c>
      <c r="J19" s="15">
        <f>IFERROR(__xludf.DUMMYFUNCTION("""COMPUTED_VALUE"""),0.0)</f>
        <v>0</v>
      </c>
      <c r="K19" s="15">
        <f>IFERROR(__xludf.DUMMYFUNCTION("""COMPUTED_VALUE"""),0.0)</f>
        <v>0</v>
      </c>
    </row>
    <row r="20" ht="15.75" customHeight="1">
      <c r="A20" s="14" t="str">
        <f>IFERROR(__xludf.DUMMYFUNCTION("""COMPUTED_VALUE"""),"https://www.objectiveplatform.com/blog/marketing-mix-modelling-solutions-compared")</f>
        <v>https://www.objectiveplatform.com/blog/marketing-mix-modelling-solutions-compared</v>
      </c>
      <c r="B20" s="15" t="str">
        <f>IFERROR(__xludf.DUMMYFUNCTION("""COMPUTED_VALUE"""),"Marketing Mix Modelling Solutions Compared 2026")</f>
        <v>Marketing Mix Modelling Solutions Compared 2026</v>
      </c>
      <c r="C20" s="14" t="str">
        <f>IFERROR(__xludf.DUMMYFUNCTION("""COMPUTED_VALUE"""),"objectiveplatform.com")</f>
        <v>objectiveplatform.com</v>
      </c>
      <c r="D20" s="15" t="str">
        <f>IFERROR(__xludf.DUMMYFUNCTION("""COMPUTED_VALUE"""),"COMPARISON")</f>
        <v>COMPARISON</v>
      </c>
      <c r="E20" s="15" t="str">
        <f>IFERROR(__xludf.DUMMYFUNCTION("""COMPUTED_VALUE"""),"CORPORATE")</f>
        <v>CORPORATE</v>
      </c>
      <c r="F20" s="15" t="str">
        <f>IFERROR(__xludf.DUMMYFUNCTION("""COMPUTED_VALUE"""),"Comparison")</f>
        <v>Comparison</v>
      </c>
      <c r="G20" s="15" t="b">
        <f>IFERROR(__xludf.DUMMYFUNCTION("""COMPUTED_VALUE"""),FALSE)</f>
        <v>0</v>
      </c>
      <c r="H20" s="15" t="str">
        <f>IFERROR(__xludf.DUMMYFUNCTION("""COMPUTED_VALUE"""),"Analytic Partners, Gain Theory, Ekimetrics, Kantar, Merkle, Measured, WPP")</f>
        <v>Analytic Partners, Gain Theory, Ekimetrics, Kantar, Merkle, Measured, WPP</v>
      </c>
      <c r="I20" s="15">
        <f>IFERROR(__xludf.DUMMYFUNCTION("""COMPUTED_VALUE"""),1.0)</f>
        <v>1</v>
      </c>
      <c r="J20" s="15">
        <f>IFERROR(__xludf.DUMMYFUNCTION("""COMPUTED_VALUE"""),0.0)</f>
        <v>0</v>
      </c>
      <c r="K20" s="15">
        <f>IFERROR(__xludf.DUMMYFUNCTION("""COMPUTED_VALUE"""),1.0)</f>
        <v>1</v>
      </c>
    </row>
    <row r="21" ht="15.75" customHeight="1">
      <c r="A21" s="14" t="str">
        <f>IFERROR(__xludf.DUMMYFUNCTION("""COMPUTED_VALUE"""),"https://presenc.ai/compare/measured-vs-haus-vs-statsig")</f>
        <v>https://presenc.ai/compare/measured-vs-haus-vs-statsig</v>
      </c>
      <c r="B21" s="15" t="str">
        <f>IFERROR(__xludf.DUMMYFUNCTION("""COMPUTED_VALUE"""),"Measured vs Haus vs Statsig: Lift Testing Vendors | Presenc AI")</f>
        <v>Measured vs Haus vs Statsig: Lift Testing Vendors | Presenc AI</v>
      </c>
      <c r="C21" s="14" t="str">
        <f>IFERROR(__xludf.DUMMYFUNCTION("""COMPUTED_VALUE"""),"presenc.ai")</f>
        <v>presenc.ai</v>
      </c>
      <c r="D21" s="15" t="str">
        <f>IFERROR(__xludf.DUMMYFUNCTION("""COMPUTED_VALUE"""),"COMPARISON")</f>
        <v>COMPARISON</v>
      </c>
      <c r="E21" s="15" t="str">
        <f>IFERROR(__xludf.DUMMYFUNCTION("""COMPUTED_VALUE"""),"CORPORATE")</f>
        <v>CORPORATE</v>
      </c>
      <c r="F21" s="15" t="str">
        <f>IFERROR(__xludf.DUMMYFUNCTION("""COMPUTED_VALUE"""),"Comparison")</f>
        <v>Comparison</v>
      </c>
      <c r="G21" s="15" t="b">
        <f>IFERROR(__xludf.DUMMYFUNCTION("""COMPUTED_VALUE"""),FALSE)</f>
        <v>0</v>
      </c>
      <c r="H21" s="15" t="str">
        <f>IFERROR(__xludf.DUMMYFUNCTION("""COMPUTED_VALUE"""),"Measured, Haus")</f>
        <v>Measured, Haus</v>
      </c>
      <c r="I21" s="15">
        <f>IFERROR(__xludf.DUMMYFUNCTION("""COMPUTED_VALUE"""),1.0)</f>
        <v>1</v>
      </c>
      <c r="J21" s="15">
        <f>IFERROR(__xludf.DUMMYFUNCTION("""COMPUTED_VALUE"""),0.0)</f>
        <v>0</v>
      </c>
      <c r="K21" s="15">
        <f>IFERROR(__xludf.DUMMYFUNCTION("""COMPUTED_VALUE"""),0.0)</f>
        <v>0</v>
      </c>
    </row>
    <row r="22" ht="15.75" customHeight="1">
      <c r="A22" s="14" t="str">
        <f>IFERROR(__xludf.DUMMYFUNCTION("""COMPUTED_VALUE"""),"https://www.rank4ai.co.uk/research/rankings/ai-seo-agency-comparison-uk/")</f>
        <v>https://www.rank4ai.co.uk/research/rankings/ai-seo-agency-comparison-uk/</v>
      </c>
      <c r="B22" s="15" t="str">
        <f>IFERROR(__xludf.DUMMYFUNCTION("""COMPUTED_VALUE"""),"AI SEO Agency Comparison UK 2026 | Rank4AI")</f>
        <v>AI SEO Agency Comparison UK 2026 | Rank4AI</v>
      </c>
      <c r="C22" s="14" t="str">
        <f>IFERROR(__xludf.DUMMYFUNCTION("""COMPUTED_VALUE"""),"rank4ai.co.uk")</f>
        <v>rank4ai.co.uk</v>
      </c>
      <c r="D22" s="15" t="str">
        <f>IFERROR(__xludf.DUMMYFUNCTION("""COMPUTED_VALUE"""),"COMPARISON")</f>
        <v>COMPARISON</v>
      </c>
      <c r="E22" s="15" t="str">
        <f>IFERROR(__xludf.DUMMYFUNCTION("""COMPUTED_VALUE"""),"COMPETITOR")</f>
        <v>COMPETITOR</v>
      </c>
      <c r="F22" s="15" t="str">
        <f>IFERROR(__xludf.DUMMYFUNCTION("""COMPUTED_VALUE"""),"Comparison")</f>
        <v>Comparison</v>
      </c>
      <c r="G22" s="15" t="b">
        <f>IFERROR(__xludf.DUMMYFUNCTION("""COMPUTED_VALUE"""),FALSE)</f>
        <v>0</v>
      </c>
      <c r="H22" s="15" t="str">
        <f>IFERROR(__xludf.DUMMYFUNCTION("""COMPUTED_VALUE"""),"Rank4AI, Varn, Found, Blue Array, Buried Agency, Screaming Frog, Exposure Ninja")</f>
        <v>Rank4AI, Varn, Found, Blue Array, Buried Agency, Screaming Frog, Exposure Ninja</v>
      </c>
      <c r="I22" s="15">
        <f>IFERROR(__xludf.DUMMYFUNCTION("""COMPUTED_VALUE"""),1.0)</f>
        <v>1</v>
      </c>
      <c r="J22" s="15">
        <f>IFERROR(__xludf.DUMMYFUNCTION("""COMPUTED_VALUE"""),0.0)</f>
        <v>0</v>
      </c>
      <c r="K22" s="15">
        <f>IFERROR(__xludf.DUMMYFUNCTION("""COMPUTED_VALUE"""),4.0)</f>
        <v>4</v>
      </c>
    </row>
    <row r="23" ht="15.75" customHeight="1">
      <c r="A23" s="14" t="str">
        <f>IFERROR(__xludf.DUMMYFUNCTION("""COMPUTED_VALUE"""),"https://www.rank4ai.co.uk/research/rankings/geo-vs-aeo-agencies-uk/")</f>
        <v>https://www.rank4ai.co.uk/research/rankings/geo-vs-aeo-agencies-uk/</v>
      </c>
      <c r="B23" s="15" t="str">
        <f>IFERROR(__xludf.DUMMYFUNCTION("""COMPUTED_VALUE"""),"GEO vs AEO Agencies UK 2026 | Rank4AI")</f>
        <v>GEO vs AEO Agencies UK 2026 | Rank4AI</v>
      </c>
      <c r="C23" s="14" t="str">
        <f>IFERROR(__xludf.DUMMYFUNCTION("""COMPUTED_VALUE"""),"rank4ai.co.uk")</f>
        <v>rank4ai.co.uk</v>
      </c>
      <c r="D23" s="15" t="str">
        <f>IFERROR(__xludf.DUMMYFUNCTION("""COMPUTED_VALUE"""),"COMPARISON")</f>
        <v>COMPARISON</v>
      </c>
      <c r="E23" s="15" t="str">
        <f>IFERROR(__xludf.DUMMYFUNCTION("""COMPUTED_VALUE"""),"COMPETITOR")</f>
        <v>COMPETITOR</v>
      </c>
      <c r="F23" s="15" t="str">
        <f>IFERROR(__xludf.DUMMYFUNCTION("""COMPUTED_VALUE"""),"Comparison")</f>
        <v>Comparison</v>
      </c>
      <c r="G23" s="15" t="b">
        <f>IFERROR(__xludf.DUMMYFUNCTION("""COMPUTED_VALUE"""),FALSE)</f>
        <v>0</v>
      </c>
      <c r="H23" s="15" t="str">
        <f>IFERROR(__xludf.DUMMYFUNCTION("""COMPUTED_VALUE"""),"Rank4AI, Measured, Found")</f>
        <v>Rank4AI, Measured, Found</v>
      </c>
      <c r="I23" s="15">
        <f>IFERROR(__xludf.DUMMYFUNCTION("""COMPUTED_VALUE"""),1.0)</f>
        <v>1</v>
      </c>
      <c r="J23" s="15">
        <f>IFERROR(__xludf.DUMMYFUNCTION("""COMPUTED_VALUE"""),0.0)</f>
        <v>0</v>
      </c>
      <c r="K23" s="15">
        <f>IFERROR(__xludf.DUMMYFUNCTION("""COMPUTED_VALUE"""),0.0)</f>
        <v>0</v>
      </c>
    </row>
    <row r="24" ht="15.75" customHeight="1">
      <c r="A24" s="14" t="str">
        <f>IFERROR(__xludf.DUMMYFUNCTION("""COMPUTED_VALUE"""),"https://www.thetimes.co.uk/article/wpp-publicis-or-omnicom-ipg-which-is-the-best-buy-in-adland-3hfhgjl6m")</f>
        <v>https://www.thetimes.co.uk/article/wpp-publicis-or-omnicom-ipg-which-is-the-best-buy-in-adland-3hfhgjl6m</v>
      </c>
      <c r="B24" s="15" t="str">
        <f>IFERROR(__xludf.DUMMYFUNCTION("""COMPUTED_VALUE"""),"WPP, Publicis or Omnicom-IPG: which is the best buy in adland?")</f>
        <v>WPP, Publicis or Omnicom-IPG: which is the best buy in adland?</v>
      </c>
      <c r="C24" s="14" t="str">
        <f>IFERROR(__xludf.DUMMYFUNCTION("""COMPUTED_VALUE"""),"thetimes.co.uk")</f>
        <v>thetimes.co.uk</v>
      </c>
      <c r="D24" s="15" t="str">
        <f>IFERROR(__xludf.DUMMYFUNCTION("""COMPUTED_VALUE"""),"COMPARISON")</f>
        <v>COMPARISON</v>
      </c>
      <c r="E24" s="15" t="str">
        <f>IFERROR(__xludf.DUMMYFUNCTION("""COMPUTED_VALUE"""),"EDITORIAL")</f>
        <v>EDITORIAL</v>
      </c>
      <c r="F24" s="15" t="str">
        <f>IFERROR(__xludf.DUMMYFUNCTION("""COMPUTED_VALUE"""),"Comparison")</f>
        <v>Comparison</v>
      </c>
      <c r="G24" s="15" t="b">
        <f>IFERROR(__xludf.DUMMYFUNCTION("""COMPUTED_VALUE"""),FALSE)</f>
        <v>0</v>
      </c>
      <c r="H24" s="15" t="str">
        <f>IFERROR(__xludf.DUMMYFUNCTION("""COMPUTED_VALUE"""),"WPP, Omnicom")</f>
        <v>WPP, Omnicom</v>
      </c>
      <c r="I24" s="15">
        <f>IFERROR(__xludf.DUMMYFUNCTION("""COMPUTED_VALUE"""),1.0)</f>
        <v>1</v>
      </c>
      <c r="J24" s="15">
        <f>IFERROR(__xludf.DUMMYFUNCTION("""COMPUTED_VALUE"""),0.0)</f>
        <v>0</v>
      </c>
      <c r="K24" s="15">
        <f>IFERROR(__xludf.DUMMYFUNCTION("""COMPUTED_VALUE"""),1.0)</f>
        <v>1</v>
      </c>
    </row>
    <row r="25" ht="15.75" customHeight="1">
      <c r="A25" s="14" t="str">
        <f>IFERROR(__xludf.DUMMYFUNCTION("""COMPUTED_VALUE"""),"https://www.tilio.co.uk/geo-agency")</f>
        <v>https://www.tilio.co.uk/geo-agency</v>
      </c>
      <c r="B25" s="15" t="str">
        <f>IFERROR(__xludf.DUMMYFUNCTION("""COMPUTED_VALUE"""),"GEO agency UK | Generative engine optimisation services | Tilio")</f>
        <v>GEO agency UK | Generative engine optimisation services | Tilio</v>
      </c>
      <c r="C25" s="14" t="str">
        <f>IFERROR(__xludf.DUMMYFUNCTION("""COMPUTED_VALUE"""),"tilio.co.uk")</f>
        <v>tilio.co.uk</v>
      </c>
      <c r="D25" s="15" t="str">
        <f>IFERROR(__xludf.DUMMYFUNCTION("""COMPUTED_VALUE"""),"COMPARISON")</f>
        <v>COMPARISON</v>
      </c>
      <c r="E25" s="15" t="str">
        <f>IFERROR(__xludf.DUMMYFUNCTION("""COMPUTED_VALUE"""),"COMPETITOR")</f>
        <v>COMPETITOR</v>
      </c>
      <c r="F25" s="15" t="str">
        <f>IFERROR(__xludf.DUMMYFUNCTION("""COMPUTED_VALUE"""),"Comparison")</f>
        <v>Comparison</v>
      </c>
      <c r="G25" s="15" t="b">
        <f>IFERROR(__xludf.DUMMYFUNCTION("""COMPUTED_VALUE"""),FALSE)</f>
        <v>0</v>
      </c>
      <c r="H25" s="15" t="str">
        <f>IFERROR(__xludf.DUMMYFUNCTION("""COMPUTED_VALUE"""),"Tilio, Measured, Found")</f>
        <v>Tilio, Measured, Found</v>
      </c>
      <c r="I25" s="15">
        <f>IFERROR(__xludf.DUMMYFUNCTION("""COMPUTED_VALUE"""),1.0)</f>
        <v>1</v>
      </c>
      <c r="J25" s="15">
        <f>IFERROR(__xludf.DUMMYFUNCTION("""COMPUTED_VALUE"""),0.0)</f>
        <v>0</v>
      </c>
      <c r="K25" s="15">
        <f>IFERROR(__xludf.DUMMYFUNCTION("""COMPUTED_VALUE"""),1.0)</f>
        <v>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s>
  <drawing r:id="rId4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77.25"/>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All'!D2:D1000)))=""discussion""
  ),
  """"
)"),"https://www.reddit.com/r/advertising/comments/n8z67i/best_uk_based_agencies/")</f>
        <v>https://www.reddit.com/r/advertising/comments/n8z67i/best_uk_based_agencies/</v>
      </c>
      <c r="B2" s="15" t="str">
        <f>IFERROR(__xludf.DUMMYFUNCTION("""COMPUTED_VALUE"""),"Best UK Based Agencies?")</f>
        <v>Best UK Based Agencies?</v>
      </c>
      <c r="C2" s="14" t="str">
        <f>IFERROR(__xludf.DUMMYFUNCTION("""COMPUTED_VALUE"""),"reddit.com")</f>
        <v>reddit.com</v>
      </c>
      <c r="D2" s="15" t="str">
        <f>IFERROR(__xludf.DUMMYFUNCTION("""COMPUTED_VALUE"""),"DISCUSSION")</f>
        <v>DISCUSSION</v>
      </c>
      <c r="E2" s="15" t="str">
        <f>IFERROR(__xludf.DUMMYFUNCTION("""COMPUTED_VALUE"""),"UGC")</f>
        <v>UGC</v>
      </c>
      <c r="F2" s="15" t="str">
        <f>IFERROR(__xludf.DUMMYFUNCTION("""COMPUTED_VALUE"""),"Discussion")</f>
        <v>Discussion</v>
      </c>
      <c r="G2" s="15" t="b">
        <f>IFERROR(__xludf.DUMMYFUNCTION("""COMPUTED_VALUE"""),FALSE)</f>
        <v>0</v>
      </c>
      <c r="H2" s="15" t="str">
        <f>IFERROR(__xludf.DUMMYFUNCTION("""COMPUTED_VALUE"""),"Lucky Generals, AMV BBDO, VCCP, Uncommon Creative Studio, Mother London, BBH London")</f>
        <v>Lucky Generals, AMV BBDO, VCCP, Uncommon Creative Studio, Mother London, BBH London</v>
      </c>
      <c r="I2" s="15">
        <f>IFERROR(__xludf.DUMMYFUNCTION("""COMPUTED_VALUE"""),14.0)</f>
        <v>14</v>
      </c>
      <c r="J2" s="15">
        <f>IFERROR(__xludf.DUMMYFUNCTION("""COMPUTED_VALUE"""),0.01)</f>
        <v>0.01</v>
      </c>
      <c r="K2" s="15">
        <f>IFERROR(__xludf.DUMMYFUNCTION("""COMPUTED_VALUE"""),1.21)</f>
        <v>1.21</v>
      </c>
    </row>
    <row r="3" ht="15.75" customHeight="1">
      <c r="A3" s="14" t="str">
        <f>IFERROR(__xludf.DUMMYFUNCTION("""COMPUTED_VALUE"""),"https://www.reddit.com/r/Superframeworks/comments/1twfxf1/10_best_ai_seo_geoaeo_agencies_for_2026_no/")</f>
        <v>https://www.reddit.com/r/Superframeworks/comments/1twfxf1/10_best_ai_seo_geoaeo_agencies_for_2026_no/</v>
      </c>
      <c r="B3" s="15" t="str">
        <f>IFERROR(__xludf.DUMMYFUNCTION("""COMPUTED_VALUE"""),"10 Best AI SEO (GEO/AEO) Agencies for 2026: No Self-Ranking, Verified by Clutch Reviews and Real AI-Citation Proof")</f>
        <v>10 Best AI SEO (GEO/AEO) Agencies for 2026: No Self-Ranking, Verified by Clutch Reviews and Real AI-Citation Proof</v>
      </c>
      <c r="C3" s="14" t="str">
        <f>IFERROR(__xludf.DUMMYFUNCTION("""COMPUTED_VALUE"""),"reddit.com")</f>
        <v>reddit.com</v>
      </c>
      <c r="D3" s="15" t="str">
        <f>IFERROR(__xludf.DUMMYFUNCTION("""COMPUTED_VALUE"""),"DISCUSSION")</f>
        <v>DISCUSSION</v>
      </c>
      <c r="E3" s="15" t="str">
        <f>IFERROR(__xludf.DUMMYFUNCTION("""COMPUTED_VALUE"""),"UGC")</f>
        <v>UGC</v>
      </c>
      <c r="F3" s="15" t="str">
        <f>IFERROR(__xludf.DUMMYFUNCTION("""COMPUTED_VALUE"""),"Discussion")</f>
        <v>Discussion</v>
      </c>
      <c r="G3" s="15" t="b">
        <f>IFERROR(__xludf.DUMMYFUNCTION("""COMPUTED_VALUE"""),FALSE)</f>
        <v>0</v>
      </c>
      <c r="H3" s="15" t="str">
        <f>IFERROR(__xludf.DUMMYFUNCTION("""COMPUTED_VALUE"""),"Single Grain, NoGood")</f>
        <v>Single Grain, NoGood</v>
      </c>
      <c r="I3" s="15">
        <f>IFERROR(__xludf.DUMMYFUNCTION("""COMPUTED_VALUE"""),8.0)</f>
        <v>8</v>
      </c>
      <c r="J3" s="15">
        <f>IFERROR(__xludf.DUMMYFUNCTION("""COMPUTED_VALUE"""),0.01)</f>
        <v>0.01</v>
      </c>
      <c r="K3" s="15">
        <f>IFERROR(__xludf.DUMMYFUNCTION("""COMPUTED_VALUE"""),2.0)</f>
        <v>2</v>
      </c>
    </row>
    <row r="4" ht="15.75" customHeight="1">
      <c r="A4" s="14" t="str">
        <f>IFERROR(__xludf.DUMMYFUNCTION("""COMPUTED_VALUE"""),"https://www.reddit.com/r/Topagencies/comments/1spi0q0/top_ppc_agencies_in_england_packages_pricing_cost/")</f>
        <v>https://www.reddit.com/r/Topagencies/comments/1spi0q0/top_ppc_agencies_in_england_packages_pricing_cost/</v>
      </c>
      <c r="B4" s="15" t="str">
        <f>IFERROR(__xludf.DUMMYFUNCTION("""COMPUTED_VALUE"""),"Top PPC Agencies in England — Packages, Pricing, Cost &amp;amp; Services Guide")</f>
        <v>Top PPC Agencies in England — Packages, Pricing, Cost &amp;amp; Services Guide</v>
      </c>
      <c r="C4" s="14" t="str">
        <f>IFERROR(__xludf.DUMMYFUNCTION("""COMPUTED_VALUE"""),"reddit.com")</f>
        <v>reddit.com</v>
      </c>
      <c r="D4" s="15" t="str">
        <f>IFERROR(__xludf.DUMMYFUNCTION("""COMPUTED_VALUE"""),"DISCUSSION")</f>
        <v>DISCUSSION</v>
      </c>
      <c r="E4" s="15" t="str">
        <f>IFERROR(__xludf.DUMMYFUNCTION("""COMPUTED_VALUE"""),"UGC")</f>
        <v>UGC</v>
      </c>
      <c r="F4" s="15" t="str">
        <f>IFERROR(__xludf.DUMMYFUNCTION("""COMPUTED_VALUE"""),"Discussion")</f>
        <v>Discussion</v>
      </c>
      <c r="G4" s="15" t="b">
        <f>IFERROR(__xludf.DUMMYFUNCTION("""COMPUTED_VALUE"""),FALSE)</f>
        <v>0</v>
      </c>
      <c r="H4" s="15" t="str">
        <f>IFERROR(__xludf.DUMMYFUNCTION("""COMPUTED_VALUE"""),"Impression, PPC Geeks, Bind Media, The SEO Works, Passion Digital")</f>
        <v>Impression, PPC Geeks, Bind Media, The SEO Works, Passion Digital</v>
      </c>
      <c r="I4" s="15">
        <f>IFERROR(__xludf.DUMMYFUNCTION("""COMPUTED_VALUE"""),8.0)</f>
        <v>8</v>
      </c>
      <c r="J4" s="15">
        <f>IFERROR(__xludf.DUMMYFUNCTION("""COMPUTED_VALUE"""),0.01)</f>
        <v>0.01</v>
      </c>
      <c r="K4" s="15">
        <f>IFERROR(__xludf.DUMMYFUNCTION("""COMPUTED_VALUE"""),1.88)</f>
        <v>1.88</v>
      </c>
    </row>
    <row r="5" ht="15.75" customHeight="1">
      <c r="A5" s="14" t="str">
        <f>IFERROR(__xludf.DUMMYFUNCTION("""COMPUTED_VALUE"""),"https://www.reddit.com/r/MktgSupermarket/comments/1qom30j/compiled_a_directory_of_25_ai_marketing_agencies/")</f>
        <v>https://www.reddit.com/r/MktgSupermarket/comments/1qom30j/compiled_a_directory_of_25_ai_marketing_agencies/</v>
      </c>
      <c r="B5" s="15" t="str">
        <f>IFERROR(__xludf.DUMMYFUNCTION("""COMPUTED_VALUE"""),"Compiled a directory of 25 AI marketing agencies — here's the breakdown by category")</f>
        <v>Compiled a directory of 25 AI marketing agencies — here's the breakdown by category</v>
      </c>
      <c r="C5" s="14" t="str">
        <f>IFERROR(__xludf.DUMMYFUNCTION("""COMPUTED_VALUE"""),"reddit.com")</f>
        <v>reddit.com</v>
      </c>
      <c r="D5" s="15" t="str">
        <f>IFERROR(__xludf.DUMMYFUNCTION("""COMPUTED_VALUE"""),"DISCUSSION")</f>
        <v>DISCUSSION</v>
      </c>
      <c r="E5" s="15" t="str">
        <f>IFERROR(__xludf.DUMMYFUNCTION("""COMPUTED_VALUE"""),"UGC")</f>
        <v>UGC</v>
      </c>
      <c r="F5" s="15" t="str">
        <f>IFERROR(__xludf.DUMMYFUNCTION("""COMPUTED_VALUE"""),"Discussion")</f>
        <v>Discussion</v>
      </c>
      <c r="G5" s="15" t="b">
        <f>IFERROR(__xludf.DUMMYFUNCTION("""COMPUTED_VALUE"""),FALSE)</f>
        <v>0</v>
      </c>
      <c r="H5" s="15" t="str">
        <f>IFERROR(__xludf.DUMMYFUNCTION("""COMPUTED_VALUE"""),"Single Grain, Superside, Dept, NoGood, Ninja Promo, Omniscient Digital, Hallam, Favoured")</f>
        <v>Single Grain, Superside, Dept, NoGood, Ninja Promo, Omniscient Digital, Hallam, Favoured</v>
      </c>
      <c r="I5" s="15">
        <f>IFERROR(__xludf.DUMMYFUNCTION("""COMPUTED_VALUE"""),7.0)</f>
        <v>7</v>
      </c>
      <c r="J5" s="15">
        <f>IFERROR(__xludf.DUMMYFUNCTION("""COMPUTED_VALUE"""),0.01)</f>
        <v>0.01</v>
      </c>
      <c r="K5" s="15">
        <f>IFERROR(__xludf.DUMMYFUNCTION("""COMPUTED_VALUE"""),2.29)</f>
        <v>2.29</v>
      </c>
    </row>
    <row r="6" ht="15.75" customHeight="1">
      <c r="A6" s="14" t="str">
        <f>IFERROR(__xludf.DUMMYFUNCTION("""COMPUTED_VALUE"""),"https://www.reddit.com/r/aeo/comments/1sf4z2h/what_are_the_top_ai_visibility_agencies_in_the_uk/")</f>
        <v>https://www.reddit.com/r/aeo/comments/1sf4z2h/what_are_the_top_ai_visibility_agencies_in_the_uk/</v>
      </c>
      <c r="B6" s="15" t="str">
        <f>IFERROR(__xludf.DUMMYFUNCTION("""COMPUTED_VALUE"""),"what are the top AI visibility agencies in the UK? Looking for recommendations")</f>
        <v>what are the top AI visibility agencies in the UK? Looking for recommendations</v>
      </c>
      <c r="C6" s="14" t="str">
        <f>IFERROR(__xludf.DUMMYFUNCTION("""COMPUTED_VALUE"""),"reddit.com")</f>
        <v>reddit.com</v>
      </c>
      <c r="D6" s="15" t="str">
        <f>IFERROR(__xludf.DUMMYFUNCTION("""COMPUTED_VALUE"""),"DISCUSSION")</f>
        <v>DISCUSSION</v>
      </c>
      <c r="E6" s="15" t="str">
        <f>IFERROR(__xludf.DUMMYFUNCTION("""COMPUTED_VALUE"""),"UGC")</f>
        <v>UGC</v>
      </c>
      <c r="F6" s="15" t="str">
        <f>IFERROR(__xludf.DUMMYFUNCTION("""COMPUTED_VALUE"""),"Discussion")</f>
        <v>Discussion</v>
      </c>
      <c r="G6" s="15" t="b">
        <f>IFERROR(__xludf.DUMMYFUNCTION("""COMPUTED_VALUE"""),FALSE)</f>
        <v>0</v>
      </c>
      <c r="H6" s="15"/>
      <c r="I6" s="15">
        <f>IFERROR(__xludf.DUMMYFUNCTION("""COMPUTED_VALUE"""),7.0)</f>
        <v>7</v>
      </c>
      <c r="J6" s="15">
        <f>IFERROR(__xludf.DUMMYFUNCTION("""COMPUTED_VALUE"""),0.01)</f>
        <v>0.01</v>
      </c>
      <c r="K6" s="15">
        <f>IFERROR(__xludf.DUMMYFUNCTION("""COMPUTED_VALUE"""),2.14)</f>
        <v>2.14</v>
      </c>
    </row>
    <row r="7" ht="15.75" customHeight="1">
      <c r="A7" s="14" t="str">
        <f>IFERROR(__xludf.DUMMYFUNCTION("""COMPUTED_VALUE"""),"https://www.reddit.com/r/PPC/comments/15afa5c/best_agencies_for_paid_media_ld_uk/#:~:text=In%20the%20UK%2C%20many%20big,enjoy%20the%20outstanding%20training%20programs.")</f>
        <v>https://www.reddit.com/r/PPC/comments/15afa5c/best_agencies_for_paid_media_ld_uk/#:~:text=In%20the%20UK%2C%20many%20big,enjoy%20the%20outstanding%20training%20programs.</v>
      </c>
      <c r="B7" s="15" t="str">
        <f>IFERROR(__xludf.DUMMYFUNCTION("""COMPUTED_VALUE"""),"Best agencies for Paid Media L&amp;amp;D (UK)")</f>
        <v>Best agencies for Paid Media L&amp;amp;D (UK)</v>
      </c>
      <c r="C7" s="14" t="str">
        <f>IFERROR(__xludf.DUMMYFUNCTION("""COMPUTED_VALUE"""),"reddit.com")</f>
        <v>reddit.com</v>
      </c>
      <c r="D7" s="15" t="str">
        <f>IFERROR(__xludf.DUMMYFUNCTION("""COMPUTED_VALUE"""),"DISCUSSION")</f>
        <v>DISCUSSION</v>
      </c>
      <c r="E7" s="15" t="str">
        <f>IFERROR(__xludf.DUMMYFUNCTION("""COMPUTED_VALUE"""),"UGC")</f>
        <v>UGC</v>
      </c>
      <c r="F7" s="15" t="str">
        <f>IFERROR(__xludf.DUMMYFUNCTION("""COMPUTED_VALUE"""),"Discussion")</f>
        <v>Discussion</v>
      </c>
      <c r="G7" s="15" t="b">
        <f>IFERROR(__xludf.DUMMYFUNCTION("""COMPUTED_VALUE"""),FALSE)</f>
        <v>0</v>
      </c>
      <c r="H7" s="15" t="str">
        <f>IFERROR(__xludf.DUMMYFUNCTION("""COMPUTED_VALUE"""),"Merkle, Dentsu")</f>
        <v>Merkle, Dentsu</v>
      </c>
      <c r="I7" s="15">
        <f>IFERROR(__xludf.DUMMYFUNCTION("""COMPUTED_VALUE"""),6.0)</f>
        <v>6</v>
      </c>
      <c r="J7" s="15">
        <f>IFERROR(__xludf.DUMMYFUNCTION("""COMPUTED_VALUE"""),0.01)</f>
        <v>0.01</v>
      </c>
      <c r="K7" s="15">
        <f>IFERROR(__xludf.DUMMYFUNCTION("""COMPUTED_VALUE"""),1.0)</f>
        <v>1</v>
      </c>
    </row>
    <row r="8" ht="15.75" customHeight="1">
      <c r="A8" s="14" t="str">
        <f>IFERROR(__xludf.DUMMYFUNCTION("""COMPUTED_VALUE"""),"https://www.reddit.com/r/LLMTraffic/comments/1t44tn7/which_geo_marketing_agencies_are_actually_worth/")</f>
        <v>https://www.reddit.com/r/LLMTraffic/comments/1t44tn7/which_geo_marketing_agencies_are_actually_worth/</v>
      </c>
      <c r="B8" s="15" t="str">
        <f>IFERROR(__xludf.DUMMYFUNCTION("""COMPUTED_VALUE"""),"Which ""GEO marketing"" agencies are actually worth talking to?")</f>
        <v>Which "GEO marketing" agencies are actually worth talking to?</v>
      </c>
      <c r="C8" s="14" t="str">
        <f>IFERROR(__xludf.DUMMYFUNCTION("""COMPUTED_VALUE"""),"reddit.com")</f>
        <v>reddit.com</v>
      </c>
      <c r="D8" s="15" t="str">
        <f>IFERROR(__xludf.DUMMYFUNCTION("""COMPUTED_VALUE"""),"DISCUSSION")</f>
        <v>DISCUSSION</v>
      </c>
      <c r="E8" s="15" t="str">
        <f>IFERROR(__xludf.DUMMYFUNCTION("""COMPUTED_VALUE"""),"UGC")</f>
        <v>UGC</v>
      </c>
      <c r="F8" s="15" t="str">
        <f>IFERROR(__xludf.DUMMYFUNCTION("""COMPUTED_VALUE"""),"Discussion")</f>
        <v>Discussion</v>
      </c>
      <c r="G8" s="15" t="b">
        <f>IFERROR(__xludf.DUMMYFUNCTION("""COMPUTED_VALUE"""),FALSE)</f>
        <v>0</v>
      </c>
      <c r="H8" s="15" t="str">
        <f>IFERROR(__xludf.DUMMYFUNCTION("""COMPUTED_VALUE"""),"9AM, Measured")</f>
        <v>9AM, Measured</v>
      </c>
      <c r="I8" s="15">
        <f>IFERROR(__xludf.DUMMYFUNCTION("""COMPUTED_VALUE"""),4.0)</f>
        <v>4</v>
      </c>
      <c r="J8" s="15">
        <f>IFERROR(__xludf.DUMMYFUNCTION("""COMPUTED_VALUE"""),0.0)</f>
        <v>0</v>
      </c>
      <c r="K8" s="15">
        <f>IFERROR(__xludf.DUMMYFUNCTION("""COMPUTED_VALUE"""),1.75)</f>
        <v>1.75</v>
      </c>
    </row>
    <row r="9" ht="15.75" customHeight="1">
      <c r="A9" s="14" t="str">
        <f>IFERROR(__xludf.DUMMYFUNCTION("""COMPUTED_VALUE"""),"https://www.reddit.com/r/PPC/comments/1tkc7rr/which_ppc_agencies_are_actually_considered_the/")</f>
        <v>https://www.reddit.com/r/PPC/comments/1tkc7rr/which_ppc_agencies_are_actually_considered_the/</v>
      </c>
      <c r="B9" s="15" t="str">
        <f>IFERROR(__xludf.DUMMYFUNCTION("""COMPUTED_VALUE"""),"Which PPC agencies are actually considered the best right now?")</f>
        <v>Which PPC agencies are actually considered the best right now?</v>
      </c>
      <c r="C9" s="14" t="str">
        <f>IFERROR(__xludf.DUMMYFUNCTION("""COMPUTED_VALUE"""),"reddit.com")</f>
        <v>reddit.com</v>
      </c>
      <c r="D9" s="15" t="str">
        <f>IFERROR(__xludf.DUMMYFUNCTION("""COMPUTED_VALUE"""),"DISCUSSION")</f>
        <v>DISCUSSION</v>
      </c>
      <c r="E9" s="15" t="str">
        <f>IFERROR(__xludf.DUMMYFUNCTION("""COMPUTED_VALUE"""),"UGC")</f>
        <v>UGC</v>
      </c>
      <c r="F9" s="15" t="str">
        <f>IFERROR(__xludf.DUMMYFUNCTION("""COMPUTED_VALUE"""),"Discussion")</f>
        <v>Discussion</v>
      </c>
      <c r="G9" s="15" t="b">
        <f>IFERROR(__xludf.DUMMYFUNCTION("""COMPUTED_VALUE"""),FALSE)</f>
        <v>0</v>
      </c>
      <c r="H9" s="15" t="str">
        <f>IFERROR(__xludf.DUMMYFUNCTION("""COMPUTED_VALUE"""),"Dentsu, Measured, WPP, Omnicom")</f>
        <v>Dentsu, Measured, WPP, Omnicom</v>
      </c>
      <c r="I9" s="15">
        <f>IFERROR(__xludf.DUMMYFUNCTION("""COMPUTED_VALUE"""),4.0)</f>
        <v>4</v>
      </c>
      <c r="J9" s="15">
        <f>IFERROR(__xludf.DUMMYFUNCTION("""COMPUTED_VALUE"""),0.0)</f>
        <v>0</v>
      </c>
      <c r="K9" s="15">
        <f>IFERROR(__xludf.DUMMYFUNCTION("""COMPUTED_VALUE"""),1.5)</f>
        <v>1.5</v>
      </c>
    </row>
    <row r="10" ht="15.75" customHeight="1">
      <c r="A10" s="14" t="str">
        <f>IFERROR(__xludf.DUMMYFUNCTION("""COMPUTED_VALUE"""),"https://www.reddit.com/r/agency/comments/1ok212i/performance_marketing_incrementality/")</f>
        <v>https://www.reddit.com/r/agency/comments/1ok212i/performance_marketing_incrementality/</v>
      </c>
      <c r="B10" s="15" t="str">
        <f>IFERROR(__xludf.DUMMYFUNCTION("""COMPUTED_VALUE"""),"Performance Marketing Incrementality")</f>
        <v>Performance Marketing Incrementality</v>
      </c>
      <c r="C10" s="14" t="str">
        <f>IFERROR(__xludf.DUMMYFUNCTION("""COMPUTED_VALUE"""),"reddit.com")</f>
        <v>reddit.com</v>
      </c>
      <c r="D10" s="15" t="str">
        <f>IFERROR(__xludf.DUMMYFUNCTION("""COMPUTED_VALUE"""),"DISCUSSION")</f>
        <v>DISCUSSION</v>
      </c>
      <c r="E10" s="15" t="str">
        <f>IFERROR(__xludf.DUMMYFUNCTION("""COMPUTED_VALUE"""),"UGC")</f>
        <v>UGC</v>
      </c>
      <c r="F10" s="15" t="str">
        <f>IFERROR(__xludf.DUMMYFUNCTION("""COMPUTED_VALUE"""),"Discussion")</f>
        <v>Discussion</v>
      </c>
      <c r="G10" s="15" t="b">
        <f>IFERROR(__xludf.DUMMYFUNCTION("""COMPUTED_VALUE"""),FALSE)</f>
        <v>0</v>
      </c>
      <c r="H10" s="15" t="str">
        <f>IFERROR(__xludf.DUMMYFUNCTION("""COMPUTED_VALUE"""),"Haus, Measured, Found, Recast, Impression")</f>
        <v>Haus, Measured, Found, Recast, Impression</v>
      </c>
      <c r="I10" s="15">
        <f>IFERROR(__xludf.DUMMYFUNCTION("""COMPUTED_VALUE"""),4.0)</f>
        <v>4</v>
      </c>
      <c r="J10" s="15">
        <f>IFERROR(__xludf.DUMMYFUNCTION("""COMPUTED_VALUE"""),0.0)</f>
        <v>0</v>
      </c>
      <c r="K10" s="15">
        <f>IFERROR(__xludf.DUMMYFUNCTION("""COMPUTED_VALUE"""),1.75)</f>
        <v>1.75</v>
      </c>
    </row>
    <row r="11" ht="15.75" customHeight="1">
      <c r="A11" s="14" t="str">
        <f>IFERROR(__xludf.DUMMYFUNCTION("""COMPUTED_VALUE"""),"https://www.reddit.com/r/b2bmarketing/comments/1rl47cr/the_10_best_visibility_companies_and_agencies_for/#:~:text=AEO%20Collective%20is%20good%2C%20they,3mo%20ago")</f>
        <v>https://www.reddit.com/r/b2bmarketing/comments/1rl47cr/the_10_best_visibility_companies_and_agencies_for/#:~:text=AEO%20Collective%20is%20good%2C%20they,3mo%20ago</v>
      </c>
      <c r="B11" s="15" t="str">
        <f>IFERROR(__xludf.DUMMYFUNCTION("""COMPUTED_VALUE"""),"The 10 Best Visibility Companies and Agencies for SEO and GEO?")</f>
        <v>The 10 Best Visibility Companies and Agencies for SEO and GEO?</v>
      </c>
      <c r="C11" s="14" t="str">
        <f>IFERROR(__xludf.DUMMYFUNCTION("""COMPUTED_VALUE"""),"reddit.com")</f>
        <v>reddit.com</v>
      </c>
      <c r="D11" s="15" t="str">
        <f>IFERROR(__xludf.DUMMYFUNCTION("""COMPUTED_VALUE"""),"DISCUSSION")</f>
        <v>DISCUSSION</v>
      </c>
      <c r="E11" s="15" t="str">
        <f>IFERROR(__xludf.DUMMYFUNCTION("""COMPUTED_VALUE"""),"UGC")</f>
        <v>UGC</v>
      </c>
      <c r="F11" s="15" t="str">
        <f>IFERROR(__xludf.DUMMYFUNCTION("""COMPUTED_VALUE"""),"Discussion")</f>
        <v>Discussion</v>
      </c>
      <c r="G11" s="15" t="b">
        <f>IFERROR(__xludf.DUMMYFUNCTION("""COMPUTED_VALUE"""),FALSE)</f>
        <v>0</v>
      </c>
      <c r="H11" s="15" t="str">
        <f>IFERROR(__xludf.DUMMYFUNCTION("""COMPUTED_VALUE"""),"Huge, Siege Media, Single Grain")</f>
        <v>Huge, Siege Media, Single Grain</v>
      </c>
      <c r="I11" s="15">
        <f>IFERROR(__xludf.DUMMYFUNCTION("""COMPUTED_VALUE"""),2.0)</f>
        <v>2</v>
      </c>
      <c r="J11" s="15">
        <f>IFERROR(__xludf.DUMMYFUNCTION("""COMPUTED_VALUE"""),0.0)</f>
        <v>0</v>
      </c>
      <c r="K11" s="15">
        <f>IFERROR(__xludf.DUMMYFUNCTION("""COMPUTED_VALUE"""),1.0)</f>
        <v>1</v>
      </c>
    </row>
    <row r="12" ht="15.75" customHeight="1">
      <c r="A12" s="14" t="str">
        <f>IFERROR(__xludf.DUMMYFUNCTION("""COMPUTED_VALUE"""),"https://www.reddit.com/r/Analyzify/comments/1d2js1n")</f>
        <v>https://www.reddit.com/r/Analyzify/comments/1d2js1n</v>
      </c>
      <c r="B12" s="15" t="str">
        <f>IFERROR(__xludf.DUMMYFUNCTION("""COMPUTED_VALUE"""),"The Best PPC Agencies in London 2024")</f>
        <v>The Best PPC Agencies in London 2024</v>
      </c>
      <c r="C12" s="14" t="str">
        <f>IFERROR(__xludf.DUMMYFUNCTION("""COMPUTED_VALUE"""),"reddit.com")</f>
        <v>reddit.com</v>
      </c>
      <c r="D12" s="15" t="str">
        <f>IFERROR(__xludf.DUMMYFUNCTION("""COMPUTED_VALUE"""),"DISCUSSION")</f>
        <v>DISCUSSION</v>
      </c>
      <c r="E12" s="15" t="str">
        <f>IFERROR(__xludf.DUMMYFUNCTION("""COMPUTED_VALUE"""),"UGC")</f>
        <v>UGC</v>
      </c>
      <c r="F12" s="15" t="str">
        <f>IFERROR(__xludf.DUMMYFUNCTION("""COMPUTED_VALUE"""),"Discussion")</f>
        <v>Discussion</v>
      </c>
      <c r="G12" s="15" t="b">
        <f>IFERROR(__xludf.DUMMYFUNCTION("""COMPUTED_VALUE"""),FALSE)</f>
        <v>0</v>
      </c>
      <c r="H12" s="15" t="str">
        <f>IFERROR(__xludf.DUMMYFUNCTION("""COMPUTED_VALUE"""),"Push, Push Group, The Brains, PPC Geeks")</f>
        <v>Push, Push Group, The Brains, PPC Geeks</v>
      </c>
      <c r="I12" s="15">
        <f>IFERROR(__xludf.DUMMYFUNCTION("""COMPUTED_VALUE"""),1.0)</f>
        <v>1</v>
      </c>
      <c r="J12" s="15">
        <f>IFERROR(__xludf.DUMMYFUNCTION("""COMPUTED_VALUE"""),0.0)</f>
        <v>0</v>
      </c>
      <c r="K12" s="15">
        <f>IFERROR(__xludf.DUMMYFUNCTION("""COMPUTED_VALUE"""),2.0)</f>
        <v>2</v>
      </c>
    </row>
    <row r="13" ht="15.75" customHeight="1">
      <c r="A13" s="14" t="str">
        <f>IFERROR(__xludf.DUMMYFUNCTION("""COMPUTED_VALUE"""),"https://www.reddit.com/r/DigitalMarketing/comments/1tdfcjb/every_seo_agency_now_lists_ai_search_optimization/")</f>
        <v>https://www.reddit.com/r/DigitalMarketing/comments/1tdfcjb/every_seo_agency_now_lists_ai_search_optimization/</v>
      </c>
      <c r="B13" s="15" t="str">
        <f>IFERROR(__xludf.DUMMYFUNCTION("""COMPUTED_VALUE"""),"Every SEO agency now lists AI search optimization. Most are describing the wrong thing.")</f>
        <v>Every SEO agency now lists AI search optimization. Most are describing the wrong thing.</v>
      </c>
      <c r="C13" s="14" t="str">
        <f>IFERROR(__xludf.DUMMYFUNCTION("""COMPUTED_VALUE"""),"reddit.com")</f>
        <v>reddit.com</v>
      </c>
      <c r="D13" s="15" t="str">
        <f>IFERROR(__xludf.DUMMYFUNCTION("""COMPUTED_VALUE"""),"DISCUSSION")</f>
        <v>DISCUSSION</v>
      </c>
      <c r="E13" s="15" t="str">
        <f>IFERROR(__xludf.DUMMYFUNCTION("""COMPUTED_VALUE"""),"UGC")</f>
        <v>UGC</v>
      </c>
      <c r="F13" s="15" t="str">
        <f>IFERROR(__xludf.DUMMYFUNCTION("""COMPUTED_VALUE"""),"Discussion")</f>
        <v>Discussion</v>
      </c>
      <c r="G13" s="15" t="b">
        <f>IFERROR(__xludf.DUMMYFUNCTION("""COMPUTED_VALUE"""),FALSE)</f>
        <v>0</v>
      </c>
      <c r="H13" s="15" t="str">
        <f>IFERROR(__xludf.DUMMYFUNCTION("""COMPUTED_VALUE"""),"Push, Found")</f>
        <v>Push, Found</v>
      </c>
      <c r="I13" s="15">
        <f>IFERROR(__xludf.DUMMYFUNCTION("""COMPUTED_VALUE"""),1.0)</f>
        <v>1</v>
      </c>
      <c r="J13" s="15">
        <f>IFERROR(__xludf.DUMMYFUNCTION("""COMPUTED_VALUE"""),0.0)</f>
        <v>0</v>
      </c>
      <c r="K13" s="15">
        <f>IFERROR(__xludf.DUMMYFUNCTION("""COMPUTED_VALUE"""),2.0)</f>
        <v>2</v>
      </c>
    </row>
    <row r="14" ht="15.75" customHeight="1">
      <c r="A14" s="14" t="str">
        <f>IFERROR(__xludf.DUMMYFUNCTION("""COMPUTED_VALUE"""),"https://www.reddit.com/r/MktgSupermarket/comments/1rqsemv/i_spent_weeks_researching_london_digital/")</f>
        <v>https://www.reddit.com/r/MktgSupermarket/comments/1rqsemv/i_spent_weeks_researching_london_digital/</v>
      </c>
      <c r="B14" s="15" t="str">
        <f>IFERROR(__xludf.DUMMYFUNCTION("""COMPUTED_VALUE"""),"I spent weeks researching London digital marketing agencies - here is what I actually found")</f>
        <v>I spent weeks researching London digital marketing agencies - here is what I actually found</v>
      </c>
      <c r="C14" s="14" t="str">
        <f>IFERROR(__xludf.DUMMYFUNCTION("""COMPUTED_VALUE"""),"reddit.com")</f>
        <v>reddit.com</v>
      </c>
      <c r="D14" s="15" t="str">
        <f>IFERROR(__xludf.DUMMYFUNCTION("""COMPUTED_VALUE"""),"DISCUSSION")</f>
        <v>DISCUSSION</v>
      </c>
      <c r="E14" s="15" t="str">
        <f>IFERROR(__xludf.DUMMYFUNCTION("""COMPUTED_VALUE"""),"UGC")</f>
        <v>UGC</v>
      </c>
      <c r="F14" s="15" t="str">
        <f>IFERROR(__xludf.DUMMYFUNCTION("""COMPUTED_VALUE"""),"Discussion")</f>
        <v>Discussion</v>
      </c>
      <c r="G14" s="15" t="b">
        <f>IFERROR(__xludf.DUMMYFUNCTION("""COMPUTED_VALUE"""),FALSE)</f>
        <v>0</v>
      </c>
      <c r="H14" s="15" t="str">
        <f>IFERROR(__xludf.DUMMYFUNCTION("""COMPUTED_VALUE"""),"Dept, Brainlabs, ClickSlice, Found, The Good Marketer")</f>
        <v>Dept, Brainlabs, ClickSlice, Found, The Good Marketer</v>
      </c>
      <c r="I14" s="15">
        <f>IFERROR(__xludf.DUMMYFUNCTION("""COMPUTED_VALUE"""),1.0)</f>
        <v>1</v>
      </c>
      <c r="J14" s="15">
        <f>IFERROR(__xludf.DUMMYFUNCTION("""COMPUTED_VALUE"""),0.0)</f>
        <v>0</v>
      </c>
      <c r="K14" s="15">
        <f>IFERROR(__xludf.DUMMYFUNCTION("""COMPUTED_VALUE"""),3.0)</f>
        <v>3</v>
      </c>
    </row>
    <row r="15" ht="15.75" customHeight="1">
      <c r="A15" s="14" t="str">
        <f>IFERROR(__xludf.DUMMYFUNCTION("""COMPUTED_VALUE"""),"https://www.reddit.com/r/aeo/comments/1twcbr2/best_aeo_agency_guide_what_to_look_for_in_an/")</f>
        <v>https://www.reddit.com/r/aeo/comments/1twcbr2/best_aeo_agency_guide_what_to_look_for_in_an/</v>
      </c>
      <c r="B15" s="15" t="str">
        <f>IFERROR(__xludf.DUMMYFUNCTION("""COMPUTED_VALUE"""),"Best AEO Agency Guide What to Look for in an Answer Engine Partner?")</f>
        <v>Best AEO Agency Guide What to Look for in an Answer Engine Partner?</v>
      </c>
      <c r="C15" s="14" t="str">
        <f>IFERROR(__xludf.DUMMYFUNCTION("""COMPUTED_VALUE"""),"reddit.com")</f>
        <v>reddit.com</v>
      </c>
      <c r="D15" s="15" t="str">
        <f>IFERROR(__xludf.DUMMYFUNCTION("""COMPUTED_VALUE"""),"DISCUSSION")</f>
        <v>DISCUSSION</v>
      </c>
      <c r="E15" s="15" t="str">
        <f>IFERROR(__xludf.DUMMYFUNCTION("""COMPUTED_VALUE"""),"UGC")</f>
        <v>UGC</v>
      </c>
      <c r="F15" s="15" t="str">
        <f>IFERROR(__xludf.DUMMYFUNCTION("""COMPUTED_VALUE"""),"Discussion")</f>
        <v>Discussion</v>
      </c>
      <c r="G15" s="15" t="b">
        <f>IFERROR(__xludf.DUMMYFUNCTION("""COMPUTED_VALUE"""),FALSE)</f>
        <v>0</v>
      </c>
      <c r="H15" s="15" t="str">
        <f>IFERROR(__xludf.DUMMYFUNCTION("""COMPUTED_VALUE"""),"Huge")</f>
        <v>Huge</v>
      </c>
      <c r="I15" s="15">
        <f>IFERROR(__xludf.DUMMYFUNCTION("""COMPUTED_VALUE"""),1.0)</f>
        <v>1</v>
      </c>
      <c r="J15" s="15">
        <f>IFERROR(__xludf.DUMMYFUNCTION("""COMPUTED_VALUE"""),0.0)</f>
        <v>0</v>
      </c>
      <c r="K15" s="15">
        <f>IFERROR(__xludf.DUMMYFUNCTION("""COMPUTED_VALUE"""),2.0)</f>
        <v>2</v>
      </c>
    </row>
    <row r="16" ht="15.75" customHeight="1">
      <c r="A16" s="14" t="str">
        <f>IFERROR(__xludf.DUMMYFUNCTION("""COMPUTED_VALUE"""),"https://www.reddit.com/r/agency/comments/1j8nw3r/digital_marketing_attribution_challenges/")</f>
        <v>https://www.reddit.com/r/agency/comments/1j8nw3r/digital_marketing_attribution_challenges/</v>
      </c>
      <c r="B16" s="15" t="str">
        <f>IFERROR(__xludf.DUMMYFUNCTION("""COMPUTED_VALUE"""),"Digital Marketing  &amp;amp; attribution challenges")</f>
        <v>Digital Marketing  &amp;amp; attribution challenges</v>
      </c>
      <c r="C16" s="14" t="str">
        <f>IFERROR(__xludf.DUMMYFUNCTION("""COMPUTED_VALUE"""),"reddit.com")</f>
        <v>reddit.com</v>
      </c>
      <c r="D16" s="15" t="str">
        <f>IFERROR(__xludf.DUMMYFUNCTION("""COMPUTED_VALUE"""),"DISCUSSION")</f>
        <v>DISCUSSION</v>
      </c>
      <c r="E16" s="15" t="str">
        <f>IFERROR(__xludf.DUMMYFUNCTION("""COMPUTED_VALUE"""),"UGC")</f>
        <v>UGC</v>
      </c>
      <c r="F16" s="15" t="str">
        <f>IFERROR(__xludf.DUMMYFUNCTION("""COMPUTED_VALUE"""),"Discussion")</f>
        <v>Discussion</v>
      </c>
      <c r="G16" s="15" t="b">
        <f>IFERROR(__xludf.DUMMYFUNCTION("""COMPUTED_VALUE"""),FALSE)</f>
        <v>0</v>
      </c>
      <c r="H16" s="15" t="str">
        <f>IFERROR(__xludf.DUMMYFUNCTION("""COMPUTED_VALUE"""),"Huge, Measured")</f>
        <v>Huge, Measured</v>
      </c>
      <c r="I16" s="15">
        <f>IFERROR(__xludf.DUMMYFUNCTION("""COMPUTED_VALUE"""),1.0)</f>
        <v>1</v>
      </c>
      <c r="J16" s="15">
        <f>IFERROR(__xludf.DUMMYFUNCTION("""COMPUTED_VALUE"""),0.0)</f>
        <v>0</v>
      </c>
      <c r="K16" s="15">
        <f>IFERROR(__xludf.DUMMYFUNCTION("""COMPUTED_VALUE"""),0.0)</f>
        <v>0</v>
      </c>
    </row>
    <row r="17" ht="15.75" customHeight="1">
      <c r="A17" s="14" t="str">
        <f>IFERROR(__xludf.DUMMYFUNCTION("""COMPUTED_VALUE"""),"https://www.reddit.com/r/branding/comments/d6zp5l/what_are_the_top_branding_agencies_out_there/")</f>
        <v>https://www.reddit.com/r/branding/comments/d6zp5l/what_are_the_top_branding_agencies_out_there/</v>
      </c>
      <c r="B17" s="15" t="str">
        <f>IFERROR(__xludf.DUMMYFUNCTION("""COMPUTED_VALUE"""),"What are the top branding agencies out there?")</f>
        <v>What are the top branding agencies out there?</v>
      </c>
      <c r="C17" s="14" t="str">
        <f>IFERROR(__xludf.DUMMYFUNCTION("""COMPUTED_VALUE"""),"reddit.com")</f>
        <v>reddit.com</v>
      </c>
      <c r="D17" s="15" t="str">
        <f>IFERROR(__xludf.DUMMYFUNCTION("""COMPUTED_VALUE"""),"DISCUSSION")</f>
        <v>DISCUSSION</v>
      </c>
      <c r="E17" s="15" t="str">
        <f>IFERROR(__xludf.DUMMYFUNCTION("""COMPUTED_VALUE"""),"UGC")</f>
        <v>UGC</v>
      </c>
      <c r="F17" s="15" t="str">
        <f>IFERROR(__xludf.DUMMYFUNCTION("""COMPUTED_VALUE"""),"Discussion")</f>
        <v>Discussion</v>
      </c>
      <c r="G17" s="15" t="b">
        <f>IFERROR(__xludf.DUMMYFUNCTION("""COMPUTED_VALUE"""),FALSE)</f>
        <v>0</v>
      </c>
      <c r="H17" s="15"/>
      <c r="I17" s="15">
        <f>IFERROR(__xludf.DUMMYFUNCTION("""COMPUTED_VALUE"""),1.0)</f>
        <v>1</v>
      </c>
      <c r="J17" s="15">
        <f>IFERROR(__xludf.DUMMYFUNCTION("""COMPUTED_VALUE"""),0.0)</f>
        <v>0</v>
      </c>
      <c r="K17" s="15">
        <f>IFERROR(__xludf.DUMMYFUNCTION("""COMPUTED_VALUE"""),2.0)</f>
        <v>2</v>
      </c>
    </row>
    <row r="18" ht="15.75" customHeight="1">
      <c r="A18" s="14" t="str">
        <f>IFERROR(__xludf.DUMMYFUNCTION("""COMPUTED_VALUE"""),"https://www.reddit.com/r/digital_marketing/comments/1sd6dxn/whats_the_best_aeogeo_agency_that_actually_gets/")</f>
        <v>https://www.reddit.com/r/digital_marketing/comments/1sd6dxn/whats_the_best_aeogeo_agency_that_actually_gets/</v>
      </c>
      <c r="B18" s="15" t="str">
        <f>IFERROR(__xludf.DUMMYFUNCTION("""COMPUTED_VALUE"""),"What's the best AEO/GEO Agency that actually gets results?")</f>
        <v>What's the best AEO/GEO Agency that actually gets results?</v>
      </c>
      <c r="C18" s="14" t="str">
        <f>IFERROR(__xludf.DUMMYFUNCTION("""COMPUTED_VALUE"""),"reddit.com")</f>
        <v>reddit.com</v>
      </c>
      <c r="D18" s="15" t="str">
        <f>IFERROR(__xludf.DUMMYFUNCTION("""COMPUTED_VALUE"""),"DISCUSSION")</f>
        <v>DISCUSSION</v>
      </c>
      <c r="E18" s="15" t="str">
        <f>IFERROR(__xludf.DUMMYFUNCTION("""COMPUTED_VALUE"""),"UGC")</f>
        <v>UGC</v>
      </c>
      <c r="F18" s="15" t="str">
        <f>IFERROR(__xludf.DUMMYFUNCTION("""COMPUTED_VALUE"""),"Discussion")</f>
        <v>Discussion</v>
      </c>
      <c r="G18" s="15" t="b">
        <f>IFERROR(__xludf.DUMMYFUNCTION("""COMPUTED_VALUE"""),FALSE)</f>
        <v>0</v>
      </c>
      <c r="H18" s="15" t="str">
        <f>IFERROR(__xludf.DUMMYFUNCTION("""COMPUTED_VALUE"""),"Huge, Measured")</f>
        <v>Huge, Measured</v>
      </c>
      <c r="I18" s="15">
        <f>IFERROR(__xludf.DUMMYFUNCTION("""COMPUTED_VALUE"""),1.0)</f>
        <v>1</v>
      </c>
      <c r="J18" s="15">
        <f>IFERROR(__xludf.DUMMYFUNCTION("""COMPUTED_VALUE"""),0.0)</f>
        <v>0</v>
      </c>
      <c r="K18" s="15">
        <f>IFERROR(__xludf.DUMMYFUNCTION("""COMPUTED_VALUE"""),2.0)</f>
        <v>2</v>
      </c>
    </row>
    <row r="19" ht="15.75" customHeight="1">
      <c r="A19" s="14" t="str">
        <f>IFERROR(__xludf.DUMMYFUNCTION("""COMPUTED_VALUE"""),"https://www.reddit.com/r/ecommerce/comments/1qusfa4/looking_for_best_incrementality_testing_tools/")</f>
        <v>https://www.reddit.com/r/ecommerce/comments/1qusfa4/looking_for_best_incrementality_testing_tools/</v>
      </c>
      <c r="B19" s="15" t="str">
        <f>IFERROR(__xludf.DUMMYFUNCTION("""COMPUTED_VALUE"""),"Looking for best incrementality testing tools (advice/recommendation)")</f>
        <v>Looking for best incrementality testing tools (advice/recommendation)</v>
      </c>
      <c r="C19" s="14" t="str">
        <f>IFERROR(__xludf.DUMMYFUNCTION("""COMPUTED_VALUE"""),"reddit.com")</f>
        <v>reddit.com</v>
      </c>
      <c r="D19" s="15" t="str">
        <f>IFERROR(__xludf.DUMMYFUNCTION("""COMPUTED_VALUE"""),"DISCUSSION")</f>
        <v>DISCUSSION</v>
      </c>
      <c r="E19" s="15" t="str">
        <f>IFERROR(__xludf.DUMMYFUNCTION("""COMPUTED_VALUE"""),"UGC")</f>
        <v>UGC</v>
      </c>
      <c r="F19" s="15" t="str">
        <f>IFERROR(__xludf.DUMMYFUNCTION("""COMPUTED_VALUE"""),"Discussion")</f>
        <v>Discussion</v>
      </c>
      <c r="G19" s="15" t="b">
        <f>IFERROR(__xludf.DUMMYFUNCTION("""COMPUTED_VALUE"""),FALSE)</f>
        <v>0</v>
      </c>
      <c r="H19" s="15" t="str">
        <f>IFERROR(__xludf.DUMMYFUNCTION("""COMPUTED_VALUE"""),"Haus, Measured, SegmentStream, Recast, Rockerbox, Northbeam, Found")</f>
        <v>Haus, Measured, SegmentStream, Recast, Rockerbox, Northbeam, Found</v>
      </c>
      <c r="I19" s="15">
        <f>IFERROR(__xludf.DUMMYFUNCTION("""COMPUTED_VALUE"""),1.0)</f>
        <v>1</v>
      </c>
      <c r="J19" s="15">
        <f>IFERROR(__xludf.DUMMYFUNCTION("""COMPUTED_VALUE"""),0.0)</f>
        <v>0</v>
      </c>
      <c r="K19" s="15">
        <f>IFERROR(__xludf.DUMMYFUNCTION("""COMPUTED_VALUE"""),1.0)</f>
        <v>1</v>
      </c>
    </row>
    <row r="20" ht="15.75" customHeight="1">
      <c r="A20" s="14" t="str">
        <f>IFERROR(__xludf.DUMMYFUNCTION("""COMPUTED_VALUE"""),"https://www.reddit.com/r/smallbusiness/comments/1r3lo3y/good_agency_for_performance_marketing/")</f>
        <v>https://www.reddit.com/r/smallbusiness/comments/1r3lo3y/good_agency_for_performance_marketing/</v>
      </c>
      <c r="B20" s="15" t="str">
        <f>IFERROR(__xludf.DUMMYFUNCTION("""COMPUTED_VALUE"""),"Good agency for performance marketing")</f>
        <v>Good agency for performance marketing</v>
      </c>
      <c r="C20" s="14" t="str">
        <f>IFERROR(__xludf.DUMMYFUNCTION("""COMPUTED_VALUE"""),"reddit.com")</f>
        <v>reddit.com</v>
      </c>
      <c r="D20" s="15" t="str">
        <f>IFERROR(__xludf.DUMMYFUNCTION("""COMPUTED_VALUE"""),"DISCUSSION")</f>
        <v>DISCUSSION</v>
      </c>
      <c r="E20" s="15" t="str">
        <f>IFERROR(__xludf.DUMMYFUNCTION("""COMPUTED_VALUE"""),"UGC")</f>
        <v>UGC</v>
      </c>
      <c r="F20" s="15" t="str">
        <f>IFERROR(__xludf.DUMMYFUNCTION("""COMPUTED_VALUE"""),"Discussion")</f>
        <v>Discussion</v>
      </c>
      <c r="G20" s="15" t="b">
        <f>IFERROR(__xludf.DUMMYFUNCTION("""COMPUTED_VALUE"""),FALSE)</f>
        <v>0</v>
      </c>
      <c r="H20" s="15"/>
      <c r="I20" s="15">
        <f>IFERROR(__xludf.DUMMYFUNCTION("""COMPUTED_VALUE"""),1.0)</f>
        <v>1</v>
      </c>
      <c r="J20" s="15">
        <f>IFERROR(__xludf.DUMMYFUNCTION("""COMPUTED_VALUE"""),0.0)</f>
        <v>0</v>
      </c>
      <c r="K20" s="15">
        <f>IFERROR(__xludf.DUMMYFUNCTION("""COMPUTED_VALUE"""),1.0)</f>
        <v>1</v>
      </c>
    </row>
    <row r="21" ht="15.75" customHeight="1">
      <c r="A21" s="14" t="str">
        <f>IFERROR(__xludf.DUMMYFUNCTION("""COMPUTED_VALUE"""),"https://www.reddit.com/r/u_Temporary_Meeting182/comments/1tp4iah/best_saas_geo_agencies_in_2026_who_should/")</f>
        <v>https://www.reddit.com/r/u_Temporary_Meeting182/comments/1tp4iah/best_saas_geo_agencies_in_2026_who_should/</v>
      </c>
      <c r="B21" s="15" t="str">
        <f>IFERROR(__xludf.DUMMYFUNCTION("""COMPUTED_VALUE"""),"Best SaaS GEO agencies in 2026 - who should enterprises consider?")</f>
        <v>Best SaaS GEO agencies in 2026 - who should enterprises consider?</v>
      </c>
      <c r="C21" s="14" t="str">
        <f>IFERROR(__xludf.DUMMYFUNCTION("""COMPUTED_VALUE"""),"reddit.com")</f>
        <v>reddit.com</v>
      </c>
      <c r="D21" s="15" t="str">
        <f>IFERROR(__xludf.DUMMYFUNCTION("""COMPUTED_VALUE"""),"DISCUSSION")</f>
        <v>DISCUSSION</v>
      </c>
      <c r="E21" s="15" t="str">
        <f>IFERROR(__xludf.DUMMYFUNCTION("""COMPUTED_VALUE"""),"UGC")</f>
        <v>UGC</v>
      </c>
      <c r="F21" s="15" t="str">
        <f>IFERROR(__xludf.DUMMYFUNCTION("""COMPUTED_VALUE"""),"Discussion")</f>
        <v>Discussion</v>
      </c>
      <c r="G21" s="15" t="b">
        <f>IFERROR(__xludf.DUMMYFUNCTION("""COMPUTED_VALUE"""),FALSE)</f>
        <v>0</v>
      </c>
      <c r="H21" s="15" t="str">
        <f>IFERROR(__xludf.DUMMYFUNCTION("""COMPUTED_VALUE"""),"The SEO Works")</f>
        <v>The SEO Works</v>
      </c>
      <c r="I21" s="15">
        <f>IFERROR(__xludf.DUMMYFUNCTION("""COMPUTED_VALUE"""),1.0)</f>
        <v>1</v>
      </c>
      <c r="J21" s="15">
        <f>IFERROR(__xludf.DUMMYFUNCTION("""COMPUTED_VALUE"""),0.0)</f>
        <v>0</v>
      </c>
      <c r="K21" s="15">
        <f>IFERROR(__xludf.DUMMYFUNCTION("""COMPUTED_VALUE"""),2.0)</f>
        <v>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location=":~:text=In%20the%20UK%2C%20many%20big,enjoy%20the%20outstanding%20training%20programs." ref="A7"/>
    <hyperlink r:id="rId11" ref="C7"/>
    <hyperlink r:id="rId12" ref="A8"/>
    <hyperlink r:id="rId13" ref="C8"/>
    <hyperlink r:id="rId14" ref="A9"/>
    <hyperlink r:id="rId15" ref="C9"/>
    <hyperlink r:id="rId16" ref="A10"/>
    <hyperlink r:id="rId17" ref="C10"/>
    <hyperlink r:id="rId18" location=":~:text=AEO%20Collective%20is%20good%2C%20they,3mo%20ago"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s>
  <drawing r:id="rId4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All'!D2:D1000)))=""homepage""
  ),
  """"
)"),"https://purealanalytics.co.uk/")</f>
        <v>https://purealanalytics.co.uk/</v>
      </c>
      <c r="B2" s="15" t="str">
        <f>IFERROR(__xludf.DUMMYFUNCTION("""COMPUTED_VALUE"""),"Pureal Analytics — Marketing measurement, modelled properly")</f>
        <v>Pureal Analytics — Marketing measurement, modelled properly</v>
      </c>
      <c r="C2" s="14" t="str">
        <f>IFERROR(__xludf.DUMMYFUNCTION("""COMPUTED_VALUE"""),"purealanalytics.co.uk")</f>
        <v>purealanalytics.co.uk</v>
      </c>
      <c r="D2" s="15" t="str">
        <f>IFERROR(__xludf.DUMMYFUNCTION("""COMPUTED_VALUE"""),"HOMEPAGE")</f>
        <v>HOMEPAGE</v>
      </c>
      <c r="E2" s="15" t="str">
        <f>IFERROR(__xludf.DUMMYFUNCTION("""COMPUTED_VALUE"""),"COMPETITOR")</f>
        <v>COMPETITOR</v>
      </c>
      <c r="F2" s="15" t="str">
        <f>IFERROR(__xludf.DUMMYFUNCTION("""COMPUTED_VALUE"""),"Homepage")</f>
        <v>Homepage</v>
      </c>
      <c r="G2" s="15" t="b">
        <f>IFERROR(__xludf.DUMMYFUNCTION("""COMPUTED_VALUE"""),FALSE)</f>
        <v>0</v>
      </c>
      <c r="H2" s="15" t="str">
        <f>IFERROR(__xludf.DUMMYFUNCTION("""COMPUTED_VALUE"""),"Pureal Analytics")</f>
        <v>Pureal Analytics</v>
      </c>
      <c r="I2" s="15">
        <f>IFERROR(__xludf.DUMMYFUNCTION("""COMPUTED_VALUE"""),27.0)</f>
        <v>27</v>
      </c>
      <c r="J2" s="15">
        <f>IFERROR(__xludf.DUMMYFUNCTION("""COMPUTED_VALUE"""),0.03)</f>
        <v>0.03</v>
      </c>
      <c r="K2" s="15">
        <f>IFERROR(__xludf.DUMMYFUNCTION("""COMPUTED_VALUE"""),2.19)</f>
        <v>2.19</v>
      </c>
    </row>
    <row r="3" ht="15.75" customHeight="1">
      <c r="A3" s="14" t="str">
        <f>IFERROR(__xludf.DUMMYFUNCTION("""COMPUTED_VALUE"""),"https://www.found.co.uk/#:~:text=Found%20is%20the%20AI%2Dfirst,performance%20across%20every%20searchable%20platform.")</f>
        <v>https://www.found.co.uk/#:~:text=Found%20is%20the%20AI%2Dfirst,performance%20across%20every%20searchable%20platform.</v>
      </c>
      <c r="B3" s="15" t="str">
        <f>IFERROR(__xludf.DUMMYFUNCTION("""COMPUTED_VALUE"""),"Digital Marketing Agency London | Digital Agency UK | Found")</f>
        <v>Digital Marketing Agency London | Digital Agency UK | Found</v>
      </c>
      <c r="C3" s="14" t="str">
        <f>IFERROR(__xludf.DUMMYFUNCTION("""COMPUTED_VALUE"""),"found.co.uk")</f>
        <v>found.co.uk</v>
      </c>
      <c r="D3" s="15" t="str">
        <f>IFERROR(__xludf.DUMMYFUNCTION("""COMPUTED_VALUE"""),"HOMEPAGE")</f>
        <v>HOMEPAGE</v>
      </c>
      <c r="E3" s="15" t="str">
        <f>IFERROR(__xludf.DUMMYFUNCTION("""COMPUTED_VALUE"""),"CORPORATE")</f>
        <v>CORPORATE</v>
      </c>
      <c r="F3" s="15" t="str">
        <f>IFERROR(__xludf.DUMMYFUNCTION("""COMPUTED_VALUE"""),"Homepage")</f>
        <v>Homepage</v>
      </c>
      <c r="G3" s="15" t="b">
        <f>IFERROR(__xludf.DUMMYFUNCTION("""COMPUTED_VALUE"""),FALSE)</f>
        <v>0</v>
      </c>
      <c r="H3" s="15" t="str">
        <f>IFERROR(__xludf.DUMMYFUNCTION("""COMPUTED_VALUE"""),"Found, Power Digital")</f>
        <v>Found, Power Digital</v>
      </c>
      <c r="I3" s="15">
        <f>IFERROR(__xludf.DUMMYFUNCTION("""COMPUTED_VALUE"""),25.0)</f>
        <v>25</v>
      </c>
      <c r="J3" s="15">
        <f>IFERROR(__xludf.DUMMYFUNCTION("""COMPUTED_VALUE"""),0.02)</f>
        <v>0.02</v>
      </c>
      <c r="K3" s="15">
        <f>IFERROR(__xludf.DUMMYFUNCTION("""COMPUTED_VALUE"""),1.0)</f>
        <v>1</v>
      </c>
    </row>
    <row r="4" ht="15.75" customHeight="1">
      <c r="A4" s="14" t="str">
        <f>IFERROR(__xludf.DUMMYFUNCTION("""COMPUTED_VALUE"""),"https://wearesocial.com/uk/")</f>
        <v>https://wearesocial.com/uk/</v>
      </c>
      <c r="B4" s="15" t="str">
        <f>IFERROR(__xludf.DUMMYFUNCTION("""COMPUTED_VALUE"""),"Creative Agency - We Are Social UK")</f>
        <v>Creative Agency - We Are Social UK</v>
      </c>
      <c r="C4" s="14" t="str">
        <f>IFERROR(__xludf.DUMMYFUNCTION("""COMPUTED_VALUE"""),"wearesocial.com")</f>
        <v>wearesocial.com</v>
      </c>
      <c r="D4" s="15" t="str">
        <f>IFERROR(__xludf.DUMMYFUNCTION("""COMPUTED_VALUE"""),"HOMEPAGE")</f>
        <v>HOMEPAGE</v>
      </c>
      <c r="E4" s="15" t="str">
        <f>IFERROR(__xludf.DUMMYFUNCTION("""COMPUTED_VALUE"""),"COMPETITOR")</f>
        <v>COMPETITOR</v>
      </c>
      <c r="F4" s="15" t="str">
        <f>IFERROR(__xludf.DUMMYFUNCTION("""COMPUTED_VALUE"""),"Homepage")</f>
        <v>Homepage</v>
      </c>
      <c r="G4" s="15" t="b">
        <f>IFERROR(__xludf.DUMMYFUNCTION("""COMPUTED_VALUE"""),FALSE)</f>
        <v>0</v>
      </c>
      <c r="H4" s="15" t="str">
        <f>IFERROR(__xludf.DUMMYFUNCTION("""COMPUTED_VALUE"""),"We Are Social")</f>
        <v>We Are Social</v>
      </c>
      <c r="I4" s="15">
        <f>IFERROR(__xludf.DUMMYFUNCTION("""COMPUTED_VALUE"""),21.0)</f>
        <v>21</v>
      </c>
      <c r="J4" s="15">
        <f>IFERROR(__xludf.DUMMYFUNCTION("""COMPUTED_VALUE"""),0.02)</f>
        <v>0.02</v>
      </c>
      <c r="K4" s="15">
        <f>IFERROR(__xludf.DUMMYFUNCTION("""COMPUTED_VALUE"""),1.05)</f>
        <v>1.05</v>
      </c>
    </row>
    <row r="5" ht="15.75" customHeight="1">
      <c r="A5" s="14" t="str">
        <f>IFERROR(__xludf.DUMMYFUNCTION("""COMPUTED_VALUE"""),"https://seocompare.co.uk/")</f>
        <v>https://seocompare.co.uk/</v>
      </c>
      <c r="B5" s="15" t="str">
        <f>IFERROR(__xludf.DUMMYFUNCTION("""COMPUTED_VALUE"""),"Compare AI Search Optimisation Agencies &amp;amp; Tools | SEOCompare")</f>
        <v>Compare AI Search Optimisation Agencies &amp;amp; Tools | SEOCompare</v>
      </c>
      <c r="C5" s="14" t="str">
        <f>IFERROR(__xludf.DUMMYFUNCTION("""COMPUTED_VALUE"""),"seocompare.co.uk")</f>
        <v>seocompare.co.uk</v>
      </c>
      <c r="D5" s="15" t="str">
        <f>IFERROR(__xludf.DUMMYFUNCTION("""COMPUTED_VALUE"""),"HOMEPAGE")</f>
        <v>HOMEPAGE</v>
      </c>
      <c r="E5" s="15" t="str">
        <f>IFERROR(__xludf.DUMMYFUNCTION("""COMPUTED_VALUE"""),"EDITORIAL")</f>
        <v>EDITORIAL</v>
      </c>
      <c r="F5" s="15" t="str">
        <f>IFERROR(__xludf.DUMMYFUNCTION("""COMPUTED_VALUE"""),"Homepage")</f>
        <v>Homepage</v>
      </c>
      <c r="G5" s="15" t="b">
        <f>IFERROR(__xludf.DUMMYFUNCTION("""COMPUTED_VALUE"""),FALSE)</f>
        <v>0</v>
      </c>
      <c r="H5" s="15" t="str">
        <f>IFERROR(__xludf.DUMMYFUNCTION("""COMPUTED_VALUE"""),"Rank4AI")</f>
        <v>Rank4AI</v>
      </c>
      <c r="I5" s="15">
        <f>IFERROR(__xludf.DUMMYFUNCTION("""COMPUTED_VALUE"""),18.0)</f>
        <v>18</v>
      </c>
      <c r="J5" s="15">
        <f>IFERROR(__xludf.DUMMYFUNCTION("""COMPUTED_VALUE"""),0.02)</f>
        <v>0.02</v>
      </c>
      <c r="K5" s="15">
        <f>IFERROR(__xludf.DUMMYFUNCTION("""COMPUTED_VALUE"""),1.22)</f>
        <v>1.22</v>
      </c>
    </row>
    <row r="6" ht="15.75" customHeight="1">
      <c r="A6" s="14" t="str">
        <f>IFERROR(__xludf.DUMMYFUNCTION("""COMPUTED_VALUE"""),"https://getaiready.uk/")</f>
        <v>https://getaiready.uk/</v>
      </c>
      <c r="B6" s="15" t="str">
        <f>IFERROR(__xludf.DUMMYFUNCTION("""COMPUTED_VALUE"""),"Databricks Partner UK | AI Consulting")</f>
        <v>Databricks Partner UK | AI Consulting</v>
      </c>
      <c r="C6" s="14" t="str">
        <f>IFERROR(__xludf.DUMMYFUNCTION("""COMPUTED_VALUE"""),"getaiready.uk")</f>
        <v>getaiready.uk</v>
      </c>
      <c r="D6" s="15" t="str">
        <f>IFERROR(__xludf.DUMMYFUNCTION("""COMPUTED_VALUE"""),"HOMEPAGE")</f>
        <v>HOMEPAGE</v>
      </c>
      <c r="E6" s="15" t="str">
        <f>IFERROR(__xludf.DUMMYFUNCTION("""COMPUTED_VALUE"""),"CORPORATE")</f>
        <v>CORPORATE</v>
      </c>
      <c r="F6" s="15" t="str">
        <f>IFERROR(__xludf.DUMMYFUNCTION("""COMPUTED_VALUE"""),"Homepage")</f>
        <v>Homepage</v>
      </c>
      <c r="G6" s="15" t="b">
        <f>IFERROR(__xludf.DUMMYFUNCTION("""COMPUTED_VALUE"""),FALSE)</f>
        <v>0</v>
      </c>
      <c r="H6" s="15" t="str">
        <f>IFERROR(__xludf.DUMMYFUNCTION("""COMPUTED_VALUE"""),"Momentum, Artefact, Push")</f>
        <v>Momentum, Artefact, Push</v>
      </c>
      <c r="I6" s="15">
        <f>IFERROR(__xludf.DUMMYFUNCTION("""COMPUTED_VALUE"""),14.0)</f>
        <v>14</v>
      </c>
      <c r="J6" s="15">
        <f>IFERROR(__xludf.DUMMYFUNCTION("""COMPUTED_VALUE"""),0.01)</f>
        <v>0.01</v>
      </c>
      <c r="K6" s="15">
        <f>IFERROR(__xludf.DUMMYFUNCTION("""COMPUTED_VALUE"""),1.14)</f>
        <v>1.14</v>
      </c>
    </row>
    <row r="7" ht="15.75" customHeight="1">
      <c r="A7" s="14" t="str">
        <f>IFERROR(__xludf.DUMMYFUNCTION("""COMPUTED_VALUE"""),"https://iwantmore.ai/")</f>
        <v>https://iwantmore.ai/</v>
      </c>
      <c r="B7" s="15" t="str">
        <f>IFERROR(__xludf.DUMMYFUNCTION("""COMPUTED_VALUE"""),"AI Consulting Firm | AI and Automation Consultancy Services UK")</f>
        <v>AI Consulting Firm | AI and Automation Consultancy Services UK</v>
      </c>
      <c r="C7" s="14" t="str">
        <f>IFERROR(__xludf.DUMMYFUNCTION("""COMPUTED_VALUE"""),"iwantmore.ai")</f>
        <v>iwantmore.ai</v>
      </c>
      <c r="D7" s="15" t="str">
        <f>IFERROR(__xludf.DUMMYFUNCTION("""COMPUTED_VALUE"""),"HOMEPAGE")</f>
        <v>HOMEPAGE</v>
      </c>
      <c r="E7" s="15" t="str">
        <f>IFERROR(__xludf.DUMMYFUNCTION("""COMPUTED_VALUE"""),"CORPORATE")</f>
        <v>CORPORATE</v>
      </c>
      <c r="F7" s="15" t="str">
        <f>IFERROR(__xludf.DUMMYFUNCTION("""COMPUTED_VALUE"""),"Homepage")</f>
        <v>Homepage</v>
      </c>
      <c r="G7" s="15" t="b">
        <f>IFERROR(__xludf.DUMMYFUNCTION("""COMPUTED_VALUE"""),FALSE)</f>
        <v>0</v>
      </c>
      <c r="H7" s="15"/>
      <c r="I7" s="15">
        <f>IFERROR(__xludf.DUMMYFUNCTION("""COMPUTED_VALUE"""),12.0)</f>
        <v>12</v>
      </c>
      <c r="J7" s="15">
        <f>IFERROR(__xludf.DUMMYFUNCTION("""COMPUTED_VALUE"""),0.01)</f>
        <v>0.01</v>
      </c>
      <c r="K7" s="15">
        <f>IFERROR(__xludf.DUMMYFUNCTION("""COMPUTED_VALUE"""),0.92)</f>
        <v>0.92</v>
      </c>
    </row>
    <row r="8" ht="15.75" customHeight="1">
      <c r="A8" s="14" t="str">
        <f>IFERROR(__xludf.DUMMYFUNCTION("""COMPUTED_VALUE"""),"https://www.partnersdirectory.withgoogle.com/")</f>
        <v>https://www.partnersdirectory.withgoogle.com/</v>
      </c>
      <c r="B8" s="15" t="str">
        <f>IFERROR(__xludf.DUMMYFUNCTION("""COMPUTED_VALUE"""),"Google Partners Directory - Find a Partner for Business Growth")</f>
        <v>Google Partners Directory - Find a Partner for Business Growth</v>
      </c>
      <c r="C8" s="14" t="str">
        <f>IFERROR(__xludf.DUMMYFUNCTION("""COMPUTED_VALUE"""),"withgoogle.com")</f>
        <v>withgoogle.com</v>
      </c>
      <c r="D8" s="15" t="str">
        <f>IFERROR(__xludf.DUMMYFUNCTION("""COMPUTED_VALUE"""),"HOMEPAGE")</f>
        <v>HOMEPAGE</v>
      </c>
      <c r="E8" s="15" t="str">
        <f>IFERROR(__xludf.DUMMYFUNCTION("""COMPUTED_VALUE"""),"CORPORATE")</f>
        <v>CORPORATE</v>
      </c>
      <c r="F8" s="15" t="str">
        <f>IFERROR(__xludf.DUMMYFUNCTION("""COMPUTED_VALUE"""),"Homepage")</f>
        <v>Homepage</v>
      </c>
      <c r="G8" s="15" t="b">
        <f>IFERROR(__xludf.DUMMYFUNCTION("""COMPUTED_VALUE"""),FALSE)</f>
        <v>0</v>
      </c>
      <c r="H8" s="15" t="str">
        <f>IFERROR(__xludf.DUMMYFUNCTION("""COMPUTED_VALUE"""),"Acadia")</f>
        <v>Acadia</v>
      </c>
      <c r="I8" s="15">
        <f>IFERROR(__xludf.DUMMYFUNCTION("""COMPUTED_VALUE"""),12.0)</f>
        <v>12</v>
      </c>
      <c r="J8" s="15">
        <f>IFERROR(__xludf.DUMMYFUNCTION("""COMPUTED_VALUE"""),0.01)</f>
        <v>0.01</v>
      </c>
      <c r="K8" s="15">
        <f>IFERROR(__xludf.DUMMYFUNCTION("""COMPUTED_VALUE"""),1.17)</f>
        <v>1.17</v>
      </c>
    </row>
    <row r="9" ht="15.75" customHeight="1">
      <c r="A9" s="14" t="str">
        <f>IFERROR(__xludf.DUMMYFUNCTION("""COMPUTED_VALUE"""),"https://pinemarsh.com/")</f>
        <v>https://pinemarsh.com/</v>
      </c>
      <c r="B9" s="15" t="str">
        <f>IFERROR(__xludf.DUMMYFUNCTION("""COMPUTED_VALUE"""),"Pinemarsh — Independent Marketing Measurement")</f>
        <v>Pinemarsh — Independent Marketing Measurement</v>
      </c>
      <c r="C9" s="14" t="str">
        <f>IFERROR(__xludf.DUMMYFUNCTION("""COMPUTED_VALUE"""),"pinemarsh.com")</f>
        <v>pinemarsh.com</v>
      </c>
      <c r="D9" s="15" t="str">
        <f>IFERROR(__xludf.DUMMYFUNCTION("""COMPUTED_VALUE"""),"HOMEPAGE")</f>
        <v>HOMEPAGE</v>
      </c>
      <c r="E9" s="15" t="str">
        <f>IFERROR(__xludf.DUMMYFUNCTION("""COMPUTED_VALUE"""),"CORPORATE")</f>
        <v>CORPORATE</v>
      </c>
      <c r="F9" s="15" t="str">
        <f>IFERROR(__xludf.DUMMYFUNCTION("""COMPUTED_VALUE"""),"Homepage")</f>
        <v>Homepage</v>
      </c>
      <c r="G9" s="15" t="b">
        <f>IFERROR(__xludf.DUMMYFUNCTION("""COMPUTED_VALUE"""),FALSE)</f>
        <v>0</v>
      </c>
      <c r="H9" s="15"/>
      <c r="I9" s="15">
        <f>IFERROR(__xludf.DUMMYFUNCTION("""COMPUTED_VALUE"""),10.0)</f>
        <v>10</v>
      </c>
      <c r="J9" s="15">
        <f>IFERROR(__xludf.DUMMYFUNCTION("""COMPUTED_VALUE"""),0.01)</f>
        <v>0.01</v>
      </c>
      <c r="K9" s="15">
        <f>IFERROR(__xludf.DUMMYFUNCTION("""COMPUTED_VALUE"""),1.5)</f>
        <v>1.5</v>
      </c>
    </row>
    <row r="10" ht="15.75" customHeight="1">
      <c r="A10" s="14" t="str">
        <f>IFERROR(__xludf.DUMMYFUNCTION("""COMPUTED_VALUE"""),"https://aeoagencyservices.com/aeo-uk")</f>
        <v>https://aeoagencyservices.com/aeo-uk</v>
      </c>
      <c r="B10" s="15" t="str">
        <f>IFERROR(__xludf.DUMMYFUNCTION("""COMPUTED_VALUE"""),"Top AEO Services UK | Expert AEO Agency United Kingdom")</f>
        <v>Top AEO Services UK | Expert AEO Agency United Kingdom</v>
      </c>
      <c r="C10" s="14" t="str">
        <f>IFERROR(__xludf.DUMMYFUNCTION("""COMPUTED_VALUE"""),"aeoagencyservices.com")</f>
        <v>aeoagencyservices.com</v>
      </c>
      <c r="D10" s="15" t="str">
        <f>IFERROR(__xludf.DUMMYFUNCTION("""COMPUTED_VALUE"""),"HOMEPAGE")</f>
        <v>HOMEPAGE</v>
      </c>
      <c r="E10" s="15" t="str">
        <f>IFERROR(__xludf.DUMMYFUNCTION("""COMPUTED_VALUE"""),"CORPORATE")</f>
        <v>CORPORATE</v>
      </c>
      <c r="F10" s="15" t="str">
        <f>IFERROR(__xludf.DUMMYFUNCTION("""COMPUTED_VALUE"""),"Homepage")</f>
        <v>Homepage</v>
      </c>
      <c r="G10" s="15" t="b">
        <f>IFERROR(__xludf.DUMMYFUNCTION("""COMPUTED_VALUE"""),FALSE)</f>
        <v>0</v>
      </c>
      <c r="H10" s="15"/>
      <c r="I10" s="15">
        <f>IFERROR(__xludf.DUMMYFUNCTION("""COMPUTED_VALUE"""),9.0)</f>
        <v>9</v>
      </c>
      <c r="J10" s="15">
        <f>IFERROR(__xludf.DUMMYFUNCTION("""COMPUTED_VALUE"""),0.01)</f>
        <v>0.01</v>
      </c>
      <c r="K10" s="15">
        <f>IFERROR(__xludf.DUMMYFUNCTION("""COMPUTED_VALUE"""),0.0)</f>
        <v>0</v>
      </c>
    </row>
    <row r="11" ht="15.75" customHeight="1">
      <c r="A11" s="14" t="str">
        <f>IFERROR(__xludf.DUMMYFUNCTION("""COMPUTED_VALUE"""),"https://www.giraffesocialmedia.co.uk/")</f>
        <v>https://www.giraffesocialmedia.co.uk/</v>
      </c>
      <c r="B11" s="15" t="str">
        <f>IFERROR(__xludf.DUMMYFUNCTION("""COMPUTED_VALUE"""),"Social Media Agency UK | Human-First | Giraffe Social")</f>
        <v>Social Media Agency UK | Human-First | Giraffe Social</v>
      </c>
      <c r="C11" s="14" t="str">
        <f>IFERROR(__xludf.DUMMYFUNCTION("""COMPUTED_VALUE"""),"giraffesocialmedia.co.uk")</f>
        <v>giraffesocialmedia.co.uk</v>
      </c>
      <c r="D11" s="15" t="str">
        <f>IFERROR(__xludf.DUMMYFUNCTION("""COMPUTED_VALUE"""),"HOMEPAGE")</f>
        <v>HOMEPAGE</v>
      </c>
      <c r="E11" s="15" t="str">
        <f>IFERROR(__xludf.DUMMYFUNCTION("""COMPUTED_VALUE"""),"CORPORATE")</f>
        <v>CORPORATE</v>
      </c>
      <c r="F11" s="15" t="str">
        <f>IFERROR(__xludf.DUMMYFUNCTION("""COMPUTED_VALUE"""),"Homepage")</f>
        <v>Homepage</v>
      </c>
      <c r="G11" s="15" t="b">
        <f>IFERROR(__xludf.DUMMYFUNCTION("""COMPUTED_VALUE"""),FALSE)</f>
        <v>0</v>
      </c>
      <c r="H11" s="15" t="str">
        <f>IFERROR(__xludf.DUMMYFUNCTION("""COMPUTED_VALUE"""),"Momentum, Huge")</f>
        <v>Momentum, Huge</v>
      </c>
      <c r="I11" s="15">
        <f>IFERROR(__xludf.DUMMYFUNCTION("""COMPUTED_VALUE"""),9.0)</f>
        <v>9</v>
      </c>
      <c r="J11" s="15">
        <f>IFERROR(__xludf.DUMMYFUNCTION("""COMPUTED_VALUE"""),0.01)</f>
        <v>0.01</v>
      </c>
      <c r="K11" s="15">
        <f>IFERROR(__xludf.DUMMYFUNCTION("""COMPUTED_VALUE"""),0.0)</f>
        <v>0</v>
      </c>
    </row>
    <row r="12" ht="15.75" customHeight="1">
      <c r="A12" s="14" t="str">
        <f>IFERROR(__xludf.DUMMYFUNCTION("""COMPUTED_VALUE"""),"https://atomicdigitalmarketing.co.uk/")</f>
        <v>https://atomicdigitalmarketing.co.uk/</v>
      </c>
      <c r="B12" s="15" t="str">
        <f>IFERROR(__xludf.DUMMYFUNCTION("""COMPUTED_VALUE"""),"Top Digital Marketing Agency UK | Full Service Online Marketing Company")</f>
        <v>Top Digital Marketing Agency UK | Full Service Online Marketing Company</v>
      </c>
      <c r="C12" s="14" t="str">
        <f>IFERROR(__xludf.DUMMYFUNCTION("""COMPUTED_VALUE"""),"atomicdigitalmarketing.co.uk")</f>
        <v>atomicdigitalmarketing.co.uk</v>
      </c>
      <c r="D12" s="15" t="str">
        <f>IFERROR(__xludf.DUMMYFUNCTION("""COMPUTED_VALUE"""),"HOMEPAGE")</f>
        <v>HOMEPAGE</v>
      </c>
      <c r="E12" s="15" t="str">
        <f>IFERROR(__xludf.DUMMYFUNCTION("""COMPUTED_VALUE"""),"CORPORATE")</f>
        <v>CORPORATE</v>
      </c>
      <c r="F12" s="15" t="str">
        <f>IFERROR(__xludf.DUMMYFUNCTION("""COMPUTED_VALUE"""),"Homepage")</f>
        <v>Homepage</v>
      </c>
      <c r="G12" s="15" t="b">
        <f>IFERROR(__xludf.DUMMYFUNCTION("""COMPUTED_VALUE"""),FALSE)</f>
        <v>0</v>
      </c>
      <c r="H12" s="15"/>
      <c r="I12" s="15">
        <f>IFERROR(__xludf.DUMMYFUNCTION("""COMPUTED_VALUE"""),8.0)</f>
        <v>8</v>
      </c>
      <c r="J12" s="15">
        <f>IFERROR(__xludf.DUMMYFUNCTION("""COMPUTED_VALUE"""),0.01)</f>
        <v>0.01</v>
      </c>
      <c r="K12" s="15">
        <f>IFERROR(__xludf.DUMMYFUNCTION("""COMPUTED_VALUE"""),0.5)</f>
        <v>0.5</v>
      </c>
    </row>
    <row r="13" ht="15.75" customHeight="1">
      <c r="A13" s="14" t="str">
        <f>IFERROR(__xludf.DUMMYFUNCTION("""COMPUTED_VALUE"""),"https://www.pushgroup.co.uk/")</f>
        <v>https://www.pushgroup.co.uk/</v>
      </c>
      <c r="B13" s="15" t="str">
        <f>IFERROR(__xludf.DUMMYFUNCTION("""COMPUTED_VALUE"""),"Push UK | Marketing Transformation. AI Acceleration | Agency")</f>
        <v>Push UK | Marketing Transformation. AI Acceleration | Agency</v>
      </c>
      <c r="C13" s="14" t="str">
        <f>IFERROR(__xludf.DUMMYFUNCTION("""COMPUTED_VALUE"""),"pushgroup.co.uk")</f>
        <v>pushgroup.co.uk</v>
      </c>
      <c r="D13" s="15" t="str">
        <f>IFERROR(__xludf.DUMMYFUNCTION("""COMPUTED_VALUE"""),"HOMEPAGE")</f>
        <v>HOMEPAGE</v>
      </c>
      <c r="E13" s="15" t="str">
        <f>IFERROR(__xludf.DUMMYFUNCTION("""COMPUTED_VALUE"""),"COMPETITOR")</f>
        <v>COMPETITOR</v>
      </c>
      <c r="F13" s="15" t="str">
        <f>IFERROR(__xludf.DUMMYFUNCTION("""COMPUTED_VALUE"""),"Homepage")</f>
        <v>Homepage</v>
      </c>
      <c r="G13" s="15" t="b">
        <f>IFERROR(__xludf.DUMMYFUNCTION("""COMPUTED_VALUE"""),FALSE)</f>
        <v>0</v>
      </c>
      <c r="H13" s="15" t="str">
        <f>IFERROR(__xludf.DUMMYFUNCTION("""COMPUTED_VALUE"""),"Push, Push Group")</f>
        <v>Push, Push Group</v>
      </c>
      <c r="I13" s="15">
        <f>IFERROR(__xludf.DUMMYFUNCTION("""COMPUTED_VALUE"""),8.0)</f>
        <v>8</v>
      </c>
      <c r="J13" s="15">
        <f>IFERROR(__xludf.DUMMYFUNCTION("""COMPUTED_VALUE"""),0.01)</f>
        <v>0.01</v>
      </c>
      <c r="K13" s="15">
        <f>IFERROR(__xludf.DUMMYFUNCTION("""COMPUTED_VALUE"""),1.25)</f>
        <v>1.25</v>
      </c>
    </row>
    <row r="14" ht="15.75" customHeight="1">
      <c r="A14" s="14" t="str">
        <f>IFERROR(__xludf.DUMMYFUNCTION("""COMPUTED_VALUE"""),"https://sellforte.com/")</f>
        <v>https://sellforte.com/</v>
      </c>
      <c r="B14" s="15" t="str">
        <f>IFERROR(__xludf.DUMMYFUNCTION("""COMPUTED_VALUE"""),"MMM, Incrementality Testing &amp;amp; Attribution | Sellforte")</f>
        <v>MMM, Incrementality Testing &amp;amp; Attribution | Sellforte</v>
      </c>
      <c r="C14" s="14" t="str">
        <f>IFERROR(__xludf.DUMMYFUNCTION("""COMPUTED_VALUE"""),"sellforte.com")</f>
        <v>sellforte.com</v>
      </c>
      <c r="D14" s="15" t="str">
        <f>IFERROR(__xludf.DUMMYFUNCTION("""COMPUTED_VALUE"""),"HOMEPAGE")</f>
        <v>HOMEPAGE</v>
      </c>
      <c r="E14" s="15" t="str">
        <f>IFERROR(__xludf.DUMMYFUNCTION("""COMPUTED_VALUE"""),"COMPETITOR")</f>
        <v>COMPETITOR</v>
      </c>
      <c r="F14" s="15" t="str">
        <f>IFERROR(__xludf.DUMMYFUNCTION("""COMPUTED_VALUE"""),"Homepage")</f>
        <v>Homepage</v>
      </c>
      <c r="G14" s="15" t="b">
        <f>IFERROR(__xludf.DUMMYFUNCTION("""COMPUTED_VALUE"""),FALSE)</f>
        <v>0</v>
      </c>
      <c r="H14" s="15" t="str">
        <f>IFERROR(__xludf.DUMMYFUNCTION("""COMPUTED_VALUE"""),"Sellforte, Huge, Measured, Push")</f>
        <v>Sellforte, Huge, Measured, Push</v>
      </c>
      <c r="I14" s="15">
        <f>IFERROR(__xludf.DUMMYFUNCTION("""COMPUTED_VALUE"""),8.0)</f>
        <v>8</v>
      </c>
      <c r="J14" s="15">
        <f>IFERROR(__xludf.DUMMYFUNCTION("""COMPUTED_VALUE"""),0.01)</f>
        <v>0.01</v>
      </c>
      <c r="K14" s="15">
        <f>IFERROR(__xludf.DUMMYFUNCTION("""COMPUTED_VALUE"""),0.88)</f>
        <v>0.88</v>
      </c>
    </row>
    <row r="15" ht="15.75" customHeight="1">
      <c r="A15" s="14" t="str">
        <f>IFERROR(__xludf.DUMMYFUNCTION("""COMPUTED_VALUE"""),"https://bird.co.uk/ai/")</f>
        <v>https://bird.co.uk/ai/</v>
      </c>
      <c r="B15" s="15" t="str">
        <f>IFERROR(__xludf.DUMMYFUNCTION("""COMPUTED_VALUE"""),"AI Agency Consultants UK - Implement AI in Business - Bird Marketing")</f>
        <v>AI Agency Consultants UK - Implement AI in Business - Bird Marketing</v>
      </c>
      <c r="C15" s="14" t="str">
        <f>IFERROR(__xludf.DUMMYFUNCTION("""COMPUTED_VALUE"""),"bird.co.uk")</f>
        <v>bird.co.uk</v>
      </c>
      <c r="D15" s="15" t="str">
        <f>IFERROR(__xludf.DUMMYFUNCTION("""COMPUTED_VALUE"""),"HOMEPAGE")</f>
        <v>HOMEPAGE</v>
      </c>
      <c r="E15" s="15" t="str">
        <f>IFERROR(__xludf.DUMMYFUNCTION("""COMPUTED_VALUE"""),"CORPORATE")</f>
        <v>CORPORATE</v>
      </c>
      <c r="F15" s="15" t="str">
        <f>IFERROR(__xludf.DUMMYFUNCTION("""COMPUTED_VALUE"""),"Homepage")</f>
        <v>Homepage</v>
      </c>
      <c r="G15" s="15" t="b">
        <f>IFERROR(__xludf.DUMMYFUNCTION("""COMPUTED_VALUE"""),FALSE)</f>
        <v>0</v>
      </c>
      <c r="H15" s="15" t="str">
        <f>IFERROR(__xludf.DUMMYFUNCTION("""COMPUTED_VALUE"""),"Bird Marketing, Momentum")</f>
        <v>Bird Marketing, Momentum</v>
      </c>
      <c r="I15" s="15">
        <f>IFERROR(__xludf.DUMMYFUNCTION("""COMPUTED_VALUE"""),7.0)</f>
        <v>7</v>
      </c>
      <c r="J15" s="15">
        <f>IFERROR(__xludf.DUMMYFUNCTION("""COMPUTED_VALUE"""),0.01)</f>
        <v>0.01</v>
      </c>
      <c r="K15" s="15">
        <f>IFERROR(__xludf.DUMMYFUNCTION("""COMPUTED_VALUE"""),0.0)</f>
        <v>0</v>
      </c>
    </row>
    <row r="16" ht="15.75" customHeight="1">
      <c r="A16" s="14" t="str">
        <f>IFERROR(__xludf.DUMMYFUNCTION("""COMPUTED_VALUE"""),"https://www.elevenmiles.com/")</f>
        <v>https://www.elevenmiles.com/</v>
      </c>
      <c r="B16" s="15" t="str">
        <f>IFERROR(__xludf.DUMMYFUNCTION("""COMPUTED_VALUE"""),"GAIN Creative Studios")</f>
        <v>GAIN Creative Studios</v>
      </c>
      <c r="C16" s="14" t="str">
        <f>IFERROR(__xludf.DUMMYFUNCTION("""COMPUTED_VALUE"""),"elevenmiles.com")</f>
        <v>elevenmiles.com</v>
      </c>
      <c r="D16" s="15" t="str">
        <f>IFERROR(__xludf.DUMMYFUNCTION("""COMPUTED_VALUE"""),"HOMEPAGE")</f>
        <v>HOMEPAGE</v>
      </c>
      <c r="E16" s="15" t="str">
        <f>IFERROR(__xludf.DUMMYFUNCTION("""COMPUTED_VALUE"""),"CORPORATE")</f>
        <v>CORPORATE</v>
      </c>
      <c r="F16" s="15" t="str">
        <f>IFERROR(__xludf.DUMMYFUNCTION("""COMPUTED_VALUE"""),"Homepage")</f>
        <v>Homepage</v>
      </c>
      <c r="G16" s="15" t="b">
        <f>IFERROR(__xludf.DUMMYFUNCTION("""COMPUTED_VALUE"""),FALSE)</f>
        <v>0</v>
      </c>
      <c r="H16" s="15" t="str">
        <f>IFERROR(__xludf.DUMMYFUNCTION("""COMPUTED_VALUE"""),"Push")</f>
        <v>Push</v>
      </c>
      <c r="I16" s="15">
        <f>IFERROR(__xludf.DUMMYFUNCTION("""COMPUTED_VALUE"""),7.0)</f>
        <v>7</v>
      </c>
      <c r="J16" s="15">
        <f>IFERROR(__xludf.DUMMYFUNCTION("""COMPUTED_VALUE"""),0.01)</f>
        <v>0.01</v>
      </c>
      <c r="K16" s="15">
        <f>IFERROR(__xludf.DUMMYFUNCTION("""COMPUTED_VALUE"""),0.29)</f>
        <v>0.29</v>
      </c>
    </row>
    <row r="17" ht="15.75" customHeight="1">
      <c r="A17" s="14" t="str">
        <f>IFERROR(__xludf.DUMMYFUNCTION("""COMPUTED_VALUE"""),"https://londence.com/")</f>
        <v>https://londence.com/</v>
      </c>
      <c r="B17" s="15" t="str">
        <f>IFERROR(__xludf.DUMMYFUNCTION("""COMPUTED_VALUE"""),"Londence | Strategic AI Advisory for UK SMEs")</f>
        <v>Londence | Strategic AI Advisory for UK SMEs</v>
      </c>
      <c r="C17" s="14" t="str">
        <f>IFERROR(__xludf.DUMMYFUNCTION("""COMPUTED_VALUE"""),"londence.com")</f>
        <v>londence.com</v>
      </c>
      <c r="D17" s="15" t="str">
        <f>IFERROR(__xludf.DUMMYFUNCTION("""COMPUTED_VALUE"""),"HOMEPAGE")</f>
        <v>HOMEPAGE</v>
      </c>
      <c r="E17" s="15" t="str">
        <f>IFERROR(__xludf.DUMMYFUNCTION("""COMPUTED_VALUE"""),"CORPORATE")</f>
        <v>CORPORATE</v>
      </c>
      <c r="F17" s="15" t="str">
        <f>IFERROR(__xludf.DUMMYFUNCTION("""COMPUTED_VALUE"""),"Homepage")</f>
        <v>Homepage</v>
      </c>
      <c r="G17" s="15" t="b">
        <f>IFERROR(__xludf.DUMMYFUNCTION("""COMPUTED_VALUE"""),FALSE)</f>
        <v>0</v>
      </c>
      <c r="H17" s="15"/>
      <c r="I17" s="15">
        <f>IFERROR(__xludf.DUMMYFUNCTION("""COMPUTED_VALUE"""),7.0)</f>
        <v>7</v>
      </c>
      <c r="J17" s="15">
        <f>IFERROR(__xludf.DUMMYFUNCTION("""COMPUTED_VALUE"""),0.01)</f>
        <v>0.01</v>
      </c>
      <c r="K17" s="15">
        <f>IFERROR(__xludf.DUMMYFUNCTION("""COMPUTED_VALUE"""),0.57)</f>
        <v>0.57</v>
      </c>
    </row>
    <row r="18" ht="15.75" customHeight="1">
      <c r="A18" s="14" t="str">
        <f>IFERROR(__xludf.DUMMYFUNCTION("""COMPUTED_VALUE"""),"https://originmediameasurement.com/")</f>
        <v>https://originmediameasurement.com/</v>
      </c>
      <c r="B18" s="15" t="str">
        <f>IFERROR(__xludf.DUMMYFUNCTION("""COMPUTED_VALUE"""),"Home | Origin")</f>
        <v>Home | Origin</v>
      </c>
      <c r="C18" s="14" t="str">
        <f>IFERROR(__xludf.DUMMYFUNCTION("""COMPUTED_VALUE"""),"originmediameasurement.com")</f>
        <v>originmediameasurement.com</v>
      </c>
      <c r="D18" s="15" t="str">
        <f>IFERROR(__xludf.DUMMYFUNCTION("""COMPUTED_VALUE"""),"HOMEPAGE")</f>
        <v>HOMEPAGE</v>
      </c>
      <c r="E18" s="15" t="str">
        <f>IFERROR(__xludf.DUMMYFUNCTION("""COMPUTED_VALUE"""),"CORPORATE")</f>
        <v>CORPORATE</v>
      </c>
      <c r="F18" s="15" t="str">
        <f>IFERROR(__xludf.DUMMYFUNCTION("""COMPUTED_VALUE"""),"Homepage")</f>
        <v>Homepage</v>
      </c>
      <c r="G18" s="15" t="b">
        <f>IFERROR(__xludf.DUMMYFUNCTION("""COMPUTED_VALUE"""),FALSE)</f>
        <v>0</v>
      </c>
      <c r="H18" s="15" t="str">
        <f>IFERROR(__xludf.DUMMYFUNCTION("""COMPUTED_VALUE"""),"Measured, Kantar, Impression, Omnicom")</f>
        <v>Measured, Kantar, Impression, Omnicom</v>
      </c>
      <c r="I18" s="15">
        <f>IFERROR(__xludf.DUMMYFUNCTION("""COMPUTED_VALUE"""),7.0)</f>
        <v>7</v>
      </c>
      <c r="J18" s="15">
        <f>IFERROR(__xludf.DUMMYFUNCTION("""COMPUTED_VALUE"""),0.01)</f>
        <v>0.01</v>
      </c>
      <c r="K18" s="15">
        <f>IFERROR(__xludf.DUMMYFUNCTION("""COMPUTED_VALUE"""),1.14)</f>
        <v>1.14</v>
      </c>
    </row>
    <row r="19" ht="15.75" customHeight="1">
      <c r="A19" s="14" t="str">
        <f>IFERROR(__xludf.DUMMYFUNCTION("""COMPUTED_VALUE"""),"https://rethinkworks.co.uk/")</f>
        <v>https://rethinkworks.co.uk/</v>
      </c>
      <c r="B19" s="15" t="str">
        <f>IFERROR(__xludf.DUMMYFUNCTION("""COMPUTED_VALUE"""),"Rethink Works | Practical AI Services for Growing Businesses")</f>
        <v>Rethink Works | Practical AI Services for Growing Businesses</v>
      </c>
      <c r="C19" s="14" t="str">
        <f>IFERROR(__xludf.DUMMYFUNCTION("""COMPUTED_VALUE"""),"rethinkworks.co.uk")</f>
        <v>rethinkworks.co.uk</v>
      </c>
      <c r="D19" s="15" t="str">
        <f>IFERROR(__xludf.DUMMYFUNCTION("""COMPUTED_VALUE"""),"HOMEPAGE")</f>
        <v>HOMEPAGE</v>
      </c>
      <c r="E19" s="15" t="str">
        <f>IFERROR(__xludf.DUMMYFUNCTION("""COMPUTED_VALUE"""),"CORPORATE")</f>
        <v>CORPORATE</v>
      </c>
      <c r="F19" s="15" t="str">
        <f>IFERROR(__xludf.DUMMYFUNCTION("""COMPUTED_VALUE"""),"Homepage")</f>
        <v>Homepage</v>
      </c>
      <c r="G19" s="15" t="b">
        <f>IFERROR(__xludf.DUMMYFUNCTION("""COMPUTED_VALUE"""),FALSE)</f>
        <v>0</v>
      </c>
      <c r="H19" s="15"/>
      <c r="I19" s="15">
        <f>IFERROR(__xludf.DUMMYFUNCTION("""COMPUTED_VALUE"""),7.0)</f>
        <v>7</v>
      </c>
      <c r="J19" s="15">
        <f>IFERROR(__xludf.DUMMYFUNCTION("""COMPUTED_VALUE"""),0.01)</f>
        <v>0.01</v>
      </c>
      <c r="K19" s="15">
        <f>IFERROR(__xludf.DUMMYFUNCTION("""COMPUTED_VALUE"""),0.43)</f>
        <v>0.43</v>
      </c>
    </row>
    <row r="20" ht="15.75" customHeight="1">
      <c r="A20" s="14" t="str">
        <f>IFERROR(__xludf.DUMMYFUNCTION("""COMPUTED_VALUE"""),"https://www.getapexanalytics.com/")</f>
        <v>https://www.getapexanalytics.com/</v>
      </c>
      <c r="B20" s="15" t="str">
        <f>IFERROR(__xludf.DUMMYFUNCTION("""COMPUTED_VALUE"""),"Apex Analytics: Marketing Attribution &amp;amp; Incrementality Measurement")</f>
        <v>Apex Analytics: Marketing Attribution &amp;amp; Incrementality Measurement</v>
      </c>
      <c r="C20" s="14" t="str">
        <f>IFERROR(__xludf.DUMMYFUNCTION("""COMPUTED_VALUE"""),"getapexanalytics.com")</f>
        <v>getapexanalytics.com</v>
      </c>
      <c r="D20" s="15" t="str">
        <f>IFERROR(__xludf.DUMMYFUNCTION("""COMPUTED_VALUE"""),"HOMEPAGE")</f>
        <v>HOMEPAGE</v>
      </c>
      <c r="E20" s="15" t="str">
        <f>IFERROR(__xludf.DUMMYFUNCTION("""COMPUTED_VALUE"""),"CORPORATE")</f>
        <v>CORPORATE</v>
      </c>
      <c r="F20" s="15" t="str">
        <f>IFERROR(__xludf.DUMMYFUNCTION("""COMPUTED_VALUE"""),"Homepage")</f>
        <v>Homepage</v>
      </c>
      <c r="G20" s="15" t="b">
        <f>IFERROR(__xludf.DUMMYFUNCTION("""COMPUTED_VALUE"""),FALSE)</f>
        <v>0</v>
      </c>
      <c r="H20" s="15" t="str">
        <f>IFERROR(__xludf.DUMMYFUNCTION("""COMPUTED_VALUE"""),"Measured")</f>
        <v>Measured</v>
      </c>
      <c r="I20" s="15">
        <f>IFERROR(__xludf.DUMMYFUNCTION("""COMPUTED_VALUE"""),6.0)</f>
        <v>6</v>
      </c>
      <c r="J20" s="15">
        <f>IFERROR(__xludf.DUMMYFUNCTION("""COMPUTED_VALUE"""),0.01)</f>
        <v>0.01</v>
      </c>
      <c r="K20" s="15">
        <f>IFERROR(__xludf.DUMMYFUNCTION("""COMPUTED_VALUE"""),1.33)</f>
        <v>1.33</v>
      </c>
    </row>
    <row r="21" ht="15.75" customHeight="1">
      <c r="A21" s="14" t="str">
        <f>IFERROR(__xludf.DUMMYFUNCTION("""COMPUTED_VALUE"""),"https://www.intellscore.uk/")</f>
        <v>https://www.intellscore.uk/</v>
      </c>
      <c r="B21" s="15"/>
      <c r="C21" s="14" t="str">
        <f>IFERROR(__xludf.DUMMYFUNCTION("""COMPUTED_VALUE"""),"intellscore.uk")</f>
        <v>intellscore.uk</v>
      </c>
      <c r="D21" s="15" t="str">
        <f>IFERROR(__xludf.DUMMYFUNCTION("""COMPUTED_VALUE"""),"HOMEPAGE")</f>
        <v>HOMEPAGE</v>
      </c>
      <c r="E21" s="15" t="str">
        <f>IFERROR(__xludf.DUMMYFUNCTION("""COMPUTED_VALUE"""),"OTHER")</f>
        <v>OTHER</v>
      </c>
      <c r="F21" s="15" t="str">
        <f>IFERROR(__xludf.DUMMYFUNCTION("""COMPUTED_VALUE"""),"Homepage")</f>
        <v>Homepage</v>
      </c>
      <c r="G21" s="15"/>
      <c r="H21" s="15" t="str">
        <f>IFERROR(__xludf.DUMMYFUNCTION("""COMPUTED_VALUE"""),"Unknown")</f>
        <v>Unknown</v>
      </c>
      <c r="I21" s="15">
        <f>IFERROR(__xludf.DUMMYFUNCTION("""COMPUTED_VALUE"""),6.0)</f>
        <v>6</v>
      </c>
      <c r="J21" s="15">
        <f>IFERROR(__xludf.DUMMYFUNCTION("""COMPUTED_VALUE"""),0.01)</f>
        <v>0.01</v>
      </c>
      <c r="K21" s="15">
        <f>IFERROR(__xludf.DUMMYFUNCTION("""COMPUTED_VALUE"""),0.33)</f>
        <v>0.33</v>
      </c>
    </row>
    <row r="22" ht="15.75" customHeight="1">
      <c r="A22" s="14" t="str">
        <f>IFERROR(__xludf.DUMMYFUNCTION("""COMPUTED_VALUE"""),"https://www.measured.com/")</f>
        <v>https://www.measured.com/</v>
      </c>
      <c r="B22" s="15" t="str">
        <f>IFERROR(__xludf.DUMMYFUNCTION("""COMPUTED_VALUE"""),"Measured | Media Effectiveness Platform")</f>
        <v>Measured | Media Effectiveness Platform</v>
      </c>
      <c r="C22" s="14" t="str">
        <f>IFERROR(__xludf.DUMMYFUNCTION("""COMPUTED_VALUE"""),"measured.com")</f>
        <v>measured.com</v>
      </c>
      <c r="D22" s="15" t="str">
        <f>IFERROR(__xludf.DUMMYFUNCTION("""COMPUTED_VALUE"""),"HOMEPAGE")</f>
        <v>HOMEPAGE</v>
      </c>
      <c r="E22" s="15" t="str">
        <f>IFERROR(__xludf.DUMMYFUNCTION("""COMPUTED_VALUE"""),"COMPETITOR")</f>
        <v>COMPETITOR</v>
      </c>
      <c r="F22" s="15" t="str">
        <f>IFERROR(__xludf.DUMMYFUNCTION("""COMPUTED_VALUE"""),"Homepage")</f>
        <v>Homepage</v>
      </c>
      <c r="G22" s="15" t="b">
        <f>IFERROR(__xludf.DUMMYFUNCTION("""COMPUTED_VALUE"""),FALSE)</f>
        <v>0</v>
      </c>
      <c r="H22" s="15" t="str">
        <f>IFERROR(__xludf.DUMMYFUNCTION("""COMPUTED_VALUE"""),"Measured")</f>
        <v>Measured</v>
      </c>
      <c r="I22" s="15">
        <f>IFERROR(__xludf.DUMMYFUNCTION("""COMPUTED_VALUE"""),6.0)</f>
        <v>6</v>
      </c>
      <c r="J22" s="15">
        <f>IFERROR(__xludf.DUMMYFUNCTION("""COMPUTED_VALUE"""),0.01)</f>
        <v>0.01</v>
      </c>
      <c r="K22" s="15">
        <f>IFERROR(__xludf.DUMMYFUNCTION("""COMPUTED_VALUE"""),1.33)</f>
        <v>1.33</v>
      </c>
    </row>
    <row r="23" ht="15.75" customHeight="1">
      <c r="A23" s="14" t="str">
        <f>IFERROR(__xludf.DUMMYFUNCTION("""COMPUTED_VALUE"""),"https://megatrendsolutions.com/")</f>
        <v>https://megatrendsolutions.com/</v>
      </c>
      <c r="B23" s="15" t="str">
        <f>IFERROR(__xludf.DUMMYFUNCTION("""COMPUTED_VALUE"""),"Megatrend Solutions | Independent AI Readiness Consulting")</f>
        <v>Megatrend Solutions | Independent AI Readiness Consulting</v>
      </c>
      <c r="C23" s="14" t="str">
        <f>IFERROR(__xludf.DUMMYFUNCTION("""COMPUTED_VALUE"""),"megatrendsolutions.com")</f>
        <v>megatrendsolutions.com</v>
      </c>
      <c r="D23" s="15" t="str">
        <f>IFERROR(__xludf.DUMMYFUNCTION("""COMPUTED_VALUE"""),"HOMEPAGE")</f>
        <v>HOMEPAGE</v>
      </c>
      <c r="E23" s="15" t="str">
        <f>IFERROR(__xludf.DUMMYFUNCTION("""COMPUTED_VALUE"""),"CORPORATE")</f>
        <v>CORPORATE</v>
      </c>
      <c r="F23" s="15" t="str">
        <f>IFERROR(__xludf.DUMMYFUNCTION("""COMPUTED_VALUE"""),"Homepage")</f>
        <v>Homepage</v>
      </c>
      <c r="G23" s="15" t="b">
        <f>IFERROR(__xludf.DUMMYFUNCTION("""COMPUTED_VALUE"""),FALSE)</f>
        <v>0</v>
      </c>
      <c r="H23" s="15" t="str">
        <f>IFERROR(__xludf.DUMMYFUNCTION("""COMPUTED_VALUE"""),"Push")</f>
        <v>Push</v>
      </c>
      <c r="I23" s="15">
        <f>IFERROR(__xludf.DUMMYFUNCTION("""COMPUTED_VALUE"""),6.0)</f>
        <v>6</v>
      </c>
      <c r="J23" s="15">
        <f>IFERROR(__xludf.DUMMYFUNCTION("""COMPUTED_VALUE"""),0.01)</f>
        <v>0.01</v>
      </c>
      <c r="K23" s="15">
        <f>IFERROR(__xludf.DUMMYFUNCTION("""COMPUTED_VALUE"""),0.33)</f>
        <v>0.33</v>
      </c>
    </row>
    <row r="24" ht="15.75" customHeight="1">
      <c r="A24" s="14" t="str">
        <f>IFERROR(__xludf.DUMMYFUNCTION("""COMPUTED_VALUE"""),"https://thegoodmarketer.co.uk/")</f>
        <v>https://thegoodmarketer.co.uk/</v>
      </c>
      <c r="B24" s="15" t="str">
        <f>IFERROR(__xludf.DUMMYFUNCTION("""COMPUTED_VALUE"""),"Digital Marketing Agency London | The Good Marketer")</f>
        <v>Digital Marketing Agency London | The Good Marketer</v>
      </c>
      <c r="C24" s="14" t="str">
        <f>IFERROR(__xludf.DUMMYFUNCTION("""COMPUTED_VALUE"""),"thegoodmarketer.co.uk")</f>
        <v>thegoodmarketer.co.uk</v>
      </c>
      <c r="D24" s="15" t="str">
        <f>IFERROR(__xludf.DUMMYFUNCTION("""COMPUTED_VALUE"""),"HOMEPAGE")</f>
        <v>HOMEPAGE</v>
      </c>
      <c r="E24" s="15" t="str">
        <f>IFERROR(__xludf.DUMMYFUNCTION("""COMPUTED_VALUE"""),"COMPETITOR")</f>
        <v>COMPETITOR</v>
      </c>
      <c r="F24" s="15" t="str">
        <f>IFERROR(__xludf.DUMMYFUNCTION("""COMPUTED_VALUE"""),"Homepage")</f>
        <v>Homepage</v>
      </c>
      <c r="G24" s="15" t="b">
        <f>IFERROR(__xludf.DUMMYFUNCTION("""COMPUTED_VALUE"""),FALSE)</f>
        <v>0</v>
      </c>
      <c r="H24" s="15" t="str">
        <f>IFERROR(__xludf.DUMMYFUNCTION("""COMPUTED_VALUE"""),"The Good Marketer, Found, Momentum, Huge")</f>
        <v>The Good Marketer, Found, Momentum, Huge</v>
      </c>
      <c r="I24" s="15">
        <f>IFERROR(__xludf.DUMMYFUNCTION("""COMPUTED_VALUE"""),6.0)</f>
        <v>6</v>
      </c>
      <c r="J24" s="15">
        <f>IFERROR(__xludf.DUMMYFUNCTION("""COMPUTED_VALUE"""),0.01)</f>
        <v>0.01</v>
      </c>
      <c r="K24" s="15">
        <f>IFERROR(__xludf.DUMMYFUNCTION("""COMPUTED_VALUE"""),1.0)</f>
        <v>1</v>
      </c>
    </row>
    <row r="25" ht="15.75" customHeight="1">
      <c r="A25" s="14" t="str">
        <f>IFERROR(__xludf.DUMMYFUNCTION("""COMPUTED_VALUE"""),"https://aireadinesspartner.com/")</f>
        <v>https://aireadinesspartner.com/</v>
      </c>
      <c r="B25" s="15" t="str">
        <f>IFERROR(__xludf.DUMMYFUNCTION("""COMPUTED_VALUE"""),"AI Readiness Audit &amp;amp; Consultancy UK | AI Readiness Partner")</f>
        <v>AI Readiness Audit &amp;amp; Consultancy UK | AI Readiness Partner</v>
      </c>
      <c r="C25" s="14" t="str">
        <f>IFERROR(__xludf.DUMMYFUNCTION("""COMPUTED_VALUE"""),"aireadinesspartner.com")</f>
        <v>aireadinesspartner.com</v>
      </c>
      <c r="D25" s="15" t="str">
        <f>IFERROR(__xludf.DUMMYFUNCTION("""COMPUTED_VALUE"""),"HOMEPAGE")</f>
        <v>HOMEPAGE</v>
      </c>
      <c r="E25" s="15" t="str">
        <f>IFERROR(__xludf.DUMMYFUNCTION("""COMPUTED_VALUE"""),"CORPORATE")</f>
        <v>CORPORATE</v>
      </c>
      <c r="F25" s="15" t="str">
        <f>IFERROR(__xludf.DUMMYFUNCTION("""COMPUTED_VALUE"""),"Homepage")</f>
        <v>Homepage</v>
      </c>
      <c r="G25" s="15" t="b">
        <f>IFERROR(__xludf.DUMMYFUNCTION("""COMPUTED_VALUE"""),FALSE)</f>
        <v>0</v>
      </c>
      <c r="H25" s="15" t="str">
        <f>IFERROR(__xludf.DUMMYFUNCTION("""COMPUTED_VALUE"""),"Measured")</f>
        <v>Measured</v>
      </c>
      <c r="I25" s="15">
        <f>IFERROR(__xludf.DUMMYFUNCTION("""COMPUTED_VALUE"""),5.0)</f>
        <v>5</v>
      </c>
      <c r="J25" s="15">
        <f>IFERROR(__xludf.DUMMYFUNCTION("""COMPUTED_VALUE"""),0.0)</f>
        <v>0</v>
      </c>
      <c r="K25" s="15">
        <f>IFERROR(__xludf.DUMMYFUNCTION("""COMPUTED_VALUE"""),1.2)</f>
        <v>1.2</v>
      </c>
    </row>
    <row r="26" ht="15.75" customHeight="1">
      <c r="A26" s="14" t="str">
        <f>IFERROR(__xludf.DUMMYFUNCTION("""COMPUTED_VALUE"""),"https://bark.london/")</f>
        <v>https://bark.london/</v>
      </c>
      <c r="B26" s="15" t="str">
        <f>IFERROR(__xludf.DUMMYFUNCTION("""COMPUTED_VALUE"""),"Performance Marketing Agency London | Bark.London")</f>
        <v>Performance Marketing Agency London | Bark.London</v>
      </c>
      <c r="C26" s="15" t="str">
        <f>IFERROR(__xludf.DUMMYFUNCTION("""COMPUTED_VALUE"""),"bark.london")</f>
        <v>bark.london</v>
      </c>
      <c r="D26" s="15" t="str">
        <f>IFERROR(__xludf.DUMMYFUNCTION("""COMPUTED_VALUE"""),"HOMEPAGE")</f>
        <v>HOMEPAGE</v>
      </c>
      <c r="E26" s="15" t="str">
        <f>IFERROR(__xludf.DUMMYFUNCTION("""COMPUTED_VALUE"""),"COMPETITOR")</f>
        <v>COMPETITOR</v>
      </c>
      <c r="F26" s="15" t="str">
        <f>IFERROR(__xludf.DUMMYFUNCTION("""COMPUTED_VALUE"""),"Homepage")</f>
        <v>Homepage</v>
      </c>
      <c r="G26" s="15" t="b">
        <f>IFERROR(__xludf.DUMMYFUNCTION("""COMPUTED_VALUE"""),FALSE)</f>
        <v>0</v>
      </c>
      <c r="H26" s="15" t="str">
        <f>IFERROR(__xludf.DUMMYFUNCTION("""COMPUTED_VALUE"""),"Bark London")</f>
        <v>Bark London</v>
      </c>
      <c r="I26" s="15">
        <f>IFERROR(__xludf.DUMMYFUNCTION("""COMPUTED_VALUE"""),5.0)</f>
        <v>5</v>
      </c>
      <c r="J26" s="15">
        <f>IFERROR(__xludf.DUMMYFUNCTION("""COMPUTED_VALUE"""),0.0)</f>
        <v>0</v>
      </c>
      <c r="K26" s="15">
        <f>IFERROR(__xludf.DUMMYFUNCTION("""COMPUTED_VALUE"""),1.0)</f>
        <v>1</v>
      </c>
    </row>
    <row r="27" ht="15.75" customHeight="1">
      <c r="A27" s="14" t="str">
        <f>IFERROR(__xludf.DUMMYFUNCTION("""COMPUTED_VALUE"""),"https://bigspring.co.uk/")</f>
        <v>https://bigspring.co.uk/</v>
      </c>
      <c r="B27" s="15" t="str">
        <f>IFERROR(__xludf.DUMMYFUNCTION("""COMPUTED_VALUE"""),"B2B Digital Marketing Agency \| Multi-Award Winning \| Hallam")</f>
        <v>B2B Digital Marketing Agency \| Multi-Award Winning \| Hallam</v>
      </c>
      <c r="C27" s="14" t="str">
        <f>IFERROR(__xludf.DUMMYFUNCTION("""COMPUTED_VALUE"""),"bigspring.co.uk")</f>
        <v>bigspring.co.uk</v>
      </c>
      <c r="D27" s="15" t="str">
        <f>IFERROR(__xludf.DUMMYFUNCTION("""COMPUTED_VALUE"""),"HOMEPAGE")</f>
        <v>HOMEPAGE</v>
      </c>
      <c r="E27" s="15" t="str">
        <f>IFERROR(__xludf.DUMMYFUNCTION("""COMPUTED_VALUE"""),"CORPORATE")</f>
        <v>CORPORATE</v>
      </c>
      <c r="F27" s="15" t="str">
        <f>IFERROR(__xludf.DUMMYFUNCTION("""COMPUTED_VALUE"""),"Homepage")</f>
        <v>Homepage</v>
      </c>
      <c r="G27" s="15" t="b">
        <f>IFERROR(__xludf.DUMMYFUNCTION("""COMPUTED_VALUE"""),FALSE)</f>
        <v>0</v>
      </c>
      <c r="H27" s="15" t="str">
        <f>IFERROR(__xludf.DUMMYFUNCTION("""COMPUTED_VALUE"""),"Hallam, Found")</f>
        <v>Hallam, Found</v>
      </c>
      <c r="I27" s="15">
        <f>IFERROR(__xludf.DUMMYFUNCTION("""COMPUTED_VALUE"""),5.0)</f>
        <v>5</v>
      </c>
      <c r="J27" s="15">
        <f>IFERROR(__xludf.DUMMYFUNCTION("""COMPUTED_VALUE"""),0.0)</f>
        <v>0</v>
      </c>
      <c r="K27" s="15">
        <f>IFERROR(__xludf.DUMMYFUNCTION("""COMPUTED_VALUE"""),0.4)</f>
        <v>0.4</v>
      </c>
    </row>
    <row r="28" ht="15.75" customHeight="1">
      <c r="A28" s="14" t="str">
        <f>IFERROR(__xludf.DUMMYFUNCTION("""COMPUTED_VALUE"""),"https://www.kingsbury.io/")</f>
        <v>https://www.kingsbury.io/</v>
      </c>
      <c r="B28" s="15" t="str">
        <f>IFERROR(__xludf.DUMMYFUNCTION("""COMPUTED_VALUE"""),"Kingsbury | AI that ships. Strategy and systems from the same team.")</f>
        <v>Kingsbury | AI that ships. Strategy and systems from the same team.</v>
      </c>
      <c r="C28" s="14" t="str">
        <f>IFERROR(__xludf.DUMMYFUNCTION("""COMPUTED_VALUE"""),"kingsbury.io")</f>
        <v>kingsbury.io</v>
      </c>
      <c r="D28" s="15" t="str">
        <f>IFERROR(__xludf.DUMMYFUNCTION("""COMPUTED_VALUE"""),"HOMEPAGE")</f>
        <v>HOMEPAGE</v>
      </c>
      <c r="E28" s="15" t="str">
        <f>IFERROR(__xludf.DUMMYFUNCTION("""COMPUTED_VALUE"""),"CORPORATE")</f>
        <v>CORPORATE</v>
      </c>
      <c r="F28" s="15" t="str">
        <f>IFERROR(__xludf.DUMMYFUNCTION("""COMPUTED_VALUE"""),"Homepage")</f>
        <v>Homepage</v>
      </c>
      <c r="G28" s="15" t="b">
        <f>IFERROR(__xludf.DUMMYFUNCTION("""COMPUTED_VALUE"""),FALSE)</f>
        <v>0</v>
      </c>
      <c r="H28" s="15"/>
      <c r="I28" s="15">
        <f>IFERROR(__xludf.DUMMYFUNCTION("""COMPUTED_VALUE"""),5.0)</f>
        <v>5</v>
      </c>
      <c r="J28" s="15">
        <f>IFERROR(__xludf.DUMMYFUNCTION("""COMPUTED_VALUE"""),0.0)</f>
        <v>0</v>
      </c>
      <c r="K28" s="15">
        <f>IFERROR(__xludf.DUMMYFUNCTION("""COMPUTED_VALUE"""),0.6)</f>
        <v>0.6</v>
      </c>
    </row>
    <row r="29" ht="15.75" customHeight="1">
      <c r="A29" s="14" t="str">
        <f>IFERROR(__xludf.DUMMYFUNCTION("""COMPUTED_VALUE"""),"https://www.kometadvisory.com/")</f>
        <v>https://www.kometadvisory.com/</v>
      </c>
      <c r="B29" s="15" t="str">
        <f>IFERROR(__xludf.DUMMYFUNCTION("""COMPUTED_VALUE"""),"Komet Advisory — AI transformation for industrial SMBs")</f>
        <v>Komet Advisory — AI transformation for industrial SMBs</v>
      </c>
      <c r="C29" s="14" t="str">
        <f>IFERROR(__xludf.DUMMYFUNCTION("""COMPUTED_VALUE"""),"kometadvisory.com")</f>
        <v>kometadvisory.com</v>
      </c>
      <c r="D29" s="15" t="str">
        <f>IFERROR(__xludf.DUMMYFUNCTION("""COMPUTED_VALUE"""),"HOMEPAGE")</f>
        <v>HOMEPAGE</v>
      </c>
      <c r="E29" s="15" t="str">
        <f>IFERROR(__xludf.DUMMYFUNCTION("""COMPUTED_VALUE"""),"CORPORATE")</f>
        <v>CORPORATE</v>
      </c>
      <c r="F29" s="15" t="str">
        <f>IFERROR(__xludf.DUMMYFUNCTION("""COMPUTED_VALUE"""),"Homepage")</f>
        <v>Homepage</v>
      </c>
      <c r="G29" s="15" t="b">
        <f>IFERROR(__xludf.DUMMYFUNCTION("""COMPUTED_VALUE"""),FALSE)</f>
        <v>0</v>
      </c>
      <c r="H29" s="15"/>
      <c r="I29" s="15">
        <f>IFERROR(__xludf.DUMMYFUNCTION("""COMPUTED_VALUE"""),5.0)</f>
        <v>5</v>
      </c>
      <c r="J29" s="15">
        <f>IFERROR(__xludf.DUMMYFUNCTION("""COMPUTED_VALUE"""),0.0)</f>
        <v>0</v>
      </c>
      <c r="K29" s="15">
        <f>IFERROR(__xludf.DUMMYFUNCTION("""COMPUTED_VALUE"""),0.0)</f>
        <v>0</v>
      </c>
    </row>
    <row r="30" ht="15.75" customHeight="1">
      <c r="A30" s="14" t="str">
        <f>IFERROR(__xludf.DUMMYFUNCTION("""COMPUTED_VALUE"""),"https://www.marketingattribution.com/")</f>
        <v>https://www.marketingattribution.com/</v>
      </c>
      <c r="B30" s="15" t="str">
        <f>IFERROR(__xludf.DUMMYFUNCTION("""COMPUTED_VALUE"""),"Know What Works | Marketing Attribution")</f>
        <v>Know What Works | Marketing Attribution</v>
      </c>
      <c r="C30" s="14" t="str">
        <f>IFERROR(__xludf.DUMMYFUNCTION("""COMPUTED_VALUE"""),"marketingattribution.com")</f>
        <v>marketingattribution.com</v>
      </c>
      <c r="D30" s="15" t="str">
        <f>IFERROR(__xludf.DUMMYFUNCTION("""COMPUTED_VALUE"""),"HOMEPAGE")</f>
        <v>HOMEPAGE</v>
      </c>
      <c r="E30" s="15" t="str">
        <f>IFERROR(__xludf.DUMMYFUNCTION("""COMPUTED_VALUE"""),"CORPORATE")</f>
        <v>CORPORATE</v>
      </c>
      <c r="F30" s="15" t="str">
        <f>IFERROR(__xludf.DUMMYFUNCTION("""COMPUTED_VALUE"""),"Homepage")</f>
        <v>Homepage</v>
      </c>
      <c r="G30" s="15" t="b">
        <f>IFERROR(__xludf.DUMMYFUNCTION("""COMPUTED_VALUE"""),FALSE)</f>
        <v>0</v>
      </c>
      <c r="H30" s="15" t="str">
        <f>IFERROR(__xludf.DUMMYFUNCTION("""COMPUTED_VALUE"""),"Nielsen")</f>
        <v>Nielsen</v>
      </c>
      <c r="I30" s="15">
        <f>IFERROR(__xludf.DUMMYFUNCTION("""COMPUTED_VALUE"""),5.0)</f>
        <v>5</v>
      </c>
      <c r="J30" s="15">
        <f>IFERROR(__xludf.DUMMYFUNCTION("""COMPUTED_VALUE"""),0.0)</f>
        <v>0</v>
      </c>
      <c r="K30" s="15">
        <f>IFERROR(__xludf.DUMMYFUNCTION("""COMPUTED_VALUE"""),1.6)</f>
        <v>1.6</v>
      </c>
    </row>
    <row r="31" ht="15.75" customHeight="1">
      <c r="A31" s="14" t="str">
        <f>IFERROR(__xludf.DUMMYFUNCTION("""COMPUTED_VALUE"""),"https://www.ruleranalytics.com/")</f>
        <v>https://www.ruleranalytics.com/</v>
      </c>
      <c r="B31" s="15" t="str">
        <f>IFERROR(__xludf.DUMMYFUNCTION("""COMPUTED_VALUE"""),"Unified Marketing Measurement, Attribution &amp;amp; AI | Ruler Analytics")</f>
        <v>Unified Marketing Measurement, Attribution &amp;amp; AI | Ruler Analytics</v>
      </c>
      <c r="C31" s="14" t="str">
        <f>IFERROR(__xludf.DUMMYFUNCTION("""COMPUTED_VALUE"""),"ruleranalytics.com")</f>
        <v>ruleranalytics.com</v>
      </c>
      <c r="D31" s="15" t="str">
        <f>IFERROR(__xludf.DUMMYFUNCTION("""COMPUTED_VALUE"""),"HOMEPAGE")</f>
        <v>HOMEPAGE</v>
      </c>
      <c r="E31" s="15" t="str">
        <f>IFERROR(__xludf.DUMMYFUNCTION("""COMPUTED_VALUE"""),"COMPETITOR")</f>
        <v>COMPETITOR</v>
      </c>
      <c r="F31" s="15" t="str">
        <f>IFERROR(__xludf.DUMMYFUNCTION("""COMPUTED_VALUE"""),"Homepage")</f>
        <v>Homepage</v>
      </c>
      <c r="G31" s="15" t="b">
        <f>IFERROR(__xludf.DUMMYFUNCTION("""COMPUTED_VALUE"""),FALSE)</f>
        <v>0</v>
      </c>
      <c r="H31" s="15" t="str">
        <f>IFERROR(__xludf.DUMMYFUNCTION("""COMPUTED_VALUE"""),"Impression, Ruler Analytics")</f>
        <v>Impression, Ruler Analytics</v>
      </c>
      <c r="I31" s="15">
        <f>IFERROR(__xludf.DUMMYFUNCTION("""COMPUTED_VALUE"""),5.0)</f>
        <v>5</v>
      </c>
      <c r="J31" s="15">
        <f>IFERROR(__xludf.DUMMYFUNCTION("""COMPUTED_VALUE"""),0.0)</f>
        <v>0</v>
      </c>
      <c r="K31" s="15">
        <f>IFERROR(__xludf.DUMMYFUNCTION("""COMPUTED_VALUE"""),0.0)</f>
        <v>0</v>
      </c>
    </row>
    <row r="32" ht="15.75" customHeight="1">
      <c r="A32" s="14" t="str">
        <f>IFERROR(__xludf.DUMMYFUNCTION("""COMPUTED_VALUE"""),"https://aiconsultingfirms.co.uk/")</f>
        <v>https://aiconsultingfirms.co.uk/</v>
      </c>
      <c r="B32" s="15" t="str">
        <f>IFERROR(__xludf.DUMMYFUNCTION("""COMPUTED_VALUE"""),"AI Consulting Firms \| Strategic AI Planning &amp; Implementation")</f>
        <v>AI Consulting Firms \| Strategic AI Planning &amp; Implementation</v>
      </c>
      <c r="C32" s="14" t="str">
        <f>IFERROR(__xludf.DUMMYFUNCTION("""COMPUTED_VALUE"""),"aiconsultingfirms.co.uk")</f>
        <v>aiconsultingfirms.co.uk</v>
      </c>
      <c r="D32" s="15" t="str">
        <f>IFERROR(__xludf.DUMMYFUNCTION("""COMPUTED_VALUE"""),"HOMEPAGE")</f>
        <v>HOMEPAGE</v>
      </c>
      <c r="E32" s="15" t="str">
        <f>IFERROR(__xludf.DUMMYFUNCTION("""COMPUTED_VALUE"""),"CORPORATE")</f>
        <v>CORPORATE</v>
      </c>
      <c r="F32" s="15" t="str">
        <f>IFERROR(__xludf.DUMMYFUNCTION("""COMPUTED_VALUE"""),"Homepage")</f>
        <v>Homepage</v>
      </c>
      <c r="G32" s="15" t="b">
        <f>IFERROR(__xludf.DUMMYFUNCTION("""COMPUTED_VALUE"""),FALSE)</f>
        <v>0</v>
      </c>
      <c r="H32" s="15" t="str">
        <f>IFERROR(__xludf.DUMMYFUNCTION("""COMPUTED_VALUE"""),"Momentum")</f>
        <v>Momentum</v>
      </c>
      <c r="I32" s="15">
        <f>IFERROR(__xludf.DUMMYFUNCTION("""COMPUTED_VALUE"""),4.0)</f>
        <v>4</v>
      </c>
      <c r="J32" s="15">
        <f>IFERROR(__xludf.DUMMYFUNCTION("""COMPUTED_VALUE"""),0.0)</f>
        <v>0</v>
      </c>
      <c r="K32" s="15">
        <f>IFERROR(__xludf.DUMMYFUNCTION("""COMPUTED_VALUE"""),0.0)</f>
        <v>0</v>
      </c>
    </row>
    <row r="33" ht="15.75" customHeight="1">
      <c r="A33" s="14" t="str">
        <f>IFERROR(__xludf.DUMMYFUNCTION("""COMPUTED_VALUE"""),"https://www.measurelab.co.uk/")</f>
        <v>https://www.measurelab.co.uk/</v>
      </c>
      <c r="B33" s="15" t="str">
        <f>IFERROR(__xludf.DUMMYFUNCTION("""COMPUTED_VALUE"""),"Measurelab: Trusted data, intelligent decisions")</f>
        <v>Measurelab: Trusted data, intelligent decisions</v>
      </c>
      <c r="C33" s="14" t="str">
        <f>IFERROR(__xludf.DUMMYFUNCTION("""COMPUTED_VALUE"""),"measurelab.co.uk")</f>
        <v>measurelab.co.uk</v>
      </c>
      <c r="D33" s="15" t="str">
        <f>IFERROR(__xludf.DUMMYFUNCTION("""COMPUTED_VALUE"""),"HOMEPAGE")</f>
        <v>HOMEPAGE</v>
      </c>
      <c r="E33" s="15" t="str">
        <f>IFERROR(__xludf.DUMMYFUNCTION("""COMPUTED_VALUE"""),"COMPETITOR")</f>
        <v>COMPETITOR</v>
      </c>
      <c r="F33" s="15" t="str">
        <f>IFERROR(__xludf.DUMMYFUNCTION("""COMPUTED_VALUE"""),"Homepage")</f>
        <v>Homepage</v>
      </c>
      <c r="G33" s="15" t="b">
        <f>IFERROR(__xludf.DUMMYFUNCTION("""COMPUTED_VALUE"""),FALSE)</f>
        <v>0</v>
      </c>
      <c r="H33" s="15" t="str">
        <f>IFERROR(__xludf.DUMMYFUNCTION("""COMPUTED_VALUE"""),"Measurelab")</f>
        <v>Measurelab</v>
      </c>
      <c r="I33" s="15">
        <f>IFERROR(__xludf.DUMMYFUNCTION("""COMPUTED_VALUE"""),4.0)</f>
        <v>4</v>
      </c>
      <c r="J33" s="15">
        <f>IFERROR(__xludf.DUMMYFUNCTION("""COMPUTED_VALUE"""),0.0)</f>
        <v>0</v>
      </c>
      <c r="K33" s="15">
        <f>IFERROR(__xludf.DUMMYFUNCTION("""COMPUTED_VALUE"""),1.0)</f>
        <v>1</v>
      </c>
    </row>
    <row r="34" ht="15.75" customHeight="1">
      <c r="A34" s="14" t="str">
        <f>IFERROR(__xludf.DUMMYFUNCTION("""COMPUTED_VALUE"""),"https://www.stratifyadvisory.co.uk/")</f>
        <v>https://www.stratifyadvisory.co.uk/</v>
      </c>
      <c r="B34" s="15" t="str">
        <f>IFERROR(__xludf.DUMMYFUNCTION("""COMPUTED_VALUE"""),"Stratify Advisory | AI Strategy &amp;amp; Commercial Transformation")</f>
        <v>Stratify Advisory | AI Strategy &amp;amp; Commercial Transformation</v>
      </c>
      <c r="C34" s="14" t="str">
        <f>IFERROR(__xludf.DUMMYFUNCTION("""COMPUTED_VALUE"""),"stratifyadvisory.co.uk")</f>
        <v>stratifyadvisory.co.uk</v>
      </c>
      <c r="D34" s="15" t="str">
        <f>IFERROR(__xludf.DUMMYFUNCTION("""COMPUTED_VALUE"""),"HOMEPAGE")</f>
        <v>HOMEPAGE</v>
      </c>
      <c r="E34" s="15" t="str">
        <f>IFERROR(__xludf.DUMMYFUNCTION("""COMPUTED_VALUE"""),"CORPORATE")</f>
        <v>CORPORATE</v>
      </c>
      <c r="F34" s="15" t="str">
        <f>IFERROR(__xludf.DUMMYFUNCTION("""COMPUTED_VALUE"""),"Homepage")</f>
        <v>Homepage</v>
      </c>
      <c r="G34" s="15" t="b">
        <f>IFERROR(__xludf.DUMMYFUNCTION("""COMPUTED_VALUE"""),FALSE)</f>
        <v>0</v>
      </c>
      <c r="H34" s="15"/>
      <c r="I34" s="15">
        <f>IFERROR(__xludf.DUMMYFUNCTION("""COMPUTED_VALUE"""),4.0)</f>
        <v>4</v>
      </c>
      <c r="J34" s="15">
        <f>IFERROR(__xludf.DUMMYFUNCTION("""COMPUTED_VALUE"""),0.0)</f>
        <v>0</v>
      </c>
      <c r="K34" s="15">
        <f>IFERROR(__xludf.DUMMYFUNCTION("""COMPUTED_VALUE"""),0.0)</f>
        <v>0</v>
      </c>
    </row>
    <row r="35" ht="15.75" customHeight="1">
      <c r="A35" s="14" t="str">
        <f>IFERROR(__xludf.DUMMYFUNCTION("""COMPUTED_VALUE"""),"https://www.adcountable.com/")</f>
        <v>https://www.adcountable.com/</v>
      </c>
      <c r="B35" s="15"/>
      <c r="C35" s="14" t="str">
        <f>IFERROR(__xludf.DUMMYFUNCTION("""COMPUTED_VALUE"""),"adcountable.com")</f>
        <v>adcountable.com</v>
      </c>
      <c r="D35" s="15" t="str">
        <f>IFERROR(__xludf.DUMMYFUNCTION("""COMPUTED_VALUE"""),"HOMEPAGE")</f>
        <v>HOMEPAGE</v>
      </c>
      <c r="E35" s="15" t="str">
        <f>IFERROR(__xludf.DUMMYFUNCTION("""COMPUTED_VALUE"""),"CORPORATE")</f>
        <v>CORPORATE</v>
      </c>
      <c r="F35" s="15" t="str">
        <f>IFERROR(__xludf.DUMMYFUNCTION("""COMPUTED_VALUE"""),"Homepage")</f>
        <v>Homepage</v>
      </c>
      <c r="G35" s="15"/>
      <c r="H35" s="15" t="str">
        <f>IFERROR(__xludf.DUMMYFUNCTION("""COMPUTED_VALUE"""),"Unknown")</f>
        <v>Unknown</v>
      </c>
      <c r="I35" s="15">
        <f>IFERROR(__xludf.DUMMYFUNCTION("""COMPUTED_VALUE"""),3.0)</f>
        <v>3</v>
      </c>
      <c r="J35" s="15">
        <f>IFERROR(__xludf.DUMMYFUNCTION("""COMPUTED_VALUE"""),0.0)</f>
        <v>0</v>
      </c>
      <c r="K35" s="15">
        <f>IFERROR(__xludf.DUMMYFUNCTION("""COMPUTED_VALUE"""),1.0)</f>
        <v>1</v>
      </c>
    </row>
    <row r="36" ht="15.75" customHeight="1">
      <c r="A36" s="14" t="str">
        <f>IFERROR(__xludf.DUMMYFUNCTION("""COMPUTED_VALUE"""),"https://www.airconsulting.ai/")</f>
        <v>https://www.airconsulting.ai/</v>
      </c>
      <c r="B36" s="15"/>
      <c r="C36" s="14" t="str">
        <f>IFERROR(__xludf.DUMMYFUNCTION("""COMPUTED_VALUE"""),"airconsulting.ai")</f>
        <v>airconsulting.ai</v>
      </c>
      <c r="D36" s="15" t="str">
        <f>IFERROR(__xludf.DUMMYFUNCTION("""COMPUTED_VALUE"""),"HOMEPAGE")</f>
        <v>HOMEPAGE</v>
      </c>
      <c r="E36" s="15" t="str">
        <f>IFERROR(__xludf.DUMMYFUNCTION("""COMPUTED_VALUE"""),"CORPORATE")</f>
        <v>CORPORATE</v>
      </c>
      <c r="F36" s="15" t="str">
        <f>IFERROR(__xludf.DUMMYFUNCTION("""COMPUTED_VALUE"""),"Homepage")</f>
        <v>Homepage</v>
      </c>
      <c r="G36" s="15"/>
      <c r="H36" s="15" t="str">
        <f>IFERROR(__xludf.DUMMYFUNCTION("""COMPUTED_VALUE"""),"Unknown")</f>
        <v>Unknown</v>
      </c>
      <c r="I36" s="15">
        <f>IFERROR(__xludf.DUMMYFUNCTION("""COMPUTED_VALUE"""),3.0)</f>
        <v>3</v>
      </c>
      <c r="J36" s="15">
        <f>IFERROR(__xludf.DUMMYFUNCTION("""COMPUTED_VALUE"""),0.0)</f>
        <v>0</v>
      </c>
      <c r="K36" s="15">
        <f>IFERROR(__xludf.DUMMYFUNCTION("""COMPUTED_VALUE"""),2.33)</f>
        <v>2.33</v>
      </c>
    </row>
    <row r="37" ht="15.75" customHeight="1">
      <c r="A37" s="14" t="str">
        <f>IFERROR(__xludf.DUMMYFUNCTION("""COMPUTED_VALUE"""),"https://www.bimodal.io/")</f>
        <v>https://www.bimodal.io/</v>
      </c>
      <c r="B37" s="15" t="str">
        <f>IFERROR(__xludf.DUMMYFUNCTION("""COMPUTED_VALUE"""),"Marketing Science Platform. Experiment, validate, and optimise your marketing with Bimodal")</f>
        <v>Marketing Science Platform. Experiment, validate, and optimise your marketing with Bimodal</v>
      </c>
      <c r="C37" s="14" t="str">
        <f>IFERROR(__xludf.DUMMYFUNCTION("""COMPUTED_VALUE"""),"bimodal.io")</f>
        <v>bimodal.io</v>
      </c>
      <c r="D37" s="15" t="str">
        <f>IFERROR(__xludf.DUMMYFUNCTION("""COMPUTED_VALUE"""),"HOMEPAGE")</f>
        <v>HOMEPAGE</v>
      </c>
      <c r="E37" s="15" t="str">
        <f>IFERROR(__xludf.DUMMYFUNCTION("""COMPUTED_VALUE"""),"CORPORATE")</f>
        <v>CORPORATE</v>
      </c>
      <c r="F37" s="15" t="str">
        <f>IFERROR(__xludf.DUMMYFUNCTION("""COMPUTED_VALUE"""),"Homepage")</f>
        <v>Homepage</v>
      </c>
      <c r="G37" s="15" t="b">
        <f>IFERROR(__xludf.DUMMYFUNCTION("""COMPUTED_VALUE"""),FALSE)</f>
        <v>0</v>
      </c>
      <c r="H37" s="15"/>
      <c r="I37" s="15">
        <f>IFERROR(__xludf.DUMMYFUNCTION("""COMPUTED_VALUE"""),3.0)</f>
        <v>3</v>
      </c>
      <c r="J37" s="15">
        <f>IFERROR(__xludf.DUMMYFUNCTION("""COMPUTED_VALUE"""),0.0)</f>
        <v>0</v>
      </c>
      <c r="K37" s="15">
        <f>IFERROR(__xludf.DUMMYFUNCTION("""COMPUTED_VALUE"""),1.0)</f>
        <v>1</v>
      </c>
    </row>
    <row r="38" ht="15.75" customHeight="1">
      <c r="A38" s="14" t="str">
        <f>IFERROR(__xludf.DUMMYFUNCTION("""COMPUTED_VALUE"""),"https://bird.co.uk/")</f>
        <v>https://bird.co.uk/</v>
      </c>
      <c r="B38" s="15" t="str">
        <f>IFERROR(__xludf.DUMMYFUNCTION("""COMPUTED_VALUE"""),"Full Service Digital Marketing Agency UK - Award Winning - Top Rated - Bird Marketing")</f>
        <v>Full Service Digital Marketing Agency UK - Award Winning - Top Rated - Bird Marketing</v>
      </c>
      <c r="C38" s="14" t="str">
        <f>IFERROR(__xludf.DUMMYFUNCTION("""COMPUTED_VALUE"""),"bird.co.uk")</f>
        <v>bird.co.uk</v>
      </c>
      <c r="D38" s="15" t="str">
        <f>IFERROR(__xludf.DUMMYFUNCTION("""COMPUTED_VALUE"""),"HOMEPAGE")</f>
        <v>HOMEPAGE</v>
      </c>
      <c r="E38" s="15" t="str">
        <f>IFERROR(__xludf.DUMMYFUNCTION("""COMPUTED_VALUE"""),"CORPORATE")</f>
        <v>CORPORATE</v>
      </c>
      <c r="F38" s="15" t="str">
        <f>IFERROR(__xludf.DUMMYFUNCTION("""COMPUTED_VALUE"""),"Homepage")</f>
        <v>Homepage</v>
      </c>
      <c r="G38" s="15" t="b">
        <f>IFERROR(__xludf.DUMMYFUNCTION("""COMPUTED_VALUE"""),FALSE)</f>
        <v>0</v>
      </c>
      <c r="H38" s="15" t="str">
        <f>IFERROR(__xludf.DUMMYFUNCTION("""COMPUTED_VALUE"""),"Bird Marketing")</f>
        <v>Bird Marketing</v>
      </c>
      <c r="I38" s="15">
        <f>IFERROR(__xludf.DUMMYFUNCTION("""COMPUTED_VALUE"""),3.0)</f>
        <v>3</v>
      </c>
      <c r="J38" s="15">
        <f>IFERROR(__xludf.DUMMYFUNCTION("""COMPUTED_VALUE"""),0.0)</f>
        <v>0</v>
      </c>
      <c r="K38" s="15">
        <f>IFERROR(__xludf.DUMMYFUNCTION("""COMPUTED_VALUE"""),1.0)</f>
        <v>1</v>
      </c>
    </row>
    <row r="39" ht="15.75" customHeight="1">
      <c r="A39" s="14" t="str">
        <f>IFERROR(__xludf.DUMMYFUNCTION("""COMPUTED_VALUE"""),"https://www.geointelligence.co.uk/")</f>
        <v>https://www.geointelligence.co.uk/</v>
      </c>
      <c r="B39" s="15" t="str">
        <f>IFERROR(__xludf.DUMMYFUNCTION("""COMPUTED_VALUE"""),"GEO Intelligence — AI Search Marketing Agency | Generative Engine Optimisation")</f>
        <v>GEO Intelligence — AI Search Marketing Agency | Generative Engine Optimisation</v>
      </c>
      <c r="C39" s="14" t="str">
        <f>IFERROR(__xludf.DUMMYFUNCTION("""COMPUTED_VALUE"""),"geointelligence.co.uk")</f>
        <v>geointelligence.co.uk</v>
      </c>
      <c r="D39" s="15" t="str">
        <f>IFERROR(__xludf.DUMMYFUNCTION("""COMPUTED_VALUE"""),"HOMEPAGE")</f>
        <v>HOMEPAGE</v>
      </c>
      <c r="E39" s="15" t="str">
        <f>IFERROR(__xludf.DUMMYFUNCTION("""COMPUTED_VALUE"""),"CORPORATE")</f>
        <v>CORPORATE</v>
      </c>
      <c r="F39" s="15" t="str">
        <f>IFERROR(__xludf.DUMMYFUNCTION("""COMPUTED_VALUE"""),"Homepage")</f>
        <v>Homepage</v>
      </c>
      <c r="G39" s="15" t="b">
        <f>IFERROR(__xludf.DUMMYFUNCTION("""COMPUTED_VALUE"""),FALSE)</f>
        <v>0</v>
      </c>
      <c r="H39" s="15" t="str">
        <f>IFERROR(__xludf.DUMMYFUNCTION("""COMPUTED_VALUE"""),"Found")</f>
        <v>Found</v>
      </c>
      <c r="I39" s="15">
        <f>IFERROR(__xludf.DUMMYFUNCTION("""COMPUTED_VALUE"""),3.0)</f>
        <v>3</v>
      </c>
      <c r="J39" s="15">
        <f>IFERROR(__xludf.DUMMYFUNCTION("""COMPUTED_VALUE"""),0.0)</f>
        <v>0</v>
      </c>
      <c r="K39" s="15">
        <f>IFERROR(__xludf.DUMMYFUNCTION("""COMPUTED_VALUE"""),0.0)</f>
        <v>0</v>
      </c>
    </row>
    <row r="40" ht="15.75" customHeight="1">
      <c r="A40" s="14" t="str">
        <f>IFERROR(__xludf.DUMMYFUNCTION("""COMPUTED_VALUE"""),"https://www.intellscore.co.uk/")</f>
        <v>https://www.intellscore.co.uk/</v>
      </c>
      <c r="B40" s="15"/>
      <c r="C40" s="14" t="str">
        <f>IFERROR(__xludf.DUMMYFUNCTION("""COMPUTED_VALUE"""),"intellscore.co.uk")</f>
        <v>intellscore.co.uk</v>
      </c>
      <c r="D40" s="15" t="str">
        <f>IFERROR(__xludf.DUMMYFUNCTION("""COMPUTED_VALUE"""),"HOMEPAGE")</f>
        <v>HOMEPAGE</v>
      </c>
      <c r="E40" s="15" t="str">
        <f>IFERROR(__xludf.DUMMYFUNCTION("""COMPUTED_VALUE"""),"CORPORATE")</f>
        <v>CORPORATE</v>
      </c>
      <c r="F40" s="15" t="str">
        <f>IFERROR(__xludf.DUMMYFUNCTION("""COMPUTED_VALUE"""),"Homepage")</f>
        <v>Homepage</v>
      </c>
      <c r="G40" s="15"/>
      <c r="H40" s="15" t="str">
        <f>IFERROR(__xludf.DUMMYFUNCTION("""COMPUTED_VALUE"""),"Unknown")</f>
        <v>Unknown</v>
      </c>
      <c r="I40" s="15">
        <f>IFERROR(__xludf.DUMMYFUNCTION("""COMPUTED_VALUE"""),3.0)</f>
        <v>3</v>
      </c>
      <c r="J40" s="15">
        <f>IFERROR(__xludf.DUMMYFUNCTION("""COMPUTED_VALUE"""),0.0)</f>
        <v>0</v>
      </c>
      <c r="K40" s="15">
        <f>IFERROR(__xludf.DUMMYFUNCTION("""COMPUTED_VALUE"""),0.67)</f>
        <v>0.67</v>
      </c>
    </row>
    <row r="41" ht="15.75" customHeight="1">
      <c r="A41" s="14" t="str">
        <f>IFERROR(__xludf.DUMMYFUNCTION("""COMPUTED_VALUE"""),"https://knowanalytics.co.uk/")</f>
        <v>https://knowanalytics.co.uk/</v>
      </c>
      <c r="B41" s="15"/>
      <c r="C41" s="14" t="str">
        <f>IFERROR(__xludf.DUMMYFUNCTION("""COMPUTED_VALUE"""),"knowanalytics.co.uk")</f>
        <v>knowanalytics.co.uk</v>
      </c>
      <c r="D41" s="15" t="str">
        <f>IFERROR(__xludf.DUMMYFUNCTION("""COMPUTED_VALUE"""),"HOMEPAGE")</f>
        <v>HOMEPAGE</v>
      </c>
      <c r="E41" s="15" t="str">
        <f>IFERROR(__xludf.DUMMYFUNCTION("""COMPUTED_VALUE"""),"CORPORATE")</f>
        <v>CORPORATE</v>
      </c>
      <c r="F41" s="15" t="str">
        <f>IFERROR(__xludf.DUMMYFUNCTION("""COMPUTED_VALUE"""),"Homepage")</f>
        <v>Homepage</v>
      </c>
      <c r="G41" s="15"/>
      <c r="H41" s="15" t="str">
        <f>IFERROR(__xludf.DUMMYFUNCTION("""COMPUTED_VALUE"""),"Unknown")</f>
        <v>Unknown</v>
      </c>
      <c r="I41" s="15">
        <f>IFERROR(__xludf.DUMMYFUNCTION("""COMPUTED_VALUE"""),3.0)</f>
        <v>3</v>
      </c>
      <c r="J41" s="15">
        <f>IFERROR(__xludf.DUMMYFUNCTION("""COMPUTED_VALUE"""),0.0)</f>
        <v>0</v>
      </c>
      <c r="K41" s="15">
        <f>IFERROR(__xludf.DUMMYFUNCTION("""COMPUTED_VALUE"""),0.67)</f>
        <v>0.67</v>
      </c>
    </row>
    <row r="42" ht="15.75" customHeight="1">
      <c r="A42" s="14" t="str">
        <f>IFERROR(__xludf.DUMMYFUNCTION("""COMPUTED_VALUE"""),"https://leverageconsulting.uk/")</f>
        <v>https://leverageconsulting.uk/</v>
      </c>
      <c r="B42" s="15" t="str">
        <f>IFERROR(__xludf.DUMMYFUNCTION("""COMPUTED_VALUE"""),"Leverage Consulting — AI Audits &amp;amp; Strategy for UK Businesses")</f>
        <v>Leverage Consulting — AI Audits &amp;amp; Strategy for UK Businesses</v>
      </c>
      <c r="C42" s="14" t="str">
        <f>IFERROR(__xludf.DUMMYFUNCTION("""COMPUTED_VALUE"""),"leverageconsulting.uk")</f>
        <v>leverageconsulting.uk</v>
      </c>
      <c r="D42" s="15" t="str">
        <f>IFERROR(__xludf.DUMMYFUNCTION("""COMPUTED_VALUE"""),"HOMEPAGE")</f>
        <v>HOMEPAGE</v>
      </c>
      <c r="E42" s="15" t="str">
        <f>IFERROR(__xludf.DUMMYFUNCTION("""COMPUTED_VALUE"""),"CORPORATE")</f>
        <v>CORPORATE</v>
      </c>
      <c r="F42" s="15" t="str">
        <f>IFERROR(__xludf.DUMMYFUNCTION("""COMPUTED_VALUE"""),"Homepage")</f>
        <v>Homepage</v>
      </c>
      <c r="G42" s="15" t="b">
        <f>IFERROR(__xludf.DUMMYFUNCTION("""COMPUTED_VALUE"""),FALSE)</f>
        <v>0</v>
      </c>
      <c r="H42" s="15"/>
      <c r="I42" s="15">
        <f>IFERROR(__xludf.DUMMYFUNCTION("""COMPUTED_VALUE"""),3.0)</f>
        <v>3</v>
      </c>
      <c r="J42" s="15">
        <f>IFERROR(__xludf.DUMMYFUNCTION("""COMPUTED_VALUE"""),0.0)</f>
        <v>0</v>
      </c>
      <c r="K42" s="15">
        <f>IFERROR(__xludf.DUMMYFUNCTION("""COMPUTED_VALUE"""),0.0)</f>
        <v>0</v>
      </c>
    </row>
    <row r="43" ht="15.75" customHeight="1">
      <c r="A43" s="14" t="str">
        <f>IFERROR(__xludf.DUMMYFUNCTION("""COMPUTED_VALUE"""),"https://peak-agency.co.uk/")</f>
        <v>https://peak-agency.co.uk/</v>
      </c>
      <c r="B43" s="15" t="str">
        <f>IFERROR(__xludf.DUMMYFUNCTION("""COMPUTED_VALUE"""),"Performance Marketing Agency | PEAK - Data-Driven Growth")</f>
        <v>Performance Marketing Agency | PEAK - Data-Driven Growth</v>
      </c>
      <c r="C43" s="14" t="str">
        <f>IFERROR(__xludf.DUMMYFUNCTION("""COMPUTED_VALUE"""),"peak-agency.co.uk")</f>
        <v>peak-agency.co.uk</v>
      </c>
      <c r="D43" s="15" t="str">
        <f>IFERROR(__xludf.DUMMYFUNCTION("""COMPUTED_VALUE"""),"HOMEPAGE")</f>
        <v>HOMEPAGE</v>
      </c>
      <c r="E43" s="15" t="str">
        <f>IFERROR(__xludf.DUMMYFUNCTION("""COMPUTED_VALUE"""),"CORPORATE")</f>
        <v>CORPORATE</v>
      </c>
      <c r="F43" s="15" t="str">
        <f>IFERROR(__xludf.DUMMYFUNCTION("""COMPUTED_VALUE"""),"Homepage")</f>
        <v>Homepage</v>
      </c>
      <c r="G43" s="15" t="b">
        <f>IFERROR(__xludf.DUMMYFUNCTION("""COMPUTED_VALUE"""),FALSE)</f>
        <v>0</v>
      </c>
      <c r="H43" s="15" t="str">
        <f>IFERROR(__xludf.DUMMYFUNCTION("""COMPUTED_VALUE"""),"Huge, Push")</f>
        <v>Huge, Push</v>
      </c>
      <c r="I43" s="15">
        <f>IFERROR(__xludf.DUMMYFUNCTION("""COMPUTED_VALUE"""),3.0)</f>
        <v>3</v>
      </c>
      <c r="J43" s="15">
        <f>IFERROR(__xludf.DUMMYFUNCTION("""COMPUTED_VALUE"""),0.0)</f>
        <v>0</v>
      </c>
      <c r="K43" s="15">
        <f>IFERROR(__xludf.DUMMYFUNCTION("""COMPUTED_VALUE"""),1.67)</f>
        <v>1.67</v>
      </c>
    </row>
    <row r="44" ht="15.75" customHeight="1">
      <c r="A44" s="14" t="str">
        <f>IFERROR(__xludf.DUMMYFUNCTION("""COMPUTED_VALUE"""),"https://www.pentagram.com/#:~:text=Data%2Ddriven%20digital%20redesign%20of,for%20over%20half%20a%20century.")</f>
        <v>https://www.pentagram.com/#:~:text=Data%2Ddriven%20digital%20redesign%20of,for%20over%20half%20a%20century.</v>
      </c>
      <c r="B44" s="15" t="str">
        <f>IFERROR(__xludf.DUMMYFUNCTION("""COMPUTED_VALUE"""),"Pentagram — The world’s largest independent design consultancy")</f>
        <v>Pentagram — The world’s largest independent design consultancy</v>
      </c>
      <c r="C44" s="14" t="str">
        <f>IFERROR(__xludf.DUMMYFUNCTION("""COMPUTED_VALUE"""),"pentagram.com")</f>
        <v>pentagram.com</v>
      </c>
      <c r="D44" s="15" t="str">
        <f>IFERROR(__xludf.DUMMYFUNCTION("""COMPUTED_VALUE"""),"HOMEPAGE")</f>
        <v>HOMEPAGE</v>
      </c>
      <c r="E44" s="15" t="str">
        <f>IFERROR(__xludf.DUMMYFUNCTION("""COMPUTED_VALUE"""),"CORPORATE")</f>
        <v>CORPORATE</v>
      </c>
      <c r="F44" s="15" t="str">
        <f>IFERROR(__xludf.DUMMYFUNCTION("""COMPUTED_VALUE"""),"Homepage")</f>
        <v>Homepage</v>
      </c>
      <c r="G44" s="15" t="b">
        <f>IFERROR(__xludf.DUMMYFUNCTION("""COMPUTED_VALUE"""),FALSE)</f>
        <v>0</v>
      </c>
      <c r="H44" s="15" t="str">
        <f>IFERROR(__xludf.DUMMYFUNCTION("""COMPUTED_VALUE"""),"Found")</f>
        <v>Found</v>
      </c>
      <c r="I44" s="15">
        <f>IFERROR(__xludf.DUMMYFUNCTION("""COMPUTED_VALUE"""),3.0)</f>
        <v>3</v>
      </c>
      <c r="J44" s="15">
        <f>IFERROR(__xludf.DUMMYFUNCTION("""COMPUTED_VALUE"""),0.0)</f>
        <v>0</v>
      </c>
      <c r="K44" s="15">
        <f>IFERROR(__xludf.DUMMYFUNCTION("""COMPUTED_VALUE"""),1.0)</f>
        <v>1</v>
      </c>
    </row>
    <row r="45" ht="15.75" customHeight="1">
      <c r="A45" s="14" t="str">
        <f>IFERROR(__xludf.DUMMYFUNCTION("""COMPUTED_VALUE"""),"https://www.readysetconsultancy.com/aeo")</f>
        <v>https://www.readysetconsultancy.com/aeo</v>
      </c>
      <c r="B45" s="15" t="str">
        <f>IFERROR(__xludf.DUMMYFUNCTION("""COMPUTED_VALUE"""),"AEO Certification Consultant UK | Trusted Trader Status | Readyset — Readyset Consultancy")</f>
        <v>AEO Certification Consultant UK | Trusted Trader Status | Readyset — Readyset Consultancy</v>
      </c>
      <c r="C45" s="14" t="str">
        <f>IFERROR(__xludf.DUMMYFUNCTION("""COMPUTED_VALUE"""),"readysetconsultancy.com")</f>
        <v>readysetconsultancy.com</v>
      </c>
      <c r="D45" s="15" t="str">
        <f>IFERROR(__xludf.DUMMYFUNCTION("""COMPUTED_VALUE"""),"HOMEPAGE")</f>
        <v>HOMEPAGE</v>
      </c>
      <c r="E45" s="15" t="str">
        <f>IFERROR(__xludf.DUMMYFUNCTION("""COMPUTED_VALUE"""),"CORPORATE")</f>
        <v>CORPORATE</v>
      </c>
      <c r="F45" s="15" t="str">
        <f>IFERROR(__xludf.DUMMYFUNCTION("""COMPUTED_VALUE"""),"Homepage")</f>
        <v>Homepage</v>
      </c>
      <c r="G45" s="15" t="b">
        <f>IFERROR(__xludf.DUMMYFUNCTION("""COMPUTED_VALUE"""),FALSE)</f>
        <v>0</v>
      </c>
      <c r="H45" s="15"/>
      <c r="I45" s="15">
        <f>IFERROR(__xludf.DUMMYFUNCTION("""COMPUTED_VALUE"""),3.0)</f>
        <v>3</v>
      </c>
      <c r="J45" s="15">
        <f>IFERROR(__xludf.DUMMYFUNCTION("""COMPUTED_VALUE"""),0.0)</f>
        <v>0</v>
      </c>
      <c r="K45" s="15">
        <f>IFERROR(__xludf.DUMMYFUNCTION("""COMPUTED_VALUE"""),0.0)</f>
        <v>0</v>
      </c>
    </row>
    <row r="46" ht="15.75" customHeight="1">
      <c r="A46" s="14" t="str">
        <f>IFERROR(__xludf.DUMMYFUNCTION("""COMPUTED_VALUE"""),"https://visionone.co.uk/#:~:text=Why%20Choose%20Vision%20One%20as,%2C%20competitor%20analysis%2C%20and%20forecasting.")</f>
        <v>https://visionone.co.uk/#:~:text=Why%20Choose%20Vision%20One%20as,%2C%20competitor%20analysis%2C%20and%20forecasting.</v>
      </c>
      <c r="B46" s="15" t="str">
        <f>IFERROR(__xludf.DUMMYFUNCTION("""COMPUTED_VALUE"""),"Vision One Research Agency, UK Market Research Companies, London")</f>
        <v>Vision One Research Agency, UK Market Research Companies, London</v>
      </c>
      <c r="C46" s="14" t="str">
        <f>IFERROR(__xludf.DUMMYFUNCTION("""COMPUTED_VALUE"""),"visionone.co.uk")</f>
        <v>visionone.co.uk</v>
      </c>
      <c r="D46" s="15" t="str">
        <f>IFERROR(__xludf.DUMMYFUNCTION("""COMPUTED_VALUE"""),"HOMEPAGE")</f>
        <v>HOMEPAGE</v>
      </c>
      <c r="E46" s="15" t="str">
        <f>IFERROR(__xludf.DUMMYFUNCTION("""COMPUTED_VALUE"""),"CORPORATE")</f>
        <v>CORPORATE</v>
      </c>
      <c r="F46" s="15" t="str">
        <f>IFERROR(__xludf.DUMMYFUNCTION("""COMPUTED_VALUE"""),"Homepage")</f>
        <v>Homepage</v>
      </c>
      <c r="G46" s="15" t="b">
        <f>IFERROR(__xludf.DUMMYFUNCTION("""COMPUTED_VALUE"""),FALSE)</f>
        <v>0</v>
      </c>
      <c r="H46" s="15" t="str">
        <f>IFERROR(__xludf.DUMMYFUNCTION("""COMPUTED_VALUE"""),"Momentum, Kantar, Transmission")</f>
        <v>Momentum, Kantar, Transmission</v>
      </c>
      <c r="I46" s="15">
        <f>IFERROR(__xludf.DUMMYFUNCTION("""COMPUTED_VALUE"""),3.0)</f>
        <v>3</v>
      </c>
      <c r="J46" s="15">
        <f>IFERROR(__xludf.DUMMYFUNCTION("""COMPUTED_VALUE"""),0.0)</f>
        <v>0</v>
      </c>
      <c r="K46" s="15">
        <f>IFERROR(__xludf.DUMMYFUNCTION("""COMPUTED_VALUE"""),1.33)</f>
        <v>1.33</v>
      </c>
    </row>
    <row r="47" ht="15.75" customHeight="1">
      <c r="A47" s="14" t="str">
        <f>IFERROR(__xludf.DUMMYFUNCTION("""COMPUTED_VALUE"""),"https://www.adnomics.co.uk/")</f>
        <v>https://www.adnomics.co.uk/</v>
      </c>
      <c r="B47" s="15" t="str">
        <f>IFERROR(__xludf.DUMMYFUNCTION("""COMPUTED_VALUE"""),"Adnomics - The Revenue Reality Agency")</f>
        <v>Adnomics - The Revenue Reality Agency</v>
      </c>
      <c r="C47" s="14" t="str">
        <f>IFERROR(__xludf.DUMMYFUNCTION("""COMPUTED_VALUE"""),"adnomics.co.uk")</f>
        <v>adnomics.co.uk</v>
      </c>
      <c r="D47" s="15" t="str">
        <f>IFERROR(__xludf.DUMMYFUNCTION("""COMPUTED_VALUE"""),"HOMEPAGE")</f>
        <v>HOMEPAGE</v>
      </c>
      <c r="E47" s="15" t="str">
        <f>IFERROR(__xludf.DUMMYFUNCTION("""COMPUTED_VALUE"""),"CORPORATE")</f>
        <v>CORPORATE</v>
      </c>
      <c r="F47" s="15" t="str">
        <f>IFERROR(__xludf.DUMMYFUNCTION("""COMPUTED_VALUE"""),"Homepage")</f>
        <v>Homepage</v>
      </c>
      <c r="G47" s="15" t="b">
        <f>IFERROR(__xludf.DUMMYFUNCTION("""COMPUTED_VALUE"""),FALSE)</f>
        <v>0</v>
      </c>
      <c r="H47" s="15"/>
      <c r="I47" s="15">
        <f>IFERROR(__xludf.DUMMYFUNCTION("""COMPUTED_VALUE"""),2.0)</f>
        <v>2</v>
      </c>
      <c r="J47" s="15">
        <f>IFERROR(__xludf.DUMMYFUNCTION("""COMPUTED_VALUE"""),0.0)</f>
        <v>0</v>
      </c>
      <c r="K47" s="15">
        <f>IFERROR(__xludf.DUMMYFUNCTION("""COMPUTED_VALUE"""),1.5)</f>
        <v>1.5</v>
      </c>
    </row>
    <row r="48" ht="15.75" customHeight="1">
      <c r="A48" s="14" t="str">
        <f>IFERROR(__xludf.DUMMYFUNCTION("""COMPUTED_VALUE"""),"https://aeoagency.co.uk/")</f>
        <v>https://aeoagency.co.uk/</v>
      </c>
      <c r="B48" s="15" t="str">
        <f>IFERROR(__xludf.DUMMYFUNCTION("""COMPUTED_VALUE"""),"UK AEO Agency | Answer Engine Optimisation on ChatGPT Search")</f>
        <v>UK AEO Agency | Answer Engine Optimisation on ChatGPT Search</v>
      </c>
      <c r="C48" s="14" t="str">
        <f>IFERROR(__xludf.DUMMYFUNCTION("""COMPUTED_VALUE"""),"aeoagency.co.uk")</f>
        <v>aeoagency.co.uk</v>
      </c>
      <c r="D48" s="15" t="str">
        <f>IFERROR(__xludf.DUMMYFUNCTION("""COMPUTED_VALUE"""),"HOMEPAGE")</f>
        <v>HOMEPAGE</v>
      </c>
      <c r="E48" s="15" t="str">
        <f>IFERROR(__xludf.DUMMYFUNCTION("""COMPUTED_VALUE"""),"CORPORATE")</f>
        <v>CORPORATE</v>
      </c>
      <c r="F48" s="15" t="str">
        <f>IFERROR(__xludf.DUMMYFUNCTION("""COMPUTED_VALUE"""),"Homepage")</f>
        <v>Homepage</v>
      </c>
      <c r="G48" s="15" t="b">
        <f>IFERROR(__xludf.DUMMYFUNCTION("""COMPUTED_VALUE"""),FALSE)</f>
        <v>0</v>
      </c>
      <c r="H48" s="15" t="str">
        <f>IFERROR(__xludf.DUMMYFUNCTION("""COMPUTED_VALUE"""),"Digital Landscope")</f>
        <v>Digital Landscope</v>
      </c>
      <c r="I48" s="15">
        <f>IFERROR(__xludf.DUMMYFUNCTION("""COMPUTED_VALUE"""),2.0)</f>
        <v>2</v>
      </c>
      <c r="J48" s="15">
        <f>IFERROR(__xludf.DUMMYFUNCTION("""COMPUTED_VALUE"""),0.0)</f>
        <v>0</v>
      </c>
      <c r="K48" s="15">
        <f>IFERROR(__xludf.DUMMYFUNCTION("""COMPUTED_VALUE"""),1.0)</f>
        <v>1</v>
      </c>
    </row>
    <row r="49" ht="15.75" customHeight="1">
      <c r="A49" s="14" t="str">
        <f>IFERROR(__xludf.DUMMYFUNCTION("""COMPUTED_VALUE"""),"https://www.aitransformation.global/")</f>
        <v>https://www.aitransformation.global/</v>
      </c>
      <c r="B49" s="15" t="str">
        <f>IFERROR(__xludf.DUMMYFUNCTION("""COMPUTED_VALUE"""),"AI Readiness Assessment for UK SMEs | AI Transformation")</f>
        <v>AI Readiness Assessment for UK SMEs | AI Transformation</v>
      </c>
      <c r="C49" s="15" t="str">
        <f>IFERROR(__xludf.DUMMYFUNCTION("""COMPUTED_VALUE"""),"aitransformation.global")</f>
        <v>aitransformation.global</v>
      </c>
      <c r="D49" s="15" t="str">
        <f>IFERROR(__xludf.DUMMYFUNCTION("""COMPUTED_VALUE"""),"HOMEPAGE")</f>
        <v>HOMEPAGE</v>
      </c>
      <c r="E49" s="15" t="str">
        <f>IFERROR(__xludf.DUMMYFUNCTION("""COMPUTED_VALUE"""),"CORPORATE")</f>
        <v>CORPORATE</v>
      </c>
      <c r="F49" s="15" t="str">
        <f>IFERROR(__xludf.DUMMYFUNCTION("""COMPUTED_VALUE"""),"Homepage")</f>
        <v>Homepage</v>
      </c>
      <c r="G49" s="15" t="b">
        <f>IFERROR(__xludf.DUMMYFUNCTION("""COMPUTED_VALUE"""),FALSE)</f>
        <v>0</v>
      </c>
      <c r="H49" s="15"/>
      <c r="I49" s="15">
        <f>IFERROR(__xludf.DUMMYFUNCTION("""COMPUTED_VALUE"""),2.0)</f>
        <v>2</v>
      </c>
      <c r="J49" s="15">
        <f>IFERROR(__xludf.DUMMYFUNCTION("""COMPUTED_VALUE"""),0.0)</f>
        <v>0</v>
      </c>
      <c r="K49" s="15">
        <f>IFERROR(__xludf.DUMMYFUNCTION("""COMPUTED_VALUE"""),0.0)</f>
        <v>0</v>
      </c>
    </row>
    <row r="50" ht="15.75" customHeight="1">
      <c r="A50" s="14" t="str">
        <f>IFERROR(__xludf.DUMMYFUNCTION("""COMPUTED_VALUE"""),"https://www.brainlabsdigital.com/")</f>
        <v>https://www.brainlabsdigital.com/</v>
      </c>
      <c r="B50" s="15" t="str">
        <f>IFERROR(__xludf.DUMMYFUNCTION("""COMPUTED_VALUE"""),"Brainlabs")</f>
        <v>Brainlabs</v>
      </c>
      <c r="C50" s="14" t="str">
        <f>IFERROR(__xludf.DUMMYFUNCTION("""COMPUTED_VALUE"""),"brainlabsdigital.com")</f>
        <v>brainlabsdigital.com</v>
      </c>
      <c r="D50" s="15" t="str">
        <f>IFERROR(__xludf.DUMMYFUNCTION("""COMPUTED_VALUE"""),"HOMEPAGE")</f>
        <v>HOMEPAGE</v>
      </c>
      <c r="E50" s="15" t="str">
        <f>IFERROR(__xludf.DUMMYFUNCTION("""COMPUTED_VALUE"""),"COMPETITOR")</f>
        <v>COMPETITOR</v>
      </c>
      <c r="F50" s="15" t="str">
        <f>IFERROR(__xludf.DUMMYFUNCTION("""COMPUTED_VALUE"""),"Homepage")</f>
        <v>Homepage</v>
      </c>
      <c r="G50" s="15" t="b">
        <f>IFERROR(__xludf.DUMMYFUNCTION("""COMPUTED_VALUE"""),FALSE)</f>
        <v>0</v>
      </c>
      <c r="H50" s="15" t="str">
        <f>IFERROR(__xludf.DUMMYFUNCTION("""COMPUTED_VALUE"""),"Brainlabs, Push, Measured")</f>
        <v>Brainlabs, Push, Measured</v>
      </c>
      <c r="I50" s="15">
        <f>IFERROR(__xludf.DUMMYFUNCTION("""COMPUTED_VALUE"""),2.0)</f>
        <v>2</v>
      </c>
      <c r="J50" s="15">
        <f>IFERROR(__xludf.DUMMYFUNCTION("""COMPUTED_VALUE"""),0.0)</f>
        <v>0</v>
      </c>
      <c r="K50" s="15">
        <f>IFERROR(__xludf.DUMMYFUNCTION("""COMPUTED_VALUE"""),1.0)</f>
        <v>1</v>
      </c>
    </row>
    <row r="51" ht="15.75" customHeight="1">
      <c r="A51" s="14" t="str">
        <f>IFERROR(__xludf.DUMMYFUNCTION("""COMPUTED_VALUE"""),"https://www.deducive.com/")</f>
        <v>https://www.deducive.com/</v>
      </c>
      <c r="B51" s="15" t="str">
        <f>IFERROR(__xludf.DUMMYFUNCTION("""COMPUTED_VALUE"""),"Deducive - Decision-Grade Marketing Measurement")</f>
        <v>Deducive - Decision-Grade Marketing Measurement</v>
      </c>
      <c r="C51" s="14" t="str">
        <f>IFERROR(__xludf.DUMMYFUNCTION("""COMPUTED_VALUE"""),"deducive.com")</f>
        <v>deducive.com</v>
      </c>
      <c r="D51" s="15" t="str">
        <f>IFERROR(__xludf.DUMMYFUNCTION("""COMPUTED_VALUE"""),"HOMEPAGE")</f>
        <v>HOMEPAGE</v>
      </c>
      <c r="E51" s="15" t="str">
        <f>IFERROR(__xludf.DUMMYFUNCTION("""COMPUTED_VALUE"""),"CORPORATE")</f>
        <v>CORPORATE</v>
      </c>
      <c r="F51" s="15" t="str">
        <f>IFERROR(__xludf.DUMMYFUNCTION("""COMPUTED_VALUE"""),"Homepage")</f>
        <v>Homepage</v>
      </c>
      <c r="G51" s="15" t="b">
        <f>IFERROR(__xludf.DUMMYFUNCTION("""COMPUTED_VALUE"""),FALSE)</f>
        <v>0</v>
      </c>
      <c r="H51" s="15"/>
      <c r="I51" s="15">
        <f>IFERROR(__xludf.DUMMYFUNCTION("""COMPUTED_VALUE"""),2.0)</f>
        <v>2</v>
      </c>
      <c r="J51" s="15">
        <f>IFERROR(__xludf.DUMMYFUNCTION("""COMPUTED_VALUE"""),0.0)</f>
        <v>0</v>
      </c>
      <c r="K51" s="15">
        <f>IFERROR(__xludf.DUMMYFUNCTION("""COMPUTED_VALUE"""),2.5)</f>
        <v>2.5</v>
      </c>
    </row>
    <row r="52" ht="15.75" customHeight="1">
      <c r="A52" s="14" t="str">
        <f>IFERROR(__xludf.DUMMYFUNCTION("""COMPUTED_VALUE"""),"https://www.inceptiontoaction.ai/")</f>
        <v>https://www.inceptiontoaction.ai/</v>
      </c>
      <c r="B52" s="15" t="str">
        <f>IFERROR(__xludf.DUMMYFUNCTION("""COMPUTED_VALUE"""),"ItoA · Inception to Action — AI venture validation, expansion &amp;amp; enterprise AI readiness")</f>
        <v>ItoA · Inception to Action — AI venture validation, expansion &amp;amp; enterprise AI readiness</v>
      </c>
      <c r="C52" s="14" t="str">
        <f>IFERROR(__xludf.DUMMYFUNCTION("""COMPUTED_VALUE"""),"inceptiontoaction.ai")</f>
        <v>inceptiontoaction.ai</v>
      </c>
      <c r="D52" s="15" t="str">
        <f>IFERROR(__xludf.DUMMYFUNCTION("""COMPUTED_VALUE"""),"HOMEPAGE")</f>
        <v>HOMEPAGE</v>
      </c>
      <c r="E52" s="15" t="str">
        <f>IFERROR(__xludf.DUMMYFUNCTION("""COMPUTED_VALUE"""),"CORPORATE")</f>
        <v>CORPORATE</v>
      </c>
      <c r="F52" s="15" t="str">
        <f>IFERROR(__xludf.DUMMYFUNCTION("""COMPUTED_VALUE"""),"Homepage")</f>
        <v>Homepage</v>
      </c>
      <c r="G52" s="15" t="b">
        <f>IFERROR(__xludf.DUMMYFUNCTION("""COMPUTED_VALUE"""),FALSE)</f>
        <v>0</v>
      </c>
      <c r="H52" s="15"/>
      <c r="I52" s="15">
        <f>IFERROR(__xludf.DUMMYFUNCTION("""COMPUTED_VALUE"""),2.0)</f>
        <v>2</v>
      </c>
      <c r="J52" s="15">
        <f>IFERROR(__xludf.DUMMYFUNCTION("""COMPUTED_VALUE"""),0.0)</f>
        <v>0</v>
      </c>
      <c r="K52" s="15">
        <f>IFERROR(__xludf.DUMMYFUNCTION("""COMPUTED_VALUE"""),0.0)</f>
        <v>0</v>
      </c>
    </row>
    <row r="53" ht="15.75" customHeight="1">
      <c r="A53" s="14" t="str">
        <f>IFERROR(__xludf.DUMMYFUNCTION("""COMPUTED_VALUE"""),"https://www.incremental.com/")</f>
        <v>https://www.incremental.com/</v>
      </c>
      <c r="B53" s="15" t="str">
        <f>IFERROR(__xludf.DUMMYFUNCTION("""COMPUTED_VALUE"""),"Incremental | Causal Intelligence for Commerce Media")</f>
        <v>Incremental | Causal Intelligence for Commerce Media</v>
      </c>
      <c r="C53" s="14" t="str">
        <f>IFERROR(__xludf.DUMMYFUNCTION("""COMPUTED_VALUE"""),"incremental.com")</f>
        <v>incremental.com</v>
      </c>
      <c r="D53" s="15" t="str">
        <f>IFERROR(__xludf.DUMMYFUNCTION("""COMPUTED_VALUE"""),"HOMEPAGE")</f>
        <v>HOMEPAGE</v>
      </c>
      <c r="E53" s="15" t="str">
        <f>IFERROR(__xludf.DUMMYFUNCTION("""COMPUTED_VALUE"""),"CORPORATE")</f>
        <v>CORPORATE</v>
      </c>
      <c r="F53" s="15" t="str">
        <f>IFERROR(__xludf.DUMMYFUNCTION("""COMPUTED_VALUE"""),"Homepage")</f>
        <v>Homepage</v>
      </c>
      <c r="G53" s="15" t="b">
        <f>IFERROR(__xludf.DUMMYFUNCTION("""COMPUTED_VALUE"""),FALSE)</f>
        <v>0</v>
      </c>
      <c r="H53" s="15"/>
      <c r="I53" s="15">
        <f>IFERROR(__xludf.DUMMYFUNCTION("""COMPUTED_VALUE"""),2.0)</f>
        <v>2</v>
      </c>
      <c r="J53" s="15">
        <f>IFERROR(__xludf.DUMMYFUNCTION("""COMPUTED_VALUE"""),0.0)</f>
        <v>0</v>
      </c>
      <c r="K53" s="15">
        <f>IFERROR(__xludf.DUMMYFUNCTION("""COMPUTED_VALUE"""),0.5)</f>
        <v>0.5</v>
      </c>
    </row>
    <row r="54" ht="15.75" customHeight="1">
      <c r="A54" s="14" t="str">
        <f>IFERROR(__xludf.DUMMYFUNCTION("""COMPUTED_VALUE"""),"https://www.incrmntal.com/")</f>
        <v>https://www.incrmntal.com/</v>
      </c>
      <c r="B54" s="15" t="str">
        <f>IFERROR(__xludf.DUMMYFUNCTION("""COMPUTED_VALUE"""),"AI-Powered Incremental Marketing &amp;amp; Measurement | INCRMNTAL")</f>
        <v>AI-Powered Incremental Marketing &amp;amp; Measurement | INCRMNTAL</v>
      </c>
      <c r="C54" s="14" t="str">
        <f>IFERROR(__xludf.DUMMYFUNCTION("""COMPUTED_VALUE"""),"incrmntal.com")</f>
        <v>incrmntal.com</v>
      </c>
      <c r="D54" s="15" t="str">
        <f>IFERROR(__xludf.DUMMYFUNCTION("""COMPUTED_VALUE"""),"HOMEPAGE")</f>
        <v>HOMEPAGE</v>
      </c>
      <c r="E54" s="15" t="str">
        <f>IFERROR(__xludf.DUMMYFUNCTION("""COMPUTED_VALUE"""),"CORPORATE")</f>
        <v>CORPORATE</v>
      </c>
      <c r="F54" s="15" t="str">
        <f>IFERROR(__xludf.DUMMYFUNCTION("""COMPUTED_VALUE"""),"Homepage")</f>
        <v>Homepage</v>
      </c>
      <c r="G54" s="15" t="b">
        <f>IFERROR(__xludf.DUMMYFUNCTION("""COMPUTED_VALUE"""),FALSE)</f>
        <v>0</v>
      </c>
      <c r="H54" s="15" t="str">
        <f>IFERROR(__xludf.DUMMYFUNCTION("""COMPUTED_VALUE"""),"Measured")</f>
        <v>Measured</v>
      </c>
      <c r="I54" s="15">
        <f>IFERROR(__xludf.DUMMYFUNCTION("""COMPUTED_VALUE"""),2.0)</f>
        <v>2</v>
      </c>
      <c r="J54" s="15">
        <f>IFERROR(__xludf.DUMMYFUNCTION("""COMPUTED_VALUE"""),0.0)</f>
        <v>0</v>
      </c>
      <c r="K54" s="15">
        <f>IFERROR(__xludf.DUMMYFUNCTION("""COMPUTED_VALUE"""),1.5)</f>
        <v>1.5</v>
      </c>
    </row>
    <row r="55" ht="15.75" customHeight="1">
      <c r="A55" s="14" t="str">
        <f>IFERROR(__xludf.DUMMYFUNCTION("""COMPUTED_VALUE"""),"https://liftlab.com/")</f>
        <v>https://liftlab.com/</v>
      </c>
      <c r="B55" s="15" t="str">
        <f>IFERROR(__xludf.DUMMYFUNCTION("""COMPUTED_VALUE"""),"Agile MMM &amp;amp; Incrementality Testing Built for Growth Leaders | LiftLab")</f>
        <v>Agile MMM &amp;amp; Incrementality Testing Built for Growth Leaders | LiftLab</v>
      </c>
      <c r="C55" s="14" t="str">
        <f>IFERROR(__xludf.DUMMYFUNCTION("""COMPUTED_VALUE"""),"liftlab.com")</f>
        <v>liftlab.com</v>
      </c>
      <c r="D55" s="15" t="str">
        <f>IFERROR(__xludf.DUMMYFUNCTION("""COMPUTED_VALUE"""),"HOMEPAGE")</f>
        <v>HOMEPAGE</v>
      </c>
      <c r="E55" s="15" t="str">
        <f>IFERROR(__xludf.DUMMYFUNCTION("""COMPUTED_VALUE"""),"CORPORATE")</f>
        <v>CORPORATE</v>
      </c>
      <c r="F55" s="15" t="str">
        <f>IFERROR(__xludf.DUMMYFUNCTION("""COMPUTED_VALUE"""),"Homepage")</f>
        <v>Homepage</v>
      </c>
      <c r="G55" s="15" t="b">
        <f>IFERROR(__xludf.DUMMYFUNCTION("""COMPUTED_VALUE"""),FALSE)</f>
        <v>0</v>
      </c>
      <c r="H55" s="15"/>
      <c r="I55" s="15">
        <f>IFERROR(__xludf.DUMMYFUNCTION("""COMPUTED_VALUE"""),2.0)</f>
        <v>2</v>
      </c>
      <c r="J55" s="15">
        <f>IFERROR(__xludf.DUMMYFUNCTION("""COMPUTED_VALUE"""),0.0)</f>
        <v>0</v>
      </c>
      <c r="K55" s="15">
        <f>IFERROR(__xludf.DUMMYFUNCTION("""COMPUTED_VALUE"""),1.5)</f>
        <v>1.5</v>
      </c>
    </row>
    <row r="56" ht="15.75" customHeight="1">
      <c r="A56" s="14" t="str">
        <f>IFERROR(__xludf.DUMMYFUNCTION("""COMPUTED_VALUE"""),"https://linea-analytics.com/")</f>
        <v>https://linea-analytics.com/</v>
      </c>
      <c r="B56" s="15" t="str">
        <f>IFERROR(__xludf.DUMMYFUNCTION("""COMPUTED_VALUE"""),"Linea Analytics — True Marketing Impact Measurement (Always-on MMM)")</f>
        <v>Linea Analytics — True Marketing Impact Measurement (Always-on MMM)</v>
      </c>
      <c r="C56" s="14" t="str">
        <f>IFERROR(__xludf.DUMMYFUNCTION("""COMPUTED_VALUE"""),"linea-analytics.com")</f>
        <v>linea-analytics.com</v>
      </c>
      <c r="D56" s="15" t="str">
        <f>IFERROR(__xludf.DUMMYFUNCTION("""COMPUTED_VALUE"""),"HOMEPAGE")</f>
        <v>HOMEPAGE</v>
      </c>
      <c r="E56" s="15" t="str">
        <f>IFERROR(__xludf.DUMMYFUNCTION("""COMPUTED_VALUE"""),"CORPORATE")</f>
        <v>CORPORATE</v>
      </c>
      <c r="F56" s="15" t="str">
        <f>IFERROR(__xludf.DUMMYFUNCTION("""COMPUTED_VALUE"""),"Homepage")</f>
        <v>Homepage</v>
      </c>
      <c r="G56" s="15" t="b">
        <f>IFERROR(__xludf.DUMMYFUNCTION("""COMPUTED_VALUE"""),FALSE)</f>
        <v>0</v>
      </c>
      <c r="H56" s="15" t="str">
        <f>IFERROR(__xludf.DUMMYFUNCTION("""COMPUTED_VALUE"""),"Ebiquity")</f>
        <v>Ebiquity</v>
      </c>
      <c r="I56" s="15">
        <f>IFERROR(__xludf.DUMMYFUNCTION("""COMPUTED_VALUE"""),2.0)</f>
        <v>2</v>
      </c>
      <c r="J56" s="15">
        <f>IFERROR(__xludf.DUMMYFUNCTION("""COMPUTED_VALUE"""),0.0)</f>
        <v>0</v>
      </c>
      <c r="K56" s="15">
        <f>IFERROR(__xludf.DUMMYFUNCTION("""COMPUTED_VALUE"""),1.5)</f>
        <v>1.5</v>
      </c>
    </row>
    <row r="57" ht="15.75" customHeight="1">
      <c r="A57" s="14" t="str">
        <f>IFERROR(__xludf.DUMMYFUNCTION("""COMPUTED_VALUE"""),"https://mqlflow.com/")</f>
        <v>https://mqlflow.com/</v>
      </c>
      <c r="B57" s="15" t="str">
        <f>IFERROR(__xludf.DUMMYFUNCTION("""COMPUTED_VALUE"""),"Best AI Automation Agency UK | MQLFlow")</f>
        <v>Best AI Automation Agency UK | MQLFlow</v>
      </c>
      <c r="C57" s="14" t="str">
        <f>IFERROR(__xludf.DUMMYFUNCTION("""COMPUTED_VALUE"""),"mqlflow.com")</f>
        <v>mqlflow.com</v>
      </c>
      <c r="D57" s="15" t="str">
        <f>IFERROR(__xludf.DUMMYFUNCTION("""COMPUTED_VALUE"""),"HOMEPAGE")</f>
        <v>HOMEPAGE</v>
      </c>
      <c r="E57" s="15" t="str">
        <f>IFERROR(__xludf.DUMMYFUNCTION("""COMPUTED_VALUE"""),"CORPORATE")</f>
        <v>CORPORATE</v>
      </c>
      <c r="F57" s="15" t="str">
        <f>IFERROR(__xludf.DUMMYFUNCTION("""COMPUTED_VALUE"""),"Homepage")</f>
        <v>Homepage</v>
      </c>
      <c r="G57" s="15" t="b">
        <f>IFERROR(__xludf.DUMMYFUNCTION("""COMPUTED_VALUE"""),FALSE)</f>
        <v>0</v>
      </c>
      <c r="H57" s="15"/>
      <c r="I57" s="15">
        <f>IFERROR(__xludf.DUMMYFUNCTION("""COMPUTED_VALUE"""),2.0)</f>
        <v>2</v>
      </c>
      <c r="J57" s="15">
        <f>IFERROR(__xludf.DUMMYFUNCTION("""COMPUTED_VALUE"""),0.0)</f>
        <v>0</v>
      </c>
      <c r="K57" s="15">
        <f>IFERROR(__xludf.DUMMYFUNCTION("""COMPUTED_VALUE"""),0.5)</f>
        <v>0.5</v>
      </c>
    </row>
    <row r="58" ht="15.75" customHeight="1">
      <c r="A58" s="14" t="str">
        <f>IFERROR(__xludf.DUMMYFUNCTION("""COMPUTED_VALUE"""),"https://primelis.co.uk/")</f>
        <v>https://primelis.co.uk/</v>
      </c>
      <c r="B58" s="15"/>
      <c r="C58" s="14" t="str">
        <f>IFERROR(__xludf.DUMMYFUNCTION("""COMPUTED_VALUE"""),"primelis.co.uk")</f>
        <v>primelis.co.uk</v>
      </c>
      <c r="D58" s="15" t="str">
        <f>IFERROR(__xludf.DUMMYFUNCTION("""COMPUTED_VALUE"""),"HOMEPAGE")</f>
        <v>HOMEPAGE</v>
      </c>
      <c r="E58" s="15" t="str">
        <f>IFERROR(__xludf.DUMMYFUNCTION("""COMPUTED_VALUE"""),"CORPORATE")</f>
        <v>CORPORATE</v>
      </c>
      <c r="F58" s="15" t="str">
        <f>IFERROR(__xludf.DUMMYFUNCTION("""COMPUTED_VALUE"""),"Homepage")</f>
        <v>Homepage</v>
      </c>
      <c r="G58" s="15"/>
      <c r="H58" s="15" t="str">
        <f>IFERROR(__xludf.DUMMYFUNCTION("""COMPUTED_VALUE"""),"Unknown")</f>
        <v>Unknown</v>
      </c>
      <c r="I58" s="15">
        <f>IFERROR(__xludf.DUMMYFUNCTION("""COMPUTED_VALUE"""),2.0)</f>
        <v>2</v>
      </c>
      <c r="J58" s="15">
        <f>IFERROR(__xludf.DUMMYFUNCTION("""COMPUTED_VALUE"""),0.0)</f>
        <v>0</v>
      </c>
      <c r="K58" s="15">
        <f>IFERROR(__xludf.DUMMYFUNCTION("""COMPUTED_VALUE"""),1.0)</f>
        <v>1</v>
      </c>
    </row>
    <row r="59" ht="15.75" customHeight="1">
      <c r="A59" s="14" t="str">
        <f>IFERROR(__xludf.DUMMYFUNCTION("""COMPUTED_VALUE"""),"https://simplicity.media/")</f>
        <v>https://simplicity.media/</v>
      </c>
      <c r="B59" s="15" t="str">
        <f>IFERROR(__xludf.DUMMYFUNCTION("""COMPUTED_VALUE"""),"Simplicity Media | Independent UK Advertising Agency")</f>
        <v>Simplicity Media | Independent UK Advertising Agency</v>
      </c>
      <c r="C59" s="15" t="str">
        <f>IFERROR(__xludf.DUMMYFUNCTION("""COMPUTED_VALUE"""),"simplicity.media")</f>
        <v>simplicity.media</v>
      </c>
      <c r="D59" s="15" t="str">
        <f>IFERROR(__xludf.DUMMYFUNCTION("""COMPUTED_VALUE"""),"HOMEPAGE")</f>
        <v>HOMEPAGE</v>
      </c>
      <c r="E59" s="15" t="str">
        <f>IFERROR(__xludf.DUMMYFUNCTION("""COMPUTED_VALUE"""),"CORPORATE")</f>
        <v>CORPORATE</v>
      </c>
      <c r="F59" s="15" t="str">
        <f>IFERROR(__xludf.DUMMYFUNCTION("""COMPUTED_VALUE"""),"Homepage")</f>
        <v>Homepage</v>
      </c>
      <c r="G59" s="15" t="b">
        <f>IFERROR(__xludf.DUMMYFUNCTION("""COMPUTED_VALUE"""),FALSE)</f>
        <v>0</v>
      </c>
      <c r="H59" s="15" t="str">
        <f>IFERROR(__xludf.DUMMYFUNCTION("""COMPUTED_VALUE"""),"Impression")</f>
        <v>Impression</v>
      </c>
      <c r="I59" s="15">
        <f>IFERROR(__xludf.DUMMYFUNCTION("""COMPUTED_VALUE"""),2.0)</f>
        <v>2</v>
      </c>
      <c r="J59" s="15">
        <f>IFERROR(__xludf.DUMMYFUNCTION("""COMPUTED_VALUE"""),0.0)</f>
        <v>0</v>
      </c>
      <c r="K59" s="15">
        <f>IFERROR(__xludf.DUMMYFUNCTION("""COMPUTED_VALUE"""),0.0)</f>
        <v>0</v>
      </c>
    </row>
    <row r="60" ht="15.75" customHeight="1">
      <c r="A60" s="14" t="str">
        <f>IFERROR(__xludf.DUMMYFUNCTION("""COMPUTED_VALUE"""),"https://theaiconsultancy.ai/")</f>
        <v>https://theaiconsultancy.ai/</v>
      </c>
      <c r="B60" s="15" t="str">
        <f>IFERROR(__xludf.DUMMYFUNCTION("""COMPUTED_VALUE"""),"AI Consultancy for UK Businesses | The AI Consultancy")</f>
        <v>AI Consultancy for UK Businesses | The AI Consultancy</v>
      </c>
      <c r="C60" s="14" t="str">
        <f>IFERROR(__xludf.DUMMYFUNCTION("""COMPUTED_VALUE"""),"theaiconsultancy.ai")</f>
        <v>theaiconsultancy.ai</v>
      </c>
      <c r="D60" s="15" t="str">
        <f>IFERROR(__xludf.DUMMYFUNCTION("""COMPUTED_VALUE"""),"HOMEPAGE")</f>
        <v>HOMEPAGE</v>
      </c>
      <c r="E60" s="15" t="str">
        <f>IFERROR(__xludf.DUMMYFUNCTION("""COMPUTED_VALUE"""),"CORPORATE")</f>
        <v>CORPORATE</v>
      </c>
      <c r="F60" s="15" t="str">
        <f>IFERROR(__xludf.DUMMYFUNCTION("""COMPUTED_VALUE"""),"Homepage")</f>
        <v>Homepage</v>
      </c>
      <c r="G60" s="15" t="b">
        <f>IFERROR(__xludf.DUMMYFUNCTION("""COMPUTED_VALUE"""),FALSE)</f>
        <v>0</v>
      </c>
      <c r="H60" s="15"/>
      <c r="I60" s="15">
        <f>IFERROR(__xludf.DUMMYFUNCTION("""COMPUTED_VALUE"""),2.0)</f>
        <v>2</v>
      </c>
      <c r="J60" s="15">
        <f>IFERROR(__xludf.DUMMYFUNCTION("""COMPUTED_VALUE"""),0.0)</f>
        <v>0</v>
      </c>
      <c r="K60" s="15">
        <f>IFERROR(__xludf.DUMMYFUNCTION("""COMPUTED_VALUE"""),0.0)</f>
        <v>0</v>
      </c>
    </row>
    <row r="61" ht="15.75" customHeight="1">
      <c r="A61" s="14" t="str">
        <f>IFERROR(__xludf.DUMMYFUNCTION("""COMPUTED_VALUE"""),"https://weareaudiences.com/")</f>
        <v>https://weareaudiences.com/</v>
      </c>
      <c r="B61" s="15" t="str">
        <f>IFERROR(__xludf.DUMMYFUNCTION("""COMPUTED_VALUE"""),"AUDIENCES | In-Cloud Signal Distribution for First-Party Data")</f>
        <v>AUDIENCES | In-Cloud Signal Distribution for First-Party Data</v>
      </c>
      <c r="C61" s="14" t="str">
        <f>IFERROR(__xludf.DUMMYFUNCTION("""COMPUTED_VALUE"""),"weareaudiences.com")</f>
        <v>weareaudiences.com</v>
      </c>
      <c r="D61" s="15" t="str">
        <f>IFERROR(__xludf.DUMMYFUNCTION("""COMPUTED_VALUE"""),"HOMEPAGE")</f>
        <v>HOMEPAGE</v>
      </c>
      <c r="E61" s="15" t="str">
        <f>IFERROR(__xludf.DUMMYFUNCTION("""COMPUTED_VALUE"""),"CORPORATE")</f>
        <v>CORPORATE</v>
      </c>
      <c r="F61" s="15" t="str">
        <f>IFERROR(__xludf.DUMMYFUNCTION("""COMPUTED_VALUE"""),"Homepage")</f>
        <v>Homepage</v>
      </c>
      <c r="G61" s="15" t="b">
        <f>IFERROR(__xludf.DUMMYFUNCTION("""COMPUTED_VALUE"""),FALSE)</f>
        <v>0</v>
      </c>
      <c r="H61" s="15"/>
      <c r="I61" s="15">
        <f>IFERROR(__xludf.DUMMYFUNCTION("""COMPUTED_VALUE"""),2.0)</f>
        <v>2</v>
      </c>
      <c r="J61" s="15">
        <f>IFERROR(__xludf.DUMMYFUNCTION("""COMPUTED_VALUE"""),0.0)</f>
        <v>0</v>
      </c>
      <c r="K61" s="15">
        <f>IFERROR(__xludf.DUMMYFUNCTION("""COMPUTED_VALUE"""),1.5)</f>
        <v>1.5</v>
      </c>
    </row>
    <row r="62" ht="15.75" customHeight="1">
      <c r="A62" s="14" t="str">
        <f>IFERROR(__xludf.DUMMYFUNCTION("""COMPUTED_VALUE"""),"https://agencybyagency.com/")</f>
        <v>https://agencybyagency.com/</v>
      </c>
      <c r="B62" s="15" t="str">
        <f>IFERROR(__xludf.DUMMYFUNCTION("""COMPUTED_VALUE"""),"Agency by Agency")</f>
        <v>Agency by Agency</v>
      </c>
      <c r="C62" s="14" t="str">
        <f>IFERROR(__xludf.DUMMYFUNCTION("""COMPUTED_VALUE"""),"agencybyagency.com")</f>
        <v>agencybyagency.com</v>
      </c>
      <c r="D62" s="15" t="str">
        <f>IFERROR(__xludf.DUMMYFUNCTION("""COMPUTED_VALUE"""),"HOMEPAGE")</f>
        <v>HOMEPAGE</v>
      </c>
      <c r="E62" s="15" t="str">
        <f>IFERROR(__xludf.DUMMYFUNCTION("""COMPUTED_VALUE"""),"EDITORIAL")</f>
        <v>EDITORIAL</v>
      </c>
      <c r="F62" s="15" t="str">
        <f>IFERROR(__xludf.DUMMYFUNCTION("""COMPUTED_VALUE"""),"Homepage")</f>
        <v>Homepage</v>
      </c>
      <c r="G62" s="15" t="b">
        <f>IFERROR(__xludf.DUMMYFUNCTION("""COMPUTED_VALUE"""),FALSE)</f>
        <v>0</v>
      </c>
      <c r="H62" s="15" t="str">
        <f>IFERROR(__xludf.DUMMYFUNCTION("""COMPUTED_VALUE"""),"Found, weDiscover")</f>
        <v>Found, weDiscover</v>
      </c>
      <c r="I62" s="15">
        <f>IFERROR(__xludf.DUMMYFUNCTION("""COMPUTED_VALUE"""),1.0)</f>
        <v>1</v>
      </c>
      <c r="J62" s="15">
        <f>IFERROR(__xludf.DUMMYFUNCTION("""COMPUTED_VALUE"""),0.0)</f>
        <v>0</v>
      </c>
      <c r="K62" s="15">
        <f>IFERROR(__xludf.DUMMYFUNCTION("""COMPUTED_VALUE"""),1.0)</f>
        <v>1</v>
      </c>
    </row>
    <row r="63" ht="15.75" customHeight="1">
      <c r="A63" s="14" t="str">
        <f>IFERROR(__xludf.DUMMYFUNCTION("""COMPUTED_VALUE"""),"https://www.ai-expert.co.uk/")</f>
        <v>https://www.ai-expert.co.uk/</v>
      </c>
      <c r="B63" s="15" t="str">
        <f>IFERROR(__xludf.DUMMYFUNCTION("""COMPUTED_VALUE"""),"AI Consultancy UK, Artificial Intelligence Consulting Firm")</f>
        <v>AI Consultancy UK, Artificial Intelligence Consulting Firm</v>
      </c>
      <c r="C63" s="14" t="str">
        <f>IFERROR(__xludf.DUMMYFUNCTION("""COMPUTED_VALUE"""),"ai-expert.co.uk")</f>
        <v>ai-expert.co.uk</v>
      </c>
      <c r="D63" s="15" t="str">
        <f>IFERROR(__xludf.DUMMYFUNCTION("""COMPUTED_VALUE"""),"HOMEPAGE")</f>
        <v>HOMEPAGE</v>
      </c>
      <c r="E63" s="15" t="str">
        <f>IFERROR(__xludf.DUMMYFUNCTION("""COMPUTED_VALUE"""),"CORPORATE")</f>
        <v>CORPORATE</v>
      </c>
      <c r="F63" s="15" t="str">
        <f>IFERROR(__xludf.DUMMYFUNCTION("""COMPUTED_VALUE"""),"Homepage")</f>
        <v>Homepage</v>
      </c>
      <c r="G63" s="15" t="b">
        <f>IFERROR(__xludf.DUMMYFUNCTION("""COMPUTED_VALUE"""),FALSE)</f>
        <v>0</v>
      </c>
      <c r="H63" s="15"/>
      <c r="I63" s="15">
        <f>IFERROR(__xludf.DUMMYFUNCTION("""COMPUTED_VALUE"""),1.0)</f>
        <v>1</v>
      </c>
      <c r="J63" s="15">
        <f>IFERROR(__xludf.DUMMYFUNCTION("""COMPUTED_VALUE"""),0.0)</f>
        <v>0</v>
      </c>
      <c r="K63" s="15">
        <f>IFERROR(__xludf.DUMMYFUNCTION("""COMPUTED_VALUE"""),0.0)</f>
        <v>0</v>
      </c>
    </row>
    <row r="64" ht="15.75" customHeight="1">
      <c r="A64" s="14" t="str">
        <f>IFERROR(__xludf.DUMMYFUNCTION("""COMPUTED_VALUE"""),"https://ality.co.uk/")</f>
        <v>https://ality.co.uk/</v>
      </c>
      <c r="B64" s="15" t="str">
        <f>IFERROR(__xludf.DUMMYFUNCTION("""COMPUTED_VALUE"""),"ality™ Advertising Agency │ Performance Marketing Agency")</f>
        <v>ality™ Advertising Agency │ Performance Marketing Agency</v>
      </c>
      <c r="C64" s="14" t="str">
        <f>IFERROR(__xludf.DUMMYFUNCTION("""COMPUTED_VALUE"""),"ality.co.uk")</f>
        <v>ality.co.uk</v>
      </c>
      <c r="D64" s="15" t="str">
        <f>IFERROR(__xludf.DUMMYFUNCTION("""COMPUTED_VALUE"""),"HOMEPAGE")</f>
        <v>HOMEPAGE</v>
      </c>
      <c r="E64" s="15" t="str">
        <f>IFERROR(__xludf.DUMMYFUNCTION("""COMPUTED_VALUE"""),"CORPORATE")</f>
        <v>CORPORATE</v>
      </c>
      <c r="F64" s="15" t="str">
        <f>IFERROR(__xludf.DUMMYFUNCTION("""COMPUTED_VALUE"""),"Homepage")</f>
        <v>Homepage</v>
      </c>
      <c r="G64" s="15" t="b">
        <f>IFERROR(__xludf.DUMMYFUNCTION("""COMPUTED_VALUE"""),FALSE)</f>
        <v>0</v>
      </c>
      <c r="H64" s="15"/>
      <c r="I64" s="15">
        <f>IFERROR(__xludf.DUMMYFUNCTION("""COMPUTED_VALUE"""),1.0)</f>
        <v>1</v>
      </c>
      <c r="J64" s="15">
        <f>IFERROR(__xludf.DUMMYFUNCTION("""COMPUTED_VALUE"""),0.0)</f>
        <v>0</v>
      </c>
      <c r="K64" s="15">
        <f>IFERROR(__xludf.DUMMYFUNCTION("""COMPUTED_VALUE"""),0.0)</f>
        <v>0</v>
      </c>
    </row>
    <row r="65" ht="15.75" customHeight="1">
      <c r="A65" s="14" t="str">
        <f>IFERROR(__xludf.DUMMYFUNCTION("""COMPUTED_VALUE"""),"https://analytics.co.uk/")</f>
        <v>https://analytics.co.uk/</v>
      </c>
      <c r="B65" s="15" t="str">
        <f>IFERROR(__xludf.DUMMYFUNCTION("""COMPUTED_VALUE"""),"Digital Marketing Analytics Agency | Up Analytics")</f>
        <v>Digital Marketing Analytics Agency | Up Analytics</v>
      </c>
      <c r="C65" s="14" t="str">
        <f>IFERROR(__xludf.DUMMYFUNCTION("""COMPUTED_VALUE"""),"analytics.co.uk")</f>
        <v>analytics.co.uk</v>
      </c>
      <c r="D65" s="15" t="str">
        <f>IFERROR(__xludf.DUMMYFUNCTION("""COMPUTED_VALUE"""),"HOMEPAGE")</f>
        <v>HOMEPAGE</v>
      </c>
      <c r="E65" s="15" t="str">
        <f>IFERROR(__xludf.DUMMYFUNCTION("""COMPUTED_VALUE"""),"CORPORATE")</f>
        <v>CORPORATE</v>
      </c>
      <c r="F65" s="15" t="str">
        <f>IFERROR(__xludf.DUMMYFUNCTION("""COMPUTED_VALUE"""),"Homepage")</f>
        <v>Homepage</v>
      </c>
      <c r="G65" s="15" t="b">
        <f>IFERROR(__xludf.DUMMYFUNCTION("""COMPUTED_VALUE"""),FALSE)</f>
        <v>0</v>
      </c>
      <c r="H65" s="15" t="str">
        <f>IFERROR(__xludf.DUMMYFUNCTION("""COMPUTED_VALUE"""),"Transmission")</f>
        <v>Transmission</v>
      </c>
      <c r="I65" s="15">
        <f>IFERROR(__xludf.DUMMYFUNCTION("""COMPUTED_VALUE"""),1.0)</f>
        <v>1</v>
      </c>
      <c r="J65" s="15">
        <f>IFERROR(__xludf.DUMMYFUNCTION("""COMPUTED_VALUE"""),0.0)</f>
        <v>0</v>
      </c>
      <c r="K65" s="15">
        <f>IFERROR(__xludf.DUMMYFUNCTION("""COMPUTED_VALUE"""),0.0)</f>
        <v>0</v>
      </c>
    </row>
    <row r="66" ht="15.75" customHeight="1">
      <c r="A66" s="14" t="str">
        <f>IFERROR(__xludf.DUMMYFUNCTION("""COMPUTED_VALUE"""),"https://anglux.uk/")</f>
        <v>https://anglux.uk/</v>
      </c>
      <c r="B66" s="15" t="str">
        <f>IFERROR(__xludf.DUMMYFUNCTION("""COMPUTED_VALUE"""),"Anglux - Boutique SEO Agency &amp;amp; AI Search Consultants London")</f>
        <v>Anglux - Boutique SEO Agency &amp;amp; AI Search Consultants London</v>
      </c>
      <c r="C66" s="14" t="str">
        <f>IFERROR(__xludf.DUMMYFUNCTION("""COMPUTED_VALUE"""),"anglux.uk")</f>
        <v>anglux.uk</v>
      </c>
      <c r="D66" s="15" t="str">
        <f>IFERROR(__xludf.DUMMYFUNCTION("""COMPUTED_VALUE"""),"HOMEPAGE")</f>
        <v>HOMEPAGE</v>
      </c>
      <c r="E66" s="15" t="str">
        <f>IFERROR(__xludf.DUMMYFUNCTION("""COMPUTED_VALUE"""),"CORPORATE")</f>
        <v>CORPORATE</v>
      </c>
      <c r="F66" s="15" t="str">
        <f>IFERROR(__xludf.DUMMYFUNCTION("""COMPUTED_VALUE"""),"Homepage")</f>
        <v>Homepage</v>
      </c>
      <c r="G66" s="15" t="b">
        <f>IFERROR(__xludf.DUMMYFUNCTION("""COMPUTED_VALUE"""),FALSE)</f>
        <v>0</v>
      </c>
      <c r="H66" s="15" t="str">
        <f>IFERROR(__xludf.DUMMYFUNCTION("""COMPUTED_VALUE"""),"Haus")</f>
        <v>Haus</v>
      </c>
      <c r="I66" s="15">
        <f>IFERROR(__xludf.DUMMYFUNCTION("""COMPUTED_VALUE"""),1.0)</f>
        <v>1</v>
      </c>
      <c r="J66" s="15">
        <f>IFERROR(__xludf.DUMMYFUNCTION("""COMPUTED_VALUE"""),0.0)</f>
        <v>0</v>
      </c>
      <c r="K66" s="15">
        <f>IFERROR(__xludf.DUMMYFUNCTION("""COMPUTED_VALUE"""),2.0)</f>
        <v>2</v>
      </c>
    </row>
    <row r="67" ht="15.75" customHeight="1">
      <c r="A67" s="14" t="str">
        <f>IFERROR(__xludf.DUMMYFUNCTION("""COMPUTED_VALUE"""),"https://audigent.com/#:~:text=Audigent%20%7C%20The%20Leading%20Data%20Activation,activation%2C%20curation%20and%20identity%20platform.")</f>
        <v>https://audigent.com/#:~:text=Audigent%20%7C%20The%20Leading%20Data%20Activation,activation%2C%20curation%20and%20identity%20platform.</v>
      </c>
      <c r="B67" s="15" t="str">
        <f>IFERROR(__xludf.DUMMYFUNCTION("""COMPUTED_VALUE"""),"Audigent | The Leading Data Activation, Curation and Identity Platform")</f>
        <v>Audigent | The Leading Data Activation, Curation and Identity Platform</v>
      </c>
      <c r="C67" s="14" t="str">
        <f>IFERROR(__xludf.DUMMYFUNCTION("""COMPUTED_VALUE"""),"audigent.com")</f>
        <v>audigent.com</v>
      </c>
      <c r="D67" s="15" t="str">
        <f>IFERROR(__xludf.DUMMYFUNCTION("""COMPUTED_VALUE"""),"HOMEPAGE")</f>
        <v>HOMEPAGE</v>
      </c>
      <c r="E67" s="15" t="str">
        <f>IFERROR(__xludf.DUMMYFUNCTION("""COMPUTED_VALUE"""),"CORPORATE")</f>
        <v>CORPORATE</v>
      </c>
      <c r="F67" s="15" t="str">
        <f>IFERROR(__xludf.DUMMYFUNCTION("""COMPUTED_VALUE"""),"Homepage")</f>
        <v>Homepage</v>
      </c>
      <c r="G67" s="15" t="b">
        <f>IFERROR(__xludf.DUMMYFUNCTION("""COMPUTED_VALUE"""),FALSE)</f>
        <v>0</v>
      </c>
      <c r="H67" s="15"/>
      <c r="I67" s="15">
        <f>IFERROR(__xludf.DUMMYFUNCTION("""COMPUTED_VALUE"""),1.0)</f>
        <v>1</v>
      </c>
      <c r="J67" s="15">
        <f>IFERROR(__xludf.DUMMYFUNCTION("""COMPUTED_VALUE"""),0.0)</f>
        <v>0</v>
      </c>
      <c r="K67" s="15">
        <f>IFERROR(__xludf.DUMMYFUNCTION("""COMPUTED_VALUE"""),1.0)</f>
        <v>1</v>
      </c>
    </row>
    <row r="68" ht="15.75" customHeight="1">
      <c r="A68" s="14" t="str">
        <f>IFERROR(__xludf.DUMMYFUNCTION("""COMPUTED_VALUE"""),"https://www.avorioproductions.com/")</f>
        <v>https://www.avorioproductions.com/</v>
      </c>
      <c r="B68" s="15" t="str">
        <f>IFERROR(__xludf.DUMMYFUNCTION("""COMPUTED_VALUE"""),"Avorio | Subscription Video Production &amp;amp; Fractional Creative Teams")</f>
        <v>Avorio | Subscription Video Production &amp;amp; Fractional Creative Teams</v>
      </c>
      <c r="C68" s="14" t="str">
        <f>IFERROR(__xludf.DUMMYFUNCTION("""COMPUTED_VALUE"""),"avorioproductions.com")</f>
        <v>avorioproductions.com</v>
      </c>
      <c r="D68" s="15" t="str">
        <f>IFERROR(__xludf.DUMMYFUNCTION("""COMPUTED_VALUE"""),"HOMEPAGE")</f>
        <v>HOMEPAGE</v>
      </c>
      <c r="E68" s="15" t="str">
        <f>IFERROR(__xludf.DUMMYFUNCTION("""COMPUTED_VALUE"""),"CORPORATE")</f>
        <v>CORPORATE</v>
      </c>
      <c r="F68" s="15" t="str">
        <f>IFERROR(__xludf.DUMMYFUNCTION("""COMPUTED_VALUE"""),"Homepage")</f>
        <v>Homepage</v>
      </c>
      <c r="G68" s="15" t="b">
        <f>IFERROR(__xludf.DUMMYFUNCTION("""COMPUTED_VALUE"""),FALSE)</f>
        <v>0</v>
      </c>
      <c r="H68" s="15"/>
      <c r="I68" s="15">
        <f>IFERROR(__xludf.DUMMYFUNCTION("""COMPUTED_VALUE"""),1.0)</f>
        <v>1</v>
      </c>
      <c r="J68" s="15">
        <f>IFERROR(__xludf.DUMMYFUNCTION("""COMPUTED_VALUE"""),0.0)</f>
        <v>0</v>
      </c>
      <c r="K68" s="15">
        <f>IFERROR(__xludf.DUMMYFUNCTION("""COMPUTED_VALUE"""),0.0)</f>
        <v>0</v>
      </c>
    </row>
    <row r="69" ht="15.75" customHeight="1">
      <c r="A69" s="14" t="str">
        <f>IFERROR(__xludf.DUMMYFUNCTION("""COMPUTED_VALUE"""),"https://www.backhouse.com/")</f>
        <v>https://www.backhouse.com/</v>
      </c>
      <c r="B69" s="15" t="str">
        <f>IFERROR(__xludf.DUMMYFUNCTION("""COMPUTED_VALUE"""),"Backhouse // Embedded production company for brands, agencies, and studios")</f>
        <v>Backhouse // Embedded production company for brands, agencies, and studios</v>
      </c>
      <c r="C69" s="14" t="str">
        <f>IFERROR(__xludf.DUMMYFUNCTION("""COMPUTED_VALUE"""),"backhouse.com")</f>
        <v>backhouse.com</v>
      </c>
      <c r="D69" s="15" t="str">
        <f>IFERROR(__xludf.DUMMYFUNCTION("""COMPUTED_VALUE"""),"HOMEPAGE")</f>
        <v>HOMEPAGE</v>
      </c>
      <c r="E69" s="15" t="str">
        <f>IFERROR(__xludf.DUMMYFUNCTION("""COMPUTED_VALUE"""),"CORPORATE")</f>
        <v>CORPORATE</v>
      </c>
      <c r="F69" s="15" t="str">
        <f>IFERROR(__xludf.DUMMYFUNCTION("""COMPUTED_VALUE"""),"Homepage")</f>
        <v>Homepage</v>
      </c>
      <c r="G69" s="15" t="b">
        <f>IFERROR(__xludf.DUMMYFUNCTION("""COMPUTED_VALUE"""),FALSE)</f>
        <v>0</v>
      </c>
      <c r="H69" s="15"/>
      <c r="I69" s="15">
        <f>IFERROR(__xludf.DUMMYFUNCTION("""COMPUTED_VALUE"""),1.0)</f>
        <v>1</v>
      </c>
      <c r="J69" s="15">
        <f>IFERROR(__xludf.DUMMYFUNCTION("""COMPUTED_VALUE"""),0.0)</f>
        <v>0</v>
      </c>
      <c r="K69" s="15">
        <f>IFERROR(__xludf.DUMMYFUNCTION("""COMPUTED_VALUE"""),2.0)</f>
        <v>2</v>
      </c>
    </row>
    <row r="70" ht="15.75" customHeight="1">
      <c r="A70" s="14" t="str">
        <f>IFERROR(__xludf.DUMMYFUNCTION("""COMPUTED_VALUE"""),"https://best-ai-readiness-assessments.com/")</f>
        <v>https://best-ai-readiness-assessments.com/</v>
      </c>
      <c r="B70" s="15" t="str">
        <f>IFERROR(__xludf.DUMMYFUNCTION("""COMPUTED_VALUE"""),"Best AI Readiness Assessments of 2026: Top 9 Ranked")</f>
        <v>Best AI Readiness Assessments of 2026: Top 9 Ranked</v>
      </c>
      <c r="C70" s="14" t="str">
        <f>IFERROR(__xludf.DUMMYFUNCTION("""COMPUTED_VALUE"""),"best-ai-readiness-assessments.com")</f>
        <v>best-ai-readiness-assessments.com</v>
      </c>
      <c r="D70" s="15" t="str">
        <f>IFERROR(__xludf.DUMMYFUNCTION("""COMPUTED_VALUE"""),"HOMEPAGE")</f>
        <v>HOMEPAGE</v>
      </c>
      <c r="E70" s="15" t="str">
        <f>IFERROR(__xludf.DUMMYFUNCTION("""COMPUTED_VALUE"""),"EDITORIAL")</f>
        <v>EDITORIAL</v>
      </c>
      <c r="F70" s="15" t="str">
        <f>IFERROR(__xludf.DUMMYFUNCTION("""COMPUTED_VALUE"""),"Homepage")</f>
        <v>Homepage</v>
      </c>
      <c r="G70" s="15" t="b">
        <f>IFERROR(__xludf.DUMMYFUNCTION("""COMPUTED_VALUE"""),FALSE)</f>
        <v>0</v>
      </c>
      <c r="H70" s="15" t="str">
        <f>IFERROR(__xludf.DUMMYFUNCTION("""COMPUTED_VALUE"""),"Deloitte Digital")</f>
        <v>Deloitte Digital</v>
      </c>
      <c r="I70" s="15">
        <f>IFERROR(__xludf.DUMMYFUNCTION("""COMPUTED_VALUE"""),1.0)</f>
        <v>1</v>
      </c>
      <c r="J70" s="15">
        <f>IFERROR(__xludf.DUMMYFUNCTION("""COMPUTED_VALUE"""),0.0)</f>
        <v>0</v>
      </c>
      <c r="K70" s="15">
        <f>IFERROR(__xludf.DUMMYFUNCTION("""COMPUTED_VALUE"""),0.0)</f>
        <v>0</v>
      </c>
    </row>
    <row r="71" ht="15.75" customHeight="1">
      <c r="A71" s="14" t="str">
        <f>IFERROR(__xludf.DUMMYFUNCTION("""COMPUTED_VALUE"""),"https://bind.media/")</f>
        <v>https://bind.media/</v>
      </c>
      <c r="B71" s="15" t="str">
        <f>IFERROR(__xludf.DUMMYFUNCTION("""COMPUTED_VALUE"""),"Bind Media | Performance Marketing Agency | Paid Media, Creative, CRO…")</f>
        <v>Bind Media | Performance Marketing Agency | Paid Media, Creative, CRO…</v>
      </c>
      <c r="C71" s="15" t="str">
        <f>IFERROR(__xludf.DUMMYFUNCTION("""COMPUTED_VALUE"""),"bind.media")</f>
        <v>bind.media</v>
      </c>
      <c r="D71" s="15" t="str">
        <f>IFERROR(__xludf.DUMMYFUNCTION("""COMPUTED_VALUE"""),"HOMEPAGE")</f>
        <v>HOMEPAGE</v>
      </c>
      <c r="E71" s="15" t="str">
        <f>IFERROR(__xludf.DUMMYFUNCTION("""COMPUTED_VALUE"""),"COMPETITOR")</f>
        <v>COMPETITOR</v>
      </c>
      <c r="F71" s="15" t="str">
        <f>IFERROR(__xludf.DUMMYFUNCTION("""COMPUTED_VALUE"""),"Homepage")</f>
        <v>Homepage</v>
      </c>
      <c r="G71" s="15" t="b">
        <f>IFERROR(__xludf.DUMMYFUNCTION("""COMPUTED_VALUE"""),FALSE)</f>
        <v>0</v>
      </c>
      <c r="H71" s="15" t="str">
        <f>IFERROR(__xludf.DUMMYFUNCTION("""COMPUTED_VALUE"""),"Bind Media, Push")</f>
        <v>Bind Media, Push</v>
      </c>
      <c r="I71" s="15">
        <f>IFERROR(__xludf.DUMMYFUNCTION("""COMPUTED_VALUE"""),1.0)</f>
        <v>1</v>
      </c>
      <c r="J71" s="15">
        <f>IFERROR(__xludf.DUMMYFUNCTION("""COMPUTED_VALUE"""),0.0)</f>
        <v>0</v>
      </c>
      <c r="K71" s="15">
        <f>IFERROR(__xludf.DUMMYFUNCTION("""COMPUTED_VALUE"""),0.0)</f>
        <v>0</v>
      </c>
    </row>
    <row r="72" ht="15.75" customHeight="1">
      <c r="A72" s="14" t="str">
        <f>IFERROR(__xludf.DUMMYFUNCTION("""COMPUTED_VALUE"""),"https://www.brainlabsdigital.com/home/")</f>
        <v>https://www.brainlabsdigital.com/home/</v>
      </c>
      <c r="B72" s="15" t="str">
        <f>IFERROR(__xludf.DUMMYFUNCTION("""COMPUTED_VALUE"""),"Home - Brainlabs")</f>
        <v>Home - Brainlabs</v>
      </c>
      <c r="C72" s="14" t="str">
        <f>IFERROR(__xludf.DUMMYFUNCTION("""COMPUTED_VALUE"""),"brainlabsdigital.com")</f>
        <v>brainlabsdigital.com</v>
      </c>
      <c r="D72" s="15" t="str">
        <f>IFERROR(__xludf.DUMMYFUNCTION("""COMPUTED_VALUE"""),"HOMEPAGE")</f>
        <v>HOMEPAGE</v>
      </c>
      <c r="E72" s="15" t="str">
        <f>IFERROR(__xludf.DUMMYFUNCTION("""COMPUTED_VALUE"""),"COMPETITOR")</f>
        <v>COMPETITOR</v>
      </c>
      <c r="F72" s="15" t="str">
        <f>IFERROR(__xludf.DUMMYFUNCTION("""COMPUTED_VALUE"""),"Homepage")</f>
        <v>Homepage</v>
      </c>
      <c r="G72" s="15" t="b">
        <f>IFERROR(__xludf.DUMMYFUNCTION("""COMPUTED_VALUE"""),FALSE)</f>
        <v>0</v>
      </c>
      <c r="H72" s="15" t="str">
        <f>IFERROR(__xludf.DUMMYFUNCTION("""COMPUTED_VALUE"""),"Brainlabs, The Brains")</f>
        <v>Brainlabs, The Brains</v>
      </c>
      <c r="I72" s="15">
        <f>IFERROR(__xludf.DUMMYFUNCTION("""COMPUTED_VALUE"""),1.0)</f>
        <v>1</v>
      </c>
      <c r="J72" s="15">
        <f>IFERROR(__xludf.DUMMYFUNCTION("""COMPUTED_VALUE"""),0.0)</f>
        <v>0</v>
      </c>
      <c r="K72" s="15">
        <f>IFERROR(__xludf.DUMMYFUNCTION("""COMPUTED_VALUE"""),1.0)</f>
        <v>1</v>
      </c>
    </row>
    <row r="73" ht="15.75" customHeight="1">
      <c r="A73" s="14" t="str">
        <f>IFERROR(__xludf.DUMMYFUNCTION("""COMPUTED_VALUE"""),"https://ceek.co.uk/")</f>
        <v>https://ceek.co.uk/</v>
      </c>
      <c r="B73" s="15" t="str">
        <f>IFERROR(__xludf.DUMMYFUNCTION("""COMPUTED_VALUE"""),"CEEK Marketing \| Best Digital Marketing Agency In London")</f>
        <v>CEEK Marketing \| Best Digital Marketing Agency In London</v>
      </c>
      <c r="C73" s="14" t="str">
        <f>IFERROR(__xludf.DUMMYFUNCTION("""COMPUTED_VALUE"""),"ceek.co.uk")</f>
        <v>ceek.co.uk</v>
      </c>
      <c r="D73" s="15" t="str">
        <f>IFERROR(__xludf.DUMMYFUNCTION("""COMPUTED_VALUE"""),"HOMEPAGE")</f>
        <v>HOMEPAGE</v>
      </c>
      <c r="E73" s="15" t="str">
        <f>IFERROR(__xludf.DUMMYFUNCTION("""COMPUTED_VALUE"""),"CORPORATE")</f>
        <v>CORPORATE</v>
      </c>
      <c r="F73" s="15" t="str">
        <f>IFERROR(__xludf.DUMMYFUNCTION("""COMPUTED_VALUE"""),"Homepage")</f>
        <v>Homepage</v>
      </c>
      <c r="G73" s="15" t="b">
        <f>IFERROR(__xludf.DUMMYFUNCTION("""COMPUTED_VALUE"""),FALSE)</f>
        <v>0</v>
      </c>
      <c r="H73" s="15" t="str">
        <f>IFERROR(__xludf.DUMMYFUNCTION("""COMPUTED_VALUE"""),"Push, Measured")</f>
        <v>Push, Measured</v>
      </c>
      <c r="I73" s="15">
        <f>IFERROR(__xludf.DUMMYFUNCTION("""COMPUTED_VALUE"""),1.0)</f>
        <v>1</v>
      </c>
      <c r="J73" s="15">
        <f>IFERROR(__xludf.DUMMYFUNCTION("""COMPUTED_VALUE"""),0.0)</f>
        <v>0</v>
      </c>
      <c r="K73" s="15">
        <f>IFERROR(__xludf.DUMMYFUNCTION("""COMPUTED_VALUE"""),1.0)</f>
        <v>1</v>
      </c>
    </row>
    <row r="74" ht="15.75" customHeight="1">
      <c r="A74" s="14" t="str">
        <f>IFERROR(__xludf.DUMMYFUNCTION("""COMPUTED_VALUE"""),"https://www.choreograph.com/#:~:text=As%20a%20Google%20Marketing%20Platform,technology%20investment%20and%20media%20performance.")</f>
        <v>https://www.choreograph.com/#:~:text=As%20a%20Google%20Marketing%20Platform,technology%20investment%20and%20media%20performance.</v>
      </c>
      <c r="B74" s="15" t="str">
        <f>IFERROR(__xludf.DUMMYFUNCTION("""COMPUTED_VALUE"""),"Welcome To Choreograph.com, WPP’s global data company")</f>
        <v>Welcome To Choreograph.com, WPP’s global data company</v>
      </c>
      <c r="C74" s="14" t="str">
        <f>IFERROR(__xludf.DUMMYFUNCTION("""COMPUTED_VALUE"""),"choreograph.com")</f>
        <v>choreograph.com</v>
      </c>
      <c r="D74" s="15" t="str">
        <f>IFERROR(__xludf.DUMMYFUNCTION("""COMPUTED_VALUE"""),"HOMEPAGE")</f>
        <v>HOMEPAGE</v>
      </c>
      <c r="E74" s="15" t="str">
        <f>IFERROR(__xludf.DUMMYFUNCTION("""COMPUTED_VALUE"""),"CORPORATE")</f>
        <v>CORPORATE</v>
      </c>
      <c r="F74" s="15" t="str">
        <f>IFERROR(__xludf.DUMMYFUNCTION("""COMPUTED_VALUE"""),"Homepage")</f>
        <v>Homepage</v>
      </c>
      <c r="G74" s="15" t="b">
        <f>IFERROR(__xludf.DUMMYFUNCTION("""COMPUTED_VALUE"""),FALSE)</f>
        <v>0</v>
      </c>
      <c r="H74" s="15" t="str">
        <f>IFERROR(__xludf.DUMMYFUNCTION("""COMPUTED_VALUE"""),"WPP, GroupM")</f>
        <v>WPP, GroupM</v>
      </c>
      <c r="I74" s="15">
        <f>IFERROR(__xludf.DUMMYFUNCTION("""COMPUTED_VALUE"""),1.0)</f>
        <v>1</v>
      </c>
      <c r="J74" s="15">
        <f>IFERROR(__xludf.DUMMYFUNCTION("""COMPUTED_VALUE"""),0.0)</f>
        <v>0</v>
      </c>
      <c r="K74" s="15">
        <f>IFERROR(__xludf.DUMMYFUNCTION("""COMPUTED_VALUE"""),1.0)</f>
        <v>1</v>
      </c>
    </row>
    <row r="75" ht="15.75" customHeight="1">
      <c r="A75" s="14" t="str">
        <f>IFERROR(__xludf.DUMMYFUNCTION("""COMPUTED_VALUE"""),"https://circusppc.com/")</f>
        <v>https://circusppc.com/</v>
      </c>
      <c r="B75" s="15" t="str">
        <f>IFERROR(__xludf.DUMMYFUNCTION("""COMPUTED_VALUE"""),"Strategic PPC Agency | Paid Ads Specialists | Circus PPC")</f>
        <v>Strategic PPC Agency | Paid Ads Specialists | Circus PPC</v>
      </c>
      <c r="C75" s="14" t="str">
        <f>IFERROR(__xludf.DUMMYFUNCTION("""COMPUTED_VALUE"""),"circusppc.com")</f>
        <v>circusppc.com</v>
      </c>
      <c r="D75" s="15" t="str">
        <f>IFERROR(__xludf.DUMMYFUNCTION("""COMPUTED_VALUE"""),"HOMEPAGE")</f>
        <v>HOMEPAGE</v>
      </c>
      <c r="E75" s="15" t="str">
        <f>IFERROR(__xludf.DUMMYFUNCTION("""COMPUTED_VALUE"""),"CORPORATE")</f>
        <v>CORPORATE</v>
      </c>
      <c r="F75" s="15" t="str">
        <f>IFERROR(__xludf.DUMMYFUNCTION("""COMPUTED_VALUE"""),"Homepage")</f>
        <v>Homepage</v>
      </c>
      <c r="G75" s="15" t="b">
        <f>IFERROR(__xludf.DUMMYFUNCTION("""COMPUTED_VALUE"""),FALSE)</f>
        <v>0</v>
      </c>
      <c r="H75" s="15"/>
      <c r="I75" s="15">
        <f>IFERROR(__xludf.DUMMYFUNCTION("""COMPUTED_VALUE"""),1.0)</f>
        <v>1</v>
      </c>
      <c r="J75" s="15">
        <f>IFERROR(__xludf.DUMMYFUNCTION("""COMPUTED_VALUE"""),0.0)</f>
        <v>0</v>
      </c>
      <c r="K75" s="15">
        <f>IFERROR(__xludf.DUMMYFUNCTION("""COMPUTED_VALUE"""),0.0)</f>
        <v>0</v>
      </c>
    </row>
    <row r="76" ht="15.75" customHeight="1">
      <c r="A76" s="14" t="str">
        <f>IFERROR(__xludf.DUMMYFUNCTION("""COMPUTED_VALUE"""),"https://cleandigital.co.uk/")</f>
        <v>https://cleandigital.co.uk/</v>
      </c>
      <c r="B76" s="15" t="str">
        <f>IFERROR(__xludf.DUMMYFUNCTION("""COMPUTED_VALUE"""),"PPC Agency UK | Paid Media Specialists | Clean Digital")</f>
        <v>PPC Agency UK | Paid Media Specialists | Clean Digital</v>
      </c>
      <c r="C76" s="14" t="str">
        <f>IFERROR(__xludf.DUMMYFUNCTION("""COMPUTED_VALUE"""),"cleandigital.co.uk")</f>
        <v>cleandigital.co.uk</v>
      </c>
      <c r="D76" s="15" t="str">
        <f>IFERROR(__xludf.DUMMYFUNCTION("""COMPUTED_VALUE"""),"HOMEPAGE")</f>
        <v>HOMEPAGE</v>
      </c>
      <c r="E76" s="15" t="str">
        <f>IFERROR(__xludf.DUMMYFUNCTION("""COMPUTED_VALUE"""),"CORPORATE")</f>
        <v>CORPORATE</v>
      </c>
      <c r="F76" s="15" t="str">
        <f>IFERROR(__xludf.DUMMYFUNCTION("""COMPUTED_VALUE"""),"Homepage")</f>
        <v>Homepage</v>
      </c>
      <c r="G76" s="15" t="b">
        <f>IFERROR(__xludf.DUMMYFUNCTION("""COMPUTED_VALUE"""),FALSE)</f>
        <v>0</v>
      </c>
      <c r="H76" s="15"/>
      <c r="I76" s="15">
        <f>IFERROR(__xludf.DUMMYFUNCTION("""COMPUTED_VALUE"""),1.0)</f>
        <v>1</v>
      </c>
      <c r="J76" s="15">
        <f>IFERROR(__xludf.DUMMYFUNCTION("""COMPUTED_VALUE"""),0.0)</f>
        <v>0</v>
      </c>
      <c r="K76" s="15">
        <f>IFERROR(__xludf.DUMMYFUNCTION("""COMPUTED_VALUE"""),2.0)</f>
        <v>2</v>
      </c>
    </row>
    <row r="77" ht="15.75" customHeight="1">
      <c r="A77" s="14" t="str">
        <f>IFERROR(__xludf.DUMMYFUNCTION("""COMPUTED_VALUE"""),"https://www.clickintelligence.co.uk/")</f>
        <v>https://www.clickintelligence.co.uk/</v>
      </c>
      <c r="B77" s="15" t="str">
        <f>IFERROR(__xludf.DUMMYFUNCTION("""COMPUTED_VALUE"""),"SEO Agency UK | SEO, AI Search, Link Building &amp;amp; Digital PR | Click Intelligence")</f>
        <v>SEO Agency UK | SEO, AI Search, Link Building &amp;amp; Digital PR | Click Intelligence</v>
      </c>
      <c r="C77" s="14" t="str">
        <f>IFERROR(__xludf.DUMMYFUNCTION("""COMPUTED_VALUE"""),"clickintelligence.co.uk")</f>
        <v>clickintelligence.co.uk</v>
      </c>
      <c r="D77" s="15" t="str">
        <f>IFERROR(__xludf.DUMMYFUNCTION("""COMPUTED_VALUE"""),"HOMEPAGE")</f>
        <v>HOMEPAGE</v>
      </c>
      <c r="E77" s="15" t="str">
        <f>IFERROR(__xludf.DUMMYFUNCTION("""COMPUTED_VALUE"""),"COMPETITOR")</f>
        <v>COMPETITOR</v>
      </c>
      <c r="F77" s="15" t="str">
        <f>IFERROR(__xludf.DUMMYFUNCTION("""COMPUTED_VALUE"""),"Homepage")</f>
        <v>Homepage</v>
      </c>
      <c r="G77" s="15" t="b">
        <f>IFERROR(__xludf.DUMMYFUNCTION("""COMPUTED_VALUE"""),FALSE)</f>
        <v>0</v>
      </c>
      <c r="H77" s="15" t="str">
        <f>IFERROR(__xludf.DUMMYFUNCTION("""COMPUTED_VALUE"""),"Click Intelligence")</f>
        <v>Click Intelligence</v>
      </c>
      <c r="I77" s="15">
        <f>IFERROR(__xludf.DUMMYFUNCTION("""COMPUTED_VALUE"""),1.0)</f>
        <v>1</v>
      </c>
      <c r="J77" s="15">
        <f>IFERROR(__xludf.DUMMYFUNCTION("""COMPUTED_VALUE"""),0.0)</f>
        <v>0</v>
      </c>
      <c r="K77" s="15">
        <f>IFERROR(__xludf.DUMMYFUNCTION("""COMPUTED_VALUE"""),2.0)</f>
        <v>2</v>
      </c>
    </row>
    <row r="78" ht="15.75" customHeight="1">
      <c r="A78" s="14" t="str">
        <f>IFERROR(__xludf.DUMMYFUNCTION("""COMPUTED_VALUE"""),"https://www.creativebrief.com/")</f>
        <v>https://www.creativebrief.com/</v>
      </c>
      <c r="B78" s="15" t="str">
        <f>IFERROR(__xludf.DUMMYFUNCTION("""COMPUTED_VALUE"""),"Creativebrief | Stay Connected")</f>
        <v>Creativebrief | Stay Connected</v>
      </c>
      <c r="C78" s="14" t="str">
        <f>IFERROR(__xludf.DUMMYFUNCTION("""COMPUTED_VALUE"""),"creativebrief.com")</f>
        <v>creativebrief.com</v>
      </c>
      <c r="D78" s="15" t="str">
        <f>IFERROR(__xludf.DUMMYFUNCTION("""COMPUTED_VALUE"""),"HOMEPAGE")</f>
        <v>HOMEPAGE</v>
      </c>
      <c r="E78" s="15" t="str">
        <f>IFERROR(__xludf.DUMMYFUNCTION("""COMPUTED_VALUE"""),"CORPORATE")</f>
        <v>CORPORATE</v>
      </c>
      <c r="F78" s="15" t="str">
        <f>IFERROR(__xludf.DUMMYFUNCTION("""COMPUTED_VALUE"""),"Homepage")</f>
        <v>Homepage</v>
      </c>
      <c r="G78" s="15" t="b">
        <f>IFERROR(__xludf.DUMMYFUNCTION("""COMPUTED_VALUE"""),FALSE)</f>
        <v>0</v>
      </c>
      <c r="H78" s="15" t="str">
        <f>IFERROR(__xludf.DUMMYFUNCTION("""COMPUTED_VALUE"""),"Mother London")</f>
        <v>Mother London</v>
      </c>
      <c r="I78" s="15">
        <f>IFERROR(__xludf.DUMMYFUNCTION("""COMPUTED_VALUE"""),1.0)</f>
        <v>1</v>
      </c>
      <c r="J78" s="15">
        <f>IFERROR(__xludf.DUMMYFUNCTION("""COMPUTED_VALUE"""),0.0)</f>
        <v>0</v>
      </c>
      <c r="K78" s="15">
        <f>IFERROR(__xludf.DUMMYFUNCTION("""COMPUTED_VALUE"""),0.0)</f>
        <v>0</v>
      </c>
    </row>
    <row r="79" ht="15.75" customHeight="1">
      <c r="A79" s="14" t="str">
        <f>IFERROR(__xludf.DUMMYFUNCTION("""COMPUTED_VALUE"""),"https://www.creativemarketingltd.co.uk/")</f>
        <v>https://www.creativemarketingltd.co.uk/</v>
      </c>
      <c r="B79" s="15" t="str">
        <f>IFERROR(__xludf.DUMMYFUNCTION("""COMPUTED_VALUE"""),"UK's #1 AI Marketing Agency | Creative Marketing")</f>
        <v>UK's #1 AI Marketing Agency | Creative Marketing</v>
      </c>
      <c r="C79" s="14" t="str">
        <f>IFERROR(__xludf.DUMMYFUNCTION("""COMPUTED_VALUE"""),"creativemarketingltd.co.uk")</f>
        <v>creativemarketingltd.co.uk</v>
      </c>
      <c r="D79" s="15" t="str">
        <f>IFERROR(__xludf.DUMMYFUNCTION("""COMPUTED_VALUE"""),"HOMEPAGE")</f>
        <v>HOMEPAGE</v>
      </c>
      <c r="E79" s="15" t="str">
        <f>IFERROR(__xludf.DUMMYFUNCTION("""COMPUTED_VALUE"""),"CORPORATE")</f>
        <v>CORPORATE</v>
      </c>
      <c r="F79" s="15" t="str">
        <f>IFERROR(__xludf.DUMMYFUNCTION("""COMPUTED_VALUE"""),"Homepage")</f>
        <v>Homepage</v>
      </c>
      <c r="G79" s="15" t="b">
        <f>IFERROR(__xludf.DUMMYFUNCTION("""COMPUTED_VALUE"""),FALSE)</f>
        <v>0</v>
      </c>
      <c r="H79" s="15"/>
      <c r="I79" s="15">
        <f>IFERROR(__xludf.DUMMYFUNCTION("""COMPUTED_VALUE"""),1.0)</f>
        <v>1</v>
      </c>
      <c r="J79" s="15">
        <f>IFERROR(__xludf.DUMMYFUNCTION("""COMPUTED_VALUE"""),0.0)</f>
        <v>0</v>
      </c>
      <c r="K79" s="15">
        <f>IFERROR(__xludf.DUMMYFUNCTION("""COMPUTED_VALUE"""),2.0)</f>
        <v>2</v>
      </c>
    </row>
    <row r="80" ht="15.75" customHeight="1">
      <c r="A80" s="14" t="str">
        <f>IFERROR(__xludf.DUMMYFUNCTION("""COMPUTED_VALUE"""),"https://croud.com/en-gb/")</f>
        <v>https://croud.com/en-gb/</v>
      </c>
      <c r="B80" s="15" t="str">
        <f>IFERROR(__xludf.DUMMYFUNCTION("""COMPUTED_VALUE"""),"Croud UK | Global media, creative &amp;amp; data agency")</f>
        <v>Croud UK | Global media, creative &amp;amp; data agency</v>
      </c>
      <c r="C80" s="14" t="str">
        <f>IFERROR(__xludf.DUMMYFUNCTION("""COMPUTED_VALUE"""),"croud.com")</f>
        <v>croud.com</v>
      </c>
      <c r="D80" s="15" t="str">
        <f>IFERROR(__xludf.DUMMYFUNCTION("""COMPUTED_VALUE"""),"HOMEPAGE")</f>
        <v>HOMEPAGE</v>
      </c>
      <c r="E80" s="15" t="str">
        <f>IFERROR(__xludf.DUMMYFUNCTION("""COMPUTED_VALUE"""),"COMPETITOR")</f>
        <v>COMPETITOR</v>
      </c>
      <c r="F80" s="15" t="str">
        <f>IFERROR(__xludf.DUMMYFUNCTION("""COMPUTED_VALUE"""),"Homepage")</f>
        <v>Homepage</v>
      </c>
      <c r="G80" s="15" t="b">
        <f>IFERROR(__xludf.DUMMYFUNCTION("""COMPUTED_VALUE"""),FALSE)</f>
        <v>0</v>
      </c>
      <c r="H80" s="15" t="str">
        <f>IFERROR(__xludf.DUMMYFUNCTION("""COMPUTED_VALUE"""),"Croud")</f>
        <v>Croud</v>
      </c>
      <c r="I80" s="15">
        <f>IFERROR(__xludf.DUMMYFUNCTION("""COMPUTED_VALUE"""),1.0)</f>
        <v>1</v>
      </c>
      <c r="J80" s="15">
        <f>IFERROR(__xludf.DUMMYFUNCTION("""COMPUTED_VALUE"""),0.0)</f>
        <v>0</v>
      </c>
      <c r="K80" s="15">
        <f>IFERROR(__xludf.DUMMYFUNCTION("""COMPUTED_VALUE"""),1.0)</f>
        <v>1</v>
      </c>
    </row>
    <row r="81" ht="15.75" customHeight="1">
      <c r="A81" s="14" t="str">
        <f>IFERROR(__xludf.DUMMYFUNCTION("""COMPUTED_VALUE"""),"https://daio.uk/")</f>
        <v>https://daio.uk/</v>
      </c>
      <c r="B81" s="15" t="str">
        <f>IFERROR(__xludf.DUMMYFUNCTION("""COMPUTED_VALUE"""),"Daio — AI operations for independent marketing &amp;amp; PR agencies")</f>
        <v>Daio — AI operations for independent marketing &amp;amp; PR agencies</v>
      </c>
      <c r="C81" s="14" t="str">
        <f>IFERROR(__xludf.DUMMYFUNCTION("""COMPUTED_VALUE"""),"daio.uk")</f>
        <v>daio.uk</v>
      </c>
      <c r="D81" s="15" t="str">
        <f>IFERROR(__xludf.DUMMYFUNCTION("""COMPUTED_VALUE"""),"HOMEPAGE")</f>
        <v>HOMEPAGE</v>
      </c>
      <c r="E81" s="15" t="str">
        <f>IFERROR(__xludf.DUMMYFUNCTION("""COMPUTED_VALUE"""),"CORPORATE")</f>
        <v>CORPORATE</v>
      </c>
      <c r="F81" s="15" t="str">
        <f>IFERROR(__xludf.DUMMYFUNCTION("""COMPUTED_VALUE"""),"Homepage")</f>
        <v>Homepage</v>
      </c>
      <c r="G81" s="15" t="b">
        <f>IFERROR(__xludf.DUMMYFUNCTION("""COMPUTED_VALUE"""),FALSE)</f>
        <v>0</v>
      </c>
      <c r="H81" s="15"/>
      <c r="I81" s="15">
        <f>IFERROR(__xludf.DUMMYFUNCTION("""COMPUTED_VALUE"""),1.0)</f>
        <v>1</v>
      </c>
      <c r="J81" s="15">
        <f>IFERROR(__xludf.DUMMYFUNCTION("""COMPUTED_VALUE"""),0.0)</f>
        <v>0</v>
      </c>
      <c r="K81" s="15">
        <f>IFERROR(__xludf.DUMMYFUNCTION("""COMPUTED_VALUE"""),1.0)</f>
        <v>1</v>
      </c>
    </row>
    <row r="82" ht="15.75" customHeight="1">
      <c r="A82" s="14" t="str">
        <f>IFERROR(__xludf.DUMMYFUNCTION("""COMPUTED_VALUE"""),"https://www.deptagency.com/")</f>
        <v>https://www.deptagency.com/</v>
      </c>
      <c r="B82" s="15" t="str">
        <f>IFERROR(__xludf.DUMMYFUNCTION("""COMPUTED_VALUE"""),"DEPT® \| Growth Invention \| Tech &amp; Marketing")</f>
        <v>DEPT® \| Growth Invention \| Tech &amp; Marketing</v>
      </c>
      <c r="C82" s="14" t="str">
        <f>IFERROR(__xludf.DUMMYFUNCTION("""COMPUTED_VALUE"""),"deptagency.com")</f>
        <v>deptagency.com</v>
      </c>
      <c r="D82" s="15" t="str">
        <f>IFERROR(__xludf.DUMMYFUNCTION("""COMPUTED_VALUE"""),"HOMEPAGE")</f>
        <v>HOMEPAGE</v>
      </c>
      <c r="E82" s="15" t="str">
        <f>IFERROR(__xludf.DUMMYFUNCTION("""COMPUTED_VALUE"""),"COMPETITOR")</f>
        <v>COMPETITOR</v>
      </c>
      <c r="F82" s="15" t="str">
        <f>IFERROR(__xludf.DUMMYFUNCTION("""COMPUTED_VALUE"""),"Homepage")</f>
        <v>Homepage</v>
      </c>
      <c r="G82" s="15" t="b">
        <f>IFERROR(__xludf.DUMMYFUNCTION("""COMPUTED_VALUE"""),FALSE)</f>
        <v>0</v>
      </c>
      <c r="H82" s="15" t="str">
        <f>IFERROR(__xludf.DUMMYFUNCTION("""COMPUTED_VALUE"""),"Dept")</f>
        <v>Dept</v>
      </c>
      <c r="I82" s="15">
        <f>IFERROR(__xludf.DUMMYFUNCTION("""COMPUTED_VALUE"""),1.0)</f>
        <v>1</v>
      </c>
      <c r="J82" s="15">
        <f>IFERROR(__xludf.DUMMYFUNCTION("""COMPUTED_VALUE"""),0.0)</f>
        <v>0</v>
      </c>
      <c r="K82" s="15">
        <f>IFERROR(__xludf.DUMMYFUNCTION("""COMPUTED_VALUE"""),3.0)</f>
        <v>3</v>
      </c>
    </row>
    <row r="83" ht="15.75" customHeight="1">
      <c r="A83" s="14" t="str">
        <f>IFERROR(__xludf.DUMMYFUNCTION("""COMPUTED_VALUE"""),"https://digiactus.co.uk/")</f>
        <v>https://digiactus.co.uk/</v>
      </c>
      <c r="B83" s="15" t="str">
        <f>IFERROR(__xludf.DUMMYFUNCTION("""COMPUTED_VALUE"""),"Smarter Growth with trusted Digital Marketing Agency | Digiactus")</f>
        <v>Smarter Growth with trusted Digital Marketing Agency | Digiactus</v>
      </c>
      <c r="C83" s="14" t="str">
        <f>IFERROR(__xludf.DUMMYFUNCTION("""COMPUTED_VALUE"""),"digiactus.co.uk")</f>
        <v>digiactus.co.uk</v>
      </c>
      <c r="D83" s="15" t="str">
        <f>IFERROR(__xludf.DUMMYFUNCTION("""COMPUTED_VALUE"""),"HOMEPAGE")</f>
        <v>HOMEPAGE</v>
      </c>
      <c r="E83" s="15" t="str">
        <f>IFERROR(__xludf.DUMMYFUNCTION("""COMPUTED_VALUE"""),"CORPORATE")</f>
        <v>CORPORATE</v>
      </c>
      <c r="F83" s="15" t="str">
        <f>IFERROR(__xludf.DUMMYFUNCTION("""COMPUTED_VALUE"""),"Homepage")</f>
        <v>Homepage</v>
      </c>
      <c r="G83" s="15" t="b">
        <f>IFERROR(__xludf.DUMMYFUNCTION("""COMPUTED_VALUE"""),FALSE)</f>
        <v>0</v>
      </c>
      <c r="H83" s="15" t="str">
        <f>IFERROR(__xludf.DUMMYFUNCTION("""COMPUTED_VALUE"""),"Transmission")</f>
        <v>Transmission</v>
      </c>
      <c r="I83" s="15">
        <f>IFERROR(__xludf.DUMMYFUNCTION("""COMPUTED_VALUE"""),1.0)</f>
        <v>1</v>
      </c>
      <c r="J83" s="15">
        <f>IFERROR(__xludf.DUMMYFUNCTION("""COMPUTED_VALUE"""),0.0)</f>
        <v>0</v>
      </c>
      <c r="K83" s="15">
        <f>IFERROR(__xludf.DUMMYFUNCTION("""COMPUTED_VALUE"""),1.0)</f>
        <v>1</v>
      </c>
    </row>
    <row r="84" ht="15.75" customHeight="1">
      <c r="A84" s="14" t="str">
        <f>IFERROR(__xludf.DUMMYFUNCTION("""COMPUTED_VALUE"""),"https://www.digitalmarketingagencyuk.com/")</f>
        <v>https://www.digitalmarketingagencyuk.com/</v>
      </c>
      <c r="B84" s="15"/>
      <c r="C84" s="14" t="str">
        <f>IFERROR(__xludf.DUMMYFUNCTION("""COMPUTED_VALUE"""),"digitalmarketingagencyuk.com")</f>
        <v>digitalmarketingagencyuk.com</v>
      </c>
      <c r="D84" s="15" t="str">
        <f>IFERROR(__xludf.DUMMYFUNCTION("""COMPUTED_VALUE"""),"HOMEPAGE")</f>
        <v>HOMEPAGE</v>
      </c>
      <c r="E84" s="15" t="str">
        <f>IFERROR(__xludf.DUMMYFUNCTION("""COMPUTED_VALUE"""),"CORPORATE")</f>
        <v>CORPORATE</v>
      </c>
      <c r="F84" s="15" t="str">
        <f>IFERROR(__xludf.DUMMYFUNCTION("""COMPUTED_VALUE"""),"Homepage")</f>
        <v>Homepage</v>
      </c>
      <c r="G84" s="15"/>
      <c r="H84" s="15" t="str">
        <f>IFERROR(__xludf.DUMMYFUNCTION("""COMPUTED_VALUE"""),"Unknown")</f>
        <v>Unknown</v>
      </c>
      <c r="I84" s="15">
        <f>IFERROR(__xludf.DUMMYFUNCTION("""COMPUTED_VALUE"""),1.0)</f>
        <v>1</v>
      </c>
      <c r="J84" s="15">
        <f>IFERROR(__xludf.DUMMYFUNCTION("""COMPUTED_VALUE"""),0.0)</f>
        <v>0</v>
      </c>
      <c r="K84" s="15">
        <f>IFERROR(__xludf.DUMMYFUNCTION("""COMPUTED_VALUE"""),0.0)</f>
        <v>0</v>
      </c>
    </row>
    <row r="85" ht="15.75" customHeight="1">
      <c r="A85" s="14" t="str">
        <f>IFERROR(__xludf.DUMMYFUNCTION("""COMPUTED_VALUE"""),"https://droga5.com/")</f>
        <v>https://droga5.com/</v>
      </c>
      <c r="B85" s="15" t="str">
        <f>IFERROR(__xludf.DUMMYFUNCTION("""COMPUTED_VALUE"""),"Home | Droga5")</f>
        <v>Home | Droga5</v>
      </c>
      <c r="C85" s="14" t="str">
        <f>IFERROR(__xludf.DUMMYFUNCTION("""COMPUTED_VALUE"""),"droga5.com")</f>
        <v>droga5.com</v>
      </c>
      <c r="D85" s="15" t="str">
        <f>IFERROR(__xludf.DUMMYFUNCTION("""COMPUTED_VALUE"""),"HOMEPAGE")</f>
        <v>HOMEPAGE</v>
      </c>
      <c r="E85" s="15" t="str">
        <f>IFERROR(__xludf.DUMMYFUNCTION("""COMPUTED_VALUE"""),"CORPORATE")</f>
        <v>CORPORATE</v>
      </c>
      <c r="F85" s="15" t="str">
        <f>IFERROR(__xludf.DUMMYFUNCTION("""COMPUTED_VALUE"""),"Homepage")</f>
        <v>Homepage</v>
      </c>
      <c r="G85" s="15" t="b">
        <f>IFERROR(__xludf.DUMMYFUNCTION("""COMPUTED_VALUE"""),FALSE)</f>
        <v>0</v>
      </c>
      <c r="H85" s="15" t="str">
        <f>IFERROR(__xludf.DUMMYFUNCTION("""COMPUTED_VALUE"""),"Accenture Song, Impression, Found")</f>
        <v>Accenture Song, Impression, Found</v>
      </c>
      <c r="I85" s="15">
        <f>IFERROR(__xludf.DUMMYFUNCTION("""COMPUTED_VALUE"""),1.0)</f>
        <v>1</v>
      </c>
      <c r="J85" s="15">
        <f>IFERROR(__xludf.DUMMYFUNCTION("""COMPUTED_VALUE"""),0.0)</f>
        <v>0</v>
      </c>
      <c r="K85" s="15">
        <f>IFERROR(__xludf.DUMMYFUNCTION("""COMPUTED_VALUE"""),0.0)</f>
        <v>0</v>
      </c>
    </row>
    <row r="86" ht="15.75" customHeight="1">
      <c r="A86" s="14" t="str">
        <f>IFERROR(__xludf.DUMMYFUNCTION("""COMPUTED_VALUE"""),"https://efficiencymedia.com/")</f>
        <v>https://efficiencymedia.com/</v>
      </c>
      <c r="B86" s="15" t="str">
        <f>IFERROR(__xludf.DUMMYFUNCTION("""COMPUTED_VALUE"""),"Efficiency Media – Maximizing your media to showcase your brand.")</f>
        <v>Efficiency Media – Maximizing your media to showcase your brand.</v>
      </c>
      <c r="C86" s="14" t="str">
        <f>IFERROR(__xludf.DUMMYFUNCTION("""COMPUTED_VALUE"""),"efficiencymedia.com")</f>
        <v>efficiencymedia.com</v>
      </c>
      <c r="D86" s="15" t="str">
        <f>IFERROR(__xludf.DUMMYFUNCTION("""COMPUTED_VALUE"""),"HOMEPAGE")</f>
        <v>HOMEPAGE</v>
      </c>
      <c r="E86" s="15" t="str">
        <f>IFERROR(__xludf.DUMMYFUNCTION("""COMPUTED_VALUE"""),"CORPORATE")</f>
        <v>CORPORATE</v>
      </c>
      <c r="F86" s="15" t="str">
        <f>IFERROR(__xludf.DUMMYFUNCTION("""COMPUTED_VALUE"""),"Homepage")</f>
        <v>Homepage</v>
      </c>
      <c r="G86" s="15" t="b">
        <f>IFERROR(__xludf.DUMMYFUNCTION("""COMPUTED_VALUE"""),FALSE)</f>
        <v>0</v>
      </c>
      <c r="H86" s="15"/>
      <c r="I86" s="15">
        <f>IFERROR(__xludf.DUMMYFUNCTION("""COMPUTED_VALUE"""),1.0)</f>
        <v>1</v>
      </c>
      <c r="J86" s="15">
        <f>IFERROR(__xludf.DUMMYFUNCTION("""COMPUTED_VALUE"""),0.0)</f>
        <v>0</v>
      </c>
      <c r="K86" s="15">
        <f>IFERROR(__xludf.DUMMYFUNCTION("""COMPUTED_VALUE"""),0.0)</f>
        <v>0</v>
      </c>
    </row>
    <row r="87" ht="15.75" customHeight="1">
      <c r="A87" s="14" t="str">
        <f>IFERROR(__xludf.DUMMYFUNCTION("""COMPUTED_VALUE"""),"https://www.eightandfour.com/")</f>
        <v>https://www.eightandfour.com/</v>
      </c>
      <c r="B87" s="15" t="str">
        <f>IFERROR(__xludf.DUMMYFUNCTION("""COMPUTED_VALUE"""),"eight&amp;amp;four | The UK’s Leading Social &amp;amp; Content Agency")</f>
        <v>eight&amp;amp;four | The UK’s Leading Social &amp;amp; Content Agency</v>
      </c>
      <c r="C87" s="14" t="str">
        <f>IFERROR(__xludf.DUMMYFUNCTION("""COMPUTED_VALUE"""),"eightandfour.com")</f>
        <v>eightandfour.com</v>
      </c>
      <c r="D87" s="15" t="str">
        <f>IFERROR(__xludf.DUMMYFUNCTION("""COMPUTED_VALUE"""),"HOMEPAGE")</f>
        <v>HOMEPAGE</v>
      </c>
      <c r="E87" s="15" t="str">
        <f>IFERROR(__xludf.DUMMYFUNCTION("""COMPUTED_VALUE"""),"CORPORATE")</f>
        <v>CORPORATE</v>
      </c>
      <c r="F87" s="15" t="str">
        <f>IFERROR(__xludf.DUMMYFUNCTION("""COMPUTED_VALUE"""),"Homepage")</f>
        <v>Homepage</v>
      </c>
      <c r="G87" s="15" t="b">
        <f>IFERROR(__xludf.DUMMYFUNCTION("""COMPUTED_VALUE"""),FALSE)</f>
        <v>0</v>
      </c>
      <c r="H87" s="15"/>
      <c r="I87" s="15">
        <f>IFERROR(__xludf.DUMMYFUNCTION("""COMPUTED_VALUE"""),1.0)</f>
        <v>1</v>
      </c>
      <c r="J87" s="15">
        <f>IFERROR(__xludf.DUMMYFUNCTION("""COMPUTED_VALUE"""),0.0)</f>
        <v>0</v>
      </c>
      <c r="K87" s="15">
        <f>IFERROR(__xludf.DUMMYFUNCTION("""COMPUTED_VALUE"""),0.0)</f>
        <v>0</v>
      </c>
    </row>
    <row r="88" ht="15.75" customHeight="1">
      <c r="A88" s="14" t="str">
        <f>IFERROR(__xludf.DUMMYFUNCTION("""COMPUTED_VALUE"""),"https://www.ekcs.co/")</f>
        <v>https://www.ekcs.co/</v>
      </c>
      <c r="B88" s="15" t="str">
        <f>IFERROR(__xludf.DUMMYFUNCTION("""COMPUTED_VALUE"""),"EKCS | Your Global Creative Production Partner")</f>
        <v>EKCS | Your Global Creative Production Partner</v>
      </c>
      <c r="C88" s="14" t="str">
        <f>IFERROR(__xludf.DUMMYFUNCTION("""COMPUTED_VALUE"""),"ekcs.co")</f>
        <v>ekcs.co</v>
      </c>
      <c r="D88" s="15" t="str">
        <f>IFERROR(__xludf.DUMMYFUNCTION("""COMPUTED_VALUE"""),"HOMEPAGE")</f>
        <v>HOMEPAGE</v>
      </c>
      <c r="E88" s="15" t="str">
        <f>IFERROR(__xludf.DUMMYFUNCTION("""COMPUTED_VALUE"""),"CORPORATE")</f>
        <v>CORPORATE</v>
      </c>
      <c r="F88" s="15" t="str">
        <f>IFERROR(__xludf.DUMMYFUNCTION("""COMPUTED_VALUE"""),"Homepage")</f>
        <v>Homepage</v>
      </c>
      <c r="G88" s="15" t="b">
        <f>IFERROR(__xludf.DUMMYFUNCTION("""COMPUTED_VALUE"""),FALSE)</f>
        <v>0</v>
      </c>
      <c r="H88" s="15"/>
      <c r="I88" s="15">
        <f>IFERROR(__xludf.DUMMYFUNCTION("""COMPUTED_VALUE"""),1.0)</f>
        <v>1</v>
      </c>
      <c r="J88" s="15">
        <f>IFERROR(__xludf.DUMMYFUNCTION("""COMPUTED_VALUE"""),0.0)</f>
        <v>0</v>
      </c>
      <c r="K88" s="15">
        <f>IFERROR(__xludf.DUMMYFUNCTION("""COMPUTED_VALUE"""),2.0)</f>
        <v>2</v>
      </c>
    </row>
    <row r="89" ht="15.75" customHeight="1">
      <c r="A89" s="14" t="str">
        <f>IFERROR(__xludf.DUMMYFUNCTION("""COMPUTED_VALUE"""),"https://www.ekimetrics.com/")</f>
        <v>https://www.ekimetrics.com/</v>
      </c>
      <c r="B89" s="15" t="str">
        <f>IFERROR(__xludf.DUMMYFUNCTION("""COMPUTED_VALUE"""),"AI Business Solutions – Ekimetrics")</f>
        <v>AI Business Solutions – Ekimetrics</v>
      </c>
      <c r="C89" s="14" t="str">
        <f>IFERROR(__xludf.DUMMYFUNCTION("""COMPUTED_VALUE"""),"ekimetrics.com")</f>
        <v>ekimetrics.com</v>
      </c>
      <c r="D89" s="15" t="str">
        <f>IFERROR(__xludf.DUMMYFUNCTION("""COMPUTED_VALUE"""),"HOMEPAGE")</f>
        <v>HOMEPAGE</v>
      </c>
      <c r="E89" s="15" t="str">
        <f>IFERROR(__xludf.DUMMYFUNCTION("""COMPUTED_VALUE"""),"COMPETITOR")</f>
        <v>COMPETITOR</v>
      </c>
      <c r="F89" s="15" t="str">
        <f>IFERROR(__xludf.DUMMYFUNCTION("""COMPUTED_VALUE"""),"Homepage")</f>
        <v>Homepage</v>
      </c>
      <c r="G89" s="15" t="b">
        <f>IFERROR(__xludf.DUMMYFUNCTION("""COMPUTED_VALUE"""),FALSE)</f>
        <v>0</v>
      </c>
      <c r="H89" s="15" t="str">
        <f>IFERROR(__xludf.DUMMYFUNCTION("""COMPUTED_VALUE"""),"Ekimetrics, Measured")</f>
        <v>Ekimetrics, Measured</v>
      </c>
      <c r="I89" s="15">
        <f>IFERROR(__xludf.DUMMYFUNCTION("""COMPUTED_VALUE"""),1.0)</f>
        <v>1</v>
      </c>
      <c r="J89" s="15">
        <f>IFERROR(__xludf.DUMMYFUNCTION("""COMPUTED_VALUE"""),0.0)</f>
        <v>0</v>
      </c>
      <c r="K89" s="15">
        <f>IFERROR(__xludf.DUMMYFUNCTION("""COMPUTED_VALUE"""),1.0)</f>
        <v>1</v>
      </c>
    </row>
    <row r="90" ht="15.75" customHeight="1">
      <c r="A90" s="14" t="str">
        <f>IFERROR(__xludf.DUMMYFUNCTION("""COMPUTED_VALUE"""),"https://www.extradigital.co.uk/ppc/")</f>
        <v>https://www.extradigital.co.uk/ppc/</v>
      </c>
      <c r="B90" s="15" t="str">
        <f>IFERROR(__xludf.DUMMYFUNCTION("""COMPUTED_VALUE"""),"PPC Management Agency UK | ROI-Focused, Google Premier Partner | ExtraDigital")</f>
        <v>PPC Management Agency UK | ROI-Focused, Google Premier Partner | ExtraDigital</v>
      </c>
      <c r="C90" s="14" t="str">
        <f>IFERROR(__xludf.DUMMYFUNCTION("""COMPUTED_VALUE"""),"extradigital.co.uk")</f>
        <v>extradigital.co.uk</v>
      </c>
      <c r="D90" s="15" t="str">
        <f>IFERROR(__xludf.DUMMYFUNCTION("""COMPUTED_VALUE"""),"HOMEPAGE")</f>
        <v>HOMEPAGE</v>
      </c>
      <c r="E90" s="15" t="str">
        <f>IFERROR(__xludf.DUMMYFUNCTION("""COMPUTED_VALUE"""),"CORPORATE")</f>
        <v>CORPORATE</v>
      </c>
      <c r="F90" s="15" t="str">
        <f>IFERROR(__xludf.DUMMYFUNCTION("""COMPUTED_VALUE"""),"Homepage")</f>
        <v>Homepage</v>
      </c>
      <c r="G90" s="15" t="b">
        <f>IFERROR(__xludf.DUMMYFUNCTION("""COMPUTED_VALUE"""),FALSE)</f>
        <v>0</v>
      </c>
      <c r="H90" s="15" t="str">
        <f>IFERROR(__xludf.DUMMYFUNCTION("""COMPUTED_VALUE"""),"Found")</f>
        <v>Found</v>
      </c>
      <c r="I90" s="15">
        <f>IFERROR(__xludf.DUMMYFUNCTION("""COMPUTED_VALUE"""),1.0)</f>
        <v>1</v>
      </c>
      <c r="J90" s="15">
        <f>IFERROR(__xludf.DUMMYFUNCTION("""COMPUTED_VALUE"""),0.0)</f>
        <v>0</v>
      </c>
      <c r="K90" s="15">
        <f>IFERROR(__xludf.DUMMYFUNCTION("""COMPUTED_VALUE"""),0.0)</f>
        <v>0</v>
      </c>
    </row>
    <row r="91" ht="15.75" customHeight="1">
      <c r="A91" s="14" t="str">
        <f>IFERROR(__xludf.DUMMYFUNCTION("""COMPUTED_VALUE"""),"https://www.frontier15.com/")</f>
        <v>https://www.frontier15.com/</v>
      </c>
      <c r="B91" s="15" t="str">
        <f>IFERROR(__xludf.DUMMYFUNCTION("""COMPUTED_VALUE"""),"Generative Search Optimisation Agency London, UK | FRONTIER15")</f>
        <v>Generative Search Optimisation Agency London, UK | FRONTIER15</v>
      </c>
      <c r="C91" s="14" t="str">
        <f>IFERROR(__xludf.DUMMYFUNCTION("""COMPUTED_VALUE"""),"frontier15.com")</f>
        <v>frontier15.com</v>
      </c>
      <c r="D91" s="15" t="str">
        <f>IFERROR(__xludf.DUMMYFUNCTION("""COMPUTED_VALUE"""),"HOMEPAGE")</f>
        <v>HOMEPAGE</v>
      </c>
      <c r="E91" s="15" t="str">
        <f>IFERROR(__xludf.DUMMYFUNCTION("""COMPUTED_VALUE"""),"CORPORATE")</f>
        <v>CORPORATE</v>
      </c>
      <c r="F91" s="15" t="str">
        <f>IFERROR(__xludf.DUMMYFUNCTION("""COMPUTED_VALUE"""),"Homepage")</f>
        <v>Homepage</v>
      </c>
      <c r="G91" s="15" t="b">
        <f>IFERROR(__xludf.DUMMYFUNCTION("""COMPUTED_VALUE"""),FALSE)</f>
        <v>0</v>
      </c>
      <c r="H91" s="15" t="str">
        <f>IFERROR(__xludf.DUMMYFUNCTION("""COMPUTED_VALUE"""),"Found")</f>
        <v>Found</v>
      </c>
      <c r="I91" s="15">
        <f>IFERROR(__xludf.DUMMYFUNCTION("""COMPUTED_VALUE"""),1.0)</f>
        <v>1</v>
      </c>
      <c r="J91" s="15">
        <f>IFERROR(__xludf.DUMMYFUNCTION("""COMPUTED_VALUE"""),0.0)</f>
        <v>0</v>
      </c>
      <c r="K91" s="15">
        <f>IFERROR(__xludf.DUMMYFUNCTION("""COMPUTED_VALUE"""),0.0)</f>
        <v>0</v>
      </c>
    </row>
    <row r="92" ht="15.75" customHeight="1">
      <c r="A92" s="14" t="str">
        <f>IFERROR(__xludf.DUMMYFUNCTION("""COMPUTED_VALUE"""),"https://www.futuresupply.io/")</f>
        <v>https://www.futuresupply.io/</v>
      </c>
      <c r="B92" s="15" t="str">
        <f>IFERROR(__xludf.DUMMYFUNCTION("""COMPUTED_VALUE"""),"Scale Creative Production Without Hiring | FutureSupply")</f>
        <v>Scale Creative Production Without Hiring | FutureSupply</v>
      </c>
      <c r="C92" s="14" t="str">
        <f>IFERROR(__xludf.DUMMYFUNCTION("""COMPUTED_VALUE"""),"futuresupply.io")</f>
        <v>futuresupply.io</v>
      </c>
      <c r="D92" s="15" t="str">
        <f>IFERROR(__xludf.DUMMYFUNCTION("""COMPUTED_VALUE"""),"HOMEPAGE")</f>
        <v>HOMEPAGE</v>
      </c>
      <c r="E92" s="15" t="str">
        <f>IFERROR(__xludf.DUMMYFUNCTION("""COMPUTED_VALUE"""),"CORPORATE")</f>
        <v>CORPORATE</v>
      </c>
      <c r="F92" s="15" t="str">
        <f>IFERROR(__xludf.DUMMYFUNCTION("""COMPUTED_VALUE"""),"Homepage")</f>
        <v>Homepage</v>
      </c>
      <c r="G92" s="15" t="b">
        <f>IFERROR(__xludf.DUMMYFUNCTION("""COMPUTED_VALUE"""),FALSE)</f>
        <v>0</v>
      </c>
      <c r="H92" s="15" t="str">
        <f>IFERROR(__xludf.DUMMYFUNCTION("""COMPUTED_VALUE"""),"Saatchi &amp; Saatchi, Ogilvy, AKQA")</f>
        <v>Saatchi &amp; Saatchi, Ogilvy, AKQA</v>
      </c>
      <c r="I92" s="15">
        <f>IFERROR(__xludf.DUMMYFUNCTION("""COMPUTED_VALUE"""),1.0)</f>
        <v>1</v>
      </c>
      <c r="J92" s="15">
        <f>IFERROR(__xludf.DUMMYFUNCTION("""COMPUTED_VALUE"""),0.0)</f>
        <v>0</v>
      </c>
      <c r="K92" s="15">
        <f>IFERROR(__xludf.DUMMYFUNCTION("""COMPUTED_VALUE"""),0.0)</f>
        <v>0</v>
      </c>
    </row>
    <row r="93" ht="15.75" customHeight="1">
      <c r="A93" s="14" t="str">
        <f>IFERROR(__xludf.DUMMYFUNCTION("""COMPUTED_VALUE"""),"https://ga.agency/en/")</f>
        <v>https://ga.agency/en/</v>
      </c>
      <c r="B93" s="15" t="str">
        <f>IFERROR(__xludf.DUMMYFUNCTION("""COMPUTED_VALUE"""),"GA Agency | Global Omnichannel Digital Marketing Agency")</f>
        <v>GA Agency | Global Omnichannel Digital Marketing Agency</v>
      </c>
      <c r="C93" s="15" t="str">
        <f>IFERROR(__xludf.DUMMYFUNCTION("""COMPUTED_VALUE"""),"ga.agency")</f>
        <v>ga.agency</v>
      </c>
      <c r="D93" s="15" t="str">
        <f>IFERROR(__xludf.DUMMYFUNCTION("""COMPUTED_VALUE"""),"HOMEPAGE")</f>
        <v>HOMEPAGE</v>
      </c>
      <c r="E93" s="15" t="str">
        <f>IFERROR(__xludf.DUMMYFUNCTION("""COMPUTED_VALUE"""),"CORPORATE")</f>
        <v>CORPORATE</v>
      </c>
      <c r="F93" s="15" t="str">
        <f>IFERROR(__xludf.DUMMYFUNCTION("""COMPUTED_VALUE"""),"Homepage")</f>
        <v>Homepage</v>
      </c>
      <c r="G93" s="15" t="b">
        <f>IFERROR(__xludf.DUMMYFUNCTION("""COMPUTED_VALUE"""),FALSE)</f>
        <v>0</v>
      </c>
      <c r="H93" s="15" t="str">
        <f>IFERROR(__xludf.DUMMYFUNCTION("""COMPUTED_VALUE"""),"GA Agency")</f>
        <v>GA Agency</v>
      </c>
      <c r="I93" s="15">
        <f>IFERROR(__xludf.DUMMYFUNCTION("""COMPUTED_VALUE"""),1.0)</f>
        <v>1</v>
      </c>
      <c r="J93" s="15">
        <f>IFERROR(__xludf.DUMMYFUNCTION("""COMPUTED_VALUE"""),0.0)</f>
        <v>0</v>
      </c>
      <c r="K93" s="15">
        <f>IFERROR(__xludf.DUMMYFUNCTION("""COMPUTED_VALUE"""),2.0)</f>
        <v>2</v>
      </c>
    </row>
    <row r="94" ht="15.75" customHeight="1">
      <c r="A94" s="14" t="str">
        <f>IFERROR(__xludf.DUMMYFUNCTION("""COMPUTED_VALUE"""),"https://gaintheory.com/#:~:text=We%20are%20a%20global%20marketing%20effectiveness%20and,named%20a%20Leader%20in%20The%20Forrester%20Wave%E2%84%A2%3A")</f>
        <v>https://gaintheory.com/#:~:text=We%20are%20a%20global%20marketing%20effectiveness%20and,named%20a%20Leader%20in%20The%20Forrester%20Wave%E2%84%A2%3A</v>
      </c>
      <c r="B94" s="15" t="str">
        <f>IFERROR(__xludf.DUMMYFUNCTION("""COMPUTED_VALUE"""),"Marketing Effectiveness Consultancy | Gain Theory")</f>
        <v>Marketing Effectiveness Consultancy | Gain Theory</v>
      </c>
      <c r="C94" s="14" t="str">
        <f>IFERROR(__xludf.DUMMYFUNCTION("""COMPUTED_VALUE"""),"gaintheory.com")</f>
        <v>gaintheory.com</v>
      </c>
      <c r="D94" s="15" t="str">
        <f>IFERROR(__xludf.DUMMYFUNCTION("""COMPUTED_VALUE"""),"HOMEPAGE")</f>
        <v>HOMEPAGE</v>
      </c>
      <c r="E94" s="15" t="str">
        <f>IFERROR(__xludf.DUMMYFUNCTION("""COMPUTED_VALUE"""),"COMPETITOR")</f>
        <v>COMPETITOR</v>
      </c>
      <c r="F94" s="15" t="str">
        <f>IFERROR(__xludf.DUMMYFUNCTION("""COMPUTED_VALUE"""),"Homepage")</f>
        <v>Homepage</v>
      </c>
      <c r="G94" s="15" t="b">
        <f>IFERROR(__xludf.DUMMYFUNCTION("""COMPUTED_VALUE"""),FALSE)</f>
        <v>0</v>
      </c>
      <c r="H94" s="15" t="str">
        <f>IFERROR(__xludf.DUMMYFUNCTION("""COMPUTED_VALUE"""),"Gain Theory, WPP")</f>
        <v>Gain Theory, WPP</v>
      </c>
      <c r="I94" s="15">
        <f>IFERROR(__xludf.DUMMYFUNCTION("""COMPUTED_VALUE"""),1.0)</f>
        <v>1</v>
      </c>
      <c r="J94" s="15">
        <f>IFERROR(__xludf.DUMMYFUNCTION("""COMPUTED_VALUE"""),0.0)</f>
        <v>0</v>
      </c>
      <c r="K94" s="15">
        <f>IFERROR(__xludf.DUMMYFUNCTION("""COMPUTED_VALUE"""),1.0)</f>
        <v>1</v>
      </c>
    </row>
    <row r="95" ht="15.75" customHeight="1">
      <c r="A95" s="14" t="str">
        <f>IFERROR(__xludf.DUMMYFUNCTION("""COMPUTED_VALUE"""),"https://getrecast.com/")</f>
        <v>https://getrecast.com/</v>
      </c>
      <c r="B95" s="15" t="str">
        <f>IFERROR(__xludf.DUMMYFUNCTION("""COMPUTED_VALUE"""),"Planning &amp;amp; Analysis Infrastructure - Recast")</f>
        <v>Planning &amp;amp; Analysis Infrastructure - Recast</v>
      </c>
      <c r="C95" s="14" t="str">
        <f>IFERROR(__xludf.DUMMYFUNCTION("""COMPUTED_VALUE"""),"getrecast.com")</f>
        <v>getrecast.com</v>
      </c>
      <c r="D95" s="15" t="str">
        <f>IFERROR(__xludf.DUMMYFUNCTION("""COMPUTED_VALUE"""),"HOMEPAGE")</f>
        <v>HOMEPAGE</v>
      </c>
      <c r="E95" s="15" t="str">
        <f>IFERROR(__xludf.DUMMYFUNCTION("""COMPUTED_VALUE"""),"CORPORATE")</f>
        <v>CORPORATE</v>
      </c>
      <c r="F95" s="15" t="str">
        <f>IFERROR(__xludf.DUMMYFUNCTION("""COMPUTED_VALUE"""),"Homepage")</f>
        <v>Homepage</v>
      </c>
      <c r="G95" s="15" t="b">
        <f>IFERROR(__xludf.DUMMYFUNCTION("""COMPUTED_VALUE"""),FALSE)</f>
        <v>0</v>
      </c>
      <c r="H95" s="15" t="str">
        <f>IFERROR(__xludf.DUMMYFUNCTION("""COMPUTED_VALUE"""),"Recast")</f>
        <v>Recast</v>
      </c>
      <c r="I95" s="15">
        <f>IFERROR(__xludf.DUMMYFUNCTION("""COMPUTED_VALUE"""),1.0)</f>
        <v>1</v>
      </c>
      <c r="J95" s="15">
        <f>IFERROR(__xludf.DUMMYFUNCTION("""COMPUTED_VALUE"""),0.0)</f>
        <v>0</v>
      </c>
      <c r="K95" s="15">
        <f>IFERROR(__xludf.DUMMYFUNCTION("""COMPUTED_VALUE"""),0.0)</f>
        <v>0</v>
      </c>
    </row>
    <row r="96" ht="15.75" customHeight="1">
      <c r="A96" s="14" t="str">
        <f>IFERROR(__xludf.DUMMYFUNCTION("""COMPUTED_VALUE"""),"https://giantleapdigital.co.uk/why-us/")</f>
        <v>https://giantleapdigital.co.uk/why-us/</v>
      </c>
      <c r="B96" s="15" t="str">
        <f>IFERROR(__xludf.DUMMYFUNCTION("""COMPUTED_VALUE"""),"Why Us \| Luxury Marketing Agency")</f>
        <v>Why Us \| Luxury Marketing Agency</v>
      </c>
      <c r="C96" s="14" t="str">
        <f>IFERROR(__xludf.DUMMYFUNCTION("""COMPUTED_VALUE"""),"giantleapdigital.co.uk")</f>
        <v>giantleapdigital.co.uk</v>
      </c>
      <c r="D96" s="15" t="str">
        <f>IFERROR(__xludf.DUMMYFUNCTION("""COMPUTED_VALUE"""),"HOMEPAGE")</f>
        <v>HOMEPAGE</v>
      </c>
      <c r="E96" s="15" t="str">
        <f>IFERROR(__xludf.DUMMYFUNCTION("""COMPUTED_VALUE"""),"CORPORATE")</f>
        <v>CORPORATE</v>
      </c>
      <c r="F96" s="15" t="str">
        <f>IFERROR(__xludf.DUMMYFUNCTION("""COMPUTED_VALUE"""),"Homepage")</f>
        <v>Homepage</v>
      </c>
      <c r="G96" s="15" t="b">
        <f>IFERROR(__xludf.DUMMYFUNCTION("""COMPUTED_VALUE"""),FALSE)</f>
        <v>0</v>
      </c>
      <c r="H96" s="15"/>
      <c r="I96" s="15">
        <f>IFERROR(__xludf.DUMMYFUNCTION("""COMPUTED_VALUE"""),1.0)</f>
        <v>1</v>
      </c>
      <c r="J96" s="15">
        <f>IFERROR(__xludf.DUMMYFUNCTION("""COMPUTED_VALUE"""),0.0)</f>
        <v>0</v>
      </c>
      <c r="K96" s="15">
        <f>IFERROR(__xludf.DUMMYFUNCTION("""COMPUTED_VALUE"""),1.0)</f>
        <v>1</v>
      </c>
    </row>
    <row r="97" ht="15.75" customHeight="1">
      <c r="A97" s="14" t="str">
        <f>IFERROR(__xludf.DUMMYFUNCTION("""COMPUTED_VALUE"""),"https://www.goup.co.uk/")</f>
        <v>https://www.goup.co.uk/</v>
      </c>
      <c r="B97" s="15" t="str">
        <f>IFERROR(__xludf.DUMMYFUNCTION("""COMPUTED_VALUE"""),"SEO Agency London | London's Leading SEO Services")</f>
        <v>SEO Agency London | London's Leading SEO Services</v>
      </c>
      <c r="C97" s="14" t="str">
        <f>IFERROR(__xludf.DUMMYFUNCTION("""COMPUTED_VALUE"""),"goup.co.uk")</f>
        <v>goup.co.uk</v>
      </c>
      <c r="D97" s="15" t="str">
        <f>IFERROR(__xludf.DUMMYFUNCTION("""COMPUTED_VALUE"""),"HOMEPAGE")</f>
        <v>HOMEPAGE</v>
      </c>
      <c r="E97" s="15" t="str">
        <f>IFERROR(__xludf.DUMMYFUNCTION("""COMPUTED_VALUE"""),"CORPORATE")</f>
        <v>CORPORATE</v>
      </c>
      <c r="F97" s="15" t="str">
        <f>IFERROR(__xludf.DUMMYFUNCTION("""COMPUTED_VALUE"""),"Homepage")</f>
        <v>Homepage</v>
      </c>
      <c r="G97" s="15" t="b">
        <f>IFERROR(__xludf.DUMMYFUNCTION("""COMPUTED_VALUE"""),FALSE)</f>
        <v>0</v>
      </c>
      <c r="H97" s="15" t="str">
        <f>IFERROR(__xludf.DUMMYFUNCTION("""COMPUTED_VALUE"""),"Push, Found")</f>
        <v>Push, Found</v>
      </c>
      <c r="I97" s="15">
        <f>IFERROR(__xludf.DUMMYFUNCTION("""COMPUTED_VALUE"""),1.0)</f>
        <v>1</v>
      </c>
      <c r="J97" s="15">
        <f>IFERROR(__xludf.DUMMYFUNCTION("""COMPUTED_VALUE"""),0.0)</f>
        <v>0</v>
      </c>
      <c r="K97" s="15">
        <f>IFERROR(__xludf.DUMMYFUNCTION("""COMPUTED_VALUE"""),2.0)</f>
        <v>2</v>
      </c>
    </row>
    <row r="98" ht="15.75" customHeight="1">
      <c r="A98" s="14" t="str">
        <f>IFERROR(__xludf.DUMMYFUNCTION("""COMPUTED_VALUE"""),"https://hallam.agency/")</f>
        <v>https://hallam.agency/</v>
      </c>
      <c r="B98" s="15" t="str">
        <f>IFERROR(__xludf.DUMMYFUNCTION("""COMPUTED_VALUE"""),"B2B Digital Marketing Agency | Multi-Award Winning | Hallam")</f>
        <v>B2B Digital Marketing Agency | Multi-Award Winning | Hallam</v>
      </c>
      <c r="C98" s="15" t="str">
        <f>IFERROR(__xludf.DUMMYFUNCTION("""COMPUTED_VALUE"""),"hallam.agency")</f>
        <v>hallam.agency</v>
      </c>
      <c r="D98" s="15" t="str">
        <f>IFERROR(__xludf.DUMMYFUNCTION("""COMPUTED_VALUE"""),"HOMEPAGE")</f>
        <v>HOMEPAGE</v>
      </c>
      <c r="E98" s="15" t="str">
        <f>IFERROR(__xludf.DUMMYFUNCTION("""COMPUTED_VALUE"""),"COMPETITOR")</f>
        <v>COMPETITOR</v>
      </c>
      <c r="F98" s="15" t="str">
        <f>IFERROR(__xludf.DUMMYFUNCTION("""COMPUTED_VALUE"""),"Homepage")</f>
        <v>Homepage</v>
      </c>
      <c r="G98" s="15" t="b">
        <f>IFERROR(__xludf.DUMMYFUNCTION("""COMPUTED_VALUE"""),FALSE)</f>
        <v>0</v>
      </c>
      <c r="H98" s="15" t="str">
        <f>IFERROR(__xludf.DUMMYFUNCTION("""COMPUTED_VALUE"""),"Hallam, Found")</f>
        <v>Hallam, Found</v>
      </c>
      <c r="I98" s="15">
        <f>IFERROR(__xludf.DUMMYFUNCTION("""COMPUTED_VALUE"""),1.0)</f>
        <v>1</v>
      </c>
      <c r="J98" s="15">
        <f>IFERROR(__xludf.DUMMYFUNCTION("""COMPUTED_VALUE"""),0.0)</f>
        <v>0</v>
      </c>
      <c r="K98" s="15">
        <f>IFERROR(__xludf.DUMMYFUNCTION("""COMPUTED_VALUE"""),1.0)</f>
        <v>1</v>
      </c>
    </row>
    <row r="99" ht="15.75" customHeight="1">
      <c r="A99" s="14" t="str">
        <f>IFERROR(__xludf.DUMMYFUNCTION("""COMPUTED_VALUE"""),"https://hellogameplan.com/")</f>
        <v>https://hellogameplan.com/</v>
      </c>
      <c r="B99" s="15" t="str">
        <f>IFERROR(__xludf.DUMMYFUNCTION("""COMPUTED_VALUE"""),"GAMEPLAN. Performance, media and technology.")</f>
        <v>GAMEPLAN. Performance, media and technology.</v>
      </c>
      <c r="C99" s="14" t="str">
        <f>IFERROR(__xludf.DUMMYFUNCTION("""COMPUTED_VALUE"""),"hellogameplan.com")</f>
        <v>hellogameplan.com</v>
      </c>
      <c r="D99" s="15" t="str">
        <f>IFERROR(__xludf.DUMMYFUNCTION("""COMPUTED_VALUE"""),"HOMEPAGE")</f>
        <v>HOMEPAGE</v>
      </c>
      <c r="E99" s="15" t="str">
        <f>IFERROR(__xludf.DUMMYFUNCTION("""COMPUTED_VALUE"""),"CORPORATE")</f>
        <v>CORPORATE</v>
      </c>
      <c r="F99" s="15" t="str">
        <f>IFERROR(__xludf.DUMMYFUNCTION("""COMPUTED_VALUE"""),"Homepage")</f>
        <v>Homepage</v>
      </c>
      <c r="G99" s="15" t="b">
        <f>IFERROR(__xludf.DUMMYFUNCTION("""COMPUTED_VALUE"""),FALSE)</f>
        <v>0</v>
      </c>
      <c r="H99" s="15" t="str">
        <f>IFERROR(__xludf.DUMMYFUNCTION("""COMPUTED_VALUE"""),"YouGov")</f>
        <v>YouGov</v>
      </c>
      <c r="I99" s="15">
        <f>IFERROR(__xludf.DUMMYFUNCTION("""COMPUTED_VALUE"""),1.0)</f>
        <v>1</v>
      </c>
      <c r="J99" s="15">
        <f>IFERROR(__xludf.DUMMYFUNCTION("""COMPUTED_VALUE"""),0.0)</f>
        <v>0</v>
      </c>
      <c r="K99" s="15">
        <f>IFERROR(__xludf.DUMMYFUNCTION("""COMPUTED_VALUE"""),0.0)</f>
        <v>0</v>
      </c>
    </row>
    <row r="100" ht="15.75" customHeight="1">
      <c r="A100" s="14" t="str">
        <f>IFERROR(__xludf.DUMMYFUNCTION("""COMPUTED_VALUE"""),"https://insideoutdigital.co.uk/")</f>
        <v>https://insideoutdigital.co.uk/</v>
      </c>
      <c r="B100" s="15" t="str">
        <f>IFERROR(__xludf.DUMMYFUNCTION("""COMPUTED_VALUE"""),"James Taylor — Paid Media &amp;amp; Measurement Specialist")</f>
        <v>James Taylor — Paid Media &amp;amp; Measurement Specialist</v>
      </c>
      <c r="C100" s="14" t="str">
        <f>IFERROR(__xludf.DUMMYFUNCTION("""COMPUTED_VALUE"""),"insideoutdigital.co.uk")</f>
        <v>insideoutdigital.co.uk</v>
      </c>
      <c r="D100" s="15" t="str">
        <f>IFERROR(__xludf.DUMMYFUNCTION("""COMPUTED_VALUE"""),"HOMEPAGE")</f>
        <v>HOMEPAGE</v>
      </c>
      <c r="E100" s="15" t="str">
        <f>IFERROR(__xludf.DUMMYFUNCTION("""COMPUTED_VALUE"""),"CORPORATE")</f>
        <v>CORPORATE</v>
      </c>
      <c r="F100" s="15" t="str">
        <f>IFERROR(__xludf.DUMMYFUNCTION("""COMPUTED_VALUE"""),"Homepage")</f>
        <v>Homepage</v>
      </c>
      <c r="G100" s="15" t="b">
        <f>IFERROR(__xludf.DUMMYFUNCTION("""COMPUTED_VALUE"""),FALSE)</f>
        <v>0</v>
      </c>
      <c r="H100" s="15"/>
      <c r="I100" s="15">
        <f>IFERROR(__xludf.DUMMYFUNCTION("""COMPUTED_VALUE"""),1.0)</f>
        <v>1</v>
      </c>
      <c r="J100" s="15">
        <f>IFERROR(__xludf.DUMMYFUNCTION("""COMPUTED_VALUE"""),0.0)</f>
        <v>0</v>
      </c>
      <c r="K100" s="15">
        <f>IFERROR(__xludf.DUMMYFUNCTION("""COMPUTED_VALUE"""),0.0)</f>
        <v>0</v>
      </c>
    </row>
    <row r="101" ht="15.75" customHeight="1">
      <c r="A101" s="14" t="str">
        <f>IFERROR(__xludf.DUMMYFUNCTION("""COMPUTED_VALUE"""),"https://www.jampictures.co.uk/")</f>
        <v>https://www.jampictures.co.uk/</v>
      </c>
      <c r="B101" s="15" t="str">
        <f>IFERROR(__xludf.DUMMYFUNCTION("""COMPUTED_VALUE"""),"Creative Production Company | Jam Pictures")</f>
        <v>Creative Production Company | Jam Pictures</v>
      </c>
      <c r="C101" s="14" t="str">
        <f>IFERROR(__xludf.DUMMYFUNCTION("""COMPUTED_VALUE"""),"jampictures.co.uk")</f>
        <v>jampictures.co.uk</v>
      </c>
      <c r="D101" s="15" t="str">
        <f>IFERROR(__xludf.DUMMYFUNCTION("""COMPUTED_VALUE"""),"HOMEPAGE")</f>
        <v>HOMEPAGE</v>
      </c>
      <c r="E101" s="15" t="str">
        <f>IFERROR(__xludf.DUMMYFUNCTION("""COMPUTED_VALUE"""),"CORPORATE")</f>
        <v>CORPORATE</v>
      </c>
      <c r="F101" s="15" t="str">
        <f>IFERROR(__xludf.DUMMYFUNCTION("""COMPUTED_VALUE"""),"Homepage")</f>
        <v>Homepage</v>
      </c>
      <c r="G101" s="15" t="b">
        <f>IFERROR(__xludf.DUMMYFUNCTION("""COMPUTED_VALUE"""),FALSE)</f>
        <v>0</v>
      </c>
      <c r="H101" s="15" t="str">
        <f>IFERROR(__xludf.DUMMYFUNCTION("""COMPUTED_VALUE"""),"Huge")</f>
        <v>Huge</v>
      </c>
      <c r="I101" s="15">
        <f>IFERROR(__xludf.DUMMYFUNCTION("""COMPUTED_VALUE"""),1.0)</f>
        <v>1</v>
      </c>
      <c r="J101" s="15">
        <f>IFERROR(__xludf.DUMMYFUNCTION("""COMPUTED_VALUE"""),0.0)</f>
        <v>0</v>
      </c>
      <c r="K101" s="15">
        <f>IFERROR(__xludf.DUMMYFUNCTION("""COMPUTED_VALUE"""),0.0)</f>
        <v>0</v>
      </c>
    </row>
    <row r="102" ht="15.75" customHeight="1">
      <c r="A102" s="14" t="str">
        <f>IFERROR(__xludf.DUMMYFUNCTION("""COMPUTED_VALUE"""),"https://www.leadtheway.io/")</f>
        <v>https://www.leadtheway.io/</v>
      </c>
      <c r="B102" s="15" t="str">
        <f>IFERROR(__xludf.DUMMYFUNCTION("""COMPUTED_VALUE"""),"Lead The Way - AI Consultancy &amp;amp; Implementation for UK Businesses")</f>
        <v>Lead The Way - AI Consultancy &amp;amp; Implementation for UK Businesses</v>
      </c>
      <c r="C102" s="14" t="str">
        <f>IFERROR(__xludf.DUMMYFUNCTION("""COMPUTED_VALUE"""),"leadtheway.io")</f>
        <v>leadtheway.io</v>
      </c>
      <c r="D102" s="15" t="str">
        <f>IFERROR(__xludf.DUMMYFUNCTION("""COMPUTED_VALUE"""),"HOMEPAGE")</f>
        <v>HOMEPAGE</v>
      </c>
      <c r="E102" s="15" t="str">
        <f>IFERROR(__xludf.DUMMYFUNCTION("""COMPUTED_VALUE"""),"CORPORATE")</f>
        <v>CORPORATE</v>
      </c>
      <c r="F102" s="15" t="str">
        <f>IFERROR(__xludf.DUMMYFUNCTION("""COMPUTED_VALUE"""),"Homepage")</f>
        <v>Homepage</v>
      </c>
      <c r="G102" s="15" t="b">
        <f>IFERROR(__xludf.DUMMYFUNCTION("""COMPUTED_VALUE"""),FALSE)</f>
        <v>0</v>
      </c>
      <c r="H102" s="15"/>
      <c r="I102" s="15">
        <f>IFERROR(__xludf.DUMMYFUNCTION("""COMPUTED_VALUE"""),1.0)</f>
        <v>1</v>
      </c>
      <c r="J102" s="15">
        <f>IFERROR(__xludf.DUMMYFUNCTION("""COMPUTED_VALUE"""),0.0)</f>
        <v>0</v>
      </c>
      <c r="K102" s="15">
        <f>IFERROR(__xludf.DUMMYFUNCTION("""COMPUTED_VALUE"""),0.0)</f>
        <v>0</v>
      </c>
    </row>
    <row r="103" ht="15.75" customHeight="1">
      <c r="A103" s="14" t="str">
        <f>IFERROR(__xludf.DUMMYFUNCTION("""COMPUTED_VALUE"""),"https://leoburnett.co.uk")</f>
        <v>https://leoburnett.co.uk</v>
      </c>
      <c r="B103" s="15" t="str">
        <f>IFERROR(__xludf.DUMMYFUNCTION("""COMPUTED_VALUE"""),"Home - Leo Burnett")</f>
        <v>Home - Leo Burnett</v>
      </c>
      <c r="C103" s="14" t="str">
        <f>IFERROR(__xludf.DUMMYFUNCTION("""COMPUTED_VALUE"""),"leoburnett.co.uk")</f>
        <v>leoburnett.co.uk</v>
      </c>
      <c r="D103" s="15" t="str">
        <f>IFERROR(__xludf.DUMMYFUNCTION("""COMPUTED_VALUE"""),"HOMEPAGE")</f>
        <v>HOMEPAGE</v>
      </c>
      <c r="E103" s="15" t="str">
        <f>IFERROR(__xludf.DUMMYFUNCTION("""COMPUTED_VALUE"""),"CORPORATE")</f>
        <v>CORPORATE</v>
      </c>
      <c r="F103" s="15" t="str">
        <f>IFERROR(__xludf.DUMMYFUNCTION("""COMPUTED_VALUE"""),"Homepage")</f>
        <v>Homepage</v>
      </c>
      <c r="G103" s="15" t="b">
        <f>IFERROR(__xludf.DUMMYFUNCTION("""COMPUTED_VALUE"""),FALSE)</f>
        <v>0</v>
      </c>
      <c r="H103" s="15" t="str">
        <f>IFERROR(__xludf.DUMMYFUNCTION("""COMPUTED_VALUE"""),"Publicis Groupe, VCCP, Ogilvy")</f>
        <v>Publicis Groupe, VCCP, Ogilvy</v>
      </c>
      <c r="I103" s="15">
        <f>IFERROR(__xludf.DUMMYFUNCTION("""COMPUTED_VALUE"""),1.0)</f>
        <v>1</v>
      </c>
      <c r="J103" s="15">
        <f>IFERROR(__xludf.DUMMYFUNCTION("""COMPUTED_VALUE"""),0.0)</f>
        <v>0</v>
      </c>
      <c r="K103" s="15">
        <f>IFERROR(__xludf.DUMMYFUNCTION("""COMPUTED_VALUE"""),0.0)</f>
        <v>0</v>
      </c>
    </row>
    <row r="104" ht="15.75" customHeight="1">
      <c r="A104" s="14" t="str">
        <f>IFERROR(__xludf.DUMMYFUNCTION("""COMPUTED_VALUE"""),"https://www.lightworksconsulting.uk/")</f>
        <v>https://www.lightworksconsulting.uk/</v>
      </c>
      <c r="B104" s="15" t="str">
        <f>IFERROR(__xludf.DUMMYFUNCTION("""COMPUTED_VALUE"""),"Lightworks Consulting | Business Change, Sustainability &amp;amp; AI Consultancy — London, UK")</f>
        <v>Lightworks Consulting | Business Change, Sustainability &amp;amp; AI Consultancy — London, UK</v>
      </c>
      <c r="C104" s="14" t="str">
        <f>IFERROR(__xludf.DUMMYFUNCTION("""COMPUTED_VALUE"""),"lightworksconsulting.uk")</f>
        <v>lightworksconsulting.uk</v>
      </c>
      <c r="D104" s="15" t="str">
        <f>IFERROR(__xludf.DUMMYFUNCTION("""COMPUTED_VALUE"""),"HOMEPAGE")</f>
        <v>HOMEPAGE</v>
      </c>
      <c r="E104" s="15" t="str">
        <f>IFERROR(__xludf.DUMMYFUNCTION("""COMPUTED_VALUE"""),"CORPORATE")</f>
        <v>CORPORATE</v>
      </c>
      <c r="F104" s="15" t="str">
        <f>IFERROR(__xludf.DUMMYFUNCTION("""COMPUTED_VALUE"""),"Homepage")</f>
        <v>Homepage</v>
      </c>
      <c r="G104" s="15" t="b">
        <f>IFERROR(__xludf.DUMMYFUNCTION("""COMPUTED_VALUE"""),FALSE)</f>
        <v>0</v>
      </c>
      <c r="H104" s="15"/>
      <c r="I104" s="15">
        <f>IFERROR(__xludf.DUMMYFUNCTION("""COMPUTED_VALUE"""),1.0)</f>
        <v>1</v>
      </c>
      <c r="J104" s="15">
        <f>IFERROR(__xludf.DUMMYFUNCTION("""COMPUTED_VALUE"""),0.0)</f>
        <v>0</v>
      </c>
      <c r="K104" s="15">
        <f>IFERROR(__xludf.DUMMYFUNCTION("""COMPUTED_VALUE"""),0.0)</f>
        <v>0</v>
      </c>
    </row>
    <row r="105" ht="15.75" customHeight="1">
      <c r="A105" s="14" t="str">
        <f>IFERROR(__xludf.DUMMYFUNCTION("""COMPUTED_VALUE"""),"https://www.mapleforest.co.uk/")</f>
        <v>https://www.mapleforest.co.uk/</v>
      </c>
      <c r="B105" s="15" t="str">
        <f>IFERROR(__xludf.DUMMYFUNCTION("""COMPUTED_VALUE"""),"Certified PPC Agency | Google Ads Experts – Maple Forest")</f>
        <v>Certified PPC Agency | Google Ads Experts – Maple Forest</v>
      </c>
      <c r="C105" s="14" t="str">
        <f>IFERROR(__xludf.DUMMYFUNCTION("""COMPUTED_VALUE"""),"mapleforest.co.uk")</f>
        <v>mapleforest.co.uk</v>
      </c>
      <c r="D105" s="15" t="str">
        <f>IFERROR(__xludf.DUMMYFUNCTION("""COMPUTED_VALUE"""),"HOMEPAGE")</f>
        <v>HOMEPAGE</v>
      </c>
      <c r="E105" s="15" t="str">
        <f>IFERROR(__xludf.DUMMYFUNCTION("""COMPUTED_VALUE"""),"CORPORATE")</f>
        <v>CORPORATE</v>
      </c>
      <c r="F105" s="15" t="str">
        <f>IFERROR(__xludf.DUMMYFUNCTION("""COMPUTED_VALUE"""),"Homepage")</f>
        <v>Homepage</v>
      </c>
      <c r="G105" s="15" t="b">
        <f>IFERROR(__xludf.DUMMYFUNCTION("""COMPUTED_VALUE"""),FALSE)</f>
        <v>0</v>
      </c>
      <c r="H105" s="15" t="str">
        <f>IFERROR(__xludf.DUMMYFUNCTION("""COMPUTED_VALUE"""),"Huge")</f>
        <v>Huge</v>
      </c>
      <c r="I105" s="15">
        <f>IFERROR(__xludf.DUMMYFUNCTION("""COMPUTED_VALUE"""),1.0)</f>
        <v>1</v>
      </c>
      <c r="J105" s="15">
        <f>IFERROR(__xludf.DUMMYFUNCTION("""COMPUTED_VALUE"""),0.0)</f>
        <v>0</v>
      </c>
      <c r="K105" s="15">
        <f>IFERROR(__xludf.DUMMYFUNCTION("""COMPUTED_VALUE"""),1.0)</f>
        <v>1</v>
      </c>
    </row>
    <row r="106" ht="15.75" customHeight="1">
      <c r="A106" s="14" t="str">
        <f>IFERROR(__xludf.DUMMYFUNCTION("""COMPUTED_VALUE"""),"https://www.marketingagencyindex.com/uk")</f>
        <v>https://www.marketingagencyindex.com/uk</v>
      </c>
      <c r="B106" s="15" t="str">
        <f>IFERROR(__xludf.DUMMYFUNCTION("""COMPUTED_VALUE"""),"Agency Index | Find the Best Digital Marketing Agencies in the UK")</f>
        <v>Agency Index | Find the Best Digital Marketing Agencies in the UK</v>
      </c>
      <c r="C106" s="14" t="str">
        <f>IFERROR(__xludf.DUMMYFUNCTION("""COMPUTED_VALUE"""),"marketingagencyindex.com")</f>
        <v>marketingagencyindex.com</v>
      </c>
      <c r="D106" s="15" t="str">
        <f>IFERROR(__xludf.DUMMYFUNCTION("""COMPUTED_VALUE"""),"HOMEPAGE")</f>
        <v>HOMEPAGE</v>
      </c>
      <c r="E106" s="15" t="str">
        <f>IFERROR(__xludf.DUMMYFUNCTION("""COMPUTED_VALUE"""),"UGC")</f>
        <v>UGC</v>
      </c>
      <c r="F106" s="15" t="str">
        <f>IFERROR(__xludf.DUMMYFUNCTION("""COMPUTED_VALUE"""),"Homepage")</f>
        <v>Homepage</v>
      </c>
      <c r="G106" s="15" t="b">
        <f>IFERROR(__xludf.DUMMYFUNCTION("""COMPUTED_VALUE"""),FALSE)</f>
        <v>0</v>
      </c>
      <c r="H106" s="15" t="str">
        <f>IFERROR(__xludf.DUMMYFUNCTION("""COMPUTED_VALUE"""),"WPP, Publicis Groupe, Omnicom, Brandtech, Croud, Overdrive Digital")</f>
        <v>WPP, Publicis Groupe, Omnicom, Brandtech, Croud, Overdrive Digital</v>
      </c>
      <c r="I106" s="15">
        <f>IFERROR(__xludf.DUMMYFUNCTION("""COMPUTED_VALUE"""),1.0)</f>
        <v>1</v>
      </c>
      <c r="J106" s="15">
        <f>IFERROR(__xludf.DUMMYFUNCTION("""COMPUTED_VALUE"""),0.0)</f>
        <v>0</v>
      </c>
      <c r="K106" s="15">
        <f>IFERROR(__xludf.DUMMYFUNCTION("""COMPUTED_VALUE"""),0.0)</f>
        <v>0</v>
      </c>
    </row>
    <row r="107" ht="15.75" customHeight="1">
      <c r="A107" s="14" t="str">
        <f>IFERROR(__xludf.DUMMYFUNCTION("""COMPUTED_VALUE"""),"https://www.marketingiq.co.uk/")</f>
        <v>https://www.marketingiq.co.uk/</v>
      </c>
      <c r="B107" s="15" t="str">
        <f>IFERROR(__xludf.DUMMYFUNCTION("""COMPUTED_VALUE"""),"We support agencies with MMM, Customer Analytics, Influencer Analytics and Training")</f>
        <v>We support agencies with MMM, Customer Analytics, Influencer Analytics and Training</v>
      </c>
      <c r="C107" s="14" t="str">
        <f>IFERROR(__xludf.DUMMYFUNCTION("""COMPUTED_VALUE"""),"marketingiq.co.uk")</f>
        <v>marketingiq.co.uk</v>
      </c>
      <c r="D107" s="15" t="str">
        <f>IFERROR(__xludf.DUMMYFUNCTION("""COMPUTED_VALUE"""),"HOMEPAGE")</f>
        <v>HOMEPAGE</v>
      </c>
      <c r="E107" s="15" t="str">
        <f>IFERROR(__xludf.DUMMYFUNCTION("""COMPUTED_VALUE"""),"CORPORATE")</f>
        <v>CORPORATE</v>
      </c>
      <c r="F107" s="15" t="str">
        <f>IFERROR(__xludf.DUMMYFUNCTION("""COMPUTED_VALUE"""),"Homepage")</f>
        <v>Homepage</v>
      </c>
      <c r="G107" s="15" t="b">
        <f>IFERROR(__xludf.DUMMYFUNCTION("""COMPUTED_VALUE"""),FALSE)</f>
        <v>0</v>
      </c>
      <c r="H107" s="15" t="str">
        <f>IFERROR(__xludf.DUMMYFUNCTION("""COMPUTED_VALUE"""),"Omnicom, WPP")</f>
        <v>Omnicom, WPP</v>
      </c>
      <c r="I107" s="15">
        <f>IFERROR(__xludf.DUMMYFUNCTION("""COMPUTED_VALUE"""),1.0)</f>
        <v>1</v>
      </c>
      <c r="J107" s="15">
        <f>IFERROR(__xludf.DUMMYFUNCTION("""COMPUTED_VALUE"""),0.0)</f>
        <v>0</v>
      </c>
      <c r="K107" s="15">
        <f>IFERROR(__xludf.DUMMYFUNCTION("""COMPUTED_VALUE"""),2.0)</f>
        <v>2</v>
      </c>
    </row>
    <row r="108" ht="15.75" customHeight="1">
      <c r="A108" s="14" t="str">
        <f>IFERROR(__xludf.DUMMYFUNCTION("""COMPUTED_VALUE"""),"https://measuremindsgroup.com/")</f>
        <v>https://measuremindsgroup.com/</v>
      </c>
      <c r="B108" s="15" t="str">
        <f>IFERROR(__xludf.DUMMYFUNCTION("""COMPUTED_VALUE"""),"MeasureMinds | Digital Analytics Agency: Data Empowerment")</f>
        <v>MeasureMinds | Digital Analytics Agency: Data Empowerment</v>
      </c>
      <c r="C108" s="14" t="str">
        <f>IFERROR(__xludf.DUMMYFUNCTION("""COMPUTED_VALUE"""),"measuremindsgroup.com")</f>
        <v>measuremindsgroup.com</v>
      </c>
      <c r="D108" s="15" t="str">
        <f>IFERROR(__xludf.DUMMYFUNCTION("""COMPUTED_VALUE"""),"HOMEPAGE")</f>
        <v>HOMEPAGE</v>
      </c>
      <c r="E108" s="15" t="str">
        <f>IFERROR(__xludf.DUMMYFUNCTION("""COMPUTED_VALUE"""),"CORPORATE")</f>
        <v>CORPORATE</v>
      </c>
      <c r="F108" s="15" t="str">
        <f>IFERROR(__xludf.DUMMYFUNCTION("""COMPUTED_VALUE"""),"Homepage")</f>
        <v>Homepage</v>
      </c>
      <c r="G108" s="15" t="b">
        <f>IFERROR(__xludf.DUMMYFUNCTION("""COMPUTED_VALUE"""),FALSE)</f>
        <v>0</v>
      </c>
      <c r="H108" s="15"/>
      <c r="I108" s="15">
        <f>IFERROR(__xludf.DUMMYFUNCTION("""COMPUTED_VALUE"""),1.0)</f>
        <v>1</v>
      </c>
      <c r="J108" s="15">
        <f>IFERROR(__xludf.DUMMYFUNCTION("""COMPUTED_VALUE"""),0.0)</f>
        <v>0</v>
      </c>
      <c r="K108" s="15">
        <f>IFERROR(__xludf.DUMMYFUNCTION("""COMPUTED_VALUE"""),2.0)</f>
        <v>2</v>
      </c>
    </row>
    <row r="109" ht="15.75" customHeight="1">
      <c r="A109" s="14" t="str">
        <f>IFERROR(__xludf.DUMMYFUNCTION("""COMPUTED_VALUE"""),"https://mediaaddict.co.uk/")</f>
        <v>https://mediaaddict.co.uk/</v>
      </c>
      <c r="B109" s="15" t="str">
        <f>IFERROR(__xludf.DUMMYFUNCTION("""COMPUTED_VALUE"""),"Media Addict | Independent UK media agency. Bought direct, priced on the outcome.")</f>
        <v>Media Addict | Independent UK media agency. Bought direct, priced on the outcome.</v>
      </c>
      <c r="C109" s="14" t="str">
        <f>IFERROR(__xludf.DUMMYFUNCTION("""COMPUTED_VALUE"""),"mediaaddict.co.uk")</f>
        <v>mediaaddict.co.uk</v>
      </c>
      <c r="D109" s="15" t="str">
        <f>IFERROR(__xludf.DUMMYFUNCTION("""COMPUTED_VALUE"""),"HOMEPAGE")</f>
        <v>HOMEPAGE</v>
      </c>
      <c r="E109" s="15" t="str">
        <f>IFERROR(__xludf.DUMMYFUNCTION("""COMPUTED_VALUE"""),"CORPORATE")</f>
        <v>CORPORATE</v>
      </c>
      <c r="F109" s="15" t="str">
        <f>IFERROR(__xludf.DUMMYFUNCTION("""COMPUTED_VALUE"""),"Homepage")</f>
        <v>Homepage</v>
      </c>
      <c r="G109" s="15" t="b">
        <f>IFERROR(__xludf.DUMMYFUNCTION("""COMPUTED_VALUE"""),FALSE)</f>
        <v>0</v>
      </c>
      <c r="H109" s="15" t="str">
        <f>IFERROR(__xludf.DUMMYFUNCTION("""COMPUTED_VALUE"""),"Impression")</f>
        <v>Impression</v>
      </c>
      <c r="I109" s="15">
        <f>IFERROR(__xludf.DUMMYFUNCTION("""COMPUTED_VALUE"""),1.0)</f>
        <v>1</v>
      </c>
      <c r="J109" s="15">
        <f>IFERROR(__xludf.DUMMYFUNCTION("""COMPUTED_VALUE"""),0.0)</f>
        <v>0</v>
      </c>
      <c r="K109" s="15">
        <f>IFERROR(__xludf.DUMMYFUNCTION("""COMPUTED_VALUE"""),0.0)</f>
        <v>0</v>
      </c>
    </row>
    <row r="110" ht="15.75" customHeight="1">
      <c r="A110" s="14" t="str">
        <f>IFERROR(__xludf.DUMMYFUNCTION("""COMPUTED_VALUE"""),"https://www.openleaf.com/")</f>
        <v>https://www.openleaf.com/</v>
      </c>
      <c r="B110" s="15" t="str">
        <f>IFERROR(__xludf.DUMMYFUNCTION("""COMPUTED_VALUE"""),"Openleaf AI Consultancy — AI Adoption, Automation &amp;amp; Agent Implementation for SMEs")</f>
        <v>Openleaf AI Consultancy — AI Adoption, Automation &amp;amp; Agent Implementation for SMEs</v>
      </c>
      <c r="C110" s="14" t="str">
        <f>IFERROR(__xludf.DUMMYFUNCTION("""COMPUTED_VALUE"""),"openleaf.com")</f>
        <v>openleaf.com</v>
      </c>
      <c r="D110" s="15" t="str">
        <f>IFERROR(__xludf.DUMMYFUNCTION("""COMPUTED_VALUE"""),"HOMEPAGE")</f>
        <v>HOMEPAGE</v>
      </c>
      <c r="E110" s="15" t="str">
        <f>IFERROR(__xludf.DUMMYFUNCTION("""COMPUTED_VALUE"""),"CORPORATE")</f>
        <v>CORPORATE</v>
      </c>
      <c r="F110" s="15" t="str">
        <f>IFERROR(__xludf.DUMMYFUNCTION("""COMPUTED_VALUE"""),"Homepage")</f>
        <v>Homepage</v>
      </c>
      <c r="G110" s="15" t="b">
        <f>IFERROR(__xludf.DUMMYFUNCTION("""COMPUTED_VALUE"""),FALSE)</f>
        <v>0</v>
      </c>
      <c r="H110" s="15"/>
      <c r="I110" s="15">
        <f>IFERROR(__xludf.DUMMYFUNCTION("""COMPUTED_VALUE"""),1.0)</f>
        <v>1</v>
      </c>
      <c r="J110" s="15">
        <f>IFERROR(__xludf.DUMMYFUNCTION("""COMPUTED_VALUE"""),0.0)</f>
        <v>0</v>
      </c>
      <c r="K110" s="15">
        <f>IFERROR(__xludf.DUMMYFUNCTION("""COMPUTED_VALUE"""),0.0)</f>
        <v>0</v>
      </c>
    </row>
    <row r="111" ht="15.75" customHeight="1">
      <c r="A111" s="14" t="str">
        <f>IFERROR(__xludf.DUMMYFUNCTION("""COMPUTED_VALUE"""),"https://www.opticomm.co.uk/")</f>
        <v>https://www.opticomm.co.uk/</v>
      </c>
      <c r="B111" s="15" t="str">
        <f>IFERROR(__xludf.DUMMYFUNCTION("""COMPUTED_VALUE"""),"Opticomm Media – London Advertising Help Media Agency")</f>
        <v>Opticomm Media – London Advertising Help Media Agency</v>
      </c>
      <c r="C111" s="14" t="str">
        <f>IFERROR(__xludf.DUMMYFUNCTION("""COMPUTED_VALUE"""),"opticomm.co.uk")</f>
        <v>opticomm.co.uk</v>
      </c>
      <c r="D111" s="15" t="str">
        <f>IFERROR(__xludf.DUMMYFUNCTION("""COMPUTED_VALUE"""),"HOMEPAGE")</f>
        <v>HOMEPAGE</v>
      </c>
      <c r="E111" s="15" t="str">
        <f>IFERROR(__xludf.DUMMYFUNCTION("""COMPUTED_VALUE"""),"CORPORATE")</f>
        <v>CORPORATE</v>
      </c>
      <c r="F111" s="15" t="str">
        <f>IFERROR(__xludf.DUMMYFUNCTION("""COMPUTED_VALUE"""),"Homepage")</f>
        <v>Homepage</v>
      </c>
      <c r="G111" s="15" t="b">
        <f>IFERROR(__xludf.DUMMYFUNCTION("""COMPUTED_VALUE"""),FALSE)</f>
        <v>0</v>
      </c>
      <c r="H111" s="15"/>
      <c r="I111" s="15">
        <f>IFERROR(__xludf.DUMMYFUNCTION("""COMPUTED_VALUE"""),1.0)</f>
        <v>1</v>
      </c>
      <c r="J111" s="15">
        <f>IFERROR(__xludf.DUMMYFUNCTION("""COMPUTED_VALUE"""),0.0)</f>
        <v>0</v>
      </c>
      <c r="K111" s="15">
        <f>IFERROR(__xludf.DUMMYFUNCTION("""COMPUTED_VALUE"""),0.0)</f>
        <v>0</v>
      </c>
    </row>
    <row r="112" ht="15.75" customHeight="1">
      <c r="A112" s="14" t="str">
        <f>IFERROR(__xludf.DUMMYFUNCTION("""COMPUTED_VALUE"""),"https://www.pario.agency/")</f>
        <v>https://www.pario.agency/</v>
      </c>
      <c r="B112" s="15"/>
      <c r="C112" s="15" t="str">
        <f>IFERROR(__xludf.DUMMYFUNCTION("""COMPUTED_VALUE"""),"pario.agency")</f>
        <v>pario.agency</v>
      </c>
      <c r="D112" s="15" t="str">
        <f>IFERROR(__xludf.DUMMYFUNCTION("""COMPUTED_VALUE"""),"HOMEPAGE")</f>
        <v>HOMEPAGE</v>
      </c>
      <c r="E112" s="15" t="str">
        <f>IFERROR(__xludf.DUMMYFUNCTION("""COMPUTED_VALUE"""),"CORPORATE")</f>
        <v>CORPORATE</v>
      </c>
      <c r="F112" s="15" t="str">
        <f>IFERROR(__xludf.DUMMYFUNCTION("""COMPUTED_VALUE"""),"Homepage")</f>
        <v>Homepage</v>
      </c>
      <c r="G112" s="15"/>
      <c r="H112" s="15" t="str">
        <f>IFERROR(__xludf.DUMMYFUNCTION("""COMPUTED_VALUE"""),"Unknown")</f>
        <v>Unknown</v>
      </c>
      <c r="I112" s="15">
        <f>IFERROR(__xludf.DUMMYFUNCTION("""COMPUTED_VALUE"""),1.0)</f>
        <v>1</v>
      </c>
      <c r="J112" s="15">
        <f>IFERROR(__xludf.DUMMYFUNCTION("""COMPUTED_VALUE"""),0.0)</f>
        <v>0</v>
      </c>
      <c r="K112" s="15">
        <f>IFERROR(__xludf.DUMMYFUNCTION("""COMPUTED_VALUE"""),0.0)</f>
        <v>0</v>
      </c>
    </row>
    <row r="113" ht="15.75" customHeight="1">
      <c r="A113" s="14" t="str">
        <f>IFERROR(__xludf.DUMMYFUNCTION("""COMPUTED_VALUE"""),"https://passion.digital/")</f>
        <v>https://passion.digital/</v>
      </c>
      <c r="B113" s="15" t="str">
        <f>IFERROR(__xludf.DUMMYFUNCTION("""COMPUTED_VALUE"""),"Digital Marketing Agency London, UK | Passion Digital")</f>
        <v>Digital Marketing Agency London, UK | Passion Digital</v>
      </c>
      <c r="C113" s="15" t="str">
        <f>IFERROR(__xludf.DUMMYFUNCTION("""COMPUTED_VALUE"""),"passion.digital")</f>
        <v>passion.digital</v>
      </c>
      <c r="D113" s="15" t="str">
        <f>IFERROR(__xludf.DUMMYFUNCTION("""COMPUTED_VALUE"""),"HOMEPAGE")</f>
        <v>HOMEPAGE</v>
      </c>
      <c r="E113" s="15" t="str">
        <f>IFERROR(__xludf.DUMMYFUNCTION("""COMPUTED_VALUE"""),"COMPETITOR")</f>
        <v>COMPETITOR</v>
      </c>
      <c r="F113" s="15" t="str">
        <f>IFERROR(__xludf.DUMMYFUNCTION("""COMPUTED_VALUE"""),"Homepage")</f>
        <v>Homepage</v>
      </c>
      <c r="G113" s="15" t="b">
        <f>IFERROR(__xludf.DUMMYFUNCTION("""COMPUTED_VALUE"""),FALSE)</f>
        <v>0</v>
      </c>
      <c r="H113" s="15" t="str">
        <f>IFERROR(__xludf.DUMMYFUNCTION("""COMPUTED_VALUE"""),"Passion Digital, Found")</f>
        <v>Passion Digital, Found</v>
      </c>
      <c r="I113" s="15">
        <f>IFERROR(__xludf.DUMMYFUNCTION("""COMPUTED_VALUE"""),1.0)</f>
        <v>1</v>
      </c>
      <c r="J113" s="15">
        <f>IFERROR(__xludf.DUMMYFUNCTION("""COMPUTED_VALUE"""),0.0)</f>
        <v>0</v>
      </c>
      <c r="K113" s="15">
        <f>IFERROR(__xludf.DUMMYFUNCTION("""COMPUTED_VALUE"""),2.0)</f>
        <v>2</v>
      </c>
    </row>
    <row r="114" ht="15.75" customHeight="1">
      <c r="A114" s="14" t="str">
        <f>IFERROR(__xludf.DUMMYFUNCTION("""COMPUTED_VALUE"""),"https://www.pgammedia.com/")</f>
        <v>https://www.pgammedia.com/</v>
      </c>
      <c r="B114" s="15"/>
      <c r="C114" s="14" t="str">
        <f>IFERROR(__xludf.DUMMYFUNCTION("""COMPUTED_VALUE"""),"pgammedia.com")</f>
        <v>pgammedia.com</v>
      </c>
      <c r="D114" s="15" t="str">
        <f>IFERROR(__xludf.DUMMYFUNCTION("""COMPUTED_VALUE"""),"HOMEPAGE")</f>
        <v>HOMEPAGE</v>
      </c>
      <c r="E114" s="15" t="str">
        <f>IFERROR(__xludf.DUMMYFUNCTION("""COMPUTED_VALUE"""),"CORPORATE")</f>
        <v>CORPORATE</v>
      </c>
      <c r="F114" s="15" t="str">
        <f>IFERROR(__xludf.DUMMYFUNCTION("""COMPUTED_VALUE"""),"Homepage")</f>
        <v>Homepage</v>
      </c>
      <c r="G114" s="15"/>
      <c r="H114" s="15" t="str">
        <f>IFERROR(__xludf.DUMMYFUNCTION("""COMPUTED_VALUE"""),"Unknown")</f>
        <v>Unknown</v>
      </c>
      <c r="I114" s="15">
        <f>IFERROR(__xludf.DUMMYFUNCTION("""COMPUTED_VALUE"""),1.0)</f>
        <v>1</v>
      </c>
      <c r="J114" s="15">
        <f>IFERROR(__xludf.DUMMYFUNCTION("""COMPUTED_VALUE"""),0.0)</f>
        <v>0</v>
      </c>
      <c r="K114" s="15">
        <f>IFERROR(__xludf.DUMMYFUNCTION("""COMPUTED_VALUE"""),0.0)</f>
        <v>0</v>
      </c>
    </row>
    <row r="115" ht="15.75" customHeight="1">
      <c r="A115" s="14" t="str">
        <f>IFERROR(__xludf.DUMMYFUNCTION("""COMPUTED_VALUE"""),"https://pinpoint-media.global/")</f>
        <v>https://pinpoint-media.global/</v>
      </c>
      <c r="B115" s="15" t="str">
        <f>IFERROR(__xludf.DUMMYFUNCTION("""COMPUTED_VALUE"""),"PinPoint Media | Performance Creative &amp;amp; Paid Media Agency")</f>
        <v>PinPoint Media | Performance Creative &amp;amp; Paid Media Agency</v>
      </c>
      <c r="C115" s="15" t="str">
        <f>IFERROR(__xludf.DUMMYFUNCTION("""COMPUTED_VALUE"""),"pinpoint-media.global")</f>
        <v>pinpoint-media.global</v>
      </c>
      <c r="D115" s="15" t="str">
        <f>IFERROR(__xludf.DUMMYFUNCTION("""COMPUTED_VALUE"""),"HOMEPAGE")</f>
        <v>HOMEPAGE</v>
      </c>
      <c r="E115" s="15" t="str">
        <f>IFERROR(__xludf.DUMMYFUNCTION("""COMPUTED_VALUE"""),"COMPETITOR")</f>
        <v>COMPETITOR</v>
      </c>
      <c r="F115" s="15" t="str">
        <f>IFERROR(__xludf.DUMMYFUNCTION("""COMPUTED_VALUE"""),"Homepage")</f>
        <v>Homepage</v>
      </c>
      <c r="G115" s="15" t="b">
        <f>IFERROR(__xludf.DUMMYFUNCTION("""COMPUTED_VALUE"""),FALSE)</f>
        <v>0</v>
      </c>
      <c r="H115" s="15" t="str">
        <f>IFERROR(__xludf.DUMMYFUNCTION("""COMPUTED_VALUE"""),"PinPoint Media")</f>
        <v>PinPoint Media</v>
      </c>
      <c r="I115" s="15">
        <f>IFERROR(__xludf.DUMMYFUNCTION("""COMPUTED_VALUE"""),1.0)</f>
        <v>1</v>
      </c>
      <c r="J115" s="15">
        <f>IFERROR(__xludf.DUMMYFUNCTION("""COMPUTED_VALUE"""),0.0)</f>
        <v>0</v>
      </c>
      <c r="K115" s="15">
        <f>IFERROR(__xludf.DUMMYFUNCTION("""COMPUTED_VALUE"""),0.0)</f>
        <v>0</v>
      </c>
    </row>
    <row r="116" ht="15.75" customHeight="1">
      <c r="A116" s="14" t="str">
        <f>IFERROR(__xludf.DUMMYFUNCTION("""COMPUTED_VALUE"""),"https://ppckingdom.com/")</f>
        <v>https://ppckingdom.com/</v>
      </c>
      <c r="B116" s="15" t="str">
        <f>IFERROR(__xludf.DUMMYFUNCTION("""COMPUTED_VALUE"""),"Leading PPC Agency in the UK | Welcome to PPC Kingdom")</f>
        <v>Leading PPC Agency in the UK | Welcome to PPC Kingdom</v>
      </c>
      <c r="C116" s="14" t="str">
        <f>IFERROR(__xludf.DUMMYFUNCTION("""COMPUTED_VALUE"""),"ppckingdom.com")</f>
        <v>ppckingdom.com</v>
      </c>
      <c r="D116" s="15" t="str">
        <f>IFERROR(__xludf.DUMMYFUNCTION("""COMPUTED_VALUE"""),"HOMEPAGE")</f>
        <v>HOMEPAGE</v>
      </c>
      <c r="E116" s="15" t="str">
        <f>IFERROR(__xludf.DUMMYFUNCTION("""COMPUTED_VALUE"""),"CORPORATE")</f>
        <v>CORPORATE</v>
      </c>
      <c r="F116" s="15" t="str">
        <f>IFERROR(__xludf.DUMMYFUNCTION("""COMPUTED_VALUE"""),"Homepage")</f>
        <v>Homepage</v>
      </c>
      <c r="G116" s="15" t="b">
        <f>IFERROR(__xludf.DUMMYFUNCTION("""COMPUTED_VALUE"""),FALSE)</f>
        <v>0</v>
      </c>
      <c r="H116" s="15"/>
      <c r="I116" s="15">
        <f>IFERROR(__xludf.DUMMYFUNCTION("""COMPUTED_VALUE"""),1.0)</f>
        <v>1</v>
      </c>
      <c r="J116" s="15">
        <f>IFERROR(__xludf.DUMMYFUNCTION("""COMPUTED_VALUE"""),0.0)</f>
        <v>0</v>
      </c>
      <c r="K116" s="15">
        <f>IFERROR(__xludf.DUMMYFUNCTION("""COMPUTED_VALUE"""),0.0)</f>
        <v>0</v>
      </c>
    </row>
    <row r="117" ht="15.75" customHeight="1">
      <c r="A117" s="14" t="str">
        <f>IFERROR(__xludf.DUMMYFUNCTION("""COMPUTED_VALUE"""),"https://queryclick.com/")</f>
        <v>https://queryclick.com/</v>
      </c>
      <c r="B117" s="15" t="str">
        <f>IFERROR(__xludf.DUMMYFUNCTION("""COMPUTED_VALUE"""),"QueryClick Performance Marketing - QueryClick")</f>
        <v>QueryClick Performance Marketing - QueryClick</v>
      </c>
      <c r="C117" s="14" t="str">
        <f>IFERROR(__xludf.DUMMYFUNCTION("""COMPUTED_VALUE"""),"queryclick.com")</f>
        <v>queryclick.com</v>
      </c>
      <c r="D117" s="15" t="str">
        <f>IFERROR(__xludf.DUMMYFUNCTION("""COMPUTED_VALUE"""),"HOMEPAGE")</f>
        <v>HOMEPAGE</v>
      </c>
      <c r="E117" s="15" t="str">
        <f>IFERROR(__xludf.DUMMYFUNCTION("""COMPUTED_VALUE"""),"COMPETITOR")</f>
        <v>COMPETITOR</v>
      </c>
      <c r="F117" s="15" t="str">
        <f>IFERROR(__xludf.DUMMYFUNCTION("""COMPUTED_VALUE"""),"Homepage")</f>
        <v>Homepage</v>
      </c>
      <c r="G117" s="15" t="b">
        <f>IFERROR(__xludf.DUMMYFUNCTION("""COMPUTED_VALUE"""),FALSE)</f>
        <v>0</v>
      </c>
      <c r="H117" s="15" t="str">
        <f>IFERROR(__xludf.DUMMYFUNCTION("""COMPUTED_VALUE"""),"QueryClick, Impression")</f>
        <v>QueryClick, Impression</v>
      </c>
      <c r="I117" s="15">
        <f>IFERROR(__xludf.DUMMYFUNCTION("""COMPUTED_VALUE"""),1.0)</f>
        <v>1</v>
      </c>
      <c r="J117" s="15">
        <f>IFERROR(__xludf.DUMMYFUNCTION("""COMPUTED_VALUE"""),0.0)</f>
        <v>0</v>
      </c>
      <c r="K117" s="15">
        <f>IFERROR(__xludf.DUMMYFUNCTION("""COMPUTED_VALUE"""),1.0)</f>
        <v>1</v>
      </c>
    </row>
    <row r="118" ht="15.75" customHeight="1">
      <c r="A118" s="14" t="str">
        <f>IFERROR(__xludf.DUMMYFUNCTION("""COMPUTED_VALUE"""),"https://www.searchable.com/")</f>
        <v>https://www.searchable.com/</v>
      </c>
      <c r="B118" s="15" t="str">
        <f>IFERROR(__xludf.DUMMYFUNCTION("""COMPUTED_VALUE"""),"Searchable — AI Search Visibility &amp;amp; Analytics Platform")</f>
        <v>Searchable — AI Search Visibility &amp;amp; Analytics Platform</v>
      </c>
      <c r="C118" s="14" t="str">
        <f>IFERROR(__xludf.DUMMYFUNCTION("""COMPUTED_VALUE"""),"searchable.com")</f>
        <v>searchable.com</v>
      </c>
      <c r="D118" s="15" t="str">
        <f>IFERROR(__xludf.DUMMYFUNCTION("""COMPUTED_VALUE"""),"HOMEPAGE")</f>
        <v>HOMEPAGE</v>
      </c>
      <c r="E118" s="15" t="str">
        <f>IFERROR(__xludf.DUMMYFUNCTION("""COMPUTED_VALUE"""),"CORPORATE")</f>
        <v>CORPORATE</v>
      </c>
      <c r="F118" s="15" t="str">
        <f>IFERROR(__xludf.DUMMYFUNCTION("""COMPUTED_VALUE"""),"Homepage")</f>
        <v>Homepage</v>
      </c>
      <c r="G118" s="15" t="b">
        <f>IFERROR(__xludf.DUMMYFUNCTION("""COMPUTED_VALUE"""),FALSE)</f>
        <v>0</v>
      </c>
      <c r="H118" s="15"/>
      <c r="I118" s="15">
        <f>IFERROR(__xludf.DUMMYFUNCTION("""COMPUTED_VALUE"""),1.0)</f>
        <v>1</v>
      </c>
      <c r="J118" s="15">
        <f>IFERROR(__xludf.DUMMYFUNCTION("""COMPUTED_VALUE"""),0.0)</f>
        <v>0</v>
      </c>
      <c r="K118" s="15">
        <f>IFERROR(__xludf.DUMMYFUNCTION("""COMPUTED_VALUE"""),1.0)</f>
        <v>1</v>
      </c>
    </row>
    <row r="119" ht="15.75" customHeight="1">
      <c r="A119" s="14" t="str">
        <f>IFERROR(__xludf.DUMMYFUNCTION("""COMPUTED_VALUE"""),"https://www.seoworks.co.uk/")</f>
        <v>https://www.seoworks.co.uk/</v>
      </c>
      <c r="B119" s="15" t="str">
        <f>IFERROR(__xludf.DUMMYFUNCTION("""COMPUTED_VALUE"""),"Award-Winning UK SEO Company - The SEO Works")</f>
        <v>Award-Winning UK SEO Company - The SEO Works</v>
      </c>
      <c r="C119" s="14" t="str">
        <f>IFERROR(__xludf.DUMMYFUNCTION("""COMPUTED_VALUE"""),"seoworks.co.uk")</f>
        <v>seoworks.co.uk</v>
      </c>
      <c r="D119" s="15" t="str">
        <f>IFERROR(__xludf.DUMMYFUNCTION("""COMPUTED_VALUE"""),"HOMEPAGE")</f>
        <v>HOMEPAGE</v>
      </c>
      <c r="E119" s="15" t="str">
        <f>IFERROR(__xludf.DUMMYFUNCTION("""COMPUTED_VALUE"""),"COMPETITOR")</f>
        <v>COMPETITOR</v>
      </c>
      <c r="F119" s="15" t="str">
        <f>IFERROR(__xludf.DUMMYFUNCTION("""COMPUTED_VALUE"""),"Homepage")</f>
        <v>Homepage</v>
      </c>
      <c r="G119" s="15" t="b">
        <f>IFERROR(__xludf.DUMMYFUNCTION("""COMPUTED_VALUE"""),FALSE)</f>
        <v>0</v>
      </c>
      <c r="H119" s="15" t="str">
        <f>IFERROR(__xludf.DUMMYFUNCTION("""COMPUTED_VALUE"""),"The SEO Works, Huge")</f>
        <v>The SEO Works, Huge</v>
      </c>
      <c r="I119" s="15">
        <f>IFERROR(__xludf.DUMMYFUNCTION("""COMPUTED_VALUE"""),1.0)</f>
        <v>1</v>
      </c>
      <c r="J119" s="15">
        <f>IFERROR(__xludf.DUMMYFUNCTION("""COMPUTED_VALUE"""),0.0)</f>
        <v>0</v>
      </c>
      <c r="K119" s="15">
        <f>IFERROR(__xludf.DUMMYFUNCTION("""COMPUTED_VALUE"""),1.0)</f>
        <v>1</v>
      </c>
    </row>
    <row r="120" ht="15.75" customHeight="1">
      <c r="A120" s="14" t="str">
        <f>IFERROR(__xludf.DUMMYFUNCTION("""COMPUTED_VALUE"""),"https://www.singleframe.co.uk/")</f>
        <v>https://www.singleframe.co.uk/</v>
      </c>
      <c r="B120" s="15" t="str">
        <f>IFERROR(__xludf.DUMMYFUNCTION("""COMPUTED_VALUE"""),"Singleframe - Cinematic Creative Production Studio")</f>
        <v>Singleframe - Cinematic Creative Production Studio</v>
      </c>
      <c r="C120" s="14" t="str">
        <f>IFERROR(__xludf.DUMMYFUNCTION("""COMPUTED_VALUE"""),"singleframe.co.uk")</f>
        <v>singleframe.co.uk</v>
      </c>
      <c r="D120" s="15" t="str">
        <f>IFERROR(__xludf.DUMMYFUNCTION("""COMPUTED_VALUE"""),"HOMEPAGE")</f>
        <v>HOMEPAGE</v>
      </c>
      <c r="E120" s="15" t="str">
        <f>IFERROR(__xludf.DUMMYFUNCTION("""COMPUTED_VALUE"""),"CORPORATE")</f>
        <v>CORPORATE</v>
      </c>
      <c r="F120" s="15" t="str">
        <f>IFERROR(__xludf.DUMMYFUNCTION("""COMPUTED_VALUE"""),"Homepage")</f>
        <v>Homepage</v>
      </c>
      <c r="G120" s="15" t="b">
        <f>IFERROR(__xludf.DUMMYFUNCTION("""COMPUTED_VALUE"""),FALSE)</f>
        <v>0</v>
      </c>
      <c r="H120" s="15"/>
      <c r="I120" s="15">
        <f>IFERROR(__xludf.DUMMYFUNCTION("""COMPUTED_VALUE"""),1.0)</f>
        <v>1</v>
      </c>
      <c r="J120" s="15">
        <f>IFERROR(__xludf.DUMMYFUNCTION("""COMPUTED_VALUE"""),0.0)</f>
        <v>0</v>
      </c>
      <c r="K120" s="15">
        <f>IFERROR(__xludf.DUMMYFUNCTION("""COMPUTED_VALUE"""),0.0)</f>
        <v>0</v>
      </c>
    </row>
    <row r="121" ht="15.75" customHeight="1">
      <c r="A121" s="14" t="str">
        <f>IFERROR(__xludf.DUMMYFUNCTION("""COMPUTED_VALUE"""),"https://www.slateandmortar.com/")</f>
        <v>https://www.slateandmortar.com/</v>
      </c>
      <c r="B121" s="15" t="str">
        <f>IFERROR(__xludf.DUMMYFUNCTION("""COMPUTED_VALUE"""),"Video Production Company Birmingham - Corporate Video Agency West Midlands")</f>
        <v>Video Production Company Birmingham - Corporate Video Agency West Midlands</v>
      </c>
      <c r="C121" s="14" t="str">
        <f>IFERROR(__xludf.DUMMYFUNCTION("""COMPUTED_VALUE"""),"slateandmortar.com")</f>
        <v>slateandmortar.com</v>
      </c>
      <c r="D121" s="15" t="str">
        <f>IFERROR(__xludf.DUMMYFUNCTION("""COMPUTED_VALUE"""),"HOMEPAGE")</f>
        <v>HOMEPAGE</v>
      </c>
      <c r="E121" s="15" t="str">
        <f>IFERROR(__xludf.DUMMYFUNCTION("""COMPUTED_VALUE"""),"CORPORATE")</f>
        <v>CORPORATE</v>
      </c>
      <c r="F121" s="15" t="str">
        <f>IFERROR(__xludf.DUMMYFUNCTION("""COMPUTED_VALUE"""),"Homepage")</f>
        <v>Homepage</v>
      </c>
      <c r="G121" s="15" t="b">
        <f>IFERROR(__xludf.DUMMYFUNCTION("""COMPUTED_VALUE"""),FALSE)</f>
        <v>0</v>
      </c>
      <c r="H121" s="15" t="str">
        <f>IFERROR(__xludf.DUMMYFUNCTION("""COMPUTED_VALUE"""),"Huge")</f>
        <v>Huge</v>
      </c>
      <c r="I121" s="15">
        <f>IFERROR(__xludf.DUMMYFUNCTION("""COMPUTED_VALUE"""),1.0)</f>
        <v>1</v>
      </c>
      <c r="J121" s="15">
        <f>IFERROR(__xludf.DUMMYFUNCTION("""COMPUTED_VALUE"""),0.0)</f>
        <v>0</v>
      </c>
      <c r="K121" s="15">
        <f>IFERROR(__xludf.DUMMYFUNCTION("""COMPUTED_VALUE"""),1.0)</f>
        <v>1</v>
      </c>
    </row>
    <row r="122" ht="15.75" customHeight="1">
      <c r="A122" s="14" t="str">
        <f>IFERROR(__xludf.DUMMYFUNCTION("""COMPUTED_VALUE"""),"https://sociallypowerful.com/why-us")</f>
        <v>https://sociallypowerful.com/why-us</v>
      </c>
      <c r="B122" s="15" t="str">
        <f>IFERROR(__xludf.DUMMYFUNCTION("""COMPUTED_VALUE"""),"Why Us | About Socially Powerful")</f>
        <v>Why Us | About Socially Powerful</v>
      </c>
      <c r="C122" s="14" t="str">
        <f>IFERROR(__xludf.DUMMYFUNCTION("""COMPUTED_VALUE"""),"sociallypowerful.com")</f>
        <v>sociallypowerful.com</v>
      </c>
      <c r="D122" s="15" t="str">
        <f>IFERROR(__xludf.DUMMYFUNCTION("""COMPUTED_VALUE"""),"HOMEPAGE")</f>
        <v>HOMEPAGE</v>
      </c>
      <c r="E122" s="15" t="str">
        <f>IFERROR(__xludf.DUMMYFUNCTION("""COMPUTED_VALUE"""),"CORPORATE")</f>
        <v>CORPORATE</v>
      </c>
      <c r="F122" s="15" t="str">
        <f>IFERROR(__xludf.DUMMYFUNCTION("""COMPUTED_VALUE"""),"Homepage")</f>
        <v>Homepage</v>
      </c>
      <c r="G122" s="15" t="b">
        <f>IFERROR(__xludf.DUMMYFUNCTION("""COMPUTED_VALUE"""),FALSE)</f>
        <v>0</v>
      </c>
      <c r="H122" s="15" t="str">
        <f>IFERROR(__xludf.DUMMYFUNCTION("""COMPUTED_VALUE"""),"EY, WPP, Measured, Ogilvy")</f>
        <v>EY, WPP, Measured, Ogilvy</v>
      </c>
      <c r="I122" s="15">
        <f>IFERROR(__xludf.DUMMYFUNCTION("""COMPUTED_VALUE"""),1.0)</f>
        <v>1</v>
      </c>
      <c r="J122" s="15">
        <f>IFERROR(__xludf.DUMMYFUNCTION("""COMPUTED_VALUE"""),0.0)</f>
        <v>0</v>
      </c>
      <c r="K122" s="15">
        <f>IFERROR(__xludf.DUMMYFUNCTION("""COMPUTED_VALUE"""),1.0)</f>
        <v>1</v>
      </c>
    </row>
    <row r="123" ht="15.75" customHeight="1">
      <c r="A123" s="14" t="str">
        <f>IFERROR(__xludf.DUMMYFUNCTION("""COMPUTED_VALUE"""),"https://solvid.co.uk/")</f>
        <v>https://solvid.co.uk/</v>
      </c>
      <c r="B123" s="15" t="str">
        <f>IFERROR(__xludf.DUMMYFUNCTION("""COMPUTED_VALUE"""),"SEO Agency | International SEO Company | Solvid")</f>
        <v>SEO Agency | International SEO Company | Solvid</v>
      </c>
      <c r="C123" s="14" t="str">
        <f>IFERROR(__xludf.DUMMYFUNCTION("""COMPUTED_VALUE"""),"solvid.co.uk")</f>
        <v>solvid.co.uk</v>
      </c>
      <c r="D123" s="15" t="str">
        <f>IFERROR(__xludf.DUMMYFUNCTION("""COMPUTED_VALUE"""),"HOMEPAGE")</f>
        <v>HOMEPAGE</v>
      </c>
      <c r="E123" s="15" t="str">
        <f>IFERROR(__xludf.DUMMYFUNCTION("""COMPUTED_VALUE"""),"CORPORATE")</f>
        <v>CORPORATE</v>
      </c>
      <c r="F123" s="15" t="str">
        <f>IFERROR(__xludf.DUMMYFUNCTION("""COMPUTED_VALUE"""),"Homepage")</f>
        <v>Homepage</v>
      </c>
      <c r="G123" s="15" t="b">
        <f>IFERROR(__xludf.DUMMYFUNCTION("""COMPUTED_VALUE"""),FALSE)</f>
        <v>0</v>
      </c>
      <c r="H123" s="15" t="str">
        <f>IFERROR(__xludf.DUMMYFUNCTION("""COMPUTED_VALUE"""),"Momentum, Whitehat")</f>
        <v>Momentum, Whitehat</v>
      </c>
      <c r="I123" s="15">
        <f>IFERROR(__xludf.DUMMYFUNCTION("""COMPUTED_VALUE"""),1.0)</f>
        <v>1</v>
      </c>
      <c r="J123" s="15">
        <f>IFERROR(__xludf.DUMMYFUNCTION("""COMPUTED_VALUE"""),0.0)</f>
        <v>0</v>
      </c>
      <c r="K123" s="15">
        <f>IFERROR(__xludf.DUMMYFUNCTION("""COMPUTED_VALUE"""),1.0)</f>
        <v>1</v>
      </c>
    </row>
    <row r="124" ht="15.75" customHeight="1">
      <c r="A124" s="14" t="str">
        <f>IFERROR(__xludf.DUMMYFUNCTION("""COMPUTED_VALUE"""),"https://www.spotlightgb.co/")</f>
        <v>https://www.spotlightgb.co/</v>
      </c>
      <c r="B124" s="15" t="str">
        <f>IFERROR(__xludf.DUMMYFUNCTION("""COMPUTED_VALUE"""),"Full Service Marketing Agency UK | Spotlight GB")</f>
        <v>Full Service Marketing Agency UK | Spotlight GB</v>
      </c>
      <c r="C124" s="14" t="str">
        <f>IFERROR(__xludf.DUMMYFUNCTION("""COMPUTED_VALUE"""),"spotlightgb.co")</f>
        <v>spotlightgb.co</v>
      </c>
      <c r="D124" s="15" t="str">
        <f>IFERROR(__xludf.DUMMYFUNCTION("""COMPUTED_VALUE"""),"HOMEPAGE")</f>
        <v>HOMEPAGE</v>
      </c>
      <c r="E124" s="15" t="str">
        <f>IFERROR(__xludf.DUMMYFUNCTION("""COMPUTED_VALUE"""),"CORPORATE")</f>
        <v>CORPORATE</v>
      </c>
      <c r="F124" s="15" t="str">
        <f>IFERROR(__xludf.DUMMYFUNCTION("""COMPUTED_VALUE"""),"Homepage")</f>
        <v>Homepage</v>
      </c>
      <c r="G124" s="15" t="b">
        <f>IFERROR(__xludf.DUMMYFUNCTION("""COMPUTED_VALUE"""),FALSE)</f>
        <v>0</v>
      </c>
      <c r="H124" s="15"/>
      <c r="I124" s="15">
        <f>IFERROR(__xludf.DUMMYFUNCTION("""COMPUTED_VALUE"""),1.0)</f>
        <v>1</v>
      </c>
      <c r="J124" s="15">
        <f>IFERROR(__xludf.DUMMYFUNCTION("""COMPUTED_VALUE"""),0.0)</f>
        <v>0</v>
      </c>
      <c r="K124" s="15">
        <f>IFERROR(__xludf.DUMMYFUNCTION("""COMPUTED_VALUE"""),0.0)</f>
        <v>0</v>
      </c>
    </row>
    <row r="125" ht="15.75" customHeight="1">
      <c r="A125" s="14" t="str">
        <f>IFERROR(__xludf.DUMMYFUNCTION("""COMPUTED_VALUE"""),"https://stamp.productions/")</f>
        <v>https://stamp.productions/</v>
      </c>
      <c r="B125" s="15" t="str">
        <f>IFERROR(__xludf.DUMMYFUNCTION("""COMPUTED_VALUE"""),"Stamp Productions")</f>
        <v>Stamp Productions</v>
      </c>
      <c r="C125" s="15" t="str">
        <f>IFERROR(__xludf.DUMMYFUNCTION("""COMPUTED_VALUE"""),"stamp.productions")</f>
        <v>stamp.productions</v>
      </c>
      <c r="D125" s="15" t="str">
        <f>IFERROR(__xludf.DUMMYFUNCTION("""COMPUTED_VALUE"""),"HOMEPAGE")</f>
        <v>HOMEPAGE</v>
      </c>
      <c r="E125" s="15" t="str">
        <f>IFERROR(__xludf.DUMMYFUNCTION("""COMPUTED_VALUE"""),"CORPORATE")</f>
        <v>CORPORATE</v>
      </c>
      <c r="F125" s="15" t="str">
        <f>IFERROR(__xludf.DUMMYFUNCTION("""COMPUTED_VALUE"""),"Homepage")</f>
        <v>Homepage</v>
      </c>
      <c r="G125" s="15" t="b">
        <f>IFERROR(__xludf.DUMMYFUNCTION("""COMPUTED_VALUE"""),FALSE)</f>
        <v>0</v>
      </c>
      <c r="H125" s="15"/>
      <c r="I125" s="15">
        <f>IFERROR(__xludf.DUMMYFUNCTION("""COMPUTED_VALUE"""),1.0)</f>
        <v>1</v>
      </c>
      <c r="J125" s="15">
        <f>IFERROR(__xludf.DUMMYFUNCTION("""COMPUTED_VALUE"""),0.0)</f>
        <v>0</v>
      </c>
      <c r="K125" s="15">
        <f>IFERROR(__xludf.DUMMYFUNCTION("""COMPUTED_VALUE"""),2.0)</f>
        <v>2</v>
      </c>
    </row>
    <row r="126" ht="15.75" customHeight="1">
      <c r="A126" s="14" t="str">
        <f>IFERROR(__xludf.DUMMYFUNCTION("""COMPUTED_VALUE"""),"https://www.superside.com/")</f>
        <v>https://www.superside.com/</v>
      </c>
      <c r="B126" s="15" t="str">
        <f>IFERROR(__xludf.DUMMYFUNCTION("""COMPUTED_VALUE"""),"Superside: Your creative team’s creative team™")</f>
        <v>Superside: Your creative team’s creative team™</v>
      </c>
      <c r="C126" s="14" t="str">
        <f>IFERROR(__xludf.DUMMYFUNCTION("""COMPUTED_VALUE"""),"superside.com")</f>
        <v>superside.com</v>
      </c>
      <c r="D126" s="15" t="str">
        <f>IFERROR(__xludf.DUMMYFUNCTION("""COMPUTED_VALUE"""),"HOMEPAGE")</f>
        <v>HOMEPAGE</v>
      </c>
      <c r="E126" s="15" t="str">
        <f>IFERROR(__xludf.DUMMYFUNCTION("""COMPUTED_VALUE"""),"COMPETITOR")</f>
        <v>COMPETITOR</v>
      </c>
      <c r="F126" s="15" t="str">
        <f>IFERROR(__xludf.DUMMYFUNCTION("""COMPUTED_VALUE"""),"Homepage")</f>
        <v>Homepage</v>
      </c>
      <c r="G126" s="15" t="b">
        <f>IFERROR(__xludf.DUMMYFUNCTION("""COMPUTED_VALUE"""),FALSE)</f>
        <v>0</v>
      </c>
      <c r="H126" s="15" t="str">
        <f>IFERROR(__xludf.DUMMYFUNCTION("""COMPUTED_VALUE"""),"Superside, Huge, Momentum")</f>
        <v>Superside, Huge, Momentum</v>
      </c>
      <c r="I126" s="15">
        <f>IFERROR(__xludf.DUMMYFUNCTION("""COMPUTED_VALUE"""),1.0)</f>
        <v>1</v>
      </c>
      <c r="J126" s="15">
        <f>IFERROR(__xludf.DUMMYFUNCTION("""COMPUTED_VALUE"""),0.0)</f>
        <v>0</v>
      </c>
      <c r="K126" s="15">
        <f>IFERROR(__xludf.DUMMYFUNCTION("""COMPUTED_VALUE"""),1.0)</f>
        <v>1</v>
      </c>
    </row>
    <row r="127" ht="15.75" customHeight="1">
      <c r="A127" s="14" t="str">
        <f>IFERROR(__xludf.DUMMYFUNCTION("""COMPUTED_VALUE"""),"https://www.talisman-ai.co.uk/")</f>
        <v>https://www.talisman-ai.co.uk/</v>
      </c>
      <c r="B127" s="15" t="str">
        <f>IFERROR(__xludf.DUMMYFUNCTION("""COMPUTED_VALUE"""),"Talisman AI Wayfinder | Independent AI Guidance UK")</f>
        <v>Talisman AI Wayfinder | Independent AI Guidance UK</v>
      </c>
      <c r="C127" s="14" t="str">
        <f>IFERROR(__xludf.DUMMYFUNCTION("""COMPUTED_VALUE"""),"talisman-ai.co.uk")</f>
        <v>talisman-ai.co.uk</v>
      </c>
      <c r="D127" s="15" t="str">
        <f>IFERROR(__xludf.DUMMYFUNCTION("""COMPUTED_VALUE"""),"HOMEPAGE")</f>
        <v>HOMEPAGE</v>
      </c>
      <c r="E127" s="15" t="str">
        <f>IFERROR(__xludf.DUMMYFUNCTION("""COMPUTED_VALUE"""),"CORPORATE")</f>
        <v>CORPORATE</v>
      </c>
      <c r="F127" s="15" t="str">
        <f>IFERROR(__xludf.DUMMYFUNCTION("""COMPUTED_VALUE"""),"Homepage")</f>
        <v>Homepage</v>
      </c>
      <c r="G127" s="15" t="b">
        <f>IFERROR(__xludf.DUMMYFUNCTION("""COMPUTED_VALUE"""),FALSE)</f>
        <v>0</v>
      </c>
      <c r="H127" s="15"/>
      <c r="I127" s="15">
        <f>IFERROR(__xludf.DUMMYFUNCTION("""COMPUTED_VALUE"""),1.0)</f>
        <v>1</v>
      </c>
      <c r="J127" s="15">
        <f>IFERROR(__xludf.DUMMYFUNCTION("""COMPUTED_VALUE"""),0.0)</f>
        <v>0</v>
      </c>
      <c r="K127" s="15">
        <f>IFERROR(__xludf.DUMMYFUNCTION("""COMPUTED_VALUE"""),0.0)</f>
        <v>0</v>
      </c>
    </row>
    <row r="128" ht="15.75" customHeight="1">
      <c r="A128" s="14" t="str">
        <f>IFERROR(__xludf.DUMMYFUNCTION("""COMPUTED_VALUE"""),"https://www.theadlounge.co.uk/")</f>
        <v>https://www.theadlounge.co.uk/</v>
      </c>
      <c r="B128" s="15" t="str">
        <f>IFERROR(__xludf.DUMMYFUNCTION("""COMPUTED_VALUE"""),"The Ad Lounge | Profit Focused Ecom UK Digital Marketing Agency")</f>
        <v>The Ad Lounge | Profit Focused Ecom UK Digital Marketing Agency</v>
      </c>
      <c r="C128" s="14" t="str">
        <f>IFERROR(__xludf.DUMMYFUNCTION("""COMPUTED_VALUE"""),"theadlounge.co.uk")</f>
        <v>theadlounge.co.uk</v>
      </c>
      <c r="D128" s="15" t="str">
        <f>IFERROR(__xludf.DUMMYFUNCTION("""COMPUTED_VALUE"""),"HOMEPAGE")</f>
        <v>HOMEPAGE</v>
      </c>
      <c r="E128" s="15" t="str">
        <f>IFERROR(__xludf.DUMMYFUNCTION("""COMPUTED_VALUE"""),"CORPORATE")</f>
        <v>CORPORATE</v>
      </c>
      <c r="F128" s="15" t="str">
        <f>IFERROR(__xludf.DUMMYFUNCTION("""COMPUTED_VALUE"""),"Homepage")</f>
        <v>Homepage</v>
      </c>
      <c r="G128" s="15" t="b">
        <f>IFERROR(__xludf.DUMMYFUNCTION("""COMPUTED_VALUE"""),FALSE)</f>
        <v>0</v>
      </c>
      <c r="H128" s="15" t="str">
        <f>IFERROR(__xludf.DUMMYFUNCTION("""COMPUTED_VALUE"""),"Push, Found")</f>
        <v>Push, Found</v>
      </c>
      <c r="I128" s="15">
        <f>IFERROR(__xludf.DUMMYFUNCTION("""COMPUTED_VALUE"""),1.0)</f>
        <v>1</v>
      </c>
      <c r="J128" s="15">
        <f>IFERROR(__xludf.DUMMYFUNCTION("""COMPUTED_VALUE"""),0.0)</f>
        <v>0</v>
      </c>
      <c r="K128" s="15">
        <f>IFERROR(__xludf.DUMMYFUNCTION("""COMPUTED_VALUE"""),0.0)</f>
        <v>0</v>
      </c>
    </row>
    <row r="129" ht="15.75" customHeight="1">
      <c r="A129" s="14" t="str">
        <f>IFERROR(__xludf.DUMMYFUNCTION("""COMPUTED_VALUE"""),"https://www.themill.com/")</f>
        <v>https://www.themill.com/</v>
      </c>
      <c r="B129" s="15" t="str">
        <f>IFERROR(__xludf.DUMMYFUNCTION("""COMPUTED_VALUE"""),"Creative craft, designed to scale. — The Mill")</f>
        <v>Creative craft, designed to scale. — The Mill</v>
      </c>
      <c r="C129" s="14" t="str">
        <f>IFERROR(__xludf.DUMMYFUNCTION("""COMPUTED_VALUE"""),"themill.com")</f>
        <v>themill.com</v>
      </c>
      <c r="D129" s="15" t="str">
        <f>IFERROR(__xludf.DUMMYFUNCTION("""COMPUTED_VALUE"""),"HOMEPAGE")</f>
        <v>HOMEPAGE</v>
      </c>
      <c r="E129" s="15" t="str">
        <f>IFERROR(__xludf.DUMMYFUNCTION("""COMPUTED_VALUE"""),"CORPORATE")</f>
        <v>CORPORATE</v>
      </c>
      <c r="F129" s="15" t="str">
        <f>IFERROR(__xludf.DUMMYFUNCTION("""COMPUTED_VALUE"""),"Homepage")</f>
        <v>Homepage</v>
      </c>
      <c r="G129" s="15" t="b">
        <f>IFERROR(__xludf.DUMMYFUNCTION("""COMPUTED_VALUE"""),FALSE)</f>
        <v>0</v>
      </c>
      <c r="H129" s="15"/>
      <c r="I129" s="15">
        <f>IFERROR(__xludf.DUMMYFUNCTION("""COMPUTED_VALUE"""),1.0)</f>
        <v>1</v>
      </c>
      <c r="J129" s="15">
        <f>IFERROR(__xludf.DUMMYFUNCTION("""COMPUTED_VALUE"""),0.0)</f>
        <v>0</v>
      </c>
      <c r="K129" s="15">
        <f>IFERROR(__xludf.DUMMYFUNCTION("""COMPUTED_VALUE"""),1.0)</f>
        <v>1</v>
      </c>
    </row>
    <row r="130" ht="15.75" customHeight="1">
      <c r="A130" s="14" t="str">
        <f>IFERROR(__xludf.DUMMYFUNCTION("""COMPUTED_VALUE"""),"https://www.tilio.co.uk/")</f>
        <v>https://www.tilio.co.uk/</v>
      </c>
      <c r="B130" s="15" t="str">
        <f>IFERROR(__xludf.DUMMYFUNCTION("""COMPUTED_VALUE"""),"UK AEO Agency for AI Search Visibility")</f>
        <v>UK AEO Agency for AI Search Visibility</v>
      </c>
      <c r="C130" s="14" t="str">
        <f>IFERROR(__xludf.DUMMYFUNCTION("""COMPUTED_VALUE"""),"tilio.co.uk")</f>
        <v>tilio.co.uk</v>
      </c>
      <c r="D130" s="15" t="str">
        <f>IFERROR(__xludf.DUMMYFUNCTION("""COMPUTED_VALUE"""),"HOMEPAGE")</f>
        <v>HOMEPAGE</v>
      </c>
      <c r="E130" s="15" t="str">
        <f>IFERROR(__xludf.DUMMYFUNCTION("""COMPUTED_VALUE"""),"COMPETITOR")</f>
        <v>COMPETITOR</v>
      </c>
      <c r="F130" s="15" t="str">
        <f>IFERROR(__xludf.DUMMYFUNCTION("""COMPUTED_VALUE"""),"Homepage")</f>
        <v>Homepage</v>
      </c>
      <c r="G130" s="15" t="b">
        <f>IFERROR(__xludf.DUMMYFUNCTION("""COMPUTED_VALUE"""),FALSE)</f>
        <v>0</v>
      </c>
      <c r="H130" s="15" t="str">
        <f>IFERROR(__xludf.DUMMYFUNCTION("""COMPUTED_VALUE"""),"Tilio, Found")</f>
        <v>Tilio, Found</v>
      </c>
      <c r="I130" s="15">
        <f>IFERROR(__xludf.DUMMYFUNCTION("""COMPUTED_VALUE"""),1.0)</f>
        <v>1</v>
      </c>
      <c r="J130" s="15">
        <f>IFERROR(__xludf.DUMMYFUNCTION("""COMPUTED_VALUE"""),0.0)</f>
        <v>0</v>
      </c>
      <c r="K130" s="15">
        <f>IFERROR(__xludf.DUMMYFUNCTION("""COMPUTED_VALUE"""),0.0)</f>
        <v>0</v>
      </c>
    </row>
    <row r="131" ht="15.75" customHeight="1">
      <c r="A131" s="14" t="str">
        <f>IFERROR(__xludf.DUMMYFUNCTION("""COMPUTED_VALUE"""),"https://tivradigital.co.uk/")</f>
        <v>https://tivradigital.co.uk/</v>
      </c>
      <c r="B131" s="15" t="str">
        <f>IFERROR(__xludf.DUMMYFUNCTION("""COMPUTED_VALUE"""),"Tivra Digital Marketing - Tivra Digital")</f>
        <v>Tivra Digital Marketing - Tivra Digital</v>
      </c>
      <c r="C131" s="14" t="str">
        <f>IFERROR(__xludf.DUMMYFUNCTION("""COMPUTED_VALUE"""),"tivradigital.co.uk")</f>
        <v>tivradigital.co.uk</v>
      </c>
      <c r="D131" s="15" t="str">
        <f>IFERROR(__xludf.DUMMYFUNCTION("""COMPUTED_VALUE"""),"HOMEPAGE")</f>
        <v>HOMEPAGE</v>
      </c>
      <c r="E131" s="15" t="str">
        <f>IFERROR(__xludf.DUMMYFUNCTION("""COMPUTED_VALUE"""),"CORPORATE")</f>
        <v>CORPORATE</v>
      </c>
      <c r="F131" s="15" t="str">
        <f>IFERROR(__xludf.DUMMYFUNCTION("""COMPUTED_VALUE"""),"Homepage")</f>
        <v>Homepage</v>
      </c>
      <c r="G131" s="15" t="b">
        <f>IFERROR(__xludf.DUMMYFUNCTION("""COMPUTED_VALUE"""),FALSE)</f>
        <v>0</v>
      </c>
      <c r="H131" s="15" t="str">
        <f>IFERROR(__xludf.DUMMYFUNCTION("""COMPUTED_VALUE"""),"Transmission")</f>
        <v>Transmission</v>
      </c>
      <c r="I131" s="15">
        <f>IFERROR(__xludf.DUMMYFUNCTION("""COMPUTED_VALUE"""),1.0)</f>
        <v>1</v>
      </c>
      <c r="J131" s="15">
        <f>IFERROR(__xludf.DUMMYFUNCTION("""COMPUTED_VALUE"""),0.0)</f>
        <v>0</v>
      </c>
      <c r="K131" s="15">
        <f>IFERROR(__xludf.DUMMYFUNCTION("""COMPUTED_VALUE"""),1.0)</f>
        <v>1</v>
      </c>
    </row>
    <row r="132" ht="15.75" customHeight="1">
      <c r="A132" s="14" t="str">
        <f>IFERROR(__xludf.DUMMYFUNCTION("""COMPUTED_VALUE"""),"https://topgeoagencies.com/")</f>
        <v>https://topgeoagencies.com/</v>
      </c>
      <c r="B132" s="15" t="str">
        <f>IFERROR(__xludf.DUMMYFUNCTION("""COMPUTED_VALUE"""),"The GEO 250 — Best Generative Engine Optimization (GEO) Agencies | TopGEOAgencies.com")</f>
        <v>The GEO 250 — Best Generative Engine Optimization (GEO) Agencies | TopGEOAgencies.com</v>
      </c>
      <c r="C132" s="14" t="str">
        <f>IFERROR(__xludf.DUMMYFUNCTION("""COMPUTED_VALUE"""),"topgeoagencies.com")</f>
        <v>topgeoagencies.com</v>
      </c>
      <c r="D132" s="15" t="str">
        <f>IFERROR(__xludf.DUMMYFUNCTION("""COMPUTED_VALUE"""),"HOMEPAGE")</f>
        <v>HOMEPAGE</v>
      </c>
      <c r="E132" s="15" t="str">
        <f>IFERROR(__xludf.DUMMYFUNCTION("""COMPUTED_VALUE"""),"CORPORATE")</f>
        <v>CORPORATE</v>
      </c>
      <c r="F132" s="15" t="str">
        <f>IFERROR(__xludf.DUMMYFUNCTION("""COMPUTED_VALUE"""),"Homepage")</f>
        <v>Homepage</v>
      </c>
      <c r="G132" s="15" t="b">
        <f>IFERROR(__xludf.DUMMYFUNCTION("""COMPUTED_VALUE"""),FALSE)</f>
        <v>0</v>
      </c>
      <c r="H132" s="15" t="str">
        <f>IFERROR(__xludf.DUMMYFUNCTION("""COMPUTED_VALUE"""),"Siege Media")</f>
        <v>Siege Media</v>
      </c>
      <c r="I132" s="15">
        <f>IFERROR(__xludf.DUMMYFUNCTION("""COMPUTED_VALUE"""),1.0)</f>
        <v>1</v>
      </c>
      <c r="J132" s="15">
        <f>IFERROR(__xludf.DUMMYFUNCTION("""COMPUTED_VALUE"""),0.0)</f>
        <v>0</v>
      </c>
      <c r="K132" s="15">
        <f>IFERROR(__xludf.DUMMYFUNCTION("""COMPUTED_VALUE"""),0.0)</f>
        <v>0</v>
      </c>
    </row>
    <row r="133" ht="15.75" customHeight="1">
      <c r="A133" s="14" t="str">
        <f>IFERROR(__xludf.DUMMYFUNCTION("""COMPUTED_VALUE"""),"https://tryinhouse.co/")</f>
        <v>https://tryinhouse.co/</v>
      </c>
      <c r="B133" s="15"/>
      <c r="C133" s="14" t="str">
        <f>IFERROR(__xludf.DUMMYFUNCTION("""COMPUTED_VALUE"""),"tryinhouse.co")</f>
        <v>tryinhouse.co</v>
      </c>
      <c r="D133" s="15" t="str">
        <f>IFERROR(__xludf.DUMMYFUNCTION("""COMPUTED_VALUE"""),"HOMEPAGE")</f>
        <v>HOMEPAGE</v>
      </c>
      <c r="E133" s="15" t="str">
        <f>IFERROR(__xludf.DUMMYFUNCTION("""COMPUTED_VALUE"""),"CORPORATE")</f>
        <v>CORPORATE</v>
      </c>
      <c r="F133" s="15" t="str">
        <f>IFERROR(__xludf.DUMMYFUNCTION("""COMPUTED_VALUE"""),"Homepage")</f>
        <v>Homepage</v>
      </c>
      <c r="G133" s="15"/>
      <c r="H133" s="15" t="str">
        <f>IFERROR(__xludf.DUMMYFUNCTION("""COMPUTED_VALUE"""),"Unknown")</f>
        <v>Unknown</v>
      </c>
      <c r="I133" s="15">
        <f>IFERROR(__xludf.DUMMYFUNCTION("""COMPUTED_VALUE"""),1.0)</f>
        <v>1</v>
      </c>
      <c r="J133" s="15">
        <f>IFERROR(__xludf.DUMMYFUNCTION("""COMPUTED_VALUE"""),0.0)</f>
        <v>0</v>
      </c>
      <c r="K133" s="15">
        <f>IFERROR(__xludf.DUMMYFUNCTION("""COMPUTED_VALUE"""),0.0)</f>
        <v>0</v>
      </c>
    </row>
    <row r="134" ht="15.75" customHeight="1">
      <c r="A134" s="14" t="str">
        <f>IFERROR(__xludf.DUMMYFUNCTION("""COMPUTED_VALUE"""),"https://www.vertius.com/")</f>
        <v>https://www.vertius.com/</v>
      </c>
      <c r="B134" s="15" t="str">
        <f>IFERROR(__xludf.DUMMYFUNCTION("""COMPUTED_VALUE"""),"Vertius | Practitioner-Led AI Consulting for Enterprise")</f>
        <v>Vertius | Practitioner-Led AI Consulting for Enterprise</v>
      </c>
      <c r="C134" s="14" t="str">
        <f>IFERROR(__xludf.DUMMYFUNCTION("""COMPUTED_VALUE"""),"vertius.com")</f>
        <v>vertius.com</v>
      </c>
      <c r="D134" s="15" t="str">
        <f>IFERROR(__xludf.DUMMYFUNCTION("""COMPUTED_VALUE"""),"HOMEPAGE")</f>
        <v>HOMEPAGE</v>
      </c>
      <c r="E134" s="15" t="str">
        <f>IFERROR(__xludf.DUMMYFUNCTION("""COMPUTED_VALUE"""),"CORPORATE")</f>
        <v>CORPORATE</v>
      </c>
      <c r="F134" s="15" t="str">
        <f>IFERROR(__xludf.DUMMYFUNCTION("""COMPUTED_VALUE"""),"Homepage")</f>
        <v>Homepage</v>
      </c>
      <c r="G134" s="15" t="b">
        <f>IFERROR(__xludf.DUMMYFUNCTION("""COMPUTED_VALUE"""),FALSE)</f>
        <v>0</v>
      </c>
      <c r="H134" s="15"/>
      <c r="I134" s="15">
        <f>IFERROR(__xludf.DUMMYFUNCTION("""COMPUTED_VALUE"""),1.0)</f>
        <v>1</v>
      </c>
      <c r="J134" s="15">
        <f>IFERROR(__xludf.DUMMYFUNCTION("""COMPUTED_VALUE"""),0.0)</f>
        <v>0</v>
      </c>
      <c r="K134" s="15">
        <f>IFERROR(__xludf.DUMMYFUNCTION("""COMPUTED_VALUE"""),0.0)</f>
        <v>0</v>
      </c>
    </row>
    <row r="135" ht="15.75" customHeight="1">
      <c r="A135" s="14" t="str">
        <f>IFERROR(__xludf.DUMMYFUNCTION("""COMPUTED_VALUE"""),"https://videofactory.agency/")</f>
        <v>https://videofactory.agency/</v>
      </c>
      <c r="B135" s="15" t="str">
        <f>IFERROR(__xludf.DUMMYFUNCTION("""COMPUTED_VALUE"""),"Video Factory - Infrastructure to scale ads")</f>
        <v>Video Factory - Infrastructure to scale ads</v>
      </c>
      <c r="C135" s="15" t="str">
        <f>IFERROR(__xludf.DUMMYFUNCTION("""COMPUTED_VALUE"""),"videofactory.agency")</f>
        <v>videofactory.agency</v>
      </c>
      <c r="D135" s="15" t="str">
        <f>IFERROR(__xludf.DUMMYFUNCTION("""COMPUTED_VALUE"""),"HOMEPAGE")</f>
        <v>HOMEPAGE</v>
      </c>
      <c r="E135" s="15" t="str">
        <f>IFERROR(__xludf.DUMMYFUNCTION("""COMPUTED_VALUE"""),"CORPORATE")</f>
        <v>CORPORATE</v>
      </c>
      <c r="F135" s="15" t="str">
        <f>IFERROR(__xludf.DUMMYFUNCTION("""COMPUTED_VALUE"""),"Homepage")</f>
        <v>Homepage</v>
      </c>
      <c r="G135" s="15" t="b">
        <f>IFERROR(__xludf.DUMMYFUNCTION("""COMPUTED_VALUE"""),FALSE)</f>
        <v>0</v>
      </c>
      <c r="H135" s="15"/>
      <c r="I135" s="15">
        <f>IFERROR(__xludf.DUMMYFUNCTION("""COMPUTED_VALUE"""),1.0)</f>
        <v>1</v>
      </c>
      <c r="J135" s="15">
        <f>IFERROR(__xludf.DUMMYFUNCTION("""COMPUTED_VALUE"""),0.0)</f>
        <v>0</v>
      </c>
      <c r="K135" s="15">
        <f>IFERROR(__xludf.DUMMYFUNCTION("""COMPUTED_VALUE"""),0.0)</f>
        <v>0</v>
      </c>
    </row>
    <row r="136" ht="15.75" customHeight="1">
      <c r="A136" s="14" t="str">
        <f>IFERROR(__xludf.DUMMYFUNCTION("""COMPUTED_VALUE"""),"https://www.vxtx.co.uk/")</f>
        <v>https://www.vxtx.co.uk/</v>
      </c>
      <c r="B136" s="15" t="str">
        <f>IFERROR(__xludf.DUMMYFUNCTION("""COMPUTED_VALUE"""),"Data-Driven Performance Marketing | VXTX Performance Marketing")</f>
        <v>Data-Driven Performance Marketing | VXTX Performance Marketing</v>
      </c>
      <c r="C136" s="14" t="str">
        <f>IFERROR(__xludf.DUMMYFUNCTION("""COMPUTED_VALUE"""),"vxtx.co.uk")</f>
        <v>vxtx.co.uk</v>
      </c>
      <c r="D136" s="15" t="str">
        <f>IFERROR(__xludf.DUMMYFUNCTION("""COMPUTED_VALUE"""),"HOMEPAGE")</f>
        <v>HOMEPAGE</v>
      </c>
      <c r="E136" s="15" t="str">
        <f>IFERROR(__xludf.DUMMYFUNCTION("""COMPUTED_VALUE"""),"COMPETITOR")</f>
        <v>COMPETITOR</v>
      </c>
      <c r="F136" s="15" t="str">
        <f>IFERROR(__xludf.DUMMYFUNCTION("""COMPUTED_VALUE"""),"Homepage")</f>
        <v>Homepage</v>
      </c>
      <c r="G136" s="15" t="b">
        <f>IFERROR(__xludf.DUMMYFUNCTION("""COMPUTED_VALUE"""),FALSE)</f>
        <v>0</v>
      </c>
      <c r="H136" s="15" t="str">
        <f>IFERROR(__xludf.DUMMYFUNCTION("""COMPUTED_VALUE"""),"VXTX, Pablo")</f>
        <v>VXTX, Pablo</v>
      </c>
      <c r="I136" s="15">
        <f>IFERROR(__xludf.DUMMYFUNCTION("""COMPUTED_VALUE"""),1.0)</f>
        <v>1</v>
      </c>
      <c r="J136" s="15">
        <f>IFERROR(__xludf.DUMMYFUNCTION("""COMPUTED_VALUE"""),0.0)</f>
        <v>0</v>
      </c>
      <c r="K136" s="15">
        <f>IFERROR(__xludf.DUMMYFUNCTION("""COMPUTED_VALUE"""),0.0)</f>
        <v>0</v>
      </c>
    </row>
    <row r="137" ht="15.75" customHeight="1">
      <c r="A137" s="14" t="str">
        <f>IFERROR(__xludf.DUMMYFUNCTION("""COMPUTED_VALUE"""),"https://www.wearema.com/")</f>
        <v>https://www.wearema.com/</v>
      </c>
      <c r="B137" s="15" t="str">
        <f>IFERROR(__xludf.DUMMYFUNCTION("""COMPUTED_VALUE"""),"ma - Independent Full Service Media &amp;amp; Creative Agency")</f>
        <v>ma - Independent Full Service Media &amp;amp; Creative Agency</v>
      </c>
      <c r="C137" s="14" t="str">
        <f>IFERROR(__xludf.DUMMYFUNCTION("""COMPUTED_VALUE"""),"wearema.com")</f>
        <v>wearema.com</v>
      </c>
      <c r="D137" s="15" t="str">
        <f>IFERROR(__xludf.DUMMYFUNCTION("""COMPUTED_VALUE"""),"HOMEPAGE")</f>
        <v>HOMEPAGE</v>
      </c>
      <c r="E137" s="15" t="str">
        <f>IFERROR(__xludf.DUMMYFUNCTION("""COMPUTED_VALUE"""),"CORPORATE")</f>
        <v>CORPORATE</v>
      </c>
      <c r="F137" s="15" t="str">
        <f>IFERROR(__xludf.DUMMYFUNCTION("""COMPUTED_VALUE"""),"Homepage")</f>
        <v>Homepage</v>
      </c>
      <c r="G137" s="15" t="b">
        <f>IFERROR(__xludf.DUMMYFUNCTION("""COMPUTED_VALUE"""),FALSE)</f>
        <v>0</v>
      </c>
      <c r="H137" s="15"/>
      <c r="I137" s="15">
        <f>IFERROR(__xludf.DUMMYFUNCTION("""COMPUTED_VALUE"""),1.0)</f>
        <v>1</v>
      </c>
      <c r="J137" s="15">
        <f>IFERROR(__xludf.DUMMYFUNCTION("""COMPUTED_VALUE"""),0.0)</f>
        <v>0</v>
      </c>
      <c r="K137" s="15">
        <f>IFERROR(__xludf.DUMMYFUNCTION("""COMPUTED_VALUE"""),0.0)</f>
        <v>0</v>
      </c>
    </row>
    <row r="138" ht="15.75" customHeight="1">
      <c r="A138" s="14" t="str">
        <f>IFERROR(__xludf.DUMMYFUNCTION("""COMPUTED_VALUE"""),"https://www.wearemetric.co.uk/")</f>
        <v>https://www.wearemetric.co.uk/</v>
      </c>
      <c r="B138" s="15"/>
      <c r="C138" s="14" t="str">
        <f>IFERROR(__xludf.DUMMYFUNCTION("""COMPUTED_VALUE"""),"wearemetric.co.uk")</f>
        <v>wearemetric.co.uk</v>
      </c>
      <c r="D138" s="15" t="str">
        <f>IFERROR(__xludf.DUMMYFUNCTION("""COMPUTED_VALUE"""),"HOMEPAGE")</f>
        <v>HOMEPAGE</v>
      </c>
      <c r="E138" s="15" t="str">
        <f>IFERROR(__xludf.DUMMYFUNCTION("""COMPUTED_VALUE"""),"CORPORATE")</f>
        <v>CORPORATE</v>
      </c>
      <c r="F138" s="15" t="str">
        <f>IFERROR(__xludf.DUMMYFUNCTION("""COMPUTED_VALUE"""),"Homepage")</f>
        <v>Homepage</v>
      </c>
      <c r="G138" s="15"/>
      <c r="H138" s="15" t="str">
        <f>IFERROR(__xludf.DUMMYFUNCTION("""COMPUTED_VALUE"""),"Unknown")</f>
        <v>Unknown</v>
      </c>
      <c r="I138" s="15">
        <f>IFERROR(__xludf.DUMMYFUNCTION("""COMPUTED_VALUE"""),1.0)</f>
        <v>1</v>
      </c>
      <c r="J138" s="15">
        <f>IFERROR(__xludf.DUMMYFUNCTION("""COMPUTED_VALUE"""),0.0)</f>
        <v>0</v>
      </c>
      <c r="K138" s="15">
        <f>IFERROR(__xludf.DUMMYFUNCTION("""COMPUTED_VALUE"""),0.0)</f>
        <v>0</v>
      </c>
    </row>
    <row r="139" ht="15.75" customHeight="1">
      <c r="A139" s="14" t="str">
        <f>IFERROR(__xludf.DUMMYFUNCTION("""COMPUTED_VALUE"""),"https://www.wearespark.ai/#:~:text=We%20work%20with%20you%20to%20build%20the%20skills%2C%20governance%20and,across%20people%2C%20process%20and%20systems")</f>
        <v>https://www.wearespark.ai/#:~:text=We%20work%20with%20you%20to%20build%20the%20skills%2C%20governance%20and,across%20people%2C%20process%20and%20systems</v>
      </c>
      <c r="B139" s="15" t="str">
        <f>IFERROR(__xludf.DUMMYFUNCTION("""COMPUTED_VALUE"""),"Spark AI - Leading AI Consultancy for Creative Agencies and Brand Teams | AI Training, Transformation, Workshops and Workflow Builds")</f>
        <v>Spark AI - Leading AI Consultancy for Creative Agencies and Brand Teams | AI Training, Transformation, Workshops and Workflow Builds</v>
      </c>
      <c r="C139" s="14" t="str">
        <f>IFERROR(__xludf.DUMMYFUNCTION("""COMPUTED_VALUE"""),"wearespark.ai")</f>
        <v>wearespark.ai</v>
      </c>
      <c r="D139" s="15" t="str">
        <f>IFERROR(__xludf.DUMMYFUNCTION("""COMPUTED_VALUE"""),"HOMEPAGE")</f>
        <v>HOMEPAGE</v>
      </c>
      <c r="E139" s="15" t="str">
        <f>IFERROR(__xludf.DUMMYFUNCTION("""COMPUTED_VALUE"""),"CORPORATE")</f>
        <v>CORPORATE</v>
      </c>
      <c r="F139" s="15" t="str">
        <f>IFERROR(__xludf.DUMMYFUNCTION("""COMPUTED_VALUE"""),"Homepage")</f>
        <v>Homepage</v>
      </c>
      <c r="G139" s="15" t="b">
        <f>IFERROR(__xludf.DUMMYFUNCTION("""COMPUTED_VALUE"""),FALSE)</f>
        <v>0</v>
      </c>
      <c r="H139" s="15"/>
      <c r="I139" s="15">
        <f>IFERROR(__xludf.DUMMYFUNCTION("""COMPUTED_VALUE"""),1.0)</f>
        <v>1</v>
      </c>
      <c r="J139" s="15">
        <f>IFERROR(__xludf.DUMMYFUNCTION("""COMPUTED_VALUE"""),0.0)</f>
        <v>0</v>
      </c>
      <c r="K139" s="15">
        <f>IFERROR(__xludf.DUMMYFUNCTION("""COMPUTED_VALUE"""),3.0)</f>
        <v>3</v>
      </c>
    </row>
    <row r="140" ht="15.75" customHeight="1">
      <c r="A140" s="14" t="str">
        <f>IFERROR(__xludf.DUMMYFUNCTION("""COMPUTED_VALUE"""),"https://workingmedia.com/")</f>
        <v>https://workingmedia.com/</v>
      </c>
      <c r="B140" s="15" t="str">
        <f>IFERROR(__xludf.DUMMYFUNCTION("""COMPUTED_VALUE"""),"Home - Working Media")</f>
        <v>Home - Working Media</v>
      </c>
      <c r="C140" s="14" t="str">
        <f>IFERROR(__xludf.DUMMYFUNCTION("""COMPUTED_VALUE"""),"workingmedia.com")</f>
        <v>workingmedia.com</v>
      </c>
      <c r="D140" s="15" t="str">
        <f>IFERROR(__xludf.DUMMYFUNCTION("""COMPUTED_VALUE"""),"HOMEPAGE")</f>
        <v>HOMEPAGE</v>
      </c>
      <c r="E140" s="15" t="str">
        <f>IFERROR(__xludf.DUMMYFUNCTION("""COMPUTED_VALUE"""),"CORPORATE")</f>
        <v>CORPORATE</v>
      </c>
      <c r="F140" s="15" t="str">
        <f>IFERROR(__xludf.DUMMYFUNCTION("""COMPUTED_VALUE"""),"Homepage")</f>
        <v>Homepage</v>
      </c>
      <c r="G140" s="15" t="b">
        <f>IFERROR(__xludf.DUMMYFUNCTION("""COMPUTED_VALUE"""),FALSE)</f>
        <v>0</v>
      </c>
      <c r="H140" s="15"/>
      <c r="I140" s="15">
        <f>IFERROR(__xludf.DUMMYFUNCTION("""COMPUTED_VALUE"""),1.0)</f>
        <v>1</v>
      </c>
      <c r="J140" s="15">
        <f>IFERROR(__xludf.DUMMYFUNCTION("""COMPUTED_VALUE"""),0.0)</f>
        <v>0</v>
      </c>
      <c r="K140" s="15">
        <f>IFERROR(__xludf.DUMMYFUNCTION("""COMPUTED_VALUE"""),1.0)</f>
        <v>1</v>
      </c>
    </row>
    <row r="141" ht="15.75" customHeight="1">
      <c r="A141" s="14" t="str">
        <f>IFERROR(__xludf.DUMMYFUNCTION("""COMPUTED_VALUE"""),"https://www.workmagic.io/")</f>
        <v>https://www.workmagic.io/</v>
      </c>
      <c r="B141" s="15" t="str">
        <f>IFERROR(__xludf.DUMMYFUNCTION("""COMPUTED_VALUE"""),"WorkMagic | Growth by Science")</f>
        <v>WorkMagic | Growth by Science</v>
      </c>
      <c r="C141" s="14" t="str">
        <f>IFERROR(__xludf.DUMMYFUNCTION("""COMPUTED_VALUE"""),"workmagic.io")</f>
        <v>workmagic.io</v>
      </c>
      <c r="D141" s="15" t="str">
        <f>IFERROR(__xludf.DUMMYFUNCTION("""COMPUTED_VALUE"""),"HOMEPAGE")</f>
        <v>HOMEPAGE</v>
      </c>
      <c r="E141" s="15" t="str">
        <f>IFERROR(__xludf.DUMMYFUNCTION("""COMPUTED_VALUE"""),"CORPORATE")</f>
        <v>CORPORATE</v>
      </c>
      <c r="F141" s="15" t="str">
        <f>IFERROR(__xludf.DUMMYFUNCTION("""COMPUTED_VALUE"""),"Homepage")</f>
        <v>Homepage</v>
      </c>
      <c r="G141" s="15" t="b">
        <f>IFERROR(__xludf.DUMMYFUNCTION("""COMPUTED_VALUE"""),FALSE)</f>
        <v>0</v>
      </c>
      <c r="H141" s="15" t="str">
        <f>IFERROR(__xludf.DUMMYFUNCTION("""COMPUTED_VALUE"""),"Measured")</f>
        <v>Measured</v>
      </c>
      <c r="I141" s="15">
        <f>IFERROR(__xludf.DUMMYFUNCTION("""COMPUTED_VALUE"""),1.0)</f>
        <v>1</v>
      </c>
      <c r="J141" s="15">
        <f>IFERROR(__xludf.DUMMYFUNCTION("""COMPUTED_VALUE"""),0.0)</f>
        <v>0</v>
      </c>
      <c r="K141" s="15">
        <f>IFERROR(__xludf.DUMMYFUNCTION("""COMPUTED_VALUE"""),0.0)</f>
        <v>0</v>
      </c>
    </row>
    <row r="142" ht="15.75" customHeight="1">
      <c r="A142" s="14" t="str">
        <f>IFERROR(__xludf.DUMMYFUNCTION("""COMPUTED_VALUE"""),"https://www.zealcreative.com/")</f>
        <v>https://www.zealcreative.com/</v>
      </c>
      <c r="B142" s="15" t="str">
        <f>IFERROR(__xludf.DUMMYFUNCTION("""COMPUTED_VALUE"""),"ZEAL Creative | Integrated Marketing Agency")</f>
        <v>ZEAL Creative | Integrated Marketing Agency</v>
      </c>
      <c r="C142" s="14" t="str">
        <f>IFERROR(__xludf.DUMMYFUNCTION("""COMPUTED_VALUE"""),"zealcreative.com")</f>
        <v>zealcreative.com</v>
      </c>
      <c r="D142" s="15" t="str">
        <f>IFERROR(__xludf.DUMMYFUNCTION("""COMPUTED_VALUE"""),"HOMEPAGE")</f>
        <v>HOMEPAGE</v>
      </c>
      <c r="E142" s="15" t="str">
        <f>IFERROR(__xludf.DUMMYFUNCTION("""COMPUTED_VALUE"""),"CORPORATE")</f>
        <v>CORPORATE</v>
      </c>
      <c r="F142" s="15" t="str">
        <f>IFERROR(__xludf.DUMMYFUNCTION("""COMPUTED_VALUE"""),"Homepage")</f>
        <v>Homepage</v>
      </c>
      <c r="G142" s="15" t="b">
        <f>IFERROR(__xludf.DUMMYFUNCTION("""COMPUTED_VALUE"""),FALSE)</f>
        <v>0</v>
      </c>
      <c r="H142" s="15"/>
      <c r="I142" s="15">
        <f>IFERROR(__xludf.DUMMYFUNCTION("""COMPUTED_VALUE"""),1.0)</f>
        <v>1</v>
      </c>
      <c r="J142" s="15">
        <f>IFERROR(__xludf.DUMMYFUNCTION("""COMPUTED_VALUE"""),0.0)</f>
        <v>0</v>
      </c>
      <c r="K142" s="15">
        <f>IFERROR(__xludf.DUMMYFUNCTION("""COMPUTED_VALUE"""),0.0)</f>
        <v>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Found%20is%20the%20AI%2Dfirst,performance%20across%20every%20searchable%20platform."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C43"/>
    <hyperlink r:id="rId83" location=":~:text=Data%2Ddriven%20digital%20redesign%20of,for%20over%20half%20a%20century." ref="A44"/>
    <hyperlink r:id="rId84" ref="C44"/>
    <hyperlink r:id="rId85" ref="A45"/>
    <hyperlink r:id="rId86" ref="C45"/>
    <hyperlink r:id="rId87" location=":~:text=Why%20Choose%20Vision%20One%20as,%2C%20competitor%20analysis%2C%20and%20forecasting." ref="A46"/>
    <hyperlink r:id="rId88" ref="C46"/>
    <hyperlink r:id="rId89" ref="A47"/>
    <hyperlink r:id="rId90" ref="C47"/>
    <hyperlink r:id="rId91" ref="A48"/>
    <hyperlink r:id="rId92" ref="C48"/>
    <hyperlink r:id="rId93" ref="A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C58"/>
    <hyperlink r:id="rId112" ref="A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location=":~:text=Audigent%20%7C%20The%20Leading%20Data%20Activation,activation%2C%20curation%20and%20identity%20platform." ref="A67"/>
    <hyperlink r:id="rId128" ref="C67"/>
    <hyperlink r:id="rId129" ref="A68"/>
    <hyperlink r:id="rId130" ref="C68"/>
    <hyperlink r:id="rId131" ref="A69"/>
    <hyperlink r:id="rId132" ref="C69"/>
    <hyperlink r:id="rId133" ref="A70"/>
    <hyperlink r:id="rId134" ref="C70"/>
    <hyperlink r:id="rId135" ref="A71"/>
    <hyperlink r:id="rId136" ref="A72"/>
    <hyperlink r:id="rId137" ref="C72"/>
    <hyperlink r:id="rId138" ref="A73"/>
    <hyperlink r:id="rId139" ref="C73"/>
    <hyperlink r:id="rId140" location=":~:text=As%20a%20Google%20Marketing%20Platform,technology%20investment%20and%20media%20performance." ref="A74"/>
    <hyperlink r:id="rId141" ref="C74"/>
    <hyperlink r:id="rId142" ref="A75"/>
    <hyperlink r:id="rId143" ref="C75"/>
    <hyperlink r:id="rId144" ref="A76"/>
    <hyperlink r:id="rId145" ref="C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location=":~:text=We%20are%20a%20global%20marketing%20effectiveness%20and,named%20a%20Leader%20in%20The%20Forrester%20Wave%E2%84%A2%3A" ref="A94"/>
    <hyperlink r:id="rId180" ref="C94"/>
    <hyperlink r:id="rId181" ref="A95"/>
    <hyperlink r:id="rId182" ref="C95"/>
    <hyperlink r:id="rId183" ref="A96"/>
    <hyperlink r:id="rId184" ref="C96"/>
    <hyperlink r:id="rId185" ref="A97"/>
    <hyperlink r:id="rId186" ref="C97"/>
    <hyperlink r:id="rId187" ref="A98"/>
    <hyperlink r:id="rId188" ref="A99"/>
    <hyperlink r:id="rId189" ref="C99"/>
    <hyperlink r:id="rId190" ref="A100"/>
    <hyperlink r:id="rId191" ref="C100"/>
    <hyperlink r:id="rId192" ref="A101"/>
    <hyperlink r:id="rId193" ref="C101"/>
    <hyperlink r:id="rId194" ref="A102"/>
    <hyperlink r:id="rId195" ref="C102"/>
    <hyperlink r:id="rId196" ref="A103"/>
    <hyperlink r:id="rId197" ref="C103"/>
    <hyperlink r:id="rId198" ref="A104"/>
    <hyperlink r:id="rId199" ref="C104"/>
    <hyperlink r:id="rId200" ref="A105"/>
    <hyperlink r:id="rId201" ref="C105"/>
    <hyperlink r:id="rId202" ref="A106"/>
    <hyperlink r:id="rId203" ref="C106"/>
    <hyperlink r:id="rId204" ref="A107"/>
    <hyperlink r:id="rId205" ref="C107"/>
    <hyperlink r:id="rId206" ref="A108"/>
    <hyperlink r:id="rId207" ref="C108"/>
    <hyperlink r:id="rId208" ref="A109"/>
    <hyperlink r:id="rId209" ref="C109"/>
    <hyperlink r:id="rId210" ref="A110"/>
    <hyperlink r:id="rId211" ref="C110"/>
    <hyperlink r:id="rId212" ref="A111"/>
    <hyperlink r:id="rId213" ref="C111"/>
    <hyperlink r:id="rId214" ref="A112"/>
    <hyperlink r:id="rId215" ref="A113"/>
    <hyperlink r:id="rId216" ref="A114"/>
    <hyperlink r:id="rId217" ref="C114"/>
    <hyperlink r:id="rId218" ref="A115"/>
    <hyperlink r:id="rId219" ref="A116"/>
    <hyperlink r:id="rId220" ref="C116"/>
    <hyperlink r:id="rId221" ref="A117"/>
    <hyperlink r:id="rId222" ref="C117"/>
    <hyperlink r:id="rId223" ref="A118"/>
    <hyperlink r:id="rId224" ref="C118"/>
    <hyperlink r:id="rId225" ref="A119"/>
    <hyperlink r:id="rId226" ref="C119"/>
    <hyperlink r:id="rId227" ref="A120"/>
    <hyperlink r:id="rId228" ref="C120"/>
    <hyperlink r:id="rId229" ref="A121"/>
    <hyperlink r:id="rId230" ref="C121"/>
    <hyperlink r:id="rId231" ref="A122"/>
    <hyperlink r:id="rId232" ref="C122"/>
    <hyperlink r:id="rId233" ref="A123"/>
    <hyperlink r:id="rId234" ref="C123"/>
    <hyperlink r:id="rId235" ref="A124"/>
    <hyperlink r:id="rId236" ref="C124"/>
    <hyperlink r:id="rId237" ref="A125"/>
    <hyperlink r:id="rId238" ref="A126"/>
    <hyperlink r:id="rId239" ref="C126"/>
    <hyperlink r:id="rId240" ref="A127"/>
    <hyperlink r:id="rId241" ref="C127"/>
    <hyperlink r:id="rId242" ref="A128"/>
    <hyperlink r:id="rId243" ref="C128"/>
    <hyperlink r:id="rId244" ref="A129"/>
    <hyperlink r:id="rId245" ref="C129"/>
    <hyperlink r:id="rId246" ref="A130"/>
    <hyperlink r:id="rId247" ref="C130"/>
    <hyperlink r:id="rId248" ref="A131"/>
    <hyperlink r:id="rId249" ref="C131"/>
    <hyperlink r:id="rId250" ref="A132"/>
    <hyperlink r:id="rId251" ref="C132"/>
    <hyperlink r:id="rId252" ref="A133"/>
    <hyperlink r:id="rId253" ref="C133"/>
    <hyperlink r:id="rId254" ref="A134"/>
    <hyperlink r:id="rId255" ref="C134"/>
    <hyperlink r:id="rId256" ref="A135"/>
    <hyperlink r:id="rId257" ref="A136"/>
    <hyperlink r:id="rId258" ref="C136"/>
    <hyperlink r:id="rId259" ref="A137"/>
    <hyperlink r:id="rId260" ref="C137"/>
    <hyperlink r:id="rId261" ref="A138"/>
    <hyperlink r:id="rId262" ref="C138"/>
    <hyperlink r:id="rId263" location=":~:text=We%20work%20with%20you%20to%20build%20the%20skills%2C%20governance%20and,across%20people%2C%20process%20and%20systems" ref="A139"/>
    <hyperlink r:id="rId264" ref="C139"/>
    <hyperlink r:id="rId265" ref="A140"/>
    <hyperlink r:id="rId266" ref="C140"/>
    <hyperlink r:id="rId267" ref="A141"/>
    <hyperlink r:id="rId268" ref="C141"/>
    <hyperlink r:id="rId269" ref="A142"/>
    <hyperlink r:id="rId270" ref="C142"/>
  </hyperlinks>
  <drawing r:id="rId27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60.88"/>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All'!D2:D1000)))=""HOW_TO_GUIDE""
  ),
  """"
)"),"https://helium42.com/blog/ai-consultancy-uk-guide")</f>
        <v>https://helium42.com/blog/ai-consultancy-uk-guide</v>
      </c>
      <c r="B2" s="15" t="str">
        <f>IFERROR(__xludf.DUMMYFUNCTION("""COMPUTED_VALUE"""),"AI Consultancy UK: Costs, Pricing Models and Firm Comparison (2026 Guide)")</f>
        <v>AI Consultancy UK: Costs, Pricing Models and Firm Comparison (2026 Guide)</v>
      </c>
      <c r="C2" s="14" t="str">
        <f>IFERROR(__xludf.DUMMYFUNCTION("""COMPUTED_VALUE"""),"helium42.com")</f>
        <v>helium42.com</v>
      </c>
      <c r="D2" s="15" t="str">
        <f>IFERROR(__xludf.DUMMYFUNCTION("""COMPUTED_VALUE"""),"HOW_TO_GUIDE")</f>
        <v>HOW_TO_GUIDE</v>
      </c>
      <c r="E2" s="15" t="str">
        <f>IFERROR(__xludf.DUMMYFUNCTION("""COMPUTED_VALUE"""),"CORPORATE")</f>
        <v>CORPORATE</v>
      </c>
      <c r="F2" s="15" t="str">
        <f>IFERROR(__xludf.DUMMYFUNCTION("""COMPUTED_VALUE"""),"How-To Guide")</f>
        <v>How-To Guide</v>
      </c>
      <c r="G2" s="15" t="b">
        <f>IFERROR(__xludf.DUMMYFUNCTION("""COMPUTED_VALUE"""),FALSE)</f>
        <v>0</v>
      </c>
      <c r="H2" s="15" t="str">
        <f>IFERROR(__xludf.DUMMYFUNCTION("""COMPUTED_VALUE"""),"Measured, PwC, EY, Push")</f>
        <v>Measured, PwC, EY, Push</v>
      </c>
      <c r="I2" s="15">
        <f>IFERROR(__xludf.DUMMYFUNCTION("""COMPUTED_VALUE"""),21.0)</f>
        <v>21</v>
      </c>
      <c r="J2" s="15">
        <f>IFERROR(__xludf.DUMMYFUNCTION("""COMPUTED_VALUE"""),0.02)</f>
        <v>0.02</v>
      </c>
      <c r="K2" s="15">
        <f>IFERROR(__xludf.DUMMYFUNCTION("""COMPUTED_VALUE"""),1.52)</f>
        <v>1.52</v>
      </c>
    </row>
    <row r="3" ht="15.75" customHeight="1">
      <c r="A3" s="14" t="str">
        <f>IFERROR(__xludf.DUMMYFUNCTION("""COMPUTED_VALUE"""),"https://business.google.com/uk/think/measurement/incrementality-testing/")</f>
        <v>https://business.google.com/uk/think/measurement/incrementality-testing/</v>
      </c>
      <c r="B3" s="15" t="str">
        <f>IFERROR(__xludf.DUMMYFUNCTION("""COMPUTED_VALUE"""),"Use incrementality testing for effective marketing measurement")</f>
        <v>Use incrementality testing for effective marketing measurement</v>
      </c>
      <c r="C3" s="14" t="str">
        <f>IFERROR(__xludf.DUMMYFUNCTION("""COMPUTED_VALUE"""),"google.com")</f>
        <v>google.com</v>
      </c>
      <c r="D3" s="15" t="str">
        <f>IFERROR(__xludf.DUMMYFUNCTION("""COMPUTED_VALUE"""),"HOW_TO_GUIDE")</f>
        <v>HOW_TO_GUIDE</v>
      </c>
      <c r="E3" s="15" t="str">
        <f>IFERROR(__xludf.DUMMYFUNCTION("""COMPUTED_VALUE"""),"OTHER")</f>
        <v>OTHER</v>
      </c>
      <c r="F3" s="15" t="str">
        <f>IFERROR(__xludf.DUMMYFUNCTION("""COMPUTED_VALUE"""),"How-To Guide")</f>
        <v>How-To Guide</v>
      </c>
      <c r="G3" s="15" t="b">
        <f>IFERROR(__xludf.DUMMYFUNCTION("""COMPUTED_VALUE"""),FALSE)</f>
        <v>0</v>
      </c>
      <c r="H3" s="15"/>
      <c r="I3" s="15">
        <f>IFERROR(__xludf.DUMMYFUNCTION("""COMPUTED_VALUE"""),18.0)</f>
        <v>18</v>
      </c>
      <c r="J3" s="15">
        <f>IFERROR(__xludf.DUMMYFUNCTION("""COMPUTED_VALUE"""),0.02)</f>
        <v>0.02</v>
      </c>
      <c r="K3" s="15">
        <f>IFERROR(__xludf.DUMMYFUNCTION("""COMPUTED_VALUE"""),0.17)</f>
        <v>0.17</v>
      </c>
    </row>
    <row r="4" ht="15.75" customHeight="1">
      <c r="A4" s="14" t="str">
        <f>IFERROR(__xludf.DUMMYFUNCTION("""COMPUTED_VALUE"""),"https://www.stellaheystella.com/blog/incrementality-testing-platforms-the-complete-guide-to-measuring-true-marketing-impact-2025")</f>
        <v>https://www.stellaheystella.com/blog/incrementality-testing-platforms-the-complete-guide-to-measuring-true-marketing-impact-2025</v>
      </c>
      <c r="B4" s="15" t="str">
        <f>IFERROR(__xludf.DUMMYFUNCTION("""COMPUTED_VALUE"""),"Incrementality Testing Platforms: The Complete Guide to Measuring True Marketing Impact (2025) | Stella")</f>
        <v>Incrementality Testing Platforms: The Complete Guide to Measuring True Marketing Impact (2025) | Stella</v>
      </c>
      <c r="C4" s="14" t="str">
        <f>IFERROR(__xludf.DUMMYFUNCTION("""COMPUTED_VALUE"""),"stellaheystella.com")</f>
        <v>stellaheystella.com</v>
      </c>
      <c r="D4" s="15" t="str">
        <f>IFERROR(__xludf.DUMMYFUNCTION("""COMPUTED_VALUE"""),"HOW_TO_GUIDE")</f>
        <v>HOW_TO_GUIDE</v>
      </c>
      <c r="E4" s="15" t="str">
        <f>IFERROR(__xludf.DUMMYFUNCTION("""COMPUTED_VALUE"""),"CORPORATE")</f>
        <v>CORPORATE</v>
      </c>
      <c r="F4" s="15" t="str">
        <f>IFERROR(__xludf.DUMMYFUNCTION("""COMPUTED_VALUE"""),"How-To Guide")</f>
        <v>How-To Guide</v>
      </c>
      <c r="G4" s="15" t="b">
        <f>IFERROR(__xludf.DUMMYFUNCTION("""COMPUTED_VALUE"""),FALSE)</f>
        <v>0</v>
      </c>
      <c r="H4" s="15" t="str">
        <f>IFERROR(__xludf.DUMMYFUNCTION("""COMPUTED_VALUE"""),"Sellforte, Found, Measured, Haus, Northbeam, Triple Whale")</f>
        <v>Sellforte, Found, Measured, Haus, Northbeam, Triple Whale</v>
      </c>
      <c r="I4" s="15">
        <f>IFERROR(__xludf.DUMMYFUNCTION("""COMPUTED_VALUE"""),9.0)</f>
        <v>9</v>
      </c>
      <c r="J4" s="15">
        <f>IFERROR(__xludf.DUMMYFUNCTION("""COMPUTED_VALUE"""),0.01)</f>
        <v>0.01</v>
      </c>
      <c r="K4" s="15">
        <f>IFERROR(__xludf.DUMMYFUNCTION("""COMPUTED_VALUE"""),0.0)</f>
        <v>0</v>
      </c>
    </row>
    <row r="5" ht="15.75" customHeight="1">
      <c r="A5" s="14" t="str">
        <f>IFERROR(__xludf.DUMMYFUNCTION("""COMPUTED_VALUE"""),"https://www.techradar.com/pro/how-to-use-an-aeo-tool-for-your-small-business")</f>
        <v>https://www.techradar.com/pro/how-to-use-an-aeo-tool-for-your-small-business</v>
      </c>
      <c r="B5" s="15" t="str">
        <f>IFERROR(__xludf.DUMMYFUNCTION("""COMPUTED_VALUE"""),"How to use an AEO tool for your small business | TechRadar")</f>
        <v>How to use an AEO tool for your small business | TechRadar</v>
      </c>
      <c r="C5" s="14" t="str">
        <f>IFERROR(__xludf.DUMMYFUNCTION("""COMPUTED_VALUE"""),"techradar.com")</f>
        <v>techradar.com</v>
      </c>
      <c r="D5" s="15" t="str">
        <f>IFERROR(__xludf.DUMMYFUNCTION("""COMPUTED_VALUE"""),"HOW_TO_GUIDE")</f>
        <v>HOW_TO_GUIDE</v>
      </c>
      <c r="E5" s="15" t="str">
        <f>IFERROR(__xludf.DUMMYFUNCTION("""COMPUTED_VALUE"""),"EDITORIAL")</f>
        <v>EDITORIAL</v>
      </c>
      <c r="F5" s="15" t="str">
        <f>IFERROR(__xludf.DUMMYFUNCTION("""COMPUTED_VALUE"""),"How-To Guide")</f>
        <v>How-To Guide</v>
      </c>
      <c r="G5" s="15" t="b">
        <f>IFERROR(__xludf.DUMMYFUNCTION("""COMPUTED_VALUE"""),FALSE)</f>
        <v>0</v>
      </c>
      <c r="H5" s="15" t="str">
        <f>IFERROR(__xludf.DUMMYFUNCTION("""COMPUTED_VALUE"""),"Found, Huge")</f>
        <v>Found, Huge</v>
      </c>
      <c r="I5" s="15">
        <f>IFERROR(__xludf.DUMMYFUNCTION("""COMPUTED_VALUE"""),6.0)</f>
        <v>6</v>
      </c>
      <c r="J5" s="15">
        <f>IFERROR(__xludf.DUMMYFUNCTION("""COMPUTED_VALUE"""),0.01)</f>
        <v>0.01</v>
      </c>
      <c r="K5" s="15">
        <f>IFERROR(__xludf.DUMMYFUNCTION("""COMPUTED_VALUE"""),1.33)</f>
        <v>1.33</v>
      </c>
    </row>
    <row r="6" ht="15.75" customHeight="1">
      <c r="A6" s="14" t="str">
        <f>IFERROR(__xludf.DUMMYFUNCTION("""COMPUTED_VALUE"""),"https://www.triplewhale.com/blog/incrementality-testing-methods")</f>
        <v>https://www.triplewhale.com/blog/incrementality-testing-methods</v>
      </c>
      <c r="B6" s="15" t="str">
        <f>IFERROR(__xludf.DUMMYFUNCTION("""COMPUTED_VALUE"""),"A Guide to Incrementality Testing Methods: Different Ways to Measure True Marketing Impact | Triple Whale")</f>
        <v>A Guide to Incrementality Testing Methods: Different Ways to Measure True Marketing Impact | Triple Whale</v>
      </c>
      <c r="C6" s="14" t="str">
        <f>IFERROR(__xludf.DUMMYFUNCTION("""COMPUTED_VALUE"""),"triplewhale.com")</f>
        <v>triplewhale.com</v>
      </c>
      <c r="D6" s="15" t="str">
        <f>IFERROR(__xludf.DUMMYFUNCTION("""COMPUTED_VALUE"""),"HOW_TO_GUIDE")</f>
        <v>HOW_TO_GUIDE</v>
      </c>
      <c r="E6" s="15" t="str">
        <f>IFERROR(__xludf.DUMMYFUNCTION("""COMPUTED_VALUE"""),"COMPETITOR")</f>
        <v>COMPETITOR</v>
      </c>
      <c r="F6" s="15" t="str">
        <f>IFERROR(__xludf.DUMMYFUNCTION("""COMPUTED_VALUE"""),"How-To Guide")</f>
        <v>How-To Guide</v>
      </c>
      <c r="G6" s="15" t="b">
        <f>IFERROR(__xludf.DUMMYFUNCTION("""COMPUTED_VALUE"""),FALSE)</f>
        <v>0</v>
      </c>
      <c r="H6" s="15" t="str">
        <f>IFERROR(__xludf.DUMMYFUNCTION("""COMPUTED_VALUE"""),"Triple Whale, Impression")</f>
        <v>Triple Whale, Impression</v>
      </c>
      <c r="I6" s="15">
        <f>IFERROR(__xludf.DUMMYFUNCTION("""COMPUTED_VALUE"""),4.0)</f>
        <v>4</v>
      </c>
      <c r="J6" s="15">
        <f>IFERROR(__xludf.DUMMYFUNCTION("""COMPUTED_VALUE"""),0.0)</f>
        <v>0</v>
      </c>
      <c r="K6" s="15">
        <f>IFERROR(__xludf.DUMMYFUNCTION("""COMPUTED_VALUE"""),0.75)</f>
        <v>0.75</v>
      </c>
    </row>
    <row r="7" ht="15.75" customHeight="1">
      <c r="A7" s="14" t="str">
        <f>IFERROR(__xludf.DUMMYFUNCTION("""COMPUTED_VALUE"""),"https://whitehat-seo.co.uk/blog/ai-consulting-process-methodology")</f>
        <v>https://whitehat-seo.co.uk/blog/ai-consulting-process-methodology</v>
      </c>
      <c r="B7" s="15" t="str">
        <f>IFERROR(__xludf.DUMMYFUNCTION("""COMPUTED_VALUE"""),"The AI Consulting Process | Whitehat")</f>
        <v>The AI Consulting Process | Whitehat</v>
      </c>
      <c r="C7" s="14" t="str">
        <f>IFERROR(__xludf.DUMMYFUNCTION("""COMPUTED_VALUE"""),"whitehat-seo.co.uk")</f>
        <v>whitehat-seo.co.uk</v>
      </c>
      <c r="D7" s="15" t="str">
        <f>IFERROR(__xludf.DUMMYFUNCTION("""COMPUTED_VALUE"""),"HOW_TO_GUIDE")</f>
        <v>HOW_TO_GUIDE</v>
      </c>
      <c r="E7" s="15" t="str">
        <f>IFERROR(__xludf.DUMMYFUNCTION("""COMPUTED_VALUE"""),"COMPETITOR")</f>
        <v>COMPETITOR</v>
      </c>
      <c r="F7" s="15" t="str">
        <f>IFERROR(__xludf.DUMMYFUNCTION("""COMPUTED_VALUE"""),"How-To Guide")</f>
        <v>How-To Guide</v>
      </c>
      <c r="G7" s="15" t="b">
        <f>IFERROR(__xludf.DUMMYFUNCTION("""COMPUTED_VALUE"""),FALSE)</f>
        <v>0</v>
      </c>
      <c r="H7" s="15" t="str">
        <f>IFERROR(__xludf.DUMMYFUNCTION("""COMPUTED_VALUE"""),"Whitehat, QuantumBlack, EY, PwC")</f>
        <v>Whitehat, QuantumBlack, EY, PwC</v>
      </c>
      <c r="I7" s="15">
        <f>IFERROR(__xludf.DUMMYFUNCTION("""COMPUTED_VALUE"""),4.0)</f>
        <v>4</v>
      </c>
      <c r="J7" s="15">
        <f>IFERROR(__xludf.DUMMYFUNCTION("""COMPUTED_VALUE"""),0.0)</f>
        <v>0</v>
      </c>
      <c r="K7" s="15">
        <f>IFERROR(__xludf.DUMMYFUNCTION("""COMPUTED_VALUE"""),1.0)</f>
        <v>1</v>
      </c>
    </row>
    <row r="8" ht="15.75" customHeight="1">
      <c r="A8" s="14" t="str">
        <f>IFERROR(__xludf.DUMMYFUNCTION("""COMPUTED_VALUE"""),"https://aether-agency.co.uk/insights/incrementality-testing-marketing-guide-2026")</f>
        <v>https://aether-agency.co.uk/insights/incrementality-testing-marketing-guide-2026</v>
      </c>
      <c r="B8" s="15" t="str">
        <f>IFERROR(__xludf.DUMMYFUNCTION("""COMPUTED_VALUE"""),"Incrementality Testing Marketing: Complete Guide 2026 | UK")</f>
        <v>Incrementality Testing Marketing: Complete Guide 2026 | UK</v>
      </c>
      <c r="C8" s="14" t="str">
        <f>IFERROR(__xludf.DUMMYFUNCTION("""COMPUTED_VALUE"""),"aether-agency.co.uk")</f>
        <v>aether-agency.co.uk</v>
      </c>
      <c r="D8" s="15" t="str">
        <f>IFERROR(__xludf.DUMMYFUNCTION("""COMPUTED_VALUE"""),"HOW_TO_GUIDE")</f>
        <v>HOW_TO_GUIDE</v>
      </c>
      <c r="E8" s="15" t="str">
        <f>IFERROR(__xludf.DUMMYFUNCTION("""COMPUTED_VALUE"""),"CORPORATE")</f>
        <v>CORPORATE</v>
      </c>
      <c r="F8" s="15" t="str">
        <f>IFERROR(__xludf.DUMMYFUNCTION("""COMPUTED_VALUE"""),"How-To Guide")</f>
        <v>How-To Guide</v>
      </c>
      <c r="G8" s="15" t="b">
        <f>IFERROR(__xludf.DUMMYFUNCTION("""COMPUTED_VALUE"""),FALSE)</f>
        <v>0</v>
      </c>
      <c r="H8" s="15" t="str">
        <f>IFERROR(__xludf.DUMMYFUNCTION("""COMPUTED_VALUE"""),"Found")</f>
        <v>Found</v>
      </c>
      <c r="I8" s="15">
        <f>IFERROR(__xludf.DUMMYFUNCTION("""COMPUTED_VALUE"""),3.0)</f>
        <v>3</v>
      </c>
      <c r="J8" s="15">
        <f>IFERROR(__xludf.DUMMYFUNCTION("""COMPUTED_VALUE"""),0.0)</f>
        <v>0</v>
      </c>
      <c r="K8" s="15">
        <f>IFERROR(__xludf.DUMMYFUNCTION("""COMPUTED_VALUE"""),1.0)</f>
        <v>1</v>
      </c>
    </row>
    <row r="9" ht="15.75" customHeight="1">
      <c r="A9" s="14" t="str">
        <f>IFERROR(__xludf.DUMMYFUNCTION("""COMPUTED_VALUE"""),"https://www.get-ryze.ai/blog/how-agencies-scale-ad-creative-production")</f>
        <v>https://www.get-ryze.ai/blog/how-agencies-scale-ad-creative-production</v>
      </c>
      <c r="B9" s="15" t="str">
        <f>IFERROR(__xludf.DUMMYFUNCTION("""COMPUTED_VALUE"""),"How Advertising Agencies Scale Ad Creative Production")</f>
        <v>How Advertising Agencies Scale Ad Creative Production</v>
      </c>
      <c r="C9" s="14" t="str">
        <f>IFERROR(__xludf.DUMMYFUNCTION("""COMPUTED_VALUE"""),"get-ryze.ai")</f>
        <v>get-ryze.ai</v>
      </c>
      <c r="D9" s="15" t="str">
        <f>IFERROR(__xludf.DUMMYFUNCTION("""COMPUTED_VALUE"""),"HOW_TO_GUIDE")</f>
        <v>HOW_TO_GUIDE</v>
      </c>
      <c r="E9" s="15" t="str">
        <f>IFERROR(__xludf.DUMMYFUNCTION("""COMPUTED_VALUE"""),"CORPORATE")</f>
        <v>CORPORATE</v>
      </c>
      <c r="F9" s="15" t="str">
        <f>IFERROR(__xludf.DUMMYFUNCTION("""COMPUTED_VALUE"""),"How-To Guide")</f>
        <v>How-To Guide</v>
      </c>
      <c r="G9" s="15" t="b">
        <f>IFERROR(__xludf.DUMMYFUNCTION("""COMPUTED_VALUE"""),FALSE)</f>
        <v>0</v>
      </c>
      <c r="H9" s="15" t="str">
        <f>IFERROR(__xludf.DUMMYFUNCTION("""COMPUTED_VALUE"""),"Momentum, Triple Whale")</f>
        <v>Momentum, Triple Whale</v>
      </c>
      <c r="I9" s="15">
        <f>IFERROR(__xludf.DUMMYFUNCTION("""COMPUTED_VALUE"""),3.0)</f>
        <v>3</v>
      </c>
      <c r="J9" s="15">
        <f>IFERROR(__xludf.DUMMYFUNCTION("""COMPUTED_VALUE"""),0.0)</f>
        <v>0</v>
      </c>
      <c r="K9" s="15">
        <f>IFERROR(__xludf.DUMMYFUNCTION("""COMPUTED_VALUE"""),0.33)</f>
        <v>0.33</v>
      </c>
    </row>
    <row r="10" ht="15.75" customHeight="1">
      <c r="A10" s="14" t="str">
        <f>IFERROR(__xludf.DUMMYFUNCTION("""COMPUTED_VALUE"""),"https://whitehat-seo.co.uk/blog/marketing-attribution-that-works")</f>
        <v>https://whitehat-seo.co.uk/blog/marketing-attribution-that-works</v>
      </c>
      <c r="B10" s="15" t="str">
        <f>IFERROR(__xludf.DUMMYFUNCTION("""COMPUTED_VALUE"""),"Marketing Attribution That Actually Works | Whitehat")</f>
        <v>Marketing Attribution That Actually Works | Whitehat</v>
      </c>
      <c r="C10" s="14" t="str">
        <f>IFERROR(__xludf.DUMMYFUNCTION("""COMPUTED_VALUE"""),"whitehat-seo.co.uk")</f>
        <v>whitehat-seo.co.uk</v>
      </c>
      <c r="D10" s="15" t="str">
        <f>IFERROR(__xludf.DUMMYFUNCTION("""COMPUTED_VALUE"""),"HOW_TO_GUIDE")</f>
        <v>HOW_TO_GUIDE</v>
      </c>
      <c r="E10" s="15" t="str">
        <f>IFERROR(__xludf.DUMMYFUNCTION("""COMPUTED_VALUE"""),"COMPETITOR")</f>
        <v>COMPETITOR</v>
      </c>
      <c r="F10" s="15" t="str">
        <f>IFERROR(__xludf.DUMMYFUNCTION("""COMPUTED_VALUE"""),"How-To Guide")</f>
        <v>How-To Guide</v>
      </c>
      <c r="G10" s="15" t="b">
        <f>IFERROR(__xludf.DUMMYFUNCTION("""COMPUTED_VALUE"""),FALSE)</f>
        <v>0</v>
      </c>
      <c r="H10" s="15" t="str">
        <f>IFERROR(__xludf.DUMMYFUNCTION("""COMPUTED_VALUE"""),"Whitehat, Found, Ruler Analytics")</f>
        <v>Whitehat, Found, Ruler Analytics</v>
      </c>
      <c r="I10" s="15">
        <f>IFERROR(__xludf.DUMMYFUNCTION("""COMPUTED_VALUE"""),3.0)</f>
        <v>3</v>
      </c>
      <c r="J10" s="15">
        <f>IFERROR(__xludf.DUMMYFUNCTION("""COMPUTED_VALUE"""),0.0)</f>
        <v>0</v>
      </c>
      <c r="K10" s="15">
        <f>IFERROR(__xludf.DUMMYFUNCTION("""COMPUTED_VALUE"""),0.67)</f>
        <v>0.67</v>
      </c>
    </row>
    <row r="11" ht="15.75" customHeight="1">
      <c r="A11" s="14" t="str">
        <f>IFERROR(__xludf.DUMMYFUNCTION("""COMPUTED_VALUE"""),"https://agenticmarketingpro.com/incrementality-testing/")</f>
        <v>https://agenticmarketingpro.com/incrementality-testing/</v>
      </c>
      <c r="B11" s="15" t="str">
        <f>IFERROR(__xludf.DUMMYFUNCTION("""COMPUTED_VALUE"""),"Modern Incrementality Testing: Moving the Needle in 2026")</f>
        <v>Modern Incrementality Testing: Moving the Needle in 2026</v>
      </c>
      <c r="C11" s="14" t="str">
        <f>IFERROR(__xludf.DUMMYFUNCTION("""COMPUTED_VALUE"""),"agenticmarketingpro.com")</f>
        <v>agenticmarketingpro.com</v>
      </c>
      <c r="D11" s="15" t="str">
        <f>IFERROR(__xludf.DUMMYFUNCTION("""COMPUTED_VALUE"""),"HOW_TO_GUIDE")</f>
        <v>HOW_TO_GUIDE</v>
      </c>
      <c r="E11" s="15" t="str">
        <f>IFERROR(__xludf.DUMMYFUNCTION("""COMPUTED_VALUE"""),"CORPORATE")</f>
        <v>CORPORATE</v>
      </c>
      <c r="F11" s="15" t="str">
        <f>IFERROR(__xludf.DUMMYFUNCTION("""COMPUTED_VALUE"""),"How-To Guide")</f>
        <v>How-To Guide</v>
      </c>
      <c r="G11" s="15" t="b">
        <f>IFERROR(__xludf.DUMMYFUNCTION("""COMPUTED_VALUE"""),FALSE)</f>
        <v>0</v>
      </c>
      <c r="H11" s="15" t="str">
        <f>IFERROR(__xludf.DUMMYFUNCTION("""COMPUTED_VALUE"""),"Found, Impression")</f>
        <v>Found, Impression</v>
      </c>
      <c r="I11" s="15">
        <f>IFERROR(__xludf.DUMMYFUNCTION("""COMPUTED_VALUE"""),2.0)</f>
        <v>2</v>
      </c>
      <c r="J11" s="15">
        <f>IFERROR(__xludf.DUMMYFUNCTION("""COMPUTED_VALUE"""),0.0)</f>
        <v>0</v>
      </c>
      <c r="K11" s="15">
        <f>IFERROR(__xludf.DUMMYFUNCTION("""COMPUTED_VALUE"""),0.5)</f>
        <v>0.5</v>
      </c>
    </row>
    <row r="12" ht="15.75" customHeight="1">
      <c r="A12" s="14" t="str">
        <f>IFERROR(__xludf.DUMMYFUNCTION("""COMPUTED_VALUE"""),"https://www.ekimetrics.com/articles/incrementality-testing-how-to-measure-what-marketing-actually-causes")</f>
        <v>https://www.ekimetrics.com/articles/incrementality-testing-how-to-measure-what-marketing-actually-causes</v>
      </c>
      <c r="B12" s="15" t="str">
        <f>IFERROR(__xludf.DUMMYFUNCTION("""COMPUTED_VALUE"""),"Incrementality testing: measure true marketing impact")</f>
        <v>Incrementality testing: measure true marketing impact</v>
      </c>
      <c r="C12" s="14" t="str">
        <f>IFERROR(__xludf.DUMMYFUNCTION("""COMPUTED_VALUE"""),"ekimetrics.com")</f>
        <v>ekimetrics.com</v>
      </c>
      <c r="D12" s="15" t="str">
        <f>IFERROR(__xludf.DUMMYFUNCTION("""COMPUTED_VALUE"""),"HOW_TO_GUIDE")</f>
        <v>HOW_TO_GUIDE</v>
      </c>
      <c r="E12" s="15" t="str">
        <f>IFERROR(__xludf.DUMMYFUNCTION("""COMPUTED_VALUE"""),"COMPETITOR")</f>
        <v>COMPETITOR</v>
      </c>
      <c r="F12" s="15" t="str">
        <f>IFERROR(__xludf.DUMMYFUNCTION("""COMPUTED_VALUE"""),"How-To Guide")</f>
        <v>How-To Guide</v>
      </c>
      <c r="G12" s="15" t="b">
        <f>IFERROR(__xludf.DUMMYFUNCTION("""COMPUTED_VALUE"""),FALSE)</f>
        <v>0</v>
      </c>
      <c r="H12" s="15" t="str">
        <f>IFERROR(__xludf.DUMMYFUNCTION("""COMPUTED_VALUE"""),"Found, Ekimetrics")</f>
        <v>Found, Ekimetrics</v>
      </c>
      <c r="I12" s="15">
        <f>IFERROR(__xludf.DUMMYFUNCTION("""COMPUTED_VALUE"""),2.0)</f>
        <v>2</v>
      </c>
      <c r="J12" s="15">
        <f>IFERROR(__xludf.DUMMYFUNCTION("""COMPUTED_VALUE"""),0.0)</f>
        <v>0</v>
      </c>
      <c r="K12" s="15">
        <f>IFERROR(__xludf.DUMMYFUNCTION("""COMPUTED_VALUE"""),1.0)</f>
        <v>1</v>
      </c>
    </row>
    <row r="13" ht="15.75" customHeight="1">
      <c r="A13" s="14" t="str">
        <f>IFERROR(__xludf.DUMMYFUNCTION("""COMPUTED_VALUE"""),"https://www.fieldtrip.agency/post/overcoming-creative-production-challenges-for-large-brand")</f>
        <v>https://www.fieldtrip.agency/post/overcoming-creative-production-challenges-for-large-brand</v>
      </c>
      <c r="B13" s="15" t="str">
        <f>IFERROR(__xludf.DUMMYFUNCTION("""COMPUTED_VALUE"""),"Overcoming Challenges in Creative Production for Large-Scale Brands")</f>
        <v>Overcoming Challenges in Creative Production for Large-Scale Brands</v>
      </c>
      <c r="C13" s="15" t="str">
        <f>IFERROR(__xludf.DUMMYFUNCTION("""COMPUTED_VALUE"""),"fieldtrip.agency")</f>
        <v>fieldtrip.agency</v>
      </c>
      <c r="D13" s="15" t="str">
        <f>IFERROR(__xludf.DUMMYFUNCTION("""COMPUTED_VALUE"""),"HOW_TO_GUIDE")</f>
        <v>HOW_TO_GUIDE</v>
      </c>
      <c r="E13" s="15" t="str">
        <f>IFERROR(__xludf.DUMMYFUNCTION("""COMPUTED_VALUE"""),"CORPORATE")</f>
        <v>CORPORATE</v>
      </c>
      <c r="F13" s="15" t="str">
        <f>IFERROR(__xludf.DUMMYFUNCTION("""COMPUTED_VALUE"""),"How-To Guide")</f>
        <v>How-To Guide</v>
      </c>
      <c r="G13" s="15" t="b">
        <f>IFERROR(__xludf.DUMMYFUNCTION("""COMPUTED_VALUE"""),FALSE)</f>
        <v>0</v>
      </c>
      <c r="H13" s="15" t="str">
        <f>IFERROR(__xludf.DUMMYFUNCTION("""COMPUTED_VALUE"""),"inBeat, Momentum")</f>
        <v>inBeat, Momentum</v>
      </c>
      <c r="I13" s="15">
        <f>IFERROR(__xludf.DUMMYFUNCTION("""COMPUTED_VALUE"""),2.0)</f>
        <v>2</v>
      </c>
      <c r="J13" s="15">
        <f>IFERROR(__xludf.DUMMYFUNCTION("""COMPUTED_VALUE"""),0.0)</f>
        <v>0</v>
      </c>
      <c r="K13" s="15">
        <f>IFERROR(__xludf.DUMMYFUNCTION("""COMPUTED_VALUE"""),0.0)</f>
        <v>0</v>
      </c>
    </row>
    <row r="14" ht="15.75" customHeight="1">
      <c r="A14" s="14" t="str">
        <f>IFERROR(__xludf.DUMMYFUNCTION("""COMPUTED_VALUE"""),"https://www.found.co.uk/blog/how-to-measure-incrementality/")</f>
        <v>https://www.found.co.uk/blog/how-to-measure-incrementality/</v>
      </c>
      <c r="B14" s="15" t="str">
        <f>IFERROR(__xludf.DUMMYFUNCTION("""COMPUTED_VALUE"""),"Marketing Incrementality | How to Measure Incrementality | Found")</f>
        <v>Marketing Incrementality | How to Measure Incrementality | Found</v>
      </c>
      <c r="C14" s="14" t="str">
        <f>IFERROR(__xludf.DUMMYFUNCTION("""COMPUTED_VALUE"""),"found.co.uk")</f>
        <v>found.co.uk</v>
      </c>
      <c r="D14" s="15" t="str">
        <f>IFERROR(__xludf.DUMMYFUNCTION("""COMPUTED_VALUE"""),"HOW_TO_GUIDE")</f>
        <v>HOW_TO_GUIDE</v>
      </c>
      <c r="E14" s="15" t="str">
        <f>IFERROR(__xludf.DUMMYFUNCTION("""COMPUTED_VALUE"""),"CORPORATE")</f>
        <v>CORPORATE</v>
      </c>
      <c r="F14" s="15" t="str">
        <f>IFERROR(__xludf.DUMMYFUNCTION("""COMPUTED_VALUE"""),"How-To Guide")</f>
        <v>How-To Guide</v>
      </c>
      <c r="G14" s="15" t="b">
        <f>IFERROR(__xludf.DUMMYFUNCTION("""COMPUTED_VALUE"""),FALSE)</f>
        <v>0</v>
      </c>
      <c r="H14" s="15" t="str">
        <f>IFERROR(__xludf.DUMMYFUNCTION("""COMPUTED_VALUE"""),"Found")</f>
        <v>Found</v>
      </c>
      <c r="I14" s="15">
        <f>IFERROR(__xludf.DUMMYFUNCTION("""COMPUTED_VALUE"""),2.0)</f>
        <v>2</v>
      </c>
      <c r="J14" s="15">
        <f>IFERROR(__xludf.DUMMYFUNCTION("""COMPUTED_VALUE"""),0.0)</f>
        <v>0</v>
      </c>
      <c r="K14" s="15">
        <f>IFERROR(__xludf.DUMMYFUNCTION("""COMPUTED_VALUE"""),1.5)</f>
        <v>1.5</v>
      </c>
    </row>
    <row r="15" ht="15.75" customHeight="1">
      <c r="A15" s="14" t="str">
        <f>IFERROR(__xludf.DUMMYFUNCTION("""COMPUTED_VALUE"""),"https://www.latentview.com/glossary/incrementality-testing/")</f>
        <v>https://www.latentview.com/glossary/incrementality-testing/</v>
      </c>
      <c r="B15" s="15" t="str">
        <f>IFERROR(__xludf.DUMMYFUNCTION("""COMPUTED_VALUE"""),"What Is Incrementality Testing? Purpose, Best Practices &amp;amp; Frameworks")</f>
        <v>What Is Incrementality Testing? Purpose, Best Practices &amp;amp; Frameworks</v>
      </c>
      <c r="C15" s="14" t="str">
        <f>IFERROR(__xludf.DUMMYFUNCTION("""COMPUTED_VALUE"""),"latentview.com")</f>
        <v>latentview.com</v>
      </c>
      <c r="D15" s="15" t="str">
        <f>IFERROR(__xludf.DUMMYFUNCTION("""COMPUTED_VALUE"""),"HOW_TO_GUIDE")</f>
        <v>HOW_TO_GUIDE</v>
      </c>
      <c r="E15" s="15" t="str">
        <f>IFERROR(__xludf.DUMMYFUNCTION("""COMPUTED_VALUE"""),"CORPORATE")</f>
        <v>CORPORATE</v>
      </c>
      <c r="F15" s="15" t="str">
        <f>IFERROR(__xludf.DUMMYFUNCTION("""COMPUTED_VALUE"""),"How-To Guide")</f>
        <v>How-To Guide</v>
      </c>
      <c r="G15" s="15" t="b">
        <f>IFERROR(__xludf.DUMMYFUNCTION("""COMPUTED_VALUE"""),FALSE)</f>
        <v>0</v>
      </c>
      <c r="H15" s="15" t="str">
        <f>IFERROR(__xludf.DUMMYFUNCTION("""COMPUTED_VALUE"""),"Measured, Haus, Recast, Push")</f>
        <v>Measured, Haus, Recast, Push</v>
      </c>
      <c r="I15" s="15">
        <f>IFERROR(__xludf.DUMMYFUNCTION("""COMPUTED_VALUE"""),2.0)</f>
        <v>2</v>
      </c>
      <c r="J15" s="15">
        <f>IFERROR(__xludf.DUMMYFUNCTION("""COMPUTED_VALUE"""),0.0)</f>
        <v>0</v>
      </c>
      <c r="K15" s="15">
        <f>IFERROR(__xludf.DUMMYFUNCTION("""COMPUTED_VALUE"""),1.0)</f>
        <v>1</v>
      </c>
    </row>
    <row r="16" ht="15.75" customHeight="1">
      <c r="A16" s="14" t="str">
        <f>IFERROR(__xludf.DUMMYFUNCTION("""COMPUTED_VALUE"""),"https://support.google.com/google-ads/answer/11410677?hl=en")</f>
        <v>https://support.google.com/google-ads/answer/11410677?hl=en</v>
      </c>
      <c r="B16" s="15" t="str">
        <f>IFERROR(__xludf.DUMMYFUNCTION("""COMPUTED_VALUE"""),"Google Partners directory - Google Ads Help")</f>
        <v>Google Partners directory - Google Ads Help</v>
      </c>
      <c r="C16" s="14" t="str">
        <f>IFERROR(__xludf.DUMMYFUNCTION("""COMPUTED_VALUE"""),"google.com")</f>
        <v>google.com</v>
      </c>
      <c r="D16" s="15" t="str">
        <f>IFERROR(__xludf.DUMMYFUNCTION("""COMPUTED_VALUE"""),"HOW_TO_GUIDE")</f>
        <v>HOW_TO_GUIDE</v>
      </c>
      <c r="E16" s="15" t="str">
        <f>IFERROR(__xludf.DUMMYFUNCTION("""COMPUTED_VALUE"""),"OTHER")</f>
        <v>OTHER</v>
      </c>
      <c r="F16" s="15" t="str">
        <f>IFERROR(__xludf.DUMMYFUNCTION("""COMPUTED_VALUE"""),"How-To Guide")</f>
        <v>How-To Guide</v>
      </c>
      <c r="G16" s="15" t="b">
        <f>IFERROR(__xludf.DUMMYFUNCTION("""COMPUTED_VALUE"""),FALSE)</f>
        <v>0</v>
      </c>
      <c r="H16" s="15"/>
      <c r="I16" s="15">
        <f>IFERROR(__xludf.DUMMYFUNCTION("""COMPUTED_VALUE"""),2.0)</f>
        <v>2</v>
      </c>
      <c r="J16" s="15">
        <f>IFERROR(__xludf.DUMMYFUNCTION("""COMPUTED_VALUE"""),0.0)</f>
        <v>0</v>
      </c>
      <c r="K16" s="15">
        <f>IFERROR(__xludf.DUMMYFUNCTION("""COMPUTED_VALUE"""),0.0)</f>
        <v>0</v>
      </c>
    </row>
    <row r="17" ht="15.75" customHeight="1">
      <c r="A17" s="14" t="str">
        <f>IFERROR(__xludf.DUMMYFUNCTION("""COMPUTED_VALUE"""),"https://www.2pointagency.com/glossary/data-activation-and-first-party-data-strategy-a-comprehensive-guide-for-businesses/")</f>
        <v>https://www.2pointagency.com/glossary/data-activation-and-first-party-data-strategy-a-comprehensive-guide-for-businesses/</v>
      </c>
      <c r="B17" s="15" t="str">
        <f>IFERROR(__xludf.DUMMYFUNCTION("""COMPUTED_VALUE"""),"Data Activation and First-Party Data Strategy: A Comprehensive Guide for Businesses - 2POINT Agency - Best Digital Marketing Agency")</f>
        <v>Data Activation and First-Party Data Strategy: A Comprehensive Guide for Businesses - 2POINT Agency - Best Digital Marketing Agency</v>
      </c>
      <c r="C17" s="14" t="str">
        <f>IFERROR(__xludf.DUMMYFUNCTION("""COMPUTED_VALUE"""),"2pointagency.com")</f>
        <v>2pointagency.com</v>
      </c>
      <c r="D17" s="15" t="str">
        <f>IFERROR(__xludf.DUMMYFUNCTION("""COMPUTED_VALUE"""),"HOW_TO_GUIDE")</f>
        <v>HOW_TO_GUIDE</v>
      </c>
      <c r="E17" s="15" t="str">
        <f>IFERROR(__xludf.DUMMYFUNCTION("""COMPUTED_VALUE"""),"CORPORATE")</f>
        <v>CORPORATE</v>
      </c>
      <c r="F17" s="15" t="str">
        <f>IFERROR(__xludf.DUMMYFUNCTION("""COMPUTED_VALUE"""),"How-To Guide")</f>
        <v>How-To Guide</v>
      </c>
      <c r="G17" s="15" t="b">
        <f>IFERROR(__xludf.DUMMYFUNCTION("""COMPUTED_VALUE"""),FALSE)</f>
        <v>0</v>
      </c>
      <c r="H17" s="15"/>
      <c r="I17" s="15">
        <f>IFERROR(__xludf.DUMMYFUNCTION("""COMPUTED_VALUE"""),1.0)</f>
        <v>1</v>
      </c>
      <c r="J17" s="15">
        <f>IFERROR(__xludf.DUMMYFUNCTION("""COMPUTED_VALUE"""),0.0)</f>
        <v>0</v>
      </c>
      <c r="K17" s="15">
        <f>IFERROR(__xludf.DUMMYFUNCTION("""COMPUTED_VALUE"""),0.0)</f>
        <v>0</v>
      </c>
    </row>
    <row r="18" ht="15.75" customHeight="1">
      <c r="A18" s="14" t="str">
        <f>IFERROR(__xludf.DUMMYFUNCTION("""COMPUTED_VALUE"""),"https://adoption.microsoft.com/en-us/ai-readiness-wizard/")</f>
        <v>https://adoption.microsoft.com/en-us/ai-readiness-wizard/</v>
      </c>
      <c r="B18" s="15" t="str">
        <f>IFERROR(__xludf.DUMMYFUNCTION("""COMPUTED_VALUE"""),"AI Readiness Wizard – Microsoft Adoption")</f>
        <v>AI Readiness Wizard – Microsoft Adoption</v>
      </c>
      <c r="C18" s="14" t="str">
        <f>IFERROR(__xludf.DUMMYFUNCTION("""COMPUTED_VALUE"""),"microsoft.com")</f>
        <v>microsoft.com</v>
      </c>
      <c r="D18" s="15" t="str">
        <f>IFERROR(__xludf.DUMMYFUNCTION("""COMPUTED_VALUE"""),"HOW_TO_GUIDE")</f>
        <v>HOW_TO_GUIDE</v>
      </c>
      <c r="E18" s="15" t="str">
        <f>IFERROR(__xludf.DUMMYFUNCTION("""COMPUTED_VALUE"""),"CORPORATE")</f>
        <v>CORPORATE</v>
      </c>
      <c r="F18" s="15" t="str">
        <f>IFERROR(__xludf.DUMMYFUNCTION("""COMPUTED_VALUE"""),"How-To Guide")</f>
        <v>How-To Guide</v>
      </c>
      <c r="G18" s="15" t="b">
        <f>IFERROR(__xludf.DUMMYFUNCTION("""COMPUTED_VALUE"""),FALSE)</f>
        <v>0</v>
      </c>
      <c r="H18" s="15"/>
      <c r="I18" s="15">
        <f>IFERROR(__xludf.DUMMYFUNCTION("""COMPUTED_VALUE"""),1.0)</f>
        <v>1</v>
      </c>
      <c r="J18" s="15">
        <f>IFERROR(__xludf.DUMMYFUNCTION("""COMPUTED_VALUE"""),0.0)</f>
        <v>0</v>
      </c>
      <c r="K18" s="15">
        <f>IFERROR(__xludf.DUMMYFUNCTION("""COMPUTED_VALUE"""),0.0)</f>
        <v>0</v>
      </c>
    </row>
    <row r="19" ht="15.75" customHeight="1">
      <c r="A19" s="14" t="str">
        <f>IFERROR(__xludf.DUMMYFUNCTION("""COMPUTED_VALUE"""),"https://www.afiniti.co.uk/insights/ai-adoption/")</f>
        <v>https://www.afiniti.co.uk/insights/ai-adoption/</v>
      </c>
      <c r="B19" s="15" t="str">
        <f>IFERROR(__xludf.DUMMYFUNCTION("""COMPUTED_VALUE"""),"AI Adoption: A Playbook for People-First Transformation - Afiniti")</f>
        <v>AI Adoption: A Playbook for People-First Transformation - Afiniti</v>
      </c>
      <c r="C19" s="14" t="str">
        <f>IFERROR(__xludf.DUMMYFUNCTION("""COMPUTED_VALUE"""),"afiniti.co.uk")</f>
        <v>afiniti.co.uk</v>
      </c>
      <c r="D19" s="15" t="str">
        <f>IFERROR(__xludf.DUMMYFUNCTION("""COMPUTED_VALUE"""),"HOW_TO_GUIDE")</f>
        <v>HOW_TO_GUIDE</v>
      </c>
      <c r="E19" s="15" t="str">
        <f>IFERROR(__xludf.DUMMYFUNCTION("""COMPUTED_VALUE"""),"CORPORATE")</f>
        <v>CORPORATE</v>
      </c>
      <c r="F19" s="15" t="str">
        <f>IFERROR(__xludf.DUMMYFUNCTION("""COMPUTED_VALUE"""),"How-To Guide")</f>
        <v>How-To Guide</v>
      </c>
      <c r="G19" s="15" t="b">
        <f>IFERROR(__xludf.DUMMYFUNCTION("""COMPUTED_VALUE"""),FALSE)</f>
        <v>0</v>
      </c>
      <c r="H19" s="15" t="str">
        <f>IFERROR(__xludf.DUMMYFUNCTION("""COMPUTED_VALUE"""),"Push, Momentum, Found")</f>
        <v>Push, Momentum, Found</v>
      </c>
      <c r="I19" s="15">
        <f>IFERROR(__xludf.DUMMYFUNCTION("""COMPUTED_VALUE"""),1.0)</f>
        <v>1</v>
      </c>
      <c r="J19" s="15">
        <f>IFERROR(__xludf.DUMMYFUNCTION("""COMPUTED_VALUE"""),0.0)</f>
        <v>0</v>
      </c>
      <c r="K19" s="15">
        <f>IFERROR(__xludf.DUMMYFUNCTION("""COMPUTED_VALUE"""),1.0)</f>
        <v>1</v>
      </c>
    </row>
    <row r="20" ht="15.75" customHeight="1">
      <c r="A20" s="14" t="str">
        <f>IFERROR(__xludf.DUMMYFUNCTION("""COMPUTED_VALUE"""),"https://www.ai-expert.co.uk/blog/how-do-i-know-if-ai-consulting-firms-are-legitimate")</f>
        <v>https://www.ai-expert.co.uk/blog/how-do-i-know-if-ai-consulting-firms-are-legitimate</v>
      </c>
      <c r="B20" s="15" t="str">
        <f>IFERROR(__xludf.DUMMYFUNCTION("""COMPUTED_VALUE"""),"How Do I Know If AI Consulting Firms Are Legitimate? | AI Expert")</f>
        <v>How Do I Know If AI Consulting Firms Are Legitimate? | AI Expert</v>
      </c>
      <c r="C20" s="14" t="str">
        <f>IFERROR(__xludf.DUMMYFUNCTION("""COMPUTED_VALUE"""),"ai-expert.co.uk")</f>
        <v>ai-expert.co.uk</v>
      </c>
      <c r="D20" s="15" t="str">
        <f>IFERROR(__xludf.DUMMYFUNCTION("""COMPUTED_VALUE"""),"HOW_TO_GUIDE")</f>
        <v>HOW_TO_GUIDE</v>
      </c>
      <c r="E20" s="15" t="str">
        <f>IFERROR(__xludf.DUMMYFUNCTION("""COMPUTED_VALUE"""),"CORPORATE")</f>
        <v>CORPORATE</v>
      </c>
      <c r="F20" s="15" t="str">
        <f>IFERROR(__xludf.DUMMYFUNCTION("""COMPUTED_VALUE"""),"How-To Guide")</f>
        <v>How-To Guide</v>
      </c>
      <c r="G20" s="15" t="b">
        <f>IFERROR(__xludf.DUMMYFUNCTION("""COMPUTED_VALUE"""),FALSE)</f>
        <v>0</v>
      </c>
      <c r="H20" s="15"/>
      <c r="I20" s="15">
        <f>IFERROR(__xludf.DUMMYFUNCTION("""COMPUTED_VALUE"""),1.0)</f>
        <v>1</v>
      </c>
      <c r="J20" s="15">
        <f>IFERROR(__xludf.DUMMYFUNCTION("""COMPUTED_VALUE"""),0.0)</f>
        <v>0</v>
      </c>
      <c r="K20" s="15">
        <f>IFERROR(__xludf.DUMMYFUNCTION("""COMPUTED_VALUE"""),1.0)</f>
        <v>1</v>
      </c>
    </row>
    <row r="21" ht="15.75" customHeight="1">
      <c r="A21" s="14" t="str">
        <f>IFERROR(__xludf.DUMMYFUNCTION("""COMPUTED_VALUE"""),"https://aiadvantageagency.com/first-party-data-strategy/")</f>
        <v>https://aiadvantageagency.com/first-party-data-strategy/</v>
      </c>
      <c r="B21" s="15" t="str">
        <f>IFERROR(__xludf.DUMMYFUNCTION("""COMPUTED_VALUE"""),"First-Party Data Strategy for AI Advertising in 2026")</f>
        <v>First-Party Data Strategy for AI Advertising in 2026</v>
      </c>
      <c r="C21" s="14" t="str">
        <f>IFERROR(__xludf.DUMMYFUNCTION("""COMPUTED_VALUE"""),"aiadvantageagency.com")</f>
        <v>aiadvantageagency.com</v>
      </c>
      <c r="D21" s="15" t="str">
        <f>IFERROR(__xludf.DUMMYFUNCTION("""COMPUTED_VALUE"""),"HOW_TO_GUIDE")</f>
        <v>HOW_TO_GUIDE</v>
      </c>
      <c r="E21" s="15" t="str">
        <f>IFERROR(__xludf.DUMMYFUNCTION("""COMPUTED_VALUE"""),"CORPORATE")</f>
        <v>CORPORATE</v>
      </c>
      <c r="F21" s="15" t="str">
        <f>IFERROR(__xludf.DUMMYFUNCTION("""COMPUTED_VALUE"""),"How-To Guide")</f>
        <v>How-To Guide</v>
      </c>
      <c r="G21" s="15" t="b">
        <f>IFERROR(__xludf.DUMMYFUNCTION("""COMPUTED_VALUE"""),FALSE)</f>
        <v>0</v>
      </c>
      <c r="H21" s="15" t="str">
        <f>IFERROR(__xludf.DUMMYFUNCTION("""COMPUTED_VALUE"""),"Impression, Triple Whale, Northbeam")</f>
        <v>Impression, Triple Whale, Northbeam</v>
      </c>
      <c r="I21" s="15">
        <f>IFERROR(__xludf.DUMMYFUNCTION("""COMPUTED_VALUE"""),1.0)</f>
        <v>1</v>
      </c>
      <c r="J21" s="15">
        <f>IFERROR(__xludf.DUMMYFUNCTION("""COMPUTED_VALUE"""),0.0)</f>
        <v>0</v>
      </c>
      <c r="K21" s="15">
        <f>IFERROR(__xludf.DUMMYFUNCTION("""COMPUTED_VALUE"""),0.0)</f>
        <v>0</v>
      </c>
    </row>
    <row r="22" ht="15.75" customHeight="1">
      <c r="A22" s="14" t="str">
        <f>IFERROR(__xludf.DUMMYFUNCTION("""COMPUTED_VALUE"""),"https://amplitude.com/explore/digital-marketing/marketing-attribution-guide")</f>
        <v>https://amplitude.com/explore/digital-marketing/marketing-attribution-guide</v>
      </c>
      <c r="B22" s="15" t="str">
        <f>IFERROR(__xludf.DUMMYFUNCTION("""COMPUTED_VALUE"""),"A Quick Guide to Marketing Attribution")</f>
        <v>A Quick Guide to Marketing Attribution</v>
      </c>
      <c r="C22" s="14" t="str">
        <f>IFERROR(__xludf.DUMMYFUNCTION("""COMPUTED_VALUE"""),"amplitude.com")</f>
        <v>amplitude.com</v>
      </c>
      <c r="D22" s="15" t="str">
        <f>IFERROR(__xludf.DUMMYFUNCTION("""COMPUTED_VALUE"""),"HOW_TO_GUIDE")</f>
        <v>HOW_TO_GUIDE</v>
      </c>
      <c r="E22" s="15" t="str">
        <f>IFERROR(__xludf.DUMMYFUNCTION("""COMPUTED_VALUE"""),"CORPORATE")</f>
        <v>CORPORATE</v>
      </c>
      <c r="F22" s="15" t="str">
        <f>IFERROR(__xludf.DUMMYFUNCTION("""COMPUTED_VALUE"""),"How-To Guide")</f>
        <v>How-To Guide</v>
      </c>
      <c r="G22" s="15" t="b">
        <f>IFERROR(__xludf.DUMMYFUNCTION("""COMPUTED_VALUE"""),FALSE)</f>
        <v>0</v>
      </c>
      <c r="H22" s="15" t="str">
        <f>IFERROR(__xludf.DUMMYFUNCTION("""COMPUTED_VALUE"""),"Measured")</f>
        <v>Measured</v>
      </c>
      <c r="I22" s="15">
        <f>IFERROR(__xludf.DUMMYFUNCTION("""COMPUTED_VALUE"""),1.0)</f>
        <v>1</v>
      </c>
      <c r="J22" s="15">
        <f>IFERROR(__xludf.DUMMYFUNCTION("""COMPUTED_VALUE"""),0.0)</f>
        <v>0</v>
      </c>
      <c r="K22" s="15">
        <f>IFERROR(__xludf.DUMMYFUNCTION("""COMPUTED_VALUE"""),0.0)</f>
        <v>0</v>
      </c>
    </row>
    <row r="23" ht="15.75" customHeight="1">
      <c r="A23" s="14" t="str">
        <f>IFERROR(__xludf.DUMMYFUNCTION("""COMPUTED_VALUE"""),"https://www.attnagency.com/blog/first-party-data-activation-cdp-ad-platform-strategy")</f>
        <v>https://www.attnagency.com/blog/first-party-data-activation-cdp-ad-platform-strategy</v>
      </c>
      <c r="B23" s="15" t="str">
        <f>IFERROR(__xludf.DUMMYFUNCTION("""COMPUTED_VALUE"""),"First-Party Data Activation: From CDP to Ad Platform Profitability | ATTN Agency")</f>
        <v>First-Party Data Activation: From CDP to Ad Platform Profitability | ATTN Agency</v>
      </c>
      <c r="C23" s="14" t="str">
        <f>IFERROR(__xludf.DUMMYFUNCTION("""COMPUTED_VALUE"""),"attnagency.com")</f>
        <v>attnagency.com</v>
      </c>
      <c r="D23" s="15" t="str">
        <f>IFERROR(__xludf.DUMMYFUNCTION("""COMPUTED_VALUE"""),"HOW_TO_GUIDE")</f>
        <v>HOW_TO_GUIDE</v>
      </c>
      <c r="E23" s="15" t="str">
        <f>IFERROR(__xludf.DUMMYFUNCTION("""COMPUTED_VALUE"""),"CORPORATE")</f>
        <v>CORPORATE</v>
      </c>
      <c r="F23" s="15" t="str">
        <f>IFERROR(__xludf.DUMMYFUNCTION("""COMPUTED_VALUE"""),"How-To Guide")</f>
        <v>How-To Guide</v>
      </c>
      <c r="G23" s="15" t="b">
        <f>IFERROR(__xludf.DUMMYFUNCTION("""COMPUTED_VALUE"""),FALSE)</f>
        <v>0</v>
      </c>
      <c r="H23" s="15" t="str">
        <f>IFERROR(__xludf.DUMMYFUNCTION("""COMPUTED_VALUE"""),"Transmission")</f>
        <v>Transmission</v>
      </c>
      <c r="I23" s="15">
        <f>IFERROR(__xludf.DUMMYFUNCTION("""COMPUTED_VALUE"""),1.0)</f>
        <v>1</v>
      </c>
      <c r="J23" s="15">
        <f>IFERROR(__xludf.DUMMYFUNCTION("""COMPUTED_VALUE"""),0.0)</f>
        <v>0</v>
      </c>
      <c r="K23" s="15">
        <f>IFERROR(__xludf.DUMMYFUNCTION("""COMPUTED_VALUE"""),0.0)</f>
        <v>0</v>
      </c>
    </row>
    <row r="24" ht="15.75" customHeight="1">
      <c r="A24" s="14" t="str">
        <f>IFERROR(__xludf.DUMMYFUNCTION("""COMPUTED_VALUE"""),"https://www.avaus.com/blog/how-media-agencies-can-utilize-first-party-data-to-drive-better-results/")</f>
        <v>https://www.avaus.com/blog/how-media-agencies-can-utilize-first-party-data-to-drive-better-results/</v>
      </c>
      <c r="B24" s="15" t="str">
        <f>IFERROR(__xludf.DUMMYFUNCTION("""COMPUTED_VALUE"""),"How media agencies can utilize first-party data to drive better results - Avaus")</f>
        <v>How media agencies can utilize first-party data to drive better results - Avaus</v>
      </c>
      <c r="C24" s="14" t="str">
        <f>IFERROR(__xludf.DUMMYFUNCTION("""COMPUTED_VALUE"""),"avaus.com")</f>
        <v>avaus.com</v>
      </c>
      <c r="D24" s="15" t="str">
        <f>IFERROR(__xludf.DUMMYFUNCTION("""COMPUTED_VALUE"""),"HOW_TO_GUIDE")</f>
        <v>HOW_TO_GUIDE</v>
      </c>
      <c r="E24" s="15" t="str">
        <f>IFERROR(__xludf.DUMMYFUNCTION("""COMPUTED_VALUE"""),"CORPORATE")</f>
        <v>CORPORATE</v>
      </c>
      <c r="F24" s="15" t="str">
        <f>IFERROR(__xludf.DUMMYFUNCTION("""COMPUTED_VALUE"""),"How-To Guide")</f>
        <v>How-To Guide</v>
      </c>
      <c r="G24" s="15" t="b">
        <f>IFERROR(__xludf.DUMMYFUNCTION("""COMPUTED_VALUE"""),FALSE)</f>
        <v>0</v>
      </c>
      <c r="H24" s="15"/>
      <c r="I24" s="15">
        <f>IFERROR(__xludf.DUMMYFUNCTION("""COMPUTED_VALUE"""),1.0)</f>
        <v>1</v>
      </c>
      <c r="J24" s="15">
        <f>IFERROR(__xludf.DUMMYFUNCTION("""COMPUTED_VALUE"""),0.0)</f>
        <v>0</v>
      </c>
      <c r="K24" s="15">
        <f>IFERROR(__xludf.DUMMYFUNCTION("""COMPUTED_VALUE"""),0.0)</f>
        <v>0</v>
      </c>
    </row>
    <row r="25" ht="15.75" customHeight="1">
      <c r="A25" s="14" t="str">
        <f>IFERROR(__xludf.DUMMYFUNCTION("""COMPUTED_VALUE"""),"https://www.back9.co.nz/how-to-find-a-certified-google-partner/")</f>
        <v>https://www.back9.co.nz/how-to-find-a-certified-google-partner/</v>
      </c>
      <c r="B25" s="15" t="str">
        <f>IFERROR(__xludf.DUMMYFUNCTION("""COMPUTED_VALUE"""),"Certified Google Partner: How to find the best one for you - Back9 Digital")</f>
        <v>Certified Google Partner: How to find the best one for you - Back9 Digital</v>
      </c>
      <c r="C25" s="14" t="str">
        <f>IFERROR(__xludf.DUMMYFUNCTION("""COMPUTED_VALUE"""),"back9.co.nz")</f>
        <v>back9.co.nz</v>
      </c>
      <c r="D25" s="15" t="str">
        <f>IFERROR(__xludf.DUMMYFUNCTION("""COMPUTED_VALUE"""),"HOW_TO_GUIDE")</f>
        <v>HOW_TO_GUIDE</v>
      </c>
      <c r="E25" s="15" t="str">
        <f>IFERROR(__xludf.DUMMYFUNCTION("""COMPUTED_VALUE"""),"CORPORATE")</f>
        <v>CORPORATE</v>
      </c>
      <c r="F25" s="15" t="str">
        <f>IFERROR(__xludf.DUMMYFUNCTION("""COMPUTED_VALUE"""),"How-To Guide")</f>
        <v>How-To Guide</v>
      </c>
      <c r="G25" s="15" t="b">
        <f>IFERROR(__xludf.DUMMYFUNCTION("""COMPUTED_VALUE"""),FALSE)</f>
        <v>0</v>
      </c>
      <c r="H25" s="15"/>
      <c r="I25" s="15">
        <f>IFERROR(__xludf.DUMMYFUNCTION("""COMPUTED_VALUE"""),1.0)</f>
        <v>1</v>
      </c>
      <c r="J25" s="15">
        <f>IFERROR(__xludf.DUMMYFUNCTION("""COMPUTED_VALUE"""),0.0)</f>
        <v>0</v>
      </c>
      <c r="K25" s="15">
        <f>IFERROR(__xludf.DUMMYFUNCTION("""COMPUTED_VALUE"""),1.0)</f>
        <v>1</v>
      </c>
    </row>
    <row r="26" ht="15.75" customHeight="1">
      <c r="A26" s="14" t="str">
        <f>IFERROR(__xludf.DUMMYFUNCTION("""COMPUTED_VALUE"""),"https://www.blueduckagency.com/blog/incrementality")</f>
        <v>https://www.blueduckagency.com/blog/incrementality</v>
      </c>
      <c r="B26" s="15" t="str">
        <f>IFERROR(__xludf.DUMMYFUNCTION("""COMPUTED_VALUE"""),"How to Add Incrementality Testing to Your Marketing Campaigns | Blue Duck Agency")</f>
        <v>How to Add Incrementality Testing to Your Marketing Campaigns | Blue Duck Agency</v>
      </c>
      <c r="C26" s="14" t="str">
        <f>IFERROR(__xludf.DUMMYFUNCTION("""COMPUTED_VALUE"""),"blueduckagency.com")</f>
        <v>blueduckagency.com</v>
      </c>
      <c r="D26" s="15" t="str">
        <f>IFERROR(__xludf.DUMMYFUNCTION("""COMPUTED_VALUE"""),"HOW_TO_GUIDE")</f>
        <v>HOW_TO_GUIDE</v>
      </c>
      <c r="E26" s="15" t="str">
        <f>IFERROR(__xludf.DUMMYFUNCTION("""COMPUTED_VALUE"""),"CORPORATE")</f>
        <v>CORPORATE</v>
      </c>
      <c r="F26" s="15" t="str">
        <f>IFERROR(__xludf.DUMMYFUNCTION("""COMPUTED_VALUE"""),"How-To Guide")</f>
        <v>How-To Guide</v>
      </c>
      <c r="G26" s="15" t="b">
        <f>IFERROR(__xludf.DUMMYFUNCTION("""COMPUTED_VALUE"""),FALSE)</f>
        <v>0</v>
      </c>
      <c r="H26" s="15"/>
      <c r="I26" s="15">
        <f>IFERROR(__xludf.DUMMYFUNCTION("""COMPUTED_VALUE"""),1.0)</f>
        <v>1</v>
      </c>
      <c r="J26" s="15">
        <f>IFERROR(__xludf.DUMMYFUNCTION("""COMPUTED_VALUE"""),0.0)</f>
        <v>0</v>
      </c>
      <c r="K26" s="15">
        <f>IFERROR(__xludf.DUMMYFUNCTION("""COMPUTED_VALUE"""),0.0)</f>
        <v>0</v>
      </c>
    </row>
    <row r="27" ht="15.75" customHeight="1">
      <c r="A27" s="14" t="str">
        <f>IFERROR(__xludf.DUMMYFUNCTION("""COMPUTED_VALUE"""),"https://clicksgeek.com/best-marketing-agency-for-roi/")</f>
        <v>https://clicksgeek.com/best-marketing-agency-for-roi/</v>
      </c>
      <c r="B27" s="15" t="str">
        <f>IFERROR(__xludf.DUMMYFUNCTION("""COMPUTED_VALUE"""),"Best Marketing Agency For ROI: 7 Proven Strategies")</f>
        <v>Best Marketing Agency For ROI: 7 Proven Strategies</v>
      </c>
      <c r="C27" s="14" t="str">
        <f>IFERROR(__xludf.DUMMYFUNCTION("""COMPUTED_VALUE"""),"clicksgeek.com")</f>
        <v>clicksgeek.com</v>
      </c>
      <c r="D27" s="15" t="str">
        <f>IFERROR(__xludf.DUMMYFUNCTION("""COMPUTED_VALUE"""),"HOW_TO_GUIDE")</f>
        <v>HOW_TO_GUIDE</v>
      </c>
      <c r="E27" s="15" t="str">
        <f>IFERROR(__xludf.DUMMYFUNCTION("""COMPUTED_VALUE"""),"CORPORATE")</f>
        <v>CORPORATE</v>
      </c>
      <c r="F27" s="15" t="str">
        <f>IFERROR(__xludf.DUMMYFUNCTION("""COMPUTED_VALUE"""),"How-To Guide")</f>
        <v>How-To Guide</v>
      </c>
      <c r="G27" s="15" t="b">
        <f>IFERROR(__xludf.DUMMYFUNCTION("""COMPUTED_VALUE"""),FALSE)</f>
        <v>0</v>
      </c>
      <c r="H27" s="15"/>
      <c r="I27" s="15">
        <f>IFERROR(__xludf.DUMMYFUNCTION("""COMPUTED_VALUE"""),1.0)</f>
        <v>1</v>
      </c>
      <c r="J27" s="15">
        <f>IFERROR(__xludf.DUMMYFUNCTION("""COMPUTED_VALUE"""),0.0)</f>
        <v>0</v>
      </c>
      <c r="K27" s="15">
        <f>IFERROR(__xludf.DUMMYFUNCTION("""COMPUTED_VALUE"""),0.0)</f>
        <v>0</v>
      </c>
    </row>
    <row r="28" ht="15.75" customHeight="1">
      <c r="A28" s="14" t="str">
        <f>IFERROR(__xludf.DUMMYFUNCTION("""COMPUTED_VALUE"""),"https://www.digitalapplied.com/blog/first-party-data-activation-2026-server-side-tracking-playbook")</f>
        <v>https://www.digitalapplied.com/blog/first-party-data-activation-2026-server-side-tracking-playbook</v>
      </c>
      <c r="B28" s="15" t="str">
        <f>IFERROR(__xludf.DUMMYFUNCTION("""COMPUTED_VALUE"""),"First-Party Data Activation: 2026 Server-Side Playbook")</f>
        <v>First-Party Data Activation: 2026 Server-Side Playbook</v>
      </c>
      <c r="C28" s="14" t="str">
        <f>IFERROR(__xludf.DUMMYFUNCTION("""COMPUTED_VALUE"""),"digitalapplied.com")</f>
        <v>digitalapplied.com</v>
      </c>
      <c r="D28" s="15" t="str">
        <f>IFERROR(__xludf.DUMMYFUNCTION("""COMPUTED_VALUE"""),"HOW_TO_GUIDE")</f>
        <v>HOW_TO_GUIDE</v>
      </c>
      <c r="E28" s="15" t="str">
        <f>IFERROR(__xludf.DUMMYFUNCTION("""COMPUTED_VALUE"""),"CORPORATE")</f>
        <v>CORPORATE</v>
      </c>
      <c r="F28" s="15" t="str">
        <f>IFERROR(__xludf.DUMMYFUNCTION("""COMPUTED_VALUE"""),"How-To Guide")</f>
        <v>How-To Guide</v>
      </c>
      <c r="G28" s="15" t="b">
        <f>IFERROR(__xludf.DUMMYFUNCTION("""COMPUTED_VALUE"""),FALSE)</f>
        <v>0</v>
      </c>
      <c r="H28" s="15" t="str">
        <f>IFERROR(__xludf.DUMMYFUNCTION("""COMPUTED_VALUE"""),"Transmission, Push, PwC, Found")</f>
        <v>Transmission, Push, PwC, Found</v>
      </c>
      <c r="I28" s="15">
        <f>IFERROR(__xludf.DUMMYFUNCTION("""COMPUTED_VALUE"""),1.0)</f>
        <v>1</v>
      </c>
      <c r="J28" s="15">
        <f>IFERROR(__xludf.DUMMYFUNCTION("""COMPUTED_VALUE"""),0.0)</f>
        <v>0</v>
      </c>
      <c r="K28" s="15">
        <f>IFERROR(__xludf.DUMMYFUNCTION("""COMPUTED_VALUE"""),1.0)</f>
        <v>1</v>
      </c>
    </row>
    <row r="29" ht="15.75" customHeight="1">
      <c r="A29" s="14" t="str">
        <f>IFERROR(__xludf.DUMMYFUNCTION("""COMPUTED_VALUE"""),"https://www.fifty-five.com/tea-house/incrementality-testing-marketing")</f>
        <v>https://www.fifty-five.com/tea-house/incrementality-testing-marketing</v>
      </c>
      <c r="B29" s="15" t="str">
        <f>IFERROR(__xludf.DUMMYFUNCTION("""COMPUTED_VALUE"""),"fifty-five Tea House: How to Measure Marketing Impact With Incrementality Testing")</f>
        <v>fifty-five Tea House: How to Measure Marketing Impact With Incrementality Testing</v>
      </c>
      <c r="C29" s="14" t="str">
        <f>IFERROR(__xludf.DUMMYFUNCTION("""COMPUTED_VALUE"""),"fifty-five.com")</f>
        <v>fifty-five.com</v>
      </c>
      <c r="D29" s="15" t="str">
        <f>IFERROR(__xludf.DUMMYFUNCTION("""COMPUTED_VALUE"""),"HOW_TO_GUIDE")</f>
        <v>HOW_TO_GUIDE</v>
      </c>
      <c r="E29" s="15" t="str">
        <f>IFERROR(__xludf.DUMMYFUNCTION("""COMPUTED_VALUE"""),"CORPORATE")</f>
        <v>CORPORATE</v>
      </c>
      <c r="F29" s="15" t="str">
        <f>IFERROR(__xludf.DUMMYFUNCTION("""COMPUTED_VALUE"""),"How-To Guide")</f>
        <v>How-To Guide</v>
      </c>
      <c r="G29" s="15" t="b">
        <f>IFERROR(__xludf.DUMMYFUNCTION("""COMPUTED_VALUE"""),FALSE)</f>
        <v>0</v>
      </c>
      <c r="H29" s="15" t="str">
        <f>IFERROR(__xludf.DUMMYFUNCTION("""COMPUTED_VALUE"""),"Found")</f>
        <v>Found</v>
      </c>
      <c r="I29" s="15">
        <f>IFERROR(__xludf.DUMMYFUNCTION("""COMPUTED_VALUE"""),1.0)</f>
        <v>1</v>
      </c>
      <c r="J29" s="15">
        <f>IFERROR(__xludf.DUMMYFUNCTION("""COMPUTED_VALUE"""),0.0)</f>
        <v>0</v>
      </c>
      <c r="K29" s="15">
        <f>IFERROR(__xludf.DUMMYFUNCTION("""COMPUTED_VALUE"""),2.0)</f>
        <v>2</v>
      </c>
    </row>
    <row r="30" ht="15.75" customHeight="1">
      <c r="A30" s="14" t="str">
        <f>IFERROR(__xludf.DUMMYFUNCTION("""COMPUTED_VALUE"""),"https://www.gohighlevel.com/post/the-ai-ready-agency-what-the-top-5-are-doing-differently")</f>
        <v>https://www.gohighlevel.com/post/the-ai-ready-agency-what-the-top-5-are-doing-differently</v>
      </c>
      <c r="B30" s="15" t="str">
        <f>IFERROR(__xludf.DUMMYFUNCTION("""COMPUTED_VALUE"""),"The AI-ready agency: What the top 5% are doing differently")</f>
        <v>The AI-ready agency: What the top 5% are doing differently</v>
      </c>
      <c r="C30" s="14" t="str">
        <f>IFERROR(__xludf.DUMMYFUNCTION("""COMPUTED_VALUE"""),"gohighlevel.com")</f>
        <v>gohighlevel.com</v>
      </c>
      <c r="D30" s="15" t="str">
        <f>IFERROR(__xludf.DUMMYFUNCTION("""COMPUTED_VALUE"""),"HOW_TO_GUIDE")</f>
        <v>HOW_TO_GUIDE</v>
      </c>
      <c r="E30" s="15" t="str">
        <f>IFERROR(__xludf.DUMMYFUNCTION("""COMPUTED_VALUE"""),"CORPORATE")</f>
        <v>CORPORATE</v>
      </c>
      <c r="F30" s="15" t="str">
        <f>IFERROR(__xludf.DUMMYFUNCTION("""COMPUTED_VALUE"""),"How-To Guide")</f>
        <v>How-To Guide</v>
      </c>
      <c r="G30" s="15" t="b">
        <f>IFERROR(__xludf.DUMMYFUNCTION("""COMPUTED_VALUE"""),FALSE)</f>
        <v>0</v>
      </c>
      <c r="H30" s="15"/>
      <c r="I30" s="15">
        <f>IFERROR(__xludf.DUMMYFUNCTION("""COMPUTED_VALUE"""),1.0)</f>
        <v>1</v>
      </c>
      <c r="J30" s="15">
        <f>IFERROR(__xludf.DUMMYFUNCTION("""COMPUTED_VALUE"""),0.0)</f>
        <v>0</v>
      </c>
      <c r="K30" s="15">
        <f>IFERROR(__xludf.DUMMYFUNCTION("""COMPUTED_VALUE"""),1.0)</f>
        <v>1</v>
      </c>
    </row>
    <row r="31" ht="15.75" customHeight="1">
      <c r="A31" s="14" t="str">
        <f>IFERROR(__xludf.DUMMYFUNCTION("""COMPUTED_VALUE"""),"https://www.growth-rocket.com/blog/what-high-performing-agencies-do-differently-with-first-party-data-strategy/")</f>
        <v>https://www.growth-rocket.com/blog/what-high-performing-agencies-do-differently-with-first-party-data-strategy/</v>
      </c>
      <c r="B31" s="15" t="str">
        <f>IFERROR(__xludf.DUMMYFUNCTION("""COMPUTED_VALUE"""),"What High-Performing Agencies Do Differently With First-Party Data Strategy - Growth Rocket")</f>
        <v>What High-Performing Agencies Do Differently With First-Party Data Strategy - Growth Rocket</v>
      </c>
      <c r="C31" s="14" t="str">
        <f>IFERROR(__xludf.DUMMYFUNCTION("""COMPUTED_VALUE"""),"growth-rocket.com")</f>
        <v>growth-rocket.com</v>
      </c>
      <c r="D31" s="15" t="str">
        <f>IFERROR(__xludf.DUMMYFUNCTION("""COMPUTED_VALUE"""),"HOW_TO_GUIDE")</f>
        <v>HOW_TO_GUIDE</v>
      </c>
      <c r="E31" s="15" t="str">
        <f>IFERROR(__xludf.DUMMYFUNCTION("""COMPUTED_VALUE"""),"CORPORATE")</f>
        <v>CORPORATE</v>
      </c>
      <c r="F31" s="15" t="str">
        <f>IFERROR(__xludf.DUMMYFUNCTION("""COMPUTED_VALUE"""),"How-To Guide")</f>
        <v>How-To Guide</v>
      </c>
      <c r="G31" s="15" t="b">
        <f>IFERROR(__xludf.DUMMYFUNCTION("""COMPUTED_VALUE"""),FALSE)</f>
        <v>0</v>
      </c>
      <c r="H31" s="15"/>
      <c r="I31" s="15">
        <f>IFERROR(__xludf.DUMMYFUNCTION("""COMPUTED_VALUE"""),1.0)</f>
        <v>1</v>
      </c>
      <c r="J31" s="15">
        <f>IFERROR(__xludf.DUMMYFUNCTION("""COMPUTED_VALUE"""),0.0)</f>
        <v>0</v>
      </c>
      <c r="K31" s="15">
        <f>IFERROR(__xludf.DUMMYFUNCTION("""COMPUTED_VALUE"""),0.0)</f>
        <v>0</v>
      </c>
    </row>
    <row r="32" ht="15.75" customHeight="1">
      <c r="A32" s="14" t="str">
        <f>IFERROR(__xludf.DUMMYFUNCTION("""COMPUTED_VALUE"""),"https://www.hockeystack.com/blog-posts/how-to-measure-marketing-attribution")</f>
        <v>https://www.hockeystack.com/blog-posts/how-to-measure-marketing-attribution</v>
      </c>
      <c r="B32" s="15" t="str">
        <f>IFERROR(__xludf.DUMMYFUNCTION("""COMPUTED_VALUE"""),"How to Measure Marketing Attribution: A Step-By-Step Guide")</f>
        <v>How to Measure Marketing Attribution: A Step-By-Step Guide</v>
      </c>
      <c r="C32" s="14" t="str">
        <f>IFERROR(__xludf.DUMMYFUNCTION("""COMPUTED_VALUE"""),"hockeystack.com")</f>
        <v>hockeystack.com</v>
      </c>
      <c r="D32" s="15" t="str">
        <f>IFERROR(__xludf.DUMMYFUNCTION("""COMPUTED_VALUE"""),"HOW_TO_GUIDE")</f>
        <v>HOW_TO_GUIDE</v>
      </c>
      <c r="E32" s="15" t="str">
        <f>IFERROR(__xludf.DUMMYFUNCTION("""COMPUTED_VALUE"""),"CORPORATE")</f>
        <v>CORPORATE</v>
      </c>
      <c r="F32" s="15" t="str">
        <f>IFERROR(__xludf.DUMMYFUNCTION("""COMPUTED_VALUE"""),"How-To Guide")</f>
        <v>How-To Guide</v>
      </c>
      <c r="G32" s="15" t="b">
        <f>IFERROR(__xludf.DUMMYFUNCTION("""COMPUTED_VALUE"""),FALSE)</f>
        <v>0</v>
      </c>
      <c r="H32" s="15" t="str">
        <f>IFERROR(__xludf.DUMMYFUNCTION("""COMPUTED_VALUE"""),"Found")</f>
        <v>Found</v>
      </c>
      <c r="I32" s="15">
        <f>IFERROR(__xludf.DUMMYFUNCTION("""COMPUTED_VALUE"""),1.0)</f>
        <v>1</v>
      </c>
      <c r="J32" s="15">
        <f>IFERROR(__xludf.DUMMYFUNCTION("""COMPUTED_VALUE"""),0.0)</f>
        <v>0</v>
      </c>
      <c r="K32" s="15">
        <f>IFERROR(__xludf.DUMMYFUNCTION("""COMPUTED_VALUE"""),0.0)</f>
        <v>0</v>
      </c>
    </row>
    <row r="33" ht="15.75" customHeight="1">
      <c r="A33" s="14" t="str">
        <f>IFERROR(__xludf.DUMMYFUNCTION("""COMPUTED_VALUE"""),"https://www.icpnet.com/resources/blog/scaling-creative-production-without-changing-your-stack-agency-lens")</f>
        <v>https://www.icpnet.com/resources/blog/scaling-creative-production-without-changing-your-stack-agency-lens</v>
      </c>
      <c r="B33" s="15" t="str">
        <f>IFERROR(__xludf.DUMMYFUNCTION("""COMPUTED_VALUE"""),"Scaling Creative Production Without Changing Your Stack (Agency Lens) - ICP")</f>
        <v>Scaling Creative Production Without Changing Your Stack (Agency Lens) - ICP</v>
      </c>
      <c r="C33" s="14" t="str">
        <f>IFERROR(__xludf.DUMMYFUNCTION("""COMPUTED_VALUE"""),"icpnet.com")</f>
        <v>icpnet.com</v>
      </c>
      <c r="D33" s="15" t="str">
        <f>IFERROR(__xludf.DUMMYFUNCTION("""COMPUTED_VALUE"""),"HOW_TO_GUIDE")</f>
        <v>HOW_TO_GUIDE</v>
      </c>
      <c r="E33" s="15" t="str">
        <f>IFERROR(__xludf.DUMMYFUNCTION("""COMPUTED_VALUE"""),"CORPORATE")</f>
        <v>CORPORATE</v>
      </c>
      <c r="F33" s="15" t="str">
        <f>IFERROR(__xludf.DUMMYFUNCTION("""COMPUTED_VALUE"""),"How-To Guide")</f>
        <v>How-To Guide</v>
      </c>
      <c r="G33" s="15" t="b">
        <f>IFERROR(__xludf.DUMMYFUNCTION("""COMPUTED_VALUE"""),FALSE)</f>
        <v>0</v>
      </c>
      <c r="H33" s="15"/>
      <c r="I33" s="15">
        <f>IFERROR(__xludf.DUMMYFUNCTION("""COMPUTED_VALUE"""),1.0)</f>
        <v>1</v>
      </c>
      <c r="J33" s="15">
        <f>IFERROR(__xludf.DUMMYFUNCTION("""COMPUTED_VALUE"""),0.0)</f>
        <v>0</v>
      </c>
      <c r="K33" s="15">
        <f>IFERROR(__xludf.DUMMYFUNCTION("""COMPUTED_VALUE"""),0.0)</f>
        <v>0</v>
      </c>
    </row>
    <row r="34" ht="15.75" customHeight="1">
      <c r="A34" s="14" t="str">
        <f>IFERROR(__xludf.DUMMYFUNCTION("""COMPUTED_VALUE"""),"https://matomo.org/blog/2024/03/incrementality-testing/")</f>
        <v>https://matomo.org/blog/2024/03/incrementality-testing/</v>
      </c>
      <c r="B34" s="15" t="str">
        <f>IFERROR(__xludf.DUMMYFUNCTION("""COMPUTED_VALUE"""),"Incrementality Testing: Quick-Start Guide (With Calculations) - Analytics Platform - Matomo")</f>
        <v>Incrementality Testing: Quick-Start Guide (With Calculations) - Analytics Platform - Matomo</v>
      </c>
      <c r="C34" s="14" t="str">
        <f>IFERROR(__xludf.DUMMYFUNCTION("""COMPUTED_VALUE"""),"matomo.org")</f>
        <v>matomo.org</v>
      </c>
      <c r="D34" s="15" t="str">
        <f>IFERROR(__xludf.DUMMYFUNCTION("""COMPUTED_VALUE"""),"HOW_TO_GUIDE")</f>
        <v>HOW_TO_GUIDE</v>
      </c>
      <c r="E34" s="15" t="str">
        <f>IFERROR(__xludf.DUMMYFUNCTION("""COMPUTED_VALUE"""),"INSTITUTIONAL")</f>
        <v>INSTITUTIONAL</v>
      </c>
      <c r="F34" s="15" t="str">
        <f>IFERROR(__xludf.DUMMYFUNCTION("""COMPUTED_VALUE"""),"How-To Guide")</f>
        <v>How-To Guide</v>
      </c>
      <c r="G34" s="15" t="b">
        <f>IFERROR(__xludf.DUMMYFUNCTION("""COMPUTED_VALUE"""),FALSE)</f>
        <v>0</v>
      </c>
      <c r="H34" s="15" t="str">
        <f>IFERROR(__xludf.DUMMYFUNCTION("""COMPUTED_VALUE"""),"NoGood")</f>
        <v>NoGood</v>
      </c>
      <c r="I34" s="15">
        <f>IFERROR(__xludf.DUMMYFUNCTION("""COMPUTED_VALUE"""),1.0)</f>
        <v>1</v>
      </c>
      <c r="J34" s="15">
        <f>IFERROR(__xludf.DUMMYFUNCTION("""COMPUTED_VALUE"""),0.0)</f>
        <v>0</v>
      </c>
      <c r="K34" s="15">
        <f>IFERROR(__xludf.DUMMYFUNCTION("""COMPUTED_VALUE"""),0.0)</f>
        <v>0</v>
      </c>
    </row>
    <row r="35" ht="15.75" customHeight="1">
      <c r="A35" s="14" t="str">
        <f>IFERROR(__xludf.DUMMYFUNCTION("""COMPUTED_VALUE"""),"https://www.n-ix.com/ai-outsourcing-how-to-get-it-right/")</f>
        <v>https://www.n-ix.com/ai-outsourcing-how-to-get-it-right/</v>
      </c>
      <c r="B35" s="15" t="str">
        <f>IFERROR(__xludf.DUMMYFUNCTION("""COMPUTED_VALUE"""),"Artificial Intelligence outsourcing: How to get it right - N-iX")</f>
        <v>Artificial Intelligence outsourcing: How to get it right - N-iX</v>
      </c>
      <c r="C35" s="14" t="str">
        <f>IFERROR(__xludf.DUMMYFUNCTION("""COMPUTED_VALUE"""),"n-ix.com")</f>
        <v>n-ix.com</v>
      </c>
      <c r="D35" s="15" t="str">
        <f>IFERROR(__xludf.DUMMYFUNCTION("""COMPUTED_VALUE"""),"HOW_TO_GUIDE")</f>
        <v>HOW_TO_GUIDE</v>
      </c>
      <c r="E35" s="15" t="str">
        <f>IFERROR(__xludf.DUMMYFUNCTION("""COMPUTED_VALUE"""),"UGC")</f>
        <v>UGC</v>
      </c>
      <c r="F35" s="15" t="str">
        <f>IFERROR(__xludf.DUMMYFUNCTION("""COMPUTED_VALUE"""),"How-To Guide")</f>
        <v>How-To Guide</v>
      </c>
      <c r="G35" s="15" t="b">
        <f>IFERROR(__xludf.DUMMYFUNCTION("""COMPUTED_VALUE"""),FALSE)</f>
        <v>0</v>
      </c>
      <c r="H35" s="15"/>
      <c r="I35" s="15">
        <f>IFERROR(__xludf.DUMMYFUNCTION("""COMPUTED_VALUE"""),1.0)</f>
        <v>1</v>
      </c>
      <c r="J35" s="15">
        <f>IFERROR(__xludf.DUMMYFUNCTION("""COMPUTED_VALUE"""),0.0)</f>
        <v>0</v>
      </c>
      <c r="K35" s="15">
        <f>IFERROR(__xludf.DUMMYFUNCTION("""COMPUTED_VALUE"""),1.0)</f>
        <v>1</v>
      </c>
    </row>
    <row r="36" ht="15.75" customHeight="1">
      <c r="A36" s="14" t="str">
        <f>IFERROR(__xludf.DUMMYFUNCTION("""COMPUTED_VALUE"""),"https://www.osmos.ai/blog/first-party-data-in-retail-media-the-complete-targeting-guide")</f>
        <v>https://www.osmos.ai/blog/first-party-data-in-retail-media-the-complete-targeting-guide</v>
      </c>
      <c r="B36" s="15" t="str">
        <f>IFERROR(__xludf.DUMMYFUNCTION("""COMPUTED_VALUE"""),"First-Party Shopper Data in Retail Media: 2026 Playbook")</f>
        <v>First-Party Shopper Data in Retail Media: 2026 Playbook</v>
      </c>
      <c r="C36" s="14" t="str">
        <f>IFERROR(__xludf.DUMMYFUNCTION("""COMPUTED_VALUE"""),"osmos.ai")</f>
        <v>osmos.ai</v>
      </c>
      <c r="D36" s="15" t="str">
        <f>IFERROR(__xludf.DUMMYFUNCTION("""COMPUTED_VALUE"""),"HOW_TO_GUIDE")</f>
        <v>HOW_TO_GUIDE</v>
      </c>
      <c r="E36" s="15" t="str">
        <f>IFERROR(__xludf.DUMMYFUNCTION("""COMPUTED_VALUE"""),"CORPORATE")</f>
        <v>CORPORATE</v>
      </c>
      <c r="F36" s="15" t="str">
        <f>IFERROR(__xludf.DUMMYFUNCTION("""COMPUTED_VALUE"""),"How-To Guide")</f>
        <v>How-To Guide</v>
      </c>
      <c r="G36" s="15" t="b">
        <f>IFERROR(__xludf.DUMMYFUNCTION("""COMPUTED_VALUE"""),FALSE)</f>
        <v>0</v>
      </c>
      <c r="H36" s="15" t="str">
        <f>IFERROR(__xludf.DUMMYFUNCTION("""COMPUTED_VALUE"""),"Impression, Nielsen, YouGov, Found")</f>
        <v>Impression, Nielsen, YouGov, Found</v>
      </c>
      <c r="I36" s="15">
        <f>IFERROR(__xludf.DUMMYFUNCTION("""COMPUTED_VALUE"""),1.0)</f>
        <v>1</v>
      </c>
      <c r="J36" s="15">
        <f>IFERROR(__xludf.DUMMYFUNCTION("""COMPUTED_VALUE"""),0.0)</f>
        <v>0</v>
      </c>
      <c r="K36" s="15">
        <f>IFERROR(__xludf.DUMMYFUNCTION("""COMPUTED_VALUE"""),2.0)</f>
        <v>2</v>
      </c>
    </row>
    <row r="37" ht="15.75" customHeight="1">
      <c r="A37" s="14" t="str">
        <f>IFERROR(__xludf.DUMMYFUNCTION("""COMPUTED_VALUE"""),"https://promoguy.nl/blog/2026/02/12/incrementality-testing-for-marketing-promotion/")</f>
        <v>https://promoguy.nl/blog/2026/02/12/incrementality-testing-for-marketing-promotion/</v>
      </c>
      <c r="B37" s="15" t="str">
        <f>IFERROR(__xludf.DUMMYFUNCTION("""COMPUTED_VALUE"""),"Incrementality Testing For Marketing &amp;amp; Promotion - Promoguy Digital Marketing Agency")</f>
        <v>Incrementality Testing For Marketing &amp;amp; Promotion - Promoguy Digital Marketing Agency</v>
      </c>
      <c r="C37" s="14" t="str">
        <f>IFERROR(__xludf.DUMMYFUNCTION("""COMPUTED_VALUE"""),"promoguy.nl")</f>
        <v>promoguy.nl</v>
      </c>
      <c r="D37" s="15" t="str">
        <f>IFERROR(__xludf.DUMMYFUNCTION("""COMPUTED_VALUE"""),"HOW_TO_GUIDE")</f>
        <v>HOW_TO_GUIDE</v>
      </c>
      <c r="E37" s="15" t="str">
        <f>IFERROR(__xludf.DUMMYFUNCTION("""COMPUTED_VALUE"""),"CORPORATE")</f>
        <v>CORPORATE</v>
      </c>
      <c r="F37" s="15" t="str">
        <f>IFERROR(__xludf.DUMMYFUNCTION("""COMPUTED_VALUE"""),"How-To Guide")</f>
        <v>How-To Guide</v>
      </c>
      <c r="G37" s="15" t="b">
        <f>IFERROR(__xludf.DUMMYFUNCTION("""COMPUTED_VALUE"""),FALSE)</f>
        <v>0</v>
      </c>
      <c r="H37" s="15" t="str">
        <f>IFERROR(__xludf.DUMMYFUNCTION("""COMPUTED_VALUE"""),"Haus, Measured")</f>
        <v>Haus, Measured</v>
      </c>
      <c r="I37" s="15">
        <f>IFERROR(__xludf.DUMMYFUNCTION("""COMPUTED_VALUE"""),1.0)</f>
        <v>1</v>
      </c>
      <c r="J37" s="15">
        <f>IFERROR(__xludf.DUMMYFUNCTION("""COMPUTED_VALUE"""),0.0)</f>
        <v>0</v>
      </c>
      <c r="K37" s="15">
        <f>IFERROR(__xludf.DUMMYFUNCTION("""COMPUTED_VALUE"""),0.0)</f>
        <v>0</v>
      </c>
    </row>
    <row r="38" ht="15.75" customHeight="1">
      <c r="A38" s="14" t="str">
        <f>IFERROR(__xludf.DUMMYFUNCTION("""COMPUTED_VALUE"""),"https://reply.io/blog/how-to-build-an-ai-agency/")</f>
        <v>https://reply.io/blog/how-to-build-an-ai-agency/</v>
      </c>
      <c r="B38" s="15" t="str">
        <f>IFERROR(__xludf.DUMMYFUNCTION("""COMPUTED_VALUE"""),"How to Build an AI Agency: Your Quick-Start Guide for 2026 – Reply")</f>
        <v>How to Build an AI Agency: Your Quick-Start Guide for 2026 – Reply</v>
      </c>
      <c r="C38" s="14" t="str">
        <f>IFERROR(__xludf.DUMMYFUNCTION("""COMPUTED_VALUE"""),"reply.io")</f>
        <v>reply.io</v>
      </c>
      <c r="D38" s="15" t="str">
        <f>IFERROR(__xludf.DUMMYFUNCTION("""COMPUTED_VALUE"""),"HOW_TO_GUIDE")</f>
        <v>HOW_TO_GUIDE</v>
      </c>
      <c r="E38" s="15" t="str">
        <f>IFERROR(__xludf.DUMMYFUNCTION("""COMPUTED_VALUE"""),"CORPORATE")</f>
        <v>CORPORATE</v>
      </c>
      <c r="F38" s="15" t="str">
        <f>IFERROR(__xludf.DUMMYFUNCTION("""COMPUTED_VALUE"""),"How-To Guide")</f>
        <v>How-To Guide</v>
      </c>
      <c r="G38" s="15" t="b">
        <f>IFERROR(__xludf.DUMMYFUNCTION("""COMPUTED_VALUE"""),FALSE)</f>
        <v>0</v>
      </c>
      <c r="H38" s="15" t="str">
        <f>IFERROR(__xludf.DUMMYFUNCTION("""COMPUTED_VALUE"""),"Huge, EY")</f>
        <v>Huge, EY</v>
      </c>
      <c r="I38" s="15">
        <f>IFERROR(__xludf.DUMMYFUNCTION("""COMPUTED_VALUE"""),1.0)</f>
        <v>1</v>
      </c>
      <c r="J38" s="15">
        <f>IFERROR(__xludf.DUMMYFUNCTION("""COMPUTED_VALUE"""),0.0)</f>
        <v>0</v>
      </c>
      <c r="K38" s="15">
        <f>IFERROR(__xludf.DUMMYFUNCTION("""COMPUTED_VALUE"""),0.0)</f>
        <v>0</v>
      </c>
    </row>
    <row r="39" ht="15.75" customHeight="1">
      <c r="A39" s="14" t="str">
        <f>IFERROR(__xludf.DUMMYFUNCTION("""COMPUTED_VALUE"""),"https://www.rightsideup.com/blog/guide-to-marketing-incrementality-testing")</f>
        <v>https://www.rightsideup.com/blog/guide-to-marketing-incrementality-testing</v>
      </c>
      <c r="B39" s="15" t="str">
        <f>IFERROR(__xludf.DUMMYFUNCTION("""COMPUTED_VALUE"""),"Marketing Incrementality Testing: A Complete Guide to Measuring What Matters")</f>
        <v>Marketing Incrementality Testing: A Complete Guide to Measuring What Matters</v>
      </c>
      <c r="C39" s="14" t="str">
        <f>IFERROR(__xludf.DUMMYFUNCTION("""COMPUTED_VALUE"""),"rightsideup.com")</f>
        <v>rightsideup.com</v>
      </c>
      <c r="D39" s="15" t="str">
        <f>IFERROR(__xludf.DUMMYFUNCTION("""COMPUTED_VALUE"""),"HOW_TO_GUIDE")</f>
        <v>HOW_TO_GUIDE</v>
      </c>
      <c r="E39" s="15" t="str">
        <f>IFERROR(__xludf.DUMMYFUNCTION("""COMPUTED_VALUE"""),"CORPORATE")</f>
        <v>CORPORATE</v>
      </c>
      <c r="F39" s="15" t="str">
        <f>IFERROR(__xludf.DUMMYFUNCTION("""COMPUTED_VALUE"""),"How-To Guide")</f>
        <v>How-To Guide</v>
      </c>
      <c r="G39" s="15" t="b">
        <f>IFERROR(__xludf.DUMMYFUNCTION("""COMPUTED_VALUE"""),FALSE)</f>
        <v>0</v>
      </c>
      <c r="H39" s="15" t="str">
        <f>IFERROR(__xludf.DUMMYFUNCTION("""COMPUTED_VALUE"""),"Found, Measured")</f>
        <v>Found, Measured</v>
      </c>
      <c r="I39" s="15">
        <f>IFERROR(__xludf.DUMMYFUNCTION("""COMPUTED_VALUE"""),1.0)</f>
        <v>1</v>
      </c>
      <c r="J39" s="15">
        <f>IFERROR(__xludf.DUMMYFUNCTION("""COMPUTED_VALUE"""),0.0)</f>
        <v>0</v>
      </c>
      <c r="K39" s="15">
        <f>IFERROR(__xludf.DUMMYFUNCTION("""COMPUTED_VALUE"""),0.0)</f>
        <v>0</v>
      </c>
    </row>
    <row r="40" ht="15.75" customHeight="1">
      <c r="A40" s="14" t="str">
        <f>IFERROR(__xludf.DUMMYFUNCTION("""COMPUTED_VALUE"""),"https://sellforte.com/support/sellforte-experiments-geo-lift")</f>
        <v>https://sellforte.com/support/sellforte-experiments-geo-lift</v>
      </c>
      <c r="B40" s="15" t="str">
        <f>IFERROR(__xludf.DUMMYFUNCTION("""COMPUTED_VALUE"""),"Sellforte Experiments: Geo Lift")</f>
        <v>Sellforte Experiments: Geo Lift</v>
      </c>
      <c r="C40" s="14" t="str">
        <f>IFERROR(__xludf.DUMMYFUNCTION("""COMPUTED_VALUE"""),"sellforte.com")</f>
        <v>sellforte.com</v>
      </c>
      <c r="D40" s="15" t="str">
        <f>IFERROR(__xludf.DUMMYFUNCTION("""COMPUTED_VALUE"""),"HOW_TO_GUIDE")</f>
        <v>HOW_TO_GUIDE</v>
      </c>
      <c r="E40" s="15" t="str">
        <f>IFERROR(__xludf.DUMMYFUNCTION("""COMPUTED_VALUE"""),"COMPETITOR")</f>
        <v>COMPETITOR</v>
      </c>
      <c r="F40" s="15" t="str">
        <f>IFERROR(__xludf.DUMMYFUNCTION("""COMPUTED_VALUE"""),"How-To Guide")</f>
        <v>How-To Guide</v>
      </c>
      <c r="G40" s="15" t="b">
        <f>IFERROR(__xludf.DUMMYFUNCTION("""COMPUTED_VALUE"""),FALSE)</f>
        <v>0</v>
      </c>
      <c r="H40" s="15" t="str">
        <f>IFERROR(__xludf.DUMMYFUNCTION("""COMPUTED_VALUE"""),"Sellforte")</f>
        <v>Sellforte</v>
      </c>
      <c r="I40" s="15">
        <f>IFERROR(__xludf.DUMMYFUNCTION("""COMPUTED_VALUE"""),1.0)</f>
        <v>1</v>
      </c>
      <c r="J40" s="15">
        <f>IFERROR(__xludf.DUMMYFUNCTION("""COMPUTED_VALUE"""),0.0)</f>
        <v>0</v>
      </c>
      <c r="K40" s="15">
        <f>IFERROR(__xludf.DUMMYFUNCTION("""COMPUTED_VALUE"""),0.0)</f>
        <v>0</v>
      </c>
    </row>
    <row r="41" ht="15.75" customHeight="1">
      <c r="A41" s="14" t="str">
        <f>IFERROR(__xludf.DUMMYFUNCTION("""COMPUTED_VALUE"""),"https://www.stackadapt.com/resources/blog/first-party-data-strategy")</f>
        <v>https://www.stackadapt.com/resources/blog/first-party-data-strategy</v>
      </c>
      <c r="B41" s="15" t="str">
        <f>IFERROR(__xludf.DUMMYFUNCTION("""COMPUTED_VALUE"""),"First-party data strategy: An in-depth guide for marketers")</f>
        <v>First-party data strategy: An in-depth guide for marketers</v>
      </c>
      <c r="C41" s="14" t="str">
        <f>IFERROR(__xludf.DUMMYFUNCTION("""COMPUTED_VALUE"""),"stackadapt.com")</f>
        <v>stackadapt.com</v>
      </c>
      <c r="D41" s="15" t="str">
        <f>IFERROR(__xludf.DUMMYFUNCTION("""COMPUTED_VALUE"""),"HOW_TO_GUIDE")</f>
        <v>HOW_TO_GUIDE</v>
      </c>
      <c r="E41" s="15" t="str">
        <f>IFERROR(__xludf.DUMMYFUNCTION("""COMPUTED_VALUE"""),"CORPORATE")</f>
        <v>CORPORATE</v>
      </c>
      <c r="F41" s="15" t="str">
        <f>IFERROR(__xludf.DUMMYFUNCTION("""COMPUTED_VALUE"""),"How-To Guide")</f>
        <v>How-To Guide</v>
      </c>
      <c r="G41" s="15" t="b">
        <f>IFERROR(__xludf.DUMMYFUNCTION("""COMPUTED_VALUE"""),FALSE)</f>
        <v>0</v>
      </c>
      <c r="H41" s="15" t="str">
        <f>IFERROR(__xludf.DUMMYFUNCTION("""COMPUTED_VALUE"""),"Found, Push")</f>
        <v>Found, Push</v>
      </c>
      <c r="I41" s="15">
        <f>IFERROR(__xludf.DUMMYFUNCTION("""COMPUTED_VALUE"""),1.0)</f>
        <v>1</v>
      </c>
      <c r="J41" s="15">
        <f>IFERROR(__xludf.DUMMYFUNCTION("""COMPUTED_VALUE"""),0.0)</f>
        <v>0</v>
      </c>
      <c r="K41" s="15">
        <f>IFERROR(__xludf.DUMMYFUNCTION("""COMPUTED_VALUE"""),1.0)</f>
        <v>1</v>
      </c>
    </row>
    <row r="42" ht="15.75" customHeight="1">
      <c r="A42" s="14" t="str">
        <f>IFERROR(__xludf.DUMMYFUNCTION("""COMPUTED_VALUE"""),"https://support.google.com/google-ads/answer/9702452?hl=en-GB")</f>
        <v>https://support.google.com/google-ads/answer/9702452?hl=en-GB</v>
      </c>
      <c r="B42" s="15" t="str">
        <f>IFERROR(__xludf.DUMMYFUNCTION("""COMPUTED_VALUE"""),"How to become a Google Partner or Premier Partner")</f>
        <v>How to become a Google Partner or Premier Partner</v>
      </c>
      <c r="C42" s="14" t="str">
        <f>IFERROR(__xludf.DUMMYFUNCTION("""COMPUTED_VALUE"""),"google.com")</f>
        <v>google.com</v>
      </c>
      <c r="D42" s="15" t="str">
        <f>IFERROR(__xludf.DUMMYFUNCTION("""COMPUTED_VALUE"""),"HOW_TO_GUIDE")</f>
        <v>HOW_TO_GUIDE</v>
      </c>
      <c r="E42" s="15" t="str">
        <f>IFERROR(__xludf.DUMMYFUNCTION("""COMPUTED_VALUE"""),"OTHER")</f>
        <v>OTHER</v>
      </c>
      <c r="F42" s="15" t="str">
        <f>IFERROR(__xludf.DUMMYFUNCTION("""COMPUTED_VALUE"""),"How-To Guide")</f>
        <v>How-To Guide</v>
      </c>
      <c r="G42" s="15" t="b">
        <f>IFERROR(__xludf.DUMMYFUNCTION("""COMPUTED_VALUE"""),FALSE)</f>
        <v>0</v>
      </c>
      <c r="H42" s="15" t="str">
        <f>IFERROR(__xludf.DUMMYFUNCTION("""COMPUTED_VALUE"""),"Measured")</f>
        <v>Measured</v>
      </c>
      <c r="I42" s="15">
        <f>IFERROR(__xludf.DUMMYFUNCTION("""COMPUTED_VALUE"""),1.0)</f>
        <v>1</v>
      </c>
      <c r="J42" s="15">
        <f>IFERROR(__xludf.DUMMYFUNCTION("""COMPUTED_VALUE"""),0.0)</f>
        <v>0</v>
      </c>
      <c r="K42" s="15">
        <f>IFERROR(__xludf.DUMMYFUNCTION("""COMPUTED_VALUE"""),0.0)</f>
        <v>0</v>
      </c>
    </row>
    <row r="43" ht="15.75" customHeight="1">
      <c r="A43" s="14" t="str">
        <f>IFERROR(__xludf.DUMMYFUNCTION("""COMPUTED_VALUE"""),"https://tabular.email/blog/agency-pricing-models")</f>
        <v>https://tabular.email/blog/agency-pricing-models</v>
      </c>
      <c r="B43" s="15" t="str">
        <f>IFERROR(__xludf.DUMMYFUNCTION("""COMPUTED_VALUE"""),"10 Proven Agency Pricing Models to Double Your Profit Margins This Month")</f>
        <v>10 Proven Agency Pricing Models to Double Your Profit Margins This Month</v>
      </c>
      <c r="C43" s="15" t="str">
        <f>IFERROR(__xludf.DUMMYFUNCTION("""COMPUTED_VALUE"""),"tabular.email")</f>
        <v>tabular.email</v>
      </c>
      <c r="D43" s="15" t="str">
        <f>IFERROR(__xludf.DUMMYFUNCTION("""COMPUTED_VALUE"""),"HOW_TO_GUIDE")</f>
        <v>HOW_TO_GUIDE</v>
      </c>
      <c r="E43" s="15" t="str">
        <f>IFERROR(__xludf.DUMMYFUNCTION("""COMPUTED_VALUE"""),"CORPORATE")</f>
        <v>CORPORATE</v>
      </c>
      <c r="F43" s="15" t="str">
        <f>IFERROR(__xludf.DUMMYFUNCTION("""COMPUTED_VALUE"""),"How-To Guide")</f>
        <v>How-To Guide</v>
      </c>
      <c r="G43" s="15" t="b">
        <f>IFERROR(__xludf.DUMMYFUNCTION("""COMPUTED_VALUE"""),FALSE)</f>
        <v>0</v>
      </c>
      <c r="H43" s="15"/>
      <c r="I43" s="15">
        <f>IFERROR(__xludf.DUMMYFUNCTION("""COMPUTED_VALUE"""),1.0)</f>
        <v>1</v>
      </c>
      <c r="J43" s="15">
        <f>IFERROR(__xludf.DUMMYFUNCTION("""COMPUTED_VALUE"""),0.0)</f>
        <v>0</v>
      </c>
      <c r="K43" s="15">
        <f>IFERROR(__xludf.DUMMYFUNCTION("""COMPUTED_VALUE"""),1.0)</f>
        <v>1</v>
      </c>
    </row>
    <row r="44" ht="15.75" customHeight="1">
      <c r="A44" s="14" t="str">
        <f>IFERROR(__xludf.DUMMYFUNCTION("""COMPUTED_VALUE"""),"https://www.tilio.co.uk/learn/how-to-choose-an-aeo-agency-in-the-uk")</f>
        <v>https://www.tilio.co.uk/learn/how-to-choose-an-aeo-agency-in-the-uk</v>
      </c>
      <c r="B44" s="15" t="str">
        <f>IFERROR(__xludf.DUMMYFUNCTION("""COMPUTED_VALUE"""),"How to choose an AEO agency in the UK | Tilio")</f>
        <v>How to choose an AEO agency in the UK | Tilio</v>
      </c>
      <c r="C44" s="14" t="str">
        <f>IFERROR(__xludf.DUMMYFUNCTION("""COMPUTED_VALUE"""),"tilio.co.uk")</f>
        <v>tilio.co.uk</v>
      </c>
      <c r="D44" s="15" t="str">
        <f>IFERROR(__xludf.DUMMYFUNCTION("""COMPUTED_VALUE"""),"HOW_TO_GUIDE")</f>
        <v>HOW_TO_GUIDE</v>
      </c>
      <c r="E44" s="15" t="str">
        <f>IFERROR(__xludf.DUMMYFUNCTION("""COMPUTED_VALUE"""),"COMPETITOR")</f>
        <v>COMPETITOR</v>
      </c>
      <c r="F44" s="15" t="str">
        <f>IFERROR(__xludf.DUMMYFUNCTION("""COMPUTED_VALUE"""),"How-To Guide")</f>
        <v>How-To Guide</v>
      </c>
      <c r="G44" s="15" t="b">
        <f>IFERROR(__xludf.DUMMYFUNCTION("""COMPUTED_VALUE"""),FALSE)</f>
        <v>0</v>
      </c>
      <c r="H44" s="15" t="str">
        <f>IFERROR(__xludf.DUMMYFUNCTION("""COMPUTED_VALUE"""),"Tilio, Measured")</f>
        <v>Tilio, Measured</v>
      </c>
      <c r="I44" s="15">
        <f>IFERROR(__xludf.DUMMYFUNCTION("""COMPUTED_VALUE"""),1.0)</f>
        <v>1</v>
      </c>
      <c r="J44" s="15">
        <f>IFERROR(__xludf.DUMMYFUNCTION("""COMPUTED_VALUE"""),0.0)</f>
        <v>0</v>
      </c>
      <c r="K44" s="15">
        <f>IFERROR(__xludf.DUMMYFUNCTION("""COMPUTED_VALUE"""),0.0)</f>
        <v>0</v>
      </c>
    </row>
    <row r="45" ht="15.75" customHeight="1">
      <c r="A45" s="14" t="str">
        <f>IFERROR(__xludf.DUMMYFUNCTION("""COMPUTED_VALUE"""),"https://understoryagency.com/blog/paid-organic-earned-media-saas-guide")</f>
        <v>https://understoryagency.com/blog/paid-organic-earned-media-saas-guide</v>
      </c>
      <c r="B45" s="15" t="str">
        <f>IFERROR(__xludf.DUMMYFUNCTION("""COMPUTED_VALUE"""),"Your complete guide to paid, organic, and earned media \| Understory")</f>
        <v>Your complete guide to paid, organic, and earned media \| Understory</v>
      </c>
      <c r="C45" s="14" t="str">
        <f>IFERROR(__xludf.DUMMYFUNCTION("""COMPUTED_VALUE"""),"understoryagency.com")</f>
        <v>understoryagency.com</v>
      </c>
      <c r="D45" s="15" t="str">
        <f>IFERROR(__xludf.DUMMYFUNCTION("""COMPUTED_VALUE"""),"HOW_TO_GUIDE")</f>
        <v>HOW_TO_GUIDE</v>
      </c>
      <c r="E45" s="15" t="str">
        <f>IFERROR(__xludf.DUMMYFUNCTION("""COMPUTED_VALUE"""),"CORPORATE")</f>
        <v>CORPORATE</v>
      </c>
      <c r="F45" s="15" t="str">
        <f>IFERROR(__xludf.DUMMYFUNCTION("""COMPUTED_VALUE"""),"How-To Guide")</f>
        <v>How-To Guide</v>
      </c>
      <c r="G45" s="15" t="b">
        <f>IFERROR(__xludf.DUMMYFUNCTION("""COMPUTED_VALUE"""),FALSE)</f>
        <v>0</v>
      </c>
      <c r="H45" s="15" t="str">
        <f>IFERROR(__xludf.DUMMYFUNCTION("""COMPUTED_VALUE"""),"Impression, Measured")</f>
        <v>Impression, Measured</v>
      </c>
      <c r="I45" s="15">
        <f>IFERROR(__xludf.DUMMYFUNCTION("""COMPUTED_VALUE"""),1.0)</f>
        <v>1</v>
      </c>
      <c r="J45" s="15">
        <f>IFERROR(__xludf.DUMMYFUNCTION("""COMPUTED_VALUE"""),0.0)</f>
        <v>0</v>
      </c>
      <c r="K45" s="15">
        <f>IFERROR(__xludf.DUMMYFUNCTION("""COMPUTED_VALUE"""),1.0)</f>
        <v>1</v>
      </c>
    </row>
    <row r="46" ht="15.75" customHeight="1">
      <c r="A46" s="14" t="str">
        <f>IFERROR(__xludf.DUMMYFUNCTION("""COMPUTED_VALUE"""),"https://usercentrics.com/guides/future-of-data-in-marketing/first-party-data-marketing/")</f>
        <v>https://usercentrics.com/guides/future-of-data-in-marketing/first-party-data-marketing/</v>
      </c>
      <c r="B46" s="15" t="str">
        <f>IFERROR(__xludf.DUMMYFUNCTION("""COMPUTED_VALUE"""),"First-Party Data Marketing | Tips &amp;amp; Strategies for 2026")</f>
        <v>First-Party Data Marketing | Tips &amp;amp; Strategies for 2026</v>
      </c>
      <c r="C46" s="14" t="str">
        <f>IFERROR(__xludf.DUMMYFUNCTION("""COMPUTED_VALUE"""),"usercentrics.com")</f>
        <v>usercentrics.com</v>
      </c>
      <c r="D46" s="15" t="str">
        <f>IFERROR(__xludf.DUMMYFUNCTION("""COMPUTED_VALUE"""),"HOW_TO_GUIDE")</f>
        <v>HOW_TO_GUIDE</v>
      </c>
      <c r="E46" s="15" t="str">
        <f>IFERROR(__xludf.DUMMYFUNCTION("""COMPUTED_VALUE"""),"CORPORATE")</f>
        <v>CORPORATE</v>
      </c>
      <c r="F46" s="15" t="str">
        <f>IFERROR(__xludf.DUMMYFUNCTION("""COMPUTED_VALUE"""),"How-To Guide")</f>
        <v>How-To Guide</v>
      </c>
      <c r="G46" s="15" t="b">
        <f>IFERROR(__xludf.DUMMYFUNCTION("""COMPUTED_VALUE"""),FALSE)</f>
        <v>0</v>
      </c>
      <c r="H46" s="15"/>
      <c r="I46" s="15">
        <f>IFERROR(__xludf.DUMMYFUNCTION("""COMPUTED_VALUE"""),1.0)</f>
        <v>1</v>
      </c>
      <c r="J46" s="15">
        <f>IFERROR(__xludf.DUMMYFUNCTION("""COMPUTED_VALUE"""),0.0)</f>
        <v>0</v>
      </c>
      <c r="K46" s="15">
        <f>IFERROR(__xludf.DUMMYFUNCTION("""COMPUTED_VALUE"""),0.0)</f>
        <v>0</v>
      </c>
    </row>
    <row r="47" ht="15.75" customHeight="1">
      <c r="A47" s="14" t="str">
        <f>IFERROR(__xludf.DUMMYFUNCTION("""COMPUTED_VALUE"""),"https://www.youtube.com/watch?v=dtlZTULGX4A")</f>
        <v>https://www.youtube.com/watch?v=dtlZTULGX4A</v>
      </c>
      <c r="B47" s="15" t="str">
        <f>IFERROR(__xludf.DUMMYFUNCTION("""COMPUTED_VALUE"""),"GEO Keyword Research and Tracking AI Search Results For Your Main Keywords")</f>
        <v>GEO Keyword Research and Tracking AI Search Results For Your Main Keywords</v>
      </c>
      <c r="C47" s="14" t="str">
        <f>IFERROR(__xludf.DUMMYFUNCTION("""COMPUTED_VALUE"""),"youtube.com")</f>
        <v>youtube.com</v>
      </c>
      <c r="D47" s="15" t="str">
        <f>IFERROR(__xludf.DUMMYFUNCTION("""COMPUTED_VALUE"""),"HOW_TO_GUIDE")</f>
        <v>HOW_TO_GUIDE</v>
      </c>
      <c r="E47" s="15" t="str">
        <f>IFERROR(__xludf.DUMMYFUNCTION("""COMPUTED_VALUE"""),"UGC")</f>
        <v>UGC</v>
      </c>
      <c r="F47" s="15" t="str">
        <f>IFERROR(__xludf.DUMMYFUNCTION("""COMPUTED_VALUE"""),"How-To Guide")</f>
        <v>How-To Guide</v>
      </c>
      <c r="G47" s="15" t="b">
        <f>IFERROR(__xludf.DUMMYFUNCTION("""COMPUTED_VALUE"""),FALSE)</f>
        <v>0</v>
      </c>
      <c r="H47" s="15" t="str">
        <f>IFERROR(__xludf.DUMMYFUNCTION("""COMPUTED_VALUE"""),"Found, Huge")</f>
        <v>Found, Huge</v>
      </c>
      <c r="I47" s="15">
        <f>IFERROR(__xludf.DUMMYFUNCTION("""COMPUTED_VALUE"""),1.0)</f>
        <v>1</v>
      </c>
      <c r="J47" s="15">
        <f>IFERROR(__xludf.DUMMYFUNCTION("""COMPUTED_VALUE"""),0.0)</f>
        <v>0</v>
      </c>
      <c r="K47" s="15">
        <f>IFERROR(__xludf.DUMMYFUNCTION("""COMPUTED_VALUE"""),1.0)</f>
        <v>1</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A14"/>
    <hyperlink r:id="rId24" ref="C14"/>
    <hyperlink r:id="rId25" ref="A15"/>
    <hyperlink r:id="rId26" ref="C15"/>
    <hyperlink r:id="rId27" ref="A16"/>
    <hyperlink r:id="rId28" ref="C16"/>
    <hyperlink r:id="rId29" ref="A17"/>
    <hyperlink r:id="rId30" ref="C17"/>
    <hyperlink r:id="rId31" ref="A18"/>
    <hyperlink r:id="rId32" ref="C18"/>
    <hyperlink r:id="rId33" ref="A19"/>
    <hyperlink r:id="rId34" ref="C19"/>
    <hyperlink r:id="rId35" ref="A20"/>
    <hyperlink r:id="rId36" ref="C20"/>
    <hyperlink r:id="rId37" ref="A21"/>
    <hyperlink r:id="rId38" ref="C21"/>
    <hyperlink r:id="rId39" ref="A22"/>
    <hyperlink r:id="rId40" ref="C22"/>
    <hyperlink r:id="rId41" ref="A23"/>
    <hyperlink r:id="rId42" ref="C23"/>
    <hyperlink r:id="rId43" ref="A24"/>
    <hyperlink r:id="rId44" ref="C24"/>
    <hyperlink r:id="rId45" ref="A25"/>
    <hyperlink r:id="rId46" ref="C25"/>
    <hyperlink r:id="rId47" ref="A26"/>
    <hyperlink r:id="rId48" ref="C26"/>
    <hyperlink r:id="rId49" ref="A27"/>
    <hyperlink r:id="rId50" ref="C27"/>
    <hyperlink r:id="rId51" ref="A28"/>
    <hyperlink r:id="rId52" ref="C28"/>
    <hyperlink r:id="rId53" ref="A29"/>
    <hyperlink r:id="rId54" ref="C29"/>
    <hyperlink r:id="rId55" ref="A30"/>
    <hyperlink r:id="rId56" ref="C30"/>
    <hyperlink r:id="rId57" ref="A31"/>
    <hyperlink r:id="rId58" ref="C31"/>
    <hyperlink r:id="rId59" ref="A32"/>
    <hyperlink r:id="rId60" ref="C32"/>
    <hyperlink r:id="rId61" ref="A33"/>
    <hyperlink r:id="rId62" ref="C33"/>
    <hyperlink r:id="rId63" ref="A34"/>
    <hyperlink r:id="rId64" ref="C34"/>
    <hyperlink r:id="rId65" ref="A35"/>
    <hyperlink r:id="rId66" ref="C35"/>
    <hyperlink r:id="rId67" ref="A36"/>
    <hyperlink r:id="rId68" ref="C36"/>
    <hyperlink r:id="rId69" ref="A37"/>
    <hyperlink r:id="rId70" ref="C37"/>
    <hyperlink r:id="rId71" ref="A38"/>
    <hyperlink r:id="rId72" ref="C38"/>
    <hyperlink r:id="rId73" ref="A39"/>
    <hyperlink r:id="rId74" ref="C39"/>
    <hyperlink r:id="rId75" ref="A40"/>
    <hyperlink r:id="rId76" ref="C40"/>
    <hyperlink r:id="rId77" ref="A41"/>
    <hyperlink r:id="rId78" ref="C41"/>
    <hyperlink r:id="rId79" ref="A42"/>
    <hyperlink r:id="rId80" ref="C42"/>
    <hyperlink r:id="rId81" ref="A43"/>
    <hyperlink r:id="rId82" ref="A44"/>
    <hyperlink r:id="rId83" ref="C44"/>
    <hyperlink r:id="rId84" ref="A45"/>
    <hyperlink r:id="rId85" ref="C45"/>
    <hyperlink r:id="rId86" ref="A46"/>
    <hyperlink r:id="rId87" ref="C46"/>
    <hyperlink r:id="rId88" ref="A47"/>
    <hyperlink r:id="rId89" ref="C47"/>
  </hyperlinks>
  <drawing r:id="rId90"/>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All'!D2:D1000)))=""listicle""
  ),
  """"
)"),"https://we-discover.com/blog/the-top-15-performance-marketing-agencies-in-the-uk-updated-2026/")</f>
        <v>https://we-discover.com/blog/the-top-15-performance-marketing-agencies-in-the-uk-updated-2026/</v>
      </c>
      <c r="B2" s="15" t="str">
        <f>IFERROR(__xludf.DUMMYFUNCTION("""COMPUTED_VALUE"""),"The Top 15 Performance Marketing Agencies in the UK (Updated 2026) - WeDiscover")</f>
        <v>The Top 15 Performance Marketing Agencies in the UK (Updated 2026) - WeDiscover</v>
      </c>
      <c r="C2" s="14" t="str">
        <f>IFERROR(__xludf.DUMMYFUNCTION("""COMPUTED_VALUE"""),"we-discover.com")</f>
        <v>we-discover.com</v>
      </c>
      <c r="D2" s="15" t="str">
        <f>IFERROR(__xludf.DUMMYFUNCTION("""COMPUTED_VALUE"""),"LISTICLE")</f>
        <v>LISTICLE</v>
      </c>
      <c r="E2" s="15" t="str">
        <f>IFERROR(__xludf.DUMMYFUNCTION("""COMPUTED_VALUE"""),"COMPETITOR")</f>
        <v>COMPETITOR</v>
      </c>
      <c r="F2" s="15" t="str">
        <f>IFERROR(__xludf.DUMMYFUNCTION("""COMPUTED_VALUE"""),"Listicle")</f>
        <v>Listicle</v>
      </c>
      <c r="G2" s="15" t="b">
        <f>IFERROR(__xludf.DUMMYFUNCTION("""COMPUTED_VALUE"""),FALSE)</f>
        <v>0</v>
      </c>
      <c r="H2" s="15" t="str">
        <f>IFERROR(__xludf.DUMMYFUNCTION("""COMPUTED_VALUE"""),"weDiscover, Momentum, Impression, Croud, Journey Further, Hallam, Propellernet, Bind Media, Bark London, Measured")</f>
        <v>weDiscover, Momentum, Impression, Croud, Journey Further, Hallam, Propellernet, Bind Media, Bark London, Measured</v>
      </c>
      <c r="I2" s="15">
        <f>IFERROR(__xludf.DUMMYFUNCTION("""COMPUTED_VALUE"""),168.0)</f>
        <v>168</v>
      </c>
      <c r="J2" s="15">
        <f>IFERROR(__xludf.DUMMYFUNCTION("""COMPUTED_VALUE"""),0.16)</f>
        <v>0.16</v>
      </c>
      <c r="K2" s="15">
        <f>IFERROR(__xludf.DUMMYFUNCTION("""COMPUTED_VALUE"""),1.56)</f>
        <v>1.56</v>
      </c>
    </row>
    <row r="3" ht="15.75" customHeight="1">
      <c r="A3" s="14" t="str">
        <f>IFERROR(__xludf.DUMMYFUNCTION("""COMPUTED_VALUE"""),"https://www.vxtx.co.uk/blog/best-performance-marketing-agencies-uk-2026-top-10-ranked")</f>
        <v>https://www.vxtx.co.uk/blog/best-performance-marketing-agencies-uk-2026-top-10-ranked</v>
      </c>
      <c r="B3" s="15" t="str">
        <f>IFERROR(__xludf.DUMMYFUNCTION("""COMPUTED_VALUE"""),"The Best Performance Marketing Agencies in the UK for 2026 (Top 10 Ranked) | VXTX Performance Marketing Blog")</f>
        <v>The Best Performance Marketing Agencies in the UK for 2026 (Top 10 Ranked) | VXTX Performance Marketing Blog</v>
      </c>
      <c r="C3" s="14" t="str">
        <f>IFERROR(__xludf.DUMMYFUNCTION("""COMPUTED_VALUE"""),"vxtx.co.uk")</f>
        <v>vxtx.co.uk</v>
      </c>
      <c r="D3" s="15" t="str">
        <f>IFERROR(__xludf.DUMMYFUNCTION("""COMPUTED_VALUE"""),"LISTICLE")</f>
        <v>LISTICLE</v>
      </c>
      <c r="E3" s="15" t="str">
        <f>IFERROR(__xludf.DUMMYFUNCTION("""COMPUTED_VALUE"""),"COMPETITOR")</f>
        <v>COMPETITOR</v>
      </c>
      <c r="F3" s="15" t="str">
        <f>IFERROR(__xludf.DUMMYFUNCTION("""COMPUTED_VALUE"""),"Listicle")</f>
        <v>Listicle</v>
      </c>
      <c r="G3" s="15" t="b">
        <f>IFERROR(__xludf.DUMMYFUNCTION("""COMPUTED_VALUE"""),FALSE)</f>
        <v>0</v>
      </c>
      <c r="H3" s="15" t="str">
        <f>IFERROR(__xludf.DUMMYFUNCTION("""COMPUTED_VALUE"""),"VXTX, weDiscover, Impression, Croud, The Social Shepherd, NP Digital, PPC Geeks, Gravity Global, The Brains, Momentum")</f>
        <v>VXTX, weDiscover, Impression, Croud, The Social Shepherd, NP Digital, PPC Geeks, Gravity Global, The Brains, Momentum</v>
      </c>
      <c r="I3" s="15">
        <f>IFERROR(__xludf.DUMMYFUNCTION("""COMPUTED_VALUE"""),91.0)</f>
        <v>91</v>
      </c>
      <c r="J3" s="15">
        <f>IFERROR(__xludf.DUMMYFUNCTION("""COMPUTED_VALUE"""),0.09)</f>
        <v>0.09</v>
      </c>
      <c r="K3" s="15">
        <f>IFERROR(__xludf.DUMMYFUNCTION("""COMPUTED_VALUE"""),1.77)</f>
        <v>1.77</v>
      </c>
    </row>
    <row r="4" ht="15.75" customHeight="1">
      <c r="A4" s="14" t="str">
        <f>IFERROR(__xludf.DUMMYFUNCTION("""COMPUTED_VALUE"""),"https://www.pushgroup.co.uk/blog/top-9-ai-marketing-agencies-in-the-uk")</f>
        <v>https://www.pushgroup.co.uk/blog/top-9-ai-marketing-agencies-in-the-uk</v>
      </c>
      <c r="B4" s="15" t="str">
        <f>IFERROR(__xludf.DUMMYFUNCTION("""COMPUTED_VALUE"""),"Top 9 AI Marketing Agencies in the UK (2026) | PUSH Group")</f>
        <v>Top 9 AI Marketing Agencies in the UK (2026) | PUSH Group</v>
      </c>
      <c r="C4" s="14" t="str">
        <f>IFERROR(__xludf.DUMMYFUNCTION("""COMPUTED_VALUE"""),"pushgroup.co.uk")</f>
        <v>pushgroup.co.uk</v>
      </c>
      <c r="D4" s="15" t="str">
        <f>IFERROR(__xludf.DUMMYFUNCTION("""COMPUTED_VALUE"""),"LISTICLE")</f>
        <v>LISTICLE</v>
      </c>
      <c r="E4" s="15" t="str">
        <f>IFERROR(__xludf.DUMMYFUNCTION("""COMPUTED_VALUE"""),"COMPETITOR")</f>
        <v>COMPETITOR</v>
      </c>
      <c r="F4" s="15" t="str">
        <f>IFERROR(__xludf.DUMMYFUNCTION("""COMPUTED_VALUE"""),"Listicle")</f>
        <v>Listicle</v>
      </c>
      <c r="G4" s="15" t="b">
        <f>IFERROR(__xludf.DUMMYFUNCTION("""COMPUTED_VALUE"""),FALSE)</f>
        <v>0</v>
      </c>
      <c r="H4"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4" s="15">
        <f>IFERROR(__xludf.DUMMYFUNCTION("""COMPUTED_VALUE"""),77.0)</f>
        <v>77</v>
      </c>
      <c r="J4" s="15">
        <f>IFERROR(__xludf.DUMMYFUNCTION("""COMPUTED_VALUE"""),0.08)</f>
        <v>0.08</v>
      </c>
      <c r="K4" s="15">
        <f>IFERROR(__xludf.DUMMYFUNCTION("""COMPUTED_VALUE"""),1.42)</f>
        <v>1.42</v>
      </c>
    </row>
    <row r="5" ht="15.75" customHeight="1">
      <c r="A5" s="14" t="str">
        <f>IFERROR(__xludf.DUMMYFUNCTION("""COMPUTED_VALUE"""),"https://bind.media/insights/top-25-ppc-agencies-in-the-uk-2025")</f>
        <v>https://bind.media/insights/top-25-ppc-agencies-in-the-uk-2025</v>
      </c>
      <c r="B5" s="15" t="str">
        <f>IFERROR(__xludf.DUMMYFUNCTION("""COMPUTED_VALUE"""),"Top 25 PPC agencies in the UK [2026]")</f>
        <v>Top 25 PPC agencies in the UK [2026]</v>
      </c>
      <c r="C5" s="15" t="str">
        <f>IFERROR(__xludf.DUMMYFUNCTION("""COMPUTED_VALUE"""),"bind.media")</f>
        <v>bind.media</v>
      </c>
      <c r="D5" s="15" t="str">
        <f>IFERROR(__xludf.DUMMYFUNCTION("""COMPUTED_VALUE"""),"LISTICLE")</f>
        <v>LISTICLE</v>
      </c>
      <c r="E5" s="15" t="str">
        <f>IFERROR(__xludf.DUMMYFUNCTION("""COMPUTED_VALUE"""),"COMPETITOR")</f>
        <v>COMPETITOR</v>
      </c>
      <c r="F5" s="15" t="str">
        <f>IFERROR(__xludf.DUMMYFUNCTION("""COMPUTED_VALUE"""),"Listicle")</f>
        <v>Listicle</v>
      </c>
      <c r="G5" s="15" t="b">
        <f>IFERROR(__xludf.DUMMYFUNCTION("""COMPUTED_VALUE"""),FALSE)</f>
        <v>0</v>
      </c>
      <c r="H5" s="15" t="str">
        <f>IFERROR(__xludf.DUMMYFUNCTION("""COMPUTED_VALUE"""),"Found, Bind Media, Hallam, The Social Shepherd, Impression, Push, Push Group, Brainlabs, weDiscover, Soap Media, Croud, Launch Online, PPC Geeks, Jellyfish, Huge, Measured")</f>
        <v>Found, Bind Media, Hallam, The Social Shepherd, Impression, Push, Push Group, Brainlabs, weDiscover, Soap Media, Croud, Launch Online, PPC Geeks, Jellyfish, Huge, Measured</v>
      </c>
      <c r="I5" s="15">
        <f>IFERROR(__xludf.DUMMYFUNCTION("""COMPUTED_VALUE"""),73.0)</f>
        <v>73</v>
      </c>
      <c r="J5" s="15">
        <f>IFERROR(__xludf.DUMMYFUNCTION("""COMPUTED_VALUE"""),0.07)</f>
        <v>0.07</v>
      </c>
      <c r="K5" s="15">
        <f>IFERROR(__xludf.DUMMYFUNCTION("""COMPUTED_VALUE"""),0.84)</f>
        <v>0.84</v>
      </c>
    </row>
    <row r="6" ht="15.75" customHeight="1">
      <c r="A6" s="14" t="str">
        <f>IFERROR(__xludf.DUMMYFUNCTION("""COMPUTED_VALUE"""),"https://oski.site/blog/sales-and-marketing-analytics-companies-uk/")</f>
        <v>https://oski.site/blog/sales-and-marketing-analytics-companies-uk/</v>
      </c>
      <c r="B6" s="15" t="str">
        <f>IFERROR(__xludf.DUMMYFUNCTION("""COMPUTED_VALUE"""),"Top 16 Sales and Marketing Analytics Companies in the UK (2026)")</f>
        <v>Top 16 Sales and Marketing Analytics Companies in the UK (2026)</v>
      </c>
      <c r="C6" s="15" t="str">
        <f>IFERROR(__xludf.DUMMYFUNCTION("""COMPUTED_VALUE"""),"oski.site")</f>
        <v>oski.site</v>
      </c>
      <c r="D6" s="15" t="str">
        <f>IFERROR(__xludf.DUMMYFUNCTION("""COMPUTED_VALUE"""),"LISTICLE")</f>
        <v>LISTICLE</v>
      </c>
      <c r="E6" s="15" t="str">
        <f>IFERROR(__xludf.DUMMYFUNCTION("""COMPUTED_VALUE"""),"OTHER")</f>
        <v>OTHER</v>
      </c>
      <c r="F6" s="15" t="str">
        <f>IFERROR(__xludf.DUMMYFUNCTION("""COMPUTED_VALUE"""),"Listicle")</f>
        <v>Listicle</v>
      </c>
      <c r="G6" s="15" t="b">
        <f>IFERROR(__xludf.DUMMYFUNCTION("""COMPUTED_VALUE"""),FALSE)</f>
        <v>0</v>
      </c>
      <c r="H6" s="15" t="str">
        <f>IFERROR(__xludf.DUMMYFUNCTION("""COMPUTED_VALUE"""),"Momentum, Oski Solutions, Croud, Hallam, Analytic Partners, Directive Consulting")</f>
        <v>Momentum, Oski Solutions, Croud, Hallam, Analytic Partners, Directive Consulting</v>
      </c>
      <c r="I6" s="15">
        <f>IFERROR(__xludf.DUMMYFUNCTION("""COMPUTED_VALUE"""),62.0)</f>
        <v>62</v>
      </c>
      <c r="J6" s="15">
        <f>IFERROR(__xludf.DUMMYFUNCTION("""COMPUTED_VALUE"""),0.06)</f>
        <v>0.06</v>
      </c>
      <c r="K6" s="15">
        <f>IFERROR(__xludf.DUMMYFUNCTION("""COMPUTED_VALUE"""),1.37)</f>
        <v>1.37</v>
      </c>
    </row>
    <row r="7" ht="15.75" customHeight="1">
      <c r="A7" s="14" t="str">
        <f>IFERROR(__xludf.DUMMYFUNCTION("""COMPUTED_VALUE"""),"https://open.partners/open-partners-insights/top-ai-marketing-agency-uk/#:~:text=Rank,within%20one%20agile%20operating%20system.")</f>
        <v>https://open.partners/open-partners-insights/top-ai-marketing-agency-uk/#:~:text=Rank,within%20one%20agile%20operating%20system.</v>
      </c>
      <c r="B7" s="15" t="str">
        <f>IFERROR(__xludf.DUMMYFUNCTION("""COMPUTED_VALUE"""),"Top AI Marketing Agencies UK | Why Open Partners Leads the Way")</f>
        <v>Top AI Marketing Agencies UK | Why Open Partners Leads the Way</v>
      </c>
      <c r="C7" s="15" t="str">
        <f>IFERROR(__xludf.DUMMYFUNCTION("""COMPUTED_VALUE"""),"open.partners")</f>
        <v>open.partners</v>
      </c>
      <c r="D7" s="15" t="str">
        <f>IFERROR(__xludf.DUMMYFUNCTION("""COMPUTED_VALUE"""),"LISTICLE")</f>
        <v>LISTICLE</v>
      </c>
      <c r="E7" s="15" t="str">
        <f>IFERROR(__xludf.DUMMYFUNCTION("""COMPUTED_VALUE"""),"COMPETITOR")</f>
        <v>COMPETITOR</v>
      </c>
      <c r="F7" s="15" t="str">
        <f>IFERROR(__xludf.DUMMYFUNCTION("""COMPUTED_VALUE"""),"Listicle")</f>
        <v>Listicle</v>
      </c>
      <c r="G7" s="15" t="b">
        <f>IFERROR(__xludf.DUMMYFUNCTION("""COMPUTED_VALUE"""),FALSE)</f>
        <v>0</v>
      </c>
      <c r="H7" s="15" t="str">
        <f>IFERROR(__xludf.DUMMYFUNCTION("""COMPUTED_VALUE"""),"Open Partners, Brainlabs, Impression, Journey Further")</f>
        <v>Open Partners, Brainlabs, Impression, Journey Further</v>
      </c>
      <c r="I7" s="15">
        <f>IFERROR(__xludf.DUMMYFUNCTION("""COMPUTED_VALUE"""),55.0)</f>
        <v>55</v>
      </c>
      <c r="J7" s="15">
        <f>IFERROR(__xludf.DUMMYFUNCTION("""COMPUTED_VALUE"""),0.05)</f>
        <v>0.05</v>
      </c>
      <c r="K7" s="15">
        <f>IFERROR(__xludf.DUMMYFUNCTION("""COMPUTED_VALUE"""),1.18)</f>
        <v>1.18</v>
      </c>
    </row>
    <row r="8" ht="15.75" customHeight="1">
      <c r="A8" s="14" t="str">
        <f>IFERROR(__xludf.DUMMYFUNCTION("""COMPUTED_VALUE"""),"https://wearehumaine.com/best-ai-first-marketing-agencies-uk-2026/")</f>
        <v>https://wearehumaine.com/best-ai-first-marketing-agencies-uk-2026/</v>
      </c>
      <c r="B8" s="15" t="str">
        <f>IFERROR(__xludf.DUMMYFUNCTION("""COMPUTED_VALUE"""),"Best AI-First Marketing Agencies in the UK 2026 | Humaine")</f>
        <v>Best AI-First Marketing Agencies in the UK 2026 | Humaine</v>
      </c>
      <c r="C8" s="14" t="str">
        <f>IFERROR(__xludf.DUMMYFUNCTION("""COMPUTED_VALUE"""),"wearehumaine.com")</f>
        <v>wearehumaine.com</v>
      </c>
      <c r="D8" s="15" t="str">
        <f>IFERROR(__xludf.DUMMYFUNCTION("""COMPUTED_VALUE"""),"LISTICLE")</f>
        <v>LISTICLE</v>
      </c>
      <c r="E8" s="15" t="str">
        <f>IFERROR(__xludf.DUMMYFUNCTION("""COMPUTED_VALUE"""),"CORPORATE")</f>
        <v>CORPORATE</v>
      </c>
      <c r="F8" s="15" t="str">
        <f>IFERROR(__xludf.DUMMYFUNCTION("""COMPUTED_VALUE"""),"Listicle")</f>
        <v>Listicle</v>
      </c>
      <c r="G8" s="15" t="b">
        <f>IFERROR(__xludf.DUMMYFUNCTION("""COMPUTED_VALUE"""),FALSE)</f>
        <v>0</v>
      </c>
      <c r="H8" s="15" t="str">
        <f>IFERROR(__xludf.DUMMYFUNCTION("""COMPUTED_VALUE"""),"Open Partners, Brainlabs, Impression, Journey Further, Koozai, VCCP, Favoured, Push, Push Group")</f>
        <v>Open Partners, Brainlabs, Impression, Journey Further, Koozai, VCCP, Favoured, Push, Push Group</v>
      </c>
      <c r="I8" s="15">
        <f>IFERROR(__xludf.DUMMYFUNCTION("""COMPUTED_VALUE"""),54.0)</f>
        <v>54</v>
      </c>
      <c r="J8" s="15">
        <f>IFERROR(__xludf.DUMMYFUNCTION("""COMPUTED_VALUE"""),0.05)</f>
        <v>0.05</v>
      </c>
      <c r="K8" s="15">
        <f>IFERROR(__xludf.DUMMYFUNCTION("""COMPUTED_VALUE"""),0.7)</f>
        <v>0.7</v>
      </c>
    </row>
    <row r="9" ht="15.75" customHeight="1">
      <c r="A9" s="14" t="str">
        <f>IFERROR(__xludf.DUMMYFUNCTION("""COMPUTED_VALUE"""),"https://www.clickslice.co.uk/top-performance-marketing-agencies/")</f>
        <v>https://www.clickslice.co.uk/top-performance-marketing-agencies/</v>
      </c>
      <c r="B9" s="15" t="str">
        <f>IFERROR(__xludf.DUMMYFUNCTION("""COMPUTED_VALUE"""),"Top 8 Performance Marketing Agencies in the UK (2026)")</f>
        <v>Top 8 Performance Marketing Agencies in the UK (2026)</v>
      </c>
      <c r="C9" s="14" t="str">
        <f>IFERROR(__xludf.DUMMYFUNCTION("""COMPUTED_VALUE"""),"clickslice.co.uk")</f>
        <v>clickslice.co.uk</v>
      </c>
      <c r="D9" s="15" t="str">
        <f>IFERROR(__xludf.DUMMYFUNCTION("""COMPUTED_VALUE"""),"LISTICLE")</f>
        <v>LISTICLE</v>
      </c>
      <c r="E9" s="15" t="str">
        <f>IFERROR(__xludf.DUMMYFUNCTION("""COMPUTED_VALUE"""),"COMPETITOR")</f>
        <v>COMPETITOR</v>
      </c>
      <c r="F9" s="15" t="str">
        <f>IFERROR(__xludf.DUMMYFUNCTION("""COMPUTED_VALUE"""),"Listicle")</f>
        <v>Listicle</v>
      </c>
      <c r="G9" s="15" t="b">
        <f>IFERROR(__xludf.DUMMYFUNCTION("""COMPUTED_VALUE"""),FALSE)</f>
        <v>0</v>
      </c>
      <c r="H9" s="15" t="str">
        <f>IFERROR(__xludf.DUMMYFUNCTION("""COMPUTED_VALUE"""),"ClickSlice, Launch Online, Measured")</f>
        <v>ClickSlice, Launch Online, Measured</v>
      </c>
      <c r="I9" s="15">
        <f>IFERROR(__xludf.DUMMYFUNCTION("""COMPUTED_VALUE"""),48.0)</f>
        <v>48</v>
      </c>
      <c r="J9" s="15">
        <f>IFERROR(__xludf.DUMMYFUNCTION("""COMPUTED_VALUE"""),0.05)</f>
        <v>0.05</v>
      </c>
      <c r="K9" s="15">
        <f>IFERROR(__xludf.DUMMYFUNCTION("""COMPUTED_VALUE"""),0.67)</f>
        <v>0.67</v>
      </c>
    </row>
    <row r="10" ht="15.75" customHeight="1">
      <c r="A10" s="14" t="str">
        <f>IFERROR(__xludf.DUMMYFUNCTION("""COMPUTED_VALUE"""),"https://www.dontpaniclondon.com/blog/best-uk-creative-agencies/")</f>
        <v>https://www.dontpaniclondon.com/blog/best-uk-creative-agencies/</v>
      </c>
      <c r="B10" s="15" t="str">
        <f>IFERROR(__xludf.DUMMYFUNCTION("""COMPUTED_VALUE"""),"Compare the UK’s 8 Best Creative Agencies in 2026 (+examples)")</f>
        <v>Compare the UK’s 8 Best Creative Agencies in 2026 (+examples)</v>
      </c>
      <c r="C10" s="14" t="str">
        <f>IFERROR(__xludf.DUMMYFUNCTION("""COMPUTED_VALUE"""),"dontpaniclondon.com")</f>
        <v>dontpaniclondon.com</v>
      </c>
      <c r="D10" s="15" t="str">
        <f>IFERROR(__xludf.DUMMYFUNCTION("""COMPUTED_VALUE"""),"LISTICLE")</f>
        <v>LISTICLE</v>
      </c>
      <c r="E10" s="15" t="str">
        <f>IFERROR(__xludf.DUMMYFUNCTION("""COMPUTED_VALUE"""),"CORPORATE")</f>
        <v>CORPORATE</v>
      </c>
      <c r="F10" s="15" t="str">
        <f>IFERROR(__xludf.DUMMYFUNCTION("""COMPUTED_VALUE"""),"Listicle")</f>
        <v>Listicle</v>
      </c>
      <c r="G10" s="15" t="b">
        <f>IFERROR(__xludf.DUMMYFUNCTION("""COMPUTED_VALUE"""),FALSE)</f>
        <v>0</v>
      </c>
      <c r="H10" s="15" t="str">
        <f>IFERROR(__xludf.DUMMYFUNCTION("""COMPUTED_VALUE"""),"Mother London, Lucky Generals, Pablo, Disruptive Advertising, Huge, Uncommon Creative Studio, Adam&amp;eveDDB, Saatchi &amp; Saatchi, BBH London")</f>
        <v>Mother London, Lucky Generals, Pablo, Disruptive Advertising, Huge, Uncommon Creative Studio, Adam&amp;eveDDB, Saatchi &amp; Saatchi, BBH London</v>
      </c>
      <c r="I10" s="15">
        <f>IFERROR(__xludf.DUMMYFUNCTION("""COMPUTED_VALUE"""),47.0)</f>
        <v>47</v>
      </c>
      <c r="J10" s="15">
        <f>IFERROR(__xludf.DUMMYFUNCTION("""COMPUTED_VALUE"""),0.05)</f>
        <v>0.05</v>
      </c>
      <c r="K10" s="15">
        <f>IFERROR(__xludf.DUMMYFUNCTION("""COMPUTED_VALUE"""),1.45)</f>
        <v>1.45</v>
      </c>
    </row>
    <row r="11" ht="15.75" customHeight="1">
      <c r="A11" s="14" t="str">
        <f>IFERROR(__xludf.DUMMYFUNCTION("""COMPUTED_VALUE"""),"https://www.pushgroup.co.uk/blog/top-9-paid-social-agencies-uk")</f>
        <v>https://www.pushgroup.co.uk/blog/top-9-paid-social-agencies-uk</v>
      </c>
      <c r="B11" s="15" t="str">
        <f>IFERROR(__xludf.DUMMYFUNCTION("""COMPUTED_VALUE"""),"Top 9 Paid Social Agencies UK (2026) | Best for ROAS | PUSH Group")</f>
        <v>Top 9 Paid Social Agencies UK (2026) | Best for ROAS | PUSH Group</v>
      </c>
      <c r="C11" s="14" t="str">
        <f>IFERROR(__xludf.DUMMYFUNCTION("""COMPUTED_VALUE"""),"pushgroup.co.uk")</f>
        <v>pushgroup.co.uk</v>
      </c>
      <c r="D11" s="15" t="str">
        <f>IFERROR(__xludf.DUMMYFUNCTION("""COMPUTED_VALUE"""),"LISTICLE")</f>
        <v>LISTICLE</v>
      </c>
      <c r="E11" s="15" t="str">
        <f>IFERROR(__xludf.DUMMYFUNCTION("""COMPUTED_VALUE"""),"COMPETITOR")</f>
        <v>COMPETITOR</v>
      </c>
      <c r="F11" s="15" t="str">
        <f>IFERROR(__xludf.DUMMYFUNCTION("""COMPUTED_VALUE"""),"Listicle")</f>
        <v>Listicle</v>
      </c>
      <c r="G11" s="15" t="b">
        <f>IFERROR(__xludf.DUMMYFUNCTION("""COMPUTED_VALUE"""),FALSE)</f>
        <v>0</v>
      </c>
      <c r="H11" s="15" t="str">
        <f>IFERROR(__xludf.DUMMYFUNCTION("""COMPUTED_VALUE"""),"Push, Push Group, The Social Shepherd, We Are Social, The Good Marketer, Impression, Gripped")</f>
        <v>Push, Push Group, The Social Shepherd, We Are Social, The Good Marketer, Impression, Gripped</v>
      </c>
      <c r="I11" s="15">
        <f>IFERROR(__xludf.DUMMYFUNCTION("""COMPUTED_VALUE"""),45.0)</f>
        <v>45</v>
      </c>
      <c r="J11" s="15">
        <f>IFERROR(__xludf.DUMMYFUNCTION("""COMPUTED_VALUE"""),0.04)</f>
        <v>0.04</v>
      </c>
      <c r="K11" s="15">
        <f>IFERROR(__xludf.DUMMYFUNCTION("""COMPUTED_VALUE"""),1.24)</f>
        <v>1.24</v>
      </c>
    </row>
    <row r="12" ht="15.75" customHeight="1">
      <c r="A12" s="14" t="str">
        <f>IFERROR(__xludf.DUMMYFUNCTION("""COMPUTED_VALUE"""),"https://nogood.io/blog/marketing-analytics-agency-uk/")</f>
        <v>https://nogood.io/blog/marketing-analytics-agency-uk/</v>
      </c>
      <c r="B12" s="15" t="str">
        <f>IFERROR(__xludf.DUMMYFUNCTION("""COMPUTED_VALUE"""),"Top 8 Marketing Analytics Agencies in the UK in 2025 | NoGood")</f>
        <v>Top 8 Marketing Analytics Agencies in the UK in 2025 | NoGood</v>
      </c>
      <c r="C12" s="14" t="str">
        <f>IFERROR(__xludf.DUMMYFUNCTION("""COMPUTED_VALUE"""),"nogood.io")</f>
        <v>nogood.io</v>
      </c>
      <c r="D12" s="15" t="str">
        <f>IFERROR(__xludf.DUMMYFUNCTION("""COMPUTED_VALUE"""),"LISTICLE")</f>
        <v>LISTICLE</v>
      </c>
      <c r="E12" s="15" t="str">
        <f>IFERROR(__xludf.DUMMYFUNCTION("""COMPUTED_VALUE"""),"COMPETITOR")</f>
        <v>COMPETITOR</v>
      </c>
      <c r="F12" s="15" t="str">
        <f>IFERROR(__xludf.DUMMYFUNCTION("""COMPUTED_VALUE"""),"Listicle")</f>
        <v>Listicle</v>
      </c>
      <c r="G12" s="15" t="b">
        <f>IFERROR(__xludf.DUMMYFUNCTION("""COMPUTED_VALUE"""),FALSE)</f>
        <v>0</v>
      </c>
      <c r="H12" s="15" t="str">
        <f>IFERROR(__xludf.DUMMYFUNCTION("""COMPUTED_VALUE"""),"NoGood, Brainlabs, Jellyfish, iCrossing, Hallam, Convosphere, QueryClick")</f>
        <v>NoGood, Brainlabs, Jellyfish, iCrossing, Hallam, Convosphere, QueryClick</v>
      </c>
      <c r="I12" s="15">
        <f>IFERROR(__xludf.DUMMYFUNCTION("""COMPUTED_VALUE"""),43.0)</f>
        <v>43</v>
      </c>
      <c r="J12" s="15">
        <f>IFERROR(__xludf.DUMMYFUNCTION("""COMPUTED_VALUE"""),0.04)</f>
        <v>0.04</v>
      </c>
      <c r="K12" s="15">
        <f>IFERROR(__xludf.DUMMYFUNCTION("""COMPUTED_VALUE"""),1.53)</f>
        <v>1.53</v>
      </c>
    </row>
    <row r="13" ht="15.75" customHeight="1">
      <c r="A13" s="14" t="str">
        <f>IFERROR(__xludf.DUMMYFUNCTION("""COMPUTED_VALUE"""),"https://www.influencer-hero.com/blogs/top-paid-media-agencies-in-the-united-kingdom")</f>
        <v>https://www.influencer-hero.com/blogs/top-paid-media-agencies-in-the-united-kingdom</v>
      </c>
      <c r="B13" s="15" t="str">
        <f>IFERROR(__xludf.DUMMYFUNCTION("""COMPUTED_VALUE"""),"Top 10 Paid Media Agencies in the United Kingdom")</f>
        <v>Top 10 Paid Media Agencies in the United Kingdom</v>
      </c>
      <c r="C13" s="14" t="str">
        <f>IFERROR(__xludf.DUMMYFUNCTION("""COMPUTED_VALUE"""),"influencer-hero.com")</f>
        <v>influencer-hero.com</v>
      </c>
      <c r="D13" s="15" t="str">
        <f>IFERROR(__xludf.DUMMYFUNCTION("""COMPUTED_VALUE"""),"LISTICLE")</f>
        <v>LISTICLE</v>
      </c>
      <c r="E13" s="15" t="str">
        <f>IFERROR(__xludf.DUMMYFUNCTION("""COMPUTED_VALUE"""),"CORPORATE")</f>
        <v>CORPORATE</v>
      </c>
      <c r="F13" s="15" t="str">
        <f>IFERROR(__xludf.DUMMYFUNCTION("""COMPUTED_VALUE"""),"Listicle")</f>
        <v>Listicle</v>
      </c>
      <c r="G13" s="15" t="b">
        <f>IFERROR(__xludf.DUMMYFUNCTION("""COMPUTED_VALUE"""),FALSE)</f>
        <v>0</v>
      </c>
      <c r="H13" s="15" t="str">
        <f>IFERROR(__xludf.DUMMYFUNCTION("""COMPUTED_VALUE"""),"Brainlabs, Vivify Agency, Manifest Group, Impression, Hallam, Passion Digital")</f>
        <v>Brainlabs, Vivify Agency, Manifest Group, Impression, Hallam, Passion Digital</v>
      </c>
      <c r="I13" s="15">
        <f>IFERROR(__xludf.DUMMYFUNCTION("""COMPUTED_VALUE"""),42.0)</f>
        <v>42</v>
      </c>
      <c r="J13" s="15">
        <f>IFERROR(__xludf.DUMMYFUNCTION("""COMPUTED_VALUE"""),0.04)</f>
        <v>0.04</v>
      </c>
      <c r="K13" s="15">
        <f>IFERROR(__xludf.DUMMYFUNCTION("""COMPUTED_VALUE"""),1.43)</f>
        <v>1.43</v>
      </c>
    </row>
    <row r="14" ht="15.75" customHeight="1">
      <c r="A14" s="14" t="str">
        <f>IFERROR(__xludf.DUMMYFUNCTION("""COMPUTED_VALUE"""),"https://www.clickslice.co.uk/top-aeo-agencies-uk/")</f>
        <v>https://www.clickslice.co.uk/top-aeo-agencies-uk/</v>
      </c>
      <c r="B14" s="15" t="str">
        <f>IFERROR(__xludf.DUMMYFUNCTION("""COMPUTED_VALUE"""),"Top 10 AEO Agencies in the UK for 2026")</f>
        <v>Top 10 AEO Agencies in the UK for 2026</v>
      </c>
      <c r="C14" s="14" t="str">
        <f>IFERROR(__xludf.DUMMYFUNCTION("""COMPUTED_VALUE"""),"clickslice.co.uk")</f>
        <v>clickslice.co.uk</v>
      </c>
      <c r="D14" s="15" t="str">
        <f>IFERROR(__xludf.DUMMYFUNCTION("""COMPUTED_VALUE"""),"LISTICLE")</f>
        <v>LISTICLE</v>
      </c>
      <c r="E14" s="15" t="str">
        <f>IFERROR(__xludf.DUMMYFUNCTION("""COMPUTED_VALUE"""),"COMPETITOR")</f>
        <v>COMPETITOR</v>
      </c>
      <c r="F14" s="15" t="str">
        <f>IFERROR(__xludf.DUMMYFUNCTION("""COMPUTED_VALUE"""),"Listicle")</f>
        <v>Listicle</v>
      </c>
      <c r="G14" s="15" t="b">
        <f>IFERROR(__xludf.DUMMYFUNCTION("""COMPUTED_VALUE"""),FALSE)</f>
        <v>0</v>
      </c>
      <c r="H14" s="15" t="str">
        <f>IFERROR(__xludf.DUMMYFUNCTION("""COMPUTED_VALUE"""),"ClickSlice")</f>
        <v>ClickSlice</v>
      </c>
      <c r="I14" s="15">
        <f>IFERROR(__xludf.DUMMYFUNCTION("""COMPUTED_VALUE"""),41.0)</f>
        <v>41</v>
      </c>
      <c r="J14" s="15">
        <f>IFERROR(__xludf.DUMMYFUNCTION("""COMPUTED_VALUE"""),0.04)</f>
        <v>0.04</v>
      </c>
      <c r="K14" s="15">
        <f>IFERROR(__xludf.DUMMYFUNCTION("""COMPUTED_VALUE"""),1.05)</f>
        <v>1.05</v>
      </c>
    </row>
    <row r="15" ht="15.75" customHeight="1">
      <c r="A15" s="14" t="str">
        <f>IFERROR(__xludf.DUMMYFUNCTION("""COMPUTED_VALUE"""),"https://bind.media/insights/top-11-google-analytics-agencies-in-the-uk-2025")</f>
        <v>https://bind.media/insights/top-11-google-analytics-agencies-in-the-uk-2025</v>
      </c>
      <c r="B15" s="15" t="str">
        <f>IFERROR(__xludf.DUMMYFUNCTION("""COMPUTED_VALUE"""),"Top 11 Google Analytics Agencies in the UK [2025]")</f>
        <v>Top 11 Google Analytics Agencies in the UK [2025]</v>
      </c>
      <c r="C15" s="15" t="str">
        <f>IFERROR(__xludf.DUMMYFUNCTION("""COMPUTED_VALUE"""),"bind.media")</f>
        <v>bind.media</v>
      </c>
      <c r="D15" s="15" t="str">
        <f>IFERROR(__xludf.DUMMYFUNCTION("""COMPUTED_VALUE"""),"LISTICLE")</f>
        <v>LISTICLE</v>
      </c>
      <c r="E15" s="15" t="str">
        <f>IFERROR(__xludf.DUMMYFUNCTION("""COMPUTED_VALUE"""),"COMPETITOR")</f>
        <v>COMPETITOR</v>
      </c>
      <c r="F15" s="15" t="str">
        <f>IFERROR(__xludf.DUMMYFUNCTION("""COMPUTED_VALUE"""),"Listicle")</f>
        <v>Listicle</v>
      </c>
      <c r="G15" s="15" t="b">
        <f>IFERROR(__xludf.DUMMYFUNCTION("""COMPUTED_VALUE"""),TRUE)</f>
        <v>1</v>
      </c>
      <c r="H15" s="15" t="str">
        <f>IFERROR(__xludf.DUMMYFUNCTION("""COMPUTED_VALUE"""),"Bind Media, Artefact, Brainlabs, Hallam, Incubeta, PMG")</f>
        <v>Bind Media, Artefact, Brainlabs, Hallam, Incubeta, PMG</v>
      </c>
      <c r="I15" s="15">
        <f>IFERROR(__xludf.DUMMYFUNCTION("""COMPUTED_VALUE"""),40.0)</f>
        <v>40</v>
      </c>
      <c r="J15" s="15">
        <f>IFERROR(__xludf.DUMMYFUNCTION("""COMPUTED_VALUE"""),0.04)</f>
        <v>0.04</v>
      </c>
      <c r="K15" s="15">
        <f>IFERROR(__xludf.DUMMYFUNCTION("""COMPUTED_VALUE"""),1.1)</f>
        <v>1.1</v>
      </c>
    </row>
    <row r="16" ht="15.75" customHeight="1">
      <c r="A16" s="14" t="str">
        <f>IFERROR(__xludf.DUMMYFUNCTION("""COMPUTED_VALUE"""),"https://www.digitallitmus.com/blog/best-marketing-agencies-uk")</f>
        <v>https://www.digitallitmus.com/blog/best-marketing-agencies-uk</v>
      </c>
      <c r="B16" s="15" t="str">
        <f>IFERROR(__xludf.DUMMYFUNCTION("""COMPUTED_VALUE"""),"The Top Marketing Agencies in the UK To Work With In 2026")</f>
        <v>The Top Marketing Agencies in the UK To Work With In 2026</v>
      </c>
      <c r="C16" s="14" t="str">
        <f>IFERROR(__xludf.DUMMYFUNCTION("""COMPUTED_VALUE"""),"digitallitmus.com")</f>
        <v>digitallitmus.com</v>
      </c>
      <c r="D16" s="15" t="str">
        <f>IFERROR(__xludf.DUMMYFUNCTION("""COMPUTED_VALUE"""),"LISTICLE")</f>
        <v>LISTICLE</v>
      </c>
      <c r="E16" s="15" t="str">
        <f>IFERROR(__xludf.DUMMYFUNCTION("""COMPUTED_VALUE"""),"CORPORATE")</f>
        <v>CORPORATE</v>
      </c>
      <c r="F16" s="15" t="str">
        <f>IFERROR(__xludf.DUMMYFUNCTION("""COMPUTED_VALUE"""),"Listicle")</f>
        <v>Listicle</v>
      </c>
      <c r="G16" s="15" t="b">
        <f>IFERROR(__xludf.DUMMYFUNCTION("""COMPUTED_VALUE"""),FALSE)</f>
        <v>0</v>
      </c>
      <c r="H16" s="15" t="str">
        <f>IFERROR(__xludf.DUMMYFUNCTION("""COMPUTED_VALUE"""),"Momentum, Gripped, Omniscient Digital, Transmission, Gravity Global, Directive Consulting, Merkle, Hallam, Jellyfish, Found, Soap Media, The Good Marketer, The Social Shepherd, Koozai, AKQA, Blue Array, Builtvisible, Passion Digital, Impression, Push, Pus"&amp;"h Group")</f>
        <v>Momentum, Gripped, Omniscient Digital, Transmission, Gravity Global, Directive Consulting, Merkle, Hallam, Jellyfish, Found, Soap Media, The Good Marketer, The Social Shepherd, Koozai, AKQA, Blue Array, Builtvisible, Passion Digital, Impression, Push, Push Group</v>
      </c>
      <c r="I16" s="15">
        <f>IFERROR(__xludf.DUMMYFUNCTION("""COMPUTED_VALUE"""),40.0)</f>
        <v>40</v>
      </c>
      <c r="J16" s="15">
        <f>IFERROR(__xludf.DUMMYFUNCTION("""COMPUTED_VALUE"""),0.04)</f>
        <v>0.04</v>
      </c>
      <c r="K16" s="15">
        <f>IFERROR(__xludf.DUMMYFUNCTION("""COMPUTED_VALUE"""),0.8)</f>
        <v>0.8</v>
      </c>
    </row>
    <row r="17" ht="15.75" customHeight="1">
      <c r="A17" s="14" t="str">
        <f>IFERROR(__xludf.DUMMYFUNCTION("""COMPUTED_VALUE"""),"https://digital-landscope.com/best-geo-agencies-in-the-uk/")</f>
        <v>https://digital-landscope.com/best-geo-agencies-in-the-uk/</v>
      </c>
      <c r="B17" s="15" t="str">
        <f>IFERROR(__xludf.DUMMYFUNCTION("""COMPUTED_VALUE"""),"Best GEO Agencies in the UK")</f>
        <v>Best GEO Agencies in the UK</v>
      </c>
      <c r="C17" s="14" t="str">
        <f>IFERROR(__xludf.DUMMYFUNCTION("""COMPUTED_VALUE"""),"digital-landscope.com")</f>
        <v>digital-landscope.com</v>
      </c>
      <c r="D17" s="15" t="str">
        <f>IFERROR(__xludf.DUMMYFUNCTION("""COMPUTED_VALUE"""),"LISTICLE")</f>
        <v>LISTICLE</v>
      </c>
      <c r="E17" s="15" t="str">
        <f>IFERROR(__xludf.DUMMYFUNCTION("""COMPUTED_VALUE"""),"COMPETITOR")</f>
        <v>COMPETITOR</v>
      </c>
      <c r="F17" s="15" t="str">
        <f>IFERROR(__xludf.DUMMYFUNCTION("""COMPUTED_VALUE"""),"Listicle")</f>
        <v>Listicle</v>
      </c>
      <c r="G17" s="15" t="b">
        <f>IFERROR(__xludf.DUMMYFUNCTION("""COMPUTED_VALUE"""),FALSE)</f>
        <v>0</v>
      </c>
      <c r="H17" s="15" t="str">
        <f>IFERROR(__xludf.DUMMYFUNCTION("""COMPUTED_VALUE"""),"Digital Landscope, The SEO Works, Found")</f>
        <v>Digital Landscope, The SEO Works, Found</v>
      </c>
      <c r="I17" s="15">
        <f>IFERROR(__xludf.DUMMYFUNCTION("""COMPUTED_VALUE"""),39.0)</f>
        <v>39</v>
      </c>
      <c r="J17" s="15">
        <f>IFERROR(__xludf.DUMMYFUNCTION("""COMPUTED_VALUE"""),0.04)</f>
        <v>0.04</v>
      </c>
      <c r="K17" s="15">
        <f>IFERROR(__xludf.DUMMYFUNCTION("""COMPUTED_VALUE"""),1.77)</f>
        <v>1.77</v>
      </c>
    </row>
    <row r="18" ht="15.75" customHeight="1">
      <c r="A18" s="14" t="str">
        <f>IFERROR(__xludf.DUMMYFUNCTION("""COMPUTED_VALUE"""),"https://www.measured.com/faq/best-incrementality-testing-companies-software-for-marketing-2026/")</f>
        <v>https://www.measured.com/faq/best-incrementality-testing-companies-software-for-marketing-2026/</v>
      </c>
      <c r="B18" s="15" t="str">
        <f>IFERROR(__xludf.DUMMYFUNCTION("""COMPUTED_VALUE"""),"Best Incrementality Testing Companies &amp;amp; Software for Marketing (2026)")</f>
        <v>Best Incrementality Testing Companies &amp;amp; Software for Marketing (2026)</v>
      </c>
      <c r="C18" s="14" t="str">
        <f>IFERROR(__xludf.DUMMYFUNCTION("""COMPUTED_VALUE"""),"measured.com")</f>
        <v>measured.com</v>
      </c>
      <c r="D18" s="15" t="str">
        <f>IFERROR(__xludf.DUMMYFUNCTION("""COMPUTED_VALUE"""),"LISTICLE")</f>
        <v>LISTICLE</v>
      </c>
      <c r="E18" s="15" t="str">
        <f>IFERROR(__xludf.DUMMYFUNCTION("""COMPUTED_VALUE"""),"COMPETITOR")</f>
        <v>COMPETITOR</v>
      </c>
      <c r="F18" s="15" t="str">
        <f>IFERROR(__xludf.DUMMYFUNCTION("""COMPUTED_VALUE"""),"Listicle")</f>
        <v>Listicle</v>
      </c>
      <c r="G18" s="15" t="b">
        <f>IFERROR(__xludf.DUMMYFUNCTION("""COMPUTED_VALUE"""),FALSE)</f>
        <v>0</v>
      </c>
      <c r="H18" s="15" t="str">
        <f>IFERROR(__xludf.DUMMYFUNCTION("""COMPUTED_VALUE"""),"Measured, Neustar, Rockerbox, Haus, Recast, Analytic Partners")</f>
        <v>Measured, Neustar, Rockerbox, Haus, Recast, Analytic Partners</v>
      </c>
      <c r="I18" s="15">
        <f>IFERROR(__xludf.DUMMYFUNCTION("""COMPUTED_VALUE"""),39.0)</f>
        <v>39</v>
      </c>
      <c r="J18" s="15">
        <f>IFERROR(__xludf.DUMMYFUNCTION("""COMPUTED_VALUE"""),0.04)</f>
        <v>0.04</v>
      </c>
      <c r="K18" s="15">
        <f>IFERROR(__xludf.DUMMYFUNCTION("""COMPUTED_VALUE"""),2.36)</f>
        <v>2.36</v>
      </c>
    </row>
    <row r="19" ht="15.75" customHeight="1">
      <c r="A19" s="14" t="str">
        <f>IFERROR(__xludf.DUMMYFUNCTION("""COMPUTED_VALUE"""),"https://www.domisearch.com/blog/best-aeo-agencies-uk")</f>
        <v>https://www.domisearch.com/blog/best-aeo-agencies-uk</v>
      </c>
      <c r="B19" s="15" t="str">
        <f>IFERROR(__xludf.DUMMYFUNCTION("""COMPUTED_VALUE"""),"Best AEO Agencies in the UK: 2026 Honest Roundup · DomiSearch")</f>
        <v>Best AEO Agencies in the UK: 2026 Honest Roundup · DomiSearch</v>
      </c>
      <c r="C19" s="14" t="str">
        <f>IFERROR(__xludf.DUMMYFUNCTION("""COMPUTED_VALUE"""),"domisearch.com")</f>
        <v>domisearch.com</v>
      </c>
      <c r="D19" s="15" t="str">
        <f>IFERROR(__xludf.DUMMYFUNCTION("""COMPUTED_VALUE"""),"LISTICLE")</f>
        <v>LISTICLE</v>
      </c>
      <c r="E19" s="15" t="str">
        <f>IFERROR(__xludf.DUMMYFUNCTION("""COMPUTED_VALUE"""),"CORPORATE")</f>
        <v>CORPORATE</v>
      </c>
      <c r="F19" s="15" t="str">
        <f>IFERROR(__xludf.DUMMYFUNCTION("""COMPUTED_VALUE"""),"Listicle")</f>
        <v>Listicle</v>
      </c>
      <c r="G19" s="15" t="b">
        <f>IFERROR(__xludf.DUMMYFUNCTION("""COMPUTED_VALUE"""),FALSE)</f>
        <v>0</v>
      </c>
      <c r="H19" s="15" t="str">
        <f>IFERROR(__xludf.DUMMYFUNCTION("""COMPUTED_VALUE"""),"Push, Push Group, Tilio, Click Intelligence, Found, Digital Landscope")</f>
        <v>Push, Push Group, Tilio, Click Intelligence, Found, Digital Landscope</v>
      </c>
      <c r="I19" s="15">
        <f>IFERROR(__xludf.DUMMYFUNCTION("""COMPUTED_VALUE"""),38.0)</f>
        <v>38</v>
      </c>
      <c r="J19" s="15">
        <f>IFERROR(__xludf.DUMMYFUNCTION("""COMPUTED_VALUE"""),0.04)</f>
        <v>0.04</v>
      </c>
      <c r="K19" s="15">
        <f>IFERROR(__xludf.DUMMYFUNCTION("""COMPUTED_VALUE"""),1.61)</f>
        <v>1.61</v>
      </c>
    </row>
    <row r="20" ht="15.75" customHeight="1">
      <c r="A20" s="14" t="str">
        <f>IFERROR(__xludf.DUMMYFUNCTION("""COMPUTED_VALUE"""),"https://pinpoint-media.global/insights/top-8-paid-media-agencies-in-the-uk")</f>
        <v>https://pinpoint-media.global/insights/top-8-paid-media-agencies-in-the-uk</v>
      </c>
      <c r="B20" s="15" t="str">
        <f>IFERROR(__xludf.DUMMYFUNCTION("""COMPUTED_VALUE"""),"Top 8 Paid Media Agencies in the UK | PinPoint Media")</f>
        <v>Top 8 Paid Media Agencies in the UK | PinPoint Media</v>
      </c>
      <c r="C20" s="15" t="str">
        <f>IFERROR(__xludf.DUMMYFUNCTION("""COMPUTED_VALUE"""),"pinpoint-media.global")</f>
        <v>pinpoint-media.global</v>
      </c>
      <c r="D20" s="15" t="str">
        <f>IFERROR(__xludf.DUMMYFUNCTION("""COMPUTED_VALUE"""),"LISTICLE")</f>
        <v>LISTICLE</v>
      </c>
      <c r="E20" s="15" t="str">
        <f>IFERROR(__xludf.DUMMYFUNCTION("""COMPUTED_VALUE"""),"COMPETITOR")</f>
        <v>COMPETITOR</v>
      </c>
      <c r="F20" s="15" t="str">
        <f>IFERROR(__xludf.DUMMYFUNCTION("""COMPUTED_VALUE"""),"Listicle")</f>
        <v>Listicle</v>
      </c>
      <c r="G20" s="15" t="b">
        <f>IFERROR(__xludf.DUMMYFUNCTION("""COMPUTED_VALUE"""),FALSE)</f>
        <v>0</v>
      </c>
      <c r="H20" s="15" t="str">
        <f>IFERROR(__xludf.DUMMYFUNCTION("""COMPUTED_VALUE"""),"PinPoint Media, The Social Shepherd, Impression, Journey Further, Bind Media, Push")</f>
        <v>PinPoint Media, The Social Shepherd, Impression, Journey Further, Bind Media, Push</v>
      </c>
      <c r="I20" s="15">
        <f>IFERROR(__xludf.DUMMYFUNCTION("""COMPUTED_VALUE"""),37.0)</f>
        <v>37</v>
      </c>
      <c r="J20" s="15">
        <f>IFERROR(__xludf.DUMMYFUNCTION("""COMPUTED_VALUE"""),0.04)</f>
        <v>0.04</v>
      </c>
      <c r="K20" s="15">
        <f>IFERROR(__xludf.DUMMYFUNCTION("""COMPUTED_VALUE"""),1.57)</f>
        <v>1.57</v>
      </c>
    </row>
    <row r="21" ht="15.75" customHeight="1">
      <c r="A21" s="14" t="str">
        <f>IFERROR(__xludf.DUMMYFUNCTION("""COMPUTED_VALUE"""),"https://www.inbeat.co/articles/top-paid-media-agencies-in-the-uk/")</f>
        <v>https://www.inbeat.co/articles/top-paid-media-agencies-in-the-uk/</v>
      </c>
      <c r="B21" s="15" t="str">
        <f>IFERROR(__xludf.DUMMYFUNCTION("""COMPUTED_VALUE"""),"Top 20 Paid Media Agencies in the UK for 2026 and Beyond")</f>
        <v>Top 20 Paid Media Agencies in the UK for 2026 and Beyond</v>
      </c>
      <c r="C21" s="14" t="str">
        <f>IFERROR(__xludf.DUMMYFUNCTION("""COMPUTED_VALUE"""),"inbeat.co")</f>
        <v>inbeat.co</v>
      </c>
      <c r="D21" s="15" t="str">
        <f>IFERROR(__xludf.DUMMYFUNCTION("""COMPUTED_VALUE"""),"LISTICLE")</f>
        <v>LISTICLE</v>
      </c>
      <c r="E21" s="15" t="str">
        <f>IFERROR(__xludf.DUMMYFUNCTION("""COMPUTED_VALUE"""),"CORPORATE")</f>
        <v>CORPORATE</v>
      </c>
      <c r="F21" s="15" t="str">
        <f>IFERROR(__xludf.DUMMYFUNCTION("""COMPUTED_VALUE"""),"Listicle")</f>
        <v>Listicle</v>
      </c>
      <c r="G21" s="15" t="b">
        <f>IFERROR(__xludf.DUMMYFUNCTION("""COMPUTED_VALUE"""),FALSE)</f>
        <v>0</v>
      </c>
      <c r="H21" s="15" t="str">
        <f>IFERROR(__xludf.DUMMYFUNCTION("""COMPUTED_VALUE"""),"inBeat, Impression, Bark London, The Social Shepherd, Clarity Performance, Croud, Found, Disrupt Marketing, Push, PwC")</f>
        <v>inBeat, Impression, Bark London, The Social Shepherd, Clarity Performance, Croud, Found, Disrupt Marketing, Push, PwC</v>
      </c>
      <c r="I21" s="15">
        <f>IFERROR(__xludf.DUMMYFUNCTION("""COMPUTED_VALUE"""),36.0)</f>
        <v>36</v>
      </c>
      <c r="J21" s="15">
        <f>IFERROR(__xludf.DUMMYFUNCTION("""COMPUTED_VALUE"""),0.04)</f>
        <v>0.04</v>
      </c>
      <c r="K21" s="15">
        <f>IFERROR(__xludf.DUMMYFUNCTION("""COMPUTED_VALUE"""),0.42)</f>
        <v>0.42</v>
      </c>
    </row>
    <row r="22" ht="15.75" customHeight="1">
      <c r="A22" s="14" t="str">
        <f>IFERROR(__xludf.DUMMYFUNCTION("""COMPUTED_VALUE"""),"https://www.tilio.co.uk/blog/the-top-10-ai-search-agencies-in-the-uk-in-2026")</f>
        <v>https://www.tilio.co.uk/blog/the-top-10-ai-search-agencies-in-the-uk-in-2026</v>
      </c>
      <c r="B22" s="15" t="str">
        <f>IFERROR(__xludf.DUMMYFUNCTION("""COMPUTED_VALUE"""),"The top 10 AI search agencies in the UK in 2026 | Tilio")</f>
        <v>The top 10 AI search agencies in the UK in 2026 | Tilio</v>
      </c>
      <c r="C22" s="14" t="str">
        <f>IFERROR(__xludf.DUMMYFUNCTION("""COMPUTED_VALUE"""),"tilio.co.uk")</f>
        <v>tilio.co.uk</v>
      </c>
      <c r="D22" s="15" t="str">
        <f>IFERROR(__xludf.DUMMYFUNCTION("""COMPUTED_VALUE"""),"LISTICLE")</f>
        <v>LISTICLE</v>
      </c>
      <c r="E22" s="15" t="str">
        <f>IFERROR(__xludf.DUMMYFUNCTION("""COMPUTED_VALUE"""),"COMPETITOR")</f>
        <v>COMPETITOR</v>
      </c>
      <c r="F22" s="15" t="str">
        <f>IFERROR(__xludf.DUMMYFUNCTION("""COMPUTED_VALUE"""),"Listicle")</f>
        <v>Listicle</v>
      </c>
      <c r="G22" s="15" t="b">
        <f>IFERROR(__xludf.DUMMYFUNCTION("""COMPUTED_VALUE"""),FALSE)</f>
        <v>0</v>
      </c>
      <c r="H22" s="15" t="str">
        <f>IFERROR(__xludf.DUMMYFUNCTION("""COMPUTED_VALUE"""),"Tilio, Screaming Frog, Found, Varn, Impression, Blue Array, Passion Digital, The SEO Works, Measured")</f>
        <v>Tilio, Screaming Frog, Found, Varn, Impression, Blue Array, Passion Digital, The SEO Works, Measured</v>
      </c>
      <c r="I22" s="15">
        <f>IFERROR(__xludf.DUMMYFUNCTION("""COMPUTED_VALUE"""),36.0)</f>
        <v>36</v>
      </c>
      <c r="J22" s="15">
        <f>IFERROR(__xludf.DUMMYFUNCTION("""COMPUTED_VALUE"""),0.04)</f>
        <v>0.04</v>
      </c>
      <c r="K22" s="15">
        <f>IFERROR(__xludf.DUMMYFUNCTION("""COMPUTED_VALUE"""),2.39)</f>
        <v>2.39</v>
      </c>
    </row>
    <row r="23" ht="15.75" customHeight="1">
      <c r="A23" s="14" t="str">
        <f>IFERROR(__xludf.DUMMYFUNCTION("""COMPUTED_VALUE"""),"https://firstmotion.com/insights/best-geo-agencies-uk#:~:text=One%20thing%20and%20one%20thing,no%20paid%20media%2C%20nothing%20else.")</f>
        <v>https://firstmotion.com/insights/best-geo-agencies-uk#:~:text=One%20thing%20and%20one%20thing,no%20paid%20media%2C%20nothing%20else.</v>
      </c>
      <c r="B23" s="15" t="str">
        <f>IFERROR(__xludf.DUMMYFUNCTION("""COMPUTED_VALUE"""),"Best UK GEO &amp;amp; AI Search Agencies in 2026 | FirstMotion")</f>
        <v>Best UK GEO &amp;amp; AI Search Agencies in 2026 | FirstMotion</v>
      </c>
      <c r="C23" s="14" t="str">
        <f>IFERROR(__xludf.DUMMYFUNCTION("""COMPUTED_VALUE"""),"firstmotion.com")</f>
        <v>firstmotion.com</v>
      </c>
      <c r="D23" s="15" t="str">
        <f>IFERROR(__xludf.DUMMYFUNCTION("""COMPUTED_VALUE"""),"LISTICLE")</f>
        <v>LISTICLE</v>
      </c>
      <c r="E23" s="15" t="str">
        <f>IFERROR(__xludf.DUMMYFUNCTION("""COMPUTED_VALUE"""),"COMPETITOR")</f>
        <v>COMPETITOR</v>
      </c>
      <c r="F23" s="15" t="str">
        <f>IFERROR(__xludf.DUMMYFUNCTION("""COMPUTED_VALUE"""),"Listicle")</f>
        <v>Listicle</v>
      </c>
      <c r="G23" s="15" t="b">
        <f>IFERROR(__xludf.DUMMYFUNCTION("""COMPUTED_VALUE"""),FALSE)</f>
        <v>0</v>
      </c>
      <c r="H23" s="15" t="str">
        <f>IFERROR(__xludf.DUMMYFUNCTION("""COMPUTED_VALUE"""),"FirstMotion, Rank4AI, Found, Impression, Passion Digital, Measured, Blue Array, Tilio, Varn, Buried Agency, ClickSlice")</f>
        <v>FirstMotion, Rank4AI, Found, Impression, Passion Digital, Measured, Blue Array, Tilio, Varn, Buried Agency, ClickSlice</v>
      </c>
      <c r="I23" s="15">
        <f>IFERROR(__xludf.DUMMYFUNCTION("""COMPUTED_VALUE"""),35.0)</f>
        <v>35</v>
      </c>
      <c r="J23" s="15">
        <f>IFERROR(__xludf.DUMMYFUNCTION("""COMPUTED_VALUE"""),0.03)</f>
        <v>0.03</v>
      </c>
      <c r="K23" s="15">
        <f>IFERROR(__xludf.DUMMYFUNCTION("""COMPUTED_VALUE"""),1.83)</f>
        <v>1.83</v>
      </c>
    </row>
    <row r="24" ht="15.75" customHeight="1">
      <c r="A24" s="14" t="str">
        <f>IFERROR(__xludf.DUMMYFUNCTION("""COMPUTED_VALUE"""),"https://grizzle.io/blog/best-content-marketing-agencies-uk")</f>
        <v>https://grizzle.io/blog/best-content-marketing-agencies-uk</v>
      </c>
      <c r="B24" s="15" t="str">
        <f>IFERROR(__xludf.DUMMYFUNCTION("""COMPUTED_VALUE"""),"Best content marketing agencies in the UK")</f>
        <v>Best content marketing agencies in the UK</v>
      </c>
      <c r="C24" s="14" t="str">
        <f>IFERROR(__xludf.DUMMYFUNCTION("""COMPUTED_VALUE"""),"grizzle.io")</f>
        <v>grizzle.io</v>
      </c>
      <c r="D24" s="15" t="str">
        <f>IFERROR(__xludf.DUMMYFUNCTION("""COMPUTED_VALUE"""),"LISTICLE")</f>
        <v>LISTICLE</v>
      </c>
      <c r="E24" s="15" t="str">
        <f>IFERROR(__xludf.DUMMYFUNCTION("""COMPUTED_VALUE"""),"OTHER")</f>
        <v>OTHER</v>
      </c>
      <c r="F24" s="15" t="str">
        <f>IFERROR(__xludf.DUMMYFUNCTION("""COMPUTED_VALUE"""),"Listicle")</f>
        <v>Listicle</v>
      </c>
      <c r="G24" s="15" t="b">
        <f>IFERROR(__xludf.DUMMYFUNCTION("""COMPUTED_VALUE"""),FALSE)</f>
        <v>0</v>
      </c>
      <c r="H24" s="15" t="str">
        <f>IFERROR(__xludf.DUMMYFUNCTION("""COMPUTED_VALUE"""),"ClickSlice, Brainlabs, Rise at Seven, Croud, Siege Media, Measured, Tinuiti, Found")</f>
        <v>ClickSlice, Brainlabs, Rise at Seven, Croud, Siege Media, Measured, Tinuiti, Found</v>
      </c>
      <c r="I24" s="15">
        <f>IFERROR(__xludf.DUMMYFUNCTION("""COMPUTED_VALUE"""),34.0)</f>
        <v>34</v>
      </c>
      <c r="J24" s="15">
        <f>IFERROR(__xludf.DUMMYFUNCTION("""COMPUTED_VALUE"""),0.03)</f>
        <v>0.03</v>
      </c>
      <c r="K24" s="15">
        <f>IFERROR(__xludf.DUMMYFUNCTION("""COMPUTED_VALUE"""),0.82)</f>
        <v>0.82</v>
      </c>
    </row>
    <row r="25" ht="15.75" customHeight="1">
      <c r="A25" s="14" t="str">
        <f>IFERROR(__xludf.DUMMYFUNCTION("""COMPUTED_VALUE"""),"https://thesocialshepherd.com/blog/top-paid-social-agencies-uk")</f>
        <v>https://thesocialshepherd.com/blog/top-paid-social-agencies-uk</v>
      </c>
      <c r="B25" s="15" t="str">
        <f>IFERROR(__xludf.DUMMYFUNCTION("""COMPUTED_VALUE"""),"The Social Shepherd | Top 13 Paid Social Agencies In The UK (2026)")</f>
        <v>The Social Shepherd | Top 13 Paid Social Agencies In The UK (2026)</v>
      </c>
      <c r="C25" s="14" t="str">
        <f>IFERROR(__xludf.DUMMYFUNCTION("""COMPUTED_VALUE"""),"thesocialshepherd.com")</f>
        <v>thesocialshepherd.com</v>
      </c>
      <c r="D25" s="15" t="str">
        <f>IFERROR(__xludf.DUMMYFUNCTION("""COMPUTED_VALUE"""),"LISTICLE")</f>
        <v>LISTICLE</v>
      </c>
      <c r="E25" s="15" t="str">
        <f>IFERROR(__xludf.DUMMYFUNCTION("""COMPUTED_VALUE"""),"COMPETITOR")</f>
        <v>COMPETITOR</v>
      </c>
      <c r="F25" s="15" t="str">
        <f>IFERROR(__xludf.DUMMYFUNCTION("""COMPUTED_VALUE"""),"Listicle")</f>
        <v>Listicle</v>
      </c>
      <c r="G25" s="15" t="b">
        <f>IFERROR(__xludf.DUMMYFUNCTION("""COMPUTED_VALUE"""),FALSE)</f>
        <v>0</v>
      </c>
      <c r="H25" s="15" t="str">
        <f>IFERROR(__xludf.DUMMYFUNCTION("""COMPUTED_VALUE"""),"The Social Shepherd, Gripped, The Good Marketer, Found, The Brains, Clarity Performance")</f>
        <v>The Social Shepherd, Gripped, The Good Marketer, Found, The Brains, Clarity Performance</v>
      </c>
      <c r="I25" s="15">
        <f>IFERROR(__xludf.DUMMYFUNCTION("""COMPUTED_VALUE"""),34.0)</f>
        <v>34</v>
      </c>
      <c r="J25" s="15">
        <f>IFERROR(__xludf.DUMMYFUNCTION("""COMPUTED_VALUE"""),0.03)</f>
        <v>0.03</v>
      </c>
      <c r="K25" s="15">
        <f>IFERROR(__xludf.DUMMYFUNCTION("""COMPUTED_VALUE"""),1.09)</f>
        <v>1.09</v>
      </c>
    </row>
    <row r="26" ht="15.75" customHeight="1">
      <c r="A26" s="14" t="str">
        <f>IFERROR(__xludf.DUMMYFUNCTION("""COMPUTED_VALUE"""),"https://www.influencer-hero.com/blogs/top-paid-advertising-agencies-in-the-united-kingdom")</f>
        <v>https://www.influencer-hero.com/blogs/top-paid-advertising-agencies-in-the-united-kingdom</v>
      </c>
      <c r="B26" s="15" t="str">
        <f>IFERROR(__xludf.DUMMYFUNCTION("""COMPUTED_VALUE"""),"Top 10 Paid Advertising Agencies in the United Kingdom")</f>
        <v>Top 10 Paid Advertising Agencies in the United Kingdom</v>
      </c>
      <c r="C26" s="14" t="str">
        <f>IFERROR(__xludf.DUMMYFUNCTION("""COMPUTED_VALUE"""),"influencer-hero.com")</f>
        <v>influencer-hero.com</v>
      </c>
      <c r="D26" s="15" t="str">
        <f>IFERROR(__xludf.DUMMYFUNCTION("""COMPUTED_VALUE"""),"LISTICLE")</f>
        <v>LISTICLE</v>
      </c>
      <c r="E26" s="15" t="str">
        <f>IFERROR(__xludf.DUMMYFUNCTION("""COMPUTED_VALUE"""),"CORPORATE")</f>
        <v>CORPORATE</v>
      </c>
      <c r="F26" s="15" t="str">
        <f>IFERROR(__xludf.DUMMYFUNCTION("""COMPUTED_VALUE"""),"Listicle")</f>
        <v>Listicle</v>
      </c>
      <c r="G26" s="15" t="b">
        <f>IFERROR(__xludf.DUMMYFUNCTION("""COMPUTED_VALUE"""),FALSE)</f>
        <v>0</v>
      </c>
      <c r="H26" s="15" t="str">
        <f>IFERROR(__xludf.DUMMYFUNCTION("""COMPUTED_VALUE"""),"The Social Shepherd, Vivify Agency, Manifest Group, Clarity Performance, Croud, Impression, Disrupt Marketing")</f>
        <v>The Social Shepherd, Vivify Agency, Manifest Group, Clarity Performance, Croud, Impression, Disrupt Marketing</v>
      </c>
      <c r="I26" s="15">
        <f>IFERROR(__xludf.DUMMYFUNCTION("""COMPUTED_VALUE"""),33.0)</f>
        <v>33</v>
      </c>
      <c r="J26" s="15">
        <f>IFERROR(__xludf.DUMMYFUNCTION("""COMPUTED_VALUE"""),0.03)</f>
        <v>0.03</v>
      </c>
      <c r="K26" s="15">
        <f>IFERROR(__xludf.DUMMYFUNCTION("""COMPUTED_VALUE"""),0.39)</f>
        <v>0.39</v>
      </c>
    </row>
    <row r="27" ht="15.75" customHeight="1">
      <c r="A27" s="14" t="str">
        <f>IFERROR(__xludf.DUMMYFUNCTION("""COMPUTED_VALUE"""),"https://www.koozai.com/blog/search-marketing/the-best-ai-marketing-agencies-in-the-uk/")</f>
        <v>https://www.koozai.com/blog/search-marketing/the-best-ai-marketing-agencies-in-the-uk/</v>
      </c>
      <c r="B27" s="15" t="str">
        <f>IFERROR(__xludf.DUMMYFUNCTION("""COMPUTED_VALUE"""),"AI Marketing Agencies in the UK | Koozai")</f>
        <v>AI Marketing Agencies in the UK | Koozai</v>
      </c>
      <c r="C27" s="14" t="str">
        <f>IFERROR(__xludf.DUMMYFUNCTION("""COMPUTED_VALUE"""),"koozai.com")</f>
        <v>koozai.com</v>
      </c>
      <c r="D27" s="15" t="str">
        <f>IFERROR(__xludf.DUMMYFUNCTION("""COMPUTED_VALUE"""),"LISTICLE")</f>
        <v>LISTICLE</v>
      </c>
      <c r="E27" s="15" t="str">
        <f>IFERROR(__xludf.DUMMYFUNCTION("""COMPUTED_VALUE"""),"COMPETITOR")</f>
        <v>COMPETITOR</v>
      </c>
      <c r="F27" s="15" t="str">
        <f>IFERROR(__xludf.DUMMYFUNCTION("""COMPUTED_VALUE"""),"Listicle")</f>
        <v>Listicle</v>
      </c>
      <c r="G27" s="15" t="b">
        <f>IFERROR(__xludf.DUMMYFUNCTION("""COMPUTED_VALUE"""),FALSE)</f>
        <v>0</v>
      </c>
      <c r="H27" s="15" t="str">
        <f>IFERROR(__xludf.DUMMYFUNCTION("""COMPUTED_VALUE"""),"Koozai, Favoured, Measured")</f>
        <v>Koozai, Favoured, Measured</v>
      </c>
      <c r="I27" s="15">
        <f>IFERROR(__xludf.DUMMYFUNCTION("""COMPUTED_VALUE"""),32.0)</f>
        <v>32</v>
      </c>
      <c r="J27" s="15">
        <f>IFERROR(__xludf.DUMMYFUNCTION("""COMPUTED_VALUE"""),0.03)</f>
        <v>0.03</v>
      </c>
      <c r="K27" s="15">
        <f>IFERROR(__xludf.DUMMYFUNCTION("""COMPUTED_VALUE"""),0.91)</f>
        <v>0.91</v>
      </c>
    </row>
    <row r="28" ht="15.75" customHeight="1">
      <c r="A28" s="14" t="str">
        <f>IFERROR(__xludf.DUMMYFUNCTION("""COMPUTED_VALUE"""),"https://nautilusmarketing.co.uk/top-15-paid-media-agencies-in-the-uk-2026/#:~:text=B2B%20technology%20sales.-,Impression,Tiles%2C%20and%20Cancer%20Research%20UK.")</f>
        <v>https://nautilusmarketing.co.uk/top-15-paid-media-agencies-in-the-uk-2026/#:~:text=B2B%20technology%20sales.-,Impression,Tiles%2C%20and%20Cancer%20Research%20UK.</v>
      </c>
      <c r="B28" s="15" t="str">
        <f>IFERROR(__xludf.DUMMYFUNCTION("""COMPUTED_VALUE"""),"Top 15 Paid Media Agencies in the UK (2026)")</f>
        <v>Top 15 Paid Media Agencies in the UK (2026)</v>
      </c>
      <c r="C28" s="14" t="str">
        <f>IFERROR(__xludf.DUMMYFUNCTION("""COMPUTED_VALUE"""),"nautilusmarketing.co.uk")</f>
        <v>nautilusmarketing.co.uk</v>
      </c>
      <c r="D28" s="15" t="str">
        <f>IFERROR(__xludf.DUMMYFUNCTION("""COMPUTED_VALUE"""),"LISTICLE")</f>
        <v>LISTICLE</v>
      </c>
      <c r="E28" s="15" t="str">
        <f>IFERROR(__xludf.DUMMYFUNCTION("""COMPUTED_VALUE"""),"CORPORATE")</f>
        <v>CORPORATE</v>
      </c>
      <c r="F28" s="15" t="str">
        <f>IFERROR(__xludf.DUMMYFUNCTION("""COMPUTED_VALUE"""),"Listicle")</f>
        <v>Listicle</v>
      </c>
      <c r="G28" s="15" t="b">
        <f>IFERROR(__xludf.DUMMYFUNCTION("""COMPUTED_VALUE"""),FALSE)</f>
        <v>0</v>
      </c>
      <c r="H28"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28" s="15">
        <f>IFERROR(__xludf.DUMMYFUNCTION("""COMPUTED_VALUE"""),32.0)</f>
        <v>32</v>
      </c>
      <c r="J28" s="15">
        <f>IFERROR(__xludf.DUMMYFUNCTION("""COMPUTED_VALUE"""),0.03)</f>
        <v>0.03</v>
      </c>
      <c r="K28" s="15">
        <f>IFERROR(__xludf.DUMMYFUNCTION("""COMPUTED_VALUE"""),0.94)</f>
        <v>0.94</v>
      </c>
    </row>
    <row r="29" ht="15.75" customHeight="1">
      <c r="A29" s="14" t="str">
        <f>IFERROR(__xludf.DUMMYFUNCTION("""COMPUTED_VALUE"""),"https://inbeat.agency/blog/top-performance-marketing-agencies-london")</f>
        <v>https://inbeat.agency/blog/top-performance-marketing-agencies-london</v>
      </c>
      <c r="B29" s="15" t="str">
        <f>IFERROR(__xludf.DUMMYFUNCTION("""COMPUTED_VALUE"""),"Top 31 Performance Marketing Agencies in London as of 2026 - inBeat Agency")</f>
        <v>Top 31 Performance Marketing Agencies in London as of 2026 - inBeat Agency</v>
      </c>
      <c r="C29" s="15" t="str">
        <f>IFERROR(__xludf.DUMMYFUNCTION("""COMPUTED_VALUE"""),"inbeat.agency")</f>
        <v>inbeat.agency</v>
      </c>
      <c r="D29" s="15" t="str">
        <f>IFERROR(__xludf.DUMMYFUNCTION("""COMPUTED_VALUE"""),"LISTICLE")</f>
        <v>LISTICLE</v>
      </c>
      <c r="E29" s="15" t="str">
        <f>IFERROR(__xludf.DUMMYFUNCTION("""COMPUTED_VALUE"""),"COMPETITOR")</f>
        <v>COMPETITOR</v>
      </c>
      <c r="F29" s="15" t="str">
        <f>IFERROR(__xludf.DUMMYFUNCTION("""COMPUTED_VALUE"""),"Listicle")</f>
        <v>Listicle</v>
      </c>
      <c r="G29" s="15" t="b">
        <f>IFERROR(__xludf.DUMMYFUNCTION("""COMPUTED_VALUE"""),FALSE)</f>
        <v>0</v>
      </c>
      <c r="H29" s="15" t="str">
        <f>IFERROR(__xludf.DUMMYFUNCTION("""COMPUTED_VALUE"""),"inBeat, Nielsen, The Brains, The Social Shepherd, Triple Whale, Northbeam, PMG, Momentum, Push, Push Group, Found, Passion Digital, NP Digital, Hallam, Huge")</f>
        <v>inBeat, Nielsen, The Brains, The Social Shepherd, Triple Whale, Northbeam, PMG, Momentum, Push, Push Group, Found, Passion Digital, NP Digital, Hallam, Huge</v>
      </c>
      <c r="I29" s="15">
        <f>IFERROR(__xludf.DUMMYFUNCTION("""COMPUTED_VALUE"""),31.0)</f>
        <v>31</v>
      </c>
      <c r="J29" s="15">
        <f>IFERROR(__xludf.DUMMYFUNCTION("""COMPUTED_VALUE"""),0.03)</f>
        <v>0.03</v>
      </c>
      <c r="K29" s="15">
        <f>IFERROR(__xludf.DUMMYFUNCTION("""COMPUTED_VALUE"""),0.97)</f>
        <v>0.97</v>
      </c>
    </row>
    <row r="30" ht="15.75" customHeight="1">
      <c r="A30" s="14" t="str">
        <f>IFERROR(__xludf.DUMMYFUNCTION("""COMPUTED_VALUE"""),"https://open.partners/open-partners-insights/10-leading-uk-performance-marketing-agencies-that-deliver-proven-roi/")</f>
        <v>https://open.partners/open-partners-insights/10-leading-uk-performance-marketing-agencies-that-deliver-proven-roi/</v>
      </c>
      <c r="B30" s="15" t="str">
        <f>IFERROR(__xludf.DUMMYFUNCTION("""COMPUTED_VALUE"""),"10 Leading UK Performance Marketing Agencies That Deliver Proven ROI - Open Partners")</f>
        <v>10 Leading UK Performance Marketing Agencies That Deliver Proven ROI - Open Partners</v>
      </c>
      <c r="C30" s="15" t="str">
        <f>IFERROR(__xludf.DUMMYFUNCTION("""COMPUTED_VALUE"""),"open.partners")</f>
        <v>open.partners</v>
      </c>
      <c r="D30" s="15" t="str">
        <f>IFERROR(__xludf.DUMMYFUNCTION("""COMPUTED_VALUE"""),"LISTICLE")</f>
        <v>LISTICLE</v>
      </c>
      <c r="E30" s="15" t="str">
        <f>IFERROR(__xludf.DUMMYFUNCTION("""COMPUTED_VALUE"""),"COMPETITOR")</f>
        <v>COMPETITOR</v>
      </c>
      <c r="F30" s="15" t="str">
        <f>IFERROR(__xludf.DUMMYFUNCTION("""COMPUTED_VALUE"""),"Listicle")</f>
        <v>Listicle</v>
      </c>
      <c r="G30" s="15" t="b">
        <f>IFERROR(__xludf.DUMMYFUNCTION("""COMPUTED_VALUE"""),FALSE)</f>
        <v>0</v>
      </c>
      <c r="H30" s="15" t="str">
        <f>IFERROR(__xludf.DUMMYFUNCTION("""COMPUTED_VALUE"""),"Open Partners, Measured, Croud, Impression, Bind Media, The Brains, Push, Push Group, Bark London, weDiscover, VXTX")</f>
        <v>Open Partners, Measured, Croud, Impression, Bind Media, The Brains, Push, Push Group, Bark London, weDiscover, VXTX</v>
      </c>
      <c r="I30" s="15">
        <f>IFERROR(__xludf.DUMMYFUNCTION("""COMPUTED_VALUE"""),31.0)</f>
        <v>31</v>
      </c>
      <c r="J30" s="15">
        <f>IFERROR(__xludf.DUMMYFUNCTION("""COMPUTED_VALUE"""),0.03)</f>
        <v>0.03</v>
      </c>
      <c r="K30" s="15">
        <f>IFERROR(__xludf.DUMMYFUNCTION("""COMPUTED_VALUE"""),0.61)</f>
        <v>0.61</v>
      </c>
    </row>
    <row r="31" ht="15.75" customHeight="1">
      <c r="A31" s="14" t="str">
        <f>IFERROR(__xludf.DUMMYFUNCTION("""COMPUTED_VALUE"""),"https://www.sortlist.co.uk/s/marketing-analytics/london-england-gb")</f>
        <v>https://www.sortlist.co.uk/s/marketing-analytics/london-england-gb</v>
      </c>
      <c r="B31" s="15" t="str">
        <f>IFERROR(__xludf.DUMMYFUNCTION("""COMPUTED_VALUE"""),"The 10 Best Marketing Analytics Companies in London - 2026 Reviews")</f>
        <v>The 10 Best Marketing Analytics Companies in London - 2026 Reviews</v>
      </c>
      <c r="C31" s="14" t="str">
        <f>IFERROR(__xludf.DUMMYFUNCTION("""COMPUTED_VALUE"""),"sortlist.co.uk")</f>
        <v>sortlist.co.uk</v>
      </c>
      <c r="D31" s="15" t="str">
        <f>IFERROR(__xludf.DUMMYFUNCTION("""COMPUTED_VALUE"""),"LISTICLE")</f>
        <v>LISTICLE</v>
      </c>
      <c r="E31" s="15" t="str">
        <f>IFERROR(__xludf.DUMMYFUNCTION("""COMPUTED_VALUE"""),"REFERENCE")</f>
        <v>REFERENCE</v>
      </c>
      <c r="F31" s="15" t="str">
        <f>IFERROR(__xludf.DUMMYFUNCTION("""COMPUTED_VALUE"""),"Listicle")</f>
        <v>Listicle</v>
      </c>
      <c r="G31" s="15" t="b">
        <f>IFERROR(__xludf.DUMMYFUNCTION("""COMPUTED_VALUE"""),FALSE)</f>
        <v>0</v>
      </c>
      <c r="H31" s="15" t="str">
        <f>IFERROR(__xludf.DUMMYFUNCTION("""COMPUTED_VALUE"""),"Momentum, M3.agency, Whitehat, McKinsey &amp; Company, Found")</f>
        <v>Momentum, M3.agency, Whitehat, McKinsey &amp; Company, Found</v>
      </c>
      <c r="I31" s="15">
        <f>IFERROR(__xludf.DUMMYFUNCTION("""COMPUTED_VALUE"""),31.0)</f>
        <v>31</v>
      </c>
      <c r="J31" s="15">
        <f>IFERROR(__xludf.DUMMYFUNCTION("""COMPUTED_VALUE"""),0.03)</f>
        <v>0.03</v>
      </c>
      <c r="K31" s="15">
        <f>IFERROR(__xludf.DUMMYFUNCTION("""COMPUTED_VALUE"""),0.1)</f>
        <v>0.1</v>
      </c>
    </row>
    <row r="32" ht="15.75" customHeight="1">
      <c r="A32" s="14" t="str">
        <f>IFERROR(__xludf.DUMMYFUNCTION("""COMPUTED_VALUE"""),"https://bind.media/insights/top-9-paid-social-agencies-in-the-uk-2025")</f>
        <v>https://bind.media/insights/top-9-paid-social-agencies-in-the-uk-2025</v>
      </c>
      <c r="B32" s="15" t="str">
        <f>IFERROR(__xludf.DUMMYFUNCTION("""COMPUTED_VALUE"""),"Top 9 Paid Social Agencies in the UK [2025]")</f>
        <v>Top 9 Paid Social Agencies in the UK [2025]</v>
      </c>
      <c r="C32" s="15" t="str">
        <f>IFERROR(__xludf.DUMMYFUNCTION("""COMPUTED_VALUE"""),"bind.media")</f>
        <v>bind.media</v>
      </c>
      <c r="D32" s="15" t="str">
        <f>IFERROR(__xludf.DUMMYFUNCTION("""COMPUTED_VALUE"""),"LISTICLE")</f>
        <v>LISTICLE</v>
      </c>
      <c r="E32" s="15" t="str">
        <f>IFERROR(__xludf.DUMMYFUNCTION("""COMPUTED_VALUE"""),"COMPETITOR")</f>
        <v>COMPETITOR</v>
      </c>
      <c r="F32" s="15" t="str">
        <f>IFERROR(__xludf.DUMMYFUNCTION("""COMPUTED_VALUE"""),"Listicle")</f>
        <v>Listicle</v>
      </c>
      <c r="G32" s="15" t="b">
        <f>IFERROR(__xludf.DUMMYFUNCTION("""COMPUTED_VALUE"""),FALSE)</f>
        <v>0</v>
      </c>
      <c r="H32" s="15" t="str">
        <f>IFERROR(__xludf.DUMMYFUNCTION("""COMPUTED_VALUE"""),"Bind Media, Measured, Hallam, We Are Social, The Social Shepherd, Croud, The Good Marketer")</f>
        <v>Bind Media, Measured, Hallam, We Are Social, The Social Shepherd, Croud, The Good Marketer</v>
      </c>
      <c r="I32" s="15">
        <f>IFERROR(__xludf.DUMMYFUNCTION("""COMPUTED_VALUE"""),30.0)</f>
        <v>30</v>
      </c>
      <c r="J32" s="15">
        <f>IFERROR(__xludf.DUMMYFUNCTION("""COMPUTED_VALUE"""),0.03)</f>
        <v>0.03</v>
      </c>
      <c r="K32" s="15">
        <f>IFERROR(__xludf.DUMMYFUNCTION("""COMPUTED_VALUE"""),1.8)</f>
        <v>1.8</v>
      </c>
    </row>
    <row r="33" ht="15.75" customHeight="1">
      <c r="A33" s="14" t="str">
        <f>IFERROR(__xludf.DUMMYFUNCTION("""COMPUTED_VALUE"""),"https://disruptmarketing.co/blog/best-social-media-marketing-agencies/")</f>
        <v>https://disruptmarketing.co/blog/best-social-media-marketing-agencies/</v>
      </c>
      <c r="B33" s="15" t="str">
        <f>IFERROR(__xludf.DUMMYFUNCTION("""COMPUTED_VALUE"""),"Best Social Media Agencies in the UK (2026) | Disrupt")</f>
        <v>Best Social Media Agencies in the UK (2026) | Disrupt</v>
      </c>
      <c r="C33" s="14" t="str">
        <f>IFERROR(__xludf.DUMMYFUNCTION("""COMPUTED_VALUE"""),"disruptmarketing.co")</f>
        <v>disruptmarketing.co</v>
      </c>
      <c r="D33" s="15" t="str">
        <f>IFERROR(__xludf.DUMMYFUNCTION("""COMPUTED_VALUE"""),"LISTICLE")</f>
        <v>LISTICLE</v>
      </c>
      <c r="E33" s="15" t="str">
        <f>IFERROR(__xludf.DUMMYFUNCTION("""COMPUTED_VALUE"""),"COMPETITOR")</f>
        <v>COMPETITOR</v>
      </c>
      <c r="F33" s="15" t="str">
        <f>IFERROR(__xludf.DUMMYFUNCTION("""COMPUTED_VALUE"""),"Listicle")</f>
        <v>Listicle</v>
      </c>
      <c r="G33" s="15" t="b">
        <f>IFERROR(__xludf.DUMMYFUNCTION("""COMPUTED_VALUE"""),FALSE)</f>
        <v>0</v>
      </c>
      <c r="H33" s="15" t="str">
        <f>IFERROR(__xludf.DUMMYFUNCTION("""COMPUTED_VALUE"""),"Disrupt Marketing, We Are Social, Found, Social Chain, Born Social, Croud, Ogilvy, Saatchi &amp; Saatchi, Publicis Groupe, The Social Shepherd, WPP, Measured")</f>
        <v>Disrupt Marketing, We Are Social, Found, Social Chain, Born Social, Croud, Ogilvy, Saatchi &amp; Saatchi, Publicis Groupe, The Social Shepherd, WPP, Measured</v>
      </c>
      <c r="I33" s="15">
        <f>IFERROR(__xludf.DUMMYFUNCTION("""COMPUTED_VALUE"""),30.0)</f>
        <v>30</v>
      </c>
      <c r="J33" s="15">
        <f>IFERROR(__xludf.DUMMYFUNCTION("""COMPUTED_VALUE"""),0.03)</f>
        <v>0.03</v>
      </c>
      <c r="K33" s="15">
        <f>IFERROR(__xludf.DUMMYFUNCTION("""COMPUTED_VALUE"""),0.87)</f>
        <v>0.87</v>
      </c>
    </row>
    <row r="34" ht="15.75" customHeight="1">
      <c r="A34" s="14" t="str">
        <f>IFERROR(__xludf.DUMMYFUNCTION("""COMPUTED_VALUE"""),"https://thesocialshepherd.com/blog/paid-media-agencies-uk")</f>
        <v>https://thesocialshepherd.com/blog/paid-media-agencies-uk</v>
      </c>
      <c r="B34" s="15" t="str">
        <f>IFERROR(__xludf.DUMMYFUNCTION("""COMPUTED_VALUE"""),"The Social Shepherd | Top 13 Paid Media Agencies In The UK (2026)")</f>
        <v>The Social Shepherd | Top 13 Paid Media Agencies In The UK (2026)</v>
      </c>
      <c r="C34" s="14" t="str">
        <f>IFERROR(__xludf.DUMMYFUNCTION("""COMPUTED_VALUE"""),"thesocialshepherd.com")</f>
        <v>thesocialshepherd.com</v>
      </c>
      <c r="D34" s="15" t="str">
        <f>IFERROR(__xludf.DUMMYFUNCTION("""COMPUTED_VALUE"""),"LISTICLE")</f>
        <v>LISTICLE</v>
      </c>
      <c r="E34" s="15" t="str">
        <f>IFERROR(__xludf.DUMMYFUNCTION("""COMPUTED_VALUE"""),"COMPETITOR")</f>
        <v>COMPETITOR</v>
      </c>
      <c r="F34" s="15" t="str">
        <f>IFERROR(__xludf.DUMMYFUNCTION("""COMPUTED_VALUE"""),"Listicle")</f>
        <v>Listicle</v>
      </c>
      <c r="G34" s="15" t="b">
        <f>IFERROR(__xludf.DUMMYFUNCTION("""COMPUTED_VALUE"""),FALSE)</f>
        <v>0</v>
      </c>
      <c r="H34" s="15" t="str">
        <f>IFERROR(__xludf.DUMMYFUNCTION("""COMPUTED_VALUE"""),"The Social Shepherd, Croud, Impression, Clarity Performance, Soap Media, 9AM, Disrupt Marketing")</f>
        <v>The Social Shepherd, Croud, Impression, Clarity Performance, Soap Media, 9AM, Disrupt Marketing</v>
      </c>
      <c r="I34" s="15">
        <f>IFERROR(__xludf.DUMMYFUNCTION("""COMPUTED_VALUE"""),30.0)</f>
        <v>30</v>
      </c>
      <c r="J34" s="15">
        <f>IFERROR(__xludf.DUMMYFUNCTION("""COMPUTED_VALUE"""),0.03)</f>
        <v>0.03</v>
      </c>
      <c r="K34" s="15">
        <f>IFERROR(__xludf.DUMMYFUNCTION("""COMPUTED_VALUE"""),2.5)</f>
        <v>2.5</v>
      </c>
    </row>
    <row r="35" ht="15.75" customHeight="1">
      <c r="A35" s="14" t="str">
        <f>IFERROR(__xludf.DUMMYFUNCTION("""COMPUTED_VALUE"""),"https://www.pushgroup.co.uk/blog/top-9-geo-agencies-in-the-uk")</f>
        <v>https://www.pushgroup.co.uk/blog/top-9-geo-agencies-in-the-uk</v>
      </c>
      <c r="B35" s="15" t="str">
        <f>IFERROR(__xludf.DUMMYFUNCTION("""COMPUTED_VALUE"""),"Top 9 GEO Agencies UK (2026): Reviewed &amp;amp; Compared | PUSH Group")</f>
        <v>Top 9 GEO Agencies UK (2026): Reviewed &amp;amp; Compared | PUSH Group</v>
      </c>
      <c r="C35" s="14" t="str">
        <f>IFERROR(__xludf.DUMMYFUNCTION("""COMPUTED_VALUE"""),"pushgroup.co.uk")</f>
        <v>pushgroup.co.uk</v>
      </c>
      <c r="D35" s="15" t="str">
        <f>IFERROR(__xludf.DUMMYFUNCTION("""COMPUTED_VALUE"""),"LISTICLE")</f>
        <v>LISTICLE</v>
      </c>
      <c r="E35" s="15" t="str">
        <f>IFERROR(__xludf.DUMMYFUNCTION("""COMPUTED_VALUE"""),"COMPETITOR")</f>
        <v>COMPETITOR</v>
      </c>
      <c r="F35" s="15" t="str">
        <f>IFERROR(__xludf.DUMMYFUNCTION("""COMPUTED_VALUE"""),"Listicle")</f>
        <v>Listicle</v>
      </c>
      <c r="G35" s="15" t="b">
        <f>IFERROR(__xludf.DUMMYFUNCTION("""COMPUTED_VALUE"""),FALSE)</f>
        <v>0</v>
      </c>
      <c r="H35" s="15" t="str">
        <f>IFERROR(__xludf.DUMMYFUNCTION("""COMPUTED_VALUE"""),"Push, Push Group, Found, Propellernet, Builtvisible, Charle Agency, Blue Array, Passion Digital, Impression, Disrupt Marketing, Measured")</f>
        <v>Push, Push Group, Found, Propellernet, Builtvisible, Charle Agency, Blue Array, Passion Digital, Impression, Disrupt Marketing, Measured</v>
      </c>
      <c r="I35" s="15">
        <f>IFERROR(__xludf.DUMMYFUNCTION("""COMPUTED_VALUE"""),29.0)</f>
        <v>29</v>
      </c>
      <c r="J35" s="15">
        <f>IFERROR(__xludf.DUMMYFUNCTION("""COMPUTED_VALUE"""),0.03)</f>
        <v>0.03</v>
      </c>
      <c r="K35" s="15">
        <f>IFERROR(__xludf.DUMMYFUNCTION("""COMPUTED_VALUE"""),0.76)</f>
        <v>0.76</v>
      </c>
    </row>
    <row r="36" ht="15.75" customHeight="1">
      <c r="A36" s="14" t="str">
        <f>IFERROR(__xludf.DUMMYFUNCTION("""COMPUTED_VALUE"""),"https://aeoagency.co.uk/top-aeo-agencies-uk-list/")</f>
        <v>https://aeoagency.co.uk/top-aeo-agencies-uk-list/</v>
      </c>
      <c r="B36" s="15" t="str">
        <f>IFERROR(__xludf.DUMMYFUNCTION("""COMPUTED_VALUE"""),"Top AEO Agencies in the UK | 2026 &amp;amp; Beyond")</f>
        <v>Top AEO Agencies in the UK | 2026 &amp;amp; Beyond</v>
      </c>
      <c r="C36" s="14" t="str">
        <f>IFERROR(__xludf.DUMMYFUNCTION("""COMPUTED_VALUE"""),"aeoagency.co.uk")</f>
        <v>aeoagency.co.uk</v>
      </c>
      <c r="D36" s="15" t="str">
        <f>IFERROR(__xludf.DUMMYFUNCTION("""COMPUTED_VALUE"""),"LISTICLE")</f>
        <v>LISTICLE</v>
      </c>
      <c r="E36" s="15" t="str">
        <f>IFERROR(__xludf.DUMMYFUNCTION("""COMPUTED_VALUE"""),"CORPORATE")</f>
        <v>CORPORATE</v>
      </c>
      <c r="F36" s="15" t="str">
        <f>IFERROR(__xludf.DUMMYFUNCTION("""COMPUTED_VALUE"""),"Listicle")</f>
        <v>Listicle</v>
      </c>
      <c r="G36" s="15" t="b">
        <f>IFERROR(__xludf.DUMMYFUNCTION("""COMPUTED_VALUE"""),FALSE)</f>
        <v>0</v>
      </c>
      <c r="H36" s="15" t="str">
        <f>IFERROR(__xludf.DUMMYFUNCTION("""COMPUTED_VALUE"""),"Digital Landscope, The SEO Works, Push")</f>
        <v>Digital Landscope, The SEO Works, Push</v>
      </c>
      <c r="I36" s="15">
        <f>IFERROR(__xludf.DUMMYFUNCTION("""COMPUTED_VALUE"""),28.0)</f>
        <v>28</v>
      </c>
      <c r="J36" s="15">
        <f>IFERROR(__xludf.DUMMYFUNCTION("""COMPUTED_VALUE"""),0.03)</f>
        <v>0.03</v>
      </c>
      <c r="K36" s="15">
        <f>IFERROR(__xludf.DUMMYFUNCTION("""COMPUTED_VALUE"""),1.04)</f>
        <v>1.04</v>
      </c>
    </row>
    <row r="37" ht="15.75" customHeight="1">
      <c r="A37" s="14" t="str">
        <f>IFERROR(__xludf.DUMMYFUNCTION("""COMPUTED_VALUE"""),"https://www.tilio.co.uk/blog/the-ultimate-guide-to-aeo-agencies-in-the-uk-2026")</f>
        <v>https://www.tilio.co.uk/blog/the-ultimate-guide-to-aeo-agencies-in-the-uk-2026</v>
      </c>
      <c r="B37" s="15" t="str">
        <f>IFERROR(__xludf.DUMMYFUNCTION("""COMPUTED_VALUE"""),"5 AEO agencies in the UK to know in 2026 | Tilio")</f>
        <v>5 AEO agencies in the UK to know in 2026 | Tilio</v>
      </c>
      <c r="C37" s="14" t="str">
        <f>IFERROR(__xludf.DUMMYFUNCTION("""COMPUTED_VALUE"""),"tilio.co.uk")</f>
        <v>tilio.co.uk</v>
      </c>
      <c r="D37" s="15" t="str">
        <f>IFERROR(__xludf.DUMMYFUNCTION("""COMPUTED_VALUE"""),"LISTICLE")</f>
        <v>LISTICLE</v>
      </c>
      <c r="E37" s="15" t="str">
        <f>IFERROR(__xludf.DUMMYFUNCTION("""COMPUTED_VALUE"""),"COMPETITOR")</f>
        <v>COMPETITOR</v>
      </c>
      <c r="F37" s="15" t="str">
        <f>IFERROR(__xludf.DUMMYFUNCTION("""COMPUTED_VALUE"""),"Listicle")</f>
        <v>Listicle</v>
      </c>
      <c r="G37" s="15" t="b">
        <f>IFERROR(__xludf.DUMMYFUNCTION("""COMPUTED_VALUE"""),FALSE)</f>
        <v>0</v>
      </c>
      <c r="H37" s="15" t="str">
        <f>IFERROR(__xludf.DUMMYFUNCTION("""COMPUTED_VALUE"""),"Tilio, Found, Propeller, Digital Landscope, Varn")</f>
        <v>Tilio, Found, Propeller, Digital Landscope, Varn</v>
      </c>
      <c r="I37" s="15">
        <f>IFERROR(__xludf.DUMMYFUNCTION("""COMPUTED_VALUE"""),28.0)</f>
        <v>28</v>
      </c>
      <c r="J37" s="15">
        <f>IFERROR(__xludf.DUMMYFUNCTION("""COMPUTED_VALUE"""),0.03)</f>
        <v>0.03</v>
      </c>
      <c r="K37" s="15">
        <f>IFERROR(__xludf.DUMMYFUNCTION("""COMPUTED_VALUE"""),0.61)</f>
        <v>0.61</v>
      </c>
    </row>
    <row r="38" ht="15.75" customHeight="1">
      <c r="A38" s="14" t="str">
        <f>IFERROR(__xludf.DUMMYFUNCTION("""COMPUTED_VALUE"""),"https://www.tilio.co.uk/blog/top-geo-agencies-uk")</f>
        <v>https://www.tilio.co.uk/blog/top-geo-agencies-uk</v>
      </c>
      <c r="B38" s="15" t="str">
        <f>IFERROR(__xludf.DUMMYFUNCTION("""COMPUTED_VALUE"""),"Top 8 GEO agencies in the UK in 2026 | Tilio")</f>
        <v>Top 8 GEO agencies in the UK in 2026 | Tilio</v>
      </c>
      <c r="C38" s="14" t="str">
        <f>IFERROR(__xludf.DUMMYFUNCTION("""COMPUTED_VALUE"""),"tilio.co.uk")</f>
        <v>tilio.co.uk</v>
      </c>
      <c r="D38" s="15" t="str">
        <f>IFERROR(__xludf.DUMMYFUNCTION("""COMPUTED_VALUE"""),"LISTICLE")</f>
        <v>LISTICLE</v>
      </c>
      <c r="E38" s="15" t="str">
        <f>IFERROR(__xludf.DUMMYFUNCTION("""COMPUTED_VALUE"""),"COMPETITOR")</f>
        <v>COMPETITOR</v>
      </c>
      <c r="F38" s="15" t="str">
        <f>IFERROR(__xludf.DUMMYFUNCTION("""COMPUTED_VALUE"""),"Listicle")</f>
        <v>Listicle</v>
      </c>
      <c r="G38" s="15" t="b">
        <f>IFERROR(__xludf.DUMMYFUNCTION("""COMPUTED_VALUE"""),FALSE)</f>
        <v>0</v>
      </c>
      <c r="H38" s="15" t="str">
        <f>IFERROR(__xludf.DUMMYFUNCTION("""COMPUTED_VALUE"""),"Tilio, Screaming Frog, Found, Varn, Impression, Blue Array, The SEO Works")</f>
        <v>Tilio, Screaming Frog, Found, Varn, Impression, Blue Array, The SEO Works</v>
      </c>
      <c r="I38" s="15">
        <f>IFERROR(__xludf.DUMMYFUNCTION("""COMPUTED_VALUE"""),28.0)</f>
        <v>28</v>
      </c>
      <c r="J38" s="15">
        <f>IFERROR(__xludf.DUMMYFUNCTION("""COMPUTED_VALUE"""),0.03)</f>
        <v>0.03</v>
      </c>
      <c r="K38" s="15">
        <f>IFERROR(__xludf.DUMMYFUNCTION("""COMPUTED_VALUE"""),2.04)</f>
        <v>2.04</v>
      </c>
    </row>
    <row r="39" ht="15.75" customHeight="1">
      <c r="A39" s="14" t="str">
        <f>IFERROR(__xludf.DUMMYFUNCTION("""COMPUTED_VALUE"""),"https://www.cometly.com/post/marketing-incrementality-testing-tools")</f>
        <v>https://www.cometly.com/post/marketing-incrementality-testing-tools</v>
      </c>
      <c r="B39" s="15" t="str">
        <f>IFERROR(__xludf.DUMMYFUNCTION("""COMPUTED_VALUE"""),"9 Best Marketing Incrementality Testing Tools 2026")</f>
        <v>9 Best Marketing Incrementality Testing Tools 2026</v>
      </c>
      <c r="C39" s="14" t="str">
        <f>IFERROR(__xludf.DUMMYFUNCTION("""COMPUTED_VALUE"""),"cometly.com")</f>
        <v>cometly.com</v>
      </c>
      <c r="D39" s="15" t="str">
        <f>IFERROR(__xludf.DUMMYFUNCTION("""COMPUTED_VALUE"""),"LISTICLE")</f>
        <v>LISTICLE</v>
      </c>
      <c r="E39" s="15" t="str">
        <f>IFERROR(__xludf.DUMMYFUNCTION("""COMPUTED_VALUE"""),"COMPETITOR")</f>
        <v>COMPETITOR</v>
      </c>
      <c r="F39" s="15" t="str">
        <f>IFERROR(__xludf.DUMMYFUNCTION("""COMPUTED_VALUE"""),"Listicle")</f>
        <v>Listicle</v>
      </c>
      <c r="G39" s="15" t="b">
        <f>IFERROR(__xludf.DUMMYFUNCTION("""COMPUTED_VALUE"""),FALSE)</f>
        <v>0</v>
      </c>
      <c r="H39" s="15" t="str">
        <f>IFERROR(__xludf.DUMMYFUNCTION("""COMPUTED_VALUE"""),"Cometly, Measured, Rockerbox, Northbeam, Haus, Recast, Impression")</f>
        <v>Cometly, Measured, Rockerbox, Northbeam, Haus, Recast, Impression</v>
      </c>
      <c r="I39" s="15">
        <f>IFERROR(__xludf.DUMMYFUNCTION("""COMPUTED_VALUE"""),27.0)</f>
        <v>27</v>
      </c>
      <c r="J39" s="15">
        <f>IFERROR(__xludf.DUMMYFUNCTION("""COMPUTED_VALUE"""),0.03)</f>
        <v>0.03</v>
      </c>
      <c r="K39" s="15">
        <f>IFERROR(__xludf.DUMMYFUNCTION("""COMPUTED_VALUE"""),1.04)</f>
        <v>1.04</v>
      </c>
    </row>
    <row r="40" ht="15.75" customHeight="1">
      <c r="A40" s="14" t="str">
        <f>IFERROR(__xludf.DUMMYFUNCTION("""COMPUTED_VALUE"""),"https://www.munro.agency/ai-marketing-agency/")</f>
        <v>https://www.munro.agency/ai-marketing-agency/</v>
      </c>
      <c r="B40" s="15" t="str">
        <f>IFERROR(__xludf.DUMMYFUNCTION("""COMPUTED_VALUE"""),"10 Best AI Marketing Agencies in the UK for 2026")</f>
        <v>10 Best AI Marketing Agencies in the UK for 2026</v>
      </c>
      <c r="C40" s="15" t="str">
        <f>IFERROR(__xludf.DUMMYFUNCTION("""COMPUTED_VALUE"""),"munro.agency")</f>
        <v>munro.agency</v>
      </c>
      <c r="D40" s="15" t="str">
        <f>IFERROR(__xludf.DUMMYFUNCTION("""COMPUTED_VALUE"""),"LISTICLE")</f>
        <v>LISTICLE</v>
      </c>
      <c r="E40" s="15" t="str">
        <f>IFERROR(__xludf.DUMMYFUNCTION("""COMPUTED_VALUE"""),"CORPORATE")</f>
        <v>CORPORATE</v>
      </c>
      <c r="F40" s="15" t="str">
        <f>IFERROR(__xludf.DUMMYFUNCTION("""COMPUTED_VALUE"""),"Listicle")</f>
        <v>Listicle</v>
      </c>
      <c r="G40" s="15" t="b">
        <f>IFERROR(__xludf.DUMMYFUNCTION("""COMPUTED_VALUE"""),FALSE)</f>
        <v>0</v>
      </c>
      <c r="H40" s="15" t="str">
        <f>IFERROR(__xludf.DUMMYFUNCTION("""COMPUTED_VALUE"""),"Hallam, Favoured, Propeller, Disrupt Marketing")</f>
        <v>Hallam, Favoured, Propeller, Disrupt Marketing</v>
      </c>
      <c r="I40" s="15">
        <f>IFERROR(__xludf.DUMMYFUNCTION("""COMPUTED_VALUE"""),27.0)</f>
        <v>27</v>
      </c>
      <c r="J40" s="15">
        <f>IFERROR(__xludf.DUMMYFUNCTION("""COMPUTED_VALUE"""),0.03)</f>
        <v>0.03</v>
      </c>
      <c r="K40" s="15">
        <f>IFERROR(__xludf.DUMMYFUNCTION("""COMPUTED_VALUE"""),0.59)</f>
        <v>0.59</v>
      </c>
    </row>
    <row r="41" ht="15.75" customHeight="1">
      <c r="A41" s="14" t="str">
        <f>IFERROR(__xludf.DUMMYFUNCTION("""COMPUTED_VALUE"""),"https://www.pushgroup.co.uk/blog/top-9-answer-engine-optimisation-agencies-uk")</f>
        <v>https://www.pushgroup.co.uk/blog/top-9-answer-engine-optimisation-agencies-uk</v>
      </c>
      <c r="B41" s="15" t="str">
        <f>IFERROR(__xludf.DUMMYFUNCTION("""COMPUTED_VALUE"""),"Top 9 Answer Engine Optimisation Agencies UK (2026 Guide) | PUSH Group")</f>
        <v>Top 9 Answer Engine Optimisation Agencies UK (2026 Guide) | PUSH Group</v>
      </c>
      <c r="C41" s="14" t="str">
        <f>IFERROR(__xludf.DUMMYFUNCTION("""COMPUTED_VALUE"""),"pushgroup.co.uk")</f>
        <v>pushgroup.co.uk</v>
      </c>
      <c r="D41" s="15" t="str">
        <f>IFERROR(__xludf.DUMMYFUNCTION("""COMPUTED_VALUE"""),"LISTICLE")</f>
        <v>LISTICLE</v>
      </c>
      <c r="E41" s="15" t="str">
        <f>IFERROR(__xludf.DUMMYFUNCTION("""COMPUTED_VALUE"""),"COMPETITOR")</f>
        <v>COMPETITOR</v>
      </c>
      <c r="F41" s="15" t="str">
        <f>IFERROR(__xludf.DUMMYFUNCTION("""COMPUTED_VALUE"""),"Listicle")</f>
        <v>Listicle</v>
      </c>
      <c r="G41" s="15" t="b">
        <f>IFERROR(__xludf.DUMMYFUNCTION("""COMPUTED_VALUE"""),FALSE)</f>
        <v>0</v>
      </c>
      <c r="H41" s="15" t="str">
        <f>IFERROR(__xludf.DUMMYFUNCTION("""COMPUTED_VALUE"""),"Push, Push Group, Found, The SEO Works, Builtvisible, Dentsu, Impression")</f>
        <v>Push, Push Group, Found, The SEO Works, Builtvisible, Dentsu, Impression</v>
      </c>
      <c r="I41" s="15">
        <f>IFERROR(__xludf.DUMMYFUNCTION("""COMPUTED_VALUE"""),27.0)</f>
        <v>27</v>
      </c>
      <c r="J41" s="15">
        <f>IFERROR(__xludf.DUMMYFUNCTION("""COMPUTED_VALUE"""),0.03)</f>
        <v>0.03</v>
      </c>
      <c r="K41" s="15">
        <f>IFERROR(__xludf.DUMMYFUNCTION("""COMPUTED_VALUE"""),2.11)</f>
        <v>2.11</v>
      </c>
    </row>
    <row r="42" ht="15.75" customHeight="1">
      <c r="A42" s="14" t="str">
        <f>IFERROR(__xludf.DUMMYFUNCTION("""COMPUTED_VALUE"""),"https://www.charle.co.uk/articles/top-ai-seo-agencies/#:~:text=Buried%20Agency%20is%20a%20UK,Google%20AI%20Overviews%2C%20and%20Perplexity.")</f>
        <v>https://www.charle.co.uk/articles/top-ai-seo-agencies/#:~:text=Buried%20Agency%20is%20a%20UK,Google%20AI%20Overviews%2C%20and%20Perplexity.</v>
      </c>
      <c r="B42" s="15" t="str">
        <f>IFERROR(__xludf.DUMMYFUNCTION("""COMPUTED_VALUE"""),"13 Best AI SEO Agencies UK (2026) | Charle")</f>
        <v>13 Best AI SEO Agencies UK (2026) | Charle</v>
      </c>
      <c r="C42" s="14" t="str">
        <f>IFERROR(__xludf.DUMMYFUNCTION("""COMPUTED_VALUE"""),"charle.co.uk")</f>
        <v>charle.co.uk</v>
      </c>
      <c r="D42" s="15" t="str">
        <f>IFERROR(__xludf.DUMMYFUNCTION("""COMPUTED_VALUE"""),"LISTICLE")</f>
        <v>LISTICLE</v>
      </c>
      <c r="E42" s="15" t="str">
        <f>IFERROR(__xludf.DUMMYFUNCTION("""COMPUTED_VALUE"""),"COMPETITOR")</f>
        <v>COMPETITOR</v>
      </c>
      <c r="F42" s="15" t="str">
        <f>IFERROR(__xludf.DUMMYFUNCTION("""COMPUTED_VALUE"""),"Listicle")</f>
        <v>Listicle</v>
      </c>
      <c r="G42" s="15" t="b">
        <f>IFERROR(__xludf.DUMMYFUNCTION("""COMPUTED_VALUE"""),FALSE)</f>
        <v>0</v>
      </c>
      <c r="H42" s="15" t="str">
        <f>IFERROR(__xludf.DUMMYFUNCTION("""COMPUTED_VALUE"""),"Charle Agency, Buried Agency, Impression, Found, Rise at Seven, Exposure Ninja, ClickSlice, Blue Array, Measured")</f>
        <v>Charle Agency, Buried Agency, Impression, Found, Rise at Seven, Exposure Ninja, ClickSlice, Blue Array, Measured</v>
      </c>
      <c r="I42" s="15">
        <f>IFERROR(__xludf.DUMMYFUNCTION("""COMPUTED_VALUE"""),26.0)</f>
        <v>26</v>
      </c>
      <c r="J42" s="15">
        <f>IFERROR(__xludf.DUMMYFUNCTION("""COMPUTED_VALUE"""),0.03)</f>
        <v>0.03</v>
      </c>
      <c r="K42" s="15">
        <f>IFERROR(__xludf.DUMMYFUNCTION("""COMPUTED_VALUE"""),0.73)</f>
        <v>0.73</v>
      </c>
    </row>
    <row r="43" ht="15.75" customHeight="1">
      <c r="A43" s="14" t="str">
        <f>IFERROR(__xludf.DUMMYFUNCTION("""COMPUTED_VALUE"""),"https://eseospace.com/blog/best-aeo-agencies-london-2026/")</f>
        <v>https://eseospace.com/blog/best-aeo-agencies-london-2026/</v>
      </c>
      <c r="B43" s="15" t="str">
        <f>IFERROR(__xludf.DUMMYFUNCTION("""COMPUTED_VALUE"""),"Best AEO Agencies in London in 2026: Top Answer Engine Optimization Experts in the UK - eSEOspace")</f>
        <v>Best AEO Agencies in London in 2026: Top Answer Engine Optimization Experts in the UK - eSEOspace</v>
      </c>
      <c r="C43" s="14" t="str">
        <f>IFERROR(__xludf.DUMMYFUNCTION("""COMPUTED_VALUE"""),"eseospace.com")</f>
        <v>eseospace.com</v>
      </c>
      <c r="D43" s="15" t="str">
        <f>IFERROR(__xludf.DUMMYFUNCTION("""COMPUTED_VALUE"""),"LISTICLE")</f>
        <v>LISTICLE</v>
      </c>
      <c r="E43" s="15" t="str">
        <f>IFERROR(__xludf.DUMMYFUNCTION("""COMPUTED_VALUE"""),"CORPORATE")</f>
        <v>CORPORATE</v>
      </c>
      <c r="F43" s="15" t="str">
        <f>IFERROR(__xludf.DUMMYFUNCTION("""COMPUTED_VALUE"""),"Listicle")</f>
        <v>Listicle</v>
      </c>
      <c r="G43" s="15" t="b">
        <f>IFERROR(__xludf.DUMMYFUNCTION("""COMPUTED_VALUE"""),FALSE)</f>
        <v>0</v>
      </c>
      <c r="H43" s="15" t="str">
        <f>IFERROR(__xludf.DUMMYFUNCTION("""COMPUTED_VALUE"""),"Impression, Builtvisible, Rise at Seven, Screaming Frog")</f>
        <v>Impression, Builtvisible, Rise at Seven, Screaming Frog</v>
      </c>
      <c r="I43" s="15">
        <f>IFERROR(__xludf.DUMMYFUNCTION("""COMPUTED_VALUE"""),26.0)</f>
        <v>26</v>
      </c>
      <c r="J43" s="15">
        <f>IFERROR(__xludf.DUMMYFUNCTION("""COMPUTED_VALUE"""),0.03)</f>
        <v>0.03</v>
      </c>
      <c r="K43" s="15">
        <f>IFERROR(__xludf.DUMMYFUNCTION("""COMPUTED_VALUE"""),0.62)</f>
        <v>0.62</v>
      </c>
    </row>
    <row r="44" ht="15.75" customHeight="1">
      <c r="A44" s="14" t="str">
        <f>IFERROR(__xludf.DUMMYFUNCTION("""COMPUTED_VALUE"""),"https://www.rebootonline.com/paid-media/best-paid-media-agencies/")</f>
        <v>https://www.rebootonline.com/paid-media/best-paid-media-agencies/</v>
      </c>
      <c r="B44" s="15" t="str">
        <f>IFERROR(__xludf.DUMMYFUNCTION("""COMPUTED_VALUE"""),"Best Paid Media Agencies 2026 | Ultimate Top 10 List Ranked &amp;amp; Rated")</f>
        <v>Best Paid Media Agencies 2026 | Ultimate Top 10 List Ranked &amp;amp; Rated</v>
      </c>
      <c r="C44" s="14" t="str">
        <f>IFERROR(__xludf.DUMMYFUNCTION("""COMPUTED_VALUE"""),"rebootonline.com")</f>
        <v>rebootonline.com</v>
      </c>
      <c r="D44" s="15" t="str">
        <f>IFERROR(__xludf.DUMMYFUNCTION("""COMPUTED_VALUE"""),"LISTICLE")</f>
        <v>LISTICLE</v>
      </c>
      <c r="E44" s="15" t="str">
        <f>IFERROR(__xludf.DUMMYFUNCTION("""COMPUTED_VALUE"""),"OTHER")</f>
        <v>OTHER</v>
      </c>
      <c r="F44" s="15" t="str">
        <f>IFERROR(__xludf.DUMMYFUNCTION("""COMPUTED_VALUE"""),"Listicle")</f>
        <v>Listicle</v>
      </c>
      <c r="G44" s="15" t="b">
        <f>IFERROR(__xludf.DUMMYFUNCTION("""COMPUTED_VALUE"""),FALSE)</f>
        <v>0</v>
      </c>
      <c r="H44" s="15" t="str">
        <f>IFERROR(__xludf.DUMMYFUNCTION("""COMPUTED_VALUE"""),"Impression, Disrupt Marketing, NoGood, Tinuiti, Found")</f>
        <v>Impression, Disrupt Marketing, NoGood, Tinuiti, Found</v>
      </c>
      <c r="I44" s="15">
        <f>IFERROR(__xludf.DUMMYFUNCTION("""COMPUTED_VALUE"""),26.0)</f>
        <v>26</v>
      </c>
      <c r="J44" s="15">
        <f>IFERROR(__xludf.DUMMYFUNCTION("""COMPUTED_VALUE"""),0.03)</f>
        <v>0.03</v>
      </c>
      <c r="K44" s="15">
        <f>IFERROR(__xludf.DUMMYFUNCTION("""COMPUTED_VALUE"""),0.23)</f>
        <v>0.23</v>
      </c>
    </row>
    <row r="45" ht="15.75" customHeight="1">
      <c r="A45" s="14" t="str">
        <f>IFERROR(__xludf.DUMMYFUNCTION("""COMPUTED_VALUE"""),"https://www.wildishandco.co.uk/blog/best-creative-agencies")</f>
        <v>https://www.wildishandco.co.uk/blog/best-creative-agencies</v>
      </c>
      <c r="B45" s="15" t="str">
        <f>IFERROR(__xludf.DUMMYFUNCTION("""COMPUTED_VALUE"""),"12 Best Creative Agencies in 2026 | Wildish &amp;amp; Co.")</f>
        <v>12 Best Creative Agencies in 2026 | Wildish &amp;amp; Co.</v>
      </c>
      <c r="C45" s="14" t="str">
        <f>IFERROR(__xludf.DUMMYFUNCTION("""COMPUTED_VALUE"""),"wildishandco.co.uk")</f>
        <v>wildishandco.co.uk</v>
      </c>
      <c r="D45" s="15" t="str">
        <f>IFERROR(__xludf.DUMMYFUNCTION("""COMPUTED_VALUE"""),"LISTICLE")</f>
        <v>LISTICLE</v>
      </c>
      <c r="E45" s="15" t="str">
        <f>IFERROR(__xludf.DUMMYFUNCTION("""COMPUTED_VALUE"""),"CORPORATE")</f>
        <v>CORPORATE</v>
      </c>
      <c r="F45" s="15" t="str">
        <f>IFERROR(__xludf.DUMMYFUNCTION("""COMPUTED_VALUE"""),"Listicle")</f>
        <v>Listicle</v>
      </c>
      <c r="G45" s="15" t="b">
        <f>IFERROR(__xludf.DUMMYFUNCTION("""COMPUTED_VALUE"""),FALSE)</f>
        <v>0</v>
      </c>
      <c r="H45" s="15" t="str">
        <f>IFERROR(__xludf.DUMMYFUNCTION("""COMPUTED_VALUE"""),"Momentum, Push, inBeat")</f>
        <v>Momentum, Push, inBeat</v>
      </c>
      <c r="I45" s="15">
        <f>IFERROR(__xludf.DUMMYFUNCTION("""COMPUTED_VALUE"""),26.0)</f>
        <v>26</v>
      </c>
      <c r="J45" s="15">
        <f>IFERROR(__xludf.DUMMYFUNCTION("""COMPUTED_VALUE"""),0.03)</f>
        <v>0.03</v>
      </c>
      <c r="K45" s="15">
        <f>IFERROR(__xludf.DUMMYFUNCTION("""COMPUTED_VALUE"""),0.69)</f>
        <v>0.69</v>
      </c>
    </row>
    <row r="46" ht="15.75" customHeight="1">
      <c r="A46" s="14" t="str">
        <f>IFERROR(__xludf.DUMMYFUNCTION("""COMPUTED_VALUE"""),"https://www.charleagency.com/articles/best-geo-agencies-uk/")</f>
        <v>https://www.charleagency.com/articles/best-geo-agencies-uk/</v>
      </c>
      <c r="B46" s="15" t="str">
        <f>IFERROR(__xludf.DUMMYFUNCTION("""COMPUTED_VALUE"""),"13 Best GEO Agencies UK (2026) | Top Generative Engine Optimization Agencies | Charle")</f>
        <v>13 Best GEO Agencies UK (2026) | Top Generative Engine Optimization Agencies | Charle</v>
      </c>
      <c r="C46" s="14" t="str">
        <f>IFERROR(__xludf.DUMMYFUNCTION("""COMPUTED_VALUE"""),"charleagency.com")</f>
        <v>charleagency.com</v>
      </c>
      <c r="D46" s="15" t="str">
        <f>IFERROR(__xludf.DUMMYFUNCTION("""COMPUTED_VALUE"""),"LISTICLE")</f>
        <v>LISTICLE</v>
      </c>
      <c r="E46" s="15" t="str">
        <f>IFERROR(__xludf.DUMMYFUNCTION("""COMPUTED_VALUE"""),"CORPORATE")</f>
        <v>CORPORATE</v>
      </c>
      <c r="F46" s="15" t="str">
        <f>IFERROR(__xludf.DUMMYFUNCTION("""COMPUTED_VALUE"""),"Listicle")</f>
        <v>Listicle</v>
      </c>
      <c r="G46" s="15" t="b">
        <f>IFERROR(__xludf.DUMMYFUNCTION("""COMPUTED_VALUE"""),FALSE)</f>
        <v>0</v>
      </c>
      <c r="H46" s="15" t="str">
        <f>IFERROR(__xludf.DUMMYFUNCTION("""COMPUTED_VALUE"""),"Charle Agency, Buried Agency, ClickSlice, Exposure Ninja, Blue Array, Found, Measured")</f>
        <v>Charle Agency, Buried Agency, ClickSlice, Exposure Ninja, Blue Array, Found, Measured</v>
      </c>
      <c r="I46" s="15">
        <f>IFERROR(__xludf.DUMMYFUNCTION("""COMPUTED_VALUE"""),25.0)</f>
        <v>25</v>
      </c>
      <c r="J46" s="15">
        <f>IFERROR(__xludf.DUMMYFUNCTION("""COMPUTED_VALUE"""),0.02)</f>
        <v>0.02</v>
      </c>
      <c r="K46" s="15">
        <f>IFERROR(__xludf.DUMMYFUNCTION("""COMPUTED_VALUE"""),0.24)</f>
        <v>0.24</v>
      </c>
    </row>
    <row r="47" ht="15.75" customHeight="1">
      <c r="A47" s="14" t="str">
        <f>IFERROR(__xludf.DUMMYFUNCTION("""COMPUTED_VALUE"""),"https://passion.digital/blog/the-best-generative-engine-optimisation-agencies-in-the-uk-2026/")</f>
        <v>https://passion.digital/blog/the-best-generative-engine-optimisation-agencies-in-the-uk-2026/</v>
      </c>
      <c r="B47" s="15" t="str">
        <f>IFERROR(__xludf.DUMMYFUNCTION("""COMPUTED_VALUE"""),"The 8 Best Generative Engine Optimisation Agencies in the UK (2026) | Passion Digital®")</f>
        <v>The 8 Best Generative Engine Optimisation Agencies in the UK (2026) | Passion Digital®</v>
      </c>
      <c r="C47" s="15" t="str">
        <f>IFERROR(__xludf.DUMMYFUNCTION("""COMPUTED_VALUE"""),"passion.digital")</f>
        <v>passion.digital</v>
      </c>
      <c r="D47" s="15" t="str">
        <f>IFERROR(__xludf.DUMMYFUNCTION("""COMPUTED_VALUE"""),"LISTICLE")</f>
        <v>LISTICLE</v>
      </c>
      <c r="E47" s="15" t="str">
        <f>IFERROR(__xludf.DUMMYFUNCTION("""COMPUTED_VALUE"""),"COMPETITOR")</f>
        <v>COMPETITOR</v>
      </c>
      <c r="F47" s="15" t="str">
        <f>IFERROR(__xludf.DUMMYFUNCTION("""COMPUTED_VALUE"""),"Listicle")</f>
        <v>Listicle</v>
      </c>
      <c r="G47" s="15" t="b">
        <f>IFERROR(__xludf.DUMMYFUNCTION("""COMPUTED_VALUE"""),FALSE)</f>
        <v>0</v>
      </c>
      <c r="H47" s="15" t="str">
        <f>IFERROR(__xludf.DUMMYFUNCTION("""COMPUTED_VALUE"""),"Passion Digital, The SEO Works, Bird Marketing, Buried Agency, Polaris, Exposure Ninja")</f>
        <v>Passion Digital, The SEO Works, Bird Marketing, Buried Agency, Polaris, Exposure Ninja</v>
      </c>
      <c r="I47" s="15">
        <f>IFERROR(__xludf.DUMMYFUNCTION("""COMPUTED_VALUE"""),25.0)</f>
        <v>25</v>
      </c>
      <c r="J47" s="15">
        <f>IFERROR(__xludf.DUMMYFUNCTION("""COMPUTED_VALUE"""),0.02)</f>
        <v>0.02</v>
      </c>
      <c r="K47" s="15">
        <f>IFERROR(__xludf.DUMMYFUNCTION("""COMPUTED_VALUE"""),1.64)</f>
        <v>1.64</v>
      </c>
    </row>
    <row r="48" ht="15.75" customHeight="1">
      <c r="A48" s="14" t="str">
        <f>IFERROR(__xludf.DUMMYFUNCTION("""COMPUTED_VALUE"""),"https://www.rank4ai.co.uk/research/rankings/top-geo-agencies-uk-2026/#:~:text=Tests%20all%20six%20platforms.,within%20their%20broader%20SEO%20offering.")</f>
        <v>https://www.rank4ai.co.uk/research/rankings/top-geo-agencies-uk-2026/#:~:text=Tests%20all%20six%20platforms.,within%20their%20broader%20SEO%20offering.</v>
      </c>
      <c r="B48" s="15" t="str">
        <f>IFERROR(__xludf.DUMMYFUNCTION("""COMPUTED_VALUE"""),"Top GEO Agencies UK 2026 | Rank4AI")</f>
        <v>Top GEO Agencies UK 2026 | Rank4AI</v>
      </c>
      <c r="C48" s="14" t="str">
        <f>IFERROR(__xludf.DUMMYFUNCTION("""COMPUTED_VALUE"""),"rank4ai.co.uk")</f>
        <v>rank4ai.co.uk</v>
      </c>
      <c r="D48" s="15" t="str">
        <f>IFERROR(__xludf.DUMMYFUNCTION("""COMPUTED_VALUE"""),"LISTICLE")</f>
        <v>LISTICLE</v>
      </c>
      <c r="E48" s="15" t="str">
        <f>IFERROR(__xludf.DUMMYFUNCTION("""COMPUTED_VALUE"""),"COMPETITOR")</f>
        <v>COMPETITOR</v>
      </c>
      <c r="F48" s="15" t="str">
        <f>IFERROR(__xludf.DUMMYFUNCTION("""COMPUTED_VALUE"""),"Listicle")</f>
        <v>Listicle</v>
      </c>
      <c r="G48" s="15" t="b">
        <f>IFERROR(__xludf.DUMMYFUNCTION("""COMPUTED_VALUE"""),FALSE)</f>
        <v>0</v>
      </c>
      <c r="H48" s="15" t="str">
        <f>IFERROR(__xludf.DUMMYFUNCTION("""COMPUTED_VALUE"""),"Rank4AI, Blue Array, Buried Agency, Varn, Found")</f>
        <v>Rank4AI, Blue Array, Buried Agency, Varn, Found</v>
      </c>
      <c r="I48" s="15">
        <f>IFERROR(__xludf.DUMMYFUNCTION("""COMPUTED_VALUE"""),25.0)</f>
        <v>25</v>
      </c>
      <c r="J48" s="15">
        <f>IFERROR(__xludf.DUMMYFUNCTION("""COMPUTED_VALUE"""),0.02)</f>
        <v>0.02</v>
      </c>
      <c r="K48" s="15">
        <f>IFERROR(__xludf.DUMMYFUNCTION("""COMPUTED_VALUE"""),1.52)</f>
        <v>1.52</v>
      </c>
    </row>
    <row r="49" ht="15.75" customHeight="1">
      <c r="A49" s="14" t="str">
        <f>IFERROR(__xludf.DUMMYFUNCTION("""COMPUTED_VALUE"""),"https://www.askattest.com/blog/articles/market-research-companies-uk")</f>
        <v>https://www.askattest.com/blog/articles/market-research-companies-uk</v>
      </c>
      <c r="B49" s="15" t="str">
        <f>IFERROR(__xludf.DUMMYFUNCTION("""COMPUTED_VALUE"""),"Top 14 Market Research Companies in the UK (2026)")</f>
        <v>Top 14 Market Research Companies in the UK (2026)</v>
      </c>
      <c r="C49" s="14" t="str">
        <f>IFERROR(__xludf.DUMMYFUNCTION("""COMPUTED_VALUE"""),"askattest.com")</f>
        <v>askattest.com</v>
      </c>
      <c r="D49" s="15" t="str">
        <f>IFERROR(__xludf.DUMMYFUNCTION("""COMPUTED_VALUE"""),"LISTICLE")</f>
        <v>LISTICLE</v>
      </c>
      <c r="E49" s="15" t="str">
        <f>IFERROR(__xludf.DUMMYFUNCTION("""COMPUTED_VALUE"""),"CORPORATE")</f>
        <v>CORPORATE</v>
      </c>
      <c r="F49" s="15" t="str">
        <f>IFERROR(__xludf.DUMMYFUNCTION("""COMPUTED_VALUE"""),"Listicle")</f>
        <v>Listicle</v>
      </c>
      <c r="G49" s="15" t="b">
        <f>IFERROR(__xludf.DUMMYFUNCTION("""COMPUTED_VALUE"""),FALSE)</f>
        <v>0</v>
      </c>
      <c r="H49" s="15" t="str">
        <f>IFERROR(__xludf.DUMMYFUNCTION("""COMPUTED_VALUE"""),"Kantar, Nielsen, YouGov, Huge")</f>
        <v>Kantar, Nielsen, YouGov, Huge</v>
      </c>
      <c r="I49" s="15">
        <f>IFERROR(__xludf.DUMMYFUNCTION("""COMPUTED_VALUE"""),24.0)</f>
        <v>24</v>
      </c>
      <c r="J49" s="15">
        <f>IFERROR(__xludf.DUMMYFUNCTION("""COMPUTED_VALUE"""),0.02)</f>
        <v>0.02</v>
      </c>
      <c r="K49" s="15">
        <f>IFERROR(__xludf.DUMMYFUNCTION("""COMPUTED_VALUE"""),0.67)</f>
        <v>0.67</v>
      </c>
    </row>
    <row r="50" ht="15.75" customHeight="1">
      <c r="A50" s="14" t="str">
        <f>IFERROR(__xludf.DUMMYFUNCTION("""COMPUTED_VALUE"""),"https://pinpoint-media.global/insights/top-5-uk-paid-social-agencies-2026")</f>
        <v>https://pinpoint-media.global/insights/top-5-uk-paid-social-agencies-2026</v>
      </c>
      <c r="B50" s="15" t="str">
        <f>IFERROR(__xludf.DUMMYFUNCTION("""COMPUTED_VALUE"""),"Top 5 Paid Social Agencies in the UK (2026) | PinPoint Media")</f>
        <v>Top 5 Paid Social Agencies in the UK (2026) | PinPoint Media</v>
      </c>
      <c r="C50" s="15" t="str">
        <f>IFERROR(__xludf.DUMMYFUNCTION("""COMPUTED_VALUE"""),"pinpoint-media.global")</f>
        <v>pinpoint-media.global</v>
      </c>
      <c r="D50" s="15" t="str">
        <f>IFERROR(__xludf.DUMMYFUNCTION("""COMPUTED_VALUE"""),"LISTICLE")</f>
        <v>LISTICLE</v>
      </c>
      <c r="E50" s="15" t="str">
        <f>IFERROR(__xludf.DUMMYFUNCTION("""COMPUTED_VALUE"""),"COMPETITOR")</f>
        <v>COMPETITOR</v>
      </c>
      <c r="F50" s="15" t="str">
        <f>IFERROR(__xludf.DUMMYFUNCTION("""COMPUTED_VALUE"""),"Listicle")</f>
        <v>Listicle</v>
      </c>
      <c r="G50" s="15" t="b">
        <f>IFERROR(__xludf.DUMMYFUNCTION("""COMPUTED_VALUE"""),FALSE)</f>
        <v>0</v>
      </c>
      <c r="H50" s="15" t="str">
        <f>IFERROR(__xludf.DUMMYFUNCTION("""COMPUTED_VALUE"""),"PinPoint Media, Social Chain, Born Social, Found, Huge")</f>
        <v>PinPoint Media, Social Chain, Born Social, Found, Huge</v>
      </c>
      <c r="I50" s="15">
        <f>IFERROR(__xludf.DUMMYFUNCTION("""COMPUTED_VALUE"""),24.0)</f>
        <v>24</v>
      </c>
      <c r="J50" s="15">
        <f>IFERROR(__xludf.DUMMYFUNCTION("""COMPUTED_VALUE"""),0.02)</f>
        <v>0.02</v>
      </c>
      <c r="K50" s="15">
        <f>IFERROR(__xludf.DUMMYFUNCTION("""COMPUTED_VALUE"""),0.58)</f>
        <v>0.58</v>
      </c>
    </row>
    <row r="51" ht="15.75" customHeight="1">
      <c r="A51" s="14" t="str">
        <f>IFERROR(__xludf.DUMMYFUNCTION("""COMPUTED_VALUE"""),"https://thatware.co/best-aeo-companies-in-uk/")</f>
        <v>https://thatware.co/best-aeo-companies-in-uk/</v>
      </c>
      <c r="B51" s="15" t="str">
        <f>IFERROR(__xludf.DUMMYFUNCTION("""COMPUTED_VALUE"""),"Best AEO Companies in UK - Top 10 AEO Services UK")</f>
        <v>Best AEO Companies in UK - Top 10 AEO Services UK</v>
      </c>
      <c r="C51" s="14" t="str">
        <f>IFERROR(__xludf.DUMMYFUNCTION("""COMPUTED_VALUE"""),"thatware.co")</f>
        <v>thatware.co</v>
      </c>
      <c r="D51" s="15" t="str">
        <f>IFERROR(__xludf.DUMMYFUNCTION("""COMPUTED_VALUE"""),"LISTICLE")</f>
        <v>LISTICLE</v>
      </c>
      <c r="E51" s="15" t="str">
        <f>IFERROR(__xludf.DUMMYFUNCTION("""COMPUTED_VALUE"""),"CORPORATE")</f>
        <v>CORPORATE</v>
      </c>
      <c r="F51" s="15" t="str">
        <f>IFERROR(__xludf.DUMMYFUNCTION("""COMPUTED_VALUE"""),"Listicle")</f>
        <v>Listicle</v>
      </c>
      <c r="G51" s="15" t="b">
        <f>IFERROR(__xludf.DUMMYFUNCTION("""COMPUTED_VALUE"""),FALSE)</f>
        <v>0</v>
      </c>
      <c r="H51" s="15" t="str">
        <f>IFERROR(__xludf.DUMMYFUNCTION("""COMPUTED_VALUE"""),"ClickSlice, Builtvisible, Rise at Seven, Momentum")</f>
        <v>ClickSlice, Builtvisible, Rise at Seven, Momentum</v>
      </c>
      <c r="I51" s="15">
        <f>IFERROR(__xludf.DUMMYFUNCTION("""COMPUTED_VALUE"""),24.0)</f>
        <v>24</v>
      </c>
      <c r="J51" s="15">
        <f>IFERROR(__xludf.DUMMYFUNCTION("""COMPUTED_VALUE"""),0.02)</f>
        <v>0.02</v>
      </c>
      <c r="K51" s="15">
        <f>IFERROR(__xludf.DUMMYFUNCTION("""COMPUTED_VALUE"""),0.13)</f>
        <v>0.13</v>
      </c>
    </row>
    <row r="52" ht="15.75" customHeight="1">
      <c r="A52" s="14" t="str">
        <f>IFERROR(__xludf.DUMMYFUNCTION("""COMPUTED_VALUE"""),"https://www.vxtx.co.uk/blog/what-is-the-best-performance-marketing-agency-in-the-u-k")</f>
        <v>https://www.vxtx.co.uk/blog/what-is-the-best-performance-marketing-agency-in-the-u-k</v>
      </c>
      <c r="B52" s="15" t="str">
        <f>IFERROR(__xludf.DUMMYFUNCTION("""COMPUTED_VALUE"""),"What Is the Best Performance Marketing Agency in The U.K? | VXTX Performance Marketing Blog")</f>
        <v>What Is the Best Performance Marketing Agency in The U.K? | VXTX Performance Marketing Blog</v>
      </c>
      <c r="C52" s="14" t="str">
        <f>IFERROR(__xludf.DUMMYFUNCTION("""COMPUTED_VALUE"""),"vxtx.co.uk")</f>
        <v>vxtx.co.uk</v>
      </c>
      <c r="D52" s="15" t="str">
        <f>IFERROR(__xludf.DUMMYFUNCTION("""COMPUTED_VALUE"""),"LISTICLE")</f>
        <v>LISTICLE</v>
      </c>
      <c r="E52" s="15" t="str">
        <f>IFERROR(__xludf.DUMMYFUNCTION("""COMPUTED_VALUE"""),"COMPETITOR")</f>
        <v>COMPETITOR</v>
      </c>
      <c r="F52" s="15" t="str">
        <f>IFERROR(__xludf.DUMMYFUNCTION("""COMPUTED_VALUE"""),"Listicle")</f>
        <v>Listicle</v>
      </c>
      <c r="G52" s="15" t="b">
        <f>IFERROR(__xludf.DUMMYFUNCTION("""COMPUTED_VALUE"""),FALSE)</f>
        <v>0</v>
      </c>
      <c r="H52" s="15" t="str">
        <f>IFERROR(__xludf.DUMMYFUNCTION("""COMPUTED_VALUE"""),"VXTX, Gripped, Hallam, Momentum")</f>
        <v>VXTX, Gripped, Hallam, Momentum</v>
      </c>
      <c r="I52" s="15">
        <f>IFERROR(__xludf.DUMMYFUNCTION("""COMPUTED_VALUE"""),24.0)</f>
        <v>24</v>
      </c>
      <c r="J52" s="15">
        <f>IFERROR(__xludf.DUMMYFUNCTION("""COMPUTED_VALUE"""),0.02)</f>
        <v>0.02</v>
      </c>
      <c r="K52" s="15">
        <f>IFERROR(__xludf.DUMMYFUNCTION("""COMPUTED_VALUE"""),0.63)</f>
        <v>0.63</v>
      </c>
    </row>
    <row r="53" ht="15.75" customHeight="1">
      <c r="A53" s="14" t="str">
        <f>IFERROR(__xludf.DUMMYFUNCTION("""COMPUTED_VALUE"""),"https://www.wearetenet.com/blog/ai-seo-agencies-in-london")</f>
        <v>https://www.wearetenet.com/blog/ai-seo-agencies-in-london</v>
      </c>
      <c r="B53" s="15" t="str">
        <f>IFERROR(__xludf.DUMMYFUNCTION("""COMPUTED_VALUE"""),"7 Best AI SEO Agencies in London")</f>
        <v>7 Best AI SEO Agencies in London</v>
      </c>
      <c r="C53" s="14" t="str">
        <f>IFERROR(__xludf.DUMMYFUNCTION("""COMPUTED_VALUE"""),"wearetenet.com")</f>
        <v>wearetenet.com</v>
      </c>
      <c r="D53" s="15" t="str">
        <f>IFERROR(__xludf.DUMMYFUNCTION("""COMPUTED_VALUE"""),"LISTICLE")</f>
        <v>LISTICLE</v>
      </c>
      <c r="E53" s="15" t="str">
        <f>IFERROR(__xludf.DUMMYFUNCTION("""COMPUTED_VALUE"""),"CORPORATE")</f>
        <v>CORPORATE</v>
      </c>
      <c r="F53" s="15" t="str">
        <f>IFERROR(__xludf.DUMMYFUNCTION("""COMPUTED_VALUE"""),"Listicle")</f>
        <v>Listicle</v>
      </c>
      <c r="G53" s="15" t="b">
        <f>IFERROR(__xludf.DUMMYFUNCTION("""COMPUTED_VALUE"""),FALSE)</f>
        <v>0</v>
      </c>
      <c r="H53" s="15" t="str">
        <f>IFERROR(__xludf.DUMMYFUNCTION("""COMPUTED_VALUE"""),"Rank4AI, ClickSlice, Hallam, Favoured")</f>
        <v>Rank4AI, ClickSlice, Hallam, Favoured</v>
      </c>
      <c r="I53" s="15">
        <f>IFERROR(__xludf.DUMMYFUNCTION("""COMPUTED_VALUE"""),24.0)</f>
        <v>24</v>
      </c>
      <c r="J53" s="15">
        <f>IFERROR(__xludf.DUMMYFUNCTION("""COMPUTED_VALUE"""),0.02)</f>
        <v>0.02</v>
      </c>
      <c r="K53" s="15">
        <f>IFERROR(__xludf.DUMMYFUNCTION("""COMPUTED_VALUE"""),0.54)</f>
        <v>0.54</v>
      </c>
    </row>
    <row r="54" ht="15.75" customHeight="1">
      <c r="A54" s="14" t="str">
        <f>IFERROR(__xludf.DUMMYFUNCTION("""COMPUTED_VALUE"""),"https://whitehat-seo.co.uk/blog/best-ppc-agencies-uk")</f>
        <v>https://whitehat-seo.co.uk/blog/best-ppc-agencies-uk</v>
      </c>
      <c r="B54" s="15" t="str">
        <f>IFERROR(__xludf.DUMMYFUNCTION("""COMPUTED_VALUE"""),"Best PPC Agencies UK: Pricing &amp;amp; Comparison | Whitehat")</f>
        <v>Best PPC Agencies UK: Pricing &amp;amp; Comparison | Whitehat</v>
      </c>
      <c r="C54" s="14" t="str">
        <f>IFERROR(__xludf.DUMMYFUNCTION("""COMPUTED_VALUE"""),"whitehat-seo.co.uk")</f>
        <v>whitehat-seo.co.uk</v>
      </c>
      <c r="D54" s="15" t="str">
        <f>IFERROR(__xludf.DUMMYFUNCTION("""COMPUTED_VALUE"""),"LISTICLE")</f>
        <v>LISTICLE</v>
      </c>
      <c r="E54" s="15" t="str">
        <f>IFERROR(__xludf.DUMMYFUNCTION("""COMPUTED_VALUE"""),"COMPETITOR")</f>
        <v>COMPETITOR</v>
      </c>
      <c r="F54" s="15" t="str">
        <f>IFERROR(__xludf.DUMMYFUNCTION("""COMPUTED_VALUE"""),"Listicle")</f>
        <v>Listicle</v>
      </c>
      <c r="G54" s="15" t="b">
        <f>IFERROR(__xludf.DUMMYFUNCTION("""COMPUTED_VALUE"""),FALSE)</f>
        <v>0</v>
      </c>
      <c r="H54" s="15" t="str">
        <f>IFERROR(__xludf.DUMMYFUNCTION("""COMPUTED_VALUE"""),"Whitehat, Brainlabs, Croud, Found, Hallam, Impression, PPC Geeks, The SEO Works, LOCALiQ")</f>
        <v>Whitehat, Brainlabs, Croud, Found, Hallam, Impression, PPC Geeks, The SEO Works, LOCALiQ</v>
      </c>
      <c r="I54" s="15">
        <f>IFERROR(__xludf.DUMMYFUNCTION("""COMPUTED_VALUE"""),24.0)</f>
        <v>24</v>
      </c>
      <c r="J54" s="15">
        <f>IFERROR(__xludf.DUMMYFUNCTION("""COMPUTED_VALUE"""),0.02)</f>
        <v>0.02</v>
      </c>
      <c r="K54" s="15">
        <f>IFERROR(__xludf.DUMMYFUNCTION("""COMPUTED_VALUE"""),0.38)</f>
        <v>0.38</v>
      </c>
    </row>
    <row r="55" ht="15.75" customHeight="1">
      <c r="A55" s="14" t="str">
        <f>IFERROR(__xludf.DUMMYFUNCTION("""COMPUTED_VALUE"""),"https://blazonagency.com/post/marketing-agency-uk")</f>
        <v>https://blazonagency.com/post/marketing-agency-uk</v>
      </c>
      <c r="B55" s="15" t="str">
        <f>IFERROR(__xludf.DUMMYFUNCTION("""COMPUTED_VALUE"""),"Best Marketing Agency UK Picks for 2026 | Blazon Agency")</f>
        <v>Best Marketing Agency UK Picks for 2026 | Blazon Agency</v>
      </c>
      <c r="C55" s="14" t="str">
        <f>IFERROR(__xludf.DUMMYFUNCTION("""COMPUTED_VALUE"""),"blazonagency.com")</f>
        <v>blazonagency.com</v>
      </c>
      <c r="D55" s="15" t="str">
        <f>IFERROR(__xludf.DUMMYFUNCTION("""COMPUTED_VALUE"""),"LISTICLE")</f>
        <v>LISTICLE</v>
      </c>
      <c r="E55" s="15" t="str">
        <f>IFERROR(__xludf.DUMMYFUNCTION("""COMPUTED_VALUE"""),"CORPORATE")</f>
        <v>CORPORATE</v>
      </c>
      <c r="F55" s="15" t="str">
        <f>IFERROR(__xludf.DUMMYFUNCTION("""COMPUTED_VALUE"""),"Listicle")</f>
        <v>Listicle</v>
      </c>
      <c r="G55" s="15" t="b">
        <f>IFERROR(__xludf.DUMMYFUNCTION("""COMPUTED_VALUE"""),FALSE)</f>
        <v>0</v>
      </c>
      <c r="H55" s="15" t="str">
        <f>IFERROR(__xludf.DUMMYFUNCTION("""COMPUTED_VALUE"""),"Impression, Found, inBeat, Rise at Seven, Koozai, Propeller")</f>
        <v>Impression, Found, inBeat, Rise at Seven, Koozai, Propeller</v>
      </c>
      <c r="I55" s="15">
        <f>IFERROR(__xludf.DUMMYFUNCTION("""COMPUTED_VALUE"""),23.0)</f>
        <v>23</v>
      </c>
      <c r="J55" s="15">
        <f>IFERROR(__xludf.DUMMYFUNCTION("""COMPUTED_VALUE"""),0.02)</f>
        <v>0.02</v>
      </c>
      <c r="K55" s="15">
        <f>IFERROR(__xludf.DUMMYFUNCTION("""COMPUTED_VALUE"""),0.43)</f>
        <v>0.43</v>
      </c>
    </row>
    <row r="56" ht="15.75" customHeight="1">
      <c r="A56" s="14" t="str">
        <f>IFERROR(__xludf.DUMMYFUNCTION("""COMPUTED_VALUE"""),"https://www.koozai.com/blog/marketing-strategy/top-28-digital-marketing-agencies-in-the-uk/")</f>
        <v>https://www.koozai.com/blog/marketing-strategy/top-28-digital-marketing-agencies-in-the-uk/</v>
      </c>
      <c r="B56" s="15" t="str">
        <f>IFERROR(__xludf.DUMMYFUNCTION("""COMPUTED_VALUE"""),"UK Digital Marketing Agencies: A Resource Guide by Speciality | Koozai")</f>
        <v>UK Digital Marketing Agencies: A Resource Guide by Speciality | Koozai</v>
      </c>
      <c r="C56" s="14" t="str">
        <f>IFERROR(__xludf.DUMMYFUNCTION("""COMPUTED_VALUE"""),"koozai.com")</f>
        <v>koozai.com</v>
      </c>
      <c r="D56" s="15" t="str">
        <f>IFERROR(__xludf.DUMMYFUNCTION("""COMPUTED_VALUE"""),"LISTICLE")</f>
        <v>LISTICLE</v>
      </c>
      <c r="E56" s="15" t="str">
        <f>IFERROR(__xludf.DUMMYFUNCTION("""COMPUTED_VALUE"""),"COMPETITOR")</f>
        <v>COMPETITOR</v>
      </c>
      <c r="F56" s="15" t="str">
        <f>IFERROR(__xludf.DUMMYFUNCTION("""COMPUTED_VALUE"""),"Listicle")</f>
        <v>Listicle</v>
      </c>
      <c r="G56" s="15" t="b">
        <f>IFERROR(__xludf.DUMMYFUNCTION("""COMPUTED_VALUE"""),FALSE)</f>
        <v>0</v>
      </c>
      <c r="H56" s="15" t="str">
        <f>IFERROR(__xludf.DUMMYFUNCTION("""COMPUTED_VALUE"""),"Koozai, Click Intelligence, Impression, Rise at Seven, Blue Array, ClickSlice, Exposure Ninja, Hallam, The Good Marketer, Gravity Global, Found")</f>
        <v>Koozai, Click Intelligence, Impression, Rise at Seven, Blue Array, ClickSlice, Exposure Ninja, Hallam, The Good Marketer, Gravity Global, Found</v>
      </c>
      <c r="I56" s="15">
        <f>IFERROR(__xludf.DUMMYFUNCTION("""COMPUTED_VALUE"""),23.0)</f>
        <v>23</v>
      </c>
      <c r="J56" s="15">
        <f>IFERROR(__xludf.DUMMYFUNCTION("""COMPUTED_VALUE"""),0.02)</f>
        <v>0.02</v>
      </c>
      <c r="K56" s="15">
        <f>IFERROR(__xludf.DUMMYFUNCTION("""COMPUTED_VALUE"""),0.74)</f>
        <v>0.74</v>
      </c>
    </row>
    <row r="57" ht="15.75" customHeight="1">
      <c r="A57" s="14" t="str">
        <f>IFERROR(__xludf.DUMMYFUNCTION("""COMPUTED_VALUE"""),"https://sbc-performance.com/blog/best-paid-social-media-agencies-uk/")</f>
        <v>https://sbc-performance.com/blog/best-paid-social-media-agencies-uk/</v>
      </c>
      <c r="B57" s="15" t="str">
        <f>IFERROR(__xludf.DUMMYFUNCTION("""COMPUTED_VALUE"""),"Best Paid Social Media Agencies in the UK (2026) – Shortlist")</f>
        <v>Best Paid Social Media Agencies in the UK (2026) – Shortlist</v>
      </c>
      <c r="C57" s="14" t="str">
        <f>IFERROR(__xludf.DUMMYFUNCTION("""COMPUTED_VALUE"""),"sbc-performance.com")</f>
        <v>sbc-performance.com</v>
      </c>
      <c r="D57" s="15" t="str">
        <f>IFERROR(__xludf.DUMMYFUNCTION("""COMPUTED_VALUE"""),"LISTICLE")</f>
        <v>LISTICLE</v>
      </c>
      <c r="E57" s="15" t="str">
        <f>IFERROR(__xludf.DUMMYFUNCTION("""COMPUTED_VALUE"""),"CORPORATE")</f>
        <v>CORPORATE</v>
      </c>
      <c r="F57" s="15" t="str">
        <f>IFERROR(__xludf.DUMMYFUNCTION("""COMPUTED_VALUE"""),"Listicle")</f>
        <v>Listicle</v>
      </c>
      <c r="G57" s="15" t="b">
        <f>IFERROR(__xludf.DUMMYFUNCTION("""COMPUTED_VALUE"""),FALSE)</f>
        <v>0</v>
      </c>
      <c r="H57" s="15" t="str">
        <f>IFERROR(__xludf.DUMMYFUNCTION("""COMPUTED_VALUE"""),"The Social Shepherd, Impression, Disrupt Marketing, Found, Soap Media")</f>
        <v>The Social Shepherd, Impression, Disrupt Marketing, Found, Soap Media</v>
      </c>
      <c r="I57" s="15">
        <f>IFERROR(__xludf.DUMMYFUNCTION("""COMPUTED_VALUE"""),23.0)</f>
        <v>23</v>
      </c>
      <c r="J57" s="15">
        <f>IFERROR(__xludf.DUMMYFUNCTION("""COMPUTED_VALUE"""),0.02)</f>
        <v>0.02</v>
      </c>
      <c r="K57" s="15">
        <f>IFERROR(__xludf.DUMMYFUNCTION("""COMPUTED_VALUE"""),1.87)</f>
        <v>1.87</v>
      </c>
    </row>
    <row r="58" ht="15.75" customHeight="1">
      <c r="A58" s="14" t="str">
        <f>IFERROR(__xludf.DUMMYFUNCTION("""COMPUTED_VALUE"""),"https://www.superhub.biz/top-19-social-media-marketing-agencies-uk-2026")</f>
        <v>https://www.superhub.biz/top-19-social-media-marketing-agencies-uk-2026</v>
      </c>
      <c r="B58" s="15" t="str">
        <f>IFERROR(__xludf.DUMMYFUNCTION("""COMPUTED_VALUE"""),"Top 19 Social Media Marketing Agencies UK 2026")</f>
        <v>Top 19 Social Media Marketing Agencies UK 2026</v>
      </c>
      <c r="C58" s="14" t="str">
        <f>IFERROR(__xludf.DUMMYFUNCTION("""COMPUTED_VALUE"""),"superhub.biz")</f>
        <v>superhub.biz</v>
      </c>
      <c r="D58" s="15" t="str">
        <f>IFERROR(__xludf.DUMMYFUNCTION("""COMPUTED_VALUE"""),"LISTICLE")</f>
        <v>LISTICLE</v>
      </c>
      <c r="E58" s="15" t="str">
        <f>IFERROR(__xludf.DUMMYFUNCTION("""COMPUTED_VALUE"""),"CORPORATE")</f>
        <v>CORPORATE</v>
      </c>
      <c r="F58" s="15" t="str">
        <f>IFERROR(__xludf.DUMMYFUNCTION("""COMPUTED_VALUE"""),"Listicle")</f>
        <v>Listicle</v>
      </c>
      <c r="G58" s="15" t="b">
        <f>IFERROR(__xludf.DUMMYFUNCTION("""COMPUTED_VALUE"""),FALSE)</f>
        <v>0</v>
      </c>
      <c r="H58" s="15" t="str">
        <f>IFERROR(__xludf.DUMMYFUNCTION("""COMPUTED_VALUE"""),"The Social Shepherd, We Are Social, Born Social, Croud, Social Chain, The Good Marketer, Soap Media")</f>
        <v>The Social Shepherd, We Are Social, Born Social, Croud, Social Chain, The Good Marketer, Soap Media</v>
      </c>
      <c r="I58" s="15">
        <f>IFERROR(__xludf.DUMMYFUNCTION("""COMPUTED_VALUE"""),21.0)</f>
        <v>21</v>
      </c>
      <c r="J58" s="15">
        <f>IFERROR(__xludf.DUMMYFUNCTION("""COMPUTED_VALUE"""),0.02)</f>
        <v>0.02</v>
      </c>
      <c r="K58" s="15">
        <f>IFERROR(__xludf.DUMMYFUNCTION("""COMPUTED_VALUE"""),1.05)</f>
        <v>1.05</v>
      </c>
    </row>
    <row r="59" ht="15.75" customHeight="1">
      <c r="A59" s="14" t="str">
        <f>IFERROR(__xludf.DUMMYFUNCTION("""COMPUTED_VALUE"""),"https://www.51d.co/top-10-ai-strategy-consultants-in-london-for-2026-a-comprehensive-guide/")</f>
        <v>https://www.51d.co/top-10-ai-strategy-consultants-in-london-for-2026-a-comprehensive-guide/</v>
      </c>
      <c r="B59" s="15" t="str">
        <f>IFERROR(__xludf.DUMMYFUNCTION("""COMPUTED_VALUE"""),"Top 10 AI Strategy Consultants in London in 2026: Comprehensive Guide - Fifty One Degrees")</f>
        <v>Top 10 AI Strategy Consultants in London in 2026: Comprehensive Guide - Fifty One Degrees</v>
      </c>
      <c r="C59" s="14" t="str">
        <f>IFERROR(__xludf.DUMMYFUNCTION("""COMPUTED_VALUE"""),"51d.co")</f>
        <v>51d.co</v>
      </c>
      <c r="D59" s="15" t="str">
        <f>IFERROR(__xludf.DUMMYFUNCTION("""COMPUTED_VALUE"""),"LISTICLE")</f>
        <v>LISTICLE</v>
      </c>
      <c r="E59" s="15" t="str">
        <f>IFERROR(__xludf.DUMMYFUNCTION("""COMPUTED_VALUE"""),"CORPORATE")</f>
        <v>CORPORATE</v>
      </c>
      <c r="F59" s="15" t="str">
        <f>IFERROR(__xludf.DUMMYFUNCTION("""COMPUTED_VALUE"""),"Listicle")</f>
        <v>Listicle</v>
      </c>
      <c r="G59" s="15" t="b">
        <f>IFERROR(__xludf.DUMMYFUNCTION("""COMPUTED_VALUE"""),FALSE)</f>
        <v>0</v>
      </c>
      <c r="H59" s="15" t="str">
        <f>IFERROR(__xludf.DUMMYFUNCTION("""COMPUTED_VALUE"""),"McKinsey &amp; Company, Measured, QuantumBlack")</f>
        <v>McKinsey &amp; Company, Measured, QuantumBlack</v>
      </c>
      <c r="I59" s="15">
        <f>IFERROR(__xludf.DUMMYFUNCTION("""COMPUTED_VALUE"""),20.0)</f>
        <v>20</v>
      </c>
      <c r="J59" s="15">
        <f>IFERROR(__xludf.DUMMYFUNCTION("""COMPUTED_VALUE"""),0.02)</f>
        <v>0.02</v>
      </c>
      <c r="K59" s="15">
        <f>IFERROR(__xludf.DUMMYFUNCTION("""COMPUTED_VALUE"""),0.85)</f>
        <v>0.85</v>
      </c>
    </row>
    <row r="60" ht="15.75" customHeight="1">
      <c r="A60" s="14" t="str">
        <f>IFERROR(__xludf.DUMMYFUNCTION("""COMPUTED_VALUE"""),"https://www.bluearray.co.uk/agency-directory/best-generative-engine-optimisation-geo-agencies-in-the-uk/")</f>
        <v>https://www.bluearray.co.uk/agency-directory/best-generative-engine-optimisation-geo-agencies-in-the-uk/</v>
      </c>
      <c r="B60" s="15" t="str">
        <f>IFERROR(__xludf.DUMMYFUNCTION("""COMPUTED_VALUE"""),"Best Generative Engine Optimisation (GEO) Agencies in the UK | Top AI Search Experts")</f>
        <v>Best Generative Engine Optimisation (GEO) Agencies in the UK | Top AI Search Experts</v>
      </c>
      <c r="C60" s="14" t="str">
        <f>IFERROR(__xludf.DUMMYFUNCTION("""COMPUTED_VALUE"""),"bluearray.co.uk")</f>
        <v>bluearray.co.uk</v>
      </c>
      <c r="D60" s="15" t="str">
        <f>IFERROR(__xludf.DUMMYFUNCTION("""COMPUTED_VALUE"""),"LISTICLE")</f>
        <v>LISTICLE</v>
      </c>
      <c r="E60" s="15" t="str">
        <f>IFERROR(__xludf.DUMMYFUNCTION("""COMPUTED_VALUE"""),"COMPETITOR")</f>
        <v>COMPETITOR</v>
      </c>
      <c r="F60" s="15" t="str">
        <f>IFERROR(__xludf.DUMMYFUNCTION("""COMPUTED_VALUE"""),"Listicle")</f>
        <v>Listicle</v>
      </c>
      <c r="G60" s="15" t="b">
        <f>IFERROR(__xludf.DUMMYFUNCTION("""COMPUTED_VALUE"""),FALSE)</f>
        <v>0</v>
      </c>
      <c r="H60" s="15" t="str">
        <f>IFERROR(__xludf.DUMMYFUNCTION("""COMPUTED_VALUE"""),"Blue Array, Polaris")</f>
        <v>Blue Array, Polaris</v>
      </c>
      <c r="I60" s="15">
        <f>IFERROR(__xludf.DUMMYFUNCTION("""COMPUTED_VALUE"""),20.0)</f>
        <v>20</v>
      </c>
      <c r="J60" s="15">
        <f>IFERROR(__xludf.DUMMYFUNCTION("""COMPUTED_VALUE"""),0.02)</f>
        <v>0.02</v>
      </c>
      <c r="K60" s="15">
        <f>IFERROR(__xludf.DUMMYFUNCTION("""COMPUTED_VALUE"""),0.85)</f>
        <v>0.85</v>
      </c>
    </row>
    <row r="61" ht="15.75" customHeight="1">
      <c r="A61" s="14" t="str">
        <f>IFERROR(__xludf.DUMMYFUNCTION("""COMPUTED_VALUE"""),"https://inbeat.agency/blog/top-digital-marketing-agencies-in-the-uk")</f>
        <v>https://inbeat.agency/blog/top-digital-marketing-agencies-in-the-uk</v>
      </c>
      <c r="B61" s="15" t="str">
        <f>IFERROR(__xludf.DUMMYFUNCTION("""COMPUTED_VALUE"""),"Top 31 Digital Marketing Agencies in the UK [2026 Review] - inBeat Agency")</f>
        <v>Top 31 Digital Marketing Agencies in the UK [2026 Review] - inBeat Agency</v>
      </c>
      <c r="C61" s="15" t="str">
        <f>IFERROR(__xludf.DUMMYFUNCTION("""COMPUTED_VALUE"""),"inbeat.agency")</f>
        <v>inbeat.agency</v>
      </c>
      <c r="D61" s="15" t="str">
        <f>IFERROR(__xludf.DUMMYFUNCTION("""COMPUTED_VALUE"""),"LISTICLE")</f>
        <v>LISTICLE</v>
      </c>
      <c r="E61" s="15" t="str">
        <f>IFERROR(__xludf.DUMMYFUNCTION("""COMPUTED_VALUE"""),"COMPETITOR")</f>
        <v>COMPETITOR</v>
      </c>
      <c r="F61" s="15" t="str">
        <f>IFERROR(__xludf.DUMMYFUNCTION("""COMPUTED_VALUE"""),"Listicle")</f>
        <v>Listicle</v>
      </c>
      <c r="G61" s="15" t="b">
        <f>IFERROR(__xludf.DUMMYFUNCTION("""COMPUTED_VALUE"""),FALSE)</f>
        <v>0</v>
      </c>
      <c r="H61" s="15" t="str">
        <f>IFERROR(__xludf.DUMMYFUNCTION("""COMPUTED_VALUE"""),"inBeat, Nielsen, Impression, Found, The Social Shepherd, Social Chain, Saatchi &amp; Saatchi, BBH London, We Are Social, Gripped, Soap Media, Make Agency")</f>
        <v>inBeat, Nielsen, Impression, Found, The Social Shepherd, Social Chain, Saatchi &amp; Saatchi, BBH London, We Are Social, Gripped, Soap Media, Make Agency</v>
      </c>
      <c r="I61" s="15">
        <f>IFERROR(__xludf.DUMMYFUNCTION("""COMPUTED_VALUE"""),20.0)</f>
        <v>20</v>
      </c>
      <c r="J61" s="15">
        <f>IFERROR(__xludf.DUMMYFUNCTION("""COMPUTED_VALUE"""),0.02)</f>
        <v>0.02</v>
      </c>
      <c r="K61" s="15">
        <f>IFERROR(__xludf.DUMMYFUNCTION("""COMPUTED_VALUE"""),0.0)</f>
        <v>0</v>
      </c>
    </row>
    <row r="62" ht="15.75" customHeight="1">
      <c r="A62" s="14" t="str">
        <f>IFERROR(__xludf.DUMMYFUNCTION("""COMPUTED_VALUE"""),"https://seocompare.co.uk/best-geo-agencies-uk/")</f>
        <v>https://seocompare.co.uk/best-geo-agencies-uk/</v>
      </c>
      <c r="B62" s="15" t="str">
        <f>IFERROR(__xludf.DUMMYFUNCTION("""COMPUTED_VALUE"""),"Best GEO Agencies UK 2026 - Compared | SEOCompare")</f>
        <v>Best GEO Agencies UK 2026 - Compared | SEOCompare</v>
      </c>
      <c r="C62" s="14" t="str">
        <f>IFERROR(__xludf.DUMMYFUNCTION("""COMPUTED_VALUE"""),"seocompare.co.uk")</f>
        <v>seocompare.co.uk</v>
      </c>
      <c r="D62" s="15" t="str">
        <f>IFERROR(__xludf.DUMMYFUNCTION("""COMPUTED_VALUE"""),"LISTICLE")</f>
        <v>LISTICLE</v>
      </c>
      <c r="E62" s="15" t="str">
        <f>IFERROR(__xludf.DUMMYFUNCTION("""COMPUTED_VALUE"""),"EDITORIAL")</f>
        <v>EDITORIAL</v>
      </c>
      <c r="F62" s="15" t="str">
        <f>IFERROR(__xludf.DUMMYFUNCTION("""COMPUTED_VALUE"""),"Listicle")</f>
        <v>Listicle</v>
      </c>
      <c r="G62" s="15" t="b">
        <f>IFERROR(__xludf.DUMMYFUNCTION("""COMPUTED_VALUE"""),FALSE)</f>
        <v>0</v>
      </c>
      <c r="H62" s="15" t="str">
        <f>IFERROR(__xludf.DUMMYFUNCTION("""COMPUTED_VALUE"""),"Found, Rank4AI, ClickSlice")</f>
        <v>Found, Rank4AI, ClickSlice</v>
      </c>
      <c r="I62" s="15">
        <f>IFERROR(__xludf.DUMMYFUNCTION("""COMPUTED_VALUE"""),20.0)</f>
        <v>20</v>
      </c>
      <c r="J62" s="15">
        <f>IFERROR(__xludf.DUMMYFUNCTION("""COMPUTED_VALUE"""),0.02)</f>
        <v>0.02</v>
      </c>
      <c r="K62" s="15">
        <f>IFERROR(__xludf.DUMMYFUNCTION("""COMPUTED_VALUE"""),3.2)</f>
        <v>3.2</v>
      </c>
    </row>
    <row r="63" ht="15.75" customHeight="1">
      <c r="A63" s="14" t="str">
        <f>IFERROR(__xludf.DUMMYFUNCTION("""COMPUTED_VALUE"""),"https://delivix.digital/marketing/ai-marketing-agencies-in-the-uk/")</f>
        <v>https://delivix.digital/marketing/ai-marketing-agencies-in-the-uk/</v>
      </c>
      <c r="B63" s="15" t="str">
        <f>IFERROR(__xludf.DUMMYFUNCTION("""COMPUTED_VALUE"""),"10 best AI marketing agencies in the UK - Delivix")</f>
        <v>10 best AI marketing agencies in the UK - Delivix</v>
      </c>
      <c r="C63" s="15" t="str">
        <f>IFERROR(__xludf.DUMMYFUNCTION("""COMPUTED_VALUE"""),"delivix.digital")</f>
        <v>delivix.digital</v>
      </c>
      <c r="D63" s="15" t="str">
        <f>IFERROR(__xludf.DUMMYFUNCTION("""COMPUTED_VALUE"""),"LISTICLE")</f>
        <v>LISTICLE</v>
      </c>
      <c r="E63" s="15" t="str">
        <f>IFERROR(__xludf.DUMMYFUNCTION("""COMPUTED_VALUE"""),"CORPORATE")</f>
        <v>CORPORATE</v>
      </c>
      <c r="F63" s="15" t="str">
        <f>IFERROR(__xludf.DUMMYFUNCTION("""COMPUTED_VALUE"""),"Listicle")</f>
        <v>Listicle</v>
      </c>
      <c r="G63" s="15" t="b">
        <f>IFERROR(__xludf.DUMMYFUNCTION("""COMPUTED_VALUE"""),FALSE)</f>
        <v>0</v>
      </c>
      <c r="H63" s="15" t="str">
        <f>IFERROR(__xludf.DUMMYFUNCTION("""COMPUTED_VALUE"""),"Found, Hallam, VCCP, Push, Koozai, Open Partners")</f>
        <v>Found, Hallam, VCCP, Push, Koozai, Open Partners</v>
      </c>
      <c r="I63" s="15">
        <f>IFERROR(__xludf.DUMMYFUNCTION("""COMPUTED_VALUE"""),19.0)</f>
        <v>19</v>
      </c>
      <c r="J63" s="15">
        <f>IFERROR(__xludf.DUMMYFUNCTION("""COMPUTED_VALUE"""),0.02)</f>
        <v>0.02</v>
      </c>
      <c r="K63" s="15">
        <f>IFERROR(__xludf.DUMMYFUNCTION("""COMPUTED_VALUE"""),0.42)</f>
        <v>0.42</v>
      </c>
    </row>
    <row r="64" ht="15.75" customHeight="1">
      <c r="A64" s="14" t="str">
        <f>IFERROR(__xludf.DUMMYFUNCTION("""COMPUTED_VALUE"""),"https://thatware.co/top-10-geo-companies-in-uk/")</f>
        <v>https://thatware.co/top-10-geo-companies-in-uk/</v>
      </c>
      <c r="B64" s="15" t="str">
        <f>IFERROR(__xludf.DUMMYFUNCTION("""COMPUTED_VALUE"""),"Top GEO Companies in UK \| 10 Best UK GEO Agencies")</f>
        <v>Top GEO Companies in UK \| 10 Best UK GEO Agencies</v>
      </c>
      <c r="C64" s="14" t="str">
        <f>IFERROR(__xludf.DUMMYFUNCTION("""COMPUTED_VALUE"""),"thatware.co")</f>
        <v>thatware.co</v>
      </c>
      <c r="D64" s="15" t="str">
        <f>IFERROR(__xludf.DUMMYFUNCTION("""COMPUTED_VALUE"""),"LISTICLE")</f>
        <v>LISTICLE</v>
      </c>
      <c r="E64" s="15" t="str">
        <f>IFERROR(__xludf.DUMMYFUNCTION("""COMPUTED_VALUE"""),"CORPORATE")</f>
        <v>CORPORATE</v>
      </c>
      <c r="F64" s="15" t="str">
        <f>IFERROR(__xludf.DUMMYFUNCTION("""COMPUTED_VALUE"""),"Listicle")</f>
        <v>Listicle</v>
      </c>
      <c r="G64" s="15" t="b">
        <f>IFERROR(__xludf.DUMMYFUNCTION("""COMPUTED_VALUE"""),FALSE)</f>
        <v>0</v>
      </c>
      <c r="H64" s="15" t="str">
        <f>IFERROR(__xludf.DUMMYFUNCTION("""COMPUTED_VALUE"""),"Varn, Blue Array, Bird Marketing, Found")</f>
        <v>Varn, Blue Array, Bird Marketing, Found</v>
      </c>
      <c r="I64" s="15">
        <f>IFERROR(__xludf.DUMMYFUNCTION("""COMPUTED_VALUE"""),19.0)</f>
        <v>19</v>
      </c>
      <c r="J64" s="15">
        <f>IFERROR(__xludf.DUMMYFUNCTION("""COMPUTED_VALUE"""),0.02)</f>
        <v>0.02</v>
      </c>
      <c r="K64" s="15">
        <f>IFERROR(__xludf.DUMMYFUNCTION("""COMPUTED_VALUE"""),0.0)</f>
        <v>0</v>
      </c>
    </row>
    <row r="65" ht="15.75" customHeight="1">
      <c r="A65" s="14" t="str">
        <f>IFERROR(__xludf.DUMMYFUNCTION("""COMPUTED_VALUE"""),"https://www.leverdigital.co.uk/guides/top-10-google-ad-management-agencies-uk")</f>
        <v>https://www.leverdigital.co.uk/guides/top-10-google-ad-management-agencies-uk</v>
      </c>
      <c r="B65" s="15" t="str">
        <f>IFERROR(__xludf.DUMMYFUNCTION("""COMPUTED_VALUE"""),"Top 10 Google Ad Management Agencies in the UK (2026 Guide)")</f>
        <v>Top 10 Google Ad Management Agencies in the UK (2026 Guide)</v>
      </c>
      <c r="C65" s="14" t="str">
        <f>IFERROR(__xludf.DUMMYFUNCTION("""COMPUTED_VALUE"""),"leverdigital.co.uk")</f>
        <v>leverdigital.co.uk</v>
      </c>
      <c r="D65" s="15" t="str">
        <f>IFERROR(__xludf.DUMMYFUNCTION("""COMPUTED_VALUE"""),"LISTICLE")</f>
        <v>LISTICLE</v>
      </c>
      <c r="E65" s="15" t="str">
        <f>IFERROR(__xludf.DUMMYFUNCTION("""COMPUTED_VALUE"""),"CORPORATE")</f>
        <v>CORPORATE</v>
      </c>
      <c r="F65" s="15" t="str">
        <f>IFERROR(__xludf.DUMMYFUNCTION("""COMPUTED_VALUE"""),"Listicle")</f>
        <v>Listicle</v>
      </c>
      <c r="G65" s="15" t="b">
        <f>IFERROR(__xludf.DUMMYFUNCTION("""COMPUTED_VALUE"""),FALSE)</f>
        <v>0</v>
      </c>
      <c r="H65" s="15" t="str">
        <f>IFERROR(__xludf.DUMMYFUNCTION("""COMPUTED_VALUE"""),"Gripped, Impression, Brainlabs, Huge, Push, Push Group, PPC Geeks, The Social Shepherd")</f>
        <v>Gripped, Impression, Brainlabs, Huge, Push, Push Group, PPC Geeks, The Social Shepherd</v>
      </c>
      <c r="I65" s="15">
        <f>IFERROR(__xludf.DUMMYFUNCTION("""COMPUTED_VALUE"""),18.0)</f>
        <v>18</v>
      </c>
      <c r="J65" s="15">
        <f>IFERROR(__xludf.DUMMYFUNCTION("""COMPUTED_VALUE"""),0.02)</f>
        <v>0.02</v>
      </c>
      <c r="K65" s="15">
        <f>IFERROR(__xludf.DUMMYFUNCTION("""COMPUTED_VALUE"""),1.56)</f>
        <v>1.56</v>
      </c>
    </row>
    <row r="66" ht="15.75" customHeight="1">
      <c r="A66" s="14" t="str">
        <f>IFERROR(__xludf.DUMMYFUNCTION("""COMPUTED_VALUE"""),"https://www.okapiandco.co.uk/blog/best-geo-agencies-uk-2026")</f>
        <v>https://www.okapiandco.co.uk/blog/best-geo-agencies-uk-2026</v>
      </c>
      <c r="B66" s="15" t="str">
        <f>IFERROR(__xludf.DUMMYFUNCTION("""COMPUTED_VALUE"""),"Best GEO Agencies in the UK (2026): Who Is Actually Doing AI Search? | Okapi &amp;amp; Co")</f>
        <v>Best GEO Agencies in the UK (2026): Who Is Actually Doing AI Search? | Okapi &amp;amp; Co</v>
      </c>
      <c r="C66" s="14" t="str">
        <f>IFERROR(__xludf.DUMMYFUNCTION("""COMPUTED_VALUE"""),"okapiandco.co.uk")</f>
        <v>okapiandco.co.uk</v>
      </c>
      <c r="D66" s="15" t="str">
        <f>IFERROR(__xludf.DUMMYFUNCTION("""COMPUTED_VALUE"""),"LISTICLE")</f>
        <v>LISTICLE</v>
      </c>
      <c r="E66" s="15" t="str">
        <f>IFERROR(__xludf.DUMMYFUNCTION("""COMPUTED_VALUE"""),"CORPORATE")</f>
        <v>CORPORATE</v>
      </c>
      <c r="F66" s="15" t="str">
        <f>IFERROR(__xludf.DUMMYFUNCTION("""COMPUTED_VALUE"""),"Listicle")</f>
        <v>Listicle</v>
      </c>
      <c r="G66" s="15" t="b">
        <f>IFERROR(__xludf.DUMMYFUNCTION("""COMPUTED_VALUE"""),FALSE)</f>
        <v>0</v>
      </c>
      <c r="H66" s="15" t="str">
        <f>IFERROR(__xludf.DUMMYFUNCTION("""COMPUTED_VALUE"""),"Impression, Koozai, Found")</f>
        <v>Impression, Koozai, Found</v>
      </c>
      <c r="I66" s="15">
        <f>IFERROR(__xludf.DUMMYFUNCTION("""COMPUTED_VALUE"""),18.0)</f>
        <v>18</v>
      </c>
      <c r="J66" s="15">
        <f>IFERROR(__xludf.DUMMYFUNCTION("""COMPUTED_VALUE"""),0.02)</f>
        <v>0.02</v>
      </c>
      <c r="K66" s="15">
        <f>IFERROR(__xludf.DUMMYFUNCTION("""COMPUTED_VALUE"""),0.39)</f>
        <v>0.39</v>
      </c>
    </row>
    <row r="67" ht="15.75" customHeight="1">
      <c r="A67" s="14" t="str">
        <f>IFERROR(__xludf.DUMMYFUNCTION("""COMPUTED_VALUE"""),"https://overdrivedigital.co.uk/five-leading-b2b-performance-marketing-agencies-you-need-to-know-in-the-uk/#:~:text=Based%20in%20the%20UK%20and,genuinely%20full%2Dfunnel%20growth%20model.")</f>
        <v>https://overdrivedigital.co.uk/five-leading-b2b-performance-marketing-agencies-you-need-to-know-in-the-uk/#:~:text=Based%20in%20the%20UK%20and,genuinely%20full%2Dfunnel%20growth%20model.</v>
      </c>
      <c r="B67" s="15" t="str">
        <f>IFERROR(__xludf.DUMMYFUNCTION("""COMPUTED_VALUE"""),"Five Leading B2B Performance Marketing Agencies You Need to Know in the UK")</f>
        <v>Five Leading B2B Performance Marketing Agencies You Need to Know in the UK</v>
      </c>
      <c r="C67" s="14" t="str">
        <f>IFERROR(__xludf.DUMMYFUNCTION("""COMPUTED_VALUE"""),"overdrivedigital.co.uk")</f>
        <v>overdrivedigital.co.uk</v>
      </c>
      <c r="D67" s="15" t="str">
        <f>IFERROR(__xludf.DUMMYFUNCTION("""COMPUTED_VALUE"""),"LISTICLE")</f>
        <v>LISTICLE</v>
      </c>
      <c r="E67" s="15" t="str">
        <f>IFERROR(__xludf.DUMMYFUNCTION("""COMPUTED_VALUE"""),"CORPORATE")</f>
        <v>CORPORATE</v>
      </c>
      <c r="F67" s="15" t="str">
        <f>IFERROR(__xludf.DUMMYFUNCTION("""COMPUTED_VALUE"""),"Listicle")</f>
        <v>Listicle</v>
      </c>
      <c r="G67" s="15" t="b">
        <f>IFERROR(__xludf.DUMMYFUNCTION("""COMPUTED_VALUE"""),FALSE)</f>
        <v>0</v>
      </c>
      <c r="H67" s="15" t="str">
        <f>IFERROR(__xludf.DUMMYFUNCTION("""COMPUTED_VALUE"""),"Overdrive Digital, Gripped, Transmission, Directive Consulting, Momentum")</f>
        <v>Overdrive Digital, Gripped, Transmission, Directive Consulting, Momentum</v>
      </c>
      <c r="I67" s="15">
        <f>IFERROR(__xludf.DUMMYFUNCTION("""COMPUTED_VALUE"""),18.0)</f>
        <v>18</v>
      </c>
      <c r="J67" s="15">
        <f>IFERROR(__xludf.DUMMYFUNCTION("""COMPUTED_VALUE"""),0.02)</f>
        <v>0.02</v>
      </c>
      <c r="K67" s="15">
        <f>IFERROR(__xludf.DUMMYFUNCTION("""COMPUTED_VALUE"""),1.0)</f>
        <v>1</v>
      </c>
    </row>
    <row r="68" ht="15.75" customHeight="1">
      <c r="A68" s="14" t="str">
        <f>IFERROR(__xludf.DUMMYFUNCTION("""COMPUTED_VALUE"""),"https://www.influencer-hero.com/fr/blogs/top-paid-advertising-agencies-in-the-united-kingdom")</f>
        <v>https://www.influencer-hero.com/fr/blogs/top-paid-advertising-agencies-in-the-united-kingdom</v>
      </c>
      <c r="B68" s="15" t="str">
        <f>IFERROR(__xludf.DUMMYFUNCTION("""COMPUTED_VALUE"""),"Les 10 meilleures agences de publicité payante au Royaume-Uni")</f>
        <v>Les 10 meilleures agences de publicité payante au Royaume-Uni</v>
      </c>
      <c r="C68" s="14" t="str">
        <f>IFERROR(__xludf.DUMMYFUNCTION("""COMPUTED_VALUE"""),"influencer-hero.com")</f>
        <v>influencer-hero.com</v>
      </c>
      <c r="D68" s="15" t="str">
        <f>IFERROR(__xludf.DUMMYFUNCTION("""COMPUTED_VALUE"""),"LISTICLE")</f>
        <v>LISTICLE</v>
      </c>
      <c r="E68" s="15" t="str">
        <f>IFERROR(__xludf.DUMMYFUNCTION("""COMPUTED_VALUE"""),"CORPORATE")</f>
        <v>CORPORATE</v>
      </c>
      <c r="F68" s="15" t="str">
        <f>IFERROR(__xludf.DUMMYFUNCTION("""COMPUTED_VALUE"""),"Listicle")</f>
        <v>Listicle</v>
      </c>
      <c r="G68" s="15" t="b">
        <f>IFERROR(__xludf.DUMMYFUNCTION("""COMPUTED_VALUE"""),FALSE)</f>
        <v>0</v>
      </c>
      <c r="H68" s="15" t="str">
        <f>IFERROR(__xludf.DUMMYFUNCTION("""COMPUTED_VALUE"""),"The Social Shepherd, Vivify Agency, Manifest Group, Clarity Performance, Croud, Impression, Disrupt Marketing")</f>
        <v>The Social Shepherd, Vivify Agency, Manifest Group, Clarity Performance, Croud, Impression, Disrupt Marketing</v>
      </c>
      <c r="I68" s="15">
        <f>IFERROR(__xludf.DUMMYFUNCTION("""COMPUTED_VALUE"""),17.0)</f>
        <v>17</v>
      </c>
      <c r="J68" s="15">
        <f>IFERROR(__xludf.DUMMYFUNCTION("""COMPUTED_VALUE"""),0.02)</f>
        <v>0.02</v>
      </c>
      <c r="K68" s="15">
        <f>IFERROR(__xludf.DUMMYFUNCTION("""COMPUTED_VALUE"""),0.71)</f>
        <v>0.71</v>
      </c>
    </row>
    <row r="69" ht="15.75" customHeight="1">
      <c r="A69" s="14" t="str">
        <f>IFERROR(__xludf.DUMMYFUNCTION("""COMPUTED_VALUE"""),"https://www.munro.agency/top-performance-marketing-agencies/")</f>
        <v>https://www.munro.agency/top-performance-marketing-agencies/</v>
      </c>
      <c r="B69" s="15" t="str">
        <f>IFERROR(__xludf.DUMMYFUNCTION("""COMPUTED_VALUE"""),"Top 15 Performance Marketing Agencies for 2026")</f>
        <v>Top 15 Performance Marketing Agencies for 2026</v>
      </c>
      <c r="C69" s="15" t="str">
        <f>IFERROR(__xludf.DUMMYFUNCTION("""COMPUTED_VALUE"""),"munro.agency")</f>
        <v>munro.agency</v>
      </c>
      <c r="D69" s="15" t="str">
        <f>IFERROR(__xludf.DUMMYFUNCTION("""COMPUTED_VALUE"""),"LISTICLE")</f>
        <v>LISTICLE</v>
      </c>
      <c r="E69" s="15" t="str">
        <f>IFERROR(__xludf.DUMMYFUNCTION("""COMPUTED_VALUE"""),"CORPORATE")</f>
        <v>CORPORATE</v>
      </c>
      <c r="F69" s="15" t="str">
        <f>IFERROR(__xludf.DUMMYFUNCTION("""COMPUTED_VALUE"""),"Listicle")</f>
        <v>Listicle</v>
      </c>
      <c r="G69" s="15" t="b">
        <f>IFERROR(__xludf.DUMMYFUNCTION("""COMPUTED_VALUE"""),FALSE)</f>
        <v>0</v>
      </c>
      <c r="H69" s="15" t="str">
        <f>IFERROR(__xludf.DUMMYFUNCTION("""COMPUTED_VALUE"""),"WebFX, Gripped, Directive Consulting, The Brains, Gravity Global")</f>
        <v>WebFX, Gripped, Directive Consulting, The Brains, Gravity Global</v>
      </c>
      <c r="I69" s="15">
        <f>IFERROR(__xludf.DUMMYFUNCTION("""COMPUTED_VALUE"""),17.0)</f>
        <v>17</v>
      </c>
      <c r="J69" s="15">
        <f>IFERROR(__xludf.DUMMYFUNCTION("""COMPUTED_VALUE"""),0.02)</f>
        <v>0.02</v>
      </c>
      <c r="K69" s="15">
        <f>IFERROR(__xludf.DUMMYFUNCTION("""COMPUTED_VALUE"""),0.35)</f>
        <v>0.35</v>
      </c>
    </row>
    <row r="70" ht="15.75" customHeight="1">
      <c r="A70" s="14" t="str">
        <f>IFERROR(__xludf.DUMMYFUNCTION("""COMPUTED_VALUE"""),"https://ppcgeeks.co.uk/ppc/marketing-attribution-tools/")</f>
        <v>https://ppcgeeks.co.uk/ppc/marketing-attribution-tools/</v>
      </c>
      <c r="B70" s="15" t="str">
        <f>IFERROR(__xludf.DUMMYFUNCTION("""COMPUTED_VALUE"""),"Marketing Attribution Tools: A Complete Guide - PPC Geeks Blog")</f>
        <v>Marketing Attribution Tools: A Complete Guide - PPC Geeks Blog</v>
      </c>
      <c r="C70" s="14" t="str">
        <f>IFERROR(__xludf.DUMMYFUNCTION("""COMPUTED_VALUE"""),"ppcgeeks.co.uk")</f>
        <v>ppcgeeks.co.uk</v>
      </c>
      <c r="D70" s="15" t="str">
        <f>IFERROR(__xludf.DUMMYFUNCTION("""COMPUTED_VALUE"""),"LISTICLE")</f>
        <v>LISTICLE</v>
      </c>
      <c r="E70" s="15" t="str">
        <f>IFERROR(__xludf.DUMMYFUNCTION("""COMPUTED_VALUE"""),"COMPETITOR")</f>
        <v>COMPETITOR</v>
      </c>
      <c r="F70" s="15" t="str">
        <f>IFERROR(__xludf.DUMMYFUNCTION("""COMPUTED_VALUE"""),"Listicle")</f>
        <v>Listicle</v>
      </c>
      <c r="G70" s="15" t="b">
        <f>IFERROR(__xludf.DUMMYFUNCTION("""COMPUTED_VALUE"""),FALSE)</f>
        <v>0</v>
      </c>
      <c r="H70" s="15" t="str">
        <f>IFERROR(__xludf.DUMMYFUNCTION("""COMPUTED_VALUE"""),"PPC Geeks, Ruler Analytics, Measured, Northbeam, Impression, Found")</f>
        <v>PPC Geeks, Ruler Analytics, Measured, Northbeam, Impression, Found</v>
      </c>
      <c r="I70" s="15">
        <f>IFERROR(__xludf.DUMMYFUNCTION("""COMPUTED_VALUE"""),17.0)</f>
        <v>17</v>
      </c>
      <c r="J70" s="15">
        <f>IFERROR(__xludf.DUMMYFUNCTION("""COMPUTED_VALUE"""),0.02)</f>
        <v>0.02</v>
      </c>
      <c r="K70" s="15">
        <f>IFERROR(__xludf.DUMMYFUNCTION("""COMPUTED_VALUE"""),0.88)</f>
        <v>0.88</v>
      </c>
    </row>
    <row r="71" ht="15.75" customHeight="1">
      <c r="A71" s="14" t="str">
        <f>IFERROR(__xludf.DUMMYFUNCTION("""COMPUTED_VALUE"""),"https://www.compare.agency/7-of-the-top-ppc-agencies-in-the-uk-for-2026")</f>
        <v>https://www.compare.agency/7-of-the-top-ppc-agencies-in-the-uk-for-2026</v>
      </c>
      <c r="B71" s="15" t="str">
        <f>IFERROR(__xludf.DUMMYFUNCTION("""COMPUTED_VALUE"""),"7 Top PPC Agencies in the UK for 2026 | Compare.Agency")</f>
        <v>7 Top PPC Agencies in the UK for 2026 | Compare.Agency</v>
      </c>
      <c r="C71" s="15" t="str">
        <f>IFERROR(__xludf.DUMMYFUNCTION("""COMPUTED_VALUE"""),"compare.agency")</f>
        <v>compare.agency</v>
      </c>
      <c r="D71" s="15" t="str">
        <f>IFERROR(__xludf.DUMMYFUNCTION("""COMPUTED_VALUE"""),"LISTICLE")</f>
        <v>LISTICLE</v>
      </c>
      <c r="E71" s="15" t="str">
        <f>IFERROR(__xludf.DUMMYFUNCTION("""COMPUTED_VALUE"""),"CORPORATE")</f>
        <v>CORPORATE</v>
      </c>
      <c r="F71" s="15" t="str">
        <f>IFERROR(__xludf.DUMMYFUNCTION("""COMPUTED_VALUE"""),"Listicle")</f>
        <v>Listicle</v>
      </c>
      <c r="G71" s="15" t="b">
        <f>IFERROR(__xludf.DUMMYFUNCTION("""COMPUTED_VALUE"""),FALSE)</f>
        <v>0</v>
      </c>
      <c r="H71" s="15" t="str">
        <f>IFERROR(__xludf.DUMMYFUNCTION("""COMPUTED_VALUE"""),"Brainlabs, Jellyfish, Brandtech, Croud, Impression, Journey Further, Havas Market UK")</f>
        <v>Brainlabs, Jellyfish, Brandtech, Croud, Impression, Journey Further, Havas Market UK</v>
      </c>
      <c r="I71" s="15">
        <f>IFERROR(__xludf.DUMMYFUNCTION("""COMPUTED_VALUE"""),16.0)</f>
        <v>16</v>
      </c>
      <c r="J71" s="15">
        <f>IFERROR(__xludf.DUMMYFUNCTION("""COMPUTED_VALUE"""),0.02)</f>
        <v>0.02</v>
      </c>
      <c r="K71" s="15">
        <f>IFERROR(__xludf.DUMMYFUNCTION("""COMPUTED_VALUE"""),0.13)</f>
        <v>0.13</v>
      </c>
    </row>
    <row r="72" ht="15.75" customHeight="1">
      <c r="A72" s="14" t="str">
        <f>IFERROR(__xludf.DUMMYFUNCTION("""COMPUTED_VALUE"""),"https://inbeat.agency/blog/top-marketing-measurement-and-analytics-companies")</f>
        <v>https://inbeat.agency/blog/top-marketing-measurement-and-analytics-companies</v>
      </c>
      <c r="B72" s="15" t="str">
        <f>IFERROR(__xludf.DUMMYFUNCTION("""COMPUTED_VALUE"""),"Top 15 Marketing Measurement and Analytics Firms Unlocking ROI Clarity in 2026 - inBeat Agency")</f>
        <v>Top 15 Marketing Measurement and Analytics Firms Unlocking ROI Clarity in 2026 - inBeat Agency</v>
      </c>
      <c r="C72" s="15" t="str">
        <f>IFERROR(__xludf.DUMMYFUNCTION("""COMPUTED_VALUE"""),"inbeat.agency")</f>
        <v>inbeat.agency</v>
      </c>
      <c r="D72" s="15" t="str">
        <f>IFERROR(__xludf.DUMMYFUNCTION("""COMPUTED_VALUE"""),"LISTICLE")</f>
        <v>LISTICLE</v>
      </c>
      <c r="E72" s="15" t="str">
        <f>IFERROR(__xludf.DUMMYFUNCTION("""COMPUTED_VALUE"""),"COMPETITOR")</f>
        <v>COMPETITOR</v>
      </c>
      <c r="F72" s="15" t="str">
        <f>IFERROR(__xludf.DUMMYFUNCTION("""COMPUTED_VALUE"""),"Listicle")</f>
        <v>Listicle</v>
      </c>
      <c r="G72" s="15" t="b">
        <f>IFERROR(__xludf.DUMMYFUNCTION("""COMPUTED_VALUE"""),FALSE)</f>
        <v>0</v>
      </c>
      <c r="H72" s="15" t="str">
        <f>IFERROR(__xludf.DUMMYFUNCTION("""COMPUTED_VALUE"""),"inBeat, Nielsen, Artefact, Found, Measured, Polaris, WebFX")</f>
        <v>inBeat, Nielsen, Artefact, Found, Measured, Polaris, WebFX</v>
      </c>
      <c r="I72" s="15">
        <f>IFERROR(__xludf.DUMMYFUNCTION("""COMPUTED_VALUE"""),16.0)</f>
        <v>16</v>
      </c>
      <c r="J72" s="15">
        <f>IFERROR(__xludf.DUMMYFUNCTION("""COMPUTED_VALUE"""),0.02)</f>
        <v>0.02</v>
      </c>
      <c r="K72" s="15">
        <f>IFERROR(__xludf.DUMMYFUNCTION("""COMPUTED_VALUE"""),0.63)</f>
        <v>0.63</v>
      </c>
    </row>
    <row r="73" ht="15.75" customHeight="1">
      <c r="A73" s="14" t="str">
        <f>IFERROR(__xludf.DUMMYFUNCTION("""COMPUTED_VALUE"""),"https://lifesight.io/blog/best-incrementality-testing-tools/")</f>
        <v>https://lifesight.io/blog/best-incrementality-testing-tools/</v>
      </c>
      <c r="B73" s="15" t="str">
        <f>IFERROR(__xludf.DUMMYFUNCTION("""COMPUTED_VALUE"""),"6 Best Incrementality Testing Tools in 2025 [UPDATED] - Lifesight")</f>
        <v>6 Best Incrementality Testing Tools in 2025 [UPDATED] - Lifesight</v>
      </c>
      <c r="C73" s="14" t="str">
        <f>IFERROR(__xludf.DUMMYFUNCTION("""COMPUTED_VALUE"""),"lifesight.io")</f>
        <v>lifesight.io</v>
      </c>
      <c r="D73" s="15" t="str">
        <f>IFERROR(__xludf.DUMMYFUNCTION("""COMPUTED_VALUE"""),"LISTICLE")</f>
        <v>LISTICLE</v>
      </c>
      <c r="E73" s="15" t="str">
        <f>IFERROR(__xludf.DUMMYFUNCTION("""COMPUTED_VALUE"""),"CORPORATE")</f>
        <v>CORPORATE</v>
      </c>
      <c r="F73" s="15" t="str">
        <f>IFERROR(__xludf.DUMMYFUNCTION("""COMPUTED_VALUE"""),"Listicle")</f>
        <v>Listicle</v>
      </c>
      <c r="G73" s="15" t="b">
        <f>IFERROR(__xludf.DUMMYFUNCTION("""COMPUTED_VALUE"""),FALSE)</f>
        <v>0</v>
      </c>
      <c r="H73" s="15" t="str">
        <f>IFERROR(__xludf.DUMMYFUNCTION("""COMPUTED_VALUE"""),"Haus, Measured, Recast, Push, Northbeam, Triple Whale")</f>
        <v>Haus, Measured, Recast, Push, Northbeam, Triple Whale</v>
      </c>
      <c r="I73" s="15">
        <f>IFERROR(__xludf.DUMMYFUNCTION("""COMPUTED_VALUE"""),16.0)</f>
        <v>16</v>
      </c>
      <c r="J73" s="15">
        <f>IFERROR(__xludf.DUMMYFUNCTION("""COMPUTED_VALUE"""),0.02)</f>
        <v>0.02</v>
      </c>
      <c r="K73" s="15">
        <f>IFERROR(__xludf.DUMMYFUNCTION("""COMPUTED_VALUE"""),0.25)</f>
        <v>0.25</v>
      </c>
    </row>
    <row r="74" ht="15.75" customHeight="1">
      <c r="A74" s="14" t="str">
        <f>IFERROR(__xludf.DUMMYFUNCTION("""COMPUTED_VALUE"""),"https://www.ryesing.com/post/performance-marketing-agencies-uk")</f>
        <v>https://www.ryesing.com/post/performance-marketing-agencies-uk</v>
      </c>
      <c r="B74" s="15" t="str">
        <f>IFERROR(__xludf.DUMMYFUNCTION("""COMPUTED_VALUE"""),"7 Best Performance Marketing Agencies UK 2026 (Expert Guide)")</f>
        <v>7 Best Performance Marketing Agencies UK 2026 (Expert Guide)</v>
      </c>
      <c r="C74" s="14" t="str">
        <f>IFERROR(__xludf.DUMMYFUNCTION("""COMPUTED_VALUE"""),"ryesing.com")</f>
        <v>ryesing.com</v>
      </c>
      <c r="D74" s="15" t="str">
        <f>IFERROR(__xludf.DUMMYFUNCTION("""COMPUTED_VALUE"""),"LISTICLE")</f>
        <v>LISTICLE</v>
      </c>
      <c r="E74" s="15" t="str">
        <f>IFERROR(__xludf.DUMMYFUNCTION("""COMPUTED_VALUE"""),"CORPORATE")</f>
        <v>CORPORATE</v>
      </c>
      <c r="F74" s="15" t="str">
        <f>IFERROR(__xludf.DUMMYFUNCTION("""COMPUTED_VALUE"""),"Listicle")</f>
        <v>Listicle</v>
      </c>
      <c r="G74" s="15" t="b">
        <f>IFERROR(__xludf.DUMMYFUNCTION("""COMPUTED_VALUE"""),FALSE)</f>
        <v>0</v>
      </c>
      <c r="H74" s="15" t="str">
        <f>IFERROR(__xludf.DUMMYFUNCTION("""COMPUTED_VALUE"""),"Found")</f>
        <v>Found</v>
      </c>
      <c r="I74" s="15">
        <f>IFERROR(__xludf.DUMMYFUNCTION("""COMPUTED_VALUE"""),16.0)</f>
        <v>16</v>
      </c>
      <c r="J74" s="15">
        <f>IFERROR(__xludf.DUMMYFUNCTION("""COMPUTED_VALUE"""),0.02)</f>
        <v>0.02</v>
      </c>
      <c r="K74" s="15">
        <f>IFERROR(__xludf.DUMMYFUNCTION("""COMPUTED_VALUE"""),0.06)</f>
        <v>0.06</v>
      </c>
    </row>
    <row r="75" ht="15.75" customHeight="1">
      <c r="A75" s="14" t="str">
        <f>IFERROR(__xludf.DUMMYFUNCTION("""COMPUTED_VALUE"""),"https://www.toasttv.co.uk/blog/working-with-the-best-in-house-creative-agencies")</f>
        <v>https://www.toasttv.co.uk/blog/working-with-the-best-in-house-creative-agencies</v>
      </c>
      <c r="B75" s="15" t="str">
        <f>IFERROR(__xludf.DUMMYFUNCTION("""COMPUTED_VALUE"""),"Who are the best In-house creative agencies in the UK?")</f>
        <v>Who are the best In-house creative agencies in the UK?</v>
      </c>
      <c r="C75" s="14" t="str">
        <f>IFERROR(__xludf.DUMMYFUNCTION("""COMPUTED_VALUE"""),"toasttv.co.uk")</f>
        <v>toasttv.co.uk</v>
      </c>
      <c r="D75" s="15" t="str">
        <f>IFERROR(__xludf.DUMMYFUNCTION("""COMPUTED_VALUE"""),"LISTICLE")</f>
        <v>LISTICLE</v>
      </c>
      <c r="E75" s="15" t="str">
        <f>IFERROR(__xludf.DUMMYFUNCTION("""COMPUTED_VALUE"""),"CORPORATE")</f>
        <v>CORPORATE</v>
      </c>
      <c r="F75" s="15" t="str">
        <f>IFERROR(__xludf.DUMMYFUNCTION("""COMPUTED_VALUE"""),"Listicle")</f>
        <v>Listicle</v>
      </c>
      <c r="G75" s="15" t="b">
        <f>IFERROR(__xludf.DUMMYFUNCTION("""COMPUTED_VALUE"""),FALSE)</f>
        <v>0</v>
      </c>
      <c r="H75" s="15" t="str">
        <f>IFERROR(__xludf.DUMMYFUNCTION("""COMPUTED_VALUE"""),"Push")</f>
        <v>Push</v>
      </c>
      <c r="I75" s="15">
        <f>IFERROR(__xludf.DUMMYFUNCTION("""COMPUTED_VALUE"""),16.0)</f>
        <v>16</v>
      </c>
      <c r="J75" s="15">
        <f>IFERROR(__xludf.DUMMYFUNCTION("""COMPUTED_VALUE"""),0.02)</f>
        <v>0.02</v>
      </c>
      <c r="K75" s="15">
        <f>IFERROR(__xludf.DUMMYFUNCTION("""COMPUTED_VALUE"""),0.19)</f>
        <v>0.19</v>
      </c>
    </row>
    <row r="76" ht="15.75" customHeight="1">
      <c r="A76" s="14" t="str">
        <f>IFERROR(__xludf.DUMMYFUNCTION("""COMPUTED_VALUE"""),"https://www.webtonic.io/blog/best-creative-agencies-london")</f>
        <v>https://www.webtonic.io/blog/best-creative-agencies-london</v>
      </c>
      <c r="B76" s="15" t="str">
        <f>IFERROR(__xludf.DUMMYFUNCTION("""COMPUTED_VALUE"""),"The 30 Best Creative Agencies in London as of 2026")</f>
        <v>The 30 Best Creative Agencies in London as of 2026</v>
      </c>
      <c r="C76" s="14" t="str">
        <f>IFERROR(__xludf.DUMMYFUNCTION("""COMPUTED_VALUE"""),"webtonic.io")</f>
        <v>webtonic.io</v>
      </c>
      <c r="D76" s="15" t="str">
        <f>IFERROR(__xludf.DUMMYFUNCTION("""COMPUTED_VALUE"""),"LISTICLE")</f>
        <v>LISTICLE</v>
      </c>
      <c r="E76" s="15" t="str">
        <f>IFERROR(__xludf.DUMMYFUNCTION("""COMPUTED_VALUE"""),"CORPORATE")</f>
        <v>CORPORATE</v>
      </c>
      <c r="F76" s="15" t="str">
        <f>IFERROR(__xludf.DUMMYFUNCTION("""COMPUTED_VALUE"""),"Listicle")</f>
        <v>Listicle</v>
      </c>
      <c r="G76" s="15" t="b">
        <f>IFERROR(__xludf.DUMMYFUNCTION("""COMPUTED_VALUE"""),FALSE)</f>
        <v>0</v>
      </c>
      <c r="H76" s="15" t="str">
        <f>IFERROR(__xludf.DUMMYFUNCTION("""COMPUTED_VALUE"""),"Mother London, Adam&amp;eveDDB, Uncommon Creative Studio, BBH London, AMV BBDO, Accenture Song, VCCP, Ogilvy, Pablo, Lucky Generals, Saatchi &amp; Saatchi")</f>
        <v>Mother London, Adam&amp;eveDDB, Uncommon Creative Studio, BBH London, AMV BBDO, Accenture Song, VCCP, Ogilvy, Pablo, Lucky Generals, Saatchi &amp; Saatchi</v>
      </c>
      <c r="I76" s="15">
        <f>IFERROR(__xludf.DUMMYFUNCTION("""COMPUTED_VALUE"""),16.0)</f>
        <v>16</v>
      </c>
      <c r="J76" s="15">
        <f>IFERROR(__xludf.DUMMYFUNCTION("""COMPUTED_VALUE"""),0.02)</f>
        <v>0.02</v>
      </c>
      <c r="K76" s="15">
        <f>IFERROR(__xludf.DUMMYFUNCTION("""COMPUTED_VALUE"""),4.94)</f>
        <v>4.94</v>
      </c>
    </row>
    <row r="77" ht="15.75" customHeight="1">
      <c r="A77" s="14" t="str">
        <f>IFERROR(__xludf.DUMMYFUNCTION("""COMPUTED_VALUE"""),"https://brandspeak.co.uk/blog/top-market-research-agencies-uk/#:~:text=Kantar's%20Blueprint%20for%20Brand%20Growth,intelligence%20it%20brings%20to%20clients.")</f>
        <v>https://brandspeak.co.uk/blog/top-market-research-agencies-uk/#:~:text=Kantar's%20Blueprint%20for%20Brand%20Growth,intelligence%20it%20brings%20to%20clients.</v>
      </c>
      <c r="B77" s="15" t="str">
        <f>IFERROR(__xludf.DUMMYFUNCTION("""COMPUTED_VALUE"""),"Best Market Research Agencies in the UK (2026) | Compared &amp;amp; Reviewed")</f>
        <v>Best Market Research Agencies in the UK (2026) | Compared &amp;amp; Reviewed</v>
      </c>
      <c r="C77" s="14" t="str">
        <f>IFERROR(__xludf.DUMMYFUNCTION("""COMPUTED_VALUE"""),"brandspeak.co.uk")</f>
        <v>brandspeak.co.uk</v>
      </c>
      <c r="D77" s="15" t="str">
        <f>IFERROR(__xludf.DUMMYFUNCTION("""COMPUTED_VALUE"""),"LISTICLE")</f>
        <v>LISTICLE</v>
      </c>
      <c r="E77" s="15" t="str">
        <f>IFERROR(__xludf.DUMMYFUNCTION("""COMPUTED_VALUE"""),"CORPORATE")</f>
        <v>CORPORATE</v>
      </c>
      <c r="F77" s="15" t="str">
        <f>IFERROR(__xludf.DUMMYFUNCTION("""COMPUTED_VALUE"""),"Listicle")</f>
        <v>Listicle</v>
      </c>
      <c r="G77" s="15" t="b">
        <f>IFERROR(__xludf.DUMMYFUNCTION("""COMPUTED_VALUE"""),FALSE)</f>
        <v>0</v>
      </c>
      <c r="H77" s="15" t="str">
        <f>IFERROR(__xludf.DUMMYFUNCTION("""COMPUTED_VALUE"""),"Kantar, Accenture Song, YouGov")</f>
        <v>Kantar, Accenture Song, YouGov</v>
      </c>
      <c r="I77" s="15">
        <f>IFERROR(__xludf.DUMMYFUNCTION("""COMPUTED_VALUE"""),15.0)</f>
        <v>15</v>
      </c>
      <c r="J77" s="15">
        <f>IFERROR(__xludf.DUMMYFUNCTION("""COMPUTED_VALUE"""),0.01)</f>
        <v>0.01</v>
      </c>
      <c r="K77" s="15">
        <f>IFERROR(__xludf.DUMMYFUNCTION("""COMPUTED_VALUE"""),1.47)</f>
        <v>1.47</v>
      </c>
    </row>
    <row r="78" ht="15.75" customHeight="1">
      <c r="A78" s="14" t="str">
        <f>IFERROR(__xludf.DUMMYFUNCTION("""COMPUTED_VALUE"""),"https://www.buriedagency.com/post/top-geo-agencies-uk")</f>
        <v>https://www.buriedagency.com/post/top-geo-agencies-uk</v>
      </c>
      <c r="B78" s="15" t="str">
        <f>IFERROR(__xludf.DUMMYFUNCTION("""COMPUTED_VALUE"""),"Top 12 GEO (Generative Engine Optimisation) agencies in the UK")</f>
        <v>Top 12 GEO (Generative Engine Optimisation) agencies in the UK</v>
      </c>
      <c r="C78" s="14" t="str">
        <f>IFERROR(__xludf.DUMMYFUNCTION("""COMPUTED_VALUE"""),"buriedagency.com")</f>
        <v>buriedagency.com</v>
      </c>
      <c r="D78" s="15" t="str">
        <f>IFERROR(__xludf.DUMMYFUNCTION("""COMPUTED_VALUE"""),"LISTICLE")</f>
        <v>LISTICLE</v>
      </c>
      <c r="E78" s="15" t="str">
        <f>IFERROR(__xludf.DUMMYFUNCTION("""COMPUTED_VALUE"""),"COMPETITOR")</f>
        <v>COMPETITOR</v>
      </c>
      <c r="F78" s="15" t="str">
        <f>IFERROR(__xludf.DUMMYFUNCTION("""COMPUTED_VALUE"""),"Listicle")</f>
        <v>Listicle</v>
      </c>
      <c r="G78" s="15" t="b">
        <f>IFERROR(__xludf.DUMMYFUNCTION("""COMPUTED_VALUE"""),FALSE)</f>
        <v>0</v>
      </c>
      <c r="H78" s="15" t="str">
        <f>IFERROR(__xludf.DUMMYFUNCTION("""COMPUTED_VALUE"""),"Buried Agency, Charle Agency, Propeller, Exposure Ninja, Passion Digital, Impression, ClickSlice, Varn, Bird Marketing, Found, Builtvisible, Push, Measured")</f>
        <v>Buried Agency, Charle Agency, Propeller, Exposure Ninja, Passion Digital, Impression, ClickSlice, Varn, Bird Marketing, Found, Builtvisible, Push, Measured</v>
      </c>
      <c r="I78" s="15">
        <f>IFERROR(__xludf.DUMMYFUNCTION("""COMPUTED_VALUE"""),15.0)</f>
        <v>15</v>
      </c>
      <c r="J78" s="15">
        <f>IFERROR(__xludf.DUMMYFUNCTION("""COMPUTED_VALUE"""),0.01)</f>
        <v>0.01</v>
      </c>
      <c r="K78" s="15">
        <f>IFERROR(__xludf.DUMMYFUNCTION("""COMPUTED_VALUE"""),0.6)</f>
        <v>0.6</v>
      </c>
    </row>
    <row r="79" ht="15.75" customHeight="1">
      <c r="A79" s="14" t="str">
        <f>IFERROR(__xludf.DUMMYFUNCTION("""COMPUTED_VALUE"""),"https://buzzgen.uk/2026/03/04/top-10-geo-and-ai-ranking-agencies-in-the-uk-march-2026/")</f>
        <v>https://buzzgen.uk/2026/03/04/top-10-geo-and-ai-ranking-agencies-in-the-uk-march-2026/</v>
      </c>
      <c r="B79" s="15" t="str">
        <f>IFERROR(__xludf.DUMMYFUNCTION("""COMPUTED_VALUE"""),"Top 10 GEO and AI-Ranking Agencies in the UK - March 2026 -")</f>
        <v>Top 10 GEO and AI-Ranking Agencies in the UK - March 2026 -</v>
      </c>
      <c r="C79" s="14" t="str">
        <f>IFERROR(__xludf.DUMMYFUNCTION("""COMPUTED_VALUE"""),"buzzgen.uk")</f>
        <v>buzzgen.uk</v>
      </c>
      <c r="D79" s="15" t="str">
        <f>IFERROR(__xludf.DUMMYFUNCTION("""COMPUTED_VALUE"""),"LISTICLE")</f>
        <v>LISTICLE</v>
      </c>
      <c r="E79" s="15" t="str">
        <f>IFERROR(__xludf.DUMMYFUNCTION("""COMPUTED_VALUE"""),"CORPORATE")</f>
        <v>CORPORATE</v>
      </c>
      <c r="F79" s="15" t="str">
        <f>IFERROR(__xludf.DUMMYFUNCTION("""COMPUTED_VALUE"""),"Listicle")</f>
        <v>Listicle</v>
      </c>
      <c r="G79" s="15" t="b">
        <f>IFERROR(__xludf.DUMMYFUNCTION("""COMPUTED_VALUE"""),FALSE)</f>
        <v>0</v>
      </c>
      <c r="H79" s="15" t="str">
        <f>IFERROR(__xludf.DUMMYFUNCTION("""COMPUTED_VALUE"""),"Found, The SEO Works, Blue Array, Passion Digital, Varn, Exposure Ninja, ClickSlice")</f>
        <v>Found, The SEO Works, Blue Array, Passion Digital, Varn, Exposure Ninja, ClickSlice</v>
      </c>
      <c r="I79" s="15">
        <f>IFERROR(__xludf.DUMMYFUNCTION("""COMPUTED_VALUE"""),15.0)</f>
        <v>15</v>
      </c>
      <c r="J79" s="15">
        <f>IFERROR(__xludf.DUMMYFUNCTION("""COMPUTED_VALUE"""),0.01)</f>
        <v>0.01</v>
      </c>
      <c r="K79" s="15">
        <f>IFERROR(__xludf.DUMMYFUNCTION("""COMPUTED_VALUE"""),0.0)</f>
        <v>0</v>
      </c>
    </row>
    <row r="80" ht="15.75" customHeight="1">
      <c r="A80" s="14" t="str">
        <f>IFERROR(__xludf.DUMMYFUNCTION("""COMPUTED_VALUE"""),"https://www.clickslice.co.uk/top-digital-marketing-agencies-uk/")</f>
        <v>https://www.clickslice.co.uk/top-digital-marketing-agencies-uk/</v>
      </c>
      <c r="B80" s="15" t="str">
        <f>IFERROR(__xludf.DUMMYFUNCTION("""COMPUTED_VALUE"""),"Top 10 Digital Marketing Agencies in the UK (2026)")</f>
        <v>Top 10 Digital Marketing Agencies in the UK (2026)</v>
      </c>
      <c r="C80" s="14" t="str">
        <f>IFERROR(__xludf.DUMMYFUNCTION("""COMPUTED_VALUE"""),"clickslice.co.uk")</f>
        <v>clickslice.co.uk</v>
      </c>
      <c r="D80" s="15" t="str">
        <f>IFERROR(__xludf.DUMMYFUNCTION("""COMPUTED_VALUE"""),"LISTICLE")</f>
        <v>LISTICLE</v>
      </c>
      <c r="E80" s="15" t="str">
        <f>IFERROR(__xludf.DUMMYFUNCTION("""COMPUTED_VALUE"""),"COMPETITOR")</f>
        <v>COMPETITOR</v>
      </c>
      <c r="F80" s="15" t="str">
        <f>IFERROR(__xludf.DUMMYFUNCTION("""COMPUTED_VALUE"""),"Listicle")</f>
        <v>Listicle</v>
      </c>
      <c r="G80" s="15" t="b">
        <f>IFERROR(__xludf.DUMMYFUNCTION("""COMPUTED_VALUE"""),FALSE)</f>
        <v>0</v>
      </c>
      <c r="H80" s="15" t="str">
        <f>IFERROR(__xludf.DUMMYFUNCTION("""COMPUTED_VALUE"""),"ClickSlice, Found, Measured")</f>
        <v>ClickSlice, Found, Measured</v>
      </c>
      <c r="I80" s="15">
        <f>IFERROR(__xludf.DUMMYFUNCTION("""COMPUTED_VALUE"""),15.0)</f>
        <v>15</v>
      </c>
      <c r="J80" s="15">
        <f>IFERROR(__xludf.DUMMYFUNCTION("""COMPUTED_VALUE"""),0.01)</f>
        <v>0.01</v>
      </c>
      <c r="K80" s="15">
        <f>IFERROR(__xludf.DUMMYFUNCTION("""COMPUTED_VALUE"""),0.6)</f>
        <v>0.6</v>
      </c>
    </row>
    <row r="81" ht="15.75" customHeight="1">
      <c r="A81" s="14" t="str">
        <f>IFERROR(__xludf.DUMMYFUNCTION("""COMPUTED_VALUE"""),"https://www.cometly.com/post/marketing-attribution-tools-for-agencies")</f>
        <v>https://www.cometly.com/post/marketing-attribution-tools-for-agencies</v>
      </c>
      <c r="B81" s="15" t="str">
        <f>IFERROR(__xludf.DUMMYFUNCTION("""COMPUTED_VALUE"""),"Best Marketing Attribution Tools For Agencies 2026")</f>
        <v>Best Marketing Attribution Tools For Agencies 2026</v>
      </c>
      <c r="C81" s="14" t="str">
        <f>IFERROR(__xludf.DUMMYFUNCTION("""COMPUTED_VALUE"""),"cometly.com")</f>
        <v>cometly.com</v>
      </c>
      <c r="D81" s="15" t="str">
        <f>IFERROR(__xludf.DUMMYFUNCTION("""COMPUTED_VALUE"""),"LISTICLE")</f>
        <v>LISTICLE</v>
      </c>
      <c r="E81" s="15" t="str">
        <f>IFERROR(__xludf.DUMMYFUNCTION("""COMPUTED_VALUE"""),"COMPETITOR")</f>
        <v>COMPETITOR</v>
      </c>
      <c r="F81" s="15" t="str">
        <f>IFERROR(__xludf.DUMMYFUNCTION("""COMPUTED_VALUE"""),"Listicle")</f>
        <v>Listicle</v>
      </c>
      <c r="G81" s="15" t="b">
        <f>IFERROR(__xludf.DUMMYFUNCTION("""COMPUTED_VALUE"""),FALSE)</f>
        <v>0</v>
      </c>
      <c r="H81" s="15" t="str">
        <f>IFERROR(__xludf.DUMMYFUNCTION("""COMPUTED_VALUE"""),"Cometly, Triple Whale, Northbeam, Rockerbox, Ruler Analytics")</f>
        <v>Cometly, Triple Whale, Northbeam, Rockerbox, Ruler Analytics</v>
      </c>
      <c r="I81" s="15">
        <f>IFERROR(__xludf.DUMMYFUNCTION("""COMPUTED_VALUE"""),15.0)</f>
        <v>15</v>
      </c>
      <c r="J81" s="15">
        <f>IFERROR(__xludf.DUMMYFUNCTION("""COMPUTED_VALUE"""),0.01)</f>
        <v>0.01</v>
      </c>
      <c r="K81" s="15">
        <f>IFERROR(__xludf.DUMMYFUNCTION("""COMPUTED_VALUE"""),0.47)</f>
        <v>0.47</v>
      </c>
    </row>
    <row r="82" ht="15.75" customHeight="1">
      <c r="A82" s="14" t="str">
        <f>IFERROR(__xludf.DUMMYFUNCTION("""COMPUTED_VALUE"""),"https://www.dontpaniclondon.com/blog/best-uk-advertising-agencies/")</f>
        <v>https://www.dontpaniclondon.com/blog/best-uk-advertising-agencies/</v>
      </c>
      <c r="B82" s="15" t="str">
        <f>IFERROR(__xludf.DUMMYFUNCTION("""COMPUTED_VALUE"""),"The 8 Best UK Advertising Agencies in 2026 (with examples)")</f>
        <v>The 8 Best UK Advertising Agencies in 2026 (with examples)</v>
      </c>
      <c r="C82" s="14" t="str">
        <f>IFERROR(__xludf.DUMMYFUNCTION("""COMPUTED_VALUE"""),"dontpaniclondon.com")</f>
        <v>dontpaniclondon.com</v>
      </c>
      <c r="D82" s="15" t="str">
        <f>IFERROR(__xludf.DUMMYFUNCTION("""COMPUTED_VALUE"""),"LISTICLE")</f>
        <v>LISTICLE</v>
      </c>
      <c r="E82" s="15" t="str">
        <f>IFERROR(__xludf.DUMMYFUNCTION("""COMPUTED_VALUE"""),"CORPORATE")</f>
        <v>CORPORATE</v>
      </c>
      <c r="F82" s="15" t="str">
        <f>IFERROR(__xludf.DUMMYFUNCTION("""COMPUTED_VALUE"""),"Listicle")</f>
        <v>Listicle</v>
      </c>
      <c r="G82" s="15" t="b">
        <f>IFERROR(__xludf.DUMMYFUNCTION("""COMPUTED_VALUE"""),FALSE)</f>
        <v>0</v>
      </c>
      <c r="H82" s="15" t="str">
        <f>IFERROR(__xludf.DUMMYFUNCTION("""COMPUTED_VALUE"""),"Omnicom, AMV BBDO, Momentum, Adam&amp;eveDDB, BBH London, Uncommon Creative Studio, Push, Saatchi &amp; Saatchi, WPP, Dentsu")</f>
        <v>Omnicom, AMV BBDO, Momentum, Adam&amp;eveDDB, BBH London, Uncommon Creative Studio, Push, Saatchi &amp; Saatchi, WPP, Dentsu</v>
      </c>
      <c r="I82" s="15">
        <f>IFERROR(__xludf.DUMMYFUNCTION("""COMPUTED_VALUE"""),15.0)</f>
        <v>15</v>
      </c>
      <c r="J82" s="15">
        <f>IFERROR(__xludf.DUMMYFUNCTION("""COMPUTED_VALUE"""),0.01)</f>
        <v>0.01</v>
      </c>
      <c r="K82" s="15">
        <f>IFERROR(__xludf.DUMMYFUNCTION("""COMPUTED_VALUE"""),1.07)</f>
        <v>1.07</v>
      </c>
    </row>
    <row r="83" ht="15.75" customHeight="1">
      <c r="A83" s="14" t="str">
        <f>IFERROR(__xludf.DUMMYFUNCTION("""COMPUTED_VALUE"""),"https://www.koozai.com/blog/pay-per-click-ppc/10-best-paid-media-agencies-in-uk/")</f>
        <v>https://www.koozai.com/blog/pay-per-click-ppc/10-best-paid-media-agencies-in-uk/</v>
      </c>
      <c r="B83" s="15" t="str">
        <f>IFERROR(__xludf.DUMMYFUNCTION("""COMPUTED_VALUE"""),"10 Paid Media Agencies in the UK Worth Speaking To | Koozai")</f>
        <v>10 Paid Media Agencies in the UK Worth Speaking To | Koozai</v>
      </c>
      <c r="C83" s="14" t="str">
        <f>IFERROR(__xludf.DUMMYFUNCTION("""COMPUTED_VALUE"""),"koozai.com")</f>
        <v>koozai.com</v>
      </c>
      <c r="D83" s="15" t="str">
        <f>IFERROR(__xludf.DUMMYFUNCTION("""COMPUTED_VALUE"""),"LISTICLE")</f>
        <v>LISTICLE</v>
      </c>
      <c r="E83" s="15" t="str">
        <f>IFERROR(__xludf.DUMMYFUNCTION("""COMPUTED_VALUE"""),"COMPETITOR")</f>
        <v>COMPETITOR</v>
      </c>
      <c r="F83" s="15" t="str">
        <f>IFERROR(__xludf.DUMMYFUNCTION("""COMPUTED_VALUE"""),"Listicle")</f>
        <v>Listicle</v>
      </c>
      <c r="G83" s="15" t="b">
        <f>IFERROR(__xludf.DUMMYFUNCTION("""COMPUTED_VALUE"""),FALSE)</f>
        <v>0</v>
      </c>
      <c r="H83" s="15" t="str">
        <f>IFERROR(__xludf.DUMMYFUNCTION("""COMPUTED_VALUE"""),"Koozai, Brainlabs, Found, Impression, Jellyfish, Journey Further, Propellernet")</f>
        <v>Koozai, Brainlabs, Found, Impression, Jellyfish, Journey Further, Propellernet</v>
      </c>
      <c r="I83" s="15">
        <f>IFERROR(__xludf.DUMMYFUNCTION("""COMPUTED_VALUE"""),15.0)</f>
        <v>15</v>
      </c>
      <c r="J83" s="15">
        <f>IFERROR(__xludf.DUMMYFUNCTION("""COMPUTED_VALUE"""),0.01)</f>
        <v>0.01</v>
      </c>
      <c r="K83" s="15">
        <f>IFERROR(__xludf.DUMMYFUNCTION("""COMPUTED_VALUE"""),0.07)</f>
        <v>0.07</v>
      </c>
    </row>
    <row r="84" ht="15.75" customHeight="1">
      <c r="A84" s="14" t="str">
        <f>IFERROR(__xludf.DUMMYFUNCTION("""COMPUTED_VALUE"""),"https://www.munro.agency/top-paid-media-agencies/")</f>
        <v>https://www.munro.agency/top-paid-media-agencies/</v>
      </c>
      <c r="B84" s="15" t="str">
        <f>IFERROR(__xludf.DUMMYFUNCTION("""COMPUTED_VALUE"""),"Top 10 Paid Media Agencies for 2026")</f>
        <v>Top 10 Paid Media Agencies for 2026</v>
      </c>
      <c r="C84" s="15" t="str">
        <f>IFERROR(__xludf.DUMMYFUNCTION("""COMPUTED_VALUE"""),"munro.agency")</f>
        <v>munro.agency</v>
      </c>
      <c r="D84" s="15" t="str">
        <f>IFERROR(__xludf.DUMMYFUNCTION("""COMPUTED_VALUE"""),"LISTICLE")</f>
        <v>LISTICLE</v>
      </c>
      <c r="E84" s="15" t="str">
        <f>IFERROR(__xludf.DUMMYFUNCTION("""COMPUTED_VALUE"""),"CORPORATE")</f>
        <v>CORPORATE</v>
      </c>
      <c r="F84" s="15" t="str">
        <f>IFERROR(__xludf.DUMMYFUNCTION("""COMPUTED_VALUE"""),"Listicle")</f>
        <v>Listicle</v>
      </c>
      <c r="G84" s="15" t="b">
        <f>IFERROR(__xludf.DUMMYFUNCTION("""COMPUTED_VALUE"""),FALSE)</f>
        <v>0</v>
      </c>
      <c r="H84" s="15" t="str">
        <f>IFERROR(__xludf.DUMMYFUNCTION("""COMPUTED_VALUE"""),"Impression, Push, ClickSlice, inBeat, Power Digital")</f>
        <v>Impression, Push, ClickSlice, inBeat, Power Digital</v>
      </c>
      <c r="I84" s="15">
        <f>IFERROR(__xludf.DUMMYFUNCTION("""COMPUTED_VALUE"""),15.0)</f>
        <v>15</v>
      </c>
      <c r="J84" s="15">
        <f>IFERROR(__xludf.DUMMYFUNCTION("""COMPUTED_VALUE"""),0.01)</f>
        <v>0.01</v>
      </c>
      <c r="K84" s="15">
        <f>IFERROR(__xludf.DUMMYFUNCTION("""COMPUTED_VALUE"""),0.2)</f>
        <v>0.2</v>
      </c>
    </row>
    <row r="85" ht="15.75" customHeight="1">
      <c r="A85" s="14" t="str">
        <f>IFERROR(__xludf.DUMMYFUNCTION("""COMPUTED_VALUE"""),"https://www.pushgroup.co.uk/blog/top-9-google-ads-agencies-in-the-uk")</f>
        <v>https://www.pushgroup.co.uk/blog/top-9-google-ads-agencies-in-the-uk</v>
      </c>
      <c r="B85" s="15" t="str">
        <f>IFERROR(__xludf.DUMMYFUNCTION("""COMPUTED_VALUE"""),"Top 9 Google Ads Agencies in the UK 2026 | PUSH Group")</f>
        <v>Top 9 Google Ads Agencies in the UK 2026 | PUSH Group</v>
      </c>
      <c r="C85" s="14" t="str">
        <f>IFERROR(__xludf.DUMMYFUNCTION("""COMPUTED_VALUE"""),"pushgroup.co.uk")</f>
        <v>pushgroup.co.uk</v>
      </c>
      <c r="D85" s="15" t="str">
        <f>IFERROR(__xludf.DUMMYFUNCTION("""COMPUTED_VALUE"""),"LISTICLE")</f>
        <v>LISTICLE</v>
      </c>
      <c r="E85" s="15" t="str">
        <f>IFERROR(__xludf.DUMMYFUNCTION("""COMPUTED_VALUE"""),"COMPETITOR")</f>
        <v>COMPETITOR</v>
      </c>
      <c r="F85" s="15" t="str">
        <f>IFERROR(__xludf.DUMMYFUNCTION("""COMPUTED_VALUE"""),"Listicle")</f>
        <v>Listicle</v>
      </c>
      <c r="G85" s="15" t="b">
        <f>IFERROR(__xludf.DUMMYFUNCTION("""COMPUTED_VALUE"""),FALSE)</f>
        <v>0</v>
      </c>
      <c r="H85" s="15" t="str">
        <f>IFERROR(__xludf.DUMMYFUNCTION("""COMPUTED_VALUE"""),"Push, Push Group, The Social Shepherd, PPC Geeks, Found")</f>
        <v>Push, Push Group, The Social Shepherd, PPC Geeks, Found</v>
      </c>
      <c r="I85" s="15">
        <f>IFERROR(__xludf.DUMMYFUNCTION("""COMPUTED_VALUE"""),15.0)</f>
        <v>15</v>
      </c>
      <c r="J85" s="15">
        <f>IFERROR(__xludf.DUMMYFUNCTION("""COMPUTED_VALUE"""),0.01)</f>
        <v>0.01</v>
      </c>
      <c r="K85" s="15">
        <f>IFERROR(__xludf.DUMMYFUNCTION("""COMPUTED_VALUE"""),0.67)</f>
        <v>0.67</v>
      </c>
    </row>
    <row r="86" ht="15.75" customHeight="1">
      <c r="A86" s="14" t="str">
        <f>IFERROR(__xludf.DUMMYFUNCTION("""COMPUTED_VALUE"""),"https://www.rank4ai.co.uk/research/rankings/ai-search-optimisation-agencies-uk/")</f>
        <v>https://www.rank4ai.co.uk/research/rankings/ai-search-optimisation-agencies-uk/</v>
      </c>
      <c r="B86" s="15" t="str">
        <f>IFERROR(__xludf.DUMMYFUNCTION("""COMPUTED_VALUE"""),"AI Search Optimisation Agencies UK 2026 | Rank4AI")</f>
        <v>AI Search Optimisation Agencies UK 2026 | Rank4AI</v>
      </c>
      <c r="C86" s="14" t="str">
        <f>IFERROR(__xludf.DUMMYFUNCTION("""COMPUTED_VALUE"""),"rank4ai.co.uk")</f>
        <v>rank4ai.co.uk</v>
      </c>
      <c r="D86" s="15" t="str">
        <f>IFERROR(__xludf.DUMMYFUNCTION("""COMPUTED_VALUE"""),"LISTICLE")</f>
        <v>LISTICLE</v>
      </c>
      <c r="E86" s="15" t="str">
        <f>IFERROR(__xludf.DUMMYFUNCTION("""COMPUTED_VALUE"""),"COMPETITOR")</f>
        <v>COMPETITOR</v>
      </c>
      <c r="F86" s="15" t="str">
        <f>IFERROR(__xludf.DUMMYFUNCTION("""COMPUTED_VALUE"""),"Listicle")</f>
        <v>Listicle</v>
      </c>
      <c r="G86" s="15" t="b">
        <f>IFERROR(__xludf.DUMMYFUNCTION("""COMPUTED_VALUE"""),FALSE)</f>
        <v>0</v>
      </c>
      <c r="H86" s="15" t="str">
        <f>IFERROR(__xludf.DUMMYFUNCTION("""COMPUTED_VALUE"""),"Rank4AI, Varn, Found, Buried Agency")</f>
        <v>Rank4AI, Varn, Found, Buried Agency</v>
      </c>
      <c r="I86" s="15">
        <f>IFERROR(__xludf.DUMMYFUNCTION("""COMPUTED_VALUE"""),15.0)</f>
        <v>15</v>
      </c>
      <c r="J86" s="15">
        <f>IFERROR(__xludf.DUMMYFUNCTION("""COMPUTED_VALUE"""),0.01)</f>
        <v>0.01</v>
      </c>
      <c r="K86" s="15">
        <f>IFERROR(__xludf.DUMMYFUNCTION("""COMPUTED_VALUE"""),2.4)</f>
        <v>2.4</v>
      </c>
    </row>
    <row r="87" ht="15.75" customHeight="1">
      <c r="A87" s="14" t="str">
        <f>IFERROR(__xludf.DUMMYFUNCTION("""COMPUTED_VALUE"""),"https://segmentstream.com/blog/articles/best-attribution-tools")</f>
        <v>https://segmentstream.com/blog/articles/best-attribution-tools</v>
      </c>
      <c r="B87" s="15" t="str">
        <f>IFERROR(__xludf.DUMMYFUNCTION("""COMPUTED_VALUE"""),"10 Best Marketing Attribution Tools &amp;amp; Platforms (2026) — SegmentStream")</f>
        <v>10 Best Marketing Attribution Tools &amp;amp; Platforms (2026) — SegmentStream</v>
      </c>
      <c r="C87" s="14" t="str">
        <f>IFERROR(__xludf.DUMMYFUNCTION("""COMPUTED_VALUE"""),"segmentstream.com")</f>
        <v>segmentstream.com</v>
      </c>
      <c r="D87" s="15" t="str">
        <f>IFERROR(__xludf.DUMMYFUNCTION("""COMPUTED_VALUE"""),"LISTICLE")</f>
        <v>LISTICLE</v>
      </c>
      <c r="E87" s="15" t="str">
        <f>IFERROR(__xludf.DUMMYFUNCTION("""COMPUTED_VALUE"""),"COMPETITOR")</f>
        <v>COMPETITOR</v>
      </c>
      <c r="F87" s="15" t="str">
        <f>IFERROR(__xludf.DUMMYFUNCTION("""COMPUTED_VALUE"""),"Listicle")</f>
        <v>Listicle</v>
      </c>
      <c r="G87" s="15" t="b">
        <f>IFERROR(__xludf.DUMMYFUNCTION("""COMPUTED_VALUE"""),FALSE)</f>
        <v>0</v>
      </c>
      <c r="H87" s="15" t="str">
        <f>IFERROR(__xludf.DUMMYFUNCTION("""COMPUTED_VALUE"""),"SegmentStream, Triple Whale, Northbeam, Measured, Rockerbox, Ruler Analytics, Impression, Push")</f>
        <v>SegmentStream, Triple Whale, Northbeam, Measured, Rockerbox, Ruler Analytics, Impression, Push</v>
      </c>
      <c r="I87" s="15">
        <f>IFERROR(__xludf.DUMMYFUNCTION("""COMPUTED_VALUE"""),15.0)</f>
        <v>15</v>
      </c>
      <c r="J87" s="15">
        <f>IFERROR(__xludf.DUMMYFUNCTION("""COMPUTED_VALUE"""),0.01)</f>
        <v>0.01</v>
      </c>
      <c r="K87" s="15">
        <f>IFERROR(__xludf.DUMMYFUNCTION("""COMPUTED_VALUE"""),1.67)</f>
        <v>1.67</v>
      </c>
    </row>
    <row r="88" ht="15.75" customHeight="1">
      <c r="A88" s="14" t="str">
        <f>IFERROR(__xludf.DUMMYFUNCTION("""COMPUTED_VALUE"""),"https://www.seoworks.com/lists/20-best-geo-agencies-in-the-uk/")</f>
        <v>https://www.seoworks.com/lists/20-best-geo-agencies-in-the-uk/</v>
      </c>
      <c r="B88" s="15" t="str">
        <f>IFERROR(__xludf.DUMMYFUNCTION("""COMPUTED_VALUE"""),"20 Best GEO Agencies in the UK (2026) | The SEO Works")</f>
        <v>20 Best GEO Agencies in the UK (2026) | The SEO Works</v>
      </c>
      <c r="C88" s="14" t="str">
        <f>IFERROR(__xludf.DUMMYFUNCTION("""COMPUTED_VALUE"""),"seoworks.com")</f>
        <v>seoworks.com</v>
      </c>
      <c r="D88" s="15" t="str">
        <f>IFERROR(__xludf.DUMMYFUNCTION("""COMPUTED_VALUE"""),"LISTICLE")</f>
        <v>LISTICLE</v>
      </c>
      <c r="E88" s="15" t="str">
        <f>IFERROR(__xludf.DUMMYFUNCTION("""COMPUTED_VALUE"""),"CORPORATE")</f>
        <v>CORPORATE</v>
      </c>
      <c r="F88" s="15" t="str">
        <f>IFERROR(__xludf.DUMMYFUNCTION("""COMPUTED_VALUE"""),"Listicle")</f>
        <v>Listicle</v>
      </c>
      <c r="G88" s="15" t="b">
        <f>IFERROR(__xludf.DUMMYFUNCTION("""COMPUTED_VALUE"""),FALSE)</f>
        <v>0</v>
      </c>
      <c r="H88" s="15" t="str">
        <f>IFERROR(__xludf.DUMMYFUNCTION("""COMPUTED_VALUE"""),"The SEO Works, Passion Digital, Huge, Digital Landscope, Click Intelligence, Launch Online, Propellernet, Varn")</f>
        <v>The SEO Works, Passion Digital, Huge, Digital Landscope, Click Intelligence, Launch Online, Propellernet, Varn</v>
      </c>
      <c r="I88" s="15">
        <f>IFERROR(__xludf.DUMMYFUNCTION("""COMPUTED_VALUE"""),15.0)</f>
        <v>15</v>
      </c>
      <c r="J88" s="15">
        <f>IFERROR(__xludf.DUMMYFUNCTION("""COMPUTED_VALUE"""),0.01)</f>
        <v>0.01</v>
      </c>
      <c r="K88" s="15">
        <f>IFERROR(__xludf.DUMMYFUNCTION("""COMPUTED_VALUE"""),2.73)</f>
        <v>2.73</v>
      </c>
    </row>
    <row r="89" ht="15.75" customHeight="1">
      <c r="A89" s="14" t="str">
        <f>IFERROR(__xludf.DUMMYFUNCTION("""COMPUTED_VALUE"""),"https://a-listware.com/blog/sales-and-marketing-analytics-companies-uk")</f>
        <v>https://a-listware.com/blog/sales-and-marketing-analytics-companies-uk</v>
      </c>
      <c r="B89" s="15" t="str">
        <f>IFERROR(__xludf.DUMMYFUNCTION("""COMPUTED_VALUE"""),"Sales and Marketing Analytics Firms in the UK")</f>
        <v>Sales and Marketing Analytics Firms in the UK</v>
      </c>
      <c r="C89" s="14" t="str">
        <f>IFERROR(__xludf.DUMMYFUNCTION("""COMPUTED_VALUE"""),"a-listware.com")</f>
        <v>a-listware.com</v>
      </c>
      <c r="D89" s="15" t="str">
        <f>IFERROR(__xludf.DUMMYFUNCTION("""COMPUTED_VALUE"""),"LISTICLE")</f>
        <v>LISTICLE</v>
      </c>
      <c r="E89" s="15" t="str">
        <f>IFERROR(__xludf.DUMMYFUNCTION("""COMPUTED_VALUE"""),"CORPORATE")</f>
        <v>CORPORATE</v>
      </c>
      <c r="F89" s="15" t="str">
        <f>IFERROR(__xludf.DUMMYFUNCTION("""COMPUTED_VALUE"""),"Listicle")</f>
        <v>Listicle</v>
      </c>
      <c r="G89" s="15" t="b">
        <f>IFERROR(__xludf.DUMMYFUNCTION("""COMPUTED_VALUE"""),FALSE)</f>
        <v>0</v>
      </c>
      <c r="H89" s="15" t="str">
        <f>IFERROR(__xludf.DUMMYFUNCTION("""COMPUTED_VALUE"""),"Push, Hallam, Epsilon, SegmentStream, Measurelab, QueryClick, Jellyfish, Huge, Transmission")</f>
        <v>Push, Hallam, Epsilon, SegmentStream, Measurelab, QueryClick, Jellyfish, Huge, Transmission</v>
      </c>
      <c r="I89" s="15">
        <f>IFERROR(__xludf.DUMMYFUNCTION("""COMPUTED_VALUE"""),14.0)</f>
        <v>14</v>
      </c>
      <c r="J89" s="15">
        <f>IFERROR(__xludf.DUMMYFUNCTION("""COMPUTED_VALUE"""),0.01)</f>
        <v>0.01</v>
      </c>
      <c r="K89" s="15">
        <f>IFERROR(__xludf.DUMMYFUNCTION("""COMPUTED_VALUE"""),0.29)</f>
        <v>0.29</v>
      </c>
    </row>
    <row r="90" ht="15.75" customHeight="1">
      <c r="A90" s="14" t="str">
        <f>IFERROR(__xludf.DUMMYFUNCTION("""COMPUTED_VALUE"""),"https://www.adbeacon.com/19-best-marketing-attribution-software-solutions-in-2026/")</f>
        <v>https://www.adbeacon.com/19-best-marketing-attribution-software-solutions-in-2026/</v>
      </c>
      <c r="B90" s="15" t="str">
        <f>IFERROR(__xludf.DUMMYFUNCTION("""COMPUTED_VALUE"""),"19 Best Marketing Attribution Software Solutions in 2026 | AdBeacon")</f>
        <v>19 Best Marketing Attribution Software Solutions in 2026 | AdBeacon</v>
      </c>
      <c r="C90" s="14" t="str">
        <f>IFERROR(__xludf.DUMMYFUNCTION("""COMPUTED_VALUE"""),"adbeacon.com")</f>
        <v>adbeacon.com</v>
      </c>
      <c r="D90" s="15" t="str">
        <f>IFERROR(__xludf.DUMMYFUNCTION("""COMPUTED_VALUE"""),"LISTICLE")</f>
        <v>LISTICLE</v>
      </c>
      <c r="E90" s="15" t="str">
        <f>IFERROR(__xludf.DUMMYFUNCTION("""COMPUTED_VALUE"""),"CORPORATE")</f>
        <v>CORPORATE</v>
      </c>
      <c r="F90" s="15" t="str">
        <f>IFERROR(__xludf.DUMMYFUNCTION("""COMPUTED_VALUE"""),"Listicle")</f>
        <v>Listicle</v>
      </c>
      <c r="G90" s="15" t="b">
        <f>IFERROR(__xludf.DUMMYFUNCTION("""COMPUTED_VALUE"""),FALSE)</f>
        <v>0</v>
      </c>
      <c r="H90" s="15" t="str">
        <f>IFERROR(__xludf.DUMMYFUNCTION("""COMPUTED_VALUE"""),"Ruler Analytics, Push, Triple Whale, Rockerbox")</f>
        <v>Ruler Analytics, Push, Triple Whale, Rockerbox</v>
      </c>
      <c r="I90" s="15">
        <f>IFERROR(__xludf.DUMMYFUNCTION("""COMPUTED_VALUE"""),14.0)</f>
        <v>14</v>
      </c>
      <c r="J90" s="15">
        <f>IFERROR(__xludf.DUMMYFUNCTION("""COMPUTED_VALUE"""),0.01)</f>
        <v>0.01</v>
      </c>
      <c r="K90" s="15">
        <f>IFERROR(__xludf.DUMMYFUNCTION("""COMPUTED_VALUE"""),0.5)</f>
        <v>0.5</v>
      </c>
    </row>
    <row r="91" ht="15.75" customHeight="1">
      <c r="A91" s="14" t="str">
        <f>IFERROR(__xludf.DUMMYFUNCTION("""COMPUTED_VALUE"""),"https://www.adbeacon.com/7-best-marketing-attribution-tools-compared-2026/")</f>
        <v>https://www.adbeacon.com/7-best-marketing-attribution-tools-compared-2026/</v>
      </c>
      <c r="B91" s="15" t="str">
        <f>IFERROR(__xludf.DUMMYFUNCTION("""COMPUTED_VALUE"""),"7 Best Marketing Attribution Tools Compared (2026) | AdBeacon")</f>
        <v>7 Best Marketing Attribution Tools Compared (2026) | AdBeacon</v>
      </c>
      <c r="C91" s="14" t="str">
        <f>IFERROR(__xludf.DUMMYFUNCTION("""COMPUTED_VALUE"""),"adbeacon.com")</f>
        <v>adbeacon.com</v>
      </c>
      <c r="D91" s="15" t="str">
        <f>IFERROR(__xludf.DUMMYFUNCTION("""COMPUTED_VALUE"""),"LISTICLE")</f>
        <v>LISTICLE</v>
      </c>
      <c r="E91" s="15" t="str">
        <f>IFERROR(__xludf.DUMMYFUNCTION("""COMPUTED_VALUE"""),"CORPORATE")</f>
        <v>CORPORATE</v>
      </c>
      <c r="F91" s="15" t="str">
        <f>IFERROR(__xludf.DUMMYFUNCTION("""COMPUTED_VALUE"""),"Listicle")</f>
        <v>Listicle</v>
      </c>
      <c r="G91" s="15" t="b">
        <f>IFERROR(__xludf.DUMMYFUNCTION("""COMPUTED_VALUE"""),FALSE)</f>
        <v>0</v>
      </c>
      <c r="H91" s="15" t="str">
        <f>IFERROR(__xludf.DUMMYFUNCTION("""COMPUTED_VALUE"""),"Cometly, Triple Whale, Northbeam, Rockerbox, Ruler Analytics")</f>
        <v>Cometly, Triple Whale, Northbeam, Rockerbox, Ruler Analytics</v>
      </c>
      <c r="I91" s="15">
        <f>IFERROR(__xludf.DUMMYFUNCTION("""COMPUTED_VALUE"""),14.0)</f>
        <v>14</v>
      </c>
      <c r="J91" s="15">
        <f>IFERROR(__xludf.DUMMYFUNCTION("""COMPUTED_VALUE"""),0.01)</f>
        <v>0.01</v>
      </c>
      <c r="K91" s="15">
        <f>IFERROR(__xludf.DUMMYFUNCTION("""COMPUTED_VALUE"""),0.14)</f>
        <v>0.14</v>
      </c>
    </row>
    <row r="92" ht="15.75" customHeight="1">
      <c r="A92" s="14" t="str">
        <f>IFERROR(__xludf.DUMMYFUNCTION("""COMPUTED_VALUE"""),"https://www.alphaapexgroup.com/blog/top-ai-consulting-firms")</f>
        <v>https://www.alphaapexgroup.com/blog/top-ai-consulting-firms</v>
      </c>
      <c r="B92" s="15" t="str">
        <f>IFERROR(__xludf.DUMMYFUNCTION("""COMPUTED_VALUE"""),"Top AI Consulting Firms for Business Transformation in 2026 — Alpha Apex Group - Consulting &amp;amp; Executive Search Firm")</f>
        <v>Top AI Consulting Firms for Business Transformation in 2026 — Alpha Apex Group - Consulting &amp;amp; Executive Search Firm</v>
      </c>
      <c r="C92" s="14" t="str">
        <f>IFERROR(__xludf.DUMMYFUNCTION("""COMPUTED_VALUE"""),"alphaapexgroup.com")</f>
        <v>alphaapexgroup.com</v>
      </c>
      <c r="D92" s="15" t="str">
        <f>IFERROR(__xludf.DUMMYFUNCTION("""COMPUTED_VALUE"""),"LISTICLE")</f>
        <v>LISTICLE</v>
      </c>
      <c r="E92" s="15" t="str">
        <f>IFERROR(__xludf.DUMMYFUNCTION("""COMPUTED_VALUE"""),"CORPORATE")</f>
        <v>CORPORATE</v>
      </c>
      <c r="F92" s="15" t="str">
        <f>IFERROR(__xludf.DUMMYFUNCTION("""COMPUTED_VALUE"""),"Listicle")</f>
        <v>Listicle</v>
      </c>
      <c r="G92" s="15" t="b">
        <f>IFERROR(__xludf.DUMMYFUNCTION("""COMPUTED_VALUE"""),FALSE)</f>
        <v>0</v>
      </c>
      <c r="H92" s="15" t="str">
        <f>IFERROR(__xludf.DUMMYFUNCTION("""COMPUTED_VALUE"""),"Artefact, QuantumBlack, Ogilvy, Found, McKinsey &amp; Company")</f>
        <v>Artefact, QuantumBlack, Ogilvy, Found, McKinsey &amp; Company</v>
      </c>
      <c r="I92" s="15">
        <f>IFERROR(__xludf.DUMMYFUNCTION("""COMPUTED_VALUE"""),14.0)</f>
        <v>14</v>
      </c>
      <c r="J92" s="15">
        <f>IFERROR(__xludf.DUMMYFUNCTION("""COMPUTED_VALUE"""),0.01)</f>
        <v>0.01</v>
      </c>
      <c r="K92" s="15">
        <f>IFERROR(__xludf.DUMMYFUNCTION("""COMPUTED_VALUE"""),1.14)</f>
        <v>1.14</v>
      </c>
    </row>
    <row r="93" ht="15.75" customHeight="1">
      <c r="A93" s="14" t="str">
        <f>IFERROR(__xludf.DUMMYFUNCTION("""COMPUTED_VALUE"""),"https://brandspeak.co.uk/blog/top-market-research-companies-uk/")</f>
        <v>https://brandspeak.co.uk/blog/top-market-research-companies-uk/</v>
      </c>
      <c r="B93" s="15" t="str">
        <f>IFERROR(__xludf.DUMMYFUNCTION("""COMPUTED_VALUE"""),"Top Market Research Companies UK (2026) | Best Agencies Compared")</f>
        <v>Top Market Research Companies UK (2026) | Best Agencies Compared</v>
      </c>
      <c r="C93" s="14" t="str">
        <f>IFERROR(__xludf.DUMMYFUNCTION("""COMPUTED_VALUE"""),"brandspeak.co.uk")</f>
        <v>brandspeak.co.uk</v>
      </c>
      <c r="D93" s="15" t="str">
        <f>IFERROR(__xludf.DUMMYFUNCTION("""COMPUTED_VALUE"""),"LISTICLE")</f>
        <v>LISTICLE</v>
      </c>
      <c r="E93" s="15" t="str">
        <f>IFERROR(__xludf.DUMMYFUNCTION("""COMPUTED_VALUE"""),"CORPORATE")</f>
        <v>CORPORATE</v>
      </c>
      <c r="F93" s="15" t="str">
        <f>IFERROR(__xludf.DUMMYFUNCTION("""COMPUTED_VALUE"""),"Listicle")</f>
        <v>Listicle</v>
      </c>
      <c r="G93" s="15" t="b">
        <f>IFERROR(__xludf.DUMMYFUNCTION("""COMPUTED_VALUE"""),FALSE)</f>
        <v>0</v>
      </c>
      <c r="H93" s="15" t="str">
        <f>IFERROR(__xludf.DUMMYFUNCTION("""COMPUTED_VALUE"""),"Kantar, YouGov")</f>
        <v>Kantar, YouGov</v>
      </c>
      <c r="I93" s="15">
        <f>IFERROR(__xludf.DUMMYFUNCTION("""COMPUTED_VALUE"""),14.0)</f>
        <v>14</v>
      </c>
      <c r="J93" s="15">
        <f>IFERROR(__xludf.DUMMYFUNCTION("""COMPUTED_VALUE"""),0.01)</f>
        <v>0.01</v>
      </c>
      <c r="K93" s="15">
        <f>IFERROR(__xludf.DUMMYFUNCTION("""COMPUTED_VALUE"""),0.86)</f>
        <v>0.86</v>
      </c>
    </row>
    <row r="94" ht="15.75" customHeight="1">
      <c r="A94" s="14" t="str">
        <f>IFERROR(__xludf.DUMMYFUNCTION("""COMPUTED_VALUE"""),"https://www.charle.co.uk/articles/best-geo-agencies-uk/")</f>
        <v>https://www.charle.co.uk/articles/best-geo-agencies-uk/</v>
      </c>
      <c r="B94" s="15" t="str">
        <f>IFERROR(__xludf.DUMMYFUNCTION("""COMPUTED_VALUE"""),"14 Best GEO Agencies UK (2026) | Top Generative Engine Optimisation Agencies | Charle")</f>
        <v>14 Best GEO Agencies UK (2026) | Top Generative Engine Optimisation Agencies | Charle</v>
      </c>
      <c r="C94" s="14" t="str">
        <f>IFERROR(__xludf.DUMMYFUNCTION("""COMPUTED_VALUE"""),"charle.co.uk")</f>
        <v>charle.co.uk</v>
      </c>
      <c r="D94" s="15" t="str">
        <f>IFERROR(__xludf.DUMMYFUNCTION("""COMPUTED_VALUE"""),"LISTICLE")</f>
        <v>LISTICLE</v>
      </c>
      <c r="E94" s="15" t="str">
        <f>IFERROR(__xludf.DUMMYFUNCTION("""COMPUTED_VALUE"""),"COMPETITOR")</f>
        <v>COMPETITOR</v>
      </c>
      <c r="F94" s="15" t="str">
        <f>IFERROR(__xludf.DUMMYFUNCTION("""COMPUTED_VALUE"""),"Listicle")</f>
        <v>Listicle</v>
      </c>
      <c r="G94" s="15" t="b">
        <f>IFERROR(__xludf.DUMMYFUNCTION("""COMPUTED_VALUE"""),FALSE)</f>
        <v>0</v>
      </c>
      <c r="H94" s="15" t="str">
        <f>IFERROR(__xludf.DUMMYFUNCTION("""COMPUTED_VALUE"""),"Charle Agency, Polaris, Buried Agency, ClickSlice, Exposure Ninja, Blue Array, Found, Measured")</f>
        <v>Charle Agency, Polaris, Buried Agency, ClickSlice, Exposure Ninja, Blue Array, Found, Measured</v>
      </c>
      <c r="I94" s="15">
        <f>IFERROR(__xludf.DUMMYFUNCTION("""COMPUTED_VALUE"""),14.0)</f>
        <v>14</v>
      </c>
      <c r="J94" s="15">
        <f>IFERROR(__xludf.DUMMYFUNCTION("""COMPUTED_VALUE"""),0.01)</f>
        <v>0.01</v>
      </c>
      <c r="K94" s="15">
        <f>IFERROR(__xludf.DUMMYFUNCTION("""COMPUTED_VALUE"""),1.5)</f>
        <v>1.5</v>
      </c>
    </row>
    <row r="95" ht="15.75" customHeight="1">
      <c r="A95" s="14" t="str">
        <f>IFERROR(__xludf.DUMMYFUNCTION("""COMPUTED_VALUE"""),"https://www.creativemarketingltd.co.uk/blog/top-digital-marketing-agencies")</f>
        <v>https://www.creativemarketingltd.co.uk/blog/top-digital-marketing-agencies</v>
      </c>
      <c r="B95" s="15" t="str">
        <f>IFERROR(__xludf.DUMMYFUNCTION("""COMPUTED_VALUE"""),"Top 20 Digital Marketing Agencies in the UK (2026)")</f>
        <v>Top 20 Digital Marketing Agencies in the UK (2026)</v>
      </c>
      <c r="C95" s="14" t="str">
        <f>IFERROR(__xludf.DUMMYFUNCTION("""COMPUTED_VALUE"""),"creativemarketingltd.co.uk")</f>
        <v>creativemarketingltd.co.uk</v>
      </c>
      <c r="D95" s="15" t="str">
        <f>IFERROR(__xludf.DUMMYFUNCTION("""COMPUTED_VALUE"""),"LISTICLE")</f>
        <v>LISTICLE</v>
      </c>
      <c r="E95" s="15" t="str">
        <f>IFERROR(__xludf.DUMMYFUNCTION("""COMPUTED_VALUE"""),"CORPORATE")</f>
        <v>CORPORATE</v>
      </c>
      <c r="F95" s="15" t="str">
        <f>IFERROR(__xludf.DUMMYFUNCTION("""COMPUTED_VALUE"""),"Listicle")</f>
        <v>Listicle</v>
      </c>
      <c r="G95" s="15" t="b">
        <f>IFERROR(__xludf.DUMMYFUNCTION("""COMPUTED_VALUE"""),FALSE)</f>
        <v>0</v>
      </c>
      <c r="H95" s="15"/>
      <c r="I95" s="15">
        <f>IFERROR(__xludf.DUMMYFUNCTION("""COMPUTED_VALUE"""),14.0)</f>
        <v>14</v>
      </c>
      <c r="J95" s="15">
        <f>IFERROR(__xludf.DUMMYFUNCTION("""COMPUTED_VALUE"""),0.01)</f>
        <v>0.01</v>
      </c>
      <c r="K95" s="15">
        <f>IFERROR(__xludf.DUMMYFUNCTION("""COMPUTED_VALUE"""),1.29)</f>
        <v>1.29</v>
      </c>
    </row>
    <row r="96" ht="15.75" customHeight="1">
      <c r="A96" s="14" t="str">
        <f>IFERROR(__xludf.DUMMYFUNCTION("""COMPUTED_VALUE"""),"https://www.digitalreference.co/design-professionals/best-creative-agencies-in-the-uk")</f>
        <v>https://www.digitalreference.co/design-professionals/best-creative-agencies-in-the-uk</v>
      </c>
      <c r="B96" s="15" t="str">
        <f>IFERROR(__xludf.DUMMYFUNCTION("""COMPUTED_VALUE"""),"Best Creative Agencies &amp;amp; Creative Firms in the UK")</f>
        <v>Best Creative Agencies &amp;amp; Creative Firms in the UK</v>
      </c>
      <c r="C96" s="14" t="str">
        <f>IFERROR(__xludf.DUMMYFUNCTION("""COMPUTED_VALUE"""),"digitalreference.co")</f>
        <v>digitalreference.co</v>
      </c>
      <c r="D96" s="15" t="str">
        <f>IFERROR(__xludf.DUMMYFUNCTION("""COMPUTED_VALUE"""),"LISTICLE")</f>
        <v>LISTICLE</v>
      </c>
      <c r="E96" s="15" t="str">
        <f>IFERROR(__xludf.DUMMYFUNCTION("""COMPUTED_VALUE"""),"UGC")</f>
        <v>UGC</v>
      </c>
      <c r="F96" s="15" t="str">
        <f>IFERROR(__xludf.DUMMYFUNCTION("""COMPUTED_VALUE"""),"Listicle")</f>
        <v>Listicle</v>
      </c>
      <c r="G96" s="15" t="b">
        <f>IFERROR(__xludf.DUMMYFUNCTION("""COMPUTED_VALUE"""),FALSE)</f>
        <v>0</v>
      </c>
      <c r="H96" s="15" t="str">
        <f>IFERROR(__xludf.DUMMYFUNCTION("""COMPUTED_VALUE"""),"Momentum")</f>
        <v>Momentum</v>
      </c>
      <c r="I96" s="15">
        <f>IFERROR(__xludf.DUMMYFUNCTION("""COMPUTED_VALUE"""),14.0)</f>
        <v>14</v>
      </c>
      <c r="J96" s="15">
        <f>IFERROR(__xludf.DUMMYFUNCTION("""COMPUTED_VALUE"""),0.01)</f>
        <v>0.01</v>
      </c>
      <c r="K96" s="15">
        <f>IFERROR(__xludf.DUMMYFUNCTION("""COMPUTED_VALUE"""),0.43)</f>
        <v>0.43</v>
      </c>
    </row>
    <row r="97" ht="15.75" customHeight="1">
      <c r="A97" s="14" t="str">
        <f>IFERROR(__xludf.DUMMYFUNCTION("""COMPUTED_VALUE"""),"https://directiveconsulting.com/uk/blog/best-marketing-data-agency/")</f>
        <v>https://directiveconsulting.com/uk/blog/best-marketing-data-agency/</v>
      </c>
      <c r="B97" s="15" t="str">
        <f>IFERROR(__xludf.DUMMYFUNCTION("""COMPUTED_VALUE"""),"18 Best Marketing Data Agencies for B2B - Directive")</f>
        <v>18 Best Marketing Data Agencies for B2B - Directive</v>
      </c>
      <c r="C97" s="14" t="str">
        <f>IFERROR(__xludf.DUMMYFUNCTION("""COMPUTED_VALUE"""),"directiveconsulting.com")</f>
        <v>directiveconsulting.com</v>
      </c>
      <c r="D97" s="15" t="str">
        <f>IFERROR(__xludf.DUMMYFUNCTION("""COMPUTED_VALUE"""),"LISTICLE")</f>
        <v>LISTICLE</v>
      </c>
      <c r="E97" s="15" t="str">
        <f>IFERROR(__xludf.DUMMYFUNCTION("""COMPUTED_VALUE"""),"COMPETITOR")</f>
        <v>COMPETITOR</v>
      </c>
      <c r="F97" s="15" t="str">
        <f>IFERROR(__xludf.DUMMYFUNCTION("""COMPUTED_VALUE"""),"Listicle")</f>
        <v>Listicle</v>
      </c>
      <c r="G97" s="15" t="b">
        <f>IFERROR(__xludf.DUMMYFUNCTION("""COMPUTED_VALUE"""),FALSE)</f>
        <v>0</v>
      </c>
      <c r="H97" s="15" t="str">
        <f>IFERROR(__xludf.DUMMYFUNCTION("""COMPUTED_VALUE"""),"Directive Consulting, Brainlabs, Power Digital, Measured")</f>
        <v>Directive Consulting, Brainlabs, Power Digital, Measured</v>
      </c>
      <c r="I97" s="15">
        <f>IFERROR(__xludf.DUMMYFUNCTION("""COMPUTED_VALUE"""),14.0)</f>
        <v>14</v>
      </c>
      <c r="J97" s="15">
        <f>IFERROR(__xludf.DUMMYFUNCTION("""COMPUTED_VALUE"""),0.01)</f>
        <v>0.01</v>
      </c>
      <c r="K97" s="15">
        <f>IFERROR(__xludf.DUMMYFUNCTION("""COMPUTED_VALUE"""),0.64)</f>
        <v>0.64</v>
      </c>
    </row>
    <row r="98" ht="15.75" customHeight="1">
      <c r="A98" s="14" t="str">
        <f>IFERROR(__xludf.DUMMYFUNCTION("""COMPUTED_VALUE"""),"https://evangelistsoftware.com/blog/top-ai-consulting-firms-in-uk/")</f>
        <v>https://evangelistsoftware.com/blog/top-ai-consulting-firms-in-uk/</v>
      </c>
      <c r="B98" s="15" t="str">
        <f>IFERROR(__xludf.DUMMYFUNCTION("""COMPUTED_VALUE"""),"Best AI Consulting Firms in the UK: Top Picks for 2026")</f>
        <v>Best AI Consulting Firms in the UK: Top Picks for 2026</v>
      </c>
      <c r="C98" s="14" t="str">
        <f>IFERROR(__xludf.DUMMYFUNCTION("""COMPUTED_VALUE"""),"evangelistsoftware.com")</f>
        <v>evangelistsoftware.com</v>
      </c>
      <c r="D98" s="15" t="str">
        <f>IFERROR(__xludf.DUMMYFUNCTION("""COMPUTED_VALUE"""),"LISTICLE")</f>
        <v>LISTICLE</v>
      </c>
      <c r="E98" s="15" t="str">
        <f>IFERROR(__xludf.DUMMYFUNCTION("""COMPUTED_VALUE"""),"CORPORATE")</f>
        <v>CORPORATE</v>
      </c>
      <c r="F98" s="15" t="str">
        <f>IFERROR(__xludf.DUMMYFUNCTION("""COMPUTED_VALUE"""),"Listicle")</f>
        <v>Listicle</v>
      </c>
      <c r="G98" s="15" t="b">
        <f>IFERROR(__xludf.DUMMYFUNCTION("""COMPUTED_VALUE"""),FALSE)</f>
        <v>0</v>
      </c>
      <c r="H98" s="15" t="str">
        <f>IFERROR(__xludf.DUMMYFUNCTION("""COMPUTED_VALUE"""),"Found")</f>
        <v>Found</v>
      </c>
      <c r="I98" s="15">
        <f>IFERROR(__xludf.DUMMYFUNCTION("""COMPUTED_VALUE"""),14.0)</f>
        <v>14</v>
      </c>
      <c r="J98" s="15">
        <f>IFERROR(__xludf.DUMMYFUNCTION("""COMPUTED_VALUE"""),0.01)</f>
        <v>0.01</v>
      </c>
      <c r="K98" s="15">
        <f>IFERROR(__xludf.DUMMYFUNCTION("""COMPUTED_VALUE"""),2.36)</f>
        <v>2.36</v>
      </c>
    </row>
    <row r="99" ht="15.75" customHeight="1">
      <c r="A99" s="14" t="str">
        <f>IFERROR(__xludf.DUMMYFUNCTION("""COMPUTED_VALUE"""),"https://lengreo.com/best-answer-engine-optimization-aeo-agencies-for-uk-companies-in-2025/")</f>
        <v>https://lengreo.com/best-answer-engine-optimization-aeo-agencies-for-uk-companies-in-2025/</v>
      </c>
      <c r="B99" s="15" t="str">
        <f>IFERROR(__xludf.DUMMYFUNCTION("""COMPUTED_VALUE"""),"Top 10 Answer Engine Optimization (AEO) Companies for UK (2026)")</f>
        <v>Top 10 Answer Engine Optimization (AEO) Companies for UK (2026)</v>
      </c>
      <c r="C99" s="14" t="str">
        <f>IFERROR(__xludf.DUMMYFUNCTION("""COMPUTED_VALUE"""),"lengreo.com")</f>
        <v>lengreo.com</v>
      </c>
      <c r="D99" s="15" t="str">
        <f>IFERROR(__xludf.DUMMYFUNCTION("""COMPUTED_VALUE"""),"LISTICLE")</f>
        <v>LISTICLE</v>
      </c>
      <c r="E99" s="15" t="str">
        <f>IFERROR(__xludf.DUMMYFUNCTION("""COMPUTED_VALUE"""),"CORPORATE")</f>
        <v>CORPORATE</v>
      </c>
      <c r="F99" s="15" t="str">
        <f>IFERROR(__xludf.DUMMYFUNCTION("""COMPUTED_VALUE"""),"Listicle")</f>
        <v>Listicle</v>
      </c>
      <c r="G99" s="15" t="b">
        <f>IFERROR(__xludf.DUMMYFUNCTION("""COMPUTED_VALUE"""),FALSE)</f>
        <v>0</v>
      </c>
      <c r="H99" s="15" t="str">
        <f>IFERROR(__xludf.DUMMYFUNCTION("""COMPUTED_VALUE"""),"NoGood")</f>
        <v>NoGood</v>
      </c>
      <c r="I99" s="15">
        <f>IFERROR(__xludf.DUMMYFUNCTION("""COMPUTED_VALUE"""),14.0)</f>
        <v>14</v>
      </c>
      <c r="J99" s="15">
        <f>IFERROR(__xludf.DUMMYFUNCTION("""COMPUTED_VALUE"""),0.01)</f>
        <v>0.01</v>
      </c>
      <c r="K99" s="15">
        <f>IFERROR(__xludf.DUMMYFUNCTION("""COMPUTED_VALUE"""),0.36)</f>
        <v>0.36</v>
      </c>
    </row>
    <row r="100" ht="15.75" customHeight="1">
      <c r="A100" s="14" t="str">
        <f>IFERROR(__xludf.DUMMYFUNCTION("""COMPUTED_VALUE"""),"https://www.rank4ai.co.uk/research/rankings/best-geo-agencies-uk/")</f>
        <v>https://www.rank4ai.co.uk/research/rankings/best-geo-agencies-uk/</v>
      </c>
      <c r="B100" s="15" t="str">
        <f>IFERROR(__xludf.DUMMYFUNCTION("""COMPUTED_VALUE"""),"Best GEO Agencies UK 2026 | Rank4AI")</f>
        <v>Best GEO Agencies UK 2026 | Rank4AI</v>
      </c>
      <c r="C100" s="14" t="str">
        <f>IFERROR(__xludf.DUMMYFUNCTION("""COMPUTED_VALUE"""),"rank4ai.co.uk")</f>
        <v>rank4ai.co.uk</v>
      </c>
      <c r="D100" s="15" t="str">
        <f>IFERROR(__xludf.DUMMYFUNCTION("""COMPUTED_VALUE"""),"LISTICLE")</f>
        <v>LISTICLE</v>
      </c>
      <c r="E100" s="15" t="str">
        <f>IFERROR(__xludf.DUMMYFUNCTION("""COMPUTED_VALUE"""),"COMPETITOR")</f>
        <v>COMPETITOR</v>
      </c>
      <c r="F100" s="15" t="str">
        <f>IFERROR(__xludf.DUMMYFUNCTION("""COMPUTED_VALUE"""),"Listicle")</f>
        <v>Listicle</v>
      </c>
      <c r="G100" s="15" t="b">
        <f>IFERROR(__xludf.DUMMYFUNCTION("""COMPUTED_VALUE"""),FALSE)</f>
        <v>0</v>
      </c>
      <c r="H100" s="15" t="str">
        <f>IFERROR(__xludf.DUMMYFUNCTION("""COMPUTED_VALUE"""),"Rank4AI, Blue Array, Buried Agency, Varn, Found, Screaming Frog")</f>
        <v>Rank4AI, Blue Array, Buried Agency, Varn, Found, Screaming Frog</v>
      </c>
      <c r="I100" s="15">
        <f>IFERROR(__xludf.DUMMYFUNCTION("""COMPUTED_VALUE"""),14.0)</f>
        <v>14</v>
      </c>
      <c r="J100" s="15">
        <f>IFERROR(__xludf.DUMMYFUNCTION("""COMPUTED_VALUE"""),0.01)</f>
        <v>0.01</v>
      </c>
      <c r="K100" s="15">
        <f>IFERROR(__xludf.DUMMYFUNCTION("""COMPUTED_VALUE"""),0.79)</f>
        <v>0.79</v>
      </c>
    </row>
    <row r="101" ht="15.75" customHeight="1">
      <c r="A101" s="14" t="str">
        <f>IFERROR(__xludf.DUMMYFUNCTION("""COMPUTED_VALUE"""),"https://www.rank4ai.co.uk/research/rankings/top-ai-search-agencies-london/")</f>
        <v>https://www.rank4ai.co.uk/research/rankings/top-ai-search-agencies-london/</v>
      </c>
      <c r="B101" s="15" t="str">
        <f>IFERROR(__xludf.DUMMYFUNCTION("""COMPUTED_VALUE"""),"Top AI Search Agencies London 2026 | Rank4AI")</f>
        <v>Top AI Search Agencies London 2026 | Rank4AI</v>
      </c>
      <c r="C101" s="14" t="str">
        <f>IFERROR(__xludf.DUMMYFUNCTION("""COMPUTED_VALUE"""),"rank4ai.co.uk")</f>
        <v>rank4ai.co.uk</v>
      </c>
      <c r="D101" s="15" t="str">
        <f>IFERROR(__xludf.DUMMYFUNCTION("""COMPUTED_VALUE"""),"LISTICLE")</f>
        <v>LISTICLE</v>
      </c>
      <c r="E101" s="15" t="str">
        <f>IFERROR(__xludf.DUMMYFUNCTION("""COMPUTED_VALUE"""),"COMPETITOR")</f>
        <v>COMPETITOR</v>
      </c>
      <c r="F101" s="15" t="str">
        <f>IFERROR(__xludf.DUMMYFUNCTION("""COMPUTED_VALUE"""),"Listicle")</f>
        <v>Listicle</v>
      </c>
      <c r="G101" s="15" t="b">
        <f>IFERROR(__xludf.DUMMYFUNCTION("""COMPUTED_VALUE"""),FALSE)</f>
        <v>0</v>
      </c>
      <c r="H101" s="15" t="str">
        <f>IFERROR(__xludf.DUMMYFUNCTION("""COMPUTED_VALUE"""),"Rank4AI, Found, Exposure Ninja, Blue Array")</f>
        <v>Rank4AI, Found, Exposure Ninja, Blue Array</v>
      </c>
      <c r="I101" s="15">
        <f>IFERROR(__xludf.DUMMYFUNCTION("""COMPUTED_VALUE"""),14.0)</f>
        <v>14</v>
      </c>
      <c r="J101" s="15">
        <f>IFERROR(__xludf.DUMMYFUNCTION("""COMPUTED_VALUE"""),0.01)</f>
        <v>0.01</v>
      </c>
      <c r="K101" s="15">
        <f>IFERROR(__xludf.DUMMYFUNCTION("""COMPUTED_VALUE"""),0.64)</f>
        <v>0.64</v>
      </c>
    </row>
    <row r="102" ht="15.75" customHeight="1">
      <c r="A102" s="14" t="str">
        <f>IFERROR(__xludf.DUMMYFUNCTION("""COMPUTED_VALUE"""),"https://www.wearetenet.com/blog/google-ads-agencies-in-the-uk")</f>
        <v>https://www.wearetenet.com/blog/google-ads-agencies-in-the-uk</v>
      </c>
      <c r="B102" s="15" t="str">
        <f>IFERROR(__xludf.DUMMYFUNCTION("""COMPUTED_VALUE"""),"10 Best Google Ads Agencies in the UK to Hire From (2026)")</f>
        <v>10 Best Google Ads Agencies in the UK to Hire From (2026)</v>
      </c>
      <c r="C102" s="14" t="str">
        <f>IFERROR(__xludf.DUMMYFUNCTION("""COMPUTED_VALUE"""),"wearetenet.com")</f>
        <v>wearetenet.com</v>
      </c>
      <c r="D102" s="15" t="str">
        <f>IFERROR(__xludf.DUMMYFUNCTION("""COMPUTED_VALUE"""),"LISTICLE")</f>
        <v>LISTICLE</v>
      </c>
      <c r="E102" s="15" t="str">
        <f>IFERROR(__xludf.DUMMYFUNCTION("""COMPUTED_VALUE"""),"CORPORATE")</f>
        <v>CORPORATE</v>
      </c>
      <c r="F102" s="15" t="str">
        <f>IFERROR(__xludf.DUMMYFUNCTION("""COMPUTED_VALUE"""),"Listicle")</f>
        <v>Listicle</v>
      </c>
      <c r="G102" s="15" t="b">
        <f>IFERROR(__xludf.DUMMYFUNCTION("""COMPUTED_VALUE"""),FALSE)</f>
        <v>0</v>
      </c>
      <c r="H102" s="15" t="str">
        <f>IFERROR(__xludf.DUMMYFUNCTION("""COMPUTED_VALUE"""),"PPC Geeks, The SEO Works, Impression, Hallam, Favoured")</f>
        <v>PPC Geeks, The SEO Works, Impression, Hallam, Favoured</v>
      </c>
      <c r="I102" s="15">
        <f>IFERROR(__xludf.DUMMYFUNCTION("""COMPUTED_VALUE"""),14.0)</f>
        <v>14</v>
      </c>
      <c r="J102" s="15">
        <f>IFERROR(__xludf.DUMMYFUNCTION("""COMPUTED_VALUE"""),0.01)</f>
        <v>0.01</v>
      </c>
      <c r="K102" s="15">
        <f>IFERROR(__xludf.DUMMYFUNCTION("""COMPUTED_VALUE"""),0.07)</f>
        <v>0.07</v>
      </c>
    </row>
    <row r="103" ht="15.75" customHeight="1">
      <c r="A103" s="14" t="str">
        <f>IFERROR(__xludf.DUMMYFUNCTION("""COMPUTED_VALUE"""),"https://www.webtonic.io/blog/top-digital-marketing-agencies-uk")</f>
        <v>https://www.webtonic.io/blog/top-digital-marketing-agencies-uk</v>
      </c>
      <c r="B103" s="15" t="str">
        <f>IFERROR(__xludf.DUMMYFUNCTION("""COMPUTED_VALUE"""),"Top 46 Digital Marketing Agencies in the UK (Reviewed in 2026)")</f>
        <v>Top 46 Digital Marketing Agencies in the UK (Reviewed in 2026)</v>
      </c>
      <c r="C103" s="14" t="str">
        <f>IFERROR(__xludf.DUMMYFUNCTION("""COMPUTED_VALUE"""),"webtonic.io")</f>
        <v>webtonic.io</v>
      </c>
      <c r="D103" s="15" t="str">
        <f>IFERROR(__xludf.DUMMYFUNCTION("""COMPUTED_VALUE"""),"LISTICLE")</f>
        <v>LISTICLE</v>
      </c>
      <c r="E103" s="15" t="str">
        <f>IFERROR(__xludf.DUMMYFUNCTION("""COMPUTED_VALUE"""),"CORPORATE")</f>
        <v>CORPORATE</v>
      </c>
      <c r="F103" s="15" t="str">
        <f>IFERROR(__xludf.DUMMYFUNCTION("""COMPUTED_VALUE"""),"Listicle")</f>
        <v>Listicle</v>
      </c>
      <c r="G103" s="15" t="b">
        <f>IFERROR(__xludf.DUMMYFUNCTION("""COMPUTED_VALUE"""),FALSE)</f>
        <v>0</v>
      </c>
      <c r="H103" s="15" t="str">
        <f>IFERROR(__xludf.DUMMYFUNCTION("""COMPUTED_VALUE"""),"ClickSlice, Ignite Visibility, Hallam, The Social Shepherd, Ninja Promo, Favoured, Whitehat, Omniscient Digital, Found, Make Agency, FirstMotion, Soap Media, ROAST, The SEO Works, Bird Marketing, Propeller, Gripped, M3.agency, Momentum")</f>
        <v>ClickSlice, Ignite Visibility, Hallam, The Social Shepherd, Ninja Promo, Favoured, Whitehat, Omniscient Digital, Found, Make Agency, FirstMotion, Soap Media, ROAST, The SEO Works, Bird Marketing, Propeller, Gripped, M3.agency, Momentum</v>
      </c>
      <c r="I103" s="15">
        <f>IFERROR(__xludf.DUMMYFUNCTION("""COMPUTED_VALUE"""),14.0)</f>
        <v>14</v>
      </c>
      <c r="J103" s="15">
        <f>IFERROR(__xludf.DUMMYFUNCTION("""COMPUTED_VALUE"""),0.01)</f>
        <v>0.01</v>
      </c>
      <c r="K103" s="15">
        <f>IFERROR(__xludf.DUMMYFUNCTION("""COMPUTED_VALUE"""),1.0)</f>
        <v>1</v>
      </c>
    </row>
    <row r="104" ht="15.75" customHeight="1">
      <c r="A104" s="14" t="str">
        <f>IFERROR(__xludf.DUMMYFUNCTION("""COMPUTED_VALUE"""),"https://www.charle.co.uk/articles/top-geo-agency-for-ecommerce/")</f>
        <v>https://www.charle.co.uk/articles/top-geo-agency-for-ecommerce/</v>
      </c>
      <c r="B104" s="15" t="str">
        <f>IFERROR(__xludf.DUMMYFUNCTION("""COMPUTED_VALUE"""),"14 Best GEO Agencies UK (2026) \| Top Generative Engine Optimisation Agencies \| Charle")</f>
        <v>14 Best GEO Agencies UK (2026) \| Top Generative Engine Optimisation Agencies \| Charle</v>
      </c>
      <c r="C104" s="14" t="str">
        <f>IFERROR(__xludf.DUMMYFUNCTION("""COMPUTED_VALUE"""),"charle.co.uk")</f>
        <v>charle.co.uk</v>
      </c>
      <c r="D104" s="15" t="str">
        <f>IFERROR(__xludf.DUMMYFUNCTION("""COMPUTED_VALUE"""),"LISTICLE")</f>
        <v>LISTICLE</v>
      </c>
      <c r="E104" s="15" t="str">
        <f>IFERROR(__xludf.DUMMYFUNCTION("""COMPUTED_VALUE"""),"COMPETITOR")</f>
        <v>COMPETITOR</v>
      </c>
      <c r="F104" s="15" t="str">
        <f>IFERROR(__xludf.DUMMYFUNCTION("""COMPUTED_VALUE"""),"Listicle")</f>
        <v>Listicle</v>
      </c>
      <c r="G104" s="15" t="b">
        <f>IFERROR(__xludf.DUMMYFUNCTION("""COMPUTED_VALUE"""),FALSE)</f>
        <v>0</v>
      </c>
      <c r="H104" s="15" t="str">
        <f>IFERROR(__xludf.DUMMYFUNCTION("""COMPUTED_VALUE"""),"Charle Agency, Polaris, Buried Agency, ClickSlice, Exposure Ninja, Blue Array, Found, Measured")</f>
        <v>Charle Agency, Polaris, Buried Agency, ClickSlice, Exposure Ninja, Blue Array, Found, Measured</v>
      </c>
      <c r="I104" s="15">
        <f>IFERROR(__xludf.DUMMYFUNCTION("""COMPUTED_VALUE"""),13.0)</f>
        <v>13</v>
      </c>
      <c r="J104" s="15">
        <f>IFERROR(__xludf.DUMMYFUNCTION("""COMPUTED_VALUE"""),0.01)</f>
        <v>0.01</v>
      </c>
      <c r="K104" s="15">
        <f>IFERROR(__xludf.DUMMYFUNCTION("""COMPUTED_VALUE"""),0.77)</f>
        <v>0.77</v>
      </c>
    </row>
    <row r="105" ht="15.75" customHeight="1">
      <c r="A105" s="14" t="str">
        <f>IFERROR(__xludf.DUMMYFUNCTION("""COMPUTED_VALUE"""),"https://climb-seo.co.uk/best-aeo-geo-agencies-uk-2026/")</f>
        <v>https://climb-seo.co.uk/best-aeo-geo-agencies-uk-2026/</v>
      </c>
      <c r="B105" s="15" t="str">
        <f>IFERROR(__xludf.DUMMYFUNCTION("""COMPUTED_VALUE"""),"The Best AEO and GEO Agencies in the UK (2026 Guide) - Climb SEO")</f>
        <v>The Best AEO and GEO Agencies in the UK (2026 Guide) - Climb SEO</v>
      </c>
      <c r="C105" s="14" t="str">
        <f>IFERROR(__xludf.DUMMYFUNCTION("""COMPUTED_VALUE"""),"climb-seo.co.uk")</f>
        <v>climb-seo.co.uk</v>
      </c>
      <c r="D105" s="15" t="str">
        <f>IFERROR(__xludf.DUMMYFUNCTION("""COMPUTED_VALUE"""),"LISTICLE")</f>
        <v>LISTICLE</v>
      </c>
      <c r="E105" s="15" t="str">
        <f>IFERROR(__xludf.DUMMYFUNCTION("""COMPUTED_VALUE"""),"CORPORATE")</f>
        <v>CORPORATE</v>
      </c>
      <c r="F105" s="15" t="str">
        <f>IFERROR(__xludf.DUMMYFUNCTION("""COMPUTED_VALUE"""),"Listicle")</f>
        <v>Listicle</v>
      </c>
      <c r="G105" s="15" t="b">
        <f>IFERROR(__xludf.DUMMYFUNCTION("""COMPUTED_VALUE"""),FALSE)</f>
        <v>0</v>
      </c>
      <c r="H105" s="15" t="str">
        <f>IFERROR(__xludf.DUMMYFUNCTION("""COMPUTED_VALUE"""),"Tilio, Charle Agency, The SEO Works, Polaris, Measured")</f>
        <v>Tilio, Charle Agency, The SEO Works, Polaris, Measured</v>
      </c>
      <c r="I105" s="15">
        <f>IFERROR(__xludf.DUMMYFUNCTION("""COMPUTED_VALUE"""),13.0)</f>
        <v>13</v>
      </c>
      <c r="J105" s="15">
        <f>IFERROR(__xludf.DUMMYFUNCTION("""COMPUTED_VALUE"""),0.01)</f>
        <v>0.01</v>
      </c>
      <c r="K105" s="15">
        <f>IFERROR(__xludf.DUMMYFUNCTION("""COMPUTED_VALUE"""),0.15)</f>
        <v>0.15</v>
      </c>
    </row>
    <row r="106" ht="15.75" customHeight="1">
      <c r="A106" s="14" t="str">
        <f>IFERROR(__xludf.DUMMYFUNCTION("""COMPUTED_VALUE"""),"https://directiveconsulting.com/uk/blog/10-ai-marketing-agencies-outperforming-the-market/")</f>
        <v>https://directiveconsulting.com/uk/blog/10-ai-marketing-agencies-outperforming-the-market/</v>
      </c>
      <c r="B106" s="15" t="str">
        <f>IFERROR(__xludf.DUMMYFUNCTION("""COMPUTED_VALUE"""),"10 B2B Marketing Agencies Using Proprietary AI to Outperform the Market - Directive UK")</f>
        <v>10 B2B Marketing Agencies Using Proprietary AI to Outperform the Market - Directive UK</v>
      </c>
      <c r="C106" s="14" t="str">
        <f>IFERROR(__xludf.DUMMYFUNCTION("""COMPUTED_VALUE"""),"directiveconsulting.com")</f>
        <v>directiveconsulting.com</v>
      </c>
      <c r="D106" s="15" t="str">
        <f>IFERROR(__xludf.DUMMYFUNCTION("""COMPUTED_VALUE"""),"LISTICLE")</f>
        <v>LISTICLE</v>
      </c>
      <c r="E106" s="15" t="str">
        <f>IFERROR(__xludf.DUMMYFUNCTION("""COMPUTED_VALUE"""),"COMPETITOR")</f>
        <v>COMPETITOR</v>
      </c>
      <c r="F106" s="15" t="str">
        <f>IFERROR(__xludf.DUMMYFUNCTION("""COMPUTED_VALUE"""),"Listicle")</f>
        <v>Listicle</v>
      </c>
      <c r="G106" s="15" t="b">
        <f>IFERROR(__xludf.DUMMYFUNCTION("""COMPUTED_VALUE"""),FALSE)</f>
        <v>0</v>
      </c>
      <c r="H106" s="15" t="str">
        <f>IFERROR(__xludf.DUMMYFUNCTION("""COMPUTED_VALUE"""),"Directive Consulting, NoGood, Single Grain, Measured")</f>
        <v>Directive Consulting, NoGood, Single Grain, Measured</v>
      </c>
      <c r="I106" s="15">
        <f>IFERROR(__xludf.DUMMYFUNCTION("""COMPUTED_VALUE"""),13.0)</f>
        <v>13</v>
      </c>
      <c r="J106" s="15">
        <f>IFERROR(__xludf.DUMMYFUNCTION("""COMPUTED_VALUE"""),0.01)</f>
        <v>0.01</v>
      </c>
      <c r="K106" s="15">
        <f>IFERROR(__xludf.DUMMYFUNCTION("""COMPUTED_VALUE"""),0.62)</f>
        <v>0.62</v>
      </c>
    </row>
    <row r="107" ht="15.75" customHeight="1">
      <c r="A107" s="14" t="str">
        <f>IFERROR(__xludf.DUMMYFUNCTION("""COMPUTED_VALUE"""),"https://www.measured.com/faq/best-incrementality-testing-companies-software-for-marketing-2025/")</f>
        <v>https://www.measured.com/faq/best-incrementality-testing-companies-software-for-marketing-2025/</v>
      </c>
      <c r="B107" s="15" t="str">
        <f>IFERROR(__xludf.DUMMYFUNCTION("""COMPUTED_VALUE"""),"Best Incrementality Testing Companies &amp; Software for Marketing (2026)")</f>
        <v>Best Incrementality Testing Companies &amp; Software for Marketing (2026)</v>
      </c>
      <c r="C107" s="14" t="str">
        <f>IFERROR(__xludf.DUMMYFUNCTION("""COMPUTED_VALUE"""),"measured.com")</f>
        <v>measured.com</v>
      </c>
      <c r="D107" s="15" t="str">
        <f>IFERROR(__xludf.DUMMYFUNCTION("""COMPUTED_VALUE"""),"LISTICLE")</f>
        <v>LISTICLE</v>
      </c>
      <c r="E107" s="15" t="str">
        <f>IFERROR(__xludf.DUMMYFUNCTION("""COMPUTED_VALUE"""),"COMPETITOR")</f>
        <v>COMPETITOR</v>
      </c>
      <c r="F107" s="15" t="str">
        <f>IFERROR(__xludf.DUMMYFUNCTION("""COMPUTED_VALUE"""),"Listicle")</f>
        <v>Listicle</v>
      </c>
      <c r="G107" s="15" t="b">
        <f>IFERROR(__xludf.DUMMYFUNCTION("""COMPUTED_VALUE"""),FALSE)</f>
        <v>0</v>
      </c>
      <c r="H107" s="15" t="str">
        <f>IFERROR(__xludf.DUMMYFUNCTION("""COMPUTED_VALUE"""),"Measured, Neustar, Rockerbox, Haus, Recast, Analytic Partners")</f>
        <v>Measured, Neustar, Rockerbox, Haus, Recast, Analytic Partners</v>
      </c>
      <c r="I107" s="15">
        <f>IFERROR(__xludf.DUMMYFUNCTION("""COMPUTED_VALUE"""),13.0)</f>
        <v>13</v>
      </c>
      <c r="J107" s="15">
        <f>IFERROR(__xludf.DUMMYFUNCTION("""COMPUTED_VALUE"""),0.01)</f>
        <v>0.01</v>
      </c>
      <c r="K107" s="15">
        <f>IFERROR(__xludf.DUMMYFUNCTION("""COMPUTED_VALUE"""),1.69)</f>
        <v>1.69</v>
      </c>
    </row>
    <row r="108" ht="15.75" customHeight="1">
      <c r="A108" s="14" t="str">
        <f>IFERROR(__xludf.DUMMYFUNCTION("""COMPUTED_VALUE"""),"https://thatware.co/top-10-ai-seo-companies-in-uk/")</f>
        <v>https://thatware.co/top-10-ai-seo-companies-in-uk/</v>
      </c>
      <c r="B108" s="15" t="str">
        <f>IFERROR(__xludf.DUMMYFUNCTION("""COMPUTED_VALUE"""),"Top 10 AI Search Optimization Companies in UK | ThatWare")</f>
        <v>Top 10 AI Search Optimization Companies in UK | ThatWare</v>
      </c>
      <c r="C108" s="14" t="str">
        <f>IFERROR(__xludf.DUMMYFUNCTION("""COMPUTED_VALUE"""),"thatware.co")</f>
        <v>thatware.co</v>
      </c>
      <c r="D108" s="15" t="str">
        <f>IFERROR(__xludf.DUMMYFUNCTION("""COMPUTED_VALUE"""),"LISTICLE")</f>
        <v>LISTICLE</v>
      </c>
      <c r="E108" s="15" t="str">
        <f>IFERROR(__xludf.DUMMYFUNCTION("""COMPUTED_VALUE"""),"CORPORATE")</f>
        <v>CORPORATE</v>
      </c>
      <c r="F108" s="15" t="str">
        <f>IFERROR(__xludf.DUMMYFUNCTION("""COMPUTED_VALUE"""),"Listicle")</f>
        <v>Listicle</v>
      </c>
      <c r="G108" s="15" t="b">
        <f>IFERROR(__xludf.DUMMYFUNCTION("""COMPUTED_VALUE"""),FALSE)</f>
        <v>0</v>
      </c>
      <c r="H108" s="15" t="str">
        <f>IFERROR(__xludf.DUMMYFUNCTION("""COMPUTED_VALUE"""),"The SEO Works, Click Intelligence, Exposure Ninja, Impression, Blue Array")</f>
        <v>The SEO Works, Click Intelligence, Exposure Ninja, Impression, Blue Array</v>
      </c>
      <c r="I108" s="15">
        <f>IFERROR(__xludf.DUMMYFUNCTION("""COMPUTED_VALUE"""),13.0)</f>
        <v>13</v>
      </c>
      <c r="J108" s="15">
        <f>IFERROR(__xludf.DUMMYFUNCTION("""COMPUTED_VALUE"""),0.01)</f>
        <v>0.01</v>
      </c>
      <c r="K108" s="15">
        <f>IFERROR(__xludf.DUMMYFUNCTION("""COMPUTED_VALUE"""),0.0)</f>
        <v>0</v>
      </c>
    </row>
    <row r="109" ht="15.75" customHeight="1">
      <c r="A109" s="14" t="str">
        <f>IFERROR(__xludf.DUMMYFUNCTION("""COMPUTED_VALUE"""),"https://www.thedrum.com/lists/digital-agency-census/award-poll")</f>
        <v>https://www.thedrum.com/lists/digital-agency-census/award-poll</v>
      </c>
      <c r="B109" s="15" t="str">
        <f>IFERROR(__xludf.DUMMYFUNCTION("""COMPUTED_VALUE"""),"Lists \| UK Digital Agency Census 2022 \| The Drum")</f>
        <v>Lists \| UK Digital Agency Census 2022 \| The Drum</v>
      </c>
      <c r="C109" s="14" t="str">
        <f>IFERROR(__xludf.DUMMYFUNCTION("""COMPUTED_VALUE"""),"thedrum.com")</f>
        <v>thedrum.com</v>
      </c>
      <c r="D109" s="15" t="str">
        <f>IFERROR(__xludf.DUMMYFUNCTION("""COMPUTED_VALUE"""),"LISTICLE")</f>
        <v>LISTICLE</v>
      </c>
      <c r="E109" s="15" t="str">
        <f>IFERROR(__xludf.DUMMYFUNCTION("""COMPUTED_VALUE"""),"EDITORIAL")</f>
        <v>EDITORIAL</v>
      </c>
      <c r="F109" s="15" t="str">
        <f>IFERROR(__xludf.DUMMYFUNCTION("""COMPUTED_VALUE"""),"Listicle")</f>
        <v>Listicle</v>
      </c>
      <c r="G109" s="15" t="b">
        <f>IFERROR(__xludf.DUMMYFUNCTION("""COMPUTED_VALUE"""),FALSE)</f>
        <v>0</v>
      </c>
      <c r="H109" s="15" t="str">
        <f>IFERROR(__xludf.DUMMYFUNCTION("""COMPUTED_VALUE"""),"AMV BBDO, Adam&amp;eveDDB, VCCP, Rise at Seven, Croud, Journey Further, Propellernet, Merkle, WPP, Impression, The SEO Works, Monks, Launch Online, Transmission, Pablo, AKQA, Bind Media")</f>
        <v>AMV BBDO, Adam&amp;eveDDB, VCCP, Rise at Seven, Croud, Journey Further, Propellernet, Merkle, WPP, Impression, The SEO Works, Monks, Launch Online, Transmission, Pablo, AKQA, Bind Media</v>
      </c>
      <c r="I109" s="15">
        <f>IFERROR(__xludf.DUMMYFUNCTION("""COMPUTED_VALUE"""),13.0)</f>
        <v>13</v>
      </c>
      <c r="J109" s="15">
        <f>IFERROR(__xludf.DUMMYFUNCTION("""COMPUTED_VALUE"""),0.01)</f>
        <v>0.01</v>
      </c>
      <c r="K109" s="15">
        <f>IFERROR(__xludf.DUMMYFUNCTION("""COMPUTED_VALUE"""),0.15)</f>
        <v>0.15</v>
      </c>
    </row>
    <row r="110" ht="15.75" customHeight="1">
      <c r="A110" s="14" t="str">
        <f>IFERROR(__xludf.DUMMYFUNCTION("""COMPUTED_VALUE"""),"https://weareroast.com/news/best-ppc-agencies-in-the-uk-2026-guide/")</f>
        <v>https://weareroast.com/news/best-ppc-agencies-in-the-uk-2026-guide/</v>
      </c>
      <c r="B110" s="15" t="str">
        <f>IFERROR(__xludf.DUMMYFUNCTION("""COMPUTED_VALUE"""),"Best PPC Agencies in the UK (2026 Guide) | We Are ROAST")</f>
        <v>Best PPC Agencies in the UK (2026 Guide) | We Are ROAST</v>
      </c>
      <c r="C110" s="14" t="str">
        <f>IFERROR(__xludf.DUMMYFUNCTION("""COMPUTED_VALUE"""),"weareroast.com")</f>
        <v>weareroast.com</v>
      </c>
      <c r="D110" s="15" t="str">
        <f>IFERROR(__xludf.DUMMYFUNCTION("""COMPUTED_VALUE"""),"LISTICLE")</f>
        <v>LISTICLE</v>
      </c>
      <c r="E110" s="15" t="str">
        <f>IFERROR(__xludf.DUMMYFUNCTION("""COMPUTED_VALUE"""),"COMPETITOR")</f>
        <v>COMPETITOR</v>
      </c>
      <c r="F110" s="15" t="str">
        <f>IFERROR(__xludf.DUMMYFUNCTION("""COMPUTED_VALUE"""),"Listicle")</f>
        <v>Listicle</v>
      </c>
      <c r="G110" s="15" t="b">
        <f>IFERROR(__xludf.DUMMYFUNCTION("""COMPUTED_VALUE"""),FALSE)</f>
        <v>0</v>
      </c>
      <c r="H110" s="15" t="str">
        <f>IFERROR(__xludf.DUMMYFUNCTION("""COMPUTED_VALUE"""),"ROAST, Brainlabs, iCrossing, Hallam, Impression, Koozai, Huge, Jellyfish")</f>
        <v>ROAST, Brainlabs, iCrossing, Hallam, Impression, Koozai, Huge, Jellyfish</v>
      </c>
      <c r="I110" s="15">
        <f>IFERROR(__xludf.DUMMYFUNCTION("""COMPUTED_VALUE"""),13.0)</f>
        <v>13</v>
      </c>
      <c r="J110" s="15">
        <f>IFERROR(__xludf.DUMMYFUNCTION("""COMPUTED_VALUE"""),0.01)</f>
        <v>0.01</v>
      </c>
      <c r="K110" s="15">
        <f>IFERROR(__xludf.DUMMYFUNCTION("""COMPUTED_VALUE"""),0.15)</f>
        <v>0.15</v>
      </c>
    </row>
    <row r="111" ht="15.75" customHeight="1">
      <c r="A111" s="14" t="str">
        <f>IFERROR(__xludf.DUMMYFUNCTION("""COMPUTED_VALUE"""),"https://www.webdesignchoice.co.uk/top-aeo-agencies-uk-2026.html")</f>
        <v>https://www.webdesignchoice.co.uk/top-aeo-agencies-uk-2026.html</v>
      </c>
      <c r="B111" s="15" t="str">
        <f>IFERROR(__xludf.DUMMYFUNCTION("""COMPUTED_VALUE"""),"Best AEO Agencies UK 2026 | Top Answer Engine Optimisation Companies Ranked")</f>
        <v>Best AEO Agencies UK 2026 | Top Answer Engine Optimisation Companies Ranked</v>
      </c>
      <c r="C111" s="14" t="str">
        <f>IFERROR(__xludf.DUMMYFUNCTION("""COMPUTED_VALUE"""),"webdesignchoice.co.uk")</f>
        <v>webdesignchoice.co.uk</v>
      </c>
      <c r="D111" s="15" t="str">
        <f>IFERROR(__xludf.DUMMYFUNCTION("""COMPUTED_VALUE"""),"LISTICLE")</f>
        <v>LISTICLE</v>
      </c>
      <c r="E111" s="15" t="str">
        <f>IFERROR(__xludf.DUMMYFUNCTION("""COMPUTED_VALUE"""),"CORPORATE")</f>
        <v>CORPORATE</v>
      </c>
      <c r="F111" s="15" t="str">
        <f>IFERROR(__xludf.DUMMYFUNCTION("""COMPUTED_VALUE"""),"Listicle")</f>
        <v>Listicle</v>
      </c>
      <c r="G111" s="15" t="b">
        <f>IFERROR(__xludf.DUMMYFUNCTION("""COMPUTED_VALUE"""),FALSE)</f>
        <v>0</v>
      </c>
      <c r="H111" s="15" t="str">
        <f>IFERROR(__xludf.DUMMYFUNCTION("""COMPUTED_VALUE"""),"ClickSlice, The SEO Works, Push, Push Group, Click Intelligence, Exposure Ninja, Charle Agency, Builtvisible, Measured, Digital Landscope")</f>
        <v>ClickSlice, The SEO Works, Push, Push Group, Click Intelligence, Exposure Ninja, Charle Agency, Builtvisible, Measured, Digital Landscope</v>
      </c>
      <c r="I111" s="15">
        <f>IFERROR(__xludf.DUMMYFUNCTION("""COMPUTED_VALUE"""),13.0)</f>
        <v>13</v>
      </c>
      <c r="J111" s="15">
        <f>IFERROR(__xludf.DUMMYFUNCTION("""COMPUTED_VALUE"""),0.01)</f>
        <v>0.01</v>
      </c>
      <c r="K111" s="15">
        <f>IFERROR(__xludf.DUMMYFUNCTION("""COMPUTED_VALUE"""),3.85)</f>
        <v>3.85</v>
      </c>
    </row>
    <row r="112" ht="15.75" customHeight="1">
      <c r="A112" s="14" t="str">
        <f>IFERROR(__xludf.DUMMYFUNCTION("""COMPUTED_VALUE"""),"https://www.brainz.digital/blog/best-b2b-analytics-agencies/")</f>
        <v>https://www.brainz.digital/blog/best-b2b-analytics-agencies/</v>
      </c>
      <c r="B112" s="15" t="str">
        <f>IFERROR(__xludf.DUMMYFUNCTION("""COMPUTED_VALUE"""),"Best B2B Analytics Agencies That Drive Results In 2026")</f>
        <v>Best B2B Analytics Agencies That Drive Results In 2026</v>
      </c>
      <c r="C112" s="15" t="str">
        <f>IFERROR(__xludf.DUMMYFUNCTION("""COMPUTED_VALUE"""),"brainz.digital")</f>
        <v>brainz.digital</v>
      </c>
      <c r="D112" s="15" t="str">
        <f>IFERROR(__xludf.DUMMYFUNCTION("""COMPUTED_VALUE"""),"LISTICLE")</f>
        <v>LISTICLE</v>
      </c>
      <c r="E112" s="15" t="str">
        <f>IFERROR(__xludf.DUMMYFUNCTION("""COMPUTED_VALUE"""),"CORPORATE")</f>
        <v>CORPORATE</v>
      </c>
      <c r="F112" s="15" t="str">
        <f>IFERROR(__xludf.DUMMYFUNCTION("""COMPUTED_VALUE"""),"Listicle")</f>
        <v>Listicle</v>
      </c>
      <c r="G112" s="15" t="b">
        <f>IFERROR(__xludf.DUMMYFUNCTION("""COMPUTED_VALUE"""),FALSE)</f>
        <v>0</v>
      </c>
      <c r="H112" s="15" t="str">
        <f>IFERROR(__xludf.DUMMYFUNCTION("""COMPUTED_VALUE"""),"Found, Push, Directive Consulting, Omniscient Digital, Power Digital, Brainlabs")</f>
        <v>Found, Push, Directive Consulting, Omniscient Digital, Power Digital, Brainlabs</v>
      </c>
      <c r="I112" s="15">
        <f>IFERROR(__xludf.DUMMYFUNCTION("""COMPUTED_VALUE"""),12.0)</f>
        <v>12</v>
      </c>
      <c r="J112" s="15">
        <f>IFERROR(__xludf.DUMMYFUNCTION("""COMPUTED_VALUE"""),0.01)</f>
        <v>0.01</v>
      </c>
      <c r="K112" s="15">
        <f>IFERROR(__xludf.DUMMYFUNCTION("""COMPUTED_VALUE"""),0.0)</f>
        <v>0</v>
      </c>
    </row>
    <row r="113" ht="15.75" customHeight="1">
      <c r="A113" s="14" t="str">
        <f>IFERROR(__xludf.DUMMYFUNCTION("""COMPUTED_VALUE"""),"https://builtinlondon.uk/articles/digital-marketing-companies-in-london#:~:text=Owned%20by%20Hearst%2C%20iCrossing%20operates,Microsoft%2C%20Google%20Cloud%20and%20Shopify.")</f>
        <v>https://builtinlondon.uk/articles/digital-marketing-companies-in-london#:~:text=Owned%20by%20Hearst%2C%20iCrossing%20operates,Microsoft%2C%20Google%20Cloud%20and%20Shopify.</v>
      </c>
      <c r="B113" s="15" t="str">
        <f>IFERROR(__xludf.DUMMYFUNCTION("""COMPUTED_VALUE"""),"21 Digital Marketing Companies in London to Know | Built In London")</f>
        <v>21 Digital Marketing Companies in London to Know | Built In London</v>
      </c>
      <c r="C113" s="14" t="str">
        <f>IFERROR(__xludf.DUMMYFUNCTION("""COMPUTED_VALUE"""),"builtinlondon.uk")</f>
        <v>builtinlondon.uk</v>
      </c>
      <c r="D113" s="15" t="str">
        <f>IFERROR(__xludf.DUMMYFUNCTION("""COMPUTED_VALUE"""),"LISTICLE")</f>
        <v>LISTICLE</v>
      </c>
      <c r="E113" s="15" t="str">
        <f>IFERROR(__xludf.DUMMYFUNCTION("""COMPUTED_VALUE"""),"UGC")</f>
        <v>UGC</v>
      </c>
      <c r="F113" s="15" t="str">
        <f>IFERROR(__xludf.DUMMYFUNCTION("""COMPUTED_VALUE"""),"Listicle")</f>
        <v>Listicle</v>
      </c>
      <c r="G113" s="15" t="b">
        <f>IFERROR(__xludf.DUMMYFUNCTION("""COMPUTED_VALUE"""),FALSE)</f>
        <v>0</v>
      </c>
      <c r="H113" s="15" t="str">
        <f>IFERROR(__xludf.DUMMYFUNCTION("""COMPUTED_VALUE"""),"iCrossing, The Good Marketer, Gripped, Kantar")</f>
        <v>iCrossing, The Good Marketer, Gripped, Kantar</v>
      </c>
      <c r="I113" s="15">
        <f>IFERROR(__xludf.DUMMYFUNCTION("""COMPUTED_VALUE"""),12.0)</f>
        <v>12</v>
      </c>
      <c r="J113" s="15">
        <f>IFERROR(__xludf.DUMMYFUNCTION("""COMPUTED_VALUE"""),0.01)</f>
        <v>0.01</v>
      </c>
      <c r="K113" s="15">
        <f>IFERROR(__xludf.DUMMYFUNCTION("""COMPUTED_VALUE"""),1.25)</f>
        <v>1.25</v>
      </c>
    </row>
    <row r="114" ht="15.75" customHeight="1">
      <c r="A114" s="14" t="str">
        <f>IFERROR(__xludf.DUMMYFUNCTION("""COMPUTED_VALUE"""),"https://clicksgeek.com/marketing-attribution-tracking-services/")</f>
        <v>https://clicksgeek.com/marketing-attribution-tracking-services/</v>
      </c>
      <c r="B114" s="15" t="str">
        <f>IFERROR(__xludf.DUMMYFUNCTION("""COMPUTED_VALUE"""),"9 Best Marketing Attribution Tracking Services 2026")</f>
        <v>9 Best Marketing Attribution Tracking Services 2026</v>
      </c>
      <c r="C114" s="14" t="str">
        <f>IFERROR(__xludf.DUMMYFUNCTION("""COMPUTED_VALUE"""),"clicksgeek.com")</f>
        <v>clicksgeek.com</v>
      </c>
      <c r="D114" s="15" t="str">
        <f>IFERROR(__xludf.DUMMYFUNCTION("""COMPUTED_VALUE"""),"LISTICLE")</f>
        <v>LISTICLE</v>
      </c>
      <c r="E114" s="15" t="str">
        <f>IFERROR(__xludf.DUMMYFUNCTION("""COMPUTED_VALUE"""),"CORPORATE")</f>
        <v>CORPORATE</v>
      </c>
      <c r="F114" s="15" t="str">
        <f>IFERROR(__xludf.DUMMYFUNCTION("""COMPUTED_VALUE"""),"Listicle")</f>
        <v>Listicle</v>
      </c>
      <c r="G114" s="15" t="b">
        <f>IFERROR(__xludf.DUMMYFUNCTION("""COMPUTED_VALUE"""),FALSE)</f>
        <v>0</v>
      </c>
      <c r="H114" s="15" t="str">
        <f>IFERROR(__xludf.DUMMYFUNCTION("""COMPUTED_VALUE"""),"Measured, Triple Whale, Northbeam, Ruler Analytics, Rockerbox")</f>
        <v>Measured, Triple Whale, Northbeam, Ruler Analytics, Rockerbox</v>
      </c>
      <c r="I114" s="15">
        <f>IFERROR(__xludf.DUMMYFUNCTION("""COMPUTED_VALUE"""),12.0)</f>
        <v>12</v>
      </c>
      <c r="J114" s="15">
        <f>IFERROR(__xludf.DUMMYFUNCTION("""COMPUTED_VALUE"""),0.01)</f>
        <v>0.01</v>
      </c>
      <c r="K114" s="15">
        <f>IFERROR(__xludf.DUMMYFUNCTION("""COMPUTED_VALUE"""),1.67)</f>
        <v>1.67</v>
      </c>
    </row>
    <row r="115" ht="15.75" customHeight="1">
      <c r="A115" s="14" t="str">
        <f>IFERROR(__xludf.DUMMYFUNCTION("""COMPUTED_VALUE"""),"https://www.clickslice.co.uk/best-generative-engine-optimisation-agencies-uk/")</f>
        <v>https://www.clickslice.co.uk/best-generative-engine-optimisation-agencies-uk/</v>
      </c>
      <c r="B115" s="15" t="str">
        <f>IFERROR(__xludf.DUMMYFUNCTION("""COMPUTED_VALUE"""),"8 Best Generative Engine Optimisation (GEO) Agencies in the UK")</f>
        <v>8 Best Generative Engine Optimisation (GEO) Agencies in the UK</v>
      </c>
      <c r="C115" s="14" t="str">
        <f>IFERROR(__xludf.DUMMYFUNCTION("""COMPUTED_VALUE"""),"clickslice.co.uk")</f>
        <v>clickslice.co.uk</v>
      </c>
      <c r="D115" s="15" t="str">
        <f>IFERROR(__xludf.DUMMYFUNCTION("""COMPUTED_VALUE"""),"LISTICLE")</f>
        <v>LISTICLE</v>
      </c>
      <c r="E115" s="15" t="str">
        <f>IFERROR(__xludf.DUMMYFUNCTION("""COMPUTED_VALUE"""),"COMPETITOR")</f>
        <v>COMPETITOR</v>
      </c>
      <c r="F115" s="15" t="str">
        <f>IFERROR(__xludf.DUMMYFUNCTION("""COMPUTED_VALUE"""),"Listicle")</f>
        <v>Listicle</v>
      </c>
      <c r="G115" s="15" t="b">
        <f>IFERROR(__xludf.DUMMYFUNCTION("""COMPUTED_VALUE"""),FALSE)</f>
        <v>0</v>
      </c>
      <c r="H115" s="15" t="str">
        <f>IFERROR(__xludf.DUMMYFUNCTION("""COMPUTED_VALUE"""),"ClickSlice")</f>
        <v>ClickSlice</v>
      </c>
      <c r="I115" s="15">
        <f>IFERROR(__xludf.DUMMYFUNCTION("""COMPUTED_VALUE"""),12.0)</f>
        <v>12</v>
      </c>
      <c r="J115" s="15">
        <f>IFERROR(__xludf.DUMMYFUNCTION("""COMPUTED_VALUE"""),0.01)</f>
        <v>0.01</v>
      </c>
      <c r="K115" s="15">
        <f>IFERROR(__xludf.DUMMYFUNCTION("""COMPUTED_VALUE"""),0.67)</f>
        <v>0.67</v>
      </c>
    </row>
    <row r="116" ht="15.75" customHeight="1">
      <c r="A116" s="14" t="str">
        <f>IFERROR(__xludf.DUMMYFUNCTION("""COMPUTED_VALUE"""),"https://www.cometly.com/post/marketing-attribution-consultant-services")</f>
        <v>https://www.cometly.com/post/marketing-attribution-consultant-services</v>
      </c>
      <c r="B116" s="15" t="str">
        <f>IFERROR(__xludf.DUMMYFUNCTION("""COMPUTED_VALUE"""),"Best Marketing Attribution Consultant Services 2026")</f>
        <v>Best Marketing Attribution Consultant Services 2026</v>
      </c>
      <c r="C116" s="14" t="str">
        <f>IFERROR(__xludf.DUMMYFUNCTION("""COMPUTED_VALUE"""),"cometly.com")</f>
        <v>cometly.com</v>
      </c>
      <c r="D116" s="15" t="str">
        <f>IFERROR(__xludf.DUMMYFUNCTION("""COMPUTED_VALUE"""),"LISTICLE")</f>
        <v>LISTICLE</v>
      </c>
      <c r="E116" s="15" t="str">
        <f>IFERROR(__xludf.DUMMYFUNCTION("""COMPUTED_VALUE"""),"COMPETITOR")</f>
        <v>COMPETITOR</v>
      </c>
      <c r="F116" s="15" t="str">
        <f>IFERROR(__xludf.DUMMYFUNCTION("""COMPUTED_VALUE"""),"Listicle")</f>
        <v>Listicle</v>
      </c>
      <c r="G116" s="15" t="b">
        <f>IFERROR(__xludf.DUMMYFUNCTION("""COMPUTED_VALUE"""),FALSE)</f>
        <v>0</v>
      </c>
      <c r="H116" s="15" t="str">
        <f>IFERROR(__xludf.DUMMYFUNCTION("""COMPUTED_VALUE"""),"Cometly, Measured, Rockerbox, Northbeam, Triple Whale, Ruler Analytics")</f>
        <v>Cometly, Measured, Rockerbox, Northbeam, Triple Whale, Ruler Analytics</v>
      </c>
      <c r="I116" s="15">
        <f>IFERROR(__xludf.DUMMYFUNCTION("""COMPUTED_VALUE"""),12.0)</f>
        <v>12</v>
      </c>
      <c r="J116" s="15">
        <f>IFERROR(__xludf.DUMMYFUNCTION("""COMPUTED_VALUE"""),0.01)</f>
        <v>0.01</v>
      </c>
      <c r="K116" s="15">
        <f>IFERROR(__xludf.DUMMYFUNCTION("""COMPUTED_VALUE"""),0.0)</f>
        <v>0</v>
      </c>
    </row>
    <row r="117" ht="15.75" customHeight="1">
      <c r="A117" s="14" t="str">
        <f>IFERROR(__xludf.DUMMYFUNCTION("""COMPUTED_VALUE"""),"https://www.consultancy.uk/rankings/top-consulting-firms-in-the-uk-by-area-of-expertise/ai-genai")</f>
        <v>https://www.consultancy.uk/rankings/top-consulting-firms-in-the-uk-by-area-of-expertise/ai-genai</v>
      </c>
      <c r="B117" s="15" t="str">
        <f>IFERROR(__xludf.DUMMYFUNCTION("""COMPUTED_VALUE"""),"Top AI &amp;amp; Gen AI consulting firms in the UK")</f>
        <v>Top AI &amp;amp; Gen AI consulting firms in the UK</v>
      </c>
      <c r="C117" s="14" t="str">
        <f>IFERROR(__xludf.DUMMYFUNCTION("""COMPUTED_VALUE"""),"consultancy.uk")</f>
        <v>consultancy.uk</v>
      </c>
      <c r="D117" s="15" t="str">
        <f>IFERROR(__xludf.DUMMYFUNCTION("""COMPUTED_VALUE"""),"LISTICLE")</f>
        <v>LISTICLE</v>
      </c>
      <c r="E117" s="15" t="str">
        <f>IFERROR(__xludf.DUMMYFUNCTION("""COMPUTED_VALUE"""),"REFERENCE")</f>
        <v>REFERENCE</v>
      </c>
      <c r="F117" s="15" t="str">
        <f>IFERROR(__xludf.DUMMYFUNCTION("""COMPUTED_VALUE"""),"Listicle")</f>
        <v>Listicle</v>
      </c>
      <c r="G117" s="15" t="b">
        <f>IFERROR(__xludf.DUMMYFUNCTION("""COMPUTED_VALUE"""),FALSE)</f>
        <v>0</v>
      </c>
      <c r="H117" s="15" t="str">
        <f>IFERROR(__xludf.DUMMYFUNCTION("""COMPUTED_VALUE"""),"McKinsey &amp; Company, PwC, EY, Artefact")</f>
        <v>McKinsey &amp; Company, PwC, EY, Artefact</v>
      </c>
      <c r="I117" s="15">
        <f>IFERROR(__xludf.DUMMYFUNCTION("""COMPUTED_VALUE"""),12.0)</f>
        <v>12</v>
      </c>
      <c r="J117" s="15">
        <f>IFERROR(__xludf.DUMMYFUNCTION("""COMPUTED_VALUE"""),0.01)</f>
        <v>0.01</v>
      </c>
      <c r="K117" s="15">
        <f>IFERROR(__xludf.DUMMYFUNCTION("""COMPUTED_VALUE"""),0.08)</f>
        <v>0.08</v>
      </c>
    </row>
    <row r="118" ht="15.75" customHeight="1">
      <c r="A118" s="14" t="str">
        <f>IFERROR(__xludf.DUMMYFUNCTION("""COMPUTED_VALUE"""),"https://coolnerdsmarketing.com/top-creative-agencies-uk/")</f>
        <v>https://coolnerdsmarketing.com/top-creative-agencies-uk/</v>
      </c>
      <c r="B118" s="15" t="str">
        <f>IFERROR(__xludf.DUMMYFUNCTION("""COMPUTED_VALUE"""),"Top Creative Agencies in the UK (2026)")</f>
        <v>Top Creative Agencies in the UK (2026)</v>
      </c>
      <c r="C118" s="14" t="str">
        <f>IFERROR(__xludf.DUMMYFUNCTION("""COMPUTED_VALUE"""),"coolnerdsmarketing.com")</f>
        <v>coolnerdsmarketing.com</v>
      </c>
      <c r="D118" s="15" t="str">
        <f>IFERROR(__xludf.DUMMYFUNCTION("""COMPUTED_VALUE"""),"LISTICLE")</f>
        <v>LISTICLE</v>
      </c>
      <c r="E118" s="15" t="str">
        <f>IFERROR(__xludf.DUMMYFUNCTION("""COMPUTED_VALUE"""),"CORPORATE")</f>
        <v>CORPORATE</v>
      </c>
      <c r="F118" s="15" t="str">
        <f>IFERROR(__xludf.DUMMYFUNCTION("""COMPUTED_VALUE"""),"Listicle")</f>
        <v>Listicle</v>
      </c>
      <c r="G118" s="15" t="b">
        <f>IFERROR(__xludf.DUMMYFUNCTION("""COMPUTED_VALUE"""),FALSE)</f>
        <v>0</v>
      </c>
      <c r="H118" s="15" t="str">
        <f>IFERROR(__xludf.DUMMYFUNCTION("""COMPUTED_VALUE"""),"We Are Social, Dentsu, The Social Shepherd, Gravity Global, Transmission")</f>
        <v>We Are Social, Dentsu, The Social Shepherd, Gravity Global, Transmission</v>
      </c>
      <c r="I118" s="15">
        <f>IFERROR(__xludf.DUMMYFUNCTION("""COMPUTED_VALUE"""),12.0)</f>
        <v>12</v>
      </c>
      <c r="J118" s="15">
        <f>IFERROR(__xludf.DUMMYFUNCTION("""COMPUTED_VALUE"""),0.01)</f>
        <v>0.01</v>
      </c>
      <c r="K118" s="15">
        <f>IFERROR(__xludf.DUMMYFUNCTION("""COMPUTED_VALUE"""),0.75)</f>
        <v>0.75</v>
      </c>
    </row>
    <row r="119" ht="15.75" customHeight="1">
      <c r="A119" s="14" t="str">
        <f>IFERROR(__xludf.DUMMYFUNCTION("""COMPUTED_VALUE"""),"https://www.creativebrief.com/top-30/agencies")</f>
        <v>https://www.creativebrief.com/top-30/agencies</v>
      </c>
      <c r="B119" s="15" t="str">
        <f>IFERROR(__xludf.DUMMYFUNCTION("""COMPUTED_VALUE"""),"The Top 30 most viewed agencies | Creativebrief")</f>
        <v>The Top 30 most viewed agencies | Creativebrief</v>
      </c>
      <c r="C119" s="14" t="str">
        <f>IFERROR(__xludf.DUMMYFUNCTION("""COMPUTED_VALUE"""),"creativebrief.com")</f>
        <v>creativebrief.com</v>
      </c>
      <c r="D119" s="15" t="str">
        <f>IFERROR(__xludf.DUMMYFUNCTION("""COMPUTED_VALUE"""),"LISTICLE")</f>
        <v>LISTICLE</v>
      </c>
      <c r="E119" s="15" t="str">
        <f>IFERROR(__xludf.DUMMYFUNCTION("""COMPUTED_VALUE"""),"CORPORATE")</f>
        <v>CORPORATE</v>
      </c>
      <c r="F119" s="15" t="str">
        <f>IFERROR(__xludf.DUMMYFUNCTION("""COMPUTED_VALUE"""),"Listicle")</f>
        <v>Listicle</v>
      </c>
      <c r="G119" s="15" t="b">
        <f>IFERROR(__xludf.DUMMYFUNCTION("""COMPUTED_VALUE"""),FALSE)</f>
        <v>0</v>
      </c>
      <c r="H119" s="15" t="str">
        <f>IFERROR(__xludf.DUMMYFUNCTION("""COMPUTED_VALUE"""),"Mother London, Saatchi &amp; Saatchi, AMV BBDO, BBH London, Born Social, We Are Social")</f>
        <v>Mother London, Saatchi &amp; Saatchi, AMV BBDO, BBH London, Born Social, We Are Social</v>
      </c>
      <c r="I119" s="15">
        <f>IFERROR(__xludf.DUMMYFUNCTION("""COMPUTED_VALUE"""),12.0)</f>
        <v>12</v>
      </c>
      <c r="J119" s="15">
        <f>IFERROR(__xludf.DUMMYFUNCTION("""COMPUTED_VALUE"""),0.01)</f>
        <v>0.01</v>
      </c>
      <c r="K119" s="15">
        <f>IFERROR(__xludf.DUMMYFUNCTION("""COMPUTED_VALUE"""),1.25)</f>
        <v>1.25</v>
      </c>
    </row>
    <row r="120" ht="15.75" customHeight="1">
      <c r="A120" s="14" t="str">
        <f>IFERROR(__xludf.DUMMYFUNCTION("""COMPUTED_VALUE"""),"https://www.linkedin.com/pulse/top-performance-marketing-agencies-uk-steve-walker-mrjxe")</f>
        <v>https://www.linkedin.com/pulse/top-performance-marketing-agencies-uk-steve-walker-mrjxe</v>
      </c>
      <c r="B120" s="15" t="str">
        <f>IFERROR(__xludf.DUMMYFUNCTION("""COMPUTED_VALUE"""),"Top Content on LinkedIn")</f>
        <v>Top Content on LinkedIn</v>
      </c>
      <c r="C120" s="14" t="str">
        <f>IFERROR(__xludf.DUMMYFUNCTION("""COMPUTED_VALUE"""),"linkedin.com")</f>
        <v>linkedin.com</v>
      </c>
      <c r="D120" s="15" t="str">
        <f>IFERROR(__xludf.DUMMYFUNCTION("""COMPUTED_VALUE"""),"LISTICLE")</f>
        <v>LISTICLE</v>
      </c>
      <c r="E120" s="15" t="str">
        <f>IFERROR(__xludf.DUMMYFUNCTION("""COMPUTED_VALUE"""),"UGC")</f>
        <v>UGC</v>
      </c>
      <c r="F120" s="15" t="str">
        <f>IFERROR(__xludf.DUMMYFUNCTION("""COMPUTED_VALUE"""),"Listicle")</f>
        <v>Listicle</v>
      </c>
      <c r="G120" s="15" t="b">
        <f>IFERROR(__xludf.DUMMYFUNCTION("""COMPUTED_VALUE"""),FALSE)</f>
        <v>0</v>
      </c>
      <c r="H120" s="15"/>
      <c r="I120" s="15">
        <f>IFERROR(__xludf.DUMMYFUNCTION("""COMPUTED_VALUE"""),12.0)</f>
        <v>12</v>
      </c>
      <c r="J120" s="15">
        <f>IFERROR(__xludf.DUMMYFUNCTION("""COMPUTED_VALUE"""),0.01)</f>
        <v>0.01</v>
      </c>
      <c r="K120" s="15">
        <f>IFERROR(__xludf.DUMMYFUNCTION("""COMPUTED_VALUE"""),0.08)</f>
        <v>0.08</v>
      </c>
    </row>
    <row r="121" ht="15.75" customHeight="1">
      <c r="A121" s="14" t="str">
        <f>IFERROR(__xludf.DUMMYFUNCTION("""COMPUTED_VALUE"""),"https://marketingsignals.com/best-digital-marketing-agency-2026-the-top-uk-full-service-agencies-ranked/")</f>
        <v>https://marketingsignals.com/best-digital-marketing-agency-2026-the-top-uk-full-service-agencies-ranked/</v>
      </c>
      <c r="B121" s="15" t="str">
        <f>IFERROR(__xludf.DUMMYFUNCTION("""COMPUTED_VALUE"""),"Best Digital Marketing Agency 2026: The Top UK Full-Service Agencies Ranked - Marketing Signals")</f>
        <v>Best Digital Marketing Agency 2026: The Top UK Full-Service Agencies Ranked - Marketing Signals</v>
      </c>
      <c r="C121" s="14" t="str">
        <f>IFERROR(__xludf.DUMMYFUNCTION("""COMPUTED_VALUE"""),"marketingsignals.com")</f>
        <v>marketingsignals.com</v>
      </c>
      <c r="D121" s="15" t="str">
        <f>IFERROR(__xludf.DUMMYFUNCTION("""COMPUTED_VALUE"""),"LISTICLE")</f>
        <v>LISTICLE</v>
      </c>
      <c r="E121" s="15" t="str">
        <f>IFERROR(__xludf.DUMMYFUNCTION("""COMPUTED_VALUE"""),"CORPORATE")</f>
        <v>CORPORATE</v>
      </c>
      <c r="F121" s="15" t="str">
        <f>IFERROR(__xludf.DUMMYFUNCTION("""COMPUTED_VALUE"""),"Listicle")</f>
        <v>Listicle</v>
      </c>
      <c r="G121" s="15" t="b">
        <f>IFERROR(__xludf.DUMMYFUNCTION("""COMPUTED_VALUE"""),FALSE)</f>
        <v>0</v>
      </c>
      <c r="H121" s="15" t="str">
        <f>IFERROR(__xludf.DUMMYFUNCTION("""COMPUTED_VALUE"""),"Impression, Hallam, Passion Digital, Brainlabs, Measured, Transmission")</f>
        <v>Impression, Hallam, Passion Digital, Brainlabs, Measured, Transmission</v>
      </c>
      <c r="I121" s="15">
        <f>IFERROR(__xludf.DUMMYFUNCTION("""COMPUTED_VALUE"""),12.0)</f>
        <v>12</v>
      </c>
      <c r="J121" s="15">
        <f>IFERROR(__xludf.DUMMYFUNCTION("""COMPUTED_VALUE"""),0.01)</f>
        <v>0.01</v>
      </c>
      <c r="K121" s="15">
        <f>IFERROR(__xludf.DUMMYFUNCTION("""COMPUTED_VALUE"""),1.0)</f>
        <v>1</v>
      </c>
    </row>
    <row r="122" ht="15.75" customHeight="1">
      <c r="A122" s="14" t="str">
        <f>IFERROR(__xludf.DUMMYFUNCTION("""COMPUTED_VALUE"""),"https://seocompare.co.uk/ai-seo-agency-uk/")</f>
        <v>https://seocompare.co.uk/ai-seo-agency-uk/</v>
      </c>
      <c r="B122" s="15" t="str">
        <f>IFERROR(__xludf.DUMMYFUNCTION("""COMPUTED_VALUE"""),"AI SEO Agency UK 2026: 7 Best, Compared and Rated | SEOCompare")</f>
        <v>AI SEO Agency UK 2026: 7 Best, Compared and Rated | SEOCompare</v>
      </c>
      <c r="C122" s="14" t="str">
        <f>IFERROR(__xludf.DUMMYFUNCTION("""COMPUTED_VALUE"""),"seocompare.co.uk")</f>
        <v>seocompare.co.uk</v>
      </c>
      <c r="D122" s="15" t="str">
        <f>IFERROR(__xludf.DUMMYFUNCTION("""COMPUTED_VALUE"""),"LISTICLE")</f>
        <v>LISTICLE</v>
      </c>
      <c r="E122" s="15" t="str">
        <f>IFERROR(__xludf.DUMMYFUNCTION("""COMPUTED_VALUE"""),"EDITORIAL")</f>
        <v>EDITORIAL</v>
      </c>
      <c r="F122" s="15" t="str">
        <f>IFERROR(__xludf.DUMMYFUNCTION("""COMPUTED_VALUE"""),"Listicle")</f>
        <v>Listicle</v>
      </c>
      <c r="G122" s="15" t="b">
        <f>IFERROR(__xludf.DUMMYFUNCTION("""COMPUTED_VALUE"""),FALSE)</f>
        <v>0</v>
      </c>
      <c r="H122" s="15" t="str">
        <f>IFERROR(__xludf.DUMMYFUNCTION("""COMPUTED_VALUE"""),"Rank4AI, ClickSlice, Found")</f>
        <v>Rank4AI, ClickSlice, Found</v>
      </c>
      <c r="I122" s="15">
        <f>IFERROR(__xludf.DUMMYFUNCTION("""COMPUTED_VALUE"""),12.0)</f>
        <v>12</v>
      </c>
      <c r="J122" s="15">
        <f>IFERROR(__xludf.DUMMYFUNCTION("""COMPUTED_VALUE"""),0.01)</f>
        <v>0.01</v>
      </c>
      <c r="K122" s="15">
        <f>IFERROR(__xludf.DUMMYFUNCTION("""COMPUTED_VALUE"""),1.25)</f>
        <v>1.25</v>
      </c>
    </row>
    <row r="123" ht="15.75" customHeight="1">
      <c r="A123" s="14" t="str">
        <f>IFERROR(__xludf.DUMMYFUNCTION("""COMPUTED_VALUE"""),"https://sorttheclicks.com/insights/best-uk-geo-agencies-2026/")</f>
        <v>https://sorttheclicks.com/insights/best-uk-geo-agencies-2026/</v>
      </c>
      <c r="B123" s="15" t="str">
        <f>IFERROR(__xludf.DUMMYFUNCTION("""COMPUTED_VALUE"""),"Best UK GEO &amp;amp; AI search agencies in 2026")</f>
        <v>Best UK GEO &amp;amp; AI search agencies in 2026</v>
      </c>
      <c r="C123" s="14" t="str">
        <f>IFERROR(__xludf.DUMMYFUNCTION("""COMPUTED_VALUE"""),"sorttheclicks.com")</f>
        <v>sorttheclicks.com</v>
      </c>
      <c r="D123" s="15" t="str">
        <f>IFERROR(__xludf.DUMMYFUNCTION("""COMPUTED_VALUE"""),"LISTICLE")</f>
        <v>LISTICLE</v>
      </c>
      <c r="E123" s="15" t="str">
        <f>IFERROR(__xludf.DUMMYFUNCTION("""COMPUTED_VALUE"""),"CORPORATE")</f>
        <v>CORPORATE</v>
      </c>
      <c r="F123" s="15" t="str">
        <f>IFERROR(__xludf.DUMMYFUNCTION("""COMPUTED_VALUE"""),"Listicle")</f>
        <v>Listicle</v>
      </c>
      <c r="G123" s="15" t="b">
        <f>IFERROR(__xludf.DUMMYFUNCTION("""COMPUTED_VALUE"""),FALSE)</f>
        <v>0</v>
      </c>
      <c r="H123" s="15" t="str">
        <f>IFERROR(__xludf.DUMMYFUNCTION("""COMPUTED_VALUE"""),"Whitehat, Tilio, Passion Digital, The SEO Works, Found, Push, Push Group, Builtvisible, Charle Agency, Screaming Frog")</f>
        <v>Whitehat, Tilio, Passion Digital, The SEO Works, Found, Push, Push Group, Builtvisible, Charle Agency, Screaming Frog</v>
      </c>
      <c r="I123" s="15">
        <f>IFERROR(__xludf.DUMMYFUNCTION("""COMPUTED_VALUE"""),12.0)</f>
        <v>12</v>
      </c>
      <c r="J123" s="15">
        <f>IFERROR(__xludf.DUMMYFUNCTION("""COMPUTED_VALUE"""),0.01)</f>
        <v>0.01</v>
      </c>
      <c r="K123" s="15">
        <f>IFERROR(__xludf.DUMMYFUNCTION("""COMPUTED_VALUE"""),1.17)</f>
        <v>1.17</v>
      </c>
    </row>
    <row r="124" ht="15.75" customHeight="1">
      <c r="A124" s="14" t="str">
        <f>IFERROR(__xludf.DUMMYFUNCTION("""COMPUTED_VALUE"""),"https://www.superhub.biz/top-7-performance-marketing-companies-uk-2026")</f>
        <v>https://www.superhub.biz/top-7-performance-marketing-companies-uk-2026</v>
      </c>
      <c r="B124" s="15" t="str">
        <f>IFERROR(__xludf.DUMMYFUNCTION("""COMPUTED_VALUE"""),"7 Best Performance Marketing Companies UK 2026 | Results Focused")</f>
        <v>7 Best Performance Marketing Companies UK 2026 | Results Focused</v>
      </c>
      <c r="C124" s="14" t="str">
        <f>IFERROR(__xludf.DUMMYFUNCTION("""COMPUTED_VALUE"""),"superhub.biz")</f>
        <v>superhub.biz</v>
      </c>
      <c r="D124" s="15" t="str">
        <f>IFERROR(__xludf.DUMMYFUNCTION("""COMPUTED_VALUE"""),"LISTICLE")</f>
        <v>LISTICLE</v>
      </c>
      <c r="E124" s="15" t="str">
        <f>IFERROR(__xludf.DUMMYFUNCTION("""COMPUTED_VALUE"""),"CORPORATE")</f>
        <v>CORPORATE</v>
      </c>
      <c r="F124" s="15" t="str">
        <f>IFERROR(__xludf.DUMMYFUNCTION("""COMPUTED_VALUE"""),"Listicle")</f>
        <v>Listicle</v>
      </c>
      <c r="G124" s="15" t="b">
        <f>IFERROR(__xludf.DUMMYFUNCTION("""COMPUTED_VALUE"""),FALSE)</f>
        <v>0</v>
      </c>
      <c r="H124" s="15" t="str">
        <f>IFERROR(__xludf.DUMMYFUNCTION("""COMPUTED_VALUE"""),"Measured, Brainlabs, Journey Further")</f>
        <v>Measured, Brainlabs, Journey Further</v>
      </c>
      <c r="I124" s="15">
        <f>IFERROR(__xludf.DUMMYFUNCTION("""COMPUTED_VALUE"""),12.0)</f>
        <v>12</v>
      </c>
      <c r="J124" s="15">
        <f>IFERROR(__xludf.DUMMYFUNCTION("""COMPUTED_VALUE"""),0.01)</f>
        <v>0.01</v>
      </c>
      <c r="K124" s="15">
        <f>IFERROR(__xludf.DUMMYFUNCTION("""COMPUTED_VALUE"""),0.25)</f>
        <v>0.25</v>
      </c>
    </row>
    <row r="125" ht="15.75" customHeight="1">
      <c r="A125" s="14" t="str">
        <f>IFERROR(__xludf.DUMMYFUNCTION("""COMPUTED_VALUE"""),"https://thesocialshepherd.com/blog/top-social-media-agencies-uk")</f>
        <v>https://thesocialshepherd.com/blog/top-social-media-agencies-uk</v>
      </c>
      <c r="B125" s="15" t="str">
        <f>IFERROR(__xludf.DUMMYFUNCTION("""COMPUTED_VALUE"""),"The Social Shepherd | Top 13 Social Media Agencies In The UK (2026)")</f>
        <v>The Social Shepherd | Top 13 Social Media Agencies In The UK (2026)</v>
      </c>
      <c r="C125" s="14" t="str">
        <f>IFERROR(__xludf.DUMMYFUNCTION("""COMPUTED_VALUE"""),"thesocialshepherd.com")</f>
        <v>thesocialshepherd.com</v>
      </c>
      <c r="D125" s="15" t="str">
        <f>IFERROR(__xludf.DUMMYFUNCTION("""COMPUTED_VALUE"""),"LISTICLE")</f>
        <v>LISTICLE</v>
      </c>
      <c r="E125" s="15" t="str">
        <f>IFERROR(__xludf.DUMMYFUNCTION("""COMPUTED_VALUE"""),"COMPETITOR")</f>
        <v>COMPETITOR</v>
      </c>
      <c r="F125" s="15" t="str">
        <f>IFERROR(__xludf.DUMMYFUNCTION("""COMPUTED_VALUE"""),"Listicle")</f>
        <v>Listicle</v>
      </c>
      <c r="G125" s="15" t="b">
        <f>IFERROR(__xludf.DUMMYFUNCTION("""COMPUTED_VALUE"""),FALSE)</f>
        <v>0</v>
      </c>
      <c r="H125" s="15" t="str">
        <f>IFERROR(__xludf.DUMMYFUNCTION("""COMPUTED_VALUE"""),"The Social Shepherd, Social Chain, We Are Social, WPP, Monks, Croud, Gripped")</f>
        <v>The Social Shepherd, Social Chain, We Are Social, WPP, Monks, Croud, Gripped</v>
      </c>
      <c r="I125" s="15">
        <f>IFERROR(__xludf.DUMMYFUNCTION("""COMPUTED_VALUE"""),12.0)</f>
        <v>12</v>
      </c>
      <c r="J125" s="15">
        <f>IFERROR(__xludf.DUMMYFUNCTION("""COMPUTED_VALUE"""),0.01)</f>
        <v>0.01</v>
      </c>
      <c r="K125" s="15">
        <f>IFERROR(__xludf.DUMMYFUNCTION("""COMPUTED_VALUE"""),0.83)</f>
        <v>0.83</v>
      </c>
    </row>
    <row r="126" ht="15.75" customHeight="1">
      <c r="A126" s="14" t="str">
        <f>IFERROR(__xludf.DUMMYFUNCTION("""COMPUTED_VALUE"""),"https://www.51d.co/ai-consulting-agencies-lead-qualification-uk/")</f>
        <v>https://www.51d.co/ai-consulting-agencies-lead-qualification-uk/</v>
      </c>
      <c r="B126" s="15" t="str">
        <f>IFERROR(__xludf.DUMMYFUNCTION("""COMPUTED_VALUE"""),"Top AI Consulting Agencies for Sales | Fifty One Degrees")</f>
        <v>Top AI Consulting Agencies for Sales | Fifty One Degrees</v>
      </c>
      <c r="C126" s="14" t="str">
        <f>IFERROR(__xludf.DUMMYFUNCTION("""COMPUTED_VALUE"""),"51d.co")</f>
        <v>51d.co</v>
      </c>
      <c r="D126" s="15" t="str">
        <f>IFERROR(__xludf.DUMMYFUNCTION("""COMPUTED_VALUE"""),"LISTICLE")</f>
        <v>LISTICLE</v>
      </c>
      <c r="E126" s="15" t="str">
        <f>IFERROR(__xludf.DUMMYFUNCTION("""COMPUTED_VALUE"""),"CORPORATE")</f>
        <v>CORPORATE</v>
      </c>
      <c r="F126" s="15" t="str">
        <f>IFERROR(__xludf.DUMMYFUNCTION("""COMPUTED_VALUE"""),"Listicle")</f>
        <v>Listicle</v>
      </c>
      <c r="G126" s="15" t="b">
        <f>IFERROR(__xludf.DUMMYFUNCTION("""COMPUTED_VALUE"""),FALSE)</f>
        <v>0</v>
      </c>
      <c r="H126" s="15" t="str">
        <f>IFERROR(__xludf.DUMMYFUNCTION("""COMPUTED_VALUE"""),"Superside, Momentum, QuantumBlack, Push")</f>
        <v>Superside, Momentum, QuantumBlack, Push</v>
      </c>
      <c r="I126" s="15">
        <f>IFERROR(__xludf.DUMMYFUNCTION("""COMPUTED_VALUE"""),11.0)</f>
        <v>11</v>
      </c>
      <c r="J126" s="15">
        <f>IFERROR(__xludf.DUMMYFUNCTION("""COMPUTED_VALUE"""),0.01)</f>
        <v>0.01</v>
      </c>
      <c r="K126" s="15">
        <f>IFERROR(__xludf.DUMMYFUNCTION("""COMPUTED_VALUE"""),1.0)</f>
        <v>1</v>
      </c>
    </row>
    <row r="127" ht="15.75" customHeight="1">
      <c r="A127" s="14" t="str">
        <f>IFERROR(__xludf.DUMMYFUNCTION("""COMPUTED_VALUE"""),"https://www.cometly.com/post/marketing-attribution-platform-for-agencies")</f>
        <v>https://www.cometly.com/post/marketing-attribution-platform-for-agencies</v>
      </c>
      <c r="B127" s="15" t="str">
        <f>IFERROR(__xludf.DUMMYFUNCTION("""COMPUTED_VALUE"""),"Best Marketing Attribution Platform For Agencies 2026")</f>
        <v>Best Marketing Attribution Platform For Agencies 2026</v>
      </c>
      <c r="C127" s="14" t="str">
        <f>IFERROR(__xludf.DUMMYFUNCTION("""COMPUTED_VALUE"""),"cometly.com")</f>
        <v>cometly.com</v>
      </c>
      <c r="D127" s="15" t="str">
        <f>IFERROR(__xludf.DUMMYFUNCTION("""COMPUTED_VALUE"""),"LISTICLE")</f>
        <v>LISTICLE</v>
      </c>
      <c r="E127" s="15" t="str">
        <f>IFERROR(__xludf.DUMMYFUNCTION("""COMPUTED_VALUE"""),"COMPETITOR")</f>
        <v>COMPETITOR</v>
      </c>
      <c r="F127" s="15" t="str">
        <f>IFERROR(__xludf.DUMMYFUNCTION("""COMPUTED_VALUE"""),"Listicle")</f>
        <v>Listicle</v>
      </c>
      <c r="G127" s="15" t="b">
        <f>IFERROR(__xludf.DUMMYFUNCTION("""COMPUTED_VALUE"""),FALSE)</f>
        <v>0</v>
      </c>
      <c r="H127" s="15" t="str">
        <f>IFERROR(__xludf.DUMMYFUNCTION("""COMPUTED_VALUE"""),"Cometly, Triple Whale, Rockerbox, Northbeam, Ruler Analytics")</f>
        <v>Cometly, Triple Whale, Rockerbox, Northbeam, Ruler Analytics</v>
      </c>
      <c r="I127" s="15">
        <f>IFERROR(__xludf.DUMMYFUNCTION("""COMPUTED_VALUE"""),11.0)</f>
        <v>11</v>
      </c>
      <c r="J127" s="15">
        <f>IFERROR(__xludf.DUMMYFUNCTION("""COMPUTED_VALUE"""),0.01)</f>
        <v>0.01</v>
      </c>
      <c r="K127" s="15">
        <f>IFERROR(__xludf.DUMMYFUNCTION("""COMPUTED_VALUE"""),0.27)</f>
        <v>0.27</v>
      </c>
    </row>
    <row r="128" ht="15.75" customHeight="1">
      <c r="A128" s="14" t="str">
        <f>IFERROR(__xludf.DUMMYFUNCTION("""COMPUTED_VALUE"""),"https://inbeat.agency/blog/top-social-media-agencies-in-the-uk")</f>
        <v>https://inbeat.agency/blog/top-social-media-agencies-in-the-uk</v>
      </c>
      <c r="B128" s="15" t="str">
        <f>IFERROR(__xludf.DUMMYFUNCTION("""COMPUTED_VALUE"""),"Top 26 Social Media Agencies in the UK (2026 Guide) - inBeat Agency")</f>
        <v>Top 26 Social Media Agencies in the UK (2026 Guide) - inBeat Agency</v>
      </c>
      <c r="C128" s="15" t="str">
        <f>IFERROR(__xludf.DUMMYFUNCTION("""COMPUTED_VALUE"""),"inbeat.agency")</f>
        <v>inbeat.agency</v>
      </c>
      <c r="D128" s="15" t="str">
        <f>IFERROR(__xludf.DUMMYFUNCTION("""COMPUTED_VALUE"""),"LISTICLE")</f>
        <v>LISTICLE</v>
      </c>
      <c r="E128" s="15" t="str">
        <f>IFERROR(__xludf.DUMMYFUNCTION("""COMPUTED_VALUE"""),"COMPETITOR")</f>
        <v>COMPETITOR</v>
      </c>
      <c r="F128" s="15" t="str">
        <f>IFERROR(__xludf.DUMMYFUNCTION("""COMPUTED_VALUE"""),"Listicle")</f>
        <v>Listicle</v>
      </c>
      <c r="G128" s="15" t="b">
        <f>IFERROR(__xludf.DUMMYFUNCTION("""COMPUTED_VALUE"""),FALSE)</f>
        <v>0</v>
      </c>
      <c r="H128" s="15" t="str">
        <f>IFERROR(__xludf.DUMMYFUNCTION("""COMPUTED_VALUE"""),"inBeat, Nielsen, Social Chain, The Good Marketer, ROAST, We Are Social, Born Social, The Social Shepherd, Soap Media")</f>
        <v>inBeat, Nielsen, Social Chain, The Good Marketer, ROAST, We Are Social, Born Social, The Social Shepherd, Soap Media</v>
      </c>
      <c r="I128" s="15">
        <f>IFERROR(__xludf.DUMMYFUNCTION("""COMPUTED_VALUE"""),11.0)</f>
        <v>11</v>
      </c>
      <c r="J128" s="15">
        <f>IFERROR(__xludf.DUMMYFUNCTION("""COMPUTED_VALUE"""),0.01)</f>
        <v>0.01</v>
      </c>
      <c r="K128" s="15">
        <f>IFERROR(__xludf.DUMMYFUNCTION("""COMPUTED_VALUE"""),0.09)</f>
        <v>0.09</v>
      </c>
    </row>
    <row r="129" ht="15.75" customHeight="1">
      <c r="A129" s="14" t="str">
        <f>IFERROR(__xludf.DUMMYFUNCTION("""COMPUTED_VALUE"""),"https://lengreo.com/top-answer-engine-optimization-aeo-agencies-for-uk-businesses-in-2025/")</f>
        <v>https://lengreo.com/top-answer-engine-optimization-aeo-agencies-for-uk-businesses-in-2025/</v>
      </c>
      <c r="B129" s="15" t="str">
        <f>IFERROR(__xludf.DUMMYFUNCTION("""COMPUTED_VALUE"""),"10 Best AEO Companies for UK (2026)")</f>
        <v>10 Best AEO Companies for UK (2026)</v>
      </c>
      <c r="C129" s="14" t="str">
        <f>IFERROR(__xludf.DUMMYFUNCTION("""COMPUTED_VALUE"""),"lengreo.com")</f>
        <v>lengreo.com</v>
      </c>
      <c r="D129" s="15" t="str">
        <f>IFERROR(__xludf.DUMMYFUNCTION("""COMPUTED_VALUE"""),"LISTICLE")</f>
        <v>LISTICLE</v>
      </c>
      <c r="E129" s="15" t="str">
        <f>IFERROR(__xludf.DUMMYFUNCTION("""COMPUTED_VALUE"""),"CORPORATE")</f>
        <v>CORPORATE</v>
      </c>
      <c r="F129" s="15" t="str">
        <f>IFERROR(__xludf.DUMMYFUNCTION("""COMPUTED_VALUE"""),"Listicle")</f>
        <v>Listicle</v>
      </c>
      <c r="G129" s="15" t="b">
        <f>IFERROR(__xludf.DUMMYFUNCTION("""COMPUTED_VALUE"""),FALSE)</f>
        <v>0</v>
      </c>
      <c r="H129" s="15" t="str">
        <f>IFERROR(__xludf.DUMMYFUNCTION("""COMPUTED_VALUE"""),"NoGood, WebFX, Found")</f>
        <v>NoGood, WebFX, Found</v>
      </c>
      <c r="I129" s="15">
        <f>IFERROR(__xludf.DUMMYFUNCTION("""COMPUTED_VALUE"""),11.0)</f>
        <v>11</v>
      </c>
      <c r="J129" s="15">
        <f>IFERROR(__xludf.DUMMYFUNCTION("""COMPUTED_VALUE"""),0.01)</f>
        <v>0.01</v>
      </c>
      <c r="K129" s="15">
        <f>IFERROR(__xludf.DUMMYFUNCTION("""COMPUTED_VALUE"""),0.09)</f>
        <v>0.09</v>
      </c>
    </row>
    <row r="130" ht="15.75" customHeight="1">
      <c r="A130" s="14" t="str">
        <f>IFERROR(__xludf.DUMMYFUNCTION("""COMPUTED_VALUE"""),"https://www.margen.net/best-aeo-agencies-uk-2026-answer-engine-optimisation-experts-compared/")</f>
        <v>https://www.margen.net/best-aeo-agencies-uk-2026-answer-engine-optimisation-experts-compared/</v>
      </c>
      <c r="B130" s="15" t="str">
        <f>IFERROR(__xludf.DUMMYFUNCTION("""COMPUTED_VALUE"""),"Best AEO Agencies UK 2026: Answer Engine Optimisation Experts Compared | MarGen")</f>
        <v>Best AEO Agencies UK 2026: Answer Engine Optimisation Experts Compared | MarGen</v>
      </c>
      <c r="C130" s="14" t="str">
        <f>IFERROR(__xludf.DUMMYFUNCTION("""COMPUTED_VALUE"""),"margen.net")</f>
        <v>margen.net</v>
      </c>
      <c r="D130" s="15" t="str">
        <f>IFERROR(__xludf.DUMMYFUNCTION("""COMPUTED_VALUE"""),"LISTICLE")</f>
        <v>LISTICLE</v>
      </c>
      <c r="E130" s="15" t="str">
        <f>IFERROR(__xludf.DUMMYFUNCTION("""COMPUTED_VALUE"""),"CORPORATE")</f>
        <v>CORPORATE</v>
      </c>
      <c r="F130" s="15" t="str">
        <f>IFERROR(__xludf.DUMMYFUNCTION("""COMPUTED_VALUE"""),"Listicle")</f>
        <v>Listicle</v>
      </c>
      <c r="G130" s="15" t="b">
        <f>IFERROR(__xludf.DUMMYFUNCTION("""COMPUTED_VALUE"""),FALSE)</f>
        <v>0</v>
      </c>
      <c r="H130" s="15" t="str">
        <f>IFERROR(__xludf.DUMMYFUNCTION("""COMPUTED_VALUE"""),"Whitehat, Digital Landscope, Buried Agency")</f>
        <v>Whitehat, Digital Landscope, Buried Agency</v>
      </c>
      <c r="I130" s="15">
        <f>IFERROR(__xludf.DUMMYFUNCTION("""COMPUTED_VALUE"""),11.0)</f>
        <v>11</v>
      </c>
      <c r="J130" s="15">
        <f>IFERROR(__xludf.DUMMYFUNCTION("""COMPUTED_VALUE"""),0.01)</f>
        <v>0.01</v>
      </c>
      <c r="K130" s="15">
        <f>IFERROR(__xludf.DUMMYFUNCTION("""COMPUTED_VALUE"""),0.0)</f>
        <v>0</v>
      </c>
    </row>
    <row r="131" ht="15.75" customHeight="1">
      <c r="A131" s="14" t="str">
        <f>IFERROR(__xludf.DUMMYFUNCTION("""COMPUTED_VALUE"""),"https://www.munro.agency/best-data-analysis-agencies/")</f>
        <v>https://www.munro.agency/best-data-analysis-agencies/</v>
      </c>
      <c r="B131" s="15" t="str">
        <f>IFERROR(__xludf.DUMMYFUNCTION("""COMPUTED_VALUE"""),"15 Best Data Analysis Agencies")</f>
        <v>15 Best Data Analysis Agencies</v>
      </c>
      <c r="C131" s="15" t="str">
        <f>IFERROR(__xludf.DUMMYFUNCTION("""COMPUTED_VALUE"""),"munro.agency")</f>
        <v>munro.agency</v>
      </c>
      <c r="D131" s="15" t="str">
        <f>IFERROR(__xludf.DUMMYFUNCTION("""COMPUTED_VALUE"""),"LISTICLE")</f>
        <v>LISTICLE</v>
      </c>
      <c r="E131" s="15" t="str">
        <f>IFERROR(__xludf.DUMMYFUNCTION("""COMPUTED_VALUE"""),"CORPORATE")</f>
        <v>CORPORATE</v>
      </c>
      <c r="F131" s="15" t="str">
        <f>IFERROR(__xludf.DUMMYFUNCTION("""COMPUTED_VALUE"""),"Listicle")</f>
        <v>Listicle</v>
      </c>
      <c r="G131" s="15" t="b">
        <f>IFERROR(__xludf.DUMMYFUNCTION("""COMPUTED_VALUE"""),FALSE)</f>
        <v>0</v>
      </c>
      <c r="H131" s="15" t="str">
        <f>IFERROR(__xludf.DUMMYFUNCTION("""COMPUTED_VALUE"""),"inBeat")</f>
        <v>inBeat</v>
      </c>
      <c r="I131" s="15">
        <f>IFERROR(__xludf.DUMMYFUNCTION("""COMPUTED_VALUE"""),11.0)</f>
        <v>11</v>
      </c>
      <c r="J131" s="15">
        <f>IFERROR(__xludf.DUMMYFUNCTION("""COMPUTED_VALUE"""),0.01)</f>
        <v>0.01</v>
      </c>
      <c r="K131" s="15">
        <f>IFERROR(__xludf.DUMMYFUNCTION("""COMPUTED_VALUE"""),2.36)</f>
        <v>2.36</v>
      </c>
    </row>
    <row r="132" ht="15.75" customHeight="1">
      <c r="A132" s="14" t="str">
        <f>IFERROR(__xludf.DUMMYFUNCTION("""COMPUTED_VALUE"""),"https://neuraladx.com/the-10-best-generative-engine-optimisation-companies-in-the-uk/")</f>
        <v>https://neuraladx.com/the-10-best-generative-engine-optimisation-companies-in-the-uk/</v>
      </c>
      <c r="B132" s="15" t="str">
        <f>IFERROR(__xludf.DUMMYFUNCTION("""COMPUTED_VALUE"""),"The 10 best generative engine optimisation companies in the uk")</f>
        <v>The 10 best generative engine optimisation companies in the uk</v>
      </c>
      <c r="C132" s="14" t="str">
        <f>IFERROR(__xludf.DUMMYFUNCTION("""COMPUTED_VALUE"""),"neuraladx.com")</f>
        <v>neuraladx.com</v>
      </c>
      <c r="D132" s="15" t="str">
        <f>IFERROR(__xludf.DUMMYFUNCTION("""COMPUTED_VALUE"""),"LISTICLE")</f>
        <v>LISTICLE</v>
      </c>
      <c r="E132" s="15" t="str">
        <f>IFERROR(__xludf.DUMMYFUNCTION("""COMPUTED_VALUE"""),"UGC")</f>
        <v>UGC</v>
      </c>
      <c r="F132" s="15" t="str">
        <f>IFERROR(__xludf.DUMMYFUNCTION("""COMPUTED_VALUE"""),"Listicle")</f>
        <v>Listicle</v>
      </c>
      <c r="G132" s="15" t="b">
        <f>IFERROR(__xludf.DUMMYFUNCTION("""COMPUTED_VALUE"""),FALSE)</f>
        <v>0</v>
      </c>
      <c r="H132" s="15" t="str">
        <f>IFERROR(__xludf.DUMMYFUNCTION("""COMPUTED_VALUE"""),"Measured, Found, Bird Marketing, The SEO Works, Digital Landscope, Varn, Exposure Ninja, Momentum, Blue Array")</f>
        <v>Measured, Found, Bird Marketing, The SEO Works, Digital Landscope, Varn, Exposure Ninja, Momentum, Blue Array</v>
      </c>
      <c r="I132" s="15">
        <f>IFERROR(__xludf.DUMMYFUNCTION("""COMPUTED_VALUE"""),11.0)</f>
        <v>11</v>
      </c>
      <c r="J132" s="15">
        <f>IFERROR(__xludf.DUMMYFUNCTION("""COMPUTED_VALUE"""),0.01)</f>
        <v>0.01</v>
      </c>
      <c r="K132" s="15">
        <f>IFERROR(__xludf.DUMMYFUNCTION("""COMPUTED_VALUE"""),1.27)</f>
        <v>1.27</v>
      </c>
    </row>
    <row r="133" ht="15.75" customHeight="1">
      <c r="A133" s="14" t="str">
        <f>IFERROR(__xludf.DUMMYFUNCTION("""COMPUTED_VALUE"""),"https://open.partners/open-partners-insights/best-full-service-agencies-uk/")</f>
        <v>https://open.partners/open-partners-insights/best-full-service-agencies-uk/</v>
      </c>
      <c r="B133" s="15" t="str">
        <f>IFERROR(__xludf.DUMMYFUNCTION("""COMPUTED_VALUE"""),"Best Full-Service Marketing Agencies UK | Open Partners")</f>
        <v>Best Full-Service Marketing Agencies UK | Open Partners</v>
      </c>
      <c r="C133" s="15" t="str">
        <f>IFERROR(__xludf.DUMMYFUNCTION("""COMPUTED_VALUE"""),"open.partners")</f>
        <v>open.partners</v>
      </c>
      <c r="D133" s="15" t="str">
        <f>IFERROR(__xludf.DUMMYFUNCTION("""COMPUTED_VALUE"""),"LISTICLE")</f>
        <v>LISTICLE</v>
      </c>
      <c r="E133" s="15" t="str">
        <f>IFERROR(__xludf.DUMMYFUNCTION("""COMPUTED_VALUE"""),"COMPETITOR")</f>
        <v>COMPETITOR</v>
      </c>
      <c r="F133" s="15" t="str">
        <f>IFERROR(__xludf.DUMMYFUNCTION("""COMPUTED_VALUE"""),"Listicle")</f>
        <v>Listicle</v>
      </c>
      <c r="G133" s="15" t="b">
        <f>IFERROR(__xludf.DUMMYFUNCTION("""COMPUTED_VALUE"""),FALSE)</f>
        <v>0</v>
      </c>
      <c r="H133" s="15" t="str">
        <f>IFERROR(__xludf.DUMMYFUNCTION("""COMPUTED_VALUE"""),"Open Partners, Measured, VCCP, Ogilvy, WPP, Dept, Jellyfish, Brandtech, Gripped, Impression, Accenture Song")</f>
        <v>Open Partners, Measured, VCCP, Ogilvy, WPP, Dept, Jellyfish, Brandtech, Gripped, Impression, Accenture Song</v>
      </c>
      <c r="I133" s="15">
        <f>IFERROR(__xludf.DUMMYFUNCTION("""COMPUTED_VALUE"""),11.0)</f>
        <v>11</v>
      </c>
      <c r="J133" s="15">
        <f>IFERROR(__xludf.DUMMYFUNCTION("""COMPUTED_VALUE"""),0.01)</f>
        <v>0.01</v>
      </c>
      <c r="K133" s="15">
        <f>IFERROR(__xludf.DUMMYFUNCTION("""COMPUTED_VALUE"""),0.0)</f>
        <v>0</v>
      </c>
    </row>
    <row r="134" ht="15.75" customHeight="1">
      <c r="A134" s="14" t="str">
        <f>IFERROR(__xludf.DUMMYFUNCTION("""COMPUTED_VALUE"""),"https://thedigitalmaze.com/blog/top-10-digital-marketing-agencies-in-the-uk-2026/")</f>
        <v>https://thedigitalmaze.com/blog/top-10-digital-marketing-agencies-in-the-uk-2026/</v>
      </c>
      <c r="B134" s="15" t="str">
        <f>IFERROR(__xludf.DUMMYFUNCTION("""COMPUTED_VALUE"""),"Top 10 Digital Marketing Agencies in the UK (2026)")</f>
        <v>Top 10 Digital Marketing Agencies in the UK (2026)</v>
      </c>
      <c r="C134" s="14" t="str">
        <f>IFERROR(__xludf.DUMMYFUNCTION("""COMPUTED_VALUE"""),"thedigitalmaze.com")</f>
        <v>thedigitalmaze.com</v>
      </c>
      <c r="D134" s="15" t="str">
        <f>IFERROR(__xludf.DUMMYFUNCTION("""COMPUTED_VALUE"""),"LISTICLE")</f>
        <v>LISTICLE</v>
      </c>
      <c r="E134" s="15" t="str">
        <f>IFERROR(__xludf.DUMMYFUNCTION("""COMPUTED_VALUE"""),"OTHER")</f>
        <v>OTHER</v>
      </c>
      <c r="F134" s="15" t="str">
        <f>IFERROR(__xludf.DUMMYFUNCTION("""COMPUTED_VALUE"""),"Listicle")</f>
        <v>Listicle</v>
      </c>
      <c r="G134" s="15" t="b">
        <f>IFERROR(__xludf.DUMMYFUNCTION("""COMPUTED_VALUE"""),FALSE)</f>
        <v>0</v>
      </c>
      <c r="H134" s="15" t="str">
        <f>IFERROR(__xludf.DUMMYFUNCTION("""COMPUTED_VALUE"""),"Push, Impression, Croud, Journey Further, Rise at Seven, Bird Marketing, ClickSlice")</f>
        <v>Push, Impression, Croud, Journey Further, Rise at Seven, Bird Marketing, ClickSlice</v>
      </c>
      <c r="I134" s="15">
        <f>IFERROR(__xludf.DUMMYFUNCTION("""COMPUTED_VALUE"""),11.0)</f>
        <v>11</v>
      </c>
      <c r="J134" s="15">
        <f>IFERROR(__xludf.DUMMYFUNCTION("""COMPUTED_VALUE"""),0.01)</f>
        <v>0.01</v>
      </c>
      <c r="K134" s="15">
        <f>IFERROR(__xludf.DUMMYFUNCTION("""COMPUTED_VALUE"""),0.64)</f>
        <v>0.64</v>
      </c>
    </row>
    <row r="135" ht="15.75" customHeight="1">
      <c r="A135" s="14" t="str">
        <f>IFERROR(__xludf.DUMMYFUNCTION("""COMPUTED_VALUE"""),"https://www.wearetenet.com/blog/best-geo-agencies-london")</f>
        <v>https://www.wearetenet.com/blog/best-geo-agencies-london</v>
      </c>
      <c r="B135" s="15" t="str">
        <f>IFERROR(__xludf.DUMMYFUNCTION("""COMPUTED_VALUE"""),"10 Best GEO Agencies in London to Hire in 2026")</f>
        <v>10 Best GEO Agencies in London to Hire in 2026</v>
      </c>
      <c r="C135" s="14" t="str">
        <f>IFERROR(__xludf.DUMMYFUNCTION("""COMPUTED_VALUE"""),"wearetenet.com")</f>
        <v>wearetenet.com</v>
      </c>
      <c r="D135" s="15" t="str">
        <f>IFERROR(__xludf.DUMMYFUNCTION("""COMPUTED_VALUE"""),"LISTICLE")</f>
        <v>LISTICLE</v>
      </c>
      <c r="E135" s="15" t="str">
        <f>IFERROR(__xludf.DUMMYFUNCTION("""COMPUTED_VALUE"""),"CORPORATE")</f>
        <v>CORPORATE</v>
      </c>
      <c r="F135" s="15" t="str">
        <f>IFERROR(__xludf.DUMMYFUNCTION("""COMPUTED_VALUE"""),"Listicle")</f>
        <v>Listicle</v>
      </c>
      <c r="G135" s="15" t="b">
        <f>IFERROR(__xludf.DUMMYFUNCTION("""COMPUTED_VALUE"""),FALSE)</f>
        <v>0</v>
      </c>
      <c r="H135" s="15" t="str">
        <f>IFERROR(__xludf.DUMMYFUNCTION("""COMPUTED_VALUE"""),"Found, Genie Crawl, ClickSlice, GA Agency, Buried Agency, Bird Marketing, Passion Digital, Measured, Hallam, Favoured")</f>
        <v>Found, Genie Crawl, ClickSlice, GA Agency, Buried Agency, Bird Marketing, Passion Digital, Measured, Hallam, Favoured</v>
      </c>
      <c r="I135" s="15">
        <f>IFERROR(__xludf.DUMMYFUNCTION("""COMPUTED_VALUE"""),11.0)</f>
        <v>11</v>
      </c>
      <c r="J135" s="15">
        <f>IFERROR(__xludf.DUMMYFUNCTION("""COMPUTED_VALUE"""),0.01)</f>
        <v>0.01</v>
      </c>
      <c r="K135" s="15">
        <f>IFERROR(__xludf.DUMMYFUNCTION("""COMPUTED_VALUE"""),0.27)</f>
        <v>0.27</v>
      </c>
    </row>
    <row r="136" ht="15.75" customHeight="1">
      <c r="A136" s="14" t="str">
        <f>IFERROR(__xludf.DUMMYFUNCTION("""COMPUTED_VALUE"""),"https://www.clickslice.co.uk/best-ai-aeo-agencies-uk/")</f>
        <v>https://www.clickslice.co.uk/best-ai-aeo-agencies-uk/</v>
      </c>
      <c r="B136" s="15" t="str">
        <f>IFERROR(__xludf.DUMMYFUNCTION("""COMPUTED_VALUE"""),"6 Best AI Answer Engine Optimisation Agencies in the UK (2026)")</f>
        <v>6 Best AI Answer Engine Optimisation Agencies in the UK (2026)</v>
      </c>
      <c r="C136" s="14" t="str">
        <f>IFERROR(__xludf.DUMMYFUNCTION("""COMPUTED_VALUE"""),"clickslice.co.uk")</f>
        <v>clickslice.co.uk</v>
      </c>
      <c r="D136" s="15" t="str">
        <f>IFERROR(__xludf.DUMMYFUNCTION("""COMPUTED_VALUE"""),"LISTICLE")</f>
        <v>LISTICLE</v>
      </c>
      <c r="E136" s="15" t="str">
        <f>IFERROR(__xludf.DUMMYFUNCTION("""COMPUTED_VALUE"""),"COMPETITOR")</f>
        <v>COMPETITOR</v>
      </c>
      <c r="F136" s="15" t="str">
        <f>IFERROR(__xludf.DUMMYFUNCTION("""COMPUTED_VALUE"""),"Listicle")</f>
        <v>Listicle</v>
      </c>
      <c r="G136" s="15" t="b">
        <f>IFERROR(__xludf.DUMMYFUNCTION("""COMPUTED_VALUE"""),FALSE)</f>
        <v>0</v>
      </c>
      <c r="H136" s="15" t="str">
        <f>IFERROR(__xludf.DUMMYFUNCTION("""COMPUTED_VALUE"""),"ClickSlice")</f>
        <v>ClickSlice</v>
      </c>
      <c r="I136" s="15">
        <f>IFERROR(__xludf.DUMMYFUNCTION("""COMPUTED_VALUE"""),10.0)</f>
        <v>10</v>
      </c>
      <c r="J136" s="15">
        <f>IFERROR(__xludf.DUMMYFUNCTION("""COMPUTED_VALUE"""),0.01)</f>
        <v>0.01</v>
      </c>
      <c r="K136" s="15">
        <f>IFERROR(__xludf.DUMMYFUNCTION("""COMPUTED_VALUE"""),0.5)</f>
        <v>0.5</v>
      </c>
    </row>
    <row r="137" ht="15.75" customHeight="1">
      <c r="A137" s="14" t="str">
        <f>IFERROR(__xludf.DUMMYFUNCTION("""COMPUTED_VALUE"""),"https://www.expertsure.com/uk/ai-tools/best-ai-consultants/")</f>
        <v>https://www.expertsure.com/uk/ai-tools/best-ai-consultants/</v>
      </c>
      <c r="B137" s="15" t="str">
        <f>IFERROR(__xludf.DUMMYFUNCTION("""COMPUTED_VALUE"""),"Best AI Automation Consultants UK 2026 | ExpertSure")</f>
        <v>Best AI Automation Consultants UK 2026 | ExpertSure</v>
      </c>
      <c r="C137" s="14" t="str">
        <f>IFERROR(__xludf.DUMMYFUNCTION("""COMPUTED_VALUE"""),"expertsure.com")</f>
        <v>expertsure.com</v>
      </c>
      <c r="D137" s="15" t="str">
        <f>IFERROR(__xludf.DUMMYFUNCTION("""COMPUTED_VALUE"""),"LISTICLE")</f>
        <v>LISTICLE</v>
      </c>
      <c r="E137" s="15" t="str">
        <f>IFERROR(__xludf.DUMMYFUNCTION("""COMPUTED_VALUE"""),"REFERENCE")</f>
        <v>REFERENCE</v>
      </c>
      <c r="F137" s="15" t="str">
        <f>IFERROR(__xludf.DUMMYFUNCTION("""COMPUTED_VALUE"""),"Listicle")</f>
        <v>Listicle</v>
      </c>
      <c r="G137" s="15" t="b">
        <f>IFERROR(__xludf.DUMMYFUNCTION("""COMPUTED_VALUE"""),FALSE)</f>
        <v>0</v>
      </c>
      <c r="H137" s="15" t="str">
        <f>IFERROR(__xludf.DUMMYFUNCTION("""COMPUTED_VALUE"""),"Found, Momentum, ClickSlice")</f>
        <v>Found, Momentum, ClickSlice</v>
      </c>
      <c r="I137" s="15">
        <f>IFERROR(__xludf.DUMMYFUNCTION("""COMPUTED_VALUE"""),10.0)</f>
        <v>10</v>
      </c>
      <c r="J137" s="15">
        <f>IFERROR(__xludf.DUMMYFUNCTION("""COMPUTED_VALUE"""),0.01)</f>
        <v>0.01</v>
      </c>
      <c r="K137" s="15">
        <f>IFERROR(__xludf.DUMMYFUNCTION("""COMPUTED_VALUE"""),0.0)</f>
        <v>0</v>
      </c>
    </row>
    <row r="138" ht="15.75" customHeight="1">
      <c r="A138" s="14" t="str">
        <f>IFERROR(__xludf.DUMMYFUNCTION("""COMPUTED_VALUE"""),"https://www.gambitagency.co.uk/blog/10-best-paid-social-agencies")</f>
        <v>https://www.gambitagency.co.uk/blog/10-best-paid-social-agencies</v>
      </c>
      <c r="B138" s="15" t="str">
        <f>IFERROR(__xludf.DUMMYFUNCTION("""COMPUTED_VALUE"""),"Top 10 Paid Social Agencies UK 2025 - Gambit Agency")</f>
        <v>Top 10 Paid Social Agencies UK 2025 - Gambit Agency</v>
      </c>
      <c r="C138" s="14" t="str">
        <f>IFERROR(__xludf.DUMMYFUNCTION("""COMPUTED_VALUE"""),"gambitagency.co.uk")</f>
        <v>gambitagency.co.uk</v>
      </c>
      <c r="D138" s="15" t="str">
        <f>IFERROR(__xludf.DUMMYFUNCTION("""COMPUTED_VALUE"""),"LISTICLE")</f>
        <v>LISTICLE</v>
      </c>
      <c r="E138" s="15" t="str">
        <f>IFERROR(__xludf.DUMMYFUNCTION("""COMPUTED_VALUE"""),"CORPORATE")</f>
        <v>CORPORATE</v>
      </c>
      <c r="F138" s="15" t="str">
        <f>IFERROR(__xludf.DUMMYFUNCTION("""COMPUTED_VALUE"""),"Listicle")</f>
        <v>Listicle</v>
      </c>
      <c r="G138" s="15" t="b">
        <f>IFERROR(__xludf.DUMMYFUNCTION("""COMPUTED_VALUE"""),FALSE)</f>
        <v>0</v>
      </c>
      <c r="H138" s="15" t="str">
        <f>IFERROR(__xludf.DUMMYFUNCTION("""COMPUTED_VALUE"""),"The Social Shepherd, Impression, Found, Soap Media, Make Agency, Disrupt Marketing")</f>
        <v>The Social Shepherd, Impression, Found, Soap Media, Make Agency, Disrupt Marketing</v>
      </c>
      <c r="I138" s="15">
        <f>IFERROR(__xludf.DUMMYFUNCTION("""COMPUTED_VALUE"""),10.0)</f>
        <v>10</v>
      </c>
      <c r="J138" s="15">
        <f>IFERROR(__xludf.DUMMYFUNCTION("""COMPUTED_VALUE"""),0.01)</f>
        <v>0.01</v>
      </c>
      <c r="K138" s="15">
        <f>IFERROR(__xludf.DUMMYFUNCTION("""COMPUTED_VALUE"""),0.2)</f>
        <v>0.2</v>
      </c>
    </row>
    <row r="139" ht="15.75" customHeight="1">
      <c r="A139" s="14" t="str">
        <f>IFERROR(__xludf.DUMMYFUNCTION("""COMPUTED_VALUE"""),"https://www.gwi.com/blog/market-research-companies-uk")</f>
        <v>https://www.gwi.com/blog/market-research-companies-uk</v>
      </c>
      <c r="B139" s="15" t="str">
        <f>IFERROR(__xludf.DUMMYFUNCTION("""COMPUTED_VALUE"""),"20+ Market Research Companies In The UK For Consumer Insights (2026)")</f>
        <v>20+ Market Research Companies In The UK For Consumer Insights (2026)</v>
      </c>
      <c r="C139" s="14" t="str">
        <f>IFERROR(__xludf.DUMMYFUNCTION("""COMPUTED_VALUE"""),"gwi.com")</f>
        <v>gwi.com</v>
      </c>
      <c r="D139" s="15" t="str">
        <f>IFERROR(__xludf.DUMMYFUNCTION("""COMPUTED_VALUE"""),"LISTICLE")</f>
        <v>LISTICLE</v>
      </c>
      <c r="E139" s="15" t="str">
        <f>IFERROR(__xludf.DUMMYFUNCTION("""COMPUTED_VALUE"""),"CORPORATE")</f>
        <v>CORPORATE</v>
      </c>
      <c r="F139" s="15" t="str">
        <f>IFERROR(__xludf.DUMMYFUNCTION("""COMPUTED_VALUE"""),"Listicle")</f>
        <v>Listicle</v>
      </c>
      <c r="G139" s="15" t="b">
        <f>IFERROR(__xludf.DUMMYFUNCTION("""COMPUTED_VALUE"""),FALSE)</f>
        <v>0</v>
      </c>
      <c r="H139" s="15" t="str">
        <f>IFERROR(__xludf.DUMMYFUNCTION("""COMPUTED_VALUE"""),"WPP, Kantar, Nielsen, YouGov")</f>
        <v>WPP, Kantar, Nielsen, YouGov</v>
      </c>
      <c r="I139" s="15">
        <f>IFERROR(__xludf.DUMMYFUNCTION("""COMPUTED_VALUE"""),10.0)</f>
        <v>10</v>
      </c>
      <c r="J139" s="15">
        <f>IFERROR(__xludf.DUMMYFUNCTION("""COMPUTED_VALUE"""),0.01)</f>
        <v>0.01</v>
      </c>
      <c r="K139" s="15">
        <f>IFERROR(__xludf.DUMMYFUNCTION("""COMPUTED_VALUE"""),1.3)</f>
        <v>1.3</v>
      </c>
    </row>
    <row r="140" ht="15.75" customHeight="1">
      <c r="A140" s="14" t="str">
        <f>IFERROR(__xludf.DUMMYFUNCTION("""COMPUTED_VALUE"""),"https://www.icreativez.com/marketing-companies-by-country/industry-leading-digital-marketing-partners-uk-2026.html")</f>
        <v>https://www.icreativez.com/marketing-companies-by-country/industry-leading-digital-marketing-partners-uk-2026.html</v>
      </c>
      <c r="B140" s="15" t="str">
        <f>IFERROR(__xludf.DUMMYFUNCTION("""COMPUTED_VALUE"""),"10 Industry-Leading Digital Marketing Partners in UK | Definitive List 2026")</f>
        <v>10 Industry-Leading Digital Marketing Partners in UK | Definitive List 2026</v>
      </c>
      <c r="C140" s="14" t="str">
        <f>IFERROR(__xludf.DUMMYFUNCTION("""COMPUTED_VALUE"""),"icreativez.com")</f>
        <v>icreativez.com</v>
      </c>
      <c r="D140" s="15" t="str">
        <f>IFERROR(__xludf.DUMMYFUNCTION("""COMPUTED_VALUE"""),"LISTICLE")</f>
        <v>LISTICLE</v>
      </c>
      <c r="E140" s="15" t="str">
        <f>IFERROR(__xludf.DUMMYFUNCTION("""COMPUTED_VALUE"""),"OTHER")</f>
        <v>OTHER</v>
      </c>
      <c r="F140" s="15" t="str">
        <f>IFERROR(__xludf.DUMMYFUNCTION("""COMPUTED_VALUE"""),"Listicle")</f>
        <v>Listicle</v>
      </c>
      <c r="G140" s="15" t="b">
        <f>IFERROR(__xludf.DUMMYFUNCTION("""COMPUTED_VALUE"""),FALSE)</f>
        <v>0</v>
      </c>
      <c r="H140" s="15"/>
      <c r="I140" s="15">
        <f>IFERROR(__xludf.DUMMYFUNCTION("""COMPUTED_VALUE"""),10.0)</f>
        <v>10</v>
      </c>
      <c r="J140" s="15">
        <f>IFERROR(__xludf.DUMMYFUNCTION("""COMPUTED_VALUE"""),0.01)</f>
        <v>0.01</v>
      </c>
      <c r="K140" s="15">
        <f>IFERROR(__xludf.DUMMYFUNCTION("""COMPUTED_VALUE"""),0.0)</f>
        <v>0</v>
      </c>
    </row>
    <row r="141" ht="15.75" customHeight="1">
      <c r="A141" s="14" t="str">
        <f>IFERROR(__xludf.DUMMYFUNCTION("""COMPUTED_VALUE"""),"https://limeup.io/blog/digital-marketing-agency/")</f>
        <v>https://limeup.io/blog/digital-marketing-agency/</v>
      </c>
      <c r="B141" s="15" t="str">
        <f>IFERROR(__xludf.DUMMYFUNCTION("""COMPUTED_VALUE"""),"Top 15 Digital Marketing Agencies in the UK (2026)")</f>
        <v>Top 15 Digital Marketing Agencies in the UK (2026)</v>
      </c>
      <c r="C141" s="14" t="str">
        <f>IFERROR(__xludf.DUMMYFUNCTION("""COMPUTED_VALUE"""),"limeup.io")</f>
        <v>limeup.io</v>
      </c>
      <c r="D141" s="15" t="str">
        <f>IFERROR(__xludf.DUMMYFUNCTION("""COMPUTED_VALUE"""),"LISTICLE")</f>
        <v>LISTICLE</v>
      </c>
      <c r="E141" s="15" t="str">
        <f>IFERROR(__xludf.DUMMYFUNCTION("""COMPUTED_VALUE"""),"CORPORATE")</f>
        <v>CORPORATE</v>
      </c>
      <c r="F141" s="15" t="str">
        <f>IFERROR(__xludf.DUMMYFUNCTION("""COMPUTED_VALUE"""),"Listicle")</f>
        <v>Listicle</v>
      </c>
      <c r="G141" s="15" t="b">
        <f>IFERROR(__xludf.DUMMYFUNCTION("""COMPUTED_VALUE"""),FALSE)</f>
        <v>0</v>
      </c>
      <c r="H141" s="15" t="str">
        <f>IFERROR(__xludf.DUMMYFUNCTION("""COMPUTED_VALUE"""),"Passion Digital, McKinsey &amp; Company, Huge")</f>
        <v>Passion Digital, McKinsey &amp; Company, Huge</v>
      </c>
      <c r="I141" s="15">
        <f>IFERROR(__xludf.DUMMYFUNCTION("""COMPUTED_VALUE"""),10.0)</f>
        <v>10</v>
      </c>
      <c r="J141" s="15">
        <f>IFERROR(__xludf.DUMMYFUNCTION("""COMPUTED_VALUE"""),0.01)</f>
        <v>0.01</v>
      </c>
      <c r="K141" s="15">
        <f>IFERROR(__xludf.DUMMYFUNCTION("""COMPUTED_VALUE"""),0.0)</f>
        <v>0</v>
      </c>
    </row>
    <row r="142" ht="15.75" customHeight="1">
      <c r="A142" s="14" t="str">
        <f>IFERROR(__xludf.DUMMYFUNCTION("""COMPUTED_VALUE"""),"https://www.margen.net/best-geo-agencies-uk-2026-the-complete-comparison-guide/")</f>
        <v>https://www.margen.net/best-geo-agencies-uk-2026-the-complete-comparison-guide/</v>
      </c>
      <c r="B142" s="15" t="str">
        <f>IFERROR(__xludf.DUMMYFUNCTION("""COMPUTED_VALUE"""),"Best GEO Agencies UK 2026: The Complete Comparison Guide | MarGen")</f>
        <v>Best GEO Agencies UK 2026: The Complete Comparison Guide | MarGen</v>
      </c>
      <c r="C142" s="14" t="str">
        <f>IFERROR(__xludf.DUMMYFUNCTION("""COMPUTED_VALUE"""),"margen.net")</f>
        <v>margen.net</v>
      </c>
      <c r="D142" s="15" t="str">
        <f>IFERROR(__xludf.DUMMYFUNCTION("""COMPUTED_VALUE"""),"LISTICLE")</f>
        <v>LISTICLE</v>
      </c>
      <c r="E142" s="15" t="str">
        <f>IFERROR(__xludf.DUMMYFUNCTION("""COMPUTED_VALUE"""),"CORPORATE")</f>
        <v>CORPORATE</v>
      </c>
      <c r="F142" s="15" t="str">
        <f>IFERROR(__xludf.DUMMYFUNCTION("""COMPUTED_VALUE"""),"Listicle")</f>
        <v>Listicle</v>
      </c>
      <c r="G142" s="15" t="b">
        <f>IFERROR(__xludf.DUMMYFUNCTION("""COMPUTED_VALUE"""),FALSE)</f>
        <v>0</v>
      </c>
      <c r="H142" s="15" t="str">
        <f>IFERROR(__xludf.DUMMYFUNCTION("""COMPUTED_VALUE"""),"Buried Agency, ClickSlice, Found, Whitehat, Hallam, Passion Digital, Bird Marketing")</f>
        <v>Buried Agency, ClickSlice, Found, Whitehat, Hallam, Passion Digital, Bird Marketing</v>
      </c>
      <c r="I142" s="15">
        <f>IFERROR(__xludf.DUMMYFUNCTION("""COMPUTED_VALUE"""),10.0)</f>
        <v>10</v>
      </c>
      <c r="J142" s="15">
        <f>IFERROR(__xludf.DUMMYFUNCTION("""COMPUTED_VALUE"""),0.01)</f>
        <v>0.01</v>
      </c>
      <c r="K142" s="15">
        <f>IFERROR(__xludf.DUMMYFUNCTION("""COMPUTED_VALUE"""),1.0)</f>
        <v>1</v>
      </c>
    </row>
    <row r="143" ht="15.75" customHeight="1">
      <c r="A143" s="14" t="str">
        <f>IFERROR(__xludf.DUMMYFUNCTION("""COMPUTED_VALUE"""),"https://www.rank4ai.co.uk/research/rankings/best-ai-seo-agencies-uk/")</f>
        <v>https://www.rank4ai.co.uk/research/rankings/best-ai-seo-agencies-uk/</v>
      </c>
      <c r="B143" s="15" t="str">
        <f>IFERROR(__xludf.DUMMYFUNCTION("""COMPUTED_VALUE"""),"Best AI SEO Agencies UK 2026 | Rank4AI")</f>
        <v>Best AI SEO Agencies UK 2026 | Rank4AI</v>
      </c>
      <c r="C143" s="14" t="str">
        <f>IFERROR(__xludf.DUMMYFUNCTION("""COMPUTED_VALUE"""),"rank4ai.co.uk")</f>
        <v>rank4ai.co.uk</v>
      </c>
      <c r="D143" s="15" t="str">
        <f>IFERROR(__xludf.DUMMYFUNCTION("""COMPUTED_VALUE"""),"LISTICLE")</f>
        <v>LISTICLE</v>
      </c>
      <c r="E143" s="15" t="str">
        <f>IFERROR(__xludf.DUMMYFUNCTION("""COMPUTED_VALUE"""),"COMPETITOR")</f>
        <v>COMPETITOR</v>
      </c>
      <c r="F143" s="15" t="str">
        <f>IFERROR(__xludf.DUMMYFUNCTION("""COMPUTED_VALUE"""),"Listicle")</f>
        <v>Listicle</v>
      </c>
      <c r="G143" s="15" t="b">
        <f>IFERROR(__xludf.DUMMYFUNCTION("""COMPUTED_VALUE"""),FALSE)</f>
        <v>0</v>
      </c>
      <c r="H143" s="15" t="str">
        <f>IFERROR(__xludf.DUMMYFUNCTION("""COMPUTED_VALUE"""),"Rank4AI, Measured, Varn, Found, Buried Agency")</f>
        <v>Rank4AI, Measured, Varn, Found, Buried Agency</v>
      </c>
      <c r="I143" s="15">
        <f>IFERROR(__xludf.DUMMYFUNCTION("""COMPUTED_VALUE"""),10.0)</f>
        <v>10</v>
      </c>
      <c r="J143" s="15">
        <f>IFERROR(__xludf.DUMMYFUNCTION("""COMPUTED_VALUE"""),0.01)</f>
        <v>0.01</v>
      </c>
      <c r="K143" s="15">
        <f>IFERROR(__xludf.DUMMYFUNCTION("""COMPUTED_VALUE"""),0.9)</f>
        <v>0.9</v>
      </c>
    </row>
    <row r="144" ht="15.75" customHeight="1">
      <c r="A144" s="14" t="str">
        <f>IFERROR(__xludf.DUMMYFUNCTION("""COMPUTED_VALUE"""),"https://www.rankshift.ai/blog/best-geo-agencies/")</f>
        <v>https://www.rankshift.ai/blog/best-geo-agencies/</v>
      </c>
      <c r="B144" s="15" t="str">
        <f>IFERROR(__xludf.DUMMYFUNCTION("""COMPUTED_VALUE"""),"20 Best GEO Agencies in 2026 for Generative Engine Optimization")</f>
        <v>20 Best GEO Agencies in 2026 for Generative Engine Optimization</v>
      </c>
      <c r="C144" s="14" t="str">
        <f>IFERROR(__xludf.DUMMYFUNCTION("""COMPUTED_VALUE"""),"rankshift.ai")</f>
        <v>rankshift.ai</v>
      </c>
      <c r="D144" s="15" t="str">
        <f>IFERROR(__xludf.DUMMYFUNCTION("""COMPUTED_VALUE"""),"LISTICLE")</f>
        <v>LISTICLE</v>
      </c>
      <c r="E144" s="15" t="str">
        <f>IFERROR(__xludf.DUMMYFUNCTION("""COMPUTED_VALUE"""),"CORPORATE")</f>
        <v>CORPORATE</v>
      </c>
      <c r="F144" s="15" t="str">
        <f>IFERROR(__xludf.DUMMYFUNCTION("""COMPUTED_VALUE"""),"Listicle")</f>
        <v>Listicle</v>
      </c>
      <c r="G144" s="15" t="b">
        <f>IFERROR(__xludf.DUMMYFUNCTION("""COMPUTED_VALUE"""),FALSE)</f>
        <v>0</v>
      </c>
      <c r="H144" s="15" t="str">
        <f>IFERROR(__xludf.DUMMYFUNCTION("""COMPUTED_VALUE"""),"Found, WebFX")</f>
        <v>Found, WebFX</v>
      </c>
      <c r="I144" s="15">
        <f>IFERROR(__xludf.DUMMYFUNCTION("""COMPUTED_VALUE"""),10.0)</f>
        <v>10</v>
      </c>
      <c r="J144" s="15">
        <f>IFERROR(__xludf.DUMMYFUNCTION("""COMPUTED_VALUE"""),0.01)</f>
        <v>0.01</v>
      </c>
      <c r="K144" s="15">
        <f>IFERROR(__xludf.DUMMYFUNCTION("""COMPUTED_VALUE"""),0.2)</f>
        <v>0.2</v>
      </c>
    </row>
    <row r="145" ht="15.75" customHeight="1">
      <c r="A145" s="14" t="str">
        <f>IFERROR(__xludf.DUMMYFUNCTION("""COMPUTED_VALUE"""),"https://segmentstream.com/blog/articles/top-10-incrementality-testing-tools")</f>
        <v>https://segmentstream.com/blog/articles/top-10-incrementality-testing-tools</v>
      </c>
      <c r="B145" s="15" t="str">
        <f>IFERROR(__xludf.DUMMYFUNCTION("""COMPUTED_VALUE"""),"10 Best Incrementality Testing Tools (2026) — SegmentStream")</f>
        <v>10 Best Incrementality Testing Tools (2026) — SegmentStream</v>
      </c>
      <c r="C145" s="14" t="str">
        <f>IFERROR(__xludf.DUMMYFUNCTION("""COMPUTED_VALUE"""),"segmentstream.com")</f>
        <v>segmentstream.com</v>
      </c>
      <c r="D145" s="15" t="str">
        <f>IFERROR(__xludf.DUMMYFUNCTION("""COMPUTED_VALUE"""),"LISTICLE")</f>
        <v>LISTICLE</v>
      </c>
      <c r="E145" s="15" t="str">
        <f>IFERROR(__xludf.DUMMYFUNCTION("""COMPUTED_VALUE"""),"COMPETITOR")</f>
        <v>COMPETITOR</v>
      </c>
      <c r="F145" s="15" t="str">
        <f>IFERROR(__xludf.DUMMYFUNCTION("""COMPUTED_VALUE"""),"Listicle")</f>
        <v>Listicle</v>
      </c>
      <c r="G145" s="15" t="b">
        <f>IFERROR(__xludf.DUMMYFUNCTION("""COMPUTED_VALUE"""),FALSE)</f>
        <v>0</v>
      </c>
      <c r="H145" s="15" t="str">
        <f>IFERROR(__xludf.DUMMYFUNCTION("""COMPUTED_VALUE"""),"SegmentStream, Measured, Haus, Rockerbox, Recast")</f>
        <v>SegmentStream, Measured, Haus, Rockerbox, Recast</v>
      </c>
      <c r="I145" s="15">
        <f>IFERROR(__xludf.DUMMYFUNCTION("""COMPUTED_VALUE"""),10.0)</f>
        <v>10</v>
      </c>
      <c r="J145" s="15">
        <f>IFERROR(__xludf.DUMMYFUNCTION("""COMPUTED_VALUE"""),0.01)</f>
        <v>0.01</v>
      </c>
      <c r="K145" s="15">
        <f>IFERROR(__xludf.DUMMYFUNCTION("""COMPUTED_VALUE"""),1.7)</f>
        <v>1.7</v>
      </c>
    </row>
    <row r="146" ht="15.75" customHeight="1">
      <c r="A146" s="14" t="str">
        <f>IFERROR(__xludf.DUMMYFUNCTION("""COMPUTED_VALUE"""),"https://www.superhub.biz/top-5-aeo-and-geo-agencies-uk-2026")</f>
        <v>https://www.superhub.biz/top-5-aeo-and-geo-agencies-uk-2026</v>
      </c>
      <c r="B146" s="15" t="str">
        <f>IFERROR(__xludf.DUMMYFUNCTION("""COMPUTED_VALUE"""),"Top 5 AEO and GEO Agencies UK 2026 (Compared)")</f>
        <v>Top 5 AEO and GEO Agencies UK 2026 (Compared)</v>
      </c>
      <c r="C146" s="14" t="str">
        <f>IFERROR(__xludf.DUMMYFUNCTION("""COMPUTED_VALUE"""),"superhub.biz")</f>
        <v>superhub.biz</v>
      </c>
      <c r="D146" s="15" t="str">
        <f>IFERROR(__xludf.DUMMYFUNCTION("""COMPUTED_VALUE"""),"LISTICLE")</f>
        <v>LISTICLE</v>
      </c>
      <c r="E146" s="15" t="str">
        <f>IFERROR(__xludf.DUMMYFUNCTION("""COMPUTED_VALUE"""),"CORPORATE")</f>
        <v>CORPORATE</v>
      </c>
      <c r="F146" s="15" t="str">
        <f>IFERROR(__xludf.DUMMYFUNCTION("""COMPUTED_VALUE"""),"Listicle")</f>
        <v>Listicle</v>
      </c>
      <c r="G146" s="15" t="b">
        <f>IFERROR(__xludf.DUMMYFUNCTION("""COMPUTED_VALUE"""),FALSE)</f>
        <v>0</v>
      </c>
      <c r="H146" s="15" t="str">
        <f>IFERROR(__xludf.DUMMYFUNCTION("""COMPUTED_VALUE"""),"Tinuiti, Measured, The SEO Works, Charle Agency, Merkle")</f>
        <v>Tinuiti, Measured, The SEO Works, Charle Agency, Merkle</v>
      </c>
      <c r="I146" s="15">
        <f>IFERROR(__xludf.DUMMYFUNCTION("""COMPUTED_VALUE"""),10.0)</f>
        <v>10</v>
      </c>
      <c r="J146" s="15">
        <f>IFERROR(__xludf.DUMMYFUNCTION("""COMPUTED_VALUE"""),0.01)</f>
        <v>0.01</v>
      </c>
      <c r="K146" s="15">
        <f>IFERROR(__xludf.DUMMYFUNCTION("""COMPUTED_VALUE"""),0.1)</f>
        <v>0.1</v>
      </c>
    </row>
    <row r="147" ht="15.75" customHeight="1">
      <c r="A147" s="14" t="str">
        <f>IFERROR(__xludf.DUMMYFUNCTION("""COMPUTED_VALUE"""),"https://tilio.co.uk/blog/best-aeo-agencies-2026-uk")</f>
        <v>https://tilio.co.uk/blog/best-aeo-agencies-2026-uk</v>
      </c>
      <c r="B147" s="15" t="str">
        <f>IFERROR(__xludf.DUMMYFUNCTION("""COMPUTED_VALUE"""),"What are the best UK AEO Agencies in 2026? \| Tilio Blog")</f>
        <v>What are the best UK AEO Agencies in 2026? \| Tilio Blog</v>
      </c>
      <c r="C147" s="14" t="str">
        <f>IFERROR(__xludf.DUMMYFUNCTION("""COMPUTED_VALUE"""),"tilio.co.uk")</f>
        <v>tilio.co.uk</v>
      </c>
      <c r="D147" s="15" t="str">
        <f>IFERROR(__xludf.DUMMYFUNCTION("""COMPUTED_VALUE"""),"LISTICLE")</f>
        <v>LISTICLE</v>
      </c>
      <c r="E147" s="15" t="str">
        <f>IFERROR(__xludf.DUMMYFUNCTION("""COMPUTED_VALUE"""),"COMPETITOR")</f>
        <v>COMPETITOR</v>
      </c>
      <c r="F147" s="15" t="str">
        <f>IFERROR(__xludf.DUMMYFUNCTION("""COMPUTED_VALUE"""),"Listicle")</f>
        <v>Listicle</v>
      </c>
      <c r="G147" s="15" t="b">
        <f>IFERROR(__xludf.DUMMYFUNCTION("""COMPUTED_VALUE"""),FALSE)</f>
        <v>0</v>
      </c>
      <c r="H147" s="15" t="str">
        <f>IFERROR(__xludf.DUMMYFUNCTION("""COMPUTED_VALUE"""),"Tilio, Found, Passion Digital, ClickSlice, Momentum, The SEO Works, Digital Landscope, NoGood")</f>
        <v>Tilio, Found, Passion Digital, ClickSlice, Momentum, The SEO Works, Digital Landscope, NoGood</v>
      </c>
      <c r="I147" s="15">
        <f>IFERROR(__xludf.DUMMYFUNCTION("""COMPUTED_VALUE"""),10.0)</f>
        <v>10</v>
      </c>
      <c r="J147" s="15">
        <f>IFERROR(__xludf.DUMMYFUNCTION("""COMPUTED_VALUE"""),0.01)</f>
        <v>0.01</v>
      </c>
      <c r="K147" s="15">
        <f>IFERROR(__xludf.DUMMYFUNCTION("""COMPUTED_VALUE"""),0.0)</f>
        <v>0</v>
      </c>
    </row>
    <row r="148" ht="15.75" customHeight="1">
      <c r="A148" s="14" t="str">
        <f>IFERROR(__xludf.DUMMYFUNCTION("""COMPUTED_VALUE"""),"https://www.topseobrands.com/uk/best-display-advertising-firms-in-uk")</f>
        <v>https://www.topseobrands.com/uk/best-display-advertising-firms-in-uk</v>
      </c>
      <c r="B148" s="15" t="str">
        <f>IFERROR(__xludf.DUMMYFUNCTION("""COMPUTED_VALUE"""),"Best Display Advertising Firms in United Kingdom | Top SEO Brands")</f>
        <v>Best Display Advertising Firms in United Kingdom | Top SEO Brands</v>
      </c>
      <c r="C148" s="14" t="str">
        <f>IFERROR(__xludf.DUMMYFUNCTION("""COMPUTED_VALUE"""),"topseobrands.com")</f>
        <v>topseobrands.com</v>
      </c>
      <c r="D148" s="15" t="str">
        <f>IFERROR(__xludf.DUMMYFUNCTION("""COMPUTED_VALUE"""),"LISTICLE")</f>
        <v>LISTICLE</v>
      </c>
      <c r="E148" s="15" t="str">
        <f>IFERROR(__xludf.DUMMYFUNCTION("""COMPUTED_VALUE"""),"REFERENCE")</f>
        <v>REFERENCE</v>
      </c>
      <c r="F148" s="15" t="str">
        <f>IFERROR(__xludf.DUMMYFUNCTION("""COMPUTED_VALUE"""),"Listicle")</f>
        <v>Listicle</v>
      </c>
      <c r="G148" s="15" t="b">
        <f>IFERROR(__xludf.DUMMYFUNCTION("""COMPUTED_VALUE"""),FALSE)</f>
        <v>0</v>
      </c>
      <c r="H148" s="15" t="str">
        <f>IFERROR(__xludf.DUMMYFUNCTION("""COMPUTED_VALUE"""),"We Are Social, Found")</f>
        <v>We Are Social, Found</v>
      </c>
      <c r="I148" s="15">
        <f>IFERROR(__xludf.DUMMYFUNCTION("""COMPUTED_VALUE"""),10.0)</f>
        <v>10</v>
      </c>
      <c r="J148" s="15">
        <f>IFERROR(__xludf.DUMMYFUNCTION("""COMPUTED_VALUE"""),0.01)</f>
        <v>0.01</v>
      </c>
      <c r="K148" s="15">
        <f>IFERROR(__xludf.DUMMYFUNCTION("""COMPUTED_VALUE"""),0.0)</f>
        <v>0</v>
      </c>
    </row>
    <row r="149" ht="15.75" customHeight="1">
      <c r="A149" s="14" t="str">
        <f>IFERROR(__xludf.DUMMYFUNCTION("""COMPUTED_VALUE"""),"https://beomniscient.com/blog/best-ai-marketing-agencies/")</f>
        <v>https://beomniscient.com/blog/best-ai-marketing-agencies/</v>
      </c>
      <c r="B149" s="15" t="str">
        <f>IFERROR(__xludf.DUMMYFUNCTION("""COMPUTED_VALUE"""),"The 5 Best AI Marketing Agencies For B2B (2026 Update) - Omniscient Digital")</f>
        <v>The 5 Best AI Marketing Agencies For B2B (2026 Update) - Omniscient Digital</v>
      </c>
      <c r="C149" s="14" t="str">
        <f>IFERROR(__xludf.DUMMYFUNCTION("""COMPUTED_VALUE"""),"beomniscient.com")</f>
        <v>beomniscient.com</v>
      </c>
      <c r="D149" s="15" t="str">
        <f>IFERROR(__xludf.DUMMYFUNCTION("""COMPUTED_VALUE"""),"LISTICLE")</f>
        <v>LISTICLE</v>
      </c>
      <c r="E149" s="15" t="str">
        <f>IFERROR(__xludf.DUMMYFUNCTION("""COMPUTED_VALUE"""),"COMPETITOR")</f>
        <v>COMPETITOR</v>
      </c>
      <c r="F149" s="15" t="str">
        <f>IFERROR(__xludf.DUMMYFUNCTION("""COMPUTED_VALUE"""),"Listicle")</f>
        <v>Listicle</v>
      </c>
      <c r="G149" s="15" t="b">
        <f>IFERROR(__xludf.DUMMYFUNCTION("""COMPUTED_VALUE"""),FALSE)</f>
        <v>0</v>
      </c>
      <c r="H149" s="15" t="str">
        <f>IFERROR(__xludf.DUMMYFUNCTION("""COMPUTED_VALUE"""),"Omniscient Digital, NoGood, Daydream, Single Grain, Measured")</f>
        <v>Omniscient Digital, NoGood, Daydream, Single Grain, Measured</v>
      </c>
      <c r="I149" s="15">
        <f>IFERROR(__xludf.DUMMYFUNCTION("""COMPUTED_VALUE"""),9.0)</f>
        <v>9</v>
      </c>
      <c r="J149" s="15">
        <f>IFERROR(__xludf.DUMMYFUNCTION("""COMPUTED_VALUE"""),0.01)</f>
        <v>0.01</v>
      </c>
      <c r="K149" s="15">
        <f>IFERROR(__xludf.DUMMYFUNCTION("""COMPUTED_VALUE"""),2.11)</f>
        <v>2.11</v>
      </c>
    </row>
    <row r="150" ht="15.75" customHeight="1">
      <c r="A150" s="14" t="str">
        <f>IFERROR(__xludf.DUMMYFUNCTION("""COMPUTED_VALUE"""),"https://www.bluearray.co.uk/agency-directory/best-paid-social-agencies-in-the-uk/")</f>
        <v>https://www.bluearray.co.uk/agency-directory/best-paid-social-agencies-in-the-uk/</v>
      </c>
      <c r="B150" s="15" t="str">
        <f>IFERROR(__xludf.DUMMYFUNCTION("""COMPUTED_VALUE"""),"Best Paid Social Agencies in the UK - Blue Array SEO")</f>
        <v>Best Paid Social Agencies in the UK - Blue Array SEO</v>
      </c>
      <c r="C150" s="14" t="str">
        <f>IFERROR(__xludf.DUMMYFUNCTION("""COMPUTED_VALUE"""),"bluearray.co.uk")</f>
        <v>bluearray.co.uk</v>
      </c>
      <c r="D150" s="15" t="str">
        <f>IFERROR(__xludf.DUMMYFUNCTION("""COMPUTED_VALUE"""),"LISTICLE")</f>
        <v>LISTICLE</v>
      </c>
      <c r="E150" s="15" t="str">
        <f>IFERROR(__xludf.DUMMYFUNCTION("""COMPUTED_VALUE"""),"COMPETITOR")</f>
        <v>COMPETITOR</v>
      </c>
      <c r="F150" s="15" t="str">
        <f>IFERROR(__xludf.DUMMYFUNCTION("""COMPUTED_VALUE"""),"Listicle")</f>
        <v>Listicle</v>
      </c>
      <c r="G150" s="15" t="b">
        <f>IFERROR(__xludf.DUMMYFUNCTION("""COMPUTED_VALUE"""),FALSE)</f>
        <v>0</v>
      </c>
      <c r="H150" s="15" t="str">
        <f>IFERROR(__xludf.DUMMYFUNCTION("""COMPUTED_VALUE"""),"Blue Array, Bind Media, Launch Online, Disrupt Marketing")</f>
        <v>Blue Array, Bind Media, Launch Online, Disrupt Marketing</v>
      </c>
      <c r="I150" s="15">
        <f>IFERROR(__xludf.DUMMYFUNCTION("""COMPUTED_VALUE"""),9.0)</f>
        <v>9</v>
      </c>
      <c r="J150" s="15">
        <f>IFERROR(__xludf.DUMMYFUNCTION("""COMPUTED_VALUE"""),0.01)</f>
        <v>0.01</v>
      </c>
      <c r="K150" s="15">
        <f>IFERROR(__xludf.DUMMYFUNCTION("""COMPUTED_VALUE"""),0.22)</f>
        <v>0.22</v>
      </c>
    </row>
    <row r="151" ht="15.75" customHeight="1">
      <c r="A151" s="14" t="str">
        <f>IFERROR(__xludf.DUMMYFUNCTION("""COMPUTED_VALUE"""),"https://www.clickslice.co.uk/top-answer-engine-optimisation-agencies-uk/")</f>
        <v>https://www.clickslice.co.uk/top-answer-engine-optimisation-agencies-uk/</v>
      </c>
      <c r="B151" s="15" t="str">
        <f>IFERROR(__xludf.DUMMYFUNCTION("""COMPUTED_VALUE"""),"7 Top Answer Engine Optimisation (AEO) Specialists UK Brands Should Know")</f>
        <v>7 Top Answer Engine Optimisation (AEO) Specialists UK Brands Should Know</v>
      </c>
      <c r="C151" s="14" t="str">
        <f>IFERROR(__xludf.DUMMYFUNCTION("""COMPUTED_VALUE"""),"clickslice.co.uk")</f>
        <v>clickslice.co.uk</v>
      </c>
      <c r="D151" s="15" t="str">
        <f>IFERROR(__xludf.DUMMYFUNCTION("""COMPUTED_VALUE"""),"LISTICLE")</f>
        <v>LISTICLE</v>
      </c>
      <c r="E151" s="15" t="str">
        <f>IFERROR(__xludf.DUMMYFUNCTION("""COMPUTED_VALUE"""),"COMPETITOR")</f>
        <v>COMPETITOR</v>
      </c>
      <c r="F151" s="15" t="str">
        <f>IFERROR(__xludf.DUMMYFUNCTION("""COMPUTED_VALUE"""),"Listicle")</f>
        <v>Listicle</v>
      </c>
      <c r="G151" s="15" t="b">
        <f>IFERROR(__xludf.DUMMYFUNCTION("""COMPUTED_VALUE"""),FALSE)</f>
        <v>0</v>
      </c>
      <c r="H151" s="15" t="str">
        <f>IFERROR(__xludf.DUMMYFUNCTION("""COMPUTED_VALUE"""),"ClickSlice")</f>
        <v>ClickSlice</v>
      </c>
      <c r="I151" s="15">
        <f>IFERROR(__xludf.DUMMYFUNCTION("""COMPUTED_VALUE"""),9.0)</f>
        <v>9</v>
      </c>
      <c r="J151" s="15">
        <f>IFERROR(__xludf.DUMMYFUNCTION("""COMPUTED_VALUE"""),0.01)</f>
        <v>0.01</v>
      </c>
      <c r="K151" s="15">
        <f>IFERROR(__xludf.DUMMYFUNCTION("""COMPUTED_VALUE"""),0.89)</f>
        <v>0.89</v>
      </c>
    </row>
    <row r="152" ht="15.75" customHeight="1">
      <c r="A152" s="14" t="str">
        <f>IFERROR(__xludf.DUMMYFUNCTION("""COMPUTED_VALUE"""),"https://www.digitalreference.co/insights/marketing-professionals/best-digital-marketing-agencies-companies-in-uk")</f>
        <v>https://www.digitalreference.co/insights/marketing-professionals/best-digital-marketing-agencies-companies-in-uk</v>
      </c>
      <c r="B152" s="15" t="str">
        <f>IFERROR(__xludf.DUMMYFUNCTION("""COMPUTED_VALUE"""),"Best Digital Marketing Agencies &amp;amp; Digital Marketing Firms in the UK")</f>
        <v>Best Digital Marketing Agencies &amp;amp; Digital Marketing Firms in the UK</v>
      </c>
      <c r="C152" s="14" t="str">
        <f>IFERROR(__xludf.DUMMYFUNCTION("""COMPUTED_VALUE"""),"digitalreference.co")</f>
        <v>digitalreference.co</v>
      </c>
      <c r="D152" s="15" t="str">
        <f>IFERROR(__xludf.DUMMYFUNCTION("""COMPUTED_VALUE"""),"LISTICLE")</f>
        <v>LISTICLE</v>
      </c>
      <c r="E152" s="15" t="str">
        <f>IFERROR(__xludf.DUMMYFUNCTION("""COMPUTED_VALUE"""),"UGC")</f>
        <v>UGC</v>
      </c>
      <c r="F152" s="15" t="str">
        <f>IFERROR(__xludf.DUMMYFUNCTION("""COMPUTED_VALUE"""),"Listicle")</f>
        <v>Listicle</v>
      </c>
      <c r="G152" s="15" t="b">
        <f>IFERROR(__xludf.DUMMYFUNCTION("""COMPUTED_VALUE"""),FALSE)</f>
        <v>0</v>
      </c>
      <c r="H152" s="15"/>
      <c r="I152" s="15">
        <f>IFERROR(__xludf.DUMMYFUNCTION("""COMPUTED_VALUE"""),9.0)</f>
        <v>9</v>
      </c>
      <c r="J152" s="15">
        <f>IFERROR(__xludf.DUMMYFUNCTION("""COMPUTED_VALUE"""),0.01)</f>
        <v>0.01</v>
      </c>
      <c r="K152" s="15">
        <f>IFERROR(__xludf.DUMMYFUNCTION("""COMPUTED_VALUE"""),0.0)</f>
        <v>0</v>
      </c>
    </row>
    <row r="153" ht="15.75" customHeight="1">
      <c r="A153" s="14" t="str">
        <f>IFERROR(__xludf.DUMMYFUNCTION("""COMPUTED_VALUE"""),"https://www.ecomone.com/insights/top-geo-agencies-uk/")</f>
        <v>https://www.ecomone.com/insights/top-geo-agencies-uk/</v>
      </c>
      <c r="B153" s="15" t="str">
        <f>IFERROR(__xludf.DUMMYFUNCTION("""COMPUTED_VALUE"""),"Top 10 Best GEO Agencies in the UK (2026) - eComOne")</f>
        <v>Top 10 Best GEO Agencies in the UK (2026) - eComOne</v>
      </c>
      <c r="C153" s="14" t="str">
        <f>IFERROR(__xludf.DUMMYFUNCTION("""COMPUTED_VALUE"""),"ecomone.com")</f>
        <v>ecomone.com</v>
      </c>
      <c r="D153" s="15" t="str">
        <f>IFERROR(__xludf.DUMMYFUNCTION("""COMPUTED_VALUE"""),"LISTICLE")</f>
        <v>LISTICLE</v>
      </c>
      <c r="E153" s="15" t="str">
        <f>IFERROR(__xludf.DUMMYFUNCTION("""COMPUTED_VALUE"""),"CORPORATE")</f>
        <v>CORPORATE</v>
      </c>
      <c r="F153" s="15" t="str">
        <f>IFERROR(__xludf.DUMMYFUNCTION("""COMPUTED_VALUE"""),"Listicle")</f>
        <v>Listicle</v>
      </c>
      <c r="G153" s="15" t="b">
        <f>IFERROR(__xludf.DUMMYFUNCTION("""COMPUTED_VALUE"""),FALSE)</f>
        <v>0</v>
      </c>
      <c r="H153" s="15" t="str">
        <f>IFERROR(__xludf.DUMMYFUNCTION("""COMPUTED_VALUE"""),"Passion Digital, Blue Array, Exposure Ninja, ClickSlice, Builtvisible, Propellernet, Polaris")</f>
        <v>Passion Digital, Blue Array, Exposure Ninja, ClickSlice, Builtvisible, Propellernet, Polaris</v>
      </c>
      <c r="I153" s="15">
        <f>IFERROR(__xludf.DUMMYFUNCTION("""COMPUTED_VALUE"""),9.0)</f>
        <v>9</v>
      </c>
      <c r="J153" s="15">
        <f>IFERROR(__xludf.DUMMYFUNCTION("""COMPUTED_VALUE"""),0.01)</f>
        <v>0.01</v>
      </c>
      <c r="K153" s="15">
        <f>IFERROR(__xludf.DUMMYFUNCTION("""COMPUTED_VALUE"""),0.33)</f>
        <v>0.33</v>
      </c>
    </row>
    <row r="154" ht="15.75" customHeight="1">
      <c r="A154" s="14" t="str">
        <f>IFERROR(__xludf.DUMMYFUNCTION("""COMPUTED_VALUE"""),"https://factoryjet.com/blog/best-ai-seo-agencies-uk")</f>
        <v>https://factoryjet.com/blog/best-ai-seo-agencies-uk</v>
      </c>
      <c r="B154" s="15" t="str">
        <f>IFERROR(__xludf.DUMMYFUNCTION("""COMPUTED_VALUE"""),"The 10 Best AI SEO Agencies in the UK (2026)")</f>
        <v>The 10 Best AI SEO Agencies in the UK (2026)</v>
      </c>
      <c r="C154" s="14" t="str">
        <f>IFERROR(__xludf.DUMMYFUNCTION("""COMPUTED_VALUE"""),"factoryjet.com")</f>
        <v>factoryjet.com</v>
      </c>
      <c r="D154" s="15" t="str">
        <f>IFERROR(__xludf.DUMMYFUNCTION("""COMPUTED_VALUE"""),"LISTICLE")</f>
        <v>LISTICLE</v>
      </c>
      <c r="E154" s="15" t="str">
        <f>IFERROR(__xludf.DUMMYFUNCTION("""COMPUTED_VALUE"""),"CORPORATE")</f>
        <v>CORPORATE</v>
      </c>
      <c r="F154" s="15" t="str">
        <f>IFERROR(__xludf.DUMMYFUNCTION("""COMPUTED_VALUE"""),"Listicle")</f>
        <v>Listicle</v>
      </c>
      <c r="G154" s="15" t="b">
        <f>IFERROR(__xludf.DUMMYFUNCTION("""COMPUTED_VALUE"""),FALSE)</f>
        <v>0</v>
      </c>
      <c r="H154" s="15" t="str">
        <f>IFERROR(__xludf.DUMMYFUNCTION("""COMPUTED_VALUE"""),"Found, The SEO Works, Blue Array, Screaming Frog, Varn, GA Agency, Passion Digital, Brainlabs, Builtvisible, Deloitte Digital")</f>
        <v>Found, The SEO Works, Blue Array, Screaming Frog, Varn, GA Agency, Passion Digital, Brainlabs, Builtvisible, Deloitte Digital</v>
      </c>
      <c r="I154" s="15">
        <f>IFERROR(__xludf.DUMMYFUNCTION("""COMPUTED_VALUE"""),9.0)</f>
        <v>9</v>
      </c>
      <c r="J154" s="15">
        <f>IFERROR(__xludf.DUMMYFUNCTION("""COMPUTED_VALUE"""),0.01)</f>
        <v>0.01</v>
      </c>
      <c r="K154" s="15">
        <f>IFERROR(__xludf.DUMMYFUNCTION("""COMPUTED_VALUE"""),0.89)</f>
        <v>0.89</v>
      </c>
    </row>
    <row r="155" ht="15.75" customHeight="1">
      <c r="A155" s="14" t="str">
        <f>IFERROR(__xludf.DUMMYFUNCTION("""COMPUTED_VALUE"""),"https://gripped.io/b2b-marketing/top-marketing-agencies-uk/")</f>
        <v>https://gripped.io/b2b-marketing/top-marketing-agencies-uk/</v>
      </c>
      <c r="B155" s="15" t="str">
        <f>IFERROR(__xludf.DUMMYFUNCTION("""COMPUTED_VALUE"""),"Top 50 UK Marketing Agencies: Expert Picks for SEO, PPC &amp;amp; ABM")</f>
        <v>Top 50 UK Marketing Agencies: Expert Picks for SEO, PPC &amp;amp; ABM</v>
      </c>
      <c r="C155" s="14" t="str">
        <f>IFERROR(__xludf.DUMMYFUNCTION("""COMPUTED_VALUE"""),"gripped.io")</f>
        <v>gripped.io</v>
      </c>
      <c r="D155" s="15" t="str">
        <f>IFERROR(__xludf.DUMMYFUNCTION("""COMPUTED_VALUE"""),"LISTICLE")</f>
        <v>LISTICLE</v>
      </c>
      <c r="E155" s="15" t="str">
        <f>IFERROR(__xludf.DUMMYFUNCTION("""COMPUTED_VALUE"""),"COMPETITOR")</f>
        <v>COMPETITOR</v>
      </c>
      <c r="F155" s="15" t="str">
        <f>IFERROR(__xludf.DUMMYFUNCTION("""COMPUTED_VALUE"""),"Listicle")</f>
        <v>Listicle</v>
      </c>
      <c r="G155" s="15" t="b">
        <f>IFERROR(__xludf.DUMMYFUNCTION("""COMPUTED_VALUE"""),TRUE)</f>
        <v>1</v>
      </c>
      <c r="H155" s="15" t="str">
        <f>IFERROR(__xludf.DUMMYFUNCTION("""COMPUTED_VALUE"""),"Gripped, Brainlabs, Transmission, Clarity Performance, Koozai, We Are Social, Croud, Jellyfish, Ogilvy, Measured, Saatchi &amp; Saatchi, Accenture Song, Dentsu, Publicis Groupe, iCrossing, Merkle, Push, Propellernet, Rise at Seven, Builtvisible, Passion Digit"&amp;"al, Gravity Global, Incubeta, VCCP")</f>
        <v>Gripped, Brainlabs, Transmission, Clarity Performance, Koozai, We Are Social, Croud, Jellyfish, Ogilvy, Measured, Saatchi &amp; Saatchi, Accenture Song, Dentsu, Publicis Groupe, iCrossing, Merkle, Push, Propellernet, Rise at Seven, Builtvisible, Passion Digital, Gravity Global, Incubeta, VCCP</v>
      </c>
      <c r="I155" s="15">
        <f>IFERROR(__xludf.DUMMYFUNCTION("""COMPUTED_VALUE"""),9.0)</f>
        <v>9</v>
      </c>
      <c r="J155" s="15">
        <f>IFERROR(__xludf.DUMMYFUNCTION("""COMPUTED_VALUE"""),0.01)</f>
        <v>0.01</v>
      </c>
      <c r="K155" s="15">
        <f>IFERROR(__xludf.DUMMYFUNCTION("""COMPUTED_VALUE"""),1.22)</f>
        <v>1.22</v>
      </c>
    </row>
    <row r="156" ht="15.75" customHeight="1">
      <c r="A156" s="14" t="str">
        <f>IFERROR(__xludf.DUMMYFUNCTION("""COMPUTED_VALUE"""),"https://www.hockeystack.com/blog-posts/best-marketing-attribution-software")</f>
        <v>https://www.hockeystack.com/blog-posts/best-marketing-attribution-software</v>
      </c>
      <c r="B156" s="15" t="str">
        <f>IFERROR(__xludf.DUMMYFUNCTION("""COMPUTED_VALUE"""),"19 Best Marketing Attribution Software Solutions Reviewed for 2026")</f>
        <v>19 Best Marketing Attribution Software Solutions Reviewed for 2026</v>
      </c>
      <c r="C156" s="14" t="str">
        <f>IFERROR(__xludf.DUMMYFUNCTION("""COMPUTED_VALUE"""),"hockeystack.com")</f>
        <v>hockeystack.com</v>
      </c>
      <c r="D156" s="15" t="str">
        <f>IFERROR(__xludf.DUMMYFUNCTION("""COMPUTED_VALUE"""),"LISTICLE")</f>
        <v>LISTICLE</v>
      </c>
      <c r="E156" s="15" t="str">
        <f>IFERROR(__xludf.DUMMYFUNCTION("""COMPUTED_VALUE"""),"CORPORATE")</f>
        <v>CORPORATE</v>
      </c>
      <c r="F156" s="15" t="str">
        <f>IFERROR(__xludf.DUMMYFUNCTION("""COMPUTED_VALUE"""),"Listicle")</f>
        <v>Listicle</v>
      </c>
      <c r="G156" s="15" t="b">
        <f>IFERROR(__xludf.DUMMYFUNCTION("""COMPUTED_VALUE"""),FALSE)</f>
        <v>0</v>
      </c>
      <c r="H156" s="15" t="str">
        <f>IFERROR(__xludf.DUMMYFUNCTION("""COMPUTED_VALUE"""),"Ruler Analytics, Disrupt Marketing, Push, Triple Whale, Rockerbox, Impression, Northbeam")</f>
        <v>Ruler Analytics, Disrupt Marketing, Push, Triple Whale, Rockerbox, Impression, Northbeam</v>
      </c>
      <c r="I156" s="15">
        <f>IFERROR(__xludf.DUMMYFUNCTION("""COMPUTED_VALUE"""),9.0)</f>
        <v>9</v>
      </c>
      <c r="J156" s="15">
        <f>IFERROR(__xludf.DUMMYFUNCTION("""COMPUTED_VALUE"""),0.01)</f>
        <v>0.01</v>
      </c>
      <c r="K156" s="15">
        <f>IFERROR(__xludf.DUMMYFUNCTION("""COMPUTED_VALUE"""),0.0)</f>
        <v>0</v>
      </c>
    </row>
    <row r="157" ht="15.75" customHeight="1">
      <c r="A157" s="14" t="str">
        <f>IFERROR(__xludf.DUMMYFUNCTION("""COMPUTED_VALUE"""),"https://joinupscale.com/blog/top-google-shopping-ads-agencies-uk/")</f>
        <v>https://joinupscale.com/blog/top-google-shopping-ads-agencies-uk/</v>
      </c>
      <c r="B157" s="15" t="str">
        <f>IFERROR(__xludf.DUMMYFUNCTION("""COMPUTED_VALUE"""),"Top Google Shopping Ads Agencies UK: Shortlist &amp;amp; RFP Guide 2026")</f>
        <v>Top Google Shopping Ads Agencies UK: Shortlist &amp;amp; RFP Guide 2026</v>
      </c>
      <c r="C157" s="14" t="str">
        <f>IFERROR(__xludf.DUMMYFUNCTION("""COMPUTED_VALUE"""),"joinupscale.com")</f>
        <v>joinupscale.com</v>
      </c>
      <c r="D157" s="15" t="str">
        <f>IFERROR(__xludf.DUMMYFUNCTION("""COMPUTED_VALUE"""),"LISTICLE")</f>
        <v>LISTICLE</v>
      </c>
      <c r="E157" s="15" t="str">
        <f>IFERROR(__xludf.DUMMYFUNCTION("""COMPUTED_VALUE"""),"CORPORATE")</f>
        <v>CORPORATE</v>
      </c>
      <c r="F157" s="15" t="str">
        <f>IFERROR(__xludf.DUMMYFUNCTION("""COMPUTED_VALUE"""),"Listicle")</f>
        <v>Listicle</v>
      </c>
      <c r="G157" s="15" t="b">
        <f>IFERROR(__xludf.DUMMYFUNCTION("""COMPUTED_VALUE"""),FALSE)</f>
        <v>0</v>
      </c>
      <c r="H157" s="15" t="str">
        <f>IFERROR(__xludf.DUMMYFUNCTION("""COMPUTED_VALUE"""),"Impression, Found")</f>
        <v>Impression, Found</v>
      </c>
      <c r="I157" s="15">
        <f>IFERROR(__xludf.DUMMYFUNCTION("""COMPUTED_VALUE"""),9.0)</f>
        <v>9</v>
      </c>
      <c r="J157" s="15">
        <f>IFERROR(__xludf.DUMMYFUNCTION("""COMPUTED_VALUE"""),0.01)</f>
        <v>0.01</v>
      </c>
      <c r="K157" s="15">
        <f>IFERROR(__xludf.DUMMYFUNCTION("""COMPUTED_VALUE"""),1.0)</f>
        <v>1</v>
      </c>
    </row>
    <row r="158" ht="15.75" customHeight="1">
      <c r="A158" s="14" t="str">
        <f>IFERROR(__xludf.DUMMYFUNCTION("""COMPUTED_VALUE"""),"https://www.seoworks.com/lists/best-aeo-answer-engine-optimisation-agencies/")</f>
        <v>https://www.seoworks.com/lists/best-aeo-answer-engine-optimisation-agencies/</v>
      </c>
      <c r="B158" s="15" t="str">
        <f>IFERROR(__xludf.DUMMYFUNCTION("""COMPUTED_VALUE"""),"20 Best Answer Engine Optimisation (AEO) Agencies (2026) | The SEO Works")</f>
        <v>20 Best Answer Engine Optimisation (AEO) Agencies (2026) | The SEO Works</v>
      </c>
      <c r="C158" s="14" t="str">
        <f>IFERROR(__xludf.DUMMYFUNCTION("""COMPUTED_VALUE"""),"seoworks.com")</f>
        <v>seoworks.com</v>
      </c>
      <c r="D158" s="15" t="str">
        <f>IFERROR(__xludf.DUMMYFUNCTION("""COMPUTED_VALUE"""),"LISTICLE")</f>
        <v>LISTICLE</v>
      </c>
      <c r="E158" s="15" t="str">
        <f>IFERROR(__xludf.DUMMYFUNCTION("""COMPUTED_VALUE"""),"CORPORATE")</f>
        <v>CORPORATE</v>
      </c>
      <c r="F158" s="15" t="str">
        <f>IFERROR(__xludf.DUMMYFUNCTION("""COMPUTED_VALUE"""),"Listicle")</f>
        <v>Listicle</v>
      </c>
      <c r="G158" s="15" t="b">
        <f>IFERROR(__xludf.DUMMYFUNCTION("""COMPUTED_VALUE"""),FALSE)</f>
        <v>0</v>
      </c>
      <c r="H158" s="15" t="str">
        <f>IFERROR(__xludf.DUMMYFUNCTION("""COMPUTED_VALUE"""),"The SEO Works, Measured, Jellyfish, Builtvisible, Siege Media, NP Digital, Brainlabs, WebFX")</f>
        <v>The SEO Works, Measured, Jellyfish, Builtvisible, Siege Media, NP Digital, Brainlabs, WebFX</v>
      </c>
      <c r="I158" s="15">
        <f>IFERROR(__xludf.DUMMYFUNCTION("""COMPUTED_VALUE"""),9.0)</f>
        <v>9</v>
      </c>
      <c r="J158" s="15">
        <f>IFERROR(__xludf.DUMMYFUNCTION("""COMPUTED_VALUE"""),0.01)</f>
        <v>0.01</v>
      </c>
      <c r="K158" s="15">
        <f>IFERROR(__xludf.DUMMYFUNCTION("""COMPUTED_VALUE"""),1.67)</f>
        <v>1.67</v>
      </c>
    </row>
    <row r="159" ht="15.75" customHeight="1">
      <c r="A159" s="14" t="str">
        <f>IFERROR(__xludf.DUMMYFUNCTION("""COMPUTED_VALUE"""),"https://sourceforge.net/software/incrementality-testing/uk/")</f>
        <v>https://sourceforge.net/software/incrementality-testing/uk/</v>
      </c>
      <c r="B159" s="15" t="str">
        <f>IFERROR(__xludf.DUMMYFUNCTION("""COMPUTED_VALUE"""),"Best Incrementality Testing Tools in the UK of 2026 - Reviews &amp;amp; Comparison")</f>
        <v>Best Incrementality Testing Tools in the UK of 2026 - Reviews &amp;amp; Comparison</v>
      </c>
      <c r="C159" s="14" t="str">
        <f>IFERROR(__xludf.DUMMYFUNCTION("""COMPUTED_VALUE"""),"sourceforge.net")</f>
        <v>sourceforge.net</v>
      </c>
      <c r="D159" s="15" t="str">
        <f>IFERROR(__xludf.DUMMYFUNCTION("""COMPUTED_VALUE"""),"LISTICLE")</f>
        <v>LISTICLE</v>
      </c>
      <c r="E159" s="15" t="str">
        <f>IFERROR(__xludf.DUMMYFUNCTION("""COMPUTED_VALUE"""),"OTHER")</f>
        <v>OTHER</v>
      </c>
      <c r="F159" s="15" t="str">
        <f>IFERROR(__xludf.DUMMYFUNCTION("""COMPUTED_VALUE"""),"Listicle")</f>
        <v>Listicle</v>
      </c>
      <c r="G159" s="15" t="b">
        <f>IFERROR(__xludf.DUMMYFUNCTION("""COMPUTED_VALUE"""),FALSE)</f>
        <v>0</v>
      </c>
      <c r="H159" s="15" t="str">
        <f>IFERROR(__xludf.DUMMYFUNCTION("""COMPUTED_VALUE"""),"Measured, Sellforte, Rockerbox, Recast, Haus, Analytic Partners, Push")</f>
        <v>Measured, Sellforte, Rockerbox, Recast, Haus, Analytic Partners, Push</v>
      </c>
      <c r="I159" s="15">
        <f>IFERROR(__xludf.DUMMYFUNCTION("""COMPUTED_VALUE"""),9.0)</f>
        <v>9</v>
      </c>
      <c r="J159" s="15">
        <f>IFERROR(__xludf.DUMMYFUNCTION("""COMPUTED_VALUE"""),0.01)</f>
        <v>0.01</v>
      </c>
      <c r="K159" s="15">
        <f>IFERROR(__xludf.DUMMYFUNCTION("""COMPUTED_VALUE"""),0.11)</f>
        <v>0.11</v>
      </c>
    </row>
    <row r="160" ht="15.75" customHeight="1">
      <c r="A160" s="14" t="str">
        <f>IFERROR(__xludf.DUMMYFUNCTION("""COMPUTED_VALUE"""),"https://swifterm.com/top-google-ad-agencies-in-the-united-kingdom/")</f>
        <v>https://swifterm.com/top-google-ad-agencies-in-the-united-kingdom/</v>
      </c>
      <c r="B160" s="15" t="str">
        <f>IFERROR(__xludf.DUMMYFUNCTION("""COMPUTED_VALUE"""),"Top Google-Ad Agencies In The UK - SwiftERM AI Technology")</f>
        <v>Top Google-Ad Agencies In The UK - SwiftERM AI Technology</v>
      </c>
      <c r="C160" s="14" t="str">
        <f>IFERROR(__xludf.DUMMYFUNCTION("""COMPUTED_VALUE"""),"swifterm.com")</f>
        <v>swifterm.com</v>
      </c>
      <c r="D160" s="15" t="str">
        <f>IFERROR(__xludf.DUMMYFUNCTION("""COMPUTED_VALUE"""),"LISTICLE")</f>
        <v>LISTICLE</v>
      </c>
      <c r="E160" s="15" t="str">
        <f>IFERROR(__xludf.DUMMYFUNCTION("""COMPUTED_VALUE"""),"OTHER")</f>
        <v>OTHER</v>
      </c>
      <c r="F160" s="15" t="str">
        <f>IFERROR(__xludf.DUMMYFUNCTION("""COMPUTED_VALUE"""),"Listicle")</f>
        <v>Listicle</v>
      </c>
      <c r="G160" s="15" t="b">
        <f>IFERROR(__xludf.DUMMYFUNCTION("""COMPUTED_VALUE"""),FALSE)</f>
        <v>0</v>
      </c>
      <c r="H160" s="15" t="str">
        <f>IFERROR(__xludf.DUMMYFUNCTION("""COMPUTED_VALUE"""),"Push, Push Group, PPC Geeks")</f>
        <v>Push, Push Group, PPC Geeks</v>
      </c>
      <c r="I160" s="15">
        <f>IFERROR(__xludf.DUMMYFUNCTION("""COMPUTED_VALUE"""),9.0)</f>
        <v>9</v>
      </c>
      <c r="J160" s="15">
        <f>IFERROR(__xludf.DUMMYFUNCTION("""COMPUTED_VALUE"""),0.01)</f>
        <v>0.01</v>
      </c>
      <c r="K160" s="15">
        <f>IFERROR(__xludf.DUMMYFUNCTION("""COMPUTED_VALUE"""),0.0)</f>
        <v>0</v>
      </c>
    </row>
    <row r="161" ht="15.75" customHeight="1">
      <c r="A161" s="14" t="str">
        <f>IFERROR(__xludf.DUMMYFUNCTION("""COMPUTED_VALUE"""),"https://thedigitalmaze.com/blog/top-10-ppc-agencies-in-the-uk-2026/")</f>
        <v>https://thedigitalmaze.com/blog/top-10-ppc-agencies-in-the-uk-2026/</v>
      </c>
      <c r="B161" s="15" t="str">
        <f>IFERROR(__xludf.DUMMYFUNCTION("""COMPUTED_VALUE"""),"Top 10 PPC Agencies in the UK (2026)")</f>
        <v>Top 10 PPC Agencies in the UK (2026)</v>
      </c>
      <c r="C161" s="14" t="str">
        <f>IFERROR(__xludf.DUMMYFUNCTION("""COMPUTED_VALUE"""),"thedigitalmaze.com")</f>
        <v>thedigitalmaze.com</v>
      </c>
      <c r="D161" s="15" t="str">
        <f>IFERROR(__xludf.DUMMYFUNCTION("""COMPUTED_VALUE"""),"LISTICLE")</f>
        <v>LISTICLE</v>
      </c>
      <c r="E161" s="15" t="str">
        <f>IFERROR(__xludf.DUMMYFUNCTION("""COMPUTED_VALUE"""),"OTHER")</f>
        <v>OTHER</v>
      </c>
      <c r="F161" s="15" t="str">
        <f>IFERROR(__xludf.DUMMYFUNCTION("""COMPUTED_VALUE"""),"Listicle")</f>
        <v>Listicle</v>
      </c>
      <c r="G161" s="15" t="b">
        <f>IFERROR(__xludf.DUMMYFUNCTION("""COMPUTED_VALUE"""),FALSE)</f>
        <v>0</v>
      </c>
      <c r="H161" s="15" t="str">
        <f>IFERROR(__xludf.DUMMYFUNCTION("""COMPUTED_VALUE"""),"Found, Croud, Huge, Impression, Journey Further, Bind Media, Push, Push Group, Jellyfish, PPC Geeks, Propeller")</f>
        <v>Found, Croud, Huge, Impression, Journey Further, Bind Media, Push, Push Group, Jellyfish, PPC Geeks, Propeller</v>
      </c>
      <c r="I161" s="15">
        <f>IFERROR(__xludf.DUMMYFUNCTION("""COMPUTED_VALUE"""),9.0)</f>
        <v>9</v>
      </c>
      <c r="J161" s="15">
        <f>IFERROR(__xludf.DUMMYFUNCTION("""COMPUTED_VALUE"""),0.01)</f>
        <v>0.01</v>
      </c>
      <c r="K161" s="15">
        <f>IFERROR(__xludf.DUMMYFUNCTION("""COMPUTED_VALUE"""),0.44)</f>
        <v>0.44</v>
      </c>
    </row>
    <row r="162" ht="15.75" customHeight="1">
      <c r="A162" s="14" t="str">
        <f>IFERROR(__xludf.DUMMYFUNCTION("""COMPUTED_VALUE"""),"https://themanifest.com/creative/agencies/uk")</f>
        <v>https://themanifest.com/creative/agencies/uk</v>
      </c>
      <c r="B162" s="15" t="str">
        <f>IFERROR(__xludf.DUMMYFUNCTION("""COMPUTED_VALUE"""),"The Best Creative Companies in United Kingdom - Jul 2026 | The Manifest")</f>
        <v>The Best Creative Companies in United Kingdom - Jul 2026 | The Manifest</v>
      </c>
      <c r="C162" s="14" t="str">
        <f>IFERROR(__xludf.DUMMYFUNCTION("""COMPUTED_VALUE"""),"themanifest.com")</f>
        <v>themanifest.com</v>
      </c>
      <c r="D162" s="15" t="str">
        <f>IFERROR(__xludf.DUMMYFUNCTION("""COMPUTED_VALUE"""),"LISTICLE")</f>
        <v>LISTICLE</v>
      </c>
      <c r="E162" s="15" t="str">
        <f>IFERROR(__xludf.DUMMYFUNCTION("""COMPUTED_VALUE"""),"REFERENCE")</f>
        <v>REFERENCE</v>
      </c>
      <c r="F162" s="15" t="str">
        <f>IFERROR(__xludf.DUMMYFUNCTION("""COMPUTED_VALUE"""),"Listicle")</f>
        <v>Listicle</v>
      </c>
      <c r="G162" s="15" t="b">
        <f>IFERROR(__xludf.DUMMYFUNCTION("""COMPUTED_VALUE"""),FALSE)</f>
        <v>0</v>
      </c>
      <c r="H162" s="15" t="str">
        <f>IFERROR(__xludf.DUMMYFUNCTION("""COMPUTED_VALUE"""),"Chello, Favoured")</f>
        <v>Chello, Favoured</v>
      </c>
      <c r="I162" s="15">
        <f>IFERROR(__xludf.DUMMYFUNCTION("""COMPUTED_VALUE"""),9.0)</f>
        <v>9</v>
      </c>
      <c r="J162" s="15">
        <f>IFERROR(__xludf.DUMMYFUNCTION("""COMPUTED_VALUE"""),0.01)</f>
        <v>0.01</v>
      </c>
      <c r="K162" s="15">
        <f>IFERROR(__xludf.DUMMYFUNCTION("""COMPUTED_VALUE"""),0.0)</f>
        <v>0</v>
      </c>
    </row>
    <row r="163" ht="15.75" customHeight="1">
      <c r="A163" s="14" t="str">
        <f>IFERROR(__xludf.DUMMYFUNCTION("""COMPUTED_VALUE"""),"https://wishu.io/the-100-uk-creative-agencies/")</f>
        <v>https://wishu.io/the-100-uk-creative-agencies/</v>
      </c>
      <c r="B163" s="15" t="str">
        <f>IFERROR(__xludf.DUMMYFUNCTION("""COMPUTED_VALUE"""),"The Insane Founder – Your guide to the latest news from the creator economy. Informative, witty, and everything you need to understand the world of creators.")</f>
        <v>The Insane Founder – Your guide to the latest news from the creator economy. Informative, witty, and everything you need to understand the world of creators.</v>
      </c>
      <c r="C163" s="14" t="str">
        <f>IFERROR(__xludf.DUMMYFUNCTION("""COMPUTED_VALUE"""),"wishu.io")</f>
        <v>wishu.io</v>
      </c>
      <c r="D163" s="15" t="str">
        <f>IFERROR(__xludf.DUMMYFUNCTION("""COMPUTED_VALUE"""),"LISTICLE")</f>
        <v>LISTICLE</v>
      </c>
      <c r="E163" s="15" t="str">
        <f>IFERROR(__xludf.DUMMYFUNCTION("""COMPUTED_VALUE"""),"EDITORIAL")</f>
        <v>EDITORIAL</v>
      </c>
      <c r="F163" s="15" t="str">
        <f>IFERROR(__xludf.DUMMYFUNCTION("""COMPUTED_VALUE"""),"Listicle")</f>
        <v>Listicle</v>
      </c>
      <c r="G163" s="15" t="b">
        <f>IFERROR(__xludf.DUMMYFUNCTION("""COMPUTED_VALUE"""),FALSE)</f>
        <v>0</v>
      </c>
      <c r="H163" s="15"/>
      <c r="I163" s="15">
        <f>IFERROR(__xludf.DUMMYFUNCTION("""COMPUTED_VALUE"""),9.0)</f>
        <v>9</v>
      </c>
      <c r="J163" s="15">
        <f>IFERROR(__xludf.DUMMYFUNCTION("""COMPUTED_VALUE"""),0.01)</f>
        <v>0.01</v>
      </c>
      <c r="K163" s="15">
        <f>IFERROR(__xludf.DUMMYFUNCTION("""COMPUTED_VALUE"""),0.0)</f>
        <v>0</v>
      </c>
    </row>
    <row r="164" ht="15.75" customHeight="1">
      <c r="A164" s="14" t="str">
        <f>IFERROR(__xludf.DUMMYFUNCTION("""COMPUTED_VALUE"""),"https://ampliflow.ai/blog/best-ai-agencies-uk-2026")</f>
        <v>https://ampliflow.ai/blog/best-ai-agencies-uk-2026</v>
      </c>
      <c r="B164" s="15" t="str">
        <f>IFERROR(__xludf.DUMMYFUNCTION("""COMPUTED_VALUE"""),"Best AI Agencies in the UK: The 2026 Definitive Guide")</f>
        <v>Best AI Agencies in the UK: The 2026 Definitive Guide</v>
      </c>
      <c r="C164" s="14" t="str">
        <f>IFERROR(__xludf.DUMMYFUNCTION("""COMPUTED_VALUE"""),"ampliflow.ai")</f>
        <v>ampliflow.ai</v>
      </c>
      <c r="D164" s="15" t="str">
        <f>IFERROR(__xludf.DUMMYFUNCTION("""COMPUTED_VALUE"""),"LISTICLE")</f>
        <v>LISTICLE</v>
      </c>
      <c r="E164" s="15" t="str">
        <f>IFERROR(__xludf.DUMMYFUNCTION("""COMPUTED_VALUE"""),"CORPORATE")</f>
        <v>CORPORATE</v>
      </c>
      <c r="F164" s="15" t="str">
        <f>IFERROR(__xludf.DUMMYFUNCTION("""COMPUTED_VALUE"""),"Listicle")</f>
        <v>Listicle</v>
      </c>
      <c r="G164" s="15" t="b">
        <f>IFERROR(__xludf.DUMMYFUNCTION("""COMPUTED_VALUE"""),FALSE)</f>
        <v>0</v>
      </c>
      <c r="H164" s="15" t="str">
        <f>IFERROR(__xludf.DUMMYFUNCTION("""COMPUTED_VALUE"""),"Gripped")</f>
        <v>Gripped</v>
      </c>
      <c r="I164" s="15">
        <f>IFERROR(__xludf.DUMMYFUNCTION("""COMPUTED_VALUE"""),8.0)</f>
        <v>8</v>
      </c>
      <c r="J164" s="15">
        <f>IFERROR(__xludf.DUMMYFUNCTION("""COMPUTED_VALUE"""),0.01)</f>
        <v>0.01</v>
      </c>
      <c r="K164" s="15">
        <f>IFERROR(__xludf.DUMMYFUNCTION("""COMPUTED_VALUE"""),0.0)</f>
        <v>0</v>
      </c>
    </row>
    <row r="165" ht="15.75" customHeight="1">
      <c r="A165" s="14" t="str">
        <f>IFERROR(__xludf.DUMMYFUNCTION("""COMPUTED_VALUE"""),"https://www.cornishwebservices.co.uk/articles/marketing/Top-10-PPC-Agencies-in-the-UK-in-2026.html")</f>
        <v>https://www.cornishwebservices.co.uk/articles/marketing/Top-10-PPC-Agencies-in-the-UK-in-2026.html</v>
      </c>
      <c r="B165" s="15" t="str">
        <f>IFERROR(__xludf.DUMMYFUNCTION("""COMPUTED_VALUE"""),"Top 10 PPC Agencies in the UK (2026)")</f>
        <v>Top 10 PPC Agencies in the UK (2026)</v>
      </c>
      <c r="C165" s="14" t="str">
        <f>IFERROR(__xludf.DUMMYFUNCTION("""COMPUTED_VALUE"""),"cornishwebservices.co.uk")</f>
        <v>cornishwebservices.co.uk</v>
      </c>
      <c r="D165" s="15" t="str">
        <f>IFERROR(__xludf.DUMMYFUNCTION("""COMPUTED_VALUE"""),"LISTICLE")</f>
        <v>LISTICLE</v>
      </c>
      <c r="E165" s="15" t="str">
        <f>IFERROR(__xludf.DUMMYFUNCTION("""COMPUTED_VALUE"""),"CORPORATE")</f>
        <v>CORPORATE</v>
      </c>
      <c r="F165" s="15" t="str">
        <f>IFERROR(__xludf.DUMMYFUNCTION("""COMPUTED_VALUE"""),"Listicle")</f>
        <v>Listicle</v>
      </c>
      <c r="G165" s="15" t="b">
        <f>IFERROR(__xludf.DUMMYFUNCTION("""COMPUTED_VALUE"""),FALSE)</f>
        <v>0</v>
      </c>
      <c r="H165" s="15" t="str">
        <f>IFERROR(__xludf.DUMMYFUNCTION("""COMPUTED_VALUE"""),"Impression, Brainlabs, Hallam, Croud, Found, Push, Push Group")</f>
        <v>Impression, Brainlabs, Hallam, Croud, Found, Push, Push Group</v>
      </c>
      <c r="I165" s="15">
        <f>IFERROR(__xludf.DUMMYFUNCTION("""COMPUTED_VALUE"""),8.0)</f>
        <v>8</v>
      </c>
      <c r="J165" s="15">
        <f>IFERROR(__xludf.DUMMYFUNCTION("""COMPUTED_VALUE"""),0.01)</f>
        <v>0.01</v>
      </c>
      <c r="K165" s="15">
        <f>IFERROR(__xludf.DUMMYFUNCTION("""COMPUTED_VALUE"""),0.25)</f>
        <v>0.25</v>
      </c>
    </row>
    <row r="166" ht="15.75" customHeight="1">
      <c r="A166" s="14" t="str">
        <f>IFERROR(__xludf.DUMMYFUNCTION("""COMPUTED_VALUE"""),"https://dramatik.com/blog/google-ads-agencies-uk/")</f>
        <v>https://dramatik.com/blog/google-ads-agencies-uk/</v>
      </c>
      <c r="B166" s="15" t="str">
        <f>IFERROR(__xludf.DUMMYFUNCTION("""COMPUTED_VALUE"""),"Best Google Ads Agencies in the UK (Updated for 2025) - Dramatik")</f>
        <v>Best Google Ads Agencies in the UK (Updated for 2025) - Dramatik</v>
      </c>
      <c r="C166" s="14" t="str">
        <f>IFERROR(__xludf.DUMMYFUNCTION("""COMPUTED_VALUE"""),"dramatik.com")</f>
        <v>dramatik.com</v>
      </c>
      <c r="D166" s="15" t="str">
        <f>IFERROR(__xludf.DUMMYFUNCTION("""COMPUTED_VALUE"""),"LISTICLE")</f>
        <v>LISTICLE</v>
      </c>
      <c r="E166" s="15" t="str">
        <f>IFERROR(__xludf.DUMMYFUNCTION("""COMPUTED_VALUE"""),"CORPORATE")</f>
        <v>CORPORATE</v>
      </c>
      <c r="F166" s="15" t="str">
        <f>IFERROR(__xludf.DUMMYFUNCTION("""COMPUTED_VALUE"""),"Listicle")</f>
        <v>Listicle</v>
      </c>
      <c r="G166" s="15" t="b">
        <f>IFERROR(__xludf.DUMMYFUNCTION("""COMPUTED_VALUE"""),FALSE)</f>
        <v>0</v>
      </c>
      <c r="H166" s="15" t="str">
        <f>IFERROR(__xludf.DUMMYFUNCTION("""COMPUTED_VALUE"""),"Push, Push Group, The Social Shepherd, PPC Geeks, The Brains, Clarity Performance")</f>
        <v>Push, Push Group, The Social Shepherd, PPC Geeks, The Brains, Clarity Performance</v>
      </c>
      <c r="I166" s="15">
        <f>IFERROR(__xludf.DUMMYFUNCTION("""COMPUTED_VALUE"""),8.0)</f>
        <v>8</v>
      </c>
      <c r="J166" s="15">
        <f>IFERROR(__xludf.DUMMYFUNCTION("""COMPUTED_VALUE"""),0.01)</f>
        <v>0.01</v>
      </c>
      <c r="K166" s="15">
        <f>IFERROR(__xludf.DUMMYFUNCTION("""COMPUTED_VALUE"""),0.38)</f>
        <v>0.38</v>
      </c>
    </row>
    <row r="167" ht="15.75" customHeight="1">
      <c r="A167" s="14" t="str">
        <f>IFERROR(__xludf.DUMMYFUNCTION("""COMPUTED_VALUE"""),"https://ecomposer.io/blogs/comparison/data-driven-marketing-agencies-uk")</f>
        <v>https://ecomposer.io/blogs/comparison/data-driven-marketing-agencies-uk</v>
      </c>
      <c r="B167" s="15" t="str">
        <f>IFERROR(__xludf.DUMMYFUNCTION("""COMPUTED_VALUE"""),"10 Best Data-Driven Marketing Agencies in the UK for 2026 – EComposer")</f>
        <v>10 Best Data-Driven Marketing Agencies in the UK for 2026 – EComposer</v>
      </c>
      <c r="C167" s="14" t="str">
        <f>IFERROR(__xludf.DUMMYFUNCTION("""COMPUTED_VALUE"""),"ecomposer.io")</f>
        <v>ecomposer.io</v>
      </c>
      <c r="D167" s="15" t="str">
        <f>IFERROR(__xludf.DUMMYFUNCTION("""COMPUTED_VALUE"""),"LISTICLE")</f>
        <v>LISTICLE</v>
      </c>
      <c r="E167" s="15" t="str">
        <f>IFERROR(__xludf.DUMMYFUNCTION("""COMPUTED_VALUE"""),"CORPORATE")</f>
        <v>CORPORATE</v>
      </c>
      <c r="F167" s="15" t="str">
        <f>IFERROR(__xludf.DUMMYFUNCTION("""COMPUTED_VALUE"""),"Listicle")</f>
        <v>Listicle</v>
      </c>
      <c r="G167" s="15" t="b">
        <f>IFERROR(__xludf.DUMMYFUNCTION("""COMPUTED_VALUE"""),FALSE)</f>
        <v>0</v>
      </c>
      <c r="H167" s="15" t="str">
        <f>IFERROR(__xludf.DUMMYFUNCTION("""COMPUTED_VALUE"""),"Found, Impression, Croud, Brainlabs, Hallam, Push, Push Group, Huge, Bind Media")</f>
        <v>Found, Impression, Croud, Brainlabs, Hallam, Push, Push Group, Huge, Bind Media</v>
      </c>
      <c r="I167" s="15">
        <f>IFERROR(__xludf.DUMMYFUNCTION("""COMPUTED_VALUE"""),8.0)</f>
        <v>8</v>
      </c>
      <c r="J167" s="15">
        <f>IFERROR(__xludf.DUMMYFUNCTION("""COMPUTED_VALUE"""),0.01)</f>
        <v>0.01</v>
      </c>
      <c r="K167" s="15">
        <f>IFERROR(__xludf.DUMMYFUNCTION("""COMPUTED_VALUE"""),1.0)</f>
        <v>1</v>
      </c>
    </row>
    <row r="168" ht="15.75" customHeight="1">
      <c r="A168" s="14" t="str">
        <f>IFERROR(__xludf.DUMMYFUNCTION("""COMPUTED_VALUE"""),"https://www.influencer-hero.com/de/blogs/top-paid-media-agencies-in-the-united-kingdom")</f>
        <v>https://www.influencer-hero.com/de/blogs/top-paid-media-agencies-in-the-united-kingdom</v>
      </c>
      <c r="B168" s="15" t="str">
        <f>IFERROR(__xludf.DUMMYFUNCTION("""COMPUTED_VALUE"""),"Die Top 10 Paid-Media-Agenturen im Vereinigten Königreich")</f>
        <v>Die Top 10 Paid-Media-Agenturen im Vereinigten Königreich</v>
      </c>
      <c r="C168" s="14" t="str">
        <f>IFERROR(__xludf.DUMMYFUNCTION("""COMPUTED_VALUE"""),"influencer-hero.com")</f>
        <v>influencer-hero.com</v>
      </c>
      <c r="D168" s="15" t="str">
        <f>IFERROR(__xludf.DUMMYFUNCTION("""COMPUTED_VALUE"""),"LISTICLE")</f>
        <v>LISTICLE</v>
      </c>
      <c r="E168" s="15" t="str">
        <f>IFERROR(__xludf.DUMMYFUNCTION("""COMPUTED_VALUE"""),"CORPORATE")</f>
        <v>CORPORATE</v>
      </c>
      <c r="F168" s="15" t="str">
        <f>IFERROR(__xludf.DUMMYFUNCTION("""COMPUTED_VALUE"""),"Listicle")</f>
        <v>Listicle</v>
      </c>
      <c r="G168" s="15" t="b">
        <f>IFERROR(__xludf.DUMMYFUNCTION("""COMPUTED_VALUE"""),FALSE)</f>
        <v>0</v>
      </c>
      <c r="H168" s="15" t="str">
        <f>IFERROR(__xludf.DUMMYFUNCTION("""COMPUTED_VALUE"""),"Brainlabs, Vivify Agency, Manifest Group, Impression, Hallam, Passion Digital")</f>
        <v>Brainlabs, Vivify Agency, Manifest Group, Impression, Hallam, Passion Digital</v>
      </c>
      <c r="I168" s="15">
        <f>IFERROR(__xludf.DUMMYFUNCTION("""COMPUTED_VALUE"""),8.0)</f>
        <v>8</v>
      </c>
      <c r="J168" s="15">
        <f>IFERROR(__xludf.DUMMYFUNCTION("""COMPUTED_VALUE"""),0.01)</f>
        <v>0.01</v>
      </c>
      <c r="K168" s="15">
        <f>IFERROR(__xludf.DUMMYFUNCTION("""COMPUTED_VALUE"""),0.0)</f>
        <v>0</v>
      </c>
    </row>
    <row r="169" ht="15.75" customHeight="1">
      <c r="A169" s="14" t="str">
        <f>IFERROR(__xludf.DUMMYFUNCTION("""COMPUTED_VALUE"""),"https://pearllemon.com/top-paid-media-agencies-uk/")</f>
        <v>https://pearllemon.com/top-paid-media-agencies-uk/</v>
      </c>
      <c r="B169" s="15" t="str">
        <f>IFERROR(__xludf.DUMMYFUNCTION("""COMPUTED_VALUE"""),"Top Paid Media Agencies In The UK For Business Services")</f>
        <v>Top Paid Media Agencies In The UK For Business Services</v>
      </c>
      <c r="C169" s="14" t="str">
        <f>IFERROR(__xludf.DUMMYFUNCTION("""COMPUTED_VALUE"""),"pearllemon.com")</f>
        <v>pearllemon.com</v>
      </c>
      <c r="D169" s="15" t="str">
        <f>IFERROR(__xludf.DUMMYFUNCTION("""COMPUTED_VALUE"""),"LISTICLE")</f>
        <v>LISTICLE</v>
      </c>
      <c r="E169" s="15" t="str">
        <f>IFERROR(__xludf.DUMMYFUNCTION("""COMPUTED_VALUE"""),"CORPORATE")</f>
        <v>CORPORATE</v>
      </c>
      <c r="F169" s="15" t="str">
        <f>IFERROR(__xludf.DUMMYFUNCTION("""COMPUTED_VALUE"""),"Listicle")</f>
        <v>Listicle</v>
      </c>
      <c r="G169" s="15" t="b">
        <f>IFERROR(__xludf.DUMMYFUNCTION("""COMPUTED_VALUE"""),FALSE)</f>
        <v>0</v>
      </c>
      <c r="H169" s="15" t="str">
        <f>IFERROR(__xludf.DUMMYFUNCTION("""COMPUTED_VALUE"""),"The Social Shepherd, Disruptive Advertising, Ninja Promo, Impression, ClickSlice, PPC Geeks, Found, Make Agency, Soap Media")</f>
        <v>The Social Shepherd, Disruptive Advertising, Ninja Promo, Impression, ClickSlice, PPC Geeks, Found, Make Agency, Soap Media</v>
      </c>
      <c r="I169" s="15">
        <f>IFERROR(__xludf.DUMMYFUNCTION("""COMPUTED_VALUE"""),8.0)</f>
        <v>8</v>
      </c>
      <c r="J169" s="15">
        <f>IFERROR(__xludf.DUMMYFUNCTION("""COMPUTED_VALUE"""),0.01)</f>
        <v>0.01</v>
      </c>
      <c r="K169" s="15">
        <f>IFERROR(__xludf.DUMMYFUNCTION("""COMPUTED_VALUE"""),1.25)</f>
        <v>1.25</v>
      </c>
    </row>
    <row r="170" ht="15.75" customHeight="1">
      <c r="A170" s="14" t="str">
        <f>IFERROR(__xludf.DUMMYFUNCTION("""COMPUTED_VALUE"""),"https://pinpoint-media.global/insights/top-10-paid-media-agencies-in-london")</f>
        <v>https://pinpoint-media.global/insights/top-10-paid-media-agencies-in-london</v>
      </c>
      <c r="B170" s="15" t="str">
        <f>IFERROR(__xludf.DUMMYFUNCTION("""COMPUTED_VALUE"""),"Top 10 Paid Media Agencies in London | PinPoint Media")</f>
        <v>Top 10 Paid Media Agencies in London | PinPoint Media</v>
      </c>
      <c r="C170" s="15" t="str">
        <f>IFERROR(__xludf.DUMMYFUNCTION("""COMPUTED_VALUE"""),"pinpoint-media.global")</f>
        <v>pinpoint-media.global</v>
      </c>
      <c r="D170" s="15" t="str">
        <f>IFERROR(__xludf.DUMMYFUNCTION("""COMPUTED_VALUE"""),"LISTICLE")</f>
        <v>LISTICLE</v>
      </c>
      <c r="E170" s="15" t="str">
        <f>IFERROR(__xludf.DUMMYFUNCTION("""COMPUTED_VALUE"""),"COMPETITOR")</f>
        <v>COMPETITOR</v>
      </c>
      <c r="F170" s="15" t="str">
        <f>IFERROR(__xludf.DUMMYFUNCTION("""COMPUTED_VALUE"""),"Listicle")</f>
        <v>Listicle</v>
      </c>
      <c r="G170" s="15" t="b">
        <f>IFERROR(__xludf.DUMMYFUNCTION("""COMPUTED_VALUE"""),FALSE)</f>
        <v>0</v>
      </c>
      <c r="H170" s="15" t="str">
        <f>IFERROR(__xludf.DUMMYFUNCTION("""COMPUTED_VALUE"""),"PinPoint Media, Jellyfish, Brainlabs, Push, Hallam, Dentsu")</f>
        <v>PinPoint Media, Jellyfish, Brainlabs, Push, Hallam, Dentsu</v>
      </c>
      <c r="I170" s="15">
        <f>IFERROR(__xludf.DUMMYFUNCTION("""COMPUTED_VALUE"""),8.0)</f>
        <v>8</v>
      </c>
      <c r="J170" s="15">
        <f>IFERROR(__xludf.DUMMYFUNCTION("""COMPUTED_VALUE"""),0.01)</f>
        <v>0.01</v>
      </c>
      <c r="K170" s="15">
        <f>IFERROR(__xludf.DUMMYFUNCTION("""COMPUTED_VALUE"""),1.38)</f>
        <v>1.38</v>
      </c>
    </row>
    <row r="171" ht="15.75" customHeight="1">
      <c r="A171" s="14" t="str">
        <f>IFERROR(__xludf.DUMMYFUNCTION("""COMPUTED_VALUE"""),"https://semnexus.com/top-aeo-agencies-london")</f>
        <v>https://semnexus.com/top-aeo-agencies-london</v>
      </c>
      <c r="B171" s="15" t="str">
        <f>IFERROR(__xludf.DUMMYFUNCTION("""COMPUTED_VALUE"""),"Top AEO Agencies in London: Dominating AI Search in 2026 | SEM Nexus")</f>
        <v>Top AEO Agencies in London: Dominating AI Search in 2026 | SEM Nexus</v>
      </c>
      <c r="C171" s="14" t="str">
        <f>IFERROR(__xludf.DUMMYFUNCTION("""COMPUTED_VALUE"""),"semnexus.com")</f>
        <v>semnexus.com</v>
      </c>
      <c r="D171" s="15" t="str">
        <f>IFERROR(__xludf.DUMMYFUNCTION("""COMPUTED_VALUE"""),"LISTICLE")</f>
        <v>LISTICLE</v>
      </c>
      <c r="E171" s="15" t="str">
        <f>IFERROR(__xludf.DUMMYFUNCTION("""COMPUTED_VALUE"""),"OTHER")</f>
        <v>OTHER</v>
      </c>
      <c r="F171" s="15" t="str">
        <f>IFERROR(__xludf.DUMMYFUNCTION("""COMPUTED_VALUE"""),"Listicle")</f>
        <v>Listicle</v>
      </c>
      <c r="G171" s="15" t="b">
        <f>IFERROR(__xludf.DUMMYFUNCTION("""COMPUTED_VALUE"""),FALSE)</f>
        <v>0</v>
      </c>
      <c r="H171" s="15"/>
      <c r="I171" s="15">
        <f>IFERROR(__xludf.DUMMYFUNCTION("""COMPUTED_VALUE"""),8.0)</f>
        <v>8</v>
      </c>
      <c r="J171" s="15">
        <f>IFERROR(__xludf.DUMMYFUNCTION("""COMPUTED_VALUE"""),0.01)</f>
        <v>0.01</v>
      </c>
      <c r="K171" s="15">
        <f>IFERROR(__xludf.DUMMYFUNCTION("""COMPUTED_VALUE"""),0.25)</f>
        <v>0.25</v>
      </c>
    </row>
    <row r="172" ht="15.75" customHeight="1">
      <c r="A172" s="14" t="str">
        <f>IFERROR(__xludf.DUMMYFUNCTION("""COMPUTED_VALUE"""),"https://www.seoworks.com/lists/20-best-digital-marketing-companies-in-the-uk/")</f>
        <v>https://www.seoworks.com/lists/20-best-digital-marketing-companies-in-the-uk/</v>
      </c>
      <c r="B172" s="15" t="str">
        <f>IFERROR(__xludf.DUMMYFUNCTION("""COMPUTED_VALUE"""),"20 Best Digital Marketing Companies in the UK (2026) | January 15, 2026")</f>
        <v>20 Best Digital Marketing Companies in the UK (2026) | January 15, 2026</v>
      </c>
      <c r="C172" s="14" t="str">
        <f>IFERROR(__xludf.DUMMYFUNCTION("""COMPUTED_VALUE"""),"seoworks.com")</f>
        <v>seoworks.com</v>
      </c>
      <c r="D172" s="15" t="str">
        <f>IFERROR(__xludf.DUMMYFUNCTION("""COMPUTED_VALUE"""),"LISTICLE")</f>
        <v>LISTICLE</v>
      </c>
      <c r="E172" s="15" t="str">
        <f>IFERROR(__xludf.DUMMYFUNCTION("""COMPUTED_VALUE"""),"CORPORATE")</f>
        <v>CORPORATE</v>
      </c>
      <c r="F172" s="15" t="str">
        <f>IFERROR(__xludf.DUMMYFUNCTION("""COMPUTED_VALUE"""),"Listicle")</f>
        <v>Listicle</v>
      </c>
      <c r="G172" s="15" t="b">
        <f>IFERROR(__xludf.DUMMYFUNCTION("""COMPUTED_VALUE"""),FALSE)</f>
        <v>0</v>
      </c>
      <c r="H172" s="15" t="str">
        <f>IFERROR(__xludf.DUMMYFUNCTION("""COMPUTED_VALUE"""),"The SEO Works, Brainlabs, Builtvisible, Propellernet, Varn, ROAST")</f>
        <v>The SEO Works, Brainlabs, Builtvisible, Propellernet, Varn, ROAST</v>
      </c>
      <c r="I172" s="15">
        <f>IFERROR(__xludf.DUMMYFUNCTION("""COMPUTED_VALUE"""),8.0)</f>
        <v>8</v>
      </c>
      <c r="J172" s="15">
        <f>IFERROR(__xludf.DUMMYFUNCTION("""COMPUTED_VALUE"""),0.01)</f>
        <v>0.01</v>
      </c>
      <c r="K172" s="15">
        <f>IFERROR(__xludf.DUMMYFUNCTION("""COMPUTED_VALUE"""),0.0)</f>
        <v>0</v>
      </c>
    </row>
    <row r="173" ht="15.75" customHeight="1">
      <c r="A173" s="14" t="str">
        <f>IFERROR(__xludf.DUMMYFUNCTION("""COMPUTED_VALUE"""),"https://www.softomatesolutions.com/blog/best-ai-strategy-consultants-london/")</f>
        <v>https://www.softomatesolutions.com/blog/best-ai-strategy-consultants-london/</v>
      </c>
      <c r="B173" s="15" t="str">
        <f>IFERROR(__xludf.DUMMYFUNCTION("""COMPUTED_VALUE"""),"Best AI Strategy Consultants London 2026: Hire Vetted Experts for Your AI Roadmap")</f>
        <v>Best AI Strategy Consultants London 2026: Hire Vetted Experts for Your AI Roadmap</v>
      </c>
      <c r="C173" s="14" t="str">
        <f>IFERROR(__xludf.DUMMYFUNCTION("""COMPUTED_VALUE"""),"softomatesolutions.com")</f>
        <v>softomatesolutions.com</v>
      </c>
      <c r="D173" s="15" t="str">
        <f>IFERROR(__xludf.DUMMYFUNCTION("""COMPUTED_VALUE"""),"LISTICLE")</f>
        <v>LISTICLE</v>
      </c>
      <c r="E173" s="15" t="str">
        <f>IFERROR(__xludf.DUMMYFUNCTION("""COMPUTED_VALUE"""),"CORPORATE")</f>
        <v>CORPORATE</v>
      </c>
      <c r="F173" s="15" t="str">
        <f>IFERROR(__xludf.DUMMYFUNCTION("""COMPUTED_VALUE"""),"Listicle")</f>
        <v>Listicle</v>
      </c>
      <c r="G173" s="15" t="b">
        <f>IFERROR(__xludf.DUMMYFUNCTION("""COMPUTED_VALUE"""),FALSE)</f>
        <v>0</v>
      </c>
      <c r="H173" s="15" t="str">
        <f>IFERROR(__xludf.DUMMYFUNCTION("""COMPUTED_VALUE"""),"Found, QuantumBlack, Measured")</f>
        <v>Found, QuantumBlack, Measured</v>
      </c>
      <c r="I173" s="15">
        <f>IFERROR(__xludf.DUMMYFUNCTION("""COMPUTED_VALUE"""),8.0)</f>
        <v>8</v>
      </c>
      <c r="J173" s="15">
        <f>IFERROR(__xludf.DUMMYFUNCTION("""COMPUTED_VALUE"""),0.01)</f>
        <v>0.01</v>
      </c>
      <c r="K173" s="15">
        <f>IFERROR(__xludf.DUMMYFUNCTION("""COMPUTED_VALUE"""),1.75)</f>
        <v>1.75</v>
      </c>
    </row>
    <row r="174" ht="15.75" customHeight="1">
      <c r="A174" s="14" t="str">
        <f>IFERROR(__xludf.DUMMYFUNCTION("""COMPUTED_VALUE"""),"https://www.superside.com/blog/creative-agencies-london")</f>
        <v>https://www.superside.com/blog/creative-agencies-london</v>
      </c>
      <c r="B174" s="15" t="str">
        <f>IFERROR(__xludf.DUMMYFUNCTION("""COMPUTED_VALUE"""),"15 Best Ad Creative Agencies in London To Hire in 2026")</f>
        <v>15 Best Ad Creative Agencies in London To Hire in 2026</v>
      </c>
      <c r="C174" s="14" t="str">
        <f>IFERROR(__xludf.DUMMYFUNCTION("""COMPUTED_VALUE"""),"superside.com")</f>
        <v>superside.com</v>
      </c>
      <c r="D174" s="15" t="str">
        <f>IFERROR(__xludf.DUMMYFUNCTION("""COMPUTED_VALUE"""),"LISTICLE")</f>
        <v>LISTICLE</v>
      </c>
      <c r="E174" s="15" t="str">
        <f>IFERROR(__xludf.DUMMYFUNCTION("""COMPUTED_VALUE"""),"COMPETITOR")</f>
        <v>COMPETITOR</v>
      </c>
      <c r="F174" s="15" t="str">
        <f>IFERROR(__xludf.DUMMYFUNCTION("""COMPUTED_VALUE"""),"Listicle")</f>
        <v>Listicle</v>
      </c>
      <c r="G174" s="15" t="b">
        <f>IFERROR(__xludf.DUMMYFUNCTION("""COMPUTED_VALUE"""),FALSE)</f>
        <v>0</v>
      </c>
      <c r="H174" s="15" t="str">
        <f>IFERROR(__xludf.DUMMYFUNCTION("""COMPUTED_VALUE"""),"Superside, Favoured, Polaris, Impression")</f>
        <v>Superside, Favoured, Polaris, Impression</v>
      </c>
      <c r="I174" s="15">
        <f>IFERROR(__xludf.DUMMYFUNCTION("""COMPUTED_VALUE"""),8.0)</f>
        <v>8</v>
      </c>
      <c r="J174" s="15">
        <f>IFERROR(__xludf.DUMMYFUNCTION("""COMPUTED_VALUE"""),0.01)</f>
        <v>0.01</v>
      </c>
      <c r="K174" s="15">
        <f>IFERROR(__xludf.DUMMYFUNCTION("""COMPUTED_VALUE"""),2.13)</f>
        <v>2.13</v>
      </c>
    </row>
    <row r="175" ht="15.75" customHeight="1">
      <c r="A175" s="14" t="str">
        <f>IFERROR(__xludf.DUMMYFUNCTION("""COMPUTED_VALUE"""),"https://www.wildishandco.co.uk/blog/best-creative-agencies-lifestyle-brands-uk")</f>
        <v>https://www.wildishandco.co.uk/blog/best-creative-agencies-lifestyle-brands-uk</v>
      </c>
      <c r="B175" s="15" t="str">
        <f>IFERROR(__xludf.DUMMYFUNCTION("""COMPUTED_VALUE"""),"Best Creative Agencies for Lifestyle Brands in the UK | Wildish &amp;amp; Co.")</f>
        <v>Best Creative Agencies for Lifestyle Brands in the UK | Wildish &amp;amp; Co.</v>
      </c>
      <c r="C175" s="14" t="str">
        <f>IFERROR(__xludf.DUMMYFUNCTION("""COMPUTED_VALUE"""),"wildishandco.co.uk")</f>
        <v>wildishandco.co.uk</v>
      </c>
      <c r="D175" s="15" t="str">
        <f>IFERROR(__xludf.DUMMYFUNCTION("""COMPUTED_VALUE"""),"LISTICLE")</f>
        <v>LISTICLE</v>
      </c>
      <c r="E175" s="15" t="str">
        <f>IFERROR(__xludf.DUMMYFUNCTION("""COMPUTED_VALUE"""),"CORPORATE")</f>
        <v>CORPORATE</v>
      </c>
      <c r="F175" s="15" t="str">
        <f>IFERROR(__xludf.DUMMYFUNCTION("""COMPUTED_VALUE"""),"Listicle")</f>
        <v>Listicle</v>
      </c>
      <c r="G175" s="15" t="b">
        <f>IFERROR(__xludf.DUMMYFUNCTION("""COMPUTED_VALUE"""),FALSE)</f>
        <v>0</v>
      </c>
      <c r="H175" s="15"/>
      <c r="I175" s="15">
        <f>IFERROR(__xludf.DUMMYFUNCTION("""COMPUTED_VALUE"""),8.0)</f>
        <v>8</v>
      </c>
      <c r="J175" s="15">
        <f>IFERROR(__xludf.DUMMYFUNCTION("""COMPUTED_VALUE"""),0.01)</f>
        <v>0.01</v>
      </c>
      <c r="K175" s="15">
        <f>IFERROR(__xludf.DUMMYFUNCTION("""COMPUTED_VALUE"""),0.38)</f>
        <v>0.38</v>
      </c>
    </row>
    <row r="176" ht="15.75" customHeight="1">
      <c r="A176" s="14" t="str">
        <f>IFERROR(__xludf.DUMMYFUNCTION("""COMPUTED_VALUE"""),"https://zipdo.co/service/marketing-attribution/")</f>
        <v>https://zipdo.co/service/marketing-attribution/</v>
      </c>
      <c r="B176" s="15" t="str">
        <f>IFERROR(__xludf.DUMMYFUNCTION("""COMPUTED_VALUE"""),"Top 10 Best Marketing Attribution Services | Top Picks 2026")</f>
        <v>Top 10 Best Marketing Attribution Services | Top Picks 2026</v>
      </c>
      <c r="C176" s="14" t="str">
        <f>IFERROR(__xludf.DUMMYFUNCTION("""COMPUTED_VALUE"""),"zipdo.co")</f>
        <v>zipdo.co</v>
      </c>
      <c r="D176" s="15" t="str">
        <f>IFERROR(__xludf.DUMMYFUNCTION("""COMPUTED_VALUE"""),"LISTICLE")</f>
        <v>LISTICLE</v>
      </c>
      <c r="E176" s="15" t="str">
        <f>IFERROR(__xludf.DUMMYFUNCTION("""COMPUTED_VALUE"""),"REFERENCE")</f>
        <v>REFERENCE</v>
      </c>
      <c r="F176" s="15" t="str">
        <f>IFERROR(__xludf.DUMMYFUNCTION("""COMPUTED_VALUE"""),"Listicle")</f>
        <v>Listicle</v>
      </c>
      <c r="G176" s="15" t="b">
        <f>IFERROR(__xludf.DUMMYFUNCTION("""COMPUTED_VALUE"""),FALSE)</f>
        <v>0</v>
      </c>
      <c r="H176" s="15" t="str">
        <f>IFERROR(__xludf.DUMMYFUNCTION("""COMPUTED_VALUE"""),"Northbeam, Merkle, Wpromote, PwC")</f>
        <v>Northbeam, Merkle, Wpromote, PwC</v>
      </c>
      <c r="I176" s="15">
        <f>IFERROR(__xludf.DUMMYFUNCTION("""COMPUTED_VALUE"""),8.0)</f>
        <v>8</v>
      </c>
      <c r="J176" s="15">
        <f>IFERROR(__xludf.DUMMYFUNCTION("""COMPUTED_VALUE"""),0.01)</f>
        <v>0.01</v>
      </c>
      <c r="K176" s="15">
        <f>IFERROR(__xludf.DUMMYFUNCTION("""COMPUTED_VALUE"""),0.0)</f>
        <v>0</v>
      </c>
    </row>
    <row r="177" ht="15.75" customHeight="1">
      <c r="A177" s="14" t="str">
        <f>IFERROR(__xludf.DUMMYFUNCTION("""COMPUTED_VALUE"""),"https://www.design-intellect.co.uk/top_50_advertising_marketing_agencies_list.html")</f>
        <v>https://www.design-intellect.co.uk/top_50_advertising_marketing_agencies_list.html</v>
      </c>
      <c r="B177" s="15" t="str">
        <f>IFERROR(__xludf.DUMMYFUNCTION("""COMPUTED_VALUE"""),"List of 50 of the top award winning advertising and marketing agencies in the UK")</f>
        <v>List of 50 of the top award winning advertising and marketing agencies in the UK</v>
      </c>
      <c r="C177" s="14" t="str">
        <f>IFERROR(__xludf.DUMMYFUNCTION("""COMPUTED_VALUE"""),"design-intellect.co.uk")</f>
        <v>design-intellect.co.uk</v>
      </c>
      <c r="D177" s="15" t="str">
        <f>IFERROR(__xludf.DUMMYFUNCTION("""COMPUTED_VALUE"""),"LISTICLE")</f>
        <v>LISTICLE</v>
      </c>
      <c r="E177" s="15" t="str">
        <f>IFERROR(__xludf.DUMMYFUNCTION("""COMPUTED_VALUE"""),"CORPORATE")</f>
        <v>CORPORATE</v>
      </c>
      <c r="F177" s="15" t="str">
        <f>IFERROR(__xludf.DUMMYFUNCTION("""COMPUTED_VALUE"""),"Listicle")</f>
        <v>Listicle</v>
      </c>
      <c r="G177" s="15" t="b">
        <f>IFERROR(__xludf.DUMMYFUNCTION("""COMPUTED_VALUE"""),FALSE)</f>
        <v>0</v>
      </c>
      <c r="H177" s="15" t="str">
        <f>IFERROR(__xludf.DUMMYFUNCTION("""COMPUTED_VALUE"""),"AMV BBDO, Found, BBH London, Huge, YouGov, Dentsu, Saatchi &amp; Saatchi, Mother London, Ogilvy, Publicis Groupe, VCCP, We Are Social, Disrupt Marketing")</f>
        <v>AMV BBDO, Found, BBH London, Huge, YouGov, Dentsu, Saatchi &amp; Saatchi, Mother London, Ogilvy, Publicis Groupe, VCCP, We Are Social, Disrupt Marketing</v>
      </c>
      <c r="I177" s="15">
        <f>IFERROR(__xludf.DUMMYFUNCTION("""COMPUTED_VALUE"""),7.0)</f>
        <v>7</v>
      </c>
      <c r="J177" s="15">
        <f>IFERROR(__xludf.DUMMYFUNCTION("""COMPUTED_VALUE"""),0.01)</f>
        <v>0.01</v>
      </c>
      <c r="K177" s="15">
        <f>IFERROR(__xludf.DUMMYFUNCTION("""COMPUTED_VALUE"""),0.57)</f>
        <v>0.57</v>
      </c>
    </row>
    <row r="178" ht="15.75" customHeight="1">
      <c r="A178" s="14" t="str">
        <f>IFERROR(__xludf.DUMMYFUNCTION("""COMPUTED_VALUE"""),"https://directiveconsulting.com/uk/blog/top-performance-marketing-agencies/#:~:text=Graysen%20Christopher")</f>
        <v>https://directiveconsulting.com/uk/blog/top-performance-marketing-agencies/#:~:text=Graysen%20Christopher</v>
      </c>
      <c r="B178" s="15" t="str">
        <f>IFERROR(__xludf.DUMMYFUNCTION("""COMPUTED_VALUE"""),"18 Best Performance Marketing Agencies For B2B - Directive")</f>
        <v>18 Best Performance Marketing Agencies For B2B - Directive</v>
      </c>
      <c r="C178" s="14" t="str">
        <f>IFERROR(__xludf.DUMMYFUNCTION("""COMPUTED_VALUE"""),"directiveconsulting.com")</f>
        <v>directiveconsulting.com</v>
      </c>
      <c r="D178" s="15" t="str">
        <f>IFERROR(__xludf.DUMMYFUNCTION("""COMPUTED_VALUE"""),"LISTICLE")</f>
        <v>LISTICLE</v>
      </c>
      <c r="E178" s="15" t="str">
        <f>IFERROR(__xludf.DUMMYFUNCTION("""COMPUTED_VALUE"""),"COMPETITOR")</f>
        <v>COMPETITOR</v>
      </c>
      <c r="F178" s="15" t="str">
        <f>IFERROR(__xludf.DUMMYFUNCTION("""COMPUTED_VALUE"""),"Listicle")</f>
        <v>Listicle</v>
      </c>
      <c r="G178" s="15" t="b">
        <f>IFERROR(__xludf.DUMMYFUNCTION("""COMPUTED_VALUE"""),FALSE)</f>
        <v>0</v>
      </c>
      <c r="H178"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178" s="15">
        <f>IFERROR(__xludf.DUMMYFUNCTION("""COMPUTED_VALUE"""),7.0)</f>
        <v>7</v>
      </c>
      <c r="J178" s="15">
        <f>IFERROR(__xludf.DUMMYFUNCTION("""COMPUTED_VALUE"""),0.01)</f>
        <v>0.01</v>
      </c>
      <c r="K178" s="15">
        <f>IFERROR(__xludf.DUMMYFUNCTION("""COMPUTED_VALUE"""),0.86)</f>
        <v>0.86</v>
      </c>
    </row>
    <row r="179" ht="15.75" customHeight="1">
      <c r="A179" s="14" t="str">
        <f>IFERROR(__xludf.DUMMYFUNCTION("""COMPUTED_VALUE"""),"https://hikemytraffic.com/ai-social-media-marketing-agencies-in-uk/")</f>
        <v>https://hikemytraffic.com/ai-social-media-marketing-agencies-in-uk/</v>
      </c>
      <c r="B179" s="15" t="str">
        <f>IFERROR(__xludf.DUMMYFUNCTION("""COMPUTED_VALUE"""),"12 Best AI social media marketing agencies in UK (2026)")</f>
        <v>12 Best AI social media marketing agencies in UK (2026)</v>
      </c>
      <c r="C179" s="14" t="str">
        <f>IFERROR(__xludf.DUMMYFUNCTION("""COMPUTED_VALUE"""),"hikemytraffic.com")</f>
        <v>hikemytraffic.com</v>
      </c>
      <c r="D179" s="15" t="str">
        <f>IFERROR(__xludf.DUMMYFUNCTION("""COMPUTED_VALUE"""),"LISTICLE")</f>
        <v>LISTICLE</v>
      </c>
      <c r="E179" s="15" t="str">
        <f>IFERROR(__xludf.DUMMYFUNCTION("""COMPUTED_VALUE"""),"CORPORATE")</f>
        <v>CORPORATE</v>
      </c>
      <c r="F179" s="15" t="str">
        <f>IFERROR(__xludf.DUMMYFUNCTION("""COMPUTED_VALUE"""),"Listicle")</f>
        <v>Listicle</v>
      </c>
      <c r="G179" s="15" t="b">
        <f>IFERROR(__xludf.DUMMYFUNCTION("""COMPUTED_VALUE"""),FALSE)</f>
        <v>0</v>
      </c>
      <c r="H179" s="15"/>
      <c r="I179" s="15">
        <f>IFERROR(__xludf.DUMMYFUNCTION("""COMPUTED_VALUE"""),7.0)</f>
        <v>7</v>
      </c>
      <c r="J179" s="15">
        <f>IFERROR(__xludf.DUMMYFUNCTION("""COMPUTED_VALUE"""),0.01)</f>
        <v>0.01</v>
      </c>
      <c r="K179" s="15">
        <f>IFERROR(__xludf.DUMMYFUNCTION("""COMPUTED_VALUE"""),0.29)</f>
        <v>0.29</v>
      </c>
    </row>
    <row r="180" ht="15.75" customHeight="1">
      <c r="A180" s="14" t="str">
        <f>IFERROR(__xludf.DUMMYFUNCTION("""COMPUTED_VALUE"""),"https://www.loudface.co/blog/best-aeo-agencies-2026")</f>
        <v>https://www.loudface.co/blog/best-aeo-agencies-2026</v>
      </c>
      <c r="B180" s="15" t="str">
        <f>IFERROR(__xludf.DUMMYFUNCTION("""COMPUTED_VALUE"""),"Best AEO &amp;amp; AI Search Agencies in 2026 (Ranked) | LoudFace")</f>
        <v>Best AEO &amp;amp; AI Search Agencies in 2026 (Ranked) | LoudFace</v>
      </c>
      <c r="C180" s="14" t="str">
        <f>IFERROR(__xludf.DUMMYFUNCTION("""COMPUTED_VALUE"""),"loudface.co")</f>
        <v>loudface.co</v>
      </c>
      <c r="D180" s="15" t="str">
        <f>IFERROR(__xludf.DUMMYFUNCTION("""COMPUTED_VALUE"""),"LISTICLE")</f>
        <v>LISTICLE</v>
      </c>
      <c r="E180" s="15" t="str">
        <f>IFERROR(__xludf.DUMMYFUNCTION("""COMPUTED_VALUE"""),"CORPORATE")</f>
        <v>CORPORATE</v>
      </c>
      <c r="F180" s="15" t="str">
        <f>IFERROR(__xludf.DUMMYFUNCTION("""COMPUTED_VALUE"""),"Listicle")</f>
        <v>Listicle</v>
      </c>
      <c r="G180" s="15" t="b">
        <f>IFERROR(__xludf.DUMMYFUNCTION("""COMPUTED_VALUE"""),FALSE)</f>
        <v>0</v>
      </c>
      <c r="H180" s="15" t="str">
        <f>IFERROR(__xludf.DUMMYFUNCTION("""COMPUTED_VALUE"""),"NoGood, Omniscient Digital, Siege Media, Measured")</f>
        <v>NoGood, Omniscient Digital, Siege Media, Measured</v>
      </c>
      <c r="I180" s="15">
        <f>IFERROR(__xludf.DUMMYFUNCTION("""COMPUTED_VALUE"""),7.0)</f>
        <v>7</v>
      </c>
      <c r="J180" s="15">
        <f>IFERROR(__xludf.DUMMYFUNCTION("""COMPUTED_VALUE"""),0.01)</f>
        <v>0.01</v>
      </c>
      <c r="K180" s="15">
        <f>IFERROR(__xludf.DUMMYFUNCTION("""COMPUTED_VALUE"""),0.0)</f>
        <v>0</v>
      </c>
    </row>
    <row r="181" ht="15.75" customHeight="1">
      <c r="A181" s="14" t="str">
        <f>IFERROR(__xludf.DUMMYFUNCTION("""COMPUTED_VALUE"""),"https://nautilusmarketing.co.uk/top-15-paid-media-agencies-in-the-uk-2025/")</f>
        <v>https://nautilusmarketing.co.uk/top-15-paid-media-agencies-in-the-uk-2025/</v>
      </c>
      <c r="B181" s="15" t="str">
        <f>IFERROR(__xludf.DUMMYFUNCTION("""COMPUTED_VALUE"""),"Top 15 Paid Media Agencies in the UK (2026)")</f>
        <v>Top 15 Paid Media Agencies in the UK (2026)</v>
      </c>
      <c r="C181" s="14" t="str">
        <f>IFERROR(__xludf.DUMMYFUNCTION("""COMPUTED_VALUE"""),"nautilusmarketing.co.uk")</f>
        <v>nautilusmarketing.co.uk</v>
      </c>
      <c r="D181" s="15" t="str">
        <f>IFERROR(__xludf.DUMMYFUNCTION("""COMPUTED_VALUE"""),"LISTICLE")</f>
        <v>LISTICLE</v>
      </c>
      <c r="E181" s="15" t="str">
        <f>IFERROR(__xludf.DUMMYFUNCTION("""COMPUTED_VALUE"""),"CORPORATE")</f>
        <v>CORPORATE</v>
      </c>
      <c r="F181" s="15" t="str">
        <f>IFERROR(__xludf.DUMMYFUNCTION("""COMPUTED_VALUE"""),"Listicle")</f>
        <v>Listicle</v>
      </c>
      <c r="G181" s="15" t="b">
        <f>IFERROR(__xludf.DUMMYFUNCTION("""COMPUTED_VALUE"""),FALSE)</f>
        <v>0</v>
      </c>
      <c r="H181" s="15" t="str">
        <f>IFERROR(__xludf.DUMMYFUNCTION("""COMPUTED_VALUE"""),"iCrossing, Push, Push Group, GA Agency, Impression, Disrupt Marketing, Propeller, Clarity Performance, The Social Shepherd")</f>
        <v>iCrossing, Push, Push Group, GA Agency, Impression, Disrupt Marketing, Propeller, Clarity Performance, The Social Shepherd</v>
      </c>
      <c r="I181" s="15">
        <f>IFERROR(__xludf.DUMMYFUNCTION("""COMPUTED_VALUE"""),7.0)</f>
        <v>7</v>
      </c>
      <c r="J181" s="15">
        <f>IFERROR(__xludf.DUMMYFUNCTION("""COMPUTED_VALUE"""),0.01)</f>
        <v>0.01</v>
      </c>
      <c r="K181" s="15">
        <f>IFERROR(__xludf.DUMMYFUNCTION("""COMPUTED_VALUE"""),0.0)</f>
        <v>0</v>
      </c>
    </row>
    <row r="182" ht="15.75" customHeight="1">
      <c r="A182" s="14" t="str">
        <f>IFERROR(__xludf.DUMMYFUNCTION("""COMPUTED_VALUE"""),"https://www.rank4ai.co.uk/research/rankings/ai-search-agencies-for-small-business-uk/")</f>
        <v>https://www.rank4ai.co.uk/research/rankings/ai-search-agencies-for-small-business-uk/</v>
      </c>
      <c r="B182" s="15" t="str">
        <f>IFERROR(__xludf.DUMMYFUNCTION("""COMPUTED_VALUE"""),"AI Search Agencies for Small Business UK | Rank4AI")</f>
        <v>AI Search Agencies for Small Business UK | Rank4AI</v>
      </c>
      <c r="C182" s="14" t="str">
        <f>IFERROR(__xludf.DUMMYFUNCTION("""COMPUTED_VALUE"""),"rank4ai.co.uk")</f>
        <v>rank4ai.co.uk</v>
      </c>
      <c r="D182" s="15" t="str">
        <f>IFERROR(__xludf.DUMMYFUNCTION("""COMPUTED_VALUE"""),"LISTICLE")</f>
        <v>LISTICLE</v>
      </c>
      <c r="E182" s="15" t="str">
        <f>IFERROR(__xludf.DUMMYFUNCTION("""COMPUTED_VALUE"""),"COMPETITOR")</f>
        <v>COMPETITOR</v>
      </c>
      <c r="F182" s="15" t="str">
        <f>IFERROR(__xludf.DUMMYFUNCTION("""COMPUTED_VALUE"""),"Listicle")</f>
        <v>Listicle</v>
      </c>
      <c r="G182" s="15" t="b">
        <f>IFERROR(__xludf.DUMMYFUNCTION("""COMPUTED_VALUE"""),FALSE)</f>
        <v>0</v>
      </c>
      <c r="H182" s="15" t="str">
        <f>IFERROR(__xludf.DUMMYFUNCTION("""COMPUTED_VALUE"""),"Rank4AI, Found")</f>
        <v>Rank4AI, Found</v>
      </c>
      <c r="I182" s="15">
        <f>IFERROR(__xludf.DUMMYFUNCTION("""COMPUTED_VALUE"""),7.0)</f>
        <v>7</v>
      </c>
      <c r="J182" s="15">
        <f>IFERROR(__xludf.DUMMYFUNCTION("""COMPUTED_VALUE"""),0.01)</f>
        <v>0.01</v>
      </c>
      <c r="K182" s="15">
        <f>IFERROR(__xludf.DUMMYFUNCTION("""COMPUTED_VALUE"""),1.0)</f>
        <v>1</v>
      </c>
    </row>
    <row r="183" ht="15.75" customHeight="1">
      <c r="A183" s="14" t="str">
        <f>IFERROR(__xludf.DUMMYFUNCTION("""COMPUTED_VALUE"""),"https://www.rank4ai.co.uk/research/rankings/top-ai-seo-agencies-uk-2026/")</f>
        <v>https://www.rank4ai.co.uk/research/rankings/top-ai-seo-agencies-uk-2026/</v>
      </c>
      <c r="B183" s="15" t="str">
        <f>IFERROR(__xludf.DUMMYFUNCTION("""COMPUTED_VALUE"""),"Top 10 AI Search &amp;amp; AI SEO Agencies UK 2026 | Rank4AI")</f>
        <v>Top 10 AI Search &amp;amp; AI SEO Agencies UK 2026 | Rank4AI</v>
      </c>
      <c r="C183" s="14" t="str">
        <f>IFERROR(__xludf.DUMMYFUNCTION("""COMPUTED_VALUE"""),"rank4ai.co.uk")</f>
        <v>rank4ai.co.uk</v>
      </c>
      <c r="D183" s="15" t="str">
        <f>IFERROR(__xludf.DUMMYFUNCTION("""COMPUTED_VALUE"""),"LISTICLE")</f>
        <v>LISTICLE</v>
      </c>
      <c r="E183" s="15" t="str">
        <f>IFERROR(__xludf.DUMMYFUNCTION("""COMPUTED_VALUE"""),"COMPETITOR")</f>
        <v>COMPETITOR</v>
      </c>
      <c r="F183" s="15" t="str">
        <f>IFERROR(__xludf.DUMMYFUNCTION("""COMPUTED_VALUE"""),"Listicle")</f>
        <v>Listicle</v>
      </c>
      <c r="G183" s="15" t="b">
        <f>IFERROR(__xludf.DUMMYFUNCTION("""COMPUTED_VALUE"""),FALSE)</f>
        <v>0</v>
      </c>
      <c r="H183" s="15" t="str">
        <f>IFERROR(__xludf.DUMMYFUNCTION("""COMPUTED_VALUE"""),"Rank4AI, Varn, Found, Buried Agency, Screaming Frog, Blue Array, Exposure Ninja, Hallam")</f>
        <v>Rank4AI, Varn, Found, Buried Agency, Screaming Frog, Blue Array, Exposure Ninja, Hallam</v>
      </c>
      <c r="I183" s="15">
        <f>IFERROR(__xludf.DUMMYFUNCTION("""COMPUTED_VALUE"""),7.0)</f>
        <v>7</v>
      </c>
      <c r="J183" s="15">
        <f>IFERROR(__xludf.DUMMYFUNCTION("""COMPUTED_VALUE"""),0.01)</f>
        <v>0.01</v>
      </c>
      <c r="K183" s="15">
        <f>IFERROR(__xludf.DUMMYFUNCTION("""COMPUTED_VALUE"""),0.43)</f>
        <v>0.43</v>
      </c>
    </row>
    <row r="184" ht="15.75" customHeight="1">
      <c r="A184" s="14" t="str">
        <f>IFERROR(__xludf.DUMMYFUNCTION("""COMPUTED_VALUE"""),"https://www.seo.com/agency/best-digital-marketing-companies-uk/")</f>
        <v>https://www.seo.com/agency/best-digital-marketing-companies-uk/</v>
      </c>
      <c r="B184" s="15" t="str">
        <f>IFERROR(__xludf.DUMMYFUNCTION("""COMPUTED_VALUE"""),"The 10 Best Digital Marketing Companies in the UK in 2026")</f>
        <v>The 10 Best Digital Marketing Companies in the UK in 2026</v>
      </c>
      <c r="C184" s="14" t="str">
        <f>IFERROR(__xludf.DUMMYFUNCTION("""COMPUTED_VALUE"""),"seo.com")</f>
        <v>seo.com</v>
      </c>
      <c r="D184" s="15" t="str">
        <f>IFERROR(__xludf.DUMMYFUNCTION("""COMPUTED_VALUE"""),"LISTICLE")</f>
        <v>LISTICLE</v>
      </c>
      <c r="E184" s="15" t="str">
        <f>IFERROR(__xludf.DUMMYFUNCTION("""COMPUTED_VALUE"""),"CORPORATE")</f>
        <v>CORPORATE</v>
      </c>
      <c r="F184" s="15" t="str">
        <f>IFERROR(__xludf.DUMMYFUNCTION("""COMPUTED_VALUE"""),"Listicle")</f>
        <v>Listicle</v>
      </c>
      <c r="G184" s="15" t="b">
        <f>IFERROR(__xludf.DUMMYFUNCTION("""COMPUTED_VALUE"""),FALSE)</f>
        <v>0</v>
      </c>
      <c r="H184" s="15" t="str">
        <f>IFERROR(__xludf.DUMMYFUNCTION("""COMPUTED_VALUE"""),"WebFX, M3.agency, The SEO Works, Ninja Promo")</f>
        <v>WebFX, M3.agency, The SEO Works, Ninja Promo</v>
      </c>
      <c r="I184" s="15">
        <f>IFERROR(__xludf.DUMMYFUNCTION("""COMPUTED_VALUE"""),7.0)</f>
        <v>7</v>
      </c>
      <c r="J184" s="15">
        <f>IFERROR(__xludf.DUMMYFUNCTION("""COMPUTED_VALUE"""),0.01)</f>
        <v>0.01</v>
      </c>
      <c r="K184" s="15">
        <f>IFERROR(__xludf.DUMMYFUNCTION("""COMPUTED_VALUE"""),0.0)</f>
        <v>0</v>
      </c>
    </row>
    <row r="185" ht="15.75" customHeight="1">
      <c r="A185" s="14" t="str">
        <f>IFERROR(__xludf.DUMMYFUNCTION("""COMPUTED_VALUE"""),"https://weframetech.com/blog/top-ai-marketing-agencies-in-london-2026-for-growth")</f>
        <v>https://weframetech.com/blog/top-ai-marketing-agencies-in-london-2026-for-growth</v>
      </c>
      <c r="B185" s="15" t="str">
        <f>IFERROR(__xludf.DUMMYFUNCTION("""COMPUTED_VALUE"""),"London’s 7 Best AI Marketing Agencies to Boost Growth 2026")</f>
        <v>London’s 7 Best AI Marketing Agencies to Boost Growth 2026</v>
      </c>
      <c r="C185" s="14" t="str">
        <f>IFERROR(__xludf.DUMMYFUNCTION("""COMPUTED_VALUE"""),"weframetech.com")</f>
        <v>weframetech.com</v>
      </c>
      <c r="D185" s="15" t="str">
        <f>IFERROR(__xludf.DUMMYFUNCTION("""COMPUTED_VALUE"""),"LISTICLE")</f>
        <v>LISTICLE</v>
      </c>
      <c r="E185" s="15" t="str">
        <f>IFERROR(__xludf.DUMMYFUNCTION("""COMPUTED_VALUE"""),"CORPORATE")</f>
        <v>CORPORATE</v>
      </c>
      <c r="F185" s="15" t="str">
        <f>IFERROR(__xludf.DUMMYFUNCTION("""COMPUTED_VALUE"""),"Listicle")</f>
        <v>Listicle</v>
      </c>
      <c r="G185" s="15" t="b">
        <f>IFERROR(__xludf.DUMMYFUNCTION("""COMPUTED_VALUE"""),FALSE)</f>
        <v>0</v>
      </c>
      <c r="H185" s="15" t="str">
        <f>IFERROR(__xludf.DUMMYFUNCTION("""COMPUTED_VALUE"""),"Koozai, Open Partners, Propeller")</f>
        <v>Koozai, Open Partners, Propeller</v>
      </c>
      <c r="I185" s="15">
        <f>IFERROR(__xludf.DUMMYFUNCTION("""COMPUTED_VALUE"""),7.0)</f>
        <v>7</v>
      </c>
      <c r="J185" s="15">
        <f>IFERROR(__xludf.DUMMYFUNCTION("""COMPUTED_VALUE"""),0.01)</f>
        <v>0.01</v>
      </c>
      <c r="K185" s="15">
        <f>IFERROR(__xludf.DUMMYFUNCTION("""COMPUTED_VALUE"""),0.57)</f>
        <v>0.57</v>
      </c>
    </row>
    <row r="186" ht="15.75" customHeight="1">
      <c r="A186" s="14" t="str">
        <f>IFERROR(__xludf.DUMMYFUNCTION("""COMPUTED_VALUE"""),"https://www.bluearray.co.uk/agency-directory/best-google-analytics-agencies-in-the-uk/")</f>
        <v>https://www.bluearray.co.uk/agency-directory/best-google-analytics-agencies-in-the-uk/</v>
      </c>
      <c r="B186" s="15" t="str">
        <f>IFERROR(__xludf.DUMMYFUNCTION("""COMPUTED_VALUE"""),"Best Google Analytics Agencies in the UK - Blue Array SEO")</f>
        <v>Best Google Analytics Agencies in the UK - Blue Array SEO</v>
      </c>
      <c r="C186" s="14" t="str">
        <f>IFERROR(__xludf.DUMMYFUNCTION("""COMPUTED_VALUE"""),"bluearray.co.uk")</f>
        <v>bluearray.co.uk</v>
      </c>
      <c r="D186" s="15" t="str">
        <f>IFERROR(__xludf.DUMMYFUNCTION("""COMPUTED_VALUE"""),"LISTICLE")</f>
        <v>LISTICLE</v>
      </c>
      <c r="E186" s="15" t="str">
        <f>IFERROR(__xludf.DUMMYFUNCTION("""COMPUTED_VALUE"""),"COMPETITOR")</f>
        <v>COMPETITOR</v>
      </c>
      <c r="F186" s="15" t="str">
        <f>IFERROR(__xludf.DUMMYFUNCTION("""COMPUTED_VALUE"""),"Listicle")</f>
        <v>Listicle</v>
      </c>
      <c r="G186" s="15" t="b">
        <f>IFERROR(__xludf.DUMMYFUNCTION("""COMPUTED_VALUE"""),FALSE)</f>
        <v>0</v>
      </c>
      <c r="H186" s="15" t="str">
        <f>IFERROR(__xludf.DUMMYFUNCTION("""COMPUTED_VALUE"""),"Blue Array, Bind Media, NP Digital, Launch Online, Measurelab, Artefact")</f>
        <v>Blue Array, Bind Media, NP Digital, Launch Online, Measurelab, Artefact</v>
      </c>
      <c r="I186" s="15">
        <f>IFERROR(__xludf.DUMMYFUNCTION("""COMPUTED_VALUE"""),6.0)</f>
        <v>6</v>
      </c>
      <c r="J186" s="15">
        <f>IFERROR(__xludf.DUMMYFUNCTION("""COMPUTED_VALUE"""),0.01)</f>
        <v>0.01</v>
      </c>
      <c r="K186" s="15">
        <f>IFERROR(__xludf.DUMMYFUNCTION("""COMPUTED_VALUE"""),0.33)</f>
        <v>0.33</v>
      </c>
    </row>
    <row r="187" ht="15.75" customHeight="1">
      <c r="A187" s="14" t="str">
        <f>IFERROR(__xludf.DUMMYFUNCTION("""COMPUTED_VALUE"""),"https://copilot-experts.com/top-ai-consulting-firm/")</f>
        <v>https://copilot-experts.com/top-ai-consulting-firm/</v>
      </c>
      <c r="B187" s="15" t="str">
        <f>IFERROR(__xludf.DUMMYFUNCTION("""COMPUTED_VALUE"""),"Top 10 AI Consulting Firms in 2026 - Copilot Experts")</f>
        <v>Top 10 AI Consulting Firms in 2026 - Copilot Experts</v>
      </c>
      <c r="C187" s="14" t="str">
        <f>IFERROR(__xludf.DUMMYFUNCTION("""COMPUTED_VALUE"""),"copilot-experts.com")</f>
        <v>copilot-experts.com</v>
      </c>
      <c r="D187" s="15" t="str">
        <f>IFERROR(__xludf.DUMMYFUNCTION("""COMPUTED_VALUE"""),"LISTICLE")</f>
        <v>LISTICLE</v>
      </c>
      <c r="E187" s="15" t="str">
        <f>IFERROR(__xludf.DUMMYFUNCTION("""COMPUTED_VALUE"""),"CORPORATE")</f>
        <v>CORPORATE</v>
      </c>
      <c r="F187" s="15" t="str">
        <f>IFERROR(__xludf.DUMMYFUNCTION("""COMPUTED_VALUE"""),"Listicle")</f>
        <v>Listicle</v>
      </c>
      <c r="G187" s="15" t="b">
        <f>IFERROR(__xludf.DUMMYFUNCTION("""COMPUTED_VALUE"""),FALSE)</f>
        <v>0</v>
      </c>
      <c r="H187" s="15" t="str">
        <f>IFERROR(__xludf.DUMMYFUNCTION("""COMPUTED_VALUE"""),"McKinsey &amp; Company, QuantumBlack, EY, PwC, Measured")</f>
        <v>McKinsey &amp; Company, QuantumBlack, EY, PwC, Measured</v>
      </c>
      <c r="I187" s="15">
        <f>IFERROR(__xludf.DUMMYFUNCTION("""COMPUTED_VALUE"""),6.0)</f>
        <v>6</v>
      </c>
      <c r="J187" s="15">
        <f>IFERROR(__xludf.DUMMYFUNCTION("""COMPUTED_VALUE"""),0.01)</f>
        <v>0.01</v>
      </c>
      <c r="K187" s="15">
        <f>IFERROR(__xludf.DUMMYFUNCTION("""COMPUTED_VALUE"""),0.0)</f>
        <v>0</v>
      </c>
    </row>
    <row r="188" ht="15.75" customHeight="1">
      <c r="A188" s="14" t="str">
        <f>IFERROR(__xludf.DUMMYFUNCTION("""COMPUTED_VALUE"""),"https://www.elevateai.co.uk/blog/ai-automation-agencies-uk-2026")</f>
        <v>https://www.elevateai.co.uk/blog/ai-automation-agencies-uk-2026</v>
      </c>
      <c r="B188" s="15" t="str">
        <f>IFERROR(__xludf.DUMMYFUNCTION("""COMPUTED_VALUE"""),"Best AI Automation Agencies UK 2026: Shortlist by Price, Proof, and SME Fit")</f>
        <v>Best AI Automation Agencies UK 2026: Shortlist by Price, Proof, and SME Fit</v>
      </c>
      <c r="C188" s="14" t="str">
        <f>IFERROR(__xludf.DUMMYFUNCTION("""COMPUTED_VALUE"""),"elevateai.co.uk")</f>
        <v>elevateai.co.uk</v>
      </c>
      <c r="D188" s="15" t="str">
        <f>IFERROR(__xludf.DUMMYFUNCTION("""COMPUTED_VALUE"""),"LISTICLE")</f>
        <v>LISTICLE</v>
      </c>
      <c r="E188" s="15" t="str">
        <f>IFERROR(__xludf.DUMMYFUNCTION("""COMPUTED_VALUE"""),"CORPORATE")</f>
        <v>CORPORATE</v>
      </c>
      <c r="F188" s="15" t="str">
        <f>IFERROR(__xludf.DUMMYFUNCTION("""COMPUTED_VALUE"""),"Listicle")</f>
        <v>Listicle</v>
      </c>
      <c r="G188" s="15" t="b">
        <f>IFERROR(__xludf.DUMMYFUNCTION("""COMPUTED_VALUE"""),FALSE)</f>
        <v>0</v>
      </c>
      <c r="H188" s="15" t="str">
        <f>IFERROR(__xludf.DUMMYFUNCTION("""COMPUTED_VALUE"""),"Favoured, Measured")</f>
        <v>Favoured, Measured</v>
      </c>
      <c r="I188" s="15">
        <f>IFERROR(__xludf.DUMMYFUNCTION("""COMPUTED_VALUE"""),6.0)</f>
        <v>6</v>
      </c>
      <c r="J188" s="15">
        <f>IFERROR(__xludf.DUMMYFUNCTION("""COMPUTED_VALUE"""),0.01)</f>
        <v>0.01</v>
      </c>
      <c r="K188" s="15">
        <f>IFERROR(__xludf.DUMMYFUNCTION("""COMPUTED_VALUE"""),1.83)</f>
        <v>1.83</v>
      </c>
    </row>
    <row r="189" ht="15.75" customHeight="1">
      <c r="A189" s="14" t="str">
        <f>IFERROR(__xludf.DUMMYFUNCTION("""COMPUTED_VALUE"""),"https://www.ft.com/content/dfaff23c-9e47-43f7-8c0f-393939c1c16f")</f>
        <v>https://www.ft.com/content/dfaff23c-9e47-43f7-8c0f-393939c1c16f</v>
      </c>
      <c r="B189" s="15" t="str">
        <f>IFERROR(__xludf.DUMMYFUNCTION("""COMPUTED_VALUE"""),"UK’s Leading Management Consultants 2026: the ratings")</f>
        <v>UK’s Leading Management Consultants 2026: the ratings</v>
      </c>
      <c r="C189" s="14" t="str">
        <f>IFERROR(__xludf.DUMMYFUNCTION("""COMPUTED_VALUE"""),"ft.com")</f>
        <v>ft.com</v>
      </c>
      <c r="D189" s="15" t="str">
        <f>IFERROR(__xludf.DUMMYFUNCTION("""COMPUTED_VALUE"""),"LISTICLE")</f>
        <v>LISTICLE</v>
      </c>
      <c r="E189" s="15" t="str">
        <f>IFERROR(__xludf.DUMMYFUNCTION("""COMPUTED_VALUE"""),"EDITORIAL")</f>
        <v>EDITORIAL</v>
      </c>
      <c r="F189" s="15" t="str">
        <f>IFERROR(__xludf.DUMMYFUNCTION("""COMPUTED_VALUE"""),"Listicle")</f>
        <v>Listicle</v>
      </c>
      <c r="G189" s="15" t="b">
        <f>IFERROR(__xludf.DUMMYFUNCTION("""COMPUTED_VALUE"""),FALSE)</f>
        <v>0</v>
      </c>
      <c r="H189" s="15" t="str">
        <f>IFERROR(__xludf.DUMMYFUNCTION("""COMPUTED_VALUE"""),"Found")</f>
        <v>Found</v>
      </c>
      <c r="I189" s="15">
        <f>IFERROR(__xludf.DUMMYFUNCTION("""COMPUTED_VALUE"""),6.0)</f>
        <v>6</v>
      </c>
      <c r="J189" s="15">
        <f>IFERROR(__xludf.DUMMYFUNCTION("""COMPUTED_VALUE"""),0.01)</f>
        <v>0.01</v>
      </c>
      <c r="K189" s="15">
        <f>IFERROR(__xludf.DUMMYFUNCTION("""COMPUTED_VALUE"""),2.17)</f>
        <v>2.17</v>
      </c>
    </row>
    <row r="190" ht="15.75" customHeight="1">
      <c r="A190" s="14" t="str">
        <f>IFERROR(__xludf.DUMMYFUNCTION("""COMPUTED_VALUE"""),"https://gulftagline.ae/2025/03/06/the-5-best-advertising-and-marketing-agencies-in-the-uk/")</f>
        <v>https://gulftagline.ae/2025/03/06/the-5-best-advertising-and-marketing-agencies-in-the-uk/</v>
      </c>
      <c r="B190" s="15" t="str">
        <f>IFERROR(__xludf.DUMMYFUNCTION("""COMPUTED_VALUE"""),"The 5 Best Advertising and Marketing Agencies in the UK – GulfTagline Magazine")</f>
        <v>The 5 Best Advertising and Marketing Agencies in the UK – GulfTagline Magazine</v>
      </c>
      <c r="C190" s="14" t="str">
        <f>IFERROR(__xludf.DUMMYFUNCTION("""COMPUTED_VALUE"""),"gulftagline.ae")</f>
        <v>gulftagline.ae</v>
      </c>
      <c r="D190" s="15" t="str">
        <f>IFERROR(__xludf.DUMMYFUNCTION("""COMPUTED_VALUE"""),"LISTICLE")</f>
        <v>LISTICLE</v>
      </c>
      <c r="E190" s="15" t="str">
        <f>IFERROR(__xludf.DUMMYFUNCTION("""COMPUTED_VALUE"""),"EDITORIAL")</f>
        <v>EDITORIAL</v>
      </c>
      <c r="F190" s="15" t="str">
        <f>IFERROR(__xludf.DUMMYFUNCTION("""COMPUTED_VALUE"""),"Listicle")</f>
        <v>Listicle</v>
      </c>
      <c r="G190" s="15" t="b">
        <f>IFERROR(__xludf.DUMMYFUNCTION("""COMPUTED_VALUE"""),FALSE)</f>
        <v>0</v>
      </c>
      <c r="H190" s="15" t="str">
        <f>IFERROR(__xludf.DUMMYFUNCTION("""COMPUTED_VALUE"""),"BBH London, Adam&amp;eveDDB, The Social Shepherd")</f>
        <v>BBH London, Adam&amp;eveDDB, The Social Shepherd</v>
      </c>
      <c r="I190" s="15">
        <f>IFERROR(__xludf.DUMMYFUNCTION("""COMPUTED_VALUE"""),6.0)</f>
        <v>6</v>
      </c>
      <c r="J190" s="15">
        <f>IFERROR(__xludf.DUMMYFUNCTION("""COMPUTED_VALUE"""),0.01)</f>
        <v>0.01</v>
      </c>
      <c r="K190" s="15">
        <f>IFERROR(__xludf.DUMMYFUNCTION("""COMPUTED_VALUE"""),1.0)</f>
        <v>1</v>
      </c>
    </row>
    <row r="191" ht="15.75" customHeight="1">
      <c r="A191" s="14" t="str">
        <f>IFERROR(__xludf.DUMMYFUNCTION("""COMPUTED_VALUE"""),"https://inbeat.agency/blog/top-go-to-market-agencies-uk")</f>
        <v>https://inbeat.agency/blog/top-go-to-market-agencies-uk</v>
      </c>
      <c r="B191" s="15" t="str">
        <f>IFERROR(__xludf.DUMMYFUNCTION("""COMPUTED_VALUE"""),"15 Best UK Go-to-Market Agencies Turning Strategy Into Sales in 2026 - inBeat Agency")</f>
        <v>15 Best UK Go-to-Market Agencies Turning Strategy Into Sales in 2026 - inBeat Agency</v>
      </c>
      <c r="C191" s="15" t="str">
        <f>IFERROR(__xludf.DUMMYFUNCTION("""COMPUTED_VALUE"""),"inbeat.agency")</f>
        <v>inbeat.agency</v>
      </c>
      <c r="D191" s="15" t="str">
        <f>IFERROR(__xludf.DUMMYFUNCTION("""COMPUTED_VALUE"""),"LISTICLE")</f>
        <v>LISTICLE</v>
      </c>
      <c r="E191" s="15" t="str">
        <f>IFERROR(__xludf.DUMMYFUNCTION("""COMPUTED_VALUE"""),"COMPETITOR")</f>
        <v>COMPETITOR</v>
      </c>
      <c r="F191" s="15" t="str">
        <f>IFERROR(__xludf.DUMMYFUNCTION("""COMPUTED_VALUE"""),"Listicle")</f>
        <v>Listicle</v>
      </c>
      <c r="G191" s="15" t="b">
        <f>IFERROR(__xludf.DUMMYFUNCTION("""COMPUTED_VALUE"""),FALSE)</f>
        <v>0</v>
      </c>
      <c r="H191" s="15" t="str">
        <f>IFERROR(__xludf.DUMMYFUNCTION("""COMPUTED_VALUE"""),"inBeat, Nielsen, Push, Momentum, Polaris, Found")</f>
        <v>inBeat, Nielsen, Push, Momentum, Polaris, Found</v>
      </c>
      <c r="I191" s="15">
        <f>IFERROR(__xludf.DUMMYFUNCTION("""COMPUTED_VALUE"""),6.0)</f>
        <v>6</v>
      </c>
      <c r="J191" s="15">
        <f>IFERROR(__xludf.DUMMYFUNCTION("""COMPUTED_VALUE"""),0.01)</f>
        <v>0.01</v>
      </c>
      <c r="K191" s="15">
        <f>IFERROR(__xludf.DUMMYFUNCTION("""COMPUTED_VALUE"""),0.0)</f>
        <v>0</v>
      </c>
    </row>
    <row r="192" ht="15.75" customHeight="1">
      <c r="A192" s="14" t="str">
        <f>IFERROR(__xludf.DUMMYFUNCTION("""COMPUTED_VALUE"""),"https://lengreo.com/performance-marketing-agencies-in-the-uk/")</f>
        <v>https://lengreo.com/performance-marketing-agencies-in-the-uk/</v>
      </c>
      <c r="B192" s="15" t="str">
        <f>IFERROR(__xludf.DUMMYFUNCTION("""COMPUTED_VALUE"""),"Unlocking Success: Top Performance Marketing Agencies in the UK")</f>
        <v>Unlocking Success: Top Performance Marketing Agencies in the UK</v>
      </c>
      <c r="C192" s="14" t="str">
        <f>IFERROR(__xludf.DUMMYFUNCTION("""COMPUTED_VALUE"""),"lengreo.com")</f>
        <v>lengreo.com</v>
      </c>
      <c r="D192" s="15" t="str">
        <f>IFERROR(__xludf.DUMMYFUNCTION("""COMPUTED_VALUE"""),"LISTICLE")</f>
        <v>LISTICLE</v>
      </c>
      <c r="E192" s="15" t="str">
        <f>IFERROR(__xludf.DUMMYFUNCTION("""COMPUTED_VALUE"""),"CORPORATE")</f>
        <v>CORPORATE</v>
      </c>
      <c r="F192" s="15" t="str">
        <f>IFERROR(__xludf.DUMMYFUNCTION("""COMPUTED_VALUE"""),"Listicle")</f>
        <v>Listicle</v>
      </c>
      <c r="G192" s="15" t="b">
        <f>IFERROR(__xludf.DUMMYFUNCTION("""COMPUTED_VALUE"""),FALSE)</f>
        <v>0</v>
      </c>
      <c r="H192" s="15" t="str">
        <f>IFERROR(__xludf.DUMMYFUNCTION("""COMPUTED_VALUE"""),"The Social Shepherd, Directive Consulting, The Brains, Gravity Global, Gripped")</f>
        <v>The Social Shepherd, Directive Consulting, The Brains, Gravity Global, Gripped</v>
      </c>
      <c r="I192" s="15">
        <f>IFERROR(__xludf.DUMMYFUNCTION("""COMPUTED_VALUE"""),6.0)</f>
        <v>6</v>
      </c>
      <c r="J192" s="15">
        <f>IFERROR(__xludf.DUMMYFUNCTION("""COMPUTED_VALUE"""),0.01)</f>
        <v>0.01</v>
      </c>
      <c r="K192" s="15">
        <f>IFERROR(__xludf.DUMMYFUNCTION("""COMPUTED_VALUE"""),0.0)</f>
        <v>0</v>
      </c>
    </row>
    <row r="193" ht="15.75" customHeight="1">
      <c r="A193" s="14" t="str">
        <f>IFERROR(__xludf.DUMMYFUNCTION("""COMPUTED_VALUE"""),"https://levelupleads.co.uk/best-ai-seo-agency-uk/")</f>
        <v>https://levelupleads.co.uk/best-ai-seo-agency-uk/</v>
      </c>
      <c r="B193" s="15" t="str">
        <f>IFERROR(__xludf.DUMMYFUNCTION("""COMPUTED_VALUE"""),"7 Best AI SEO Agencies in the UK (2026)")</f>
        <v>7 Best AI SEO Agencies in the UK (2026)</v>
      </c>
      <c r="C193" s="14" t="str">
        <f>IFERROR(__xludf.DUMMYFUNCTION("""COMPUTED_VALUE"""),"levelupleads.co.uk")</f>
        <v>levelupleads.co.uk</v>
      </c>
      <c r="D193" s="15" t="str">
        <f>IFERROR(__xludf.DUMMYFUNCTION("""COMPUTED_VALUE"""),"LISTICLE")</f>
        <v>LISTICLE</v>
      </c>
      <c r="E193" s="15" t="str">
        <f>IFERROR(__xludf.DUMMYFUNCTION("""COMPUTED_VALUE"""),"CORPORATE")</f>
        <v>CORPORATE</v>
      </c>
      <c r="F193" s="15" t="str">
        <f>IFERROR(__xludf.DUMMYFUNCTION("""COMPUTED_VALUE"""),"Listicle")</f>
        <v>Listicle</v>
      </c>
      <c r="G193" s="15" t="b">
        <f>IFERROR(__xludf.DUMMYFUNCTION("""COMPUTED_VALUE"""),FALSE)</f>
        <v>0</v>
      </c>
      <c r="H193" s="15" t="str">
        <f>IFERROR(__xludf.DUMMYFUNCTION("""COMPUTED_VALUE"""),"Found, Blue Array, The SEO Works, Hallam, Varn")</f>
        <v>Found, Blue Array, The SEO Works, Hallam, Varn</v>
      </c>
      <c r="I193" s="15">
        <f>IFERROR(__xludf.DUMMYFUNCTION("""COMPUTED_VALUE"""),6.0)</f>
        <v>6</v>
      </c>
      <c r="J193" s="15">
        <f>IFERROR(__xludf.DUMMYFUNCTION("""COMPUTED_VALUE"""),0.01)</f>
        <v>0.01</v>
      </c>
      <c r="K193" s="15">
        <f>IFERROR(__xludf.DUMMYFUNCTION("""COMPUTED_VALUE"""),1.17)</f>
        <v>1.17</v>
      </c>
    </row>
    <row r="194" ht="15.75" customHeight="1">
      <c r="A194" s="14" t="str">
        <f>IFERROR(__xludf.DUMMYFUNCTION("""COMPUTED_VALUE"""),"https://pinpoint-media.global/insights/top-5-performance-growth-agencies-in-the-uk-2026")</f>
        <v>https://pinpoint-media.global/insights/top-5-performance-growth-agencies-in-the-uk-2026</v>
      </c>
      <c r="B194" s="15" t="str">
        <f>IFERROR(__xludf.DUMMYFUNCTION("""COMPUTED_VALUE"""),"Top 5 Performance Growth Agencies in the UK for 2026 | PinPoint Media")</f>
        <v>Top 5 Performance Growth Agencies in the UK for 2026 | PinPoint Media</v>
      </c>
      <c r="C194" s="15" t="str">
        <f>IFERROR(__xludf.DUMMYFUNCTION("""COMPUTED_VALUE"""),"pinpoint-media.global")</f>
        <v>pinpoint-media.global</v>
      </c>
      <c r="D194" s="15" t="str">
        <f>IFERROR(__xludf.DUMMYFUNCTION("""COMPUTED_VALUE"""),"LISTICLE")</f>
        <v>LISTICLE</v>
      </c>
      <c r="E194" s="15" t="str">
        <f>IFERROR(__xludf.DUMMYFUNCTION("""COMPUTED_VALUE"""),"COMPETITOR")</f>
        <v>COMPETITOR</v>
      </c>
      <c r="F194" s="15" t="str">
        <f>IFERROR(__xludf.DUMMYFUNCTION("""COMPUTED_VALUE"""),"Listicle")</f>
        <v>Listicle</v>
      </c>
      <c r="G194" s="15" t="b">
        <f>IFERROR(__xludf.DUMMYFUNCTION("""COMPUTED_VALUE"""),FALSE)</f>
        <v>0</v>
      </c>
      <c r="H194" s="15" t="str">
        <f>IFERROR(__xludf.DUMMYFUNCTION("""COMPUTED_VALUE"""),"PinPoint Media, Measured, Brainlabs, Jellyfish, Merkle")</f>
        <v>PinPoint Media, Measured, Brainlabs, Jellyfish, Merkle</v>
      </c>
      <c r="I194" s="15">
        <f>IFERROR(__xludf.DUMMYFUNCTION("""COMPUTED_VALUE"""),6.0)</f>
        <v>6</v>
      </c>
      <c r="J194" s="15">
        <f>IFERROR(__xludf.DUMMYFUNCTION("""COMPUTED_VALUE"""),0.01)</f>
        <v>0.01</v>
      </c>
      <c r="K194" s="15">
        <f>IFERROR(__xludf.DUMMYFUNCTION("""COMPUTED_VALUE"""),2.0)</f>
        <v>2</v>
      </c>
    </row>
    <row r="195" ht="15.75" customHeight="1">
      <c r="A195" s="14" t="str">
        <f>IFERROR(__xludf.DUMMYFUNCTION("""COMPUTED_VALUE"""),"https://www.rank4ai.co.uk/research/rankings/best-ai-search-visibility-agencies/")</f>
        <v>https://www.rank4ai.co.uk/research/rankings/best-ai-search-visibility-agencies/</v>
      </c>
      <c r="B195" s="15" t="str">
        <f>IFERROR(__xludf.DUMMYFUNCTION("""COMPUTED_VALUE"""),"Best AI Search Visibility Agencies UK 2026 | Rank4AI")</f>
        <v>Best AI Search Visibility Agencies UK 2026 | Rank4AI</v>
      </c>
      <c r="C195" s="14" t="str">
        <f>IFERROR(__xludf.DUMMYFUNCTION("""COMPUTED_VALUE"""),"rank4ai.co.uk")</f>
        <v>rank4ai.co.uk</v>
      </c>
      <c r="D195" s="15" t="str">
        <f>IFERROR(__xludf.DUMMYFUNCTION("""COMPUTED_VALUE"""),"LISTICLE")</f>
        <v>LISTICLE</v>
      </c>
      <c r="E195" s="15" t="str">
        <f>IFERROR(__xludf.DUMMYFUNCTION("""COMPUTED_VALUE"""),"COMPETITOR")</f>
        <v>COMPETITOR</v>
      </c>
      <c r="F195" s="15" t="str">
        <f>IFERROR(__xludf.DUMMYFUNCTION("""COMPUTED_VALUE"""),"Listicle")</f>
        <v>Listicle</v>
      </c>
      <c r="G195" s="15" t="b">
        <f>IFERROR(__xludf.DUMMYFUNCTION("""COMPUTED_VALUE"""),FALSE)</f>
        <v>0</v>
      </c>
      <c r="H195" s="15" t="str">
        <f>IFERROR(__xludf.DUMMYFUNCTION("""COMPUTED_VALUE"""),"Rank4AI, Varn, Found, Buried Agency")</f>
        <v>Rank4AI, Varn, Found, Buried Agency</v>
      </c>
      <c r="I195" s="15">
        <f>IFERROR(__xludf.DUMMYFUNCTION("""COMPUTED_VALUE"""),6.0)</f>
        <v>6</v>
      </c>
      <c r="J195" s="15">
        <f>IFERROR(__xludf.DUMMYFUNCTION("""COMPUTED_VALUE"""),0.01)</f>
        <v>0.01</v>
      </c>
      <c r="K195" s="15">
        <f>IFERROR(__xludf.DUMMYFUNCTION("""COMPUTED_VALUE"""),0.17)</f>
        <v>0.17</v>
      </c>
    </row>
    <row r="196" ht="15.75" customHeight="1">
      <c r="A196" s="14" t="str">
        <f>IFERROR(__xludf.DUMMYFUNCTION("""COMPUTED_VALUE"""),"https://snowballcreations.com/the-11-top-google-ads-agencies-in-the-uk-2026/")</f>
        <v>https://snowballcreations.com/the-11-top-google-ads-agencies-in-the-uk-2026/</v>
      </c>
      <c r="B196" s="15" t="str">
        <f>IFERROR(__xludf.DUMMYFUNCTION("""COMPUTED_VALUE"""),"Best Google Ads Agencies in the UK: Top 11 Picks for PPC | Snowball Creations")</f>
        <v>Best Google Ads Agencies in the UK: Top 11 Picks for PPC | Snowball Creations</v>
      </c>
      <c r="C196" s="14" t="str">
        <f>IFERROR(__xludf.DUMMYFUNCTION("""COMPUTED_VALUE"""),"snowballcreations.com")</f>
        <v>snowballcreations.com</v>
      </c>
      <c r="D196" s="15" t="str">
        <f>IFERROR(__xludf.DUMMYFUNCTION("""COMPUTED_VALUE"""),"LISTICLE")</f>
        <v>LISTICLE</v>
      </c>
      <c r="E196" s="15" t="str">
        <f>IFERROR(__xludf.DUMMYFUNCTION("""COMPUTED_VALUE"""),"CORPORATE")</f>
        <v>CORPORATE</v>
      </c>
      <c r="F196" s="15" t="str">
        <f>IFERROR(__xludf.DUMMYFUNCTION("""COMPUTED_VALUE"""),"Listicle")</f>
        <v>Listicle</v>
      </c>
      <c r="G196" s="15" t="b">
        <f>IFERROR(__xludf.DUMMYFUNCTION("""COMPUTED_VALUE"""),FALSE)</f>
        <v>0</v>
      </c>
      <c r="H196" s="15" t="str">
        <f>IFERROR(__xludf.DUMMYFUNCTION("""COMPUTED_VALUE"""),"The Good Marketer, Found")</f>
        <v>The Good Marketer, Found</v>
      </c>
      <c r="I196" s="15">
        <f>IFERROR(__xludf.DUMMYFUNCTION("""COMPUTED_VALUE"""),6.0)</f>
        <v>6</v>
      </c>
      <c r="J196" s="15">
        <f>IFERROR(__xludf.DUMMYFUNCTION("""COMPUTED_VALUE"""),0.01)</f>
        <v>0.01</v>
      </c>
      <c r="K196" s="15">
        <f>IFERROR(__xludf.DUMMYFUNCTION("""COMPUTED_VALUE"""),1.33)</f>
        <v>1.33</v>
      </c>
    </row>
    <row r="197" ht="15.75" customHeight="1">
      <c r="A197" s="14" t="str">
        <f>IFERROR(__xludf.DUMMYFUNCTION("""COMPUTED_VALUE"""),"https://www.sortlist.com/display-advertising")</f>
        <v>https://www.sortlist.com/display-advertising</v>
      </c>
      <c r="B197" s="15" t="str">
        <f>IFERROR(__xludf.DUMMYFUNCTION("""COMPUTED_VALUE"""),"The 100 Best Display Advertising Agencies - 2026 Reviews")</f>
        <v>The 100 Best Display Advertising Agencies - 2026 Reviews</v>
      </c>
      <c r="C197" s="14" t="str">
        <f>IFERROR(__xludf.DUMMYFUNCTION("""COMPUTED_VALUE"""),"sortlist.com")</f>
        <v>sortlist.com</v>
      </c>
      <c r="D197" s="15" t="str">
        <f>IFERROR(__xludf.DUMMYFUNCTION("""COMPUTED_VALUE"""),"LISTICLE")</f>
        <v>LISTICLE</v>
      </c>
      <c r="E197" s="15" t="str">
        <f>IFERROR(__xludf.DUMMYFUNCTION("""COMPUTED_VALUE"""),"CORPORATE")</f>
        <v>CORPORATE</v>
      </c>
      <c r="F197" s="15" t="str">
        <f>IFERROR(__xludf.DUMMYFUNCTION("""COMPUTED_VALUE"""),"Listicle")</f>
        <v>Listicle</v>
      </c>
      <c r="G197" s="15" t="b">
        <f>IFERROR(__xludf.DUMMYFUNCTION("""COMPUTED_VALUE"""),FALSE)</f>
        <v>0</v>
      </c>
      <c r="H197" s="15"/>
      <c r="I197" s="15">
        <f>IFERROR(__xludf.DUMMYFUNCTION("""COMPUTED_VALUE"""),6.0)</f>
        <v>6</v>
      </c>
      <c r="J197" s="15">
        <f>IFERROR(__xludf.DUMMYFUNCTION("""COMPUTED_VALUE"""),0.01)</f>
        <v>0.01</v>
      </c>
      <c r="K197" s="15">
        <f>IFERROR(__xludf.DUMMYFUNCTION("""COMPUTED_VALUE"""),0.0)</f>
        <v>0</v>
      </c>
    </row>
    <row r="198" ht="15.75" customHeight="1">
      <c r="A198" s="14" t="str">
        <f>IFERROR(__xludf.DUMMYFUNCTION("""COMPUTED_VALUE"""),"https://startups.co.uk/marketing/best-social-media-marketing-agencies-uk/")</f>
        <v>https://startups.co.uk/marketing/best-social-media-marketing-agencies-uk/</v>
      </c>
      <c r="B198" s="15" t="str">
        <f>IFERROR(__xludf.DUMMYFUNCTION("""COMPUTED_VALUE"""),"10 Best social media marketing agencies in the UK | Startups.co.uk")</f>
        <v>10 Best social media marketing agencies in the UK | Startups.co.uk</v>
      </c>
      <c r="C198" s="14" t="str">
        <f>IFERROR(__xludf.DUMMYFUNCTION("""COMPUTED_VALUE"""),"startups.co.uk")</f>
        <v>startups.co.uk</v>
      </c>
      <c r="D198" s="15" t="str">
        <f>IFERROR(__xludf.DUMMYFUNCTION("""COMPUTED_VALUE"""),"LISTICLE")</f>
        <v>LISTICLE</v>
      </c>
      <c r="E198" s="15" t="str">
        <f>IFERROR(__xludf.DUMMYFUNCTION("""COMPUTED_VALUE"""),"REFERENCE")</f>
        <v>REFERENCE</v>
      </c>
      <c r="F198" s="15" t="str">
        <f>IFERROR(__xludf.DUMMYFUNCTION("""COMPUTED_VALUE"""),"Listicle")</f>
        <v>Listicle</v>
      </c>
      <c r="G198" s="15" t="b">
        <f>IFERROR(__xludf.DUMMYFUNCTION("""COMPUTED_VALUE"""),FALSE)</f>
        <v>0</v>
      </c>
      <c r="H198" s="15" t="str">
        <f>IFERROR(__xludf.DUMMYFUNCTION("""COMPUTED_VALUE"""),"We Are Social, Favoured, Huge")</f>
        <v>We Are Social, Favoured, Huge</v>
      </c>
      <c r="I198" s="15">
        <f>IFERROR(__xludf.DUMMYFUNCTION("""COMPUTED_VALUE"""),6.0)</f>
        <v>6</v>
      </c>
      <c r="J198" s="15">
        <f>IFERROR(__xludf.DUMMYFUNCTION("""COMPUTED_VALUE"""),0.01)</f>
        <v>0.01</v>
      </c>
      <c r="K198" s="15">
        <f>IFERROR(__xludf.DUMMYFUNCTION("""COMPUTED_VALUE"""),0.5)</f>
        <v>0.5</v>
      </c>
    </row>
    <row r="199" ht="15.75" customHeight="1">
      <c r="A199" s="14" t="str">
        <f>IFERROR(__xludf.DUMMYFUNCTION("""COMPUTED_VALUE"""),"https://www.warc.com/en/data-benchmarks/rankings-creative-100-overview")</f>
        <v>https://www.warc.com/en/data-benchmarks/rankings-creative-100-overview</v>
      </c>
      <c r="B199" s="15" t="str">
        <f>IFERROR(__xludf.DUMMYFUNCTION("""COMPUTED_VALUE"""),"Creative 100 Overview")</f>
        <v>Creative 100 Overview</v>
      </c>
      <c r="C199" s="14" t="str">
        <f>IFERROR(__xludf.DUMMYFUNCTION("""COMPUTED_VALUE"""),"warc.com")</f>
        <v>warc.com</v>
      </c>
      <c r="D199" s="15" t="str">
        <f>IFERROR(__xludf.DUMMYFUNCTION("""COMPUTED_VALUE"""),"LISTICLE")</f>
        <v>LISTICLE</v>
      </c>
      <c r="E199" s="15" t="str">
        <f>IFERROR(__xludf.DUMMYFUNCTION("""COMPUTED_VALUE"""),"REFERENCE")</f>
        <v>REFERENCE</v>
      </c>
      <c r="F199" s="15" t="str">
        <f>IFERROR(__xludf.DUMMYFUNCTION("""COMPUTED_VALUE"""),"Listicle")</f>
        <v>Listicle</v>
      </c>
      <c r="G199" s="15" t="b">
        <f>IFERROR(__xludf.DUMMYFUNCTION("""COMPUTED_VALUE"""),FALSE)</f>
        <v>0</v>
      </c>
      <c r="H199" s="15" t="str">
        <f>IFERROR(__xludf.DUMMYFUNCTION("""COMPUTED_VALUE"""),"Ogilvy, WPP, Omnicom")</f>
        <v>Ogilvy, WPP, Omnicom</v>
      </c>
      <c r="I199" s="15">
        <f>IFERROR(__xludf.DUMMYFUNCTION("""COMPUTED_VALUE"""),6.0)</f>
        <v>6</v>
      </c>
      <c r="J199" s="15">
        <f>IFERROR(__xludf.DUMMYFUNCTION("""COMPUTED_VALUE"""),0.01)</f>
        <v>0.01</v>
      </c>
      <c r="K199" s="15">
        <f>IFERROR(__xludf.DUMMYFUNCTION("""COMPUTED_VALUE"""),2.0)</f>
        <v>2</v>
      </c>
    </row>
    <row r="200" ht="15.75" customHeight="1">
      <c r="A200" s="14" t="str">
        <f>IFERROR(__xludf.DUMMYFUNCTION("""COMPUTED_VALUE"""),"https://www.warc.com/en/rankings/creative-100")</f>
        <v>https://www.warc.com/en/rankings/creative-100</v>
      </c>
      <c r="B200" s="15" t="str">
        <f>IFERROR(__xludf.DUMMYFUNCTION("""COMPUTED_VALUE"""),"Creative 100 Overview")</f>
        <v>Creative 100 Overview</v>
      </c>
      <c r="C200" s="14" t="str">
        <f>IFERROR(__xludf.DUMMYFUNCTION("""COMPUTED_VALUE"""),"warc.com")</f>
        <v>warc.com</v>
      </c>
      <c r="D200" s="15" t="str">
        <f>IFERROR(__xludf.DUMMYFUNCTION("""COMPUTED_VALUE"""),"LISTICLE")</f>
        <v>LISTICLE</v>
      </c>
      <c r="E200" s="15" t="str">
        <f>IFERROR(__xludf.DUMMYFUNCTION("""COMPUTED_VALUE"""),"REFERENCE")</f>
        <v>REFERENCE</v>
      </c>
      <c r="F200" s="15" t="str">
        <f>IFERROR(__xludf.DUMMYFUNCTION("""COMPUTED_VALUE"""),"Listicle")</f>
        <v>Listicle</v>
      </c>
      <c r="G200" s="15" t="b">
        <f>IFERROR(__xludf.DUMMYFUNCTION("""COMPUTED_VALUE"""),FALSE)</f>
        <v>0</v>
      </c>
      <c r="H200" s="15" t="str">
        <f>IFERROR(__xludf.DUMMYFUNCTION("""COMPUTED_VALUE"""),"Ogilvy, WPP, Omnicom")</f>
        <v>Ogilvy, WPP, Omnicom</v>
      </c>
      <c r="I200" s="15">
        <f>IFERROR(__xludf.DUMMYFUNCTION("""COMPUTED_VALUE"""),6.0)</f>
        <v>6</v>
      </c>
      <c r="J200" s="15">
        <f>IFERROR(__xludf.DUMMYFUNCTION("""COMPUTED_VALUE"""),0.01)</f>
        <v>0.01</v>
      </c>
      <c r="K200" s="15">
        <f>IFERROR(__xludf.DUMMYFUNCTION("""COMPUTED_VALUE"""),0.33)</f>
        <v>0.33</v>
      </c>
    </row>
    <row r="201" ht="15.75" customHeight="1">
      <c r="A201" s="14" t="str">
        <f>IFERROR(__xludf.DUMMYFUNCTION("""COMPUTED_VALUE"""),"https://zipdo.co/service/attribution/")</f>
        <v>https://zipdo.co/service/attribution/</v>
      </c>
      <c r="B201" s="15" t="str">
        <f>IFERROR(__xludf.DUMMYFUNCTION("""COMPUTED_VALUE"""),"Top 10 Best Attribution Services (2026 Expert Review)")</f>
        <v>Top 10 Best Attribution Services (2026 Expert Review)</v>
      </c>
      <c r="C201" s="14" t="str">
        <f>IFERROR(__xludf.DUMMYFUNCTION("""COMPUTED_VALUE"""),"zipdo.co")</f>
        <v>zipdo.co</v>
      </c>
      <c r="D201" s="15" t="str">
        <f>IFERROR(__xludf.DUMMYFUNCTION("""COMPUTED_VALUE"""),"LISTICLE")</f>
        <v>LISTICLE</v>
      </c>
      <c r="E201" s="15" t="str">
        <f>IFERROR(__xludf.DUMMYFUNCTION("""COMPUTED_VALUE"""),"REFERENCE")</f>
        <v>REFERENCE</v>
      </c>
      <c r="F201" s="15" t="str">
        <f>IFERROR(__xludf.DUMMYFUNCTION("""COMPUTED_VALUE"""),"Listicle")</f>
        <v>Listicle</v>
      </c>
      <c r="G201" s="15" t="b">
        <f>IFERROR(__xludf.DUMMYFUNCTION("""COMPUTED_VALUE"""),FALSE)</f>
        <v>0</v>
      </c>
      <c r="H201" s="15" t="str">
        <f>IFERROR(__xludf.DUMMYFUNCTION("""COMPUTED_VALUE"""),"Kantar, Nielsen, PwC, Merkle, WPP, Publicis Groupe, Impression")</f>
        <v>Kantar, Nielsen, PwC, Merkle, WPP, Publicis Groupe, Impression</v>
      </c>
      <c r="I201" s="15">
        <f>IFERROR(__xludf.DUMMYFUNCTION("""COMPUTED_VALUE"""),6.0)</f>
        <v>6</v>
      </c>
      <c r="J201" s="15">
        <f>IFERROR(__xludf.DUMMYFUNCTION("""COMPUTED_VALUE"""),0.01)</f>
        <v>0.01</v>
      </c>
      <c r="K201" s="15">
        <f>IFERROR(__xludf.DUMMYFUNCTION("""COMPUTED_VALUE"""),0.0)</f>
        <v>0</v>
      </c>
    </row>
    <row r="202" ht="15.75" customHeight="1">
      <c r="A202" s="14" t="str">
        <f>IFERROR(__xludf.DUMMYFUNCTION("""COMPUTED_VALUE"""),"https://birdeye.com/blog/ai-companies-uk/")</f>
        <v>https://birdeye.com/blog/ai-companies-uk/</v>
      </c>
      <c r="B202" s="15" t="str">
        <f>IFERROR(__xludf.DUMMYFUNCTION("""COMPUTED_VALUE"""),"AI for Multi-Location Marketing UK: Top 11 Platforms (2026)")</f>
        <v>AI for Multi-Location Marketing UK: Top 11 Platforms (2026)</v>
      </c>
      <c r="C202" s="14" t="str">
        <f>IFERROR(__xludf.DUMMYFUNCTION("""COMPUTED_VALUE"""),"birdeye.com")</f>
        <v>birdeye.com</v>
      </c>
      <c r="D202" s="15" t="str">
        <f>IFERROR(__xludf.DUMMYFUNCTION("""COMPUTED_VALUE"""),"LISTICLE")</f>
        <v>LISTICLE</v>
      </c>
      <c r="E202" s="15" t="str">
        <f>IFERROR(__xludf.DUMMYFUNCTION("""COMPUTED_VALUE"""),"CORPORATE")</f>
        <v>CORPORATE</v>
      </c>
      <c r="F202" s="15" t="str">
        <f>IFERROR(__xludf.DUMMYFUNCTION("""COMPUTED_VALUE"""),"Listicle")</f>
        <v>Listicle</v>
      </c>
      <c r="G202" s="15" t="b">
        <f>IFERROR(__xludf.DUMMYFUNCTION("""COMPUTED_VALUE"""),FALSE)</f>
        <v>0</v>
      </c>
      <c r="H202" s="15" t="str">
        <f>IFERROR(__xludf.DUMMYFUNCTION("""COMPUTED_VALUE"""),"Found")</f>
        <v>Found</v>
      </c>
      <c r="I202" s="15">
        <f>IFERROR(__xludf.DUMMYFUNCTION("""COMPUTED_VALUE"""),5.0)</f>
        <v>5</v>
      </c>
      <c r="J202" s="15">
        <f>IFERROR(__xludf.DUMMYFUNCTION("""COMPUTED_VALUE"""),0.0)</f>
        <v>0</v>
      </c>
      <c r="K202" s="15">
        <f>IFERROR(__xludf.DUMMYFUNCTION("""COMPUTED_VALUE"""),0.0)</f>
        <v>0</v>
      </c>
    </row>
    <row r="203" ht="15.75" customHeight="1">
      <c r="A203" s="14" t="str">
        <f>IFERROR(__xludf.DUMMYFUNCTION("""COMPUTED_VALUE"""),"https://www.cometly.com/post/incrementality-measurement-tool")</f>
        <v>https://www.cometly.com/post/incrementality-measurement-tool</v>
      </c>
      <c r="B203" s="15" t="str">
        <f>IFERROR(__xludf.DUMMYFUNCTION("""COMPUTED_VALUE"""),"9 Best Incrementality Measurement Tools: 2026 Guide")</f>
        <v>9 Best Incrementality Measurement Tools: 2026 Guide</v>
      </c>
      <c r="C203" s="14" t="str">
        <f>IFERROR(__xludf.DUMMYFUNCTION("""COMPUTED_VALUE"""),"cometly.com")</f>
        <v>cometly.com</v>
      </c>
      <c r="D203" s="15" t="str">
        <f>IFERROR(__xludf.DUMMYFUNCTION("""COMPUTED_VALUE"""),"LISTICLE")</f>
        <v>LISTICLE</v>
      </c>
      <c r="E203" s="15" t="str">
        <f>IFERROR(__xludf.DUMMYFUNCTION("""COMPUTED_VALUE"""),"COMPETITOR")</f>
        <v>COMPETITOR</v>
      </c>
      <c r="F203" s="15" t="str">
        <f>IFERROR(__xludf.DUMMYFUNCTION("""COMPUTED_VALUE"""),"Listicle")</f>
        <v>Listicle</v>
      </c>
      <c r="G203" s="15" t="b">
        <f>IFERROR(__xludf.DUMMYFUNCTION("""COMPUTED_VALUE"""),FALSE)</f>
        <v>0</v>
      </c>
      <c r="H203" s="15" t="str">
        <f>IFERROR(__xludf.DUMMYFUNCTION("""COMPUTED_VALUE"""),"Cometly, Measured, Rockerbox, Northbeam, Recast, Haus")</f>
        <v>Cometly, Measured, Rockerbox, Northbeam, Recast, Haus</v>
      </c>
      <c r="I203" s="15">
        <f>IFERROR(__xludf.DUMMYFUNCTION("""COMPUTED_VALUE"""),5.0)</f>
        <v>5</v>
      </c>
      <c r="J203" s="15">
        <f>IFERROR(__xludf.DUMMYFUNCTION("""COMPUTED_VALUE"""),0.0)</f>
        <v>0</v>
      </c>
      <c r="K203" s="15">
        <f>IFERROR(__xludf.DUMMYFUNCTION("""COMPUTED_VALUE"""),0.4)</f>
        <v>0.4</v>
      </c>
    </row>
    <row r="204" ht="15.75" customHeight="1">
      <c r="A204" s="14" t="str">
        <f>IFERROR(__xludf.DUMMYFUNCTION("""COMPUTED_VALUE"""),"https://digitalmarketingsupermarket.com/blog/best-ai-marketing-agencies-2026/")</f>
        <v>https://digitalmarketingsupermarket.com/blog/best-ai-marketing-agencies-2026/</v>
      </c>
      <c r="B204" s="15" t="str">
        <f>IFERROR(__xludf.DUMMYFUNCTION("""COMPUTED_VALUE"""),"Best AI Marketing Agencies: The Definitive 2026 Guide to Finding Your Perfect Partner - Digital Marketing Supermarket")</f>
        <v>Best AI Marketing Agencies: The Definitive 2026 Guide to Finding Your Perfect Partner - Digital Marketing Supermarket</v>
      </c>
      <c r="C204" s="14" t="str">
        <f>IFERROR(__xludf.DUMMYFUNCTION("""COMPUTED_VALUE"""),"digitalmarketingsupermarket.com")</f>
        <v>digitalmarketingsupermarket.com</v>
      </c>
      <c r="D204" s="15" t="str">
        <f>IFERROR(__xludf.DUMMYFUNCTION("""COMPUTED_VALUE"""),"LISTICLE")</f>
        <v>LISTICLE</v>
      </c>
      <c r="E204" s="15" t="str">
        <f>IFERROR(__xludf.DUMMYFUNCTION("""COMPUTED_VALUE"""),"REFERENCE")</f>
        <v>REFERENCE</v>
      </c>
      <c r="F204" s="15" t="str">
        <f>IFERROR(__xludf.DUMMYFUNCTION("""COMPUTED_VALUE"""),"Listicle")</f>
        <v>Listicle</v>
      </c>
      <c r="G204" s="15" t="b">
        <f>IFERROR(__xludf.DUMMYFUNCTION("""COMPUTED_VALUE"""),FALSE)</f>
        <v>0</v>
      </c>
      <c r="H204" s="15" t="str">
        <f>IFERROR(__xludf.DUMMYFUNCTION("""COMPUTED_VALUE"""),"Superside, Single Grain, Dept, NoGood, Ninja Promo, Omniscient Digital, Hallam, Favoured")</f>
        <v>Superside, Single Grain, Dept, NoGood, Ninja Promo, Omniscient Digital, Hallam, Favoured</v>
      </c>
      <c r="I204" s="15">
        <f>IFERROR(__xludf.DUMMYFUNCTION("""COMPUTED_VALUE"""),5.0)</f>
        <v>5</v>
      </c>
      <c r="J204" s="15">
        <f>IFERROR(__xludf.DUMMYFUNCTION("""COMPUTED_VALUE"""),0.0)</f>
        <v>0</v>
      </c>
      <c r="K204" s="15">
        <f>IFERROR(__xludf.DUMMYFUNCTION("""COMPUTED_VALUE"""),0.4)</f>
        <v>0.4</v>
      </c>
    </row>
    <row r="205" ht="15.75" customHeight="1">
      <c r="A205" s="14" t="str">
        <f>IFERROR(__xludf.DUMMYFUNCTION("""COMPUTED_VALUE"""),"https://directiveconsulting.com/uk/blog/25-best-paid-media-agencies-that-turn-ad-spend-into-revenue/")</f>
        <v>https://directiveconsulting.com/uk/blog/25-best-paid-media-agencies-that-turn-ad-spend-into-revenue/</v>
      </c>
      <c r="B205" s="15" t="str">
        <f>IFERROR(__xludf.DUMMYFUNCTION("""COMPUTED_VALUE"""),"25 Best Paid Media Agencies For B2B - Directive")</f>
        <v>25 Best Paid Media Agencies For B2B - Directive</v>
      </c>
      <c r="C205" s="14" t="str">
        <f>IFERROR(__xludf.DUMMYFUNCTION("""COMPUTED_VALUE"""),"directiveconsulting.com")</f>
        <v>directiveconsulting.com</v>
      </c>
      <c r="D205" s="15" t="str">
        <f>IFERROR(__xludf.DUMMYFUNCTION("""COMPUTED_VALUE"""),"LISTICLE")</f>
        <v>LISTICLE</v>
      </c>
      <c r="E205" s="15" t="str">
        <f>IFERROR(__xludf.DUMMYFUNCTION("""COMPUTED_VALUE"""),"COMPETITOR")</f>
        <v>COMPETITOR</v>
      </c>
      <c r="F205" s="15" t="str">
        <f>IFERROR(__xludf.DUMMYFUNCTION("""COMPUTED_VALUE"""),"Listicle")</f>
        <v>Listicle</v>
      </c>
      <c r="G205" s="15" t="b">
        <f>IFERROR(__xludf.DUMMYFUNCTION("""COMPUTED_VALUE"""),FALSE)</f>
        <v>0</v>
      </c>
      <c r="H205" s="15" t="str">
        <f>IFERROR(__xludf.DUMMYFUNCTION("""COMPUTED_VALUE"""),"Directive Consulting, Jellyfish, Brainlabs, Dept, Wpromote, Merkle, WebFX, Disruptive Advertising, Dentsu, Impression")</f>
        <v>Directive Consulting, Jellyfish, Brainlabs, Dept, Wpromote, Merkle, WebFX, Disruptive Advertising, Dentsu, Impression</v>
      </c>
      <c r="I205" s="15">
        <f>IFERROR(__xludf.DUMMYFUNCTION("""COMPUTED_VALUE"""),5.0)</f>
        <v>5</v>
      </c>
      <c r="J205" s="15">
        <f>IFERROR(__xludf.DUMMYFUNCTION("""COMPUTED_VALUE"""),0.0)</f>
        <v>0</v>
      </c>
      <c r="K205" s="15">
        <f>IFERROR(__xludf.DUMMYFUNCTION("""COMPUTED_VALUE"""),0.4)</f>
        <v>0.4</v>
      </c>
    </row>
    <row r="206" ht="15.75" customHeight="1">
      <c r="A206" s="14" t="str">
        <f>IFERROR(__xludf.DUMMYFUNCTION("""COMPUTED_VALUE"""),"https://www.ecomone.com/insights/best-ppc-agencies/")</f>
        <v>https://www.ecomone.com/insights/best-ppc-agencies/</v>
      </c>
      <c r="B206" s="15" t="str">
        <f>IFERROR(__xludf.DUMMYFUNCTION("""COMPUTED_VALUE"""),"Top 10 Best PPC Agencies in the UK | eComOne")</f>
        <v>Top 10 Best PPC Agencies in the UK | eComOne</v>
      </c>
      <c r="C206" s="14" t="str">
        <f>IFERROR(__xludf.DUMMYFUNCTION("""COMPUTED_VALUE"""),"ecomone.com")</f>
        <v>ecomone.com</v>
      </c>
      <c r="D206" s="15" t="str">
        <f>IFERROR(__xludf.DUMMYFUNCTION("""COMPUTED_VALUE"""),"LISTICLE")</f>
        <v>LISTICLE</v>
      </c>
      <c r="E206" s="15" t="str">
        <f>IFERROR(__xludf.DUMMYFUNCTION("""COMPUTED_VALUE"""),"CORPORATE")</f>
        <v>CORPORATE</v>
      </c>
      <c r="F206" s="15" t="str">
        <f>IFERROR(__xludf.DUMMYFUNCTION("""COMPUTED_VALUE"""),"Listicle")</f>
        <v>Listicle</v>
      </c>
      <c r="G206" s="15" t="b">
        <f>IFERROR(__xludf.DUMMYFUNCTION("""COMPUTED_VALUE"""),FALSE)</f>
        <v>0</v>
      </c>
      <c r="H206" s="15" t="str">
        <f>IFERROR(__xludf.DUMMYFUNCTION("""COMPUTED_VALUE"""),"Found, Brainlabs, Bind Media, Propeller, ROAST, Push, Push Group, The Social Shepherd")</f>
        <v>Found, Brainlabs, Bind Media, Propeller, ROAST, Push, Push Group, The Social Shepherd</v>
      </c>
      <c r="I206" s="15">
        <f>IFERROR(__xludf.DUMMYFUNCTION("""COMPUTED_VALUE"""),5.0)</f>
        <v>5</v>
      </c>
      <c r="J206" s="15">
        <f>IFERROR(__xludf.DUMMYFUNCTION("""COMPUTED_VALUE"""),0.0)</f>
        <v>0</v>
      </c>
      <c r="K206" s="15">
        <f>IFERROR(__xludf.DUMMYFUNCTION("""COMPUTED_VALUE"""),1.0)</f>
        <v>1</v>
      </c>
    </row>
    <row r="207" ht="15.75" customHeight="1">
      <c r="A207" s="14" t="str">
        <f>IFERROR(__xludf.DUMMYFUNCTION("""COMPUTED_VALUE"""),"https://www.found.co.uk/blog/best-generative-engine-optimisation-agencies/")</f>
        <v>https://www.found.co.uk/blog/best-generative-engine-optimisation-agencies/</v>
      </c>
      <c r="B207" s="15" t="str">
        <f>IFERROR(__xludf.DUMMYFUNCTION("""COMPUTED_VALUE"""),"The Best Generative Engine Optimisation (GEO) Agencies 2026 \| Found")</f>
        <v>The Best Generative Engine Optimisation (GEO) Agencies 2026 \| Found</v>
      </c>
      <c r="C207" s="14" t="str">
        <f>IFERROR(__xludf.DUMMYFUNCTION("""COMPUTED_VALUE"""),"found.co.uk")</f>
        <v>found.co.uk</v>
      </c>
      <c r="D207" s="15" t="str">
        <f>IFERROR(__xludf.DUMMYFUNCTION("""COMPUTED_VALUE"""),"LISTICLE")</f>
        <v>LISTICLE</v>
      </c>
      <c r="E207" s="15" t="str">
        <f>IFERROR(__xludf.DUMMYFUNCTION("""COMPUTED_VALUE"""),"CORPORATE")</f>
        <v>CORPORATE</v>
      </c>
      <c r="F207" s="15" t="str">
        <f>IFERROR(__xludf.DUMMYFUNCTION("""COMPUTED_VALUE"""),"Listicle")</f>
        <v>Listicle</v>
      </c>
      <c r="G207" s="15" t="b">
        <f>IFERROR(__xludf.DUMMYFUNCTION("""COMPUTED_VALUE"""),FALSE)</f>
        <v>0</v>
      </c>
      <c r="H207" s="15" t="str">
        <f>IFERROR(__xludf.DUMMYFUNCTION("""COMPUTED_VALUE"""),"Found, Jellyfish, Propellernet, Propeller, Hallam")</f>
        <v>Found, Jellyfish, Propellernet, Propeller, Hallam</v>
      </c>
      <c r="I207" s="15">
        <f>IFERROR(__xludf.DUMMYFUNCTION("""COMPUTED_VALUE"""),5.0)</f>
        <v>5</v>
      </c>
      <c r="J207" s="15">
        <f>IFERROR(__xludf.DUMMYFUNCTION("""COMPUTED_VALUE"""),0.0)</f>
        <v>0</v>
      </c>
      <c r="K207" s="15">
        <f>IFERROR(__xludf.DUMMYFUNCTION("""COMPUTED_VALUE"""),1.0)</f>
        <v>1</v>
      </c>
    </row>
    <row r="208" ht="15.75" customHeight="1">
      <c r="A208" s="14" t="str">
        <f>IFERROR(__xludf.DUMMYFUNCTION("""COMPUTED_VALUE"""),"https://www.inbeat.co/articles/marketing-agencies-in-uk/")</f>
        <v>https://www.inbeat.co/articles/marketing-agencies-in-uk/</v>
      </c>
      <c r="B208" s="15" t="str">
        <f>IFERROR(__xludf.DUMMYFUNCTION("""COMPUTED_VALUE"""),"16 Best Marketing Agencies in the UK as of 2026")</f>
        <v>16 Best Marketing Agencies in the UK as of 2026</v>
      </c>
      <c r="C208" s="14" t="str">
        <f>IFERROR(__xludf.DUMMYFUNCTION("""COMPUTED_VALUE"""),"inbeat.co")</f>
        <v>inbeat.co</v>
      </c>
      <c r="D208" s="15" t="str">
        <f>IFERROR(__xludf.DUMMYFUNCTION("""COMPUTED_VALUE"""),"LISTICLE")</f>
        <v>LISTICLE</v>
      </c>
      <c r="E208" s="15" t="str">
        <f>IFERROR(__xludf.DUMMYFUNCTION("""COMPUTED_VALUE"""),"CORPORATE")</f>
        <v>CORPORATE</v>
      </c>
      <c r="F208" s="15" t="str">
        <f>IFERROR(__xludf.DUMMYFUNCTION("""COMPUTED_VALUE"""),"Listicle")</f>
        <v>Listicle</v>
      </c>
      <c r="G208" s="15" t="b">
        <f>IFERROR(__xludf.DUMMYFUNCTION("""COMPUTED_VALUE"""),FALSE)</f>
        <v>0</v>
      </c>
      <c r="H208" s="15" t="str">
        <f>IFERROR(__xludf.DUMMYFUNCTION("""COMPUTED_VALUE"""),"inBeat, M3.agency, Dept, Ninja Promo, Nielsen, iCrossing, NP Digital, Push, Huge, Found, Make Agency")</f>
        <v>inBeat, M3.agency, Dept, Ninja Promo, Nielsen, iCrossing, NP Digital, Push, Huge, Found, Make Agency</v>
      </c>
      <c r="I208" s="15">
        <f>IFERROR(__xludf.DUMMYFUNCTION("""COMPUTED_VALUE"""),5.0)</f>
        <v>5</v>
      </c>
      <c r="J208" s="15">
        <f>IFERROR(__xludf.DUMMYFUNCTION("""COMPUTED_VALUE"""),0.0)</f>
        <v>0</v>
      </c>
      <c r="K208" s="15">
        <f>IFERROR(__xludf.DUMMYFUNCTION("""COMPUTED_VALUE"""),0.4)</f>
        <v>0.4</v>
      </c>
    </row>
    <row r="209" ht="15.75" customHeight="1">
      <c r="A209" s="14" t="str">
        <f>IFERROR(__xludf.DUMMYFUNCTION("""COMPUTED_VALUE"""),"https://www.magnetic-london.co.uk/post/best-digital-marketing-agencies-in-the-uk-for-2026-what-they-do-why-it-matters-and-top-picks")</f>
        <v>https://www.magnetic-london.co.uk/post/best-digital-marketing-agencies-in-the-uk-for-2026-what-they-do-why-it-matters-and-top-picks</v>
      </c>
      <c r="B209" s="15" t="str">
        <f>IFERROR(__xludf.DUMMYFUNCTION("""COMPUTED_VALUE"""),"Best Digital Marketing Agencies in the UK for 2026: What They Do, Why It Matters, and Top Picks")</f>
        <v>Best Digital Marketing Agencies in the UK for 2026: What They Do, Why It Matters, and Top Picks</v>
      </c>
      <c r="C209" s="14" t="str">
        <f>IFERROR(__xludf.DUMMYFUNCTION("""COMPUTED_VALUE"""),"magnetic-london.co.uk")</f>
        <v>magnetic-london.co.uk</v>
      </c>
      <c r="D209" s="15" t="str">
        <f>IFERROR(__xludf.DUMMYFUNCTION("""COMPUTED_VALUE"""),"LISTICLE")</f>
        <v>LISTICLE</v>
      </c>
      <c r="E209" s="15" t="str">
        <f>IFERROR(__xludf.DUMMYFUNCTION("""COMPUTED_VALUE"""),"CORPORATE")</f>
        <v>CORPORATE</v>
      </c>
      <c r="F209" s="15" t="str">
        <f>IFERROR(__xludf.DUMMYFUNCTION("""COMPUTED_VALUE"""),"Listicle")</f>
        <v>Listicle</v>
      </c>
      <c r="G209" s="15" t="b">
        <f>IFERROR(__xludf.DUMMYFUNCTION("""COMPUTED_VALUE"""),FALSE)</f>
        <v>0</v>
      </c>
      <c r="H209" s="15" t="str">
        <f>IFERROR(__xludf.DUMMYFUNCTION("""COMPUTED_VALUE"""),"Push, Hallam, Impression, M3.agency, Brainlabs")</f>
        <v>Push, Hallam, Impression, M3.agency, Brainlabs</v>
      </c>
      <c r="I209" s="15">
        <f>IFERROR(__xludf.DUMMYFUNCTION("""COMPUTED_VALUE"""),5.0)</f>
        <v>5</v>
      </c>
      <c r="J209" s="15">
        <f>IFERROR(__xludf.DUMMYFUNCTION("""COMPUTED_VALUE"""),0.0)</f>
        <v>0</v>
      </c>
      <c r="K209" s="15">
        <f>IFERROR(__xludf.DUMMYFUNCTION("""COMPUTED_VALUE"""),0.4)</f>
        <v>0.4</v>
      </c>
    </row>
    <row r="210" ht="15.75" customHeight="1">
      <c r="A210" s="14" t="str">
        <f>IFERROR(__xludf.DUMMYFUNCTION("""COMPUTED_VALUE"""),"https://ninjapromo.io/top-digital-marketing-agencies-in-the-uk")</f>
        <v>https://ninjapromo.io/top-digital-marketing-agencies-in-the-uk</v>
      </c>
      <c r="B210" s="15" t="str">
        <f>IFERROR(__xludf.DUMMYFUNCTION("""COMPUTED_VALUE"""),"14 Best Digital Marketing Agencies in the UK for 2026")</f>
        <v>14 Best Digital Marketing Agencies in the UK for 2026</v>
      </c>
      <c r="C210" s="14" t="str">
        <f>IFERROR(__xludf.DUMMYFUNCTION("""COMPUTED_VALUE"""),"ninjapromo.io")</f>
        <v>ninjapromo.io</v>
      </c>
      <c r="D210" s="15" t="str">
        <f>IFERROR(__xludf.DUMMYFUNCTION("""COMPUTED_VALUE"""),"LISTICLE")</f>
        <v>LISTICLE</v>
      </c>
      <c r="E210" s="15" t="str">
        <f>IFERROR(__xludf.DUMMYFUNCTION("""COMPUTED_VALUE"""),"COMPETITOR")</f>
        <v>COMPETITOR</v>
      </c>
      <c r="F210" s="15" t="str">
        <f>IFERROR(__xludf.DUMMYFUNCTION("""COMPUTED_VALUE"""),"Listicle")</f>
        <v>Listicle</v>
      </c>
      <c r="G210" s="15" t="b">
        <f>IFERROR(__xludf.DUMMYFUNCTION("""COMPUTED_VALUE"""),FALSE)</f>
        <v>0</v>
      </c>
      <c r="H210" s="15" t="str">
        <f>IFERROR(__xludf.DUMMYFUNCTION("""COMPUTED_VALUE"""),"Ninja Promo, Publicis Groupe, Push, Push Group, Impression, LOCALiQ, Passion Digital, Dept")</f>
        <v>Ninja Promo, Publicis Groupe, Push, Push Group, Impression, LOCALiQ, Passion Digital, Dept</v>
      </c>
      <c r="I210" s="15">
        <f>IFERROR(__xludf.DUMMYFUNCTION("""COMPUTED_VALUE"""),5.0)</f>
        <v>5</v>
      </c>
      <c r="J210" s="15">
        <f>IFERROR(__xludf.DUMMYFUNCTION("""COMPUTED_VALUE"""),0.0)</f>
        <v>0</v>
      </c>
      <c r="K210" s="15">
        <f>IFERROR(__xludf.DUMMYFUNCTION("""COMPUTED_VALUE"""),0.0)</f>
        <v>0</v>
      </c>
    </row>
    <row r="211" ht="15.75" customHeight="1">
      <c r="A211" s="14" t="str">
        <f>IFERROR(__xludf.DUMMYFUNCTION("""COMPUTED_VALUE"""),"https://www.nutshell.com/blog/top-geo-agencies")</f>
        <v>https://www.nutshell.com/blog/top-geo-agencies</v>
      </c>
      <c r="B211" s="15" t="str">
        <f>IFERROR(__xludf.DUMMYFUNCTION("""COMPUTED_VALUE"""),"The 10 Top GEO Agencies of 2026 (Reviewed)")</f>
        <v>The 10 Top GEO Agencies of 2026 (Reviewed)</v>
      </c>
      <c r="C211" s="14" t="str">
        <f>IFERROR(__xludf.DUMMYFUNCTION("""COMPUTED_VALUE"""),"nutshell.com")</f>
        <v>nutshell.com</v>
      </c>
      <c r="D211" s="15" t="str">
        <f>IFERROR(__xludf.DUMMYFUNCTION("""COMPUTED_VALUE"""),"LISTICLE")</f>
        <v>LISTICLE</v>
      </c>
      <c r="E211" s="15" t="str">
        <f>IFERROR(__xludf.DUMMYFUNCTION("""COMPUTED_VALUE"""),"CORPORATE")</f>
        <v>CORPORATE</v>
      </c>
      <c r="F211" s="15" t="str">
        <f>IFERROR(__xludf.DUMMYFUNCTION("""COMPUTED_VALUE"""),"Listicle")</f>
        <v>Listicle</v>
      </c>
      <c r="G211" s="15" t="b">
        <f>IFERROR(__xludf.DUMMYFUNCTION("""COMPUTED_VALUE"""),FALSE)</f>
        <v>0</v>
      </c>
      <c r="H211" s="15" t="str">
        <f>IFERROR(__xludf.DUMMYFUNCTION("""COMPUTED_VALUE"""),"WebFX, Siege Media, The SEO Works")</f>
        <v>WebFX, Siege Media, The SEO Works</v>
      </c>
      <c r="I211" s="15">
        <f>IFERROR(__xludf.DUMMYFUNCTION("""COMPUTED_VALUE"""),5.0)</f>
        <v>5</v>
      </c>
      <c r="J211" s="15">
        <f>IFERROR(__xludf.DUMMYFUNCTION("""COMPUTED_VALUE"""),0.0)</f>
        <v>0</v>
      </c>
      <c r="K211" s="15">
        <f>IFERROR(__xludf.DUMMYFUNCTION("""COMPUTED_VALUE"""),0.6)</f>
        <v>0.6</v>
      </c>
    </row>
    <row r="212" ht="15.75" customHeight="1">
      <c r="A212" s="14" t="str">
        <f>IFERROR(__xludf.DUMMYFUNCTION("""COMPUTED_VALUE"""),"https://www.phable.io/top-branding-agencies/top-branding-agencies-in-the-uk-2025-leaders-in-creative-identity")</f>
        <v>https://www.phable.io/top-branding-agencies/top-branding-agencies-in-the-uk-2025-leaders-in-creative-identity</v>
      </c>
      <c r="B212" s="15" t="str">
        <f>IFERROR(__xludf.DUMMYFUNCTION("""COMPUTED_VALUE"""),"Top Branding Agencies for Technology Companies in the UK in 2026: 12 Firms Reviewed by Specialism, Stage and Fit — Branding And Content Marketing For Technology")</f>
        <v>Top Branding Agencies for Technology Companies in the UK in 2026: 12 Firms Reviewed by Specialism, Stage and Fit — Branding And Content Marketing For Technology</v>
      </c>
      <c r="C212" s="14" t="str">
        <f>IFERROR(__xludf.DUMMYFUNCTION("""COMPUTED_VALUE"""),"phable.io")</f>
        <v>phable.io</v>
      </c>
      <c r="D212" s="15" t="str">
        <f>IFERROR(__xludf.DUMMYFUNCTION("""COMPUTED_VALUE"""),"LISTICLE")</f>
        <v>LISTICLE</v>
      </c>
      <c r="E212" s="15" t="str">
        <f>IFERROR(__xludf.DUMMYFUNCTION("""COMPUTED_VALUE"""),"CORPORATE")</f>
        <v>CORPORATE</v>
      </c>
      <c r="F212" s="15" t="str">
        <f>IFERROR(__xludf.DUMMYFUNCTION("""COMPUTED_VALUE"""),"Listicle")</f>
        <v>Listicle</v>
      </c>
      <c r="G212" s="15" t="b">
        <f>IFERROR(__xludf.DUMMYFUNCTION("""COMPUTED_VALUE"""),FALSE)</f>
        <v>0</v>
      </c>
      <c r="H212" s="15" t="str">
        <f>IFERROR(__xludf.DUMMYFUNCTION("""COMPUTED_VALUE"""),"Measured")</f>
        <v>Measured</v>
      </c>
      <c r="I212" s="15">
        <f>IFERROR(__xludf.DUMMYFUNCTION("""COMPUTED_VALUE"""),5.0)</f>
        <v>5</v>
      </c>
      <c r="J212" s="15">
        <f>IFERROR(__xludf.DUMMYFUNCTION("""COMPUTED_VALUE"""),0.0)</f>
        <v>0</v>
      </c>
      <c r="K212" s="15">
        <f>IFERROR(__xludf.DUMMYFUNCTION("""COMPUTED_VALUE"""),0.6)</f>
        <v>0.6</v>
      </c>
    </row>
    <row r="213" ht="15.75" customHeight="1">
      <c r="A213" s="14" t="str">
        <f>IFERROR(__xludf.DUMMYFUNCTION("""COMPUTED_VALUE"""),"https://www.phable.io/top-branding-agencies/top-branding-agencies-in-the-uk-experts-in-building-iconic-identities")</f>
        <v>https://www.phable.io/top-branding-agencies/top-branding-agencies-in-the-uk-experts-in-building-iconic-identities</v>
      </c>
      <c r="B213" s="15" t="str">
        <f>IFERROR(__xludf.DUMMYFUNCTION("""COMPUTED_VALUE"""),"Top Branding Agencies in the UK | Leaders in Building Iconic Identities — Branding And Content Marketing For Technology")</f>
        <v>Top Branding Agencies in the UK | Leaders in Building Iconic Identities — Branding And Content Marketing For Technology</v>
      </c>
      <c r="C213" s="14" t="str">
        <f>IFERROR(__xludf.DUMMYFUNCTION("""COMPUTED_VALUE"""),"phable.io")</f>
        <v>phable.io</v>
      </c>
      <c r="D213" s="15" t="str">
        <f>IFERROR(__xludf.DUMMYFUNCTION("""COMPUTED_VALUE"""),"LISTICLE")</f>
        <v>LISTICLE</v>
      </c>
      <c r="E213" s="15" t="str">
        <f>IFERROR(__xludf.DUMMYFUNCTION("""COMPUTED_VALUE"""),"CORPORATE")</f>
        <v>CORPORATE</v>
      </c>
      <c r="F213" s="15" t="str">
        <f>IFERROR(__xludf.DUMMYFUNCTION("""COMPUTED_VALUE"""),"Listicle")</f>
        <v>Listicle</v>
      </c>
      <c r="G213" s="15" t="b">
        <f>IFERROR(__xludf.DUMMYFUNCTION("""COMPUTED_VALUE"""),FALSE)</f>
        <v>0</v>
      </c>
      <c r="H213" s="15" t="str">
        <f>IFERROR(__xludf.DUMMYFUNCTION("""COMPUTED_VALUE"""),"Momentum, Further Group")</f>
        <v>Momentum, Further Group</v>
      </c>
      <c r="I213" s="15">
        <f>IFERROR(__xludf.DUMMYFUNCTION("""COMPUTED_VALUE"""),5.0)</f>
        <v>5</v>
      </c>
      <c r="J213" s="15">
        <f>IFERROR(__xludf.DUMMYFUNCTION("""COMPUTED_VALUE"""),0.0)</f>
        <v>0</v>
      </c>
      <c r="K213" s="15">
        <f>IFERROR(__xludf.DUMMYFUNCTION("""COMPUTED_VALUE"""),1.0)</f>
        <v>1</v>
      </c>
    </row>
    <row r="214" ht="15.75" customHeight="1">
      <c r="A214" s="14" t="str">
        <f>IFERROR(__xludf.DUMMYFUNCTION("""COMPUTED_VALUE"""),"https://ppcgeeks.co.uk/ppc/programmatic-advertising-companies/")</f>
        <v>https://ppcgeeks.co.uk/ppc/programmatic-advertising-companies/</v>
      </c>
      <c r="B214" s="15" t="str">
        <f>IFERROR(__xludf.DUMMYFUNCTION("""COMPUTED_VALUE"""),"7 Top Programmatic Advertising Companies in the UK (2026) - PPC Geeks Blog")</f>
        <v>7 Top Programmatic Advertising Companies in the UK (2026) - PPC Geeks Blog</v>
      </c>
      <c r="C214" s="14" t="str">
        <f>IFERROR(__xludf.DUMMYFUNCTION("""COMPUTED_VALUE"""),"ppcgeeks.co.uk")</f>
        <v>ppcgeeks.co.uk</v>
      </c>
      <c r="D214" s="15" t="str">
        <f>IFERROR(__xludf.DUMMYFUNCTION("""COMPUTED_VALUE"""),"LISTICLE")</f>
        <v>LISTICLE</v>
      </c>
      <c r="E214" s="15" t="str">
        <f>IFERROR(__xludf.DUMMYFUNCTION("""COMPUTED_VALUE"""),"COMPETITOR")</f>
        <v>COMPETITOR</v>
      </c>
      <c r="F214" s="15" t="str">
        <f>IFERROR(__xludf.DUMMYFUNCTION("""COMPUTED_VALUE"""),"Listicle")</f>
        <v>Listicle</v>
      </c>
      <c r="G214" s="15" t="b">
        <f>IFERROR(__xludf.DUMMYFUNCTION("""COMPUTED_VALUE"""),FALSE)</f>
        <v>0</v>
      </c>
      <c r="H214" s="15" t="str">
        <f>IFERROR(__xludf.DUMMYFUNCTION("""COMPUTED_VALUE"""),"PPC Geeks, Measured, Found")</f>
        <v>PPC Geeks, Measured, Found</v>
      </c>
      <c r="I214" s="15">
        <f>IFERROR(__xludf.DUMMYFUNCTION("""COMPUTED_VALUE"""),5.0)</f>
        <v>5</v>
      </c>
      <c r="J214" s="15">
        <f>IFERROR(__xludf.DUMMYFUNCTION("""COMPUTED_VALUE"""),0.0)</f>
        <v>0</v>
      </c>
      <c r="K214" s="15">
        <f>IFERROR(__xludf.DUMMYFUNCTION("""COMPUTED_VALUE"""),0.4)</f>
        <v>0.4</v>
      </c>
    </row>
    <row r="215" ht="15.75" customHeight="1">
      <c r="A215" s="14" t="str">
        <f>IFERROR(__xludf.DUMMYFUNCTION("""COMPUTED_VALUE"""),"https://socialchameleon.com/30-marketing-agencies-uk/")</f>
        <v>https://socialchameleon.com/30-marketing-agencies-uk/</v>
      </c>
      <c r="B215" s="15" t="str">
        <f>IFERROR(__xludf.DUMMYFUNCTION("""COMPUTED_VALUE"""),"Top 30 Marketing Agencies in the UK | Social Chameleon")</f>
        <v>Top 30 Marketing Agencies in the UK | Social Chameleon</v>
      </c>
      <c r="C215" s="14" t="str">
        <f>IFERROR(__xludf.DUMMYFUNCTION("""COMPUTED_VALUE"""),"socialchameleon.com")</f>
        <v>socialchameleon.com</v>
      </c>
      <c r="D215" s="15" t="str">
        <f>IFERROR(__xludf.DUMMYFUNCTION("""COMPUTED_VALUE"""),"LISTICLE")</f>
        <v>LISTICLE</v>
      </c>
      <c r="E215" s="15" t="str">
        <f>IFERROR(__xludf.DUMMYFUNCTION("""COMPUTED_VALUE"""),"CORPORATE")</f>
        <v>CORPORATE</v>
      </c>
      <c r="F215" s="15" t="str">
        <f>IFERROR(__xludf.DUMMYFUNCTION("""COMPUTED_VALUE"""),"Listicle")</f>
        <v>Listicle</v>
      </c>
      <c r="G215" s="15" t="b">
        <f>IFERROR(__xludf.DUMMYFUNCTION("""COMPUTED_VALUE"""),FALSE)</f>
        <v>0</v>
      </c>
      <c r="H215" s="15" t="str">
        <f>IFERROR(__xludf.DUMMYFUNCTION("""COMPUTED_VALUE"""),"Found, Ogilvy, Huge, BBH London, Dentsu, Mother London, Screaming Frog, The Good Marketer")</f>
        <v>Found, Ogilvy, Huge, BBH London, Dentsu, Mother London, Screaming Frog, The Good Marketer</v>
      </c>
      <c r="I215" s="15">
        <f>IFERROR(__xludf.DUMMYFUNCTION("""COMPUTED_VALUE"""),5.0)</f>
        <v>5</v>
      </c>
      <c r="J215" s="15">
        <f>IFERROR(__xludf.DUMMYFUNCTION("""COMPUTED_VALUE"""),0.0)</f>
        <v>0</v>
      </c>
      <c r="K215" s="15">
        <f>IFERROR(__xludf.DUMMYFUNCTION("""COMPUTED_VALUE"""),1.6)</f>
        <v>1.6</v>
      </c>
    </row>
    <row r="216" ht="15.75" customHeight="1">
      <c r="A216" s="14" t="str">
        <f>IFERROR(__xludf.DUMMYFUNCTION("""COMPUTED_VALUE"""),"https://www.superside.com/blog/ai-powered-agencies")</f>
        <v>https://www.superside.com/blog/ai-powered-agencies</v>
      </c>
      <c r="B216" s="15" t="str">
        <f>IFERROR(__xludf.DUMMYFUNCTION("""COMPUTED_VALUE"""),"10 AI-Powered Agencies Blending Automation and Creativity in 2026")</f>
        <v>10 AI-Powered Agencies Blending Automation and Creativity in 2026</v>
      </c>
      <c r="C216" s="14" t="str">
        <f>IFERROR(__xludf.DUMMYFUNCTION("""COMPUTED_VALUE"""),"superside.com")</f>
        <v>superside.com</v>
      </c>
      <c r="D216" s="15" t="str">
        <f>IFERROR(__xludf.DUMMYFUNCTION("""COMPUTED_VALUE"""),"LISTICLE")</f>
        <v>LISTICLE</v>
      </c>
      <c r="E216" s="15" t="str">
        <f>IFERROR(__xludf.DUMMYFUNCTION("""COMPUTED_VALUE"""),"COMPETITOR")</f>
        <v>COMPETITOR</v>
      </c>
      <c r="F216" s="15" t="str">
        <f>IFERROR(__xludf.DUMMYFUNCTION("""COMPUTED_VALUE"""),"Listicle")</f>
        <v>Listicle</v>
      </c>
      <c r="G216" s="15" t="b">
        <f>IFERROR(__xludf.DUMMYFUNCTION("""COMPUTED_VALUE"""),FALSE)</f>
        <v>0</v>
      </c>
      <c r="H216" s="15" t="str">
        <f>IFERROR(__xludf.DUMMYFUNCTION("""COMPUTED_VALUE"""),"Superside, PwC, Found, Jellyfish, Brandtech, VCCP, NoGood, Impression")</f>
        <v>Superside, PwC, Found, Jellyfish, Brandtech, VCCP, NoGood, Impression</v>
      </c>
      <c r="I216" s="15">
        <f>IFERROR(__xludf.DUMMYFUNCTION("""COMPUTED_VALUE"""),5.0)</f>
        <v>5</v>
      </c>
      <c r="J216" s="15">
        <f>IFERROR(__xludf.DUMMYFUNCTION("""COMPUTED_VALUE"""),0.0)</f>
        <v>0</v>
      </c>
      <c r="K216" s="15">
        <f>IFERROR(__xludf.DUMMYFUNCTION("""COMPUTED_VALUE"""),1.0)</f>
        <v>1</v>
      </c>
    </row>
    <row r="217" ht="15.75" customHeight="1">
      <c r="A217" s="14" t="str">
        <f>IFERROR(__xludf.DUMMYFUNCTION("""COMPUTED_VALUE"""),"https://www.thedrum.com/news/world-creative-rankings-2026-several-dublin-agencies-break-into-uk-ireland-top-spots")</f>
        <v>https://www.thedrum.com/news/world-creative-rankings-2026-several-dublin-agencies-break-into-uk-ireland-top-spots</v>
      </c>
      <c r="B217" s="15" t="str">
        <f>IFERROR(__xludf.DUMMYFUNCTION("""COMPUTED_VALUE"""),"World Creative Rankings 2026: Dublin agencies break into UK &amp;amp; Ireland top spots | The Drum")</f>
        <v>World Creative Rankings 2026: Dublin agencies break into UK &amp;amp; Ireland top spots | The Drum</v>
      </c>
      <c r="C217" s="14" t="str">
        <f>IFERROR(__xludf.DUMMYFUNCTION("""COMPUTED_VALUE"""),"thedrum.com")</f>
        <v>thedrum.com</v>
      </c>
      <c r="D217" s="15" t="str">
        <f>IFERROR(__xludf.DUMMYFUNCTION("""COMPUTED_VALUE"""),"LISTICLE")</f>
        <v>LISTICLE</v>
      </c>
      <c r="E217" s="15" t="str">
        <f>IFERROR(__xludf.DUMMYFUNCTION("""COMPUTED_VALUE"""),"EDITORIAL")</f>
        <v>EDITORIAL</v>
      </c>
      <c r="F217" s="15" t="str">
        <f>IFERROR(__xludf.DUMMYFUNCTION("""COMPUTED_VALUE"""),"Listicle")</f>
        <v>Listicle</v>
      </c>
      <c r="G217" s="15" t="b">
        <f>IFERROR(__xludf.DUMMYFUNCTION("""COMPUTED_VALUE"""),FALSE)</f>
        <v>0</v>
      </c>
      <c r="H217" s="15" t="str">
        <f>IFERROR(__xludf.DUMMYFUNCTION("""COMPUTED_VALUE"""),"Omnicom, AMV BBDO, Adam&amp;eveDDB, VCCP, BBH London")</f>
        <v>Omnicom, AMV BBDO, Adam&amp;eveDDB, VCCP, BBH London</v>
      </c>
      <c r="I217" s="15">
        <f>IFERROR(__xludf.DUMMYFUNCTION("""COMPUTED_VALUE"""),5.0)</f>
        <v>5</v>
      </c>
      <c r="J217" s="15">
        <f>IFERROR(__xludf.DUMMYFUNCTION("""COMPUTED_VALUE"""),0.0)</f>
        <v>0</v>
      </c>
      <c r="K217" s="15">
        <f>IFERROR(__xludf.DUMMYFUNCTION("""COMPUTED_VALUE"""),0.6)</f>
        <v>0.6</v>
      </c>
    </row>
    <row r="218" ht="15.75" customHeight="1">
      <c r="A218" s="14" t="str">
        <f>IFERROR(__xludf.DUMMYFUNCTION("""COMPUTED_VALUE"""),"https://therubiconagency.com/technology-marketing-blog/top-10-b2b-ppc-agencies-uk/")</f>
        <v>https://therubiconagency.com/technology-marketing-blog/top-10-b2b-ppc-agencies-uk/</v>
      </c>
      <c r="B218" s="15" t="str">
        <f>IFERROR(__xludf.DUMMYFUNCTION("""COMPUTED_VALUE"""),"Top 10 B2B PPC Agencies in the UK (2026 Guide)")</f>
        <v>Top 10 B2B PPC Agencies in the UK (2026 Guide)</v>
      </c>
      <c r="C218" s="14" t="str">
        <f>IFERROR(__xludf.DUMMYFUNCTION("""COMPUTED_VALUE"""),"therubiconagency.com")</f>
        <v>therubiconagency.com</v>
      </c>
      <c r="D218" s="15" t="str">
        <f>IFERROR(__xludf.DUMMYFUNCTION("""COMPUTED_VALUE"""),"LISTICLE")</f>
        <v>LISTICLE</v>
      </c>
      <c r="E218" s="15" t="str">
        <f>IFERROR(__xludf.DUMMYFUNCTION("""COMPUTED_VALUE"""),"CORPORATE")</f>
        <v>CORPORATE</v>
      </c>
      <c r="F218" s="15" t="str">
        <f>IFERROR(__xludf.DUMMYFUNCTION("""COMPUTED_VALUE"""),"Listicle")</f>
        <v>Listicle</v>
      </c>
      <c r="G218" s="15" t="b">
        <f>IFERROR(__xludf.DUMMYFUNCTION("""COMPUTED_VALUE"""),FALSE)</f>
        <v>0</v>
      </c>
      <c r="H218" s="15" t="str">
        <f>IFERROR(__xludf.DUMMYFUNCTION("""COMPUTED_VALUE"""),"Measured, Gripped, Brainlabs, Soap Media, Directive Consulting")</f>
        <v>Measured, Gripped, Brainlabs, Soap Media, Directive Consulting</v>
      </c>
      <c r="I218" s="15">
        <f>IFERROR(__xludf.DUMMYFUNCTION("""COMPUTED_VALUE"""),5.0)</f>
        <v>5</v>
      </c>
      <c r="J218" s="15">
        <f>IFERROR(__xludf.DUMMYFUNCTION("""COMPUTED_VALUE"""),0.0)</f>
        <v>0</v>
      </c>
      <c r="K218" s="15">
        <f>IFERROR(__xludf.DUMMYFUNCTION("""COMPUTED_VALUE"""),0.2)</f>
        <v>0.2</v>
      </c>
    </row>
    <row r="219" ht="15.75" customHeight="1">
      <c r="A219" s="14" t="str">
        <f>IFERROR(__xludf.DUMMYFUNCTION("""COMPUTED_VALUE"""),"https://thesocialshepherd.com/blog/creative-agencies-uk")</f>
        <v>https://thesocialshepherd.com/blog/creative-agencies-uk</v>
      </c>
      <c r="B219" s="15" t="str">
        <f>IFERROR(__xludf.DUMMYFUNCTION("""COMPUTED_VALUE"""),"The Social Shepherd | Top 17 Creative Agencies in the UK (2022)")</f>
        <v>The Social Shepherd | Top 17 Creative Agencies in the UK (2022)</v>
      </c>
      <c r="C219" s="14" t="str">
        <f>IFERROR(__xludf.DUMMYFUNCTION("""COMPUTED_VALUE"""),"thesocialshepherd.com")</f>
        <v>thesocialshepherd.com</v>
      </c>
      <c r="D219" s="15" t="str">
        <f>IFERROR(__xludf.DUMMYFUNCTION("""COMPUTED_VALUE"""),"LISTICLE")</f>
        <v>LISTICLE</v>
      </c>
      <c r="E219" s="15" t="str">
        <f>IFERROR(__xludf.DUMMYFUNCTION("""COMPUTED_VALUE"""),"COMPETITOR")</f>
        <v>COMPETITOR</v>
      </c>
      <c r="F219" s="15" t="str">
        <f>IFERROR(__xludf.DUMMYFUNCTION("""COMPUTED_VALUE"""),"Listicle")</f>
        <v>Listicle</v>
      </c>
      <c r="G219" s="15" t="b">
        <f>IFERROR(__xludf.DUMMYFUNCTION("""COMPUTED_VALUE"""),FALSE)</f>
        <v>0</v>
      </c>
      <c r="H219" s="15" t="str">
        <f>IFERROR(__xludf.DUMMYFUNCTION("""COMPUTED_VALUE"""),"The Social Shepherd, Rise at Seven")</f>
        <v>The Social Shepherd, Rise at Seven</v>
      </c>
      <c r="I219" s="15">
        <f>IFERROR(__xludf.DUMMYFUNCTION("""COMPUTED_VALUE"""),5.0)</f>
        <v>5</v>
      </c>
      <c r="J219" s="15">
        <f>IFERROR(__xludf.DUMMYFUNCTION("""COMPUTED_VALUE"""),0.0)</f>
        <v>0</v>
      </c>
      <c r="K219" s="15">
        <f>IFERROR(__xludf.DUMMYFUNCTION("""COMPUTED_VALUE"""),0.0)</f>
        <v>0</v>
      </c>
    </row>
    <row r="220" ht="15.75" customHeight="1">
      <c r="A220" s="14" t="str">
        <f>IFERROR(__xludf.DUMMYFUNCTION("""COMPUTED_VALUE"""),"https://ukpaidmediaawards.co.uk/2026-winners/")</f>
        <v>https://ukpaidmediaawards.co.uk/2026-winners/</v>
      </c>
      <c r="B220" s="15" t="str">
        <f>IFERROR(__xludf.DUMMYFUNCTION("""COMPUTED_VALUE"""),"2026 Winners | UK Paid Media Awards")</f>
        <v>2026 Winners | UK Paid Media Awards</v>
      </c>
      <c r="C220" s="14" t="str">
        <f>IFERROR(__xludf.DUMMYFUNCTION("""COMPUTED_VALUE"""),"ukpaidmediaawards.co.uk")</f>
        <v>ukpaidmediaawards.co.uk</v>
      </c>
      <c r="D220" s="15" t="str">
        <f>IFERROR(__xludf.DUMMYFUNCTION("""COMPUTED_VALUE"""),"LISTICLE")</f>
        <v>LISTICLE</v>
      </c>
      <c r="E220" s="15" t="str">
        <f>IFERROR(__xludf.DUMMYFUNCTION("""COMPUTED_VALUE"""),"OTHER")</f>
        <v>OTHER</v>
      </c>
      <c r="F220" s="15" t="str">
        <f>IFERROR(__xludf.DUMMYFUNCTION("""COMPUTED_VALUE"""),"Listicle")</f>
        <v>Listicle</v>
      </c>
      <c r="G220" s="15" t="b">
        <f>IFERROR(__xludf.DUMMYFUNCTION("""COMPUTED_VALUE"""),FALSE)</f>
        <v>0</v>
      </c>
      <c r="H220" s="15" t="str">
        <f>IFERROR(__xludf.DUMMYFUNCTION("""COMPUTED_VALUE"""),"Propellernet, Push, LOCALiQ, Momentum, Huge")</f>
        <v>Propellernet, Push, LOCALiQ, Momentum, Huge</v>
      </c>
      <c r="I220" s="15">
        <f>IFERROR(__xludf.DUMMYFUNCTION("""COMPUTED_VALUE"""),5.0)</f>
        <v>5</v>
      </c>
      <c r="J220" s="15">
        <f>IFERROR(__xludf.DUMMYFUNCTION("""COMPUTED_VALUE"""),0.0)</f>
        <v>0</v>
      </c>
      <c r="K220" s="15">
        <f>IFERROR(__xludf.DUMMYFUNCTION("""COMPUTED_VALUE"""),1.6)</f>
        <v>1.6</v>
      </c>
    </row>
    <row r="221" ht="15.75" customHeight="1">
      <c r="A221" s="14" t="str">
        <f>IFERROR(__xludf.DUMMYFUNCTION("""COMPUTED_VALUE"""),"https://arramton.com/blogs/performance-marketing-agencies")</f>
        <v>https://arramton.com/blogs/performance-marketing-agencies</v>
      </c>
      <c r="B221" s="15" t="str">
        <f>IFERROR(__xludf.DUMMYFUNCTION("""COMPUTED_VALUE"""),"Top Performance Marketing Agencies in the UK \| 2025 Guide")</f>
        <v>Top Performance Marketing Agencies in the UK \| 2025 Guide</v>
      </c>
      <c r="C221" s="14" t="str">
        <f>IFERROR(__xludf.DUMMYFUNCTION("""COMPUTED_VALUE"""),"arramton.com")</f>
        <v>arramton.com</v>
      </c>
      <c r="D221" s="15" t="str">
        <f>IFERROR(__xludf.DUMMYFUNCTION("""COMPUTED_VALUE"""),"LISTICLE")</f>
        <v>LISTICLE</v>
      </c>
      <c r="E221" s="15" t="str">
        <f>IFERROR(__xludf.DUMMYFUNCTION("""COMPUTED_VALUE"""),"CORPORATE")</f>
        <v>CORPORATE</v>
      </c>
      <c r="F221" s="15" t="str">
        <f>IFERROR(__xludf.DUMMYFUNCTION("""COMPUTED_VALUE"""),"Listicle")</f>
        <v>Listicle</v>
      </c>
      <c r="G221" s="15" t="b">
        <f>IFERROR(__xludf.DUMMYFUNCTION("""COMPUTED_VALUE"""),FALSE)</f>
        <v>0</v>
      </c>
      <c r="H221" s="15" t="str">
        <f>IFERROR(__xludf.DUMMYFUNCTION("""COMPUTED_VALUE"""),"Impression, Found, Croud, Gravity Global, Push, Push Group")</f>
        <v>Impression, Found, Croud, Gravity Global, Push, Push Group</v>
      </c>
      <c r="I221" s="15">
        <f>IFERROR(__xludf.DUMMYFUNCTION("""COMPUTED_VALUE"""),4.0)</f>
        <v>4</v>
      </c>
      <c r="J221" s="15">
        <f>IFERROR(__xludf.DUMMYFUNCTION("""COMPUTED_VALUE"""),0.0)</f>
        <v>0</v>
      </c>
      <c r="K221" s="15">
        <f>IFERROR(__xludf.DUMMYFUNCTION("""COMPUTED_VALUE"""),1.0)</f>
        <v>1</v>
      </c>
    </row>
    <row r="222" ht="15.75" customHeight="1">
      <c r="A222" s="14" t="str">
        <f>IFERROR(__xludf.DUMMYFUNCTION("""COMPUTED_VALUE"""),"https://linea-analytics.com/articles/best-marketing-mix-modeling-tools-uk/article.html")</f>
        <v>https://linea-analytics.com/articles/best-marketing-mix-modeling-tools-uk/article.html</v>
      </c>
      <c r="B222" s="15" t="str">
        <f>IFERROR(__xludf.DUMMYFUNCTION("""COMPUTED_VALUE"""),"Linea Analytics - Top 6 Marketing Mix Modelling Tools for UK Brands in 2026")</f>
        <v>Linea Analytics - Top 6 Marketing Mix Modelling Tools for UK Brands in 2026</v>
      </c>
      <c r="C222" s="14" t="str">
        <f>IFERROR(__xludf.DUMMYFUNCTION("""COMPUTED_VALUE"""),"linea-analytics.com")</f>
        <v>linea-analytics.com</v>
      </c>
      <c r="D222" s="15" t="str">
        <f>IFERROR(__xludf.DUMMYFUNCTION("""COMPUTED_VALUE"""),"LISTICLE")</f>
        <v>LISTICLE</v>
      </c>
      <c r="E222" s="15" t="str">
        <f>IFERROR(__xludf.DUMMYFUNCTION("""COMPUTED_VALUE"""),"CORPORATE")</f>
        <v>CORPORATE</v>
      </c>
      <c r="F222" s="15" t="str">
        <f>IFERROR(__xludf.DUMMYFUNCTION("""COMPUTED_VALUE"""),"Listicle")</f>
        <v>Listicle</v>
      </c>
      <c r="G222" s="15" t="b">
        <f>IFERROR(__xludf.DUMMYFUNCTION("""COMPUTED_VALUE"""),FALSE)</f>
        <v>0</v>
      </c>
      <c r="H222" s="15" t="str">
        <f>IFERROR(__xludf.DUMMYFUNCTION("""COMPUTED_VALUE"""),"Ekimetrics")</f>
        <v>Ekimetrics</v>
      </c>
      <c r="I222" s="15">
        <f>IFERROR(__xludf.DUMMYFUNCTION("""COMPUTED_VALUE"""),4.0)</f>
        <v>4</v>
      </c>
      <c r="J222" s="15">
        <f>IFERROR(__xludf.DUMMYFUNCTION("""COMPUTED_VALUE"""),0.0)</f>
        <v>0</v>
      </c>
      <c r="K222" s="15">
        <f>IFERROR(__xludf.DUMMYFUNCTION("""COMPUTED_VALUE"""),0.25)</f>
        <v>0.25</v>
      </c>
    </row>
    <row r="223" ht="15.75" customHeight="1">
      <c r="A223" s="14" t="str">
        <f>IFERROR(__xludf.DUMMYFUNCTION("""COMPUTED_VALUE"""),"https://macreativeag.com/digital-marketing/uk-top-digital-marketing-agencies/")</f>
        <v>https://macreativeag.com/digital-marketing/uk-top-digital-marketing-agencies/</v>
      </c>
      <c r="B223" s="15" t="str">
        <f>IFERROR(__xludf.DUMMYFUNCTION("""COMPUTED_VALUE"""),"Top 10 Digital Marketing Agencies in the UK (2026) - Best for Startups &amp;amp; SMEs")</f>
        <v>Top 10 Digital Marketing Agencies in the UK (2026) - Best for Startups &amp;amp; SMEs</v>
      </c>
      <c r="C223" s="14" t="str">
        <f>IFERROR(__xludf.DUMMYFUNCTION("""COMPUTED_VALUE"""),"macreativeag.com")</f>
        <v>macreativeag.com</v>
      </c>
      <c r="D223" s="15" t="str">
        <f>IFERROR(__xludf.DUMMYFUNCTION("""COMPUTED_VALUE"""),"LISTICLE")</f>
        <v>LISTICLE</v>
      </c>
      <c r="E223" s="15" t="str">
        <f>IFERROR(__xludf.DUMMYFUNCTION("""COMPUTED_VALUE"""),"CORPORATE")</f>
        <v>CORPORATE</v>
      </c>
      <c r="F223" s="15" t="str">
        <f>IFERROR(__xludf.DUMMYFUNCTION("""COMPUTED_VALUE"""),"Listicle")</f>
        <v>Listicle</v>
      </c>
      <c r="G223" s="15" t="b">
        <f>IFERROR(__xludf.DUMMYFUNCTION("""COMPUTED_VALUE"""),FALSE)</f>
        <v>0</v>
      </c>
      <c r="H223" s="15" t="str">
        <f>IFERROR(__xludf.DUMMYFUNCTION("""COMPUTED_VALUE"""),"WebFX, Disruptive Advertising, Ninja Promo, Ignite Visibility, The Social Shepherd, Found, Gripped")</f>
        <v>WebFX, Disruptive Advertising, Ninja Promo, Ignite Visibility, The Social Shepherd, Found, Gripped</v>
      </c>
      <c r="I223" s="15">
        <f>IFERROR(__xludf.DUMMYFUNCTION("""COMPUTED_VALUE"""),4.0)</f>
        <v>4</v>
      </c>
      <c r="J223" s="15">
        <f>IFERROR(__xludf.DUMMYFUNCTION("""COMPUTED_VALUE"""),0.0)</f>
        <v>0</v>
      </c>
      <c r="K223" s="15">
        <f>IFERROR(__xludf.DUMMYFUNCTION("""COMPUTED_VALUE"""),0.0)</f>
        <v>0</v>
      </c>
    </row>
    <row r="224" ht="15.75" customHeight="1">
      <c r="A224" s="14" t="str">
        <f>IFERROR(__xludf.DUMMYFUNCTION("""COMPUTED_VALUE"""),"https://nogood.io/blog/performance-marketing-agencies/")</f>
        <v>https://nogood.io/blog/performance-marketing-agencies/</v>
      </c>
      <c r="B224" s="15" t="str">
        <f>IFERROR(__xludf.DUMMYFUNCTION("""COMPUTED_VALUE"""),"Top Performance Marketing Agencies in 2026 | NoGood")</f>
        <v>Top Performance Marketing Agencies in 2026 | NoGood</v>
      </c>
      <c r="C224" s="14" t="str">
        <f>IFERROR(__xludf.DUMMYFUNCTION("""COMPUTED_VALUE"""),"nogood.io")</f>
        <v>nogood.io</v>
      </c>
      <c r="D224" s="15" t="str">
        <f>IFERROR(__xludf.DUMMYFUNCTION("""COMPUTED_VALUE"""),"LISTICLE")</f>
        <v>LISTICLE</v>
      </c>
      <c r="E224" s="15" t="str">
        <f>IFERROR(__xludf.DUMMYFUNCTION("""COMPUTED_VALUE"""),"COMPETITOR")</f>
        <v>COMPETITOR</v>
      </c>
      <c r="F224" s="15" t="str">
        <f>IFERROR(__xludf.DUMMYFUNCTION("""COMPUTED_VALUE"""),"Listicle")</f>
        <v>Listicle</v>
      </c>
      <c r="G224" s="15" t="b">
        <f>IFERROR(__xludf.DUMMYFUNCTION("""COMPUTED_VALUE"""),FALSE)</f>
        <v>0</v>
      </c>
      <c r="H224" s="15" t="str">
        <f>IFERROR(__xludf.DUMMYFUNCTION("""COMPUTED_VALUE"""),"NoGood, inBeat, Ignite Visibility, Disruptive Advertising, Wpromote, Power Digital, Monks, Measured, Found, Directive Consulting, Huge")</f>
        <v>NoGood, inBeat, Ignite Visibility, Disruptive Advertising, Wpromote, Power Digital, Monks, Measured, Found, Directive Consulting, Huge</v>
      </c>
      <c r="I224" s="15">
        <f>IFERROR(__xludf.DUMMYFUNCTION("""COMPUTED_VALUE"""),4.0)</f>
        <v>4</v>
      </c>
      <c r="J224" s="15">
        <f>IFERROR(__xludf.DUMMYFUNCTION("""COMPUTED_VALUE"""),0.0)</f>
        <v>0</v>
      </c>
      <c r="K224" s="15">
        <f>IFERROR(__xludf.DUMMYFUNCTION("""COMPUTED_VALUE"""),0.5)</f>
        <v>0.5</v>
      </c>
    </row>
    <row r="225" ht="15.75" customHeight="1">
      <c r="A225" s="14" t="str">
        <f>IFERROR(__xludf.DUMMYFUNCTION("""COMPUTED_VALUE"""),"https://nogood.io/blog/social-media-marketing-agency-london/")</f>
        <v>https://nogood.io/blog/social-media-marketing-agency-london/</v>
      </c>
      <c r="B225" s="15" t="str">
        <f>IFERROR(__xludf.DUMMYFUNCTION("""COMPUTED_VALUE"""),"Top 10 Social Media Marketing Agencies London (2026) | NoGood")</f>
        <v>Top 10 Social Media Marketing Agencies London (2026) | NoGood</v>
      </c>
      <c r="C225" s="14" t="str">
        <f>IFERROR(__xludf.DUMMYFUNCTION("""COMPUTED_VALUE"""),"nogood.io")</f>
        <v>nogood.io</v>
      </c>
      <c r="D225" s="15" t="str">
        <f>IFERROR(__xludf.DUMMYFUNCTION("""COMPUTED_VALUE"""),"LISTICLE")</f>
        <v>LISTICLE</v>
      </c>
      <c r="E225" s="15" t="str">
        <f>IFERROR(__xludf.DUMMYFUNCTION("""COMPUTED_VALUE"""),"COMPETITOR")</f>
        <v>COMPETITOR</v>
      </c>
      <c r="F225" s="15" t="str">
        <f>IFERROR(__xludf.DUMMYFUNCTION("""COMPUTED_VALUE"""),"Listicle")</f>
        <v>Listicle</v>
      </c>
      <c r="G225" s="15" t="b">
        <f>IFERROR(__xludf.DUMMYFUNCTION("""COMPUTED_VALUE"""),FALSE)</f>
        <v>0</v>
      </c>
      <c r="H225" s="15" t="str">
        <f>IFERROR(__xludf.DUMMYFUNCTION("""COMPUTED_VALUE"""),"NoGood, Social Chain, The Social Shepherd, Born Social, Make Agency")</f>
        <v>NoGood, Social Chain, The Social Shepherd, Born Social, Make Agency</v>
      </c>
      <c r="I225" s="15">
        <f>IFERROR(__xludf.DUMMYFUNCTION("""COMPUTED_VALUE"""),4.0)</f>
        <v>4</v>
      </c>
      <c r="J225" s="15">
        <f>IFERROR(__xludf.DUMMYFUNCTION("""COMPUTED_VALUE"""),0.0)</f>
        <v>0</v>
      </c>
      <c r="K225" s="15">
        <f>IFERROR(__xludf.DUMMYFUNCTION("""COMPUTED_VALUE"""),1.0)</f>
        <v>1</v>
      </c>
    </row>
    <row r="226" ht="15.75" customHeight="1">
      <c r="A226" s="14" t="str">
        <f>IFERROR(__xludf.DUMMYFUNCTION("""COMPUTED_VALUE"""),"https://oyik.ai/automation/the-top-consulting-firms-in-the-uk-for-ai-gen-ai-services/")</f>
        <v>https://oyik.ai/automation/the-top-consulting-firms-in-the-uk-for-ai-gen-ai-services/</v>
      </c>
      <c r="B226" s="15" t="str">
        <f>IFERROR(__xludf.DUMMYFUNCTION("""COMPUTED_VALUE"""),"Top AI Consulting Firms in the UK | Oyik.AI")</f>
        <v>Top AI Consulting Firms in the UK | Oyik.AI</v>
      </c>
      <c r="C226" s="14" t="str">
        <f>IFERROR(__xludf.DUMMYFUNCTION("""COMPUTED_VALUE"""),"oyik.ai")</f>
        <v>oyik.ai</v>
      </c>
      <c r="D226" s="15" t="str">
        <f>IFERROR(__xludf.DUMMYFUNCTION("""COMPUTED_VALUE"""),"LISTICLE")</f>
        <v>LISTICLE</v>
      </c>
      <c r="E226" s="15" t="str">
        <f>IFERROR(__xludf.DUMMYFUNCTION("""COMPUTED_VALUE"""),"CORPORATE")</f>
        <v>CORPORATE</v>
      </c>
      <c r="F226" s="15" t="str">
        <f>IFERROR(__xludf.DUMMYFUNCTION("""COMPUTED_VALUE"""),"Listicle")</f>
        <v>Listicle</v>
      </c>
      <c r="G226" s="15" t="b">
        <f>IFERROR(__xludf.DUMMYFUNCTION("""COMPUTED_VALUE"""),FALSE)</f>
        <v>0</v>
      </c>
      <c r="H226" s="15" t="str">
        <f>IFERROR(__xludf.DUMMYFUNCTION("""COMPUTED_VALUE"""),"PwC, EY")</f>
        <v>PwC, EY</v>
      </c>
      <c r="I226" s="15">
        <f>IFERROR(__xludf.DUMMYFUNCTION("""COMPUTED_VALUE"""),4.0)</f>
        <v>4</v>
      </c>
      <c r="J226" s="15">
        <f>IFERROR(__xludf.DUMMYFUNCTION("""COMPUTED_VALUE"""),0.0)</f>
        <v>0</v>
      </c>
      <c r="K226" s="15">
        <f>IFERROR(__xludf.DUMMYFUNCTION("""COMPUTED_VALUE"""),0.25)</f>
        <v>0.25</v>
      </c>
    </row>
    <row r="227" ht="15.75" customHeight="1">
      <c r="A227" s="14" t="str">
        <f>IFERROR(__xludf.DUMMYFUNCTION("""COMPUTED_VALUE"""),"https://piperocket.digital/list/best-paid-social-agencies/")</f>
        <v>https://piperocket.digital/list/best-paid-social-agencies/</v>
      </c>
      <c r="B227" s="15" t="str">
        <f>IFERROR(__xludf.DUMMYFUNCTION("""COMPUTED_VALUE"""),"9 Best Paid Social Agencies for 2026 (Honest Review)")</f>
        <v>9 Best Paid Social Agencies for 2026 (Honest Review)</v>
      </c>
      <c r="C227" s="15" t="str">
        <f>IFERROR(__xludf.DUMMYFUNCTION("""COMPUTED_VALUE"""),"piperocket.digital")</f>
        <v>piperocket.digital</v>
      </c>
      <c r="D227" s="15" t="str">
        <f>IFERROR(__xludf.DUMMYFUNCTION("""COMPUTED_VALUE"""),"LISTICLE")</f>
        <v>LISTICLE</v>
      </c>
      <c r="E227" s="15" t="str">
        <f>IFERROR(__xludf.DUMMYFUNCTION("""COMPUTED_VALUE"""),"CORPORATE")</f>
        <v>CORPORATE</v>
      </c>
      <c r="F227" s="15" t="str">
        <f>IFERROR(__xludf.DUMMYFUNCTION("""COMPUTED_VALUE"""),"Listicle")</f>
        <v>Listicle</v>
      </c>
      <c r="G227" s="15" t="b">
        <f>IFERROR(__xludf.DUMMYFUNCTION("""COMPUTED_VALUE"""),FALSE)</f>
        <v>0</v>
      </c>
      <c r="H227" s="15" t="str">
        <f>IFERROR(__xludf.DUMMYFUNCTION("""COMPUTED_VALUE"""),"Directive Consulting, NoGood, Measured")</f>
        <v>Directive Consulting, NoGood, Measured</v>
      </c>
      <c r="I227" s="15">
        <f>IFERROR(__xludf.DUMMYFUNCTION("""COMPUTED_VALUE"""),4.0)</f>
        <v>4</v>
      </c>
      <c r="J227" s="15">
        <f>IFERROR(__xludf.DUMMYFUNCTION("""COMPUTED_VALUE"""),0.0)</f>
        <v>0</v>
      </c>
      <c r="K227" s="15">
        <f>IFERROR(__xludf.DUMMYFUNCTION("""COMPUTED_VALUE"""),0.0)</f>
        <v>0</v>
      </c>
    </row>
    <row r="228" ht="15.75" customHeight="1">
      <c r="A228" s="14" t="str">
        <f>IFERROR(__xludf.DUMMYFUNCTION("""COMPUTED_VALUE"""),"https://www.rzlt.io/blog/best-ai-marketing-agencies-in-2026-the-definitive-guide-by-specialty#:~:text=That%20is%20not%20how%20this%20works%20here.,top.%20%2D%20HikeMyTraffic%3A%20Award%2DWinning%20AI%20Digital%20Marketing.")</f>
        <v>https://www.rzlt.io/blog/best-ai-marketing-agencies-in-2026-the-definitive-guide-by-specialty#:~:text=That%20is%20not%20how%20this%20works%20here.,top.%20%2D%20HikeMyTraffic%3A%20Award%2DWinning%20AI%20Digital%20Marketing.</v>
      </c>
      <c r="B228" s="15" t="str">
        <f>IFERROR(__xludf.DUMMYFUNCTION("""COMPUTED_VALUE"""),"Best AI Marketing Agencies in 2026: The Definitive Guide")</f>
        <v>Best AI Marketing Agencies in 2026: The Definitive Guide</v>
      </c>
      <c r="C228" s="14" t="str">
        <f>IFERROR(__xludf.DUMMYFUNCTION("""COMPUTED_VALUE"""),"rzlt.io")</f>
        <v>rzlt.io</v>
      </c>
      <c r="D228" s="15" t="str">
        <f>IFERROR(__xludf.DUMMYFUNCTION("""COMPUTED_VALUE"""),"LISTICLE")</f>
        <v>LISTICLE</v>
      </c>
      <c r="E228" s="15" t="str">
        <f>IFERROR(__xludf.DUMMYFUNCTION("""COMPUTED_VALUE"""),"CORPORATE")</f>
        <v>CORPORATE</v>
      </c>
      <c r="F228" s="15" t="str">
        <f>IFERROR(__xludf.DUMMYFUNCTION("""COMPUTED_VALUE"""),"Listicle")</f>
        <v>Listicle</v>
      </c>
      <c r="G228" s="15" t="b">
        <f>IFERROR(__xludf.DUMMYFUNCTION("""COMPUTED_VALUE"""),FALSE)</f>
        <v>0</v>
      </c>
      <c r="H228" s="15" t="str">
        <f>IFERROR(__xludf.DUMMYFUNCTION("""COMPUTED_VALUE"""),"Monks, NoGood, Superside, Wpromote, Polaris, Jellyfish")</f>
        <v>Monks, NoGood, Superside, Wpromote, Polaris, Jellyfish</v>
      </c>
      <c r="I228" s="15">
        <f>IFERROR(__xludf.DUMMYFUNCTION("""COMPUTED_VALUE"""),4.0)</f>
        <v>4</v>
      </c>
      <c r="J228" s="15">
        <f>IFERROR(__xludf.DUMMYFUNCTION("""COMPUTED_VALUE"""),0.0)</f>
        <v>0</v>
      </c>
      <c r="K228" s="15">
        <f>IFERROR(__xludf.DUMMYFUNCTION("""COMPUTED_VALUE"""),2.5)</f>
        <v>2.5</v>
      </c>
    </row>
    <row r="229" ht="15.75" customHeight="1">
      <c r="A229" s="14" t="str">
        <f>IFERROR(__xludf.DUMMYFUNCTION("""COMPUTED_VALUE"""),"https://septemai.com/blog/top-ai-consulting-firms-companies-uk-2026")</f>
        <v>https://septemai.com/blog/top-ai-consulting-firms-companies-uk-2026</v>
      </c>
      <c r="B229" s="15" t="str">
        <f>IFERROR(__xludf.DUMMYFUNCTION("""COMPUTED_VALUE"""),"Top AI Consulting Firms &amp;amp; Companies UK 2026 | SeptemAI")</f>
        <v>Top AI Consulting Firms &amp;amp; Companies UK 2026 | SeptemAI</v>
      </c>
      <c r="C229" s="14" t="str">
        <f>IFERROR(__xludf.DUMMYFUNCTION("""COMPUTED_VALUE"""),"septemai.com")</f>
        <v>septemai.com</v>
      </c>
      <c r="D229" s="15" t="str">
        <f>IFERROR(__xludf.DUMMYFUNCTION("""COMPUTED_VALUE"""),"LISTICLE")</f>
        <v>LISTICLE</v>
      </c>
      <c r="E229" s="15" t="str">
        <f>IFERROR(__xludf.DUMMYFUNCTION("""COMPUTED_VALUE"""),"CORPORATE")</f>
        <v>CORPORATE</v>
      </c>
      <c r="F229" s="15" t="str">
        <f>IFERROR(__xludf.DUMMYFUNCTION("""COMPUTED_VALUE"""),"Listicle")</f>
        <v>Listicle</v>
      </c>
      <c r="G229" s="15" t="b">
        <f>IFERROR(__xludf.DUMMYFUNCTION("""COMPUTED_VALUE"""),FALSE)</f>
        <v>0</v>
      </c>
      <c r="H229" s="15" t="str">
        <f>IFERROR(__xludf.DUMMYFUNCTION("""COMPUTED_VALUE"""),"EY")</f>
        <v>EY</v>
      </c>
      <c r="I229" s="15">
        <f>IFERROR(__xludf.DUMMYFUNCTION("""COMPUTED_VALUE"""),4.0)</f>
        <v>4</v>
      </c>
      <c r="J229" s="15">
        <f>IFERROR(__xludf.DUMMYFUNCTION("""COMPUTED_VALUE"""),0.0)</f>
        <v>0</v>
      </c>
      <c r="K229" s="15">
        <f>IFERROR(__xludf.DUMMYFUNCTION("""COMPUTED_VALUE"""),0.0)</f>
        <v>0</v>
      </c>
    </row>
    <row r="230" ht="15.75" customHeight="1">
      <c r="A230" s="14" t="str">
        <f>IFERROR(__xludf.DUMMYFUNCTION("""COMPUTED_VALUE"""),"https://www.thesmallbizexpert.co.uk/blog/best-ai-seo-agencies-uk")</f>
        <v>https://www.thesmallbizexpert.co.uk/blog/best-ai-seo-agencies-uk</v>
      </c>
      <c r="B230" s="15" t="str">
        <f>IFERROR(__xludf.DUMMYFUNCTION("""COMPUTED_VALUE"""),"Best AI SEO Agencies UK | The Small Biz Expert")</f>
        <v>Best AI SEO Agencies UK | The Small Biz Expert</v>
      </c>
      <c r="C230" s="14" t="str">
        <f>IFERROR(__xludf.DUMMYFUNCTION("""COMPUTED_VALUE"""),"thesmallbizexpert.co.uk")</f>
        <v>thesmallbizexpert.co.uk</v>
      </c>
      <c r="D230" s="15" t="str">
        <f>IFERROR(__xludf.DUMMYFUNCTION("""COMPUTED_VALUE"""),"LISTICLE")</f>
        <v>LISTICLE</v>
      </c>
      <c r="E230" s="15" t="str">
        <f>IFERROR(__xludf.DUMMYFUNCTION("""COMPUTED_VALUE"""),"CORPORATE")</f>
        <v>CORPORATE</v>
      </c>
      <c r="F230" s="15" t="str">
        <f>IFERROR(__xludf.DUMMYFUNCTION("""COMPUTED_VALUE"""),"Listicle")</f>
        <v>Listicle</v>
      </c>
      <c r="G230" s="15" t="b">
        <f>IFERROR(__xludf.DUMMYFUNCTION("""COMPUTED_VALUE"""),FALSE)</f>
        <v>0</v>
      </c>
      <c r="H230" s="15" t="str">
        <f>IFERROR(__xludf.DUMMYFUNCTION("""COMPUTED_VALUE"""),"Found, The SEO Works, Click Intelligence, Impression, Propellernet, Rise at Seven")</f>
        <v>Found, The SEO Works, Click Intelligence, Impression, Propellernet, Rise at Seven</v>
      </c>
      <c r="I230" s="15">
        <f>IFERROR(__xludf.DUMMYFUNCTION("""COMPUTED_VALUE"""),4.0)</f>
        <v>4</v>
      </c>
      <c r="J230" s="15">
        <f>IFERROR(__xludf.DUMMYFUNCTION("""COMPUTED_VALUE"""),0.0)</f>
        <v>0</v>
      </c>
      <c r="K230" s="15">
        <f>IFERROR(__xludf.DUMMYFUNCTION("""COMPUTED_VALUE"""),0.5)</f>
        <v>0.5</v>
      </c>
    </row>
    <row r="231" ht="15.75" customHeight="1">
      <c r="A231" s="14" t="str">
        <f>IFERROR(__xludf.DUMMYFUNCTION("""COMPUTED_VALUE"""),"https://aisuperior.com/ai-consulting-companies-in-the-uk/")</f>
        <v>https://aisuperior.com/ai-consulting-companies-in-the-uk/</v>
      </c>
      <c r="B231" s="15" t="str">
        <f>IFERROR(__xludf.DUMMYFUNCTION("""COMPUTED_VALUE"""),"19 Best AI Consulting Companies in the UK (2026)")</f>
        <v>19 Best AI Consulting Companies in the UK (2026)</v>
      </c>
      <c r="C231" s="14" t="str">
        <f>IFERROR(__xludf.DUMMYFUNCTION("""COMPUTED_VALUE"""),"aisuperior.com")</f>
        <v>aisuperior.com</v>
      </c>
      <c r="D231" s="15" t="str">
        <f>IFERROR(__xludf.DUMMYFUNCTION("""COMPUTED_VALUE"""),"LISTICLE")</f>
        <v>LISTICLE</v>
      </c>
      <c r="E231" s="15" t="str">
        <f>IFERROR(__xludf.DUMMYFUNCTION("""COMPUTED_VALUE"""),"OTHER")</f>
        <v>OTHER</v>
      </c>
      <c r="F231" s="15" t="str">
        <f>IFERROR(__xludf.DUMMYFUNCTION("""COMPUTED_VALUE"""),"Listicle")</f>
        <v>Listicle</v>
      </c>
      <c r="G231" s="15" t="b">
        <f>IFERROR(__xludf.DUMMYFUNCTION("""COMPUTED_VALUE"""),FALSE)</f>
        <v>0</v>
      </c>
      <c r="H231" s="15"/>
      <c r="I231" s="15">
        <f>IFERROR(__xludf.DUMMYFUNCTION("""COMPUTED_VALUE"""),3.0)</f>
        <v>3</v>
      </c>
      <c r="J231" s="15">
        <f>IFERROR(__xludf.DUMMYFUNCTION("""COMPUTED_VALUE"""),0.0)</f>
        <v>0</v>
      </c>
      <c r="K231" s="15">
        <f>IFERROR(__xludf.DUMMYFUNCTION("""COMPUTED_VALUE"""),0.0)</f>
        <v>0</v>
      </c>
    </row>
    <row r="232" ht="15.75" customHeight="1">
      <c r="A232" s="14" t="str">
        <f>IFERROR(__xludf.DUMMYFUNCTION("""COMPUTED_VALUE"""),"https://www.b2bmarketing.net/reports/top-b2b-marketing-agencies-uk-2026/")</f>
        <v>https://www.b2bmarketing.net/reports/top-b2b-marketing-agencies-uk-2026/</v>
      </c>
      <c r="B232" s="15" t="str">
        <f>IFERROR(__xludf.DUMMYFUNCTION("""COMPUTED_VALUE"""),"Top Marketing Agencies In The UK 2026 - B2B Marketing")</f>
        <v>Top Marketing Agencies In The UK 2026 - B2B Marketing</v>
      </c>
      <c r="C232" s="14" t="str">
        <f>IFERROR(__xludf.DUMMYFUNCTION("""COMPUTED_VALUE"""),"b2bmarketing.net")</f>
        <v>b2bmarketing.net</v>
      </c>
      <c r="D232" s="15" t="str">
        <f>IFERROR(__xludf.DUMMYFUNCTION("""COMPUTED_VALUE"""),"LISTICLE")</f>
        <v>LISTICLE</v>
      </c>
      <c r="E232" s="15" t="str">
        <f>IFERROR(__xludf.DUMMYFUNCTION("""COMPUTED_VALUE"""),"INSTITUTIONAL")</f>
        <v>INSTITUTIONAL</v>
      </c>
      <c r="F232" s="15" t="str">
        <f>IFERROR(__xludf.DUMMYFUNCTION("""COMPUTED_VALUE"""),"Listicle")</f>
        <v>Listicle</v>
      </c>
      <c r="G232" s="15" t="b">
        <f>IFERROR(__xludf.DUMMYFUNCTION("""COMPUTED_VALUE"""),FALSE)</f>
        <v>0</v>
      </c>
      <c r="H232" s="15" t="str">
        <f>IFERROR(__xludf.DUMMYFUNCTION("""COMPUTED_VALUE"""),"Dentsu, Gravity Global, Transmission")</f>
        <v>Dentsu, Gravity Global, Transmission</v>
      </c>
      <c r="I232" s="15">
        <f>IFERROR(__xludf.DUMMYFUNCTION("""COMPUTED_VALUE"""),3.0)</f>
        <v>3</v>
      </c>
      <c r="J232" s="15">
        <f>IFERROR(__xludf.DUMMYFUNCTION("""COMPUTED_VALUE"""),0.0)</f>
        <v>0</v>
      </c>
      <c r="K232" s="15">
        <f>IFERROR(__xludf.DUMMYFUNCTION("""COMPUTED_VALUE"""),0.0)</f>
        <v>0</v>
      </c>
    </row>
    <row r="233" ht="15.75" customHeight="1">
      <c r="A233" s="14" t="str">
        <f>IFERROR(__xludf.DUMMYFUNCTION("""COMPUTED_VALUE"""),"https://www.bbntimes.com/companies/top-10-uk-based-ai-consulting-firms-2025")</f>
        <v>https://www.bbntimes.com/companies/top-10-uk-based-ai-consulting-firms-2025</v>
      </c>
      <c r="B233" s="15" t="str">
        <f>IFERROR(__xludf.DUMMYFUNCTION("""COMPUTED_VALUE"""),"Top 10 UK-Based AI Consulting Firms (2025)")</f>
        <v>Top 10 UK-Based AI Consulting Firms (2025)</v>
      </c>
      <c r="C233" s="14" t="str">
        <f>IFERROR(__xludf.DUMMYFUNCTION("""COMPUTED_VALUE"""),"bbntimes.com")</f>
        <v>bbntimes.com</v>
      </c>
      <c r="D233" s="15" t="str">
        <f>IFERROR(__xludf.DUMMYFUNCTION("""COMPUTED_VALUE"""),"LISTICLE")</f>
        <v>LISTICLE</v>
      </c>
      <c r="E233" s="15" t="str">
        <f>IFERROR(__xludf.DUMMYFUNCTION("""COMPUTED_VALUE"""),"EDITORIAL")</f>
        <v>EDITORIAL</v>
      </c>
      <c r="F233" s="15" t="str">
        <f>IFERROR(__xludf.DUMMYFUNCTION("""COMPUTED_VALUE"""),"Listicle")</f>
        <v>Listicle</v>
      </c>
      <c r="G233" s="15" t="b">
        <f>IFERROR(__xludf.DUMMYFUNCTION("""COMPUTED_VALUE"""),FALSE)</f>
        <v>0</v>
      </c>
      <c r="H233" s="15" t="str">
        <f>IFERROR(__xludf.DUMMYFUNCTION("""COMPUTED_VALUE"""),"QuantumBlack, EY, Found")</f>
        <v>QuantumBlack, EY, Found</v>
      </c>
      <c r="I233" s="15">
        <f>IFERROR(__xludf.DUMMYFUNCTION("""COMPUTED_VALUE"""),3.0)</f>
        <v>3</v>
      </c>
      <c r="J233" s="15">
        <f>IFERROR(__xludf.DUMMYFUNCTION("""COMPUTED_VALUE"""),0.0)</f>
        <v>0</v>
      </c>
      <c r="K233" s="15">
        <f>IFERROR(__xludf.DUMMYFUNCTION("""COMPUTED_VALUE"""),0.0)</f>
        <v>0</v>
      </c>
    </row>
    <row r="234" ht="15.75" customHeight="1">
      <c r="A234" s="14" t="str">
        <f>IFERROR(__xludf.DUMMYFUNCTION("""COMPUTED_VALUE"""),"https://blog.tenaciousmarketing.co.uk/top-15-best-geo-agencies-in-the-uk-2026")</f>
        <v>https://blog.tenaciousmarketing.co.uk/top-15-best-geo-agencies-in-the-uk-2026</v>
      </c>
      <c r="B234" s="15" t="str">
        <f>IFERROR(__xludf.DUMMYFUNCTION("""COMPUTED_VALUE"""),"Top 15 GEO Agencies in the UK for 2026 |AI Search Visibility")</f>
        <v>Top 15 GEO Agencies in the UK for 2026 |AI Search Visibility</v>
      </c>
      <c r="C234" s="14" t="str">
        <f>IFERROR(__xludf.DUMMYFUNCTION("""COMPUTED_VALUE"""),"tenaciousmarketing.co.uk")</f>
        <v>tenaciousmarketing.co.uk</v>
      </c>
      <c r="D234" s="15" t="str">
        <f>IFERROR(__xludf.DUMMYFUNCTION("""COMPUTED_VALUE"""),"LISTICLE")</f>
        <v>LISTICLE</v>
      </c>
      <c r="E234" s="15" t="str">
        <f>IFERROR(__xludf.DUMMYFUNCTION("""COMPUTED_VALUE"""),"CORPORATE")</f>
        <v>CORPORATE</v>
      </c>
      <c r="F234" s="15" t="str">
        <f>IFERROR(__xludf.DUMMYFUNCTION("""COMPUTED_VALUE"""),"Listicle")</f>
        <v>Listicle</v>
      </c>
      <c r="G234" s="15" t="b">
        <f>IFERROR(__xludf.DUMMYFUNCTION("""COMPUTED_VALUE"""),FALSE)</f>
        <v>0</v>
      </c>
      <c r="H234" s="15" t="str">
        <f>IFERROR(__xludf.DUMMYFUNCTION("""COMPUTED_VALUE"""),"Measured, Charle Agency, Blue Array, The SEO Works, Impression, Digital Landscope, Rise at Seven, Propellernet, Builtvisible, Hallam, Journey Further, Found")</f>
        <v>Measured, Charle Agency, Blue Array, The SEO Works, Impression, Digital Landscope, Rise at Seven, Propellernet, Builtvisible, Hallam, Journey Further, Found</v>
      </c>
      <c r="I234" s="15">
        <f>IFERROR(__xludf.DUMMYFUNCTION("""COMPUTED_VALUE"""),3.0)</f>
        <v>3</v>
      </c>
      <c r="J234" s="15">
        <f>IFERROR(__xludf.DUMMYFUNCTION("""COMPUTED_VALUE"""),0.0)</f>
        <v>0</v>
      </c>
      <c r="K234" s="15">
        <f>IFERROR(__xludf.DUMMYFUNCTION("""COMPUTED_VALUE"""),0.67)</f>
        <v>0.67</v>
      </c>
    </row>
    <row r="235" ht="15.75" customHeight="1">
      <c r="A235" s="14" t="str">
        <f>IFERROR(__xludf.DUMMYFUNCTION("""COMPUTED_VALUE"""),"https://builtinlondon.uk/articles/advertising-companies-london#:~:text=Adam%26EveDDB%2C%20founded%20in%202008%2C%20is,campaigns%20for%20John%20Lewis%20%26%20Partners.")</f>
        <v>https://builtinlondon.uk/articles/advertising-companies-london#:~:text=Adam%26EveDDB%2C%20founded%20in%202008%2C%20is,campaigns%20for%20John%20Lewis%20%26%20Partners.</v>
      </c>
      <c r="B235" s="15" t="str">
        <f>IFERROR(__xludf.DUMMYFUNCTION("""COMPUTED_VALUE"""),"20 Advertising Companies in London to Know | Built In London")</f>
        <v>20 Advertising Companies in London to Know | Built In London</v>
      </c>
      <c r="C235" s="14" t="str">
        <f>IFERROR(__xludf.DUMMYFUNCTION("""COMPUTED_VALUE"""),"builtinlondon.uk")</f>
        <v>builtinlondon.uk</v>
      </c>
      <c r="D235" s="15" t="str">
        <f>IFERROR(__xludf.DUMMYFUNCTION("""COMPUTED_VALUE"""),"LISTICLE")</f>
        <v>LISTICLE</v>
      </c>
      <c r="E235" s="15" t="str">
        <f>IFERROR(__xludf.DUMMYFUNCTION("""COMPUTED_VALUE"""),"UGC")</f>
        <v>UGC</v>
      </c>
      <c r="F235" s="15" t="str">
        <f>IFERROR(__xludf.DUMMYFUNCTION("""COMPUTED_VALUE"""),"Listicle")</f>
        <v>Listicle</v>
      </c>
      <c r="G235" s="15" t="b">
        <f>IFERROR(__xludf.DUMMYFUNCTION("""COMPUTED_VALUE"""),FALSE)</f>
        <v>0</v>
      </c>
      <c r="H235" s="15" t="str">
        <f>IFERROR(__xludf.DUMMYFUNCTION("""COMPUTED_VALUE"""),"Adam&amp;eveDDB, Mother London")</f>
        <v>Adam&amp;eveDDB, Mother London</v>
      </c>
      <c r="I235" s="15">
        <f>IFERROR(__xludf.DUMMYFUNCTION("""COMPUTED_VALUE"""),3.0)</f>
        <v>3</v>
      </c>
      <c r="J235" s="15">
        <f>IFERROR(__xludf.DUMMYFUNCTION("""COMPUTED_VALUE"""),0.0)</f>
        <v>0</v>
      </c>
      <c r="K235" s="15">
        <f>IFERROR(__xludf.DUMMYFUNCTION("""COMPUTED_VALUE"""),1.67)</f>
        <v>1.67</v>
      </c>
    </row>
    <row r="236" ht="15.75" customHeight="1">
      <c r="A236" s="14" t="str">
        <f>IFERROR(__xludf.DUMMYFUNCTION("""COMPUTED_VALUE"""),"https://carlosalbamedia.co.uk/best-marketing-agency-uk/")</f>
        <v>https://carlosalbamedia.co.uk/best-marketing-agency-uk/</v>
      </c>
      <c r="B236" s="15" t="str">
        <f>IFERROR(__xludf.DUMMYFUNCTION("""COMPUTED_VALUE"""),"7 Best Marketing Agency UK Picks for 2026 – Carlos Alba Media")</f>
        <v>7 Best Marketing Agency UK Picks for 2026 – Carlos Alba Media</v>
      </c>
      <c r="C236" s="14" t="str">
        <f>IFERROR(__xludf.DUMMYFUNCTION("""COMPUTED_VALUE"""),"carlosalbamedia.co.uk")</f>
        <v>carlosalbamedia.co.uk</v>
      </c>
      <c r="D236" s="15" t="str">
        <f>IFERROR(__xludf.DUMMYFUNCTION("""COMPUTED_VALUE"""),"LISTICLE")</f>
        <v>LISTICLE</v>
      </c>
      <c r="E236" s="15" t="str">
        <f>IFERROR(__xludf.DUMMYFUNCTION("""COMPUTED_VALUE"""),"CORPORATE")</f>
        <v>CORPORATE</v>
      </c>
      <c r="F236" s="15" t="str">
        <f>IFERROR(__xludf.DUMMYFUNCTION("""COMPUTED_VALUE"""),"Listicle")</f>
        <v>Listicle</v>
      </c>
      <c r="G236" s="15" t="b">
        <f>IFERROR(__xludf.DUMMYFUNCTION("""COMPUTED_VALUE"""),FALSE)</f>
        <v>0</v>
      </c>
      <c r="H236" s="15" t="str">
        <f>IFERROR(__xludf.DUMMYFUNCTION("""COMPUTED_VALUE"""),"Jellyfish, Brainlabs, VCCP, Mother London, AMV BBDO, Impression, Rise at Seven, Momentum")</f>
        <v>Jellyfish, Brainlabs, VCCP, Mother London, AMV BBDO, Impression, Rise at Seven, Momentum</v>
      </c>
      <c r="I236" s="15">
        <f>IFERROR(__xludf.DUMMYFUNCTION("""COMPUTED_VALUE"""),3.0)</f>
        <v>3</v>
      </c>
      <c r="J236" s="15">
        <f>IFERROR(__xludf.DUMMYFUNCTION("""COMPUTED_VALUE"""),0.0)</f>
        <v>0</v>
      </c>
      <c r="K236" s="15">
        <f>IFERROR(__xludf.DUMMYFUNCTION("""COMPUTED_VALUE"""),1.0)</f>
        <v>1</v>
      </c>
    </row>
    <row r="237" ht="15.75" customHeight="1">
      <c r="A237" s="14" t="str">
        <f>IFERROR(__xludf.DUMMYFUNCTION("""COMPUTED_VALUE"""),"https://carmatec.co.uk/blog/top-10-ai-consultancies-in-the-uk/")</f>
        <v>https://carmatec.co.uk/blog/top-10-ai-consultancies-in-the-uk/</v>
      </c>
      <c r="B237" s="15" t="str">
        <f>IFERROR(__xludf.DUMMYFUNCTION("""COMPUTED_VALUE"""),"Top 10 AI Consultancies in the UK (2026) - Carmatec Digital UK")</f>
        <v>Top 10 AI Consultancies in the UK (2026) - Carmatec Digital UK</v>
      </c>
      <c r="C237" s="14" t="str">
        <f>IFERROR(__xludf.DUMMYFUNCTION("""COMPUTED_VALUE"""),"carmatec.co.uk")</f>
        <v>carmatec.co.uk</v>
      </c>
      <c r="D237" s="15" t="str">
        <f>IFERROR(__xludf.DUMMYFUNCTION("""COMPUTED_VALUE"""),"LISTICLE")</f>
        <v>LISTICLE</v>
      </c>
      <c r="E237" s="15" t="str">
        <f>IFERROR(__xludf.DUMMYFUNCTION("""COMPUTED_VALUE"""),"CORPORATE")</f>
        <v>CORPORATE</v>
      </c>
      <c r="F237" s="15" t="str">
        <f>IFERROR(__xludf.DUMMYFUNCTION("""COMPUTED_VALUE"""),"Listicle")</f>
        <v>Listicle</v>
      </c>
      <c r="G237" s="15" t="b">
        <f>IFERROR(__xludf.DUMMYFUNCTION("""COMPUTED_VALUE"""),FALSE)</f>
        <v>0</v>
      </c>
      <c r="H237" s="15" t="str">
        <f>IFERROR(__xludf.DUMMYFUNCTION("""COMPUTED_VALUE"""),"WPP, Transmission")</f>
        <v>WPP, Transmission</v>
      </c>
      <c r="I237" s="15">
        <f>IFERROR(__xludf.DUMMYFUNCTION("""COMPUTED_VALUE"""),3.0)</f>
        <v>3</v>
      </c>
      <c r="J237" s="15">
        <f>IFERROR(__xludf.DUMMYFUNCTION("""COMPUTED_VALUE"""),0.0)</f>
        <v>0</v>
      </c>
      <c r="K237" s="15">
        <f>IFERROR(__xludf.DUMMYFUNCTION("""COMPUTED_VALUE"""),0.67)</f>
        <v>0.67</v>
      </c>
    </row>
    <row r="238" ht="15.75" customHeight="1">
      <c r="A238" s="14" t="str">
        <f>IFERROR(__xludf.DUMMYFUNCTION("""COMPUTED_VALUE"""),"https://www.clickslice.co.uk/best-social-media-agencies-uk/")</f>
        <v>https://www.clickslice.co.uk/best-social-media-agencies-uk/</v>
      </c>
      <c r="B238" s="15" t="str">
        <f>IFERROR(__xludf.DUMMYFUNCTION("""COMPUTED_VALUE"""),"10 Best Social Media Agencies in the UK (2026 Review)")</f>
        <v>10 Best Social Media Agencies in the UK (2026 Review)</v>
      </c>
      <c r="C238" s="14" t="str">
        <f>IFERROR(__xludf.DUMMYFUNCTION("""COMPUTED_VALUE"""),"clickslice.co.uk")</f>
        <v>clickslice.co.uk</v>
      </c>
      <c r="D238" s="15" t="str">
        <f>IFERROR(__xludf.DUMMYFUNCTION("""COMPUTED_VALUE"""),"LISTICLE")</f>
        <v>LISTICLE</v>
      </c>
      <c r="E238" s="15" t="str">
        <f>IFERROR(__xludf.DUMMYFUNCTION("""COMPUTED_VALUE"""),"COMPETITOR")</f>
        <v>COMPETITOR</v>
      </c>
      <c r="F238" s="15" t="str">
        <f>IFERROR(__xludf.DUMMYFUNCTION("""COMPUTED_VALUE"""),"Listicle")</f>
        <v>Listicle</v>
      </c>
      <c r="G238" s="15" t="b">
        <f>IFERROR(__xludf.DUMMYFUNCTION("""COMPUTED_VALUE"""),FALSE)</f>
        <v>0</v>
      </c>
      <c r="H238" s="15" t="str">
        <f>IFERROR(__xludf.DUMMYFUNCTION("""COMPUTED_VALUE"""),"ClickSlice, The Social Shepherd, Propeller")</f>
        <v>ClickSlice, The Social Shepherd, Propeller</v>
      </c>
      <c r="I238" s="15">
        <f>IFERROR(__xludf.DUMMYFUNCTION("""COMPUTED_VALUE"""),3.0)</f>
        <v>3</v>
      </c>
      <c r="J238" s="15">
        <f>IFERROR(__xludf.DUMMYFUNCTION("""COMPUTED_VALUE"""),0.0)</f>
        <v>0</v>
      </c>
      <c r="K238" s="15">
        <f>IFERROR(__xludf.DUMMYFUNCTION("""COMPUTED_VALUE"""),0.0)</f>
        <v>0</v>
      </c>
    </row>
    <row r="239" ht="15.75" customHeight="1">
      <c r="A239" s="14" t="str">
        <f>IFERROR(__xludf.DUMMYFUNCTION("""COMPUTED_VALUE"""),"https://www.clickslice.co.uk/top-geo-agencies-uk/")</f>
        <v>https://www.clickslice.co.uk/top-geo-agencies-uk/</v>
      </c>
      <c r="B239" s="15" t="str">
        <f>IFERROR(__xludf.DUMMYFUNCTION("""COMPUTED_VALUE"""),"Top 10 GEO Agencies UK (2026 Review)")</f>
        <v>Top 10 GEO Agencies UK (2026 Review)</v>
      </c>
      <c r="C239" s="14" t="str">
        <f>IFERROR(__xludf.DUMMYFUNCTION("""COMPUTED_VALUE"""),"clickslice.co.uk")</f>
        <v>clickslice.co.uk</v>
      </c>
      <c r="D239" s="15" t="str">
        <f>IFERROR(__xludf.DUMMYFUNCTION("""COMPUTED_VALUE"""),"LISTICLE")</f>
        <v>LISTICLE</v>
      </c>
      <c r="E239" s="15" t="str">
        <f>IFERROR(__xludf.DUMMYFUNCTION("""COMPUTED_VALUE"""),"COMPETITOR")</f>
        <v>COMPETITOR</v>
      </c>
      <c r="F239" s="15" t="str">
        <f>IFERROR(__xludf.DUMMYFUNCTION("""COMPUTED_VALUE"""),"Listicle")</f>
        <v>Listicle</v>
      </c>
      <c r="G239" s="15" t="b">
        <f>IFERROR(__xludf.DUMMYFUNCTION("""COMPUTED_VALUE"""),FALSE)</f>
        <v>0</v>
      </c>
      <c r="H239" s="15" t="str">
        <f>IFERROR(__xludf.DUMMYFUNCTION("""COMPUTED_VALUE"""),"ClickSlice, Exposure Ninja, Propellernet, Builtvisible, Bird Marketing")</f>
        <v>ClickSlice, Exposure Ninja, Propellernet, Builtvisible, Bird Marketing</v>
      </c>
      <c r="I239" s="15">
        <f>IFERROR(__xludf.DUMMYFUNCTION("""COMPUTED_VALUE"""),3.0)</f>
        <v>3</v>
      </c>
      <c r="J239" s="15">
        <f>IFERROR(__xludf.DUMMYFUNCTION("""COMPUTED_VALUE"""),0.0)</f>
        <v>0</v>
      </c>
      <c r="K239" s="15">
        <f>IFERROR(__xludf.DUMMYFUNCTION("""COMPUTED_VALUE"""),2.33)</f>
        <v>2.33</v>
      </c>
    </row>
    <row r="240" ht="15.75" customHeight="1">
      <c r="A240" s="14" t="str">
        <f>IFERROR(__xludf.DUMMYFUNCTION("""COMPUTED_VALUE"""),"https://www.cognitute.org/blogs/top-ai-strategy-consulting-firms-globally")</f>
        <v>https://www.cognitute.org/blogs/top-ai-strategy-consulting-firms-globally</v>
      </c>
      <c r="B240" s="15" t="str">
        <f>IFERROR(__xludf.DUMMYFUNCTION("""COMPUTED_VALUE"""),"Top AI Strategy Consulting Firms Globally for Enterprise Transformation | 2026")</f>
        <v>Top AI Strategy Consulting Firms Globally for Enterprise Transformation | 2026</v>
      </c>
      <c r="C240" s="14" t="str">
        <f>IFERROR(__xludf.DUMMYFUNCTION("""COMPUTED_VALUE"""),"cognitute.org")</f>
        <v>cognitute.org</v>
      </c>
      <c r="D240" s="15" t="str">
        <f>IFERROR(__xludf.DUMMYFUNCTION("""COMPUTED_VALUE"""),"LISTICLE")</f>
        <v>LISTICLE</v>
      </c>
      <c r="E240" s="15" t="str">
        <f>IFERROR(__xludf.DUMMYFUNCTION("""COMPUTED_VALUE"""),"INSTITUTIONAL")</f>
        <v>INSTITUTIONAL</v>
      </c>
      <c r="F240" s="15" t="str">
        <f>IFERROR(__xludf.DUMMYFUNCTION("""COMPUTED_VALUE"""),"Listicle")</f>
        <v>Listicle</v>
      </c>
      <c r="G240" s="15" t="b">
        <f>IFERROR(__xludf.DUMMYFUNCTION("""COMPUTED_VALUE"""),FALSE)</f>
        <v>0</v>
      </c>
      <c r="H240" s="15" t="str">
        <f>IFERROR(__xludf.DUMMYFUNCTION("""COMPUTED_VALUE"""),"Found, QuantumBlack, EY, PwC, Disrupt Marketing")</f>
        <v>Found, QuantumBlack, EY, PwC, Disrupt Marketing</v>
      </c>
      <c r="I240" s="15">
        <f>IFERROR(__xludf.DUMMYFUNCTION("""COMPUTED_VALUE"""),3.0)</f>
        <v>3</v>
      </c>
      <c r="J240" s="15">
        <f>IFERROR(__xludf.DUMMYFUNCTION("""COMPUTED_VALUE"""),0.0)</f>
        <v>0</v>
      </c>
      <c r="K240" s="15">
        <f>IFERROR(__xludf.DUMMYFUNCTION("""COMPUTED_VALUE"""),0.0)</f>
        <v>0</v>
      </c>
    </row>
    <row r="241" ht="15.75" customHeight="1">
      <c r="A241" s="14" t="str">
        <f>IFERROR(__xludf.DUMMYFUNCTION("""COMPUTED_VALUE"""),"https://growth-labs.co.uk/best-uk-digital-marketing-agencies-2026/")</f>
        <v>https://growth-labs.co.uk/best-uk-digital-marketing-agencies-2026/</v>
      </c>
      <c r="B241" s="15" t="str">
        <f>IFERROR(__xludf.DUMMYFUNCTION("""COMPUTED_VALUE"""),"Best UK Digital Marketing Agencies 2026 | Growthlabs")</f>
        <v>Best UK Digital Marketing Agencies 2026 | Growthlabs</v>
      </c>
      <c r="C241" s="14" t="str">
        <f>IFERROR(__xludf.DUMMYFUNCTION("""COMPUTED_VALUE"""),"growth-labs.co.uk")</f>
        <v>growth-labs.co.uk</v>
      </c>
      <c r="D241" s="15" t="str">
        <f>IFERROR(__xludf.DUMMYFUNCTION("""COMPUTED_VALUE"""),"LISTICLE")</f>
        <v>LISTICLE</v>
      </c>
      <c r="E241" s="15" t="str">
        <f>IFERROR(__xludf.DUMMYFUNCTION("""COMPUTED_VALUE"""),"CORPORATE")</f>
        <v>CORPORATE</v>
      </c>
      <c r="F241" s="15" t="str">
        <f>IFERROR(__xludf.DUMMYFUNCTION("""COMPUTED_VALUE"""),"Listicle")</f>
        <v>Listicle</v>
      </c>
      <c r="G241" s="15" t="b">
        <f>IFERROR(__xludf.DUMMYFUNCTION("""COMPUTED_VALUE"""),FALSE)</f>
        <v>0</v>
      </c>
      <c r="H241" s="15" t="str">
        <f>IFERROR(__xludf.DUMMYFUNCTION("""COMPUTED_VALUE"""),"Hallam, Momentum, Impression, ROAST, Push, Brainlabs, M3.agency, Rise at Seven, Found, The SEO Works")</f>
        <v>Hallam, Momentum, Impression, ROAST, Push, Brainlabs, M3.agency, Rise at Seven, Found, The SEO Works</v>
      </c>
      <c r="I241" s="15">
        <f>IFERROR(__xludf.DUMMYFUNCTION("""COMPUTED_VALUE"""),3.0)</f>
        <v>3</v>
      </c>
      <c r="J241" s="15">
        <f>IFERROR(__xludf.DUMMYFUNCTION("""COMPUTED_VALUE"""),0.0)</f>
        <v>0</v>
      </c>
      <c r="K241" s="15">
        <f>IFERROR(__xludf.DUMMYFUNCTION("""COMPUTED_VALUE"""),1.0)</f>
        <v>1</v>
      </c>
    </row>
    <row r="242" ht="15.75" customHeight="1">
      <c r="A242" s="14" t="str">
        <f>IFERROR(__xludf.DUMMYFUNCTION("""COMPUTED_VALUE"""),"https://indexly.ai/blog/top-10-seo-agencies-in-london/")</f>
        <v>https://indexly.ai/blog/top-10-seo-agencies-in-london/</v>
      </c>
      <c r="B242" s="15" t="str">
        <f>IFERROR(__xludf.DUMMYFUNCTION("""COMPUTED_VALUE"""),"10 Best SEO Agencies in London (2026 Pricing, Reviews &amp; Services)")</f>
        <v>10 Best SEO Agencies in London (2026 Pricing, Reviews &amp; Services)</v>
      </c>
      <c r="C242" s="14" t="str">
        <f>IFERROR(__xludf.DUMMYFUNCTION("""COMPUTED_VALUE"""),"indexly.ai")</f>
        <v>indexly.ai</v>
      </c>
      <c r="D242" s="15" t="str">
        <f>IFERROR(__xludf.DUMMYFUNCTION("""COMPUTED_VALUE"""),"LISTICLE")</f>
        <v>LISTICLE</v>
      </c>
      <c r="E242" s="15" t="str">
        <f>IFERROR(__xludf.DUMMYFUNCTION("""COMPUTED_VALUE"""),"CORPORATE")</f>
        <v>CORPORATE</v>
      </c>
      <c r="F242" s="15" t="str">
        <f>IFERROR(__xludf.DUMMYFUNCTION("""COMPUTED_VALUE"""),"Listicle")</f>
        <v>Listicle</v>
      </c>
      <c r="G242" s="15" t="b">
        <f>IFERROR(__xludf.DUMMYFUNCTION("""COMPUTED_VALUE"""),FALSE)</f>
        <v>0</v>
      </c>
      <c r="H242" s="15" t="str">
        <f>IFERROR(__xludf.DUMMYFUNCTION("""COMPUTED_VALUE"""),"Directive Consulting, Impression, Found, ClickSlice, Bird Marketing, Dentsu, The SEO Works, Croud, The Good Marketer")</f>
        <v>Directive Consulting, Impression, Found, ClickSlice, Bird Marketing, Dentsu, The SEO Works, Croud, The Good Marketer</v>
      </c>
      <c r="I242" s="15">
        <f>IFERROR(__xludf.DUMMYFUNCTION("""COMPUTED_VALUE"""),3.0)</f>
        <v>3</v>
      </c>
      <c r="J242" s="15">
        <f>IFERROR(__xludf.DUMMYFUNCTION("""COMPUTED_VALUE"""),0.0)</f>
        <v>0</v>
      </c>
      <c r="K242" s="15">
        <f>IFERROR(__xludf.DUMMYFUNCTION("""COMPUTED_VALUE"""),0.67)</f>
        <v>0.67</v>
      </c>
    </row>
    <row r="243" ht="15.75" customHeight="1">
      <c r="A243" s="14" t="str">
        <f>IFERROR(__xludf.DUMMYFUNCTION("""COMPUTED_VALUE"""),"https://www.jdrgroup.co.uk/blog/best-ppc-agency-uk")</f>
        <v>https://www.jdrgroup.co.uk/blog/best-ppc-agency-uk</v>
      </c>
      <c r="B243" s="15" t="str">
        <f>IFERROR(__xludf.DUMMYFUNCTION("""COMPUTED_VALUE"""),"12 Of The Best PPC &amp;amp; Google Ads Agencies In The UK - JDR Group")</f>
        <v>12 Of The Best PPC &amp;amp; Google Ads Agencies In The UK - JDR Group</v>
      </c>
      <c r="C243" s="14" t="str">
        <f>IFERROR(__xludf.DUMMYFUNCTION("""COMPUTED_VALUE"""),"jdrgroup.co.uk")</f>
        <v>jdrgroup.co.uk</v>
      </c>
      <c r="D243" s="15" t="str">
        <f>IFERROR(__xludf.DUMMYFUNCTION("""COMPUTED_VALUE"""),"LISTICLE")</f>
        <v>LISTICLE</v>
      </c>
      <c r="E243" s="15" t="str">
        <f>IFERROR(__xludf.DUMMYFUNCTION("""COMPUTED_VALUE"""),"CORPORATE")</f>
        <v>CORPORATE</v>
      </c>
      <c r="F243" s="15" t="str">
        <f>IFERROR(__xludf.DUMMYFUNCTION("""COMPUTED_VALUE"""),"Listicle")</f>
        <v>Listicle</v>
      </c>
      <c r="G243" s="15" t="b">
        <f>IFERROR(__xludf.DUMMYFUNCTION("""COMPUTED_VALUE"""),FALSE)</f>
        <v>0</v>
      </c>
      <c r="H243" s="15" t="str">
        <f>IFERROR(__xludf.DUMMYFUNCTION("""COMPUTED_VALUE"""),"Huge, Momentum, Found, Measured, Push, Push Group, PPC Geeks, Impression, Soap Media")</f>
        <v>Huge, Momentum, Found, Measured, Push, Push Group, PPC Geeks, Impression, Soap Media</v>
      </c>
      <c r="I243" s="15">
        <f>IFERROR(__xludf.DUMMYFUNCTION("""COMPUTED_VALUE"""),3.0)</f>
        <v>3</v>
      </c>
      <c r="J243" s="15">
        <f>IFERROR(__xludf.DUMMYFUNCTION("""COMPUTED_VALUE"""),0.0)</f>
        <v>0</v>
      </c>
      <c r="K243" s="15">
        <f>IFERROR(__xludf.DUMMYFUNCTION("""COMPUTED_VALUE"""),1.0)</f>
        <v>1</v>
      </c>
    </row>
    <row r="244" ht="15.75" customHeight="1">
      <c r="A244" s="14" t="str">
        <f>IFERROR(__xludf.DUMMYFUNCTION("""COMPUTED_VALUE"""),"https://www.modernmarketingpartners.com/2026/05/06/7-recommended-aeo-geo-agencies-for-ecommerce-brands/")</f>
        <v>https://www.modernmarketingpartners.com/2026/05/06/7-recommended-aeo-geo-agencies-for-ecommerce-brands/</v>
      </c>
      <c r="B244" s="15" t="str">
        <f>IFERROR(__xludf.DUMMYFUNCTION("""COMPUTED_VALUE"""),"7 Recommended AEO &amp;amp; GEO Agencies for eCommerce Brands | Modern Marketing Partners")</f>
        <v>7 Recommended AEO &amp;amp; GEO Agencies for eCommerce Brands | Modern Marketing Partners</v>
      </c>
      <c r="C244" s="14" t="str">
        <f>IFERROR(__xludf.DUMMYFUNCTION("""COMPUTED_VALUE"""),"modernmarketingpartners.com")</f>
        <v>modernmarketingpartners.com</v>
      </c>
      <c r="D244" s="15" t="str">
        <f>IFERROR(__xludf.DUMMYFUNCTION("""COMPUTED_VALUE"""),"LISTICLE")</f>
        <v>LISTICLE</v>
      </c>
      <c r="E244" s="15" t="str">
        <f>IFERROR(__xludf.DUMMYFUNCTION("""COMPUTED_VALUE"""),"CORPORATE")</f>
        <v>CORPORATE</v>
      </c>
      <c r="F244" s="15" t="str">
        <f>IFERROR(__xludf.DUMMYFUNCTION("""COMPUTED_VALUE"""),"Listicle")</f>
        <v>Listicle</v>
      </c>
      <c r="G244" s="15" t="b">
        <f>IFERROR(__xludf.DUMMYFUNCTION("""COMPUTED_VALUE"""),FALSE)</f>
        <v>0</v>
      </c>
      <c r="H244" s="15" t="str">
        <f>IFERROR(__xludf.DUMMYFUNCTION("""COMPUTED_VALUE"""),"ClickSlice, Click Intelligence, Found")</f>
        <v>ClickSlice, Click Intelligence, Found</v>
      </c>
      <c r="I244" s="15">
        <f>IFERROR(__xludf.DUMMYFUNCTION("""COMPUTED_VALUE"""),3.0)</f>
        <v>3</v>
      </c>
      <c r="J244" s="15">
        <f>IFERROR(__xludf.DUMMYFUNCTION("""COMPUTED_VALUE"""),0.0)</f>
        <v>0</v>
      </c>
      <c r="K244" s="15">
        <f>IFERROR(__xludf.DUMMYFUNCTION("""COMPUTED_VALUE"""),0.0)</f>
        <v>0</v>
      </c>
    </row>
    <row r="245" ht="15.75" customHeight="1">
      <c r="A245" s="14" t="str">
        <f>IFERROR(__xludf.DUMMYFUNCTION("""COMPUTED_VALUE"""),"https://www.munro.agency/best-ai-seo-agencies-in-the-uk/")</f>
        <v>https://www.munro.agency/best-ai-seo-agencies-in-the-uk/</v>
      </c>
      <c r="B245" s="15" t="str">
        <f>IFERROR(__xludf.DUMMYFUNCTION("""COMPUTED_VALUE"""),"20 Best AI SEO Agencies in the UK")</f>
        <v>20 Best AI SEO Agencies in the UK</v>
      </c>
      <c r="C245" s="15" t="str">
        <f>IFERROR(__xludf.DUMMYFUNCTION("""COMPUTED_VALUE"""),"munro.agency")</f>
        <v>munro.agency</v>
      </c>
      <c r="D245" s="15" t="str">
        <f>IFERROR(__xludf.DUMMYFUNCTION("""COMPUTED_VALUE"""),"LISTICLE")</f>
        <v>LISTICLE</v>
      </c>
      <c r="E245" s="15" t="str">
        <f>IFERROR(__xludf.DUMMYFUNCTION("""COMPUTED_VALUE"""),"CORPORATE")</f>
        <v>CORPORATE</v>
      </c>
      <c r="F245" s="15" t="str">
        <f>IFERROR(__xludf.DUMMYFUNCTION("""COMPUTED_VALUE"""),"Listicle")</f>
        <v>Listicle</v>
      </c>
      <c r="G245" s="15" t="b">
        <f>IFERROR(__xludf.DUMMYFUNCTION("""COMPUTED_VALUE"""),FALSE)</f>
        <v>0</v>
      </c>
      <c r="H245" s="15" t="str">
        <f>IFERROR(__xludf.DUMMYFUNCTION("""COMPUTED_VALUE"""),"Found, Blue Array, Varn, Click Intelligence, Momentum, Bird Marketing, Exposure Ninja, Builtvisible, Genie Crawl, Passion Digital, Koozai")</f>
        <v>Found, Blue Array, Varn, Click Intelligence, Momentum, Bird Marketing, Exposure Ninja, Builtvisible, Genie Crawl, Passion Digital, Koozai</v>
      </c>
      <c r="I245" s="15">
        <f>IFERROR(__xludf.DUMMYFUNCTION("""COMPUTED_VALUE"""),3.0)</f>
        <v>3</v>
      </c>
      <c r="J245" s="15">
        <f>IFERROR(__xludf.DUMMYFUNCTION("""COMPUTED_VALUE"""),0.0)</f>
        <v>0</v>
      </c>
      <c r="K245" s="15">
        <f>IFERROR(__xludf.DUMMYFUNCTION("""COMPUTED_VALUE"""),0.0)</f>
        <v>0</v>
      </c>
    </row>
    <row r="246" ht="15.75" customHeight="1">
      <c r="A246" s="14" t="str">
        <f>IFERROR(__xludf.DUMMYFUNCTION("""COMPUTED_VALUE"""),"https://onelittleweb.com/top-agencies/top-performance-marketing-agencies/")</f>
        <v>https://onelittleweb.com/top-agencies/top-performance-marketing-agencies/</v>
      </c>
      <c r="B246" s="15" t="str">
        <f>IFERROR(__xludf.DUMMYFUNCTION("""COMPUTED_VALUE"""),"Top Performance Marketing Agencies 2026 – Ranked &amp;amp; Reviewed")</f>
        <v>Top Performance Marketing Agencies 2026 – Ranked &amp;amp; Reviewed</v>
      </c>
      <c r="C246" s="14" t="str">
        <f>IFERROR(__xludf.DUMMYFUNCTION("""COMPUTED_VALUE"""),"onelittleweb.com")</f>
        <v>onelittleweb.com</v>
      </c>
      <c r="D246" s="15" t="str">
        <f>IFERROR(__xludf.DUMMYFUNCTION("""COMPUTED_VALUE"""),"LISTICLE")</f>
        <v>LISTICLE</v>
      </c>
      <c r="E246" s="15" t="str">
        <f>IFERROR(__xludf.DUMMYFUNCTION("""COMPUTED_VALUE"""),"CORPORATE")</f>
        <v>CORPORATE</v>
      </c>
      <c r="F246" s="15" t="str">
        <f>IFERROR(__xludf.DUMMYFUNCTION("""COMPUTED_VALUE"""),"Listicle")</f>
        <v>Listicle</v>
      </c>
      <c r="G246" s="15" t="b">
        <f>IFERROR(__xludf.DUMMYFUNCTION("""COMPUTED_VALUE"""),FALSE)</f>
        <v>0</v>
      </c>
      <c r="H246" s="15" t="str">
        <f>IFERROR(__xludf.DUMMYFUNCTION("""COMPUTED_VALUE"""),"Impression, WebFX, Disruptive Advertising, Dept, ClickSlice, Found")</f>
        <v>Impression, WebFX, Disruptive Advertising, Dept, ClickSlice, Found</v>
      </c>
      <c r="I246" s="15">
        <f>IFERROR(__xludf.DUMMYFUNCTION("""COMPUTED_VALUE"""),3.0)</f>
        <v>3</v>
      </c>
      <c r="J246" s="15">
        <f>IFERROR(__xludf.DUMMYFUNCTION("""COMPUTED_VALUE"""),0.0)</f>
        <v>0</v>
      </c>
      <c r="K246" s="15">
        <f>IFERROR(__xludf.DUMMYFUNCTION("""COMPUTED_VALUE"""),0.67)</f>
        <v>0.67</v>
      </c>
    </row>
    <row r="247" ht="15.75" customHeight="1">
      <c r="A247" s="14" t="str">
        <f>IFERROR(__xludf.DUMMYFUNCTION("""COMPUTED_VALUE"""),"https://oxdpr.com/creative-strategy-agencies/#:~:text=strategy%20agencies%20worldwide.-,Superside,5x%20faster%20than%20traditional%20agencies.")</f>
        <v>https://oxdpr.com/creative-strategy-agencies/#:~:text=strategy%20agencies%20worldwide.-,Superside,5x%20faster%20than%20traditional%20agencies.</v>
      </c>
      <c r="B247" s="15" t="str">
        <f>IFERROR(__xludf.DUMMYFUNCTION("""COMPUTED_VALUE"""),"Top 7 Creative Strategy Agencies Shaping Brands in 2026 - OXDPR - Digital Marketing")</f>
        <v>Top 7 Creative Strategy Agencies Shaping Brands in 2026 - OXDPR - Digital Marketing</v>
      </c>
      <c r="C247" s="14" t="str">
        <f>IFERROR(__xludf.DUMMYFUNCTION("""COMPUTED_VALUE"""),"oxdpr.com")</f>
        <v>oxdpr.com</v>
      </c>
      <c r="D247" s="15" t="str">
        <f>IFERROR(__xludf.DUMMYFUNCTION("""COMPUTED_VALUE"""),"LISTICLE")</f>
        <v>LISTICLE</v>
      </c>
      <c r="E247" s="15" t="str">
        <f>IFERROR(__xludf.DUMMYFUNCTION("""COMPUTED_VALUE"""),"CORPORATE")</f>
        <v>CORPORATE</v>
      </c>
      <c r="F247" s="15" t="str">
        <f>IFERROR(__xludf.DUMMYFUNCTION("""COMPUTED_VALUE"""),"Listicle")</f>
        <v>Listicle</v>
      </c>
      <c r="G247" s="15" t="b">
        <f>IFERROR(__xludf.DUMMYFUNCTION("""COMPUTED_VALUE"""),FALSE)</f>
        <v>0</v>
      </c>
      <c r="H247" s="15" t="str">
        <f>IFERROR(__xludf.DUMMYFUNCTION("""COMPUTED_VALUE"""),"Superside, inBeat, Ogilvy, Mother London, Accenture Song, Measured, Found")</f>
        <v>Superside, inBeat, Ogilvy, Mother London, Accenture Song, Measured, Found</v>
      </c>
      <c r="I247" s="15">
        <f>IFERROR(__xludf.DUMMYFUNCTION("""COMPUTED_VALUE"""),3.0)</f>
        <v>3</v>
      </c>
      <c r="J247" s="15">
        <f>IFERROR(__xludf.DUMMYFUNCTION("""COMPUTED_VALUE"""),0.0)</f>
        <v>0</v>
      </c>
      <c r="K247" s="15">
        <f>IFERROR(__xludf.DUMMYFUNCTION("""COMPUTED_VALUE"""),1.0)</f>
        <v>1</v>
      </c>
    </row>
    <row r="248" ht="15.75" customHeight="1">
      <c r="A248" s="14" t="str">
        <f>IFERROR(__xludf.DUMMYFUNCTION("""COMPUTED_VALUE"""),"https://pearllemon.com/top-performance-marketing-agencies-uk/")</f>
        <v>https://pearllemon.com/top-performance-marketing-agencies-uk/</v>
      </c>
      <c r="B248" s="15" t="str">
        <f>IFERROR(__xludf.DUMMYFUNCTION("""COMPUTED_VALUE"""),"Top 10 Performance Marketing Agencies In UK (2025)")</f>
        <v>Top 10 Performance Marketing Agencies In UK (2025)</v>
      </c>
      <c r="C248" s="14" t="str">
        <f>IFERROR(__xludf.DUMMYFUNCTION("""COMPUTED_VALUE"""),"pearllemon.com")</f>
        <v>pearllemon.com</v>
      </c>
      <c r="D248" s="15" t="str">
        <f>IFERROR(__xludf.DUMMYFUNCTION("""COMPUTED_VALUE"""),"LISTICLE")</f>
        <v>LISTICLE</v>
      </c>
      <c r="E248" s="15" t="str">
        <f>IFERROR(__xludf.DUMMYFUNCTION("""COMPUTED_VALUE"""),"CORPORATE")</f>
        <v>CORPORATE</v>
      </c>
      <c r="F248" s="15" t="str">
        <f>IFERROR(__xludf.DUMMYFUNCTION("""COMPUTED_VALUE"""),"Listicle")</f>
        <v>Listicle</v>
      </c>
      <c r="G248" s="15" t="b">
        <f>IFERROR(__xludf.DUMMYFUNCTION("""COMPUTED_VALUE"""),FALSE)</f>
        <v>0</v>
      </c>
      <c r="H248" s="15" t="str">
        <f>IFERROR(__xludf.DUMMYFUNCTION("""COMPUTED_VALUE"""),"Favoured, The SEO Works, ROAST")</f>
        <v>Favoured, The SEO Works, ROAST</v>
      </c>
      <c r="I248" s="15">
        <f>IFERROR(__xludf.DUMMYFUNCTION("""COMPUTED_VALUE"""),3.0)</f>
        <v>3</v>
      </c>
      <c r="J248" s="15">
        <f>IFERROR(__xludf.DUMMYFUNCTION("""COMPUTED_VALUE"""),0.0)</f>
        <v>0</v>
      </c>
      <c r="K248" s="15">
        <f>IFERROR(__xludf.DUMMYFUNCTION("""COMPUTED_VALUE"""),0.33)</f>
        <v>0.33</v>
      </c>
    </row>
    <row r="249" ht="15.75" customHeight="1">
      <c r="A249" s="14" t="str">
        <f>IFERROR(__xludf.DUMMYFUNCTION("""COMPUTED_VALUE"""),"https://www.rank4ai.co.uk/research/rankings/best-ai-search-agencies-uk/")</f>
        <v>https://www.rank4ai.co.uk/research/rankings/best-ai-search-agencies-uk/</v>
      </c>
      <c r="B249" s="15" t="str">
        <f>IFERROR(__xludf.DUMMYFUNCTION("""COMPUTED_VALUE"""),"Best AI Search Agencies UK 2026 | Rank4AI")</f>
        <v>Best AI Search Agencies UK 2026 | Rank4AI</v>
      </c>
      <c r="C249" s="14" t="str">
        <f>IFERROR(__xludf.DUMMYFUNCTION("""COMPUTED_VALUE"""),"rank4ai.co.uk")</f>
        <v>rank4ai.co.uk</v>
      </c>
      <c r="D249" s="15" t="str">
        <f>IFERROR(__xludf.DUMMYFUNCTION("""COMPUTED_VALUE"""),"LISTICLE")</f>
        <v>LISTICLE</v>
      </c>
      <c r="E249" s="15" t="str">
        <f>IFERROR(__xludf.DUMMYFUNCTION("""COMPUTED_VALUE"""),"COMPETITOR")</f>
        <v>COMPETITOR</v>
      </c>
      <c r="F249" s="15" t="str">
        <f>IFERROR(__xludf.DUMMYFUNCTION("""COMPUTED_VALUE"""),"Listicle")</f>
        <v>Listicle</v>
      </c>
      <c r="G249" s="15" t="b">
        <f>IFERROR(__xludf.DUMMYFUNCTION("""COMPUTED_VALUE"""),FALSE)</f>
        <v>0</v>
      </c>
      <c r="H249" s="15" t="str">
        <f>IFERROR(__xludf.DUMMYFUNCTION("""COMPUTED_VALUE"""),"Rank4AI, Varn, Found, Buried Agency")</f>
        <v>Rank4AI, Varn, Found, Buried Agency</v>
      </c>
      <c r="I249" s="15">
        <f>IFERROR(__xludf.DUMMYFUNCTION("""COMPUTED_VALUE"""),3.0)</f>
        <v>3</v>
      </c>
      <c r="J249" s="15">
        <f>IFERROR(__xludf.DUMMYFUNCTION("""COMPUTED_VALUE"""),0.0)</f>
        <v>0</v>
      </c>
      <c r="K249" s="15">
        <f>IFERROR(__xludf.DUMMYFUNCTION("""COMPUTED_VALUE"""),1.33)</f>
        <v>1.33</v>
      </c>
    </row>
    <row r="250" ht="15.75" customHeight="1">
      <c r="A250" s="14" t="str">
        <f>IFERROR(__xludf.DUMMYFUNCTION("""COMPUTED_VALUE"""),"https://rocketium.ai/academy/all/ai-tools-scaling-creative-production")</f>
        <v>https://rocketium.ai/academy/all/ai-tools-scaling-creative-production</v>
      </c>
      <c r="B250" s="15" t="str">
        <f>IFERROR(__xludf.DUMMYFUNCTION("""COMPUTED_VALUE"""),"Top 6 AI tools for scaling creative production in 2026")</f>
        <v>Top 6 AI tools for scaling creative production in 2026</v>
      </c>
      <c r="C250" s="14" t="str">
        <f>IFERROR(__xludf.DUMMYFUNCTION("""COMPUTED_VALUE"""),"rocketium.ai")</f>
        <v>rocketium.ai</v>
      </c>
      <c r="D250" s="15" t="str">
        <f>IFERROR(__xludf.DUMMYFUNCTION("""COMPUTED_VALUE"""),"LISTICLE")</f>
        <v>LISTICLE</v>
      </c>
      <c r="E250" s="15" t="str">
        <f>IFERROR(__xludf.DUMMYFUNCTION("""COMPUTED_VALUE"""),"CORPORATE")</f>
        <v>CORPORATE</v>
      </c>
      <c r="F250" s="15" t="str">
        <f>IFERROR(__xludf.DUMMYFUNCTION("""COMPUTED_VALUE"""),"Listicle")</f>
        <v>Listicle</v>
      </c>
      <c r="G250" s="15" t="b">
        <f>IFERROR(__xludf.DUMMYFUNCTION("""COMPUTED_VALUE"""),FALSE)</f>
        <v>0</v>
      </c>
      <c r="H250" s="15" t="str">
        <f>IFERROR(__xludf.DUMMYFUNCTION("""COMPUTED_VALUE"""),"Superside")</f>
        <v>Superside</v>
      </c>
      <c r="I250" s="15">
        <f>IFERROR(__xludf.DUMMYFUNCTION("""COMPUTED_VALUE"""),3.0)</f>
        <v>3</v>
      </c>
      <c r="J250" s="15">
        <f>IFERROR(__xludf.DUMMYFUNCTION("""COMPUTED_VALUE"""),0.0)</f>
        <v>0</v>
      </c>
      <c r="K250" s="15">
        <f>IFERROR(__xludf.DUMMYFUNCTION("""COMPUTED_VALUE"""),0.67)</f>
        <v>0.67</v>
      </c>
    </row>
    <row r="251" ht="15.75" customHeight="1">
      <c r="A251" s="14" t="str">
        <f>IFERROR(__xludf.DUMMYFUNCTION("""COMPUTED_VALUE"""),"https://www.seoworks.com/lists/the-20-best-geo-agencies/")</f>
        <v>https://www.seoworks.com/lists/the-20-best-geo-agencies/</v>
      </c>
      <c r="B251" s="15" t="str">
        <f>IFERROR(__xludf.DUMMYFUNCTION("""COMPUTED_VALUE"""),"20 Best GEO Agencies (2026) | The SEO Works")</f>
        <v>20 Best GEO Agencies (2026) | The SEO Works</v>
      </c>
      <c r="C251" s="14" t="str">
        <f>IFERROR(__xludf.DUMMYFUNCTION("""COMPUTED_VALUE"""),"seoworks.com")</f>
        <v>seoworks.com</v>
      </c>
      <c r="D251" s="15" t="str">
        <f>IFERROR(__xludf.DUMMYFUNCTION("""COMPUTED_VALUE"""),"LISTICLE")</f>
        <v>LISTICLE</v>
      </c>
      <c r="E251" s="15" t="str">
        <f>IFERROR(__xludf.DUMMYFUNCTION("""COMPUTED_VALUE"""),"CORPORATE")</f>
        <v>CORPORATE</v>
      </c>
      <c r="F251" s="15" t="str">
        <f>IFERROR(__xludf.DUMMYFUNCTION("""COMPUTED_VALUE"""),"Listicle")</f>
        <v>Listicle</v>
      </c>
      <c r="G251" s="15" t="b">
        <f>IFERROR(__xludf.DUMMYFUNCTION("""COMPUTED_VALUE"""),FALSE)</f>
        <v>0</v>
      </c>
      <c r="H251" s="15" t="str">
        <f>IFERROR(__xludf.DUMMYFUNCTION("""COMPUTED_VALUE"""),"The SEO Works, Omniscient Digital, GA Agency, Exposure Ninja")</f>
        <v>The SEO Works, Omniscient Digital, GA Agency, Exposure Ninja</v>
      </c>
      <c r="I251" s="15">
        <f>IFERROR(__xludf.DUMMYFUNCTION("""COMPUTED_VALUE"""),3.0)</f>
        <v>3</v>
      </c>
      <c r="J251" s="15">
        <f>IFERROR(__xludf.DUMMYFUNCTION("""COMPUTED_VALUE"""),0.0)</f>
        <v>0</v>
      </c>
      <c r="K251" s="15">
        <f>IFERROR(__xludf.DUMMYFUNCTION("""COMPUTED_VALUE"""),0.0)</f>
        <v>0</v>
      </c>
    </row>
    <row r="252" ht="15.75" customHeight="1">
      <c r="A252" s="14" t="str">
        <f>IFERROR(__xludf.DUMMYFUNCTION("""COMPUTED_VALUE"""),"https://smacient.com/top-ai-marketing-agencies-in-the-uk/")</f>
        <v>https://smacient.com/top-ai-marketing-agencies-in-the-uk/</v>
      </c>
      <c r="B252" s="15" t="str">
        <f>IFERROR(__xludf.DUMMYFUNCTION("""COMPUTED_VALUE"""),"Top AI Marketing Agencies in the UK - Smacient")</f>
        <v>Top AI Marketing Agencies in the UK - Smacient</v>
      </c>
      <c r="C252" s="14" t="str">
        <f>IFERROR(__xludf.DUMMYFUNCTION("""COMPUTED_VALUE"""),"smacient.com")</f>
        <v>smacient.com</v>
      </c>
      <c r="D252" s="15" t="str">
        <f>IFERROR(__xludf.DUMMYFUNCTION("""COMPUTED_VALUE"""),"LISTICLE")</f>
        <v>LISTICLE</v>
      </c>
      <c r="E252" s="15" t="str">
        <f>IFERROR(__xludf.DUMMYFUNCTION("""COMPUTED_VALUE"""),"CORPORATE")</f>
        <v>CORPORATE</v>
      </c>
      <c r="F252" s="15" t="str">
        <f>IFERROR(__xludf.DUMMYFUNCTION("""COMPUTED_VALUE"""),"Listicle")</f>
        <v>Listicle</v>
      </c>
      <c r="G252" s="15" t="b">
        <f>IFERROR(__xludf.DUMMYFUNCTION("""COMPUTED_VALUE"""),FALSE)</f>
        <v>0</v>
      </c>
      <c r="H252" s="15" t="str">
        <f>IFERROR(__xludf.DUMMYFUNCTION("""COMPUTED_VALUE"""),"Impression, Open Partners, Brainlabs, Hallam, Koozai, Found")</f>
        <v>Impression, Open Partners, Brainlabs, Hallam, Koozai, Found</v>
      </c>
      <c r="I252" s="15">
        <f>IFERROR(__xludf.DUMMYFUNCTION("""COMPUTED_VALUE"""),3.0)</f>
        <v>3</v>
      </c>
      <c r="J252" s="15">
        <f>IFERROR(__xludf.DUMMYFUNCTION("""COMPUTED_VALUE"""),0.0)</f>
        <v>0</v>
      </c>
      <c r="K252" s="15">
        <f>IFERROR(__xludf.DUMMYFUNCTION("""COMPUTED_VALUE"""),0.67)</f>
        <v>0.67</v>
      </c>
    </row>
    <row r="253" ht="15.75" customHeight="1">
      <c r="A253" s="14" t="str">
        <f>IFERROR(__xludf.DUMMYFUNCTION("""COMPUTED_VALUE"""),"https://softblues.io/blog/best-ai-consulting-companies-uk")</f>
        <v>https://softblues.io/blog/best-ai-consulting-companies-uk</v>
      </c>
      <c r="B253" s="15" t="str">
        <f>IFERROR(__xludf.DUMMYFUNCTION("""COMPUTED_VALUE"""),"Best AI Consulting Companies in the UK (2026): Who's Good at What | SoftBlues Blog")</f>
        <v>Best AI Consulting Companies in the UK (2026): Who's Good at What | SoftBlues Blog</v>
      </c>
      <c r="C253" s="14" t="str">
        <f>IFERROR(__xludf.DUMMYFUNCTION("""COMPUTED_VALUE"""),"softblues.io")</f>
        <v>softblues.io</v>
      </c>
      <c r="D253" s="15" t="str">
        <f>IFERROR(__xludf.DUMMYFUNCTION("""COMPUTED_VALUE"""),"LISTICLE")</f>
        <v>LISTICLE</v>
      </c>
      <c r="E253" s="15" t="str">
        <f>IFERROR(__xludf.DUMMYFUNCTION("""COMPUTED_VALUE"""),"OTHER")</f>
        <v>OTHER</v>
      </c>
      <c r="F253" s="15" t="str">
        <f>IFERROR(__xludf.DUMMYFUNCTION("""COMPUTED_VALUE"""),"Listicle")</f>
        <v>Listicle</v>
      </c>
      <c r="G253" s="15" t="b">
        <f>IFERROR(__xludf.DUMMYFUNCTION("""COMPUTED_VALUE"""),FALSE)</f>
        <v>0</v>
      </c>
      <c r="H253" s="15" t="str">
        <f>IFERROR(__xludf.DUMMYFUNCTION("""COMPUTED_VALUE"""),"EY, PwC, QuantumBlack")</f>
        <v>EY, PwC, QuantumBlack</v>
      </c>
      <c r="I253" s="15">
        <f>IFERROR(__xludf.DUMMYFUNCTION("""COMPUTED_VALUE"""),3.0)</f>
        <v>3</v>
      </c>
      <c r="J253" s="15">
        <f>IFERROR(__xludf.DUMMYFUNCTION("""COMPUTED_VALUE"""),0.0)</f>
        <v>0</v>
      </c>
      <c r="K253" s="15">
        <f>IFERROR(__xludf.DUMMYFUNCTION("""COMPUTED_VALUE"""),1.0)</f>
        <v>1</v>
      </c>
    </row>
    <row r="254" ht="15.75" customHeight="1">
      <c r="A254" s="14" t="str">
        <f>IFERROR(__xludf.DUMMYFUNCTION("""COMPUTED_VALUE"""),"https://thegraygency.com/the-11-top-paid-social-agencies-for-social-media-growth/")</f>
        <v>https://thegraygency.com/the-11-top-paid-social-agencies-for-social-media-growth/</v>
      </c>
      <c r="B254" s="15" t="str">
        <f>IFERROR(__xludf.DUMMYFUNCTION("""COMPUTED_VALUE"""),"The 11 Top Paid Social Agencies for Social Media Growth - The Graygency")</f>
        <v>The 11 Top Paid Social Agencies for Social Media Growth - The Graygency</v>
      </c>
      <c r="C254" s="14" t="str">
        <f>IFERROR(__xludf.DUMMYFUNCTION("""COMPUTED_VALUE"""),"thegraygency.com")</f>
        <v>thegraygency.com</v>
      </c>
      <c r="D254" s="15" t="str">
        <f>IFERROR(__xludf.DUMMYFUNCTION("""COMPUTED_VALUE"""),"LISTICLE")</f>
        <v>LISTICLE</v>
      </c>
      <c r="E254" s="15" t="str">
        <f>IFERROR(__xludf.DUMMYFUNCTION("""COMPUTED_VALUE"""),"CORPORATE")</f>
        <v>CORPORATE</v>
      </c>
      <c r="F254" s="15" t="str">
        <f>IFERROR(__xludf.DUMMYFUNCTION("""COMPUTED_VALUE"""),"Listicle")</f>
        <v>Listicle</v>
      </c>
      <c r="G254" s="15" t="b">
        <f>IFERROR(__xludf.DUMMYFUNCTION("""COMPUTED_VALUE"""),FALSE)</f>
        <v>0</v>
      </c>
      <c r="H254" s="15" t="str">
        <f>IFERROR(__xludf.DUMMYFUNCTION("""COMPUTED_VALUE"""),"Soap Media, We Are Social, Huge, Ninja Promo, The Social Shepherd")</f>
        <v>Soap Media, We Are Social, Huge, Ninja Promo, The Social Shepherd</v>
      </c>
      <c r="I254" s="15">
        <f>IFERROR(__xludf.DUMMYFUNCTION("""COMPUTED_VALUE"""),3.0)</f>
        <v>3</v>
      </c>
      <c r="J254" s="15">
        <f>IFERROR(__xludf.DUMMYFUNCTION("""COMPUTED_VALUE"""),0.0)</f>
        <v>0</v>
      </c>
      <c r="K254" s="15">
        <f>IFERROR(__xludf.DUMMYFUNCTION("""COMPUTED_VALUE"""),0.0)</f>
        <v>0</v>
      </c>
    </row>
    <row r="255" ht="15.75" customHeight="1">
      <c r="A255" s="14" t="str">
        <f>IFERROR(__xludf.DUMMYFUNCTION("""COMPUTED_VALUE"""),"https://www.thegrowthsyndicate.com/agencies/best-b2b-performance-marketing-agencies-europe")</f>
        <v>https://www.thegrowthsyndicate.com/agencies/best-b2b-performance-marketing-agencies-europe</v>
      </c>
      <c r="B255" s="15" t="str">
        <f>IFERROR(__xludf.DUMMYFUNCTION("""COMPUTED_VALUE"""),"The 12 Best B2B Performance Marketing Agencies in Europe")</f>
        <v>The 12 Best B2B Performance Marketing Agencies in Europe</v>
      </c>
      <c r="C255" s="14" t="str">
        <f>IFERROR(__xludf.DUMMYFUNCTION("""COMPUTED_VALUE"""),"thegrowthsyndicate.com")</f>
        <v>thegrowthsyndicate.com</v>
      </c>
      <c r="D255" s="15" t="str">
        <f>IFERROR(__xludf.DUMMYFUNCTION("""COMPUTED_VALUE"""),"LISTICLE")</f>
        <v>LISTICLE</v>
      </c>
      <c r="E255" s="15" t="str">
        <f>IFERROR(__xludf.DUMMYFUNCTION("""COMPUTED_VALUE"""),"CORPORATE")</f>
        <v>CORPORATE</v>
      </c>
      <c r="F255" s="15" t="str">
        <f>IFERROR(__xludf.DUMMYFUNCTION("""COMPUTED_VALUE"""),"Listicle")</f>
        <v>Listicle</v>
      </c>
      <c r="G255" s="15" t="b">
        <f>IFERROR(__xludf.DUMMYFUNCTION("""COMPUTED_VALUE"""),TRUE)</f>
        <v>1</v>
      </c>
      <c r="H255" s="15" t="str">
        <f>IFERROR(__xludf.DUMMYFUNCTION("""COMPUTED_VALUE"""),"Brainlabs, WPP, GroupM, Incubeta, Croud, Born Social, Measured, Havas Market UK, Huge, Publicis Groupe, Omnicom, Dentsu, Merkle, Impression")</f>
        <v>Brainlabs, WPP, GroupM, Incubeta, Croud, Born Social, Measured, Havas Market UK, Huge, Publicis Groupe, Omnicom, Dentsu, Merkle, Impression</v>
      </c>
      <c r="I255" s="15">
        <f>IFERROR(__xludf.DUMMYFUNCTION("""COMPUTED_VALUE"""),3.0)</f>
        <v>3</v>
      </c>
      <c r="J255" s="15">
        <f>IFERROR(__xludf.DUMMYFUNCTION("""COMPUTED_VALUE"""),0.0)</f>
        <v>0</v>
      </c>
      <c r="K255" s="15">
        <f>IFERROR(__xludf.DUMMYFUNCTION("""COMPUTED_VALUE"""),1.0)</f>
        <v>1</v>
      </c>
    </row>
    <row r="256" ht="15.75" customHeight="1">
      <c r="A256" s="14" t="str">
        <f>IFERROR(__xludf.DUMMYFUNCTION("""COMPUTED_VALUE"""),"https://themanifest.com/advertising/agencies/uk")</f>
        <v>https://themanifest.com/advertising/agencies/uk</v>
      </c>
      <c r="B256" s="15" t="str">
        <f>IFERROR(__xludf.DUMMYFUNCTION("""COMPUTED_VALUE"""),"The Best Advertising Companies in United Kingdom - Jul 2026 | The Manifest")</f>
        <v>The Best Advertising Companies in United Kingdom - Jul 2026 | The Manifest</v>
      </c>
      <c r="C256" s="14" t="str">
        <f>IFERROR(__xludf.DUMMYFUNCTION("""COMPUTED_VALUE"""),"themanifest.com")</f>
        <v>themanifest.com</v>
      </c>
      <c r="D256" s="15" t="str">
        <f>IFERROR(__xludf.DUMMYFUNCTION("""COMPUTED_VALUE"""),"LISTICLE")</f>
        <v>LISTICLE</v>
      </c>
      <c r="E256" s="15" t="str">
        <f>IFERROR(__xludf.DUMMYFUNCTION("""COMPUTED_VALUE"""),"REFERENCE")</f>
        <v>REFERENCE</v>
      </c>
      <c r="F256" s="15" t="str">
        <f>IFERROR(__xludf.DUMMYFUNCTION("""COMPUTED_VALUE"""),"Listicle")</f>
        <v>Listicle</v>
      </c>
      <c r="G256" s="15" t="b">
        <f>IFERROR(__xludf.DUMMYFUNCTION("""COMPUTED_VALUE"""),FALSE)</f>
        <v>0</v>
      </c>
      <c r="H256" s="15" t="str">
        <f>IFERROR(__xludf.DUMMYFUNCTION("""COMPUTED_VALUE"""),"Ninja Promo, ROAST, Favoured, M3.agency, Chello, The SEO Works")</f>
        <v>Ninja Promo, ROAST, Favoured, M3.agency, Chello, The SEO Works</v>
      </c>
      <c r="I256" s="15">
        <f>IFERROR(__xludf.DUMMYFUNCTION("""COMPUTED_VALUE"""),3.0)</f>
        <v>3</v>
      </c>
      <c r="J256" s="15">
        <f>IFERROR(__xludf.DUMMYFUNCTION("""COMPUTED_VALUE"""),0.0)</f>
        <v>0</v>
      </c>
      <c r="K256" s="15">
        <f>IFERROR(__xludf.DUMMYFUNCTION("""COMPUTED_VALUE"""),0.33)</f>
        <v>0.33</v>
      </c>
    </row>
    <row r="257" ht="15.75" customHeight="1">
      <c r="A257" s="14" t="str">
        <f>IFERROR(__xludf.DUMMYFUNCTION("""COMPUTED_VALUE"""),"https://thesocialshepherd.com/blog/top-advertising-agencies-uk")</f>
        <v>https://thesocialshepherd.com/blog/top-advertising-agencies-uk</v>
      </c>
      <c r="B257" s="15" t="str">
        <f>IFERROR(__xludf.DUMMYFUNCTION("""COMPUTED_VALUE"""),"The Social Shepherd | Top 17 Advertising Agencies in the UK | The…")</f>
        <v>The Social Shepherd | Top 17 Advertising Agencies in the UK | The…</v>
      </c>
      <c r="C257" s="14" t="str">
        <f>IFERROR(__xludf.DUMMYFUNCTION("""COMPUTED_VALUE"""),"thesocialshepherd.com")</f>
        <v>thesocialshepherd.com</v>
      </c>
      <c r="D257" s="15" t="str">
        <f>IFERROR(__xludf.DUMMYFUNCTION("""COMPUTED_VALUE"""),"LISTICLE")</f>
        <v>LISTICLE</v>
      </c>
      <c r="E257" s="15" t="str">
        <f>IFERROR(__xludf.DUMMYFUNCTION("""COMPUTED_VALUE"""),"COMPETITOR")</f>
        <v>COMPETITOR</v>
      </c>
      <c r="F257" s="15" t="str">
        <f>IFERROR(__xludf.DUMMYFUNCTION("""COMPUTED_VALUE"""),"Listicle")</f>
        <v>Listicle</v>
      </c>
      <c r="G257" s="15" t="b">
        <f>IFERROR(__xludf.DUMMYFUNCTION("""COMPUTED_VALUE"""),FALSE)</f>
        <v>0</v>
      </c>
      <c r="H257" s="15" t="str">
        <f>IFERROR(__xludf.DUMMYFUNCTION("""COMPUTED_VALUE"""),"The Social Shepherd, BBH London, Dentsu, Ogilvy")</f>
        <v>The Social Shepherd, BBH London, Dentsu, Ogilvy</v>
      </c>
      <c r="I257" s="15">
        <f>IFERROR(__xludf.DUMMYFUNCTION("""COMPUTED_VALUE"""),3.0)</f>
        <v>3</v>
      </c>
      <c r="J257" s="15">
        <f>IFERROR(__xludf.DUMMYFUNCTION("""COMPUTED_VALUE"""),0.0)</f>
        <v>0</v>
      </c>
      <c r="K257" s="15">
        <f>IFERROR(__xludf.DUMMYFUNCTION("""COMPUTED_VALUE"""),0.0)</f>
        <v>0</v>
      </c>
    </row>
    <row r="258" ht="15.75" customHeight="1">
      <c r="A258" s="14" t="str">
        <f>IFERROR(__xludf.DUMMYFUNCTION("""COMPUTED_VALUE"""),"https://ultrascout.ai/guides/agency-directory/")</f>
        <v>https://ultrascout.ai/guides/agency-directory/</v>
      </c>
      <c r="B258" s="15" t="str">
        <f>IFERROR(__xludf.DUMMYFUNCTION("""COMPUTED_VALUE"""),"Top GEO &amp;amp; AEO Agencies UK 2026: Definitive Guide | #1 UltraScout")</f>
        <v>Top GEO &amp;amp; AEO Agencies UK 2026: Definitive Guide | #1 UltraScout</v>
      </c>
      <c r="C258" s="14" t="str">
        <f>IFERROR(__xludf.DUMMYFUNCTION("""COMPUTED_VALUE"""),"ultrascout.ai")</f>
        <v>ultrascout.ai</v>
      </c>
      <c r="D258" s="15" t="str">
        <f>IFERROR(__xludf.DUMMYFUNCTION("""COMPUTED_VALUE"""),"LISTICLE")</f>
        <v>LISTICLE</v>
      </c>
      <c r="E258" s="15" t="str">
        <f>IFERROR(__xludf.DUMMYFUNCTION("""COMPUTED_VALUE"""),"CORPORATE")</f>
        <v>CORPORATE</v>
      </c>
      <c r="F258" s="15" t="str">
        <f>IFERROR(__xludf.DUMMYFUNCTION("""COMPUTED_VALUE"""),"Listicle")</f>
        <v>Listicle</v>
      </c>
      <c r="G258" s="15" t="b">
        <f>IFERROR(__xludf.DUMMYFUNCTION("""COMPUTED_VALUE"""),FALSE)</f>
        <v>0</v>
      </c>
      <c r="H258" s="15" t="str">
        <f>IFERROR(__xludf.DUMMYFUNCTION("""COMPUTED_VALUE"""),"Charle Agency, ClickSlice, The SEO Works, Gain Theory")</f>
        <v>Charle Agency, ClickSlice, The SEO Works, Gain Theory</v>
      </c>
      <c r="I258" s="15">
        <f>IFERROR(__xludf.DUMMYFUNCTION("""COMPUTED_VALUE"""),3.0)</f>
        <v>3</v>
      </c>
      <c r="J258" s="15">
        <f>IFERROR(__xludf.DUMMYFUNCTION("""COMPUTED_VALUE"""),0.0)</f>
        <v>0</v>
      </c>
      <c r="K258" s="15">
        <f>IFERROR(__xludf.DUMMYFUNCTION("""COMPUTED_VALUE"""),0.0)</f>
        <v>0</v>
      </c>
    </row>
    <row r="259" ht="15.75" customHeight="1">
      <c r="A259" s="14" t="str">
        <f>IFERROR(__xludf.DUMMYFUNCTION("""COMPUTED_VALUE"""),"https://www.webtonic.io/blog/best-ppc-agencies-uk")</f>
        <v>https://www.webtonic.io/blog/best-ppc-agencies-uk</v>
      </c>
      <c r="B259" s="15" t="str">
        <f>IFERROR(__xludf.DUMMYFUNCTION("""COMPUTED_VALUE"""),"The 44 Best PPC Agencies in the UK as of 2026")</f>
        <v>The 44 Best PPC Agencies in the UK as of 2026</v>
      </c>
      <c r="C259" s="14" t="str">
        <f>IFERROR(__xludf.DUMMYFUNCTION("""COMPUTED_VALUE"""),"webtonic.io")</f>
        <v>webtonic.io</v>
      </c>
      <c r="D259" s="15" t="str">
        <f>IFERROR(__xludf.DUMMYFUNCTION("""COMPUTED_VALUE"""),"LISTICLE")</f>
        <v>LISTICLE</v>
      </c>
      <c r="E259" s="15" t="str">
        <f>IFERROR(__xludf.DUMMYFUNCTION("""COMPUTED_VALUE"""),"CORPORATE")</f>
        <v>CORPORATE</v>
      </c>
      <c r="F259" s="15" t="str">
        <f>IFERROR(__xludf.DUMMYFUNCTION("""COMPUTED_VALUE"""),"Listicle")</f>
        <v>Listicle</v>
      </c>
      <c r="G259" s="15" t="b">
        <f>IFERROR(__xludf.DUMMYFUNCTION("""COMPUTED_VALUE"""),FALSE)</f>
        <v>0</v>
      </c>
      <c r="H259" s="15" t="str">
        <f>IFERROR(__xludf.DUMMYFUNCTION("""COMPUTED_VALUE"""),"PPC Geeks, Bind Media, Impression, Found, The SEO Works, Gripped, Hallam, Croud, The Social Shepherd, Koozai, Soap Media, Push, Push Group, Launch Online, The Good Marketer, LOCALiQ, Passion Digital, ClickSlice, NP Digital")</f>
        <v>PPC Geeks, Bind Media, Impression, Found, The SEO Works, Gripped, Hallam, Croud, The Social Shepherd, Koozai, Soap Media, Push, Push Group, Launch Online, The Good Marketer, LOCALiQ, Passion Digital, ClickSlice, NP Digital</v>
      </c>
      <c r="I259" s="15">
        <f>IFERROR(__xludf.DUMMYFUNCTION("""COMPUTED_VALUE"""),3.0)</f>
        <v>3</v>
      </c>
      <c r="J259" s="15">
        <f>IFERROR(__xludf.DUMMYFUNCTION("""COMPUTED_VALUE"""),0.0)</f>
        <v>0</v>
      </c>
      <c r="K259" s="15">
        <f>IFERROR(__xludf.DUMMYFUNCTION("""COMPUTED_VALUE"""),2.67)</f>
        <v>2.67</v>
      </c>
    </row>
    <row r="260" ht="15.75" customHeight="1">
      <c r="A260" s="14" t="str">
        <f>IFERROR(__xludf.DUMMYFUNCTION("""COMPUTED_VALUE"""),"https://www.wowinfotech.co.uk/blog/google-ads-agency-uk")</f>
        <v>https://www.wowinfotech.co.uk/blog/google-ads-agency-uk</v>
      </c>
      <c r="B260" s="15" t="str">
        <f>IFERROR(__xludf.DUMMYFUNCTION("""COMPUTED_VALUE"""),"10 Best Google Ads Agency UK [Updated List 2026]")</f>
        <v>10 Best Google Ads Agency UK [Updated List 2026]</v>
      </c>
      <c r="C260" s="14" t="str">
        <f>IFERROR(__xludf.DUMMYFUNCTION("""COMPUTED_VALUE"""),"wowinfotech.co.uk")</f>
        <v>wowinfotech.co.uk</v>
      </c>
      <c r="D260" s="15" t="str">
        <f>IFERROR(__xludf.DUMMYFUNCTION("""COMPUTED_VALUE"""),"LISTICLE")</f>
        <v>LISTICLE</v>
      </c>
      <c r="E260" s="15" t="str">
        <f>IFERROR(__xludf.DUMMYFUNCTION("""COMPUTED_VALUE"""),"CORPORATE")</f>
        <v>CORPORATE</v>
      </c>
      <c r="F260" s="15" t="str">
        <f>IFERROR(__xludf.DUMMYFUNCTION("""COMPUTED_VALUE"""),"Listicle")</f>
        <v>Listicle</v>
      </c>
      <c r="G260" s="15" t="b">
        <f>IFERROR(__xludf.DUMMYFUNCTION("""COMPUTED_VALUE"""),FALSE)</f>
        <v>0</v>
      </c>
      <c r="H260" s="15" t="str">
        <f>IFERROR(__xludf.DUMMYFUNCTION("""COMPUTED_VALUE"""),"The Social Shepherd, Impression, Hallam, Found")</f>
        <v>The Social Shepherd, Impression, Hallam, Found</v>
      </c>
      <c r="I260" s="15">
        <f>IFERROR(__xludf.DUMMYFUNCTION("""COMPUTED_VALUE"""),3.0)</f>
        <v>3</v>
      </c>
      <c r="J260" s="15">
        <f>IFERROR(__xludf.DUMMYFUNCTION("""COMPUTED_VALUE"""),0.0)</f>
        <v>0</v>
      </c>
      <c r="K260" s="15">
        <f>IFERROR(__xludf.DUMMYFUNCTION("""COMPUTED_VALUE"""),0.67)</f>
        <v>0.67</v>
      </c>
    </row>
    <row r="261" ht="15.75" customHeight="1">
      <c r="A261" s="14" t="str">
        <f>IFERROR(__xludf.DUMMYFUNCTION("""COMPUTED_VALUE"""),"https://www.youtube.com/watch?v=5K95qPc0HJs")</f>
        <v>https://www.youtube.com/watch?v=5K95qPc0HJs</v>
      </c>
      <c r="B261" s="15" t="str">
        <f>IFERROR(__xludf.DUMMYFUNCTION("""COMPUTED_VALUE"""),"Top 10 AI Digital Marketing Agencies in UK | AI Agents Will Change Digital Marketing")</f>
        <v>Top 10 AI Digital Marketing Agencies in UK | AI Agents Will Change Digital Marketing</v>
      </c>
      <c r="C261" s="14" t="str">
        <f>IFERROR(__xludf.DUMMYFUNCTION("""COMPUTED_VALUE"""),"youtube.com")</f>
        <v>youtube.com</v>
      </c>
      <c r="D261" s="15" t="str">
        <f>IFERROR(__xludf.DUMMYFUNCTION("""COMPUTED_VALUE"""),"LISTICLE")</f>
        <v>LISTICLE</v>
      </c>
      <c r="E261" s="15" t="str">
        <f>IFERROR(__xludf.DUMMYFUNCTION("""COMPUTED_VALUE"""),"UGC")</f>
        <v>UGC</v>
      </c>
      <c r="F261" s="15" t="str">
        <f>IFERROR(__xludf.DUMMYFUNCTION("""COMPUTED_VALUE"""),"Listicle")</f>
        <v>Listicle</v>
      </c>
      <c r="G261" s="15" t="b">
        <f>IFERROR(__xludf.DUMMYFUNCTION("""COMPUTED_VALUE"""),FALSE)</f>
        <v>0</v>
      </c>
      <c r="H261" s="15" t="str">
        <f>IFERROR(__xludf.DUMMYFUNCTION("""COMPUTED_VALUE"""),"The Good Marketer, Found")</f>
        <v>The Good Marketer, Found</v>
      </c>
      <c r="I261" s="15">
        <f>IFERROR(__xludf.DUMMYFUNCTION("""COMPUTED_VALUE"""),3.0)</f>
        <v>3</v>
      </c>
      <c r="J261" s="15">
        <f>IFERROR(__xludf.DUMMYFUNCTION("""COMPUTED_VALUE"""),0.0)</f>
        <v>0</v>
      </c>
      <c r="K261" s="15">
        <f>IFERROR(__xludf.DUMMYFUNCTION("""COMPUTED_VALUE"""),1.0)</f>
        <v>1</v>
      </c>
    </row>
    <row r="262" ht="15.75" customHeight="1">
      <c r="A262" s="14" t="str">
        <f>IFERROR(__xludf.DUMMYFUNCTION("""COMPUTED_VALUE"""),"https://www.youtube.com/watch?v=fdPFLXFJlwo&amp;t=55")</f>
        <v>https://www.youtube.com/watch?v=fdPFLXFJlwo&amp;t=55</v>
      </c>
      <c r="B262" s="15" t="str">
        <f>IFERROR(__xludf.DUMMYFUNCTION("""COMPUTED_VALUE"""),"6 Best Revenue Attribution Agencies for B2B SaaS in 2026")</f>
        <v>6 Best Revenue Attribution Agencies for B2B SaaS in 2026</v>
      </c>
      <c r="C262" s="14" t="str">
        <f>IFERROR(__xludf.DUMMYFUNCTION("""COMPUTED_VALUE"""),"youtube.com")</f>
        <v>youtube.com</v>
      </c>
      <c r="D262" s="15" t="str">
        <f>IFERROR(__xludf.DUMMYFUNCTION("""COMPUTED_VALUE"""),"LISTICLE")</f>
        <v>LISTICLE</v>
      </c>
      <c r="E262" s="15" t="str">
        <f>IFERROR(__xludf.DUMMYFUNCTION("""COMPUTED_VALUE"""),"UGC")</f>
        <v>UGC</v>
      </c>
      <c r="F262" s="15" t="str">
        <f>IFERROR(__xludf.DUMMYFUNCTION("""COMPUTED_VALUE"""),"Listicle")</f>
        <v>Listicle</v>
      </c>
      <c r="G262" s="15" t="b">
        <f>IFERROR(__xludf.DUMMYFUNCTION("""COMPUTED_VALUE"""),FALSE)</f>
        <v>0</v>
      </c>
      <c r="H262" s="15" t="str">
        <f>IFERROR(__xludf.DUMMYFUNCTION("""COMPUTED_VALUE"""),"GrowthSpree, NoGood, Single Grain, Disruptive Advertising, Wpromote, Polaris")</f>
        <v>GrowthSpree, NoGood, Single Grain, Disruptive Advertising, Wpromote, Polaris</v>
      </c>
      <c r="I262" s="15">
        <f>IFERROR(__xludf.DUMMYFUNCTION("""COMPUTED_VALUE"""),3.0)</f>
        <v>3</v>
      </c>
      <c r="J262" s="15">
        <f>IFERROR(__xludf.DUMMYFUNCTION("""COMPUTED_VALUE"""),0.0)</f>
        <v>0</v>
      </c>
      <c r="K262" s="15">
        <f>IFERROR(__xludf.DUMMYFUNCTION("""COMPUTED_VALUE"""),1.0)</f>
        <v>1</v>
      </c>
    </row>
    <row r="263" ht="15.75" customHeight="1">
      <c r="A263" s="14" t="str">
        <f>IFERROR(__xludf.DUMMYFUNCTION("""COMPUTED_VALUE"""),"https://www.abbacustechnologies.com/top-ecommerce-development-companies-in-the-uk/")</f>
        <v>https://www.abbacustechnologies.com/top-ecommerce-development-companies-in-the-uk/</v>
      </c>
      <c r="B263" s="15" t="str">
        <f>IFERROR(__xludf.DUMMYFUNCTION("""COMPUTED_VALUE"""),"Top Ecommerce Development Companies in the UK")</f>
        <v>Top Ecommerce Development Companies in the UK</v>
      </c>
      <c r="C263" s="14" t="str">
        <f>IFERROR(__xludf.DUMMYFUNCTION("""COMPUTED_VALUE"""),"abbacustechnologies.com")</f>
        <v>abbacustechnologies.com</v>
      </c>
      <c r="D263" s="15" t="str">
        <f>IFERROR(__xludf.DUMMYFUNCTION("""COMPUTED_VALUE"""),"LISTICLE")</f>
        <v>LISTICLE</v>
      </c>
      <c r="E263" s="15" t="str">
        <f>IFERROR(__xludf.DUMMYFUNCTION("""COMPUTED_VALUE"""),"CORPORATE")</f>
        <v>CORPORATE</v>
      </c>
      <c r="F263" s="15" t="str">
        <f>IFERROR(__xludf.DUMMYFUNCTION("""COMPUTED_VALUE"""),"Listicle")</f>
        <v>Listicle</v>
      </c>
      <c r="G263" s="15" t="b">
        <f>IFERROR(__xludf.DUMMYFUNCTION("""COMPUTED_VALUE"""),FALSE)</f>
        <v>0</v>
      </c>
      <c r="H263" s="15"/>
      <c r="I263" s="15">
        <f>IFERROR(__xludf.DUMMYFUNCTION("""COMPUTED_VALUE"""),2.0)</f>
        <v>2</v>
      </c>
      <c r="J263" s="15">
        <f>IFERROR(__xludf.DUMMYFUNCTION("""COMPUTED_VALUE"""),0.0)</f>
        <v>0</v>
      </c>
      <c r="K263" s="15">
        <f>IFERROR(__xludf.DUMMYFUNCTION("""COMPUTED_VALUE"""),1.0)</f>
        <v>1</v>
      </c>
    </row>
    <row r="264" ht="15.75" customHeight="1">
      <c r="A264" s="14" t="str">
        <f>IFERROR(__xludf.DUMMYFUNCTION("""COMPUTED_VALUE"""),"https://brillmedia.co/resources/best-display-advertising-agencies/")</f>
        <v>https://brillmedia.co/resources/best-display-advertising-agencies/</v>
      </c>
      <c r="B264" s="15" t="str">
        <f>IFERROR(__xludf.DUMMYFUNCTION("""COMPUTED_VALUE"""),"Best Display Advertising Agencies | Brill Media")</f>
        <v>Best Display Advertising Agencies | Brill Media</v>
      </c>
      <c r="C264" s="14" t="str">
        <f>IFERROR(__xludf.DUMMYFUNCTION("""COMPUTED_VALUE"""),"brillmedia.co")</f>
        <v>brillmedia.co</v>
      </c>
      <c r="D264" s="15" t="str">
        <f>IFERROR(__xludf.DUMMYFUNCTION("""COMPUTED_VALUE"""),"LISTICLE")</f>
        <v>LISTICLE</v>
      </c>
      <c r="E264" s="15" t="str">
        <f>IFERROR(__xludf.DUMMYFUNCTION("""COMPUTED_VALUE"""),"CORPORATE")</f>
        <v>CORPORATE</v>
      </c>
      <c r="F264" s="15" t="str">
        <f>IFERROR(__xludf.DUMMYFUNCTION("""COMPUTED_VALUE"""),"Listicle")</f>
        <v>Listicle</v>
      </c>
      <c r="G264" s="15" t="b">
        <f>IFERROR(__xludf.DUMMYFUNCTION("""COMPUTED_VALUE"""),FALSE)</f>
        <v>0</v>
      </c>
      <c r="H264" s="15" t="str">
        <f>IFERROR(__xludf.DUMMYFUNCTION("""COMPUTED_VALUE"""),"WebFX")</f>
        <v>WebFX</v>
      </c>
      <c r="I264" s="15">
        <f>IFERROR(__xludf.DUMMYFUNCTION("""COMPUTED_VALUE"""),2.0)</f>
        <v>2</v>
      </c>
      <c r="J264" s="15">
        <f>IFERROR(__xludf.DUMMYFUNCTION("""COMPUTED_VALUE"""),0.0)</f>
        <v>0</v>
      </c>
      <c r="K264" s="15">
        <f>IFERROR(__xludf.DUMMYFUNCTION("""COMPUTED_VALUE"""),1.5)</f>
        <v>1.5</v>
      </c>
    </row>
    <row r="265" ht="15.75" customHeight="1">
      <c r="A265" s="14" t="str">
        <f>IFERROR(__xludf.DUMMYFUNCTION("""COMPUTED_VALUE"""),"https://www.businessinsider.com/how-coach-american-eagle-cmos-stand-out-ai-platforms-2026-7")</f>
        <v>https://www.businessinsider.com/how-coach-american-eagle-cmos-stand-out-ai-platforms-2026-7</v>
      </c>
      <c r="B265" s="15" t="str">
        <f>IFERROR(__xludf.DUMMYFUNCTION("""COMPUTED_VALUE"""),"How Coach, American Eagle Are Standing Out on AI Platforms - Business Insider")</f>
        <v>How Coach, American Eagle Are Standing Out on AI Platforms - Business Insider</v>
      </c>
      <c r="C265" s="14" t="str">
        <f>IFERROR(__xludf.DUMMYFUNCTION("""COMPUTED_VALUE"""),"businessinsider.com")</f>
        <v>businessinsider.com</v>
      </c>
      <c r="D265" s="15" t="str">
        <f>IFERROR(__xludf.DUMMYFUNCTION("""COMPUTED_VALUE"""),"LISTICLE")</f>
        <v>LISTICLE</v>
      </c>
      <c r="E265" s="15" t="str">
        <f>IFERROR(__xludf.DUMMYFUNCTION("""COMPUTED_VALUE"""),"EDITORIAL")</f>
        <v>EDITORIAL</v>
      </c>
      <c r="F265" s="15" t="str">
        <f>IFERROR(__xludf.DUMMYFUNCTION("""COMPUTED_VALUE"""),"Listicle")</f>
        <v>Listicle</v>
      </c>
      <c r="G265" s="15" t="b">
        <f>IFERROR(__xludf.DUMMYFUNCTION("""COMPUTED_VALUE"""),FALSE)</f>
        <v>0</v>
      </c>
      <c r="H265" s="15" t="str">
        <f>IFERROR(__xludf.DUMMYFUNCTION("""COMPUTED_VALUE"""),"Found, Push")</f>
        <v>Found, Push</v>
      </c>
      <c r="I265" s="15">
        <f>IFERROR(__xludf.DUMMYFUNCTION("""COMPUTED_VALUE"""),2.0)</f>
        <v>2</v>
      </c>
      <c r="J265" s="15">
        <f>IFERROR(__xludf.DUMMYFUNCTION("""COMPUTED_VALUE"""),0.0)</f>
        <v>0</v>
      </c>
      <c r="K265" s="15">
        <f>IFERROR(__xludf.DUMMYFUNCTION("""COMPUTED_VALUE"""),2.0)</f>
        <v>2</v>
      </c>
    </row>
    <row r="266" ht="15.75" customHeight="1">
      <c r="A266" s="14" t="str">
        <f>IFERROR(__xludf.DUMMYFUNCTION("""COMPUTED_VALUE"""),"https://www.campaignlive.co.uk/article/lists-2024-top-five-advertisers/1900249")</f>
        <v>https://www.campaignlive.co.uk/article/lists-2024-top-five-advertisers/1900249</v>
      </c>
      <c r="B266" s="15"/>
      <c r="C266" s="14" t="str">
        <f>IFERROR(__xludf.DUMMYFUNCTION("""COMPUTED_VALUE"""),"campaignlive.co.uk")</f>
        <v>campaignlive.co.uk</v>
      </c>
      <c r="D266" s="15" t="str">
        <f>IFERROR(__xludf.DUMMYFUNCTION("""COMPUTED_VALUE"""),"LISTICLE")</f>
        <v>LISTICLE</v>
      </c>
      <c r="E266" s="15" t="str">
        <f>IFERROR(__xludf.DUMMYFUNCTION("""COMPUTED_VALUE"""),"EDITORIAL")</f>
        <v>EDITORIAL</v>
      </c>
      <c r="F266" s="15" t="str">
        <f>IFERROR(__xludf.DUMMYFUNCTION("""COMPUTED_VALUE"""),"Listicle")</f>
        <v>Listicle</v>
      </c>
      <c r="G266" s="15" t="b">
        <f>IFERROR(__xludf.DUMMYFUNCTION("""COMPUTED_VALUE"""),FALSE)</f>
        <v>0</v>
      </c>
      <c r="H266" s="15"/>
      <c r="I266" s="15">
        <f>IFERROR(__xludf.DUMMYFUNCTION("""COMPUTED_VALUE"""),2.0)</f>
        <v>2</v>
      </c>
      <c r="J266" s="15">
        <f>IFERROR(__xludf.DUMMYFUNCTION("""COMPUTED_VALUE"""),0.0)</f>
        <v>0</v>
      </c>
      <c r="K266" s="15">
        <f>IFERROR(__xludf.DUMMYFUNCTION("""COMPUTED_VALUE"""),0.5)</f>
        <v>0.5</v>
      </c>
    </row>
    <row r="267" ht="15.75" customHeight="1">
      <c r="A267" s="14" t="str">
        <f>IFERROR(__xludf.DUMMYFUNCTION("""COMPUTED_VALUE"""),"https://cellsior.com/best-analytics-agencies-uk/")</f>
        <v>https://cellsior.com/best-analytics-agencies-uk/</v>
      </c>
      <c r="B267" s="15" t="str">
        <f>IFERROR(__xludf.DUMMYFUNCTION("""COMPUTED_VALUE"""),"Best Analytics and Reporting Agencies in the UK")</f>
        <v>Best Analytics and Reporting Agencies in the UK</v>
      </c>
      <c r="C267" s="14" t="str">
        <f>IFERROR(__xludf.DUMMYFUNCTION("""COMPUTED_VALUE"""),"cellsior.com")</f>
        <v>cellsior.com</v>
      </c>
      <c r="D267" s="15" t="str">
        <f>IFERROR(__xludf.DUMMYFUNCTION("""COMPUTED_VALUE"""),"LISTICLE")</f>
        <v>LISTICLE</v>
      </c>
      <c r="E267" s="15" t="str">
        <f>IFERROR(__xludf.DUMMYFUNCTION("""COMPUTED_VALUE"""),"CORPORATE")</f>
        <v>CORPORATE</v>
      </c>
      <c r="F267" s="15" t="str">
        <f>IFERROR(__xludf.DUMMYFUNCTION("""COMPUTED_VALUE"""),"Listicle")</f>
        <v>Listicle</v>
      </c>
      <c r="G267" s="15" t="b">
        <f>IFERROR(__xludf.DUMMYFUNCTION("""COMPUTED_VALUE"""),FALSE)</f>
        <v>0</v>
      </c>
      <c r="H267" s="15" t="str">
        <f>IFERROR(__xludf.DUMMYFUNCTION("""COMPUTED_VALUE"""),"Measurelab, Anicca Digital, Screaming Frog")</f>
        <v>Measurelab, Anicca Digital, Screaming Frog</v>
      </c>
      <c r="I267" s="15">
        <f>IFERROR(__xludf.DUMMYFUNCTION("""COMPUTED_VALUE"""),2.0)</f>
        <v>2</v>
      </c>
      <c r="J267" s="15">
        <f>IFERROR(__xludf.DUMMYFUNCTION("""COMPUTED_VALUE"""),0.0)</f>
        <v>0</v>
      </c>
      <c r="K267" s="15">
        <f>IFERROR(__xludf.DUMMYFUNCTION("""COMPUTED_VALUE"""),0.0)</f>
        <v>0</v>
      </c>
    </row>
    <row r="268" ht="15.75" customHeight="1">
      <c r="A268" s="14" t="str">
        <f>IFERROR(__xludf.DUMMYFUNCTION("""COMPUTED_VALUE"""),"https://www.clickintelligence.co.uk/guides/agency-lists/seo/best-aeo-seo-agencies/")</f>
        <v>https://www.clickintelligence.co.uk/guides/agency-lists/seo/best-aeo-seo-agencies/</v>
      </c>
      <c r="B268" s="15" t="str">
        <f>IFERROR(__xludf.DUMMYFUNCTION("""COMPUTED_VALUE"""),"6 Best AEO SEO Agencies and Companies (2026) — UK, US &amp;amp; Global")</f>
        <v>6 Best AEO SEO Agencies and Companies (2026) — UK, US &amp;amp; Global</v>
      </c>
      <c r="C268" s="14" t="str">
        <f>IFERROR(__xludf.DUMMYFUNCTION("""COMPUTED_VALUE"""),"clickintelligence.co.uk")</f>
        <v>clickintelligence.co.uk</v>
      </c>
      <c r="D268" s="15" t="str">
        <f>IFERROR(__xludf.DUMMYFUNCTION("""COMPUTED_VALUE"""),"LISTICLE")</f>
        <v>LISTICLE</v>
      </c>
      <c r="E268" s="15" t="str">
        <f>IFERROR(__xludf.DUMMYFUNCTION("""COMPUTED_VALUE"""),"COMPETITOR")</f>
        <v>COMPETITOR</v>
      </c>
      <c r="F268" s="15" t="str">
        <f>IFERROR(__xludf.DUMMYFUNCTION("""COMPUTED_VALUE"""),"Listicle")</f>
        <v>Listicle</v>
      </c>
      <c r="G268" s="15" t="b">
        <f>IFERROR(__xludf.DUMMYFUNCTION("""COMPUTED_VALUE"""),FALSE)</f>
        <v>0</v>
      </c>
      <c r="H268" s="15" t="str">
        <f>IFERROR(__xludf.DUMMYFUNCTION("""COMPUTED_VALUE"""),"Click Intelligence, Whitehat, The SEO Works, Found")</f>
        <v>Click Intelligence, Whitehat, The SEO Works, Found</v>
      </c>
      <c r="I268" s="15">
        <f>IFERROR(__xludf.DUMMYFUNCTION("""COMPUTED_VALUE"""),2.0)</f>
        <v>2</v>
      </c>
      <c r="J268" s="15">
        <f>IFERROR(__xludf.DUMMYFUNCTION("""COMPUTED_VALUE"""),0.0)</f>
        <v>0</v>
      </c>
      <c r="K268" s="15">
        <f>IFERROR(__xludf.DUMMYFUNCTION("""COMPUTED_VALUE"""),2.0)</f>
        <v>2</v>
      </c>
    </row>
    <row r="269" ht="15.75" customHeight="1">
      <c r="A269" s="14" t="str">
        <f>IFERROR(__xludf.DUMMYFUNCTION("""COMPUTED_VALUE"""),"https://www.clickslice.co.uk/best-generative-engine-optimisation-specialist-uk/")</f>
        <v>https://www.clickslice.co.uk/best-generative-engine-optimisation-specialist-uk/</v>
      </c>
      <c r="B269" s="15" t="str">
        <f>IFERROR(__xludf.DUMMYFUNCTION("""COMPUTED_VALUE"""),"7 Best GEO (Generative Engine Optimisation) Specialists in the UK for 2025")</f>
        <v>7 Best GEO (Generative Engine Optimisation) Specialists in the UK for 2025</v>
      </c>
      <c r="C269" s="14" t="str">
        <f>IFERROR(__xludf.DUMMYFUNCTION("""COMPUTED_VALUE"""),"clickslice.co.uk")</f>
        <v>clickslice.co.uk</v>
      </c>
      <c r="D269" s="15" t="str">
        <f>IFERROR(__xludf.DUMMYFUNCTION("""COMPUTED_VALUE"""),"LISTICLE")</f>
        <v>LISTICLE</v>
      </c>
      <c r="E269" s="15" t="str">
        <f>IFERROR(__xludf.DUMMYFUNCTION("""COMPUTED_VALUE"""),"COMPETITOR")</f>
        <v>COMPETITOR</v>
      </c>
      <c r="F269" s="15" t="str">
        <f>IFERROR(__xludf.DUMMYFUNCTION("""COMPUTED_VALUE"""),"Listicle")</f>
        <v>Listicle</v>
      </c>
      <c r="G269" s="15" t="b">
        <f>IFERROR(__xludf.DUMMYFUNCTION("""COMPUTED_VALUE"""),FALSE)</f>
        <v>0</v>
      </c>
      <c r="H269" s="15" t="str">
        <f>IFERROR(__xludf.DUMMYFUNCTION("""COMPUTED_VALUE"""),"ClickSlice")</f>
        <v>ClickSlice</v>
      </c>
      <c r="I269" s="15">
        <f>IFERROR(__xludf.DUMMYFUNCTION("""COMPUTED_VALUE"""),2.0)</f>
        <v>2</v>
      </c>
      <c r="J269" s="15">
        <f>IFERROR(__xludf.DUMMYFUNCTION("""COMPUTED_VALUE"""),0.0)</f>
        <v>0</v>
      </c>
      <c r="K269" s="15">
        <f>IFERROR(__xludf.DUMMYFUNCTION("""COMPUTED_VALUE"""),0.0)</f>
        <v>0</v>
      </c>
    </row>
    <row r="270" ht="15.75" customHeight="1">
      <c r="A270" s="14" t="str">
        <f>IFERROR(__xludf.DUMMYFUNCTION("""COMPUTED_VALUE"""),"https://www.designrush.com/agency/digital-marketing/artificial-intelligence")</f>
        <v>https://www.designrush.com/agency/digital-marketing/artificial-intelligence</v>
      </c>
      <c r="B270" s="15" t="str">
        <f>IFERROR(__xludf.DUMMYFUNCTION("""COMPUTED_VALUE"""),"Top AI Marketing Companies in 2026")</f>
        <v>Top AI Marketing Companies in 2026</v>
      </c>
      <c r="C270" s="14" t="str">
        <f>IFERROR(__xludf.DUMMYFUNCTION("""COMPUTED_VALUE"""),"designrush.com")</f>
        <v>designrush.com</v>
      </c>
      <c r="D270" s="15" t="str">
        <f>IFERROR(__xludf.DUMMYFUNCTION("""COMPUTED_VALUE"""),"LISTICLE")</f>
        <v>LISTICLE</v>
      </c>
      <c r="E270" s="15" t="str">
        <f>IFERROR(__xludf.DUMMYFUNCTION("""COMPUTED_VALUE"""),"CORPORATE")</f>
        <v>CORPORATE</v>
      </c>
      <c r="F270" s="15" t="str">
        <f>IFERROR(__xludf.DUMMYFUNCTION("""COMPUTED_VALUE"""),"Listicle")</f>
        <v>Listicle</v>
      </c>
      <c r="G270" s="15" t="b">
        <f>IFERROR(__xludf.DUMMYFUNCTION("""COMPUTED_VALUE"""),FALSE)</f>
        <v>0</v>
      </c>
      <c r="H270" s="15" t="str">
        <f>IFERROR(__xludf.DUMMYFUNCTION("""COMPUTED_VALUE"""),"Single Grain, Jellyfish, Push, Huge, Found, Disruptive Advertising, Ninja Promo, PwC, Impression, WebFX")</f>
        <v>Single Grain, Jellyfish, Push, Huge, Found, Disruptive Advertising, Ninja Promo, PwC, Impression, WebFX</v>
      </c>
      <c r="I270" s="15">
        <f>IFERROR(__xludf.DUMMYFUNCTION("""COMPUTED_VALUE"""),2.0)</f>
        <v>2</v>
      </c>
      <c r="J270" s="15">
        <f>IFERROR(__xludf.DUMMYFUNCTION("""COMPUTED_VALUE"""),0.0)</f>
        <v>0</v>
      </c>
      <c r="K270" s="15">
        <f>IFERROR(__xludf.DUMMYFUNCTION("""COMPUTED_VALUE"""),0.0)</f>
        <v>0</v>
      </c>
    </row>
    <row r="271" ht="15.75" customHeight="1">
      <c r="A271" s="14" t="str">
        <f>IFERROR(__xludf.DUMMYFUNCTION("""COMPUTED_VALUE"""),"https://www.designrush.com/agency/digital-marketing/performance-marketing-agencies")</f>
        <v>https://www.designrush.com/agency/digital-marketing/performance-marketing-agencies</v>
      </c>
      <c r="B271" s="15" t="str">
        <f>IFERROR(__xludf.DUMMYFUNCTION("""COMPUTED_VALUE"""),"Top Performance Marketing Agencies in 2026")</f>
        <v>Top Performance Marketing Agencies in 2026</v>
      </c>
      <c r="C271" s="14" t="str">
        <f>IFERROR(__xludf.DUMMYFUNCTION("""COMPUTED_VALUE"""),"designrush.com")</f>
        <v>designrush.com</v>
      </c>
      <c r="D271" s="15" t="str">
        <f>IFERROR(__xludf.DUMMYFUNCTION("""COMPUTED_VALUE"""),"LISTICLE")</f>
        <v>LISTICLE</v>
      </c>
      <c r="E271" s="15" t="str">
        <f>IFERROR(__xludf.DUMMYFUNCTION("""COMPUTED_VALUE"""),"CORPORATE")</f>
        <v>CORPORATE</v>
      </c>
      <c r="F271" s="15" t="str">
        <f>IFERROR(__xludf.DUMMYFUNCTION("""COMPUTED_VALUE"""),"Listicle")</f>
        <v>Listicle</v>
      </c>
      <c r="G271" s="15" t="b">
        <f>IFERROR(__xludf.DUMMYFUNCTION("""COMPUTED_VALUE"""),FALSE)</f>
        <v>0</v>
      </c>
      <c r="H271" s="15" t="str">
        <f>IFERROR(__xludf.DUMMYFUNCTION("""COMPUTED_VALUE"""),"Wpromote, Polaris, NoGood, Power Digital, Found, Huge, Push, Disruptive Advertising, Impression, PwC, Propeller, Dept")</f>
        <v>Wpromote, Polaris, NoGood, Power Digital, Found, Huge, Push, Disruptive Advertising, Impression, PwC, Propeller, Dept</v>
      </c>
      <c r="I271" s="15">
        <f>IFERROR(__xludf.DUMMYFUNCTION("""COMPUTED_VALUE"""),2.0)</f>
        <v>2</v>
      </c>
      <c r="J271" s="15">
        <f>IFERROR(__xludf.DUMMYFUNCTION("""COMPUTED_VALUE"""),0.0)</f>
        <v>0</v>
      </c>
      <c r="K271" s="15">
        <f>IFERROR(__xludf.DUMMYFUNCTION("""COMPUTED_VALUE"""),0.0)</f>
        <v>0</v>
      </c>
    </row>
    <row r="272" ht="15.75" customHeight="1">
      <c r="A272" s="14" t="str">
        <f>IFERROR(__xludf.DUMMYFUNCTION("""COMPUTED_VALUE"""),"https://www.designrush.com/agency/paid-media-pay-per-click/display-advertising-agency")</f>
        <v>https://www.designrush.com/agency/paid-media-pay-per-click/display-advertising-agency</v>
      </c>
      <c r="B272" s="15" t="str">
        <f>IFERROR(__xludf.DUMMYFUNCTION("""COMPUTED_VALUE"""),"Top Display Advertising Agencies in 2026")</f>
        <v>Top Display Advertising Agencies in 2026</v>
      </c>
      <c r="C272" s="14" t="str">
        <f>IFERROR(__xludf.DUMMYFUNCTION("""COMPUTED_VALUE"""),"designrush.com")</f>
        <v>designrush.com</v>
      </c>
      <c r="D272" s="15" t="str">
        <f>IFERROR(__xludf.DUMMYFUNCTION("""COMPUTED_VALUE"""),"LISTICLE")</f>
        <v>LISTICLE</v>
      </c>
      <c r="E272" s="15" t="str">
        <f>IFERROR(__xludf.DUMMYFUNCTION("""COMPUTED_VALUE"""),"CORPORATE")</f>
        <v>CORPORATE</v>
      </c>
      <c r="F272" s="15" t="str">
        <f>IFERROR(__xludf.DUMMYFUNCTION("""COMPUTED_VALUE"""),"Listicle")</f>
        <v>Listicle</v>
      </c>
      <c r="G272" s="15" t="b">
        <f>IFERROR(__xludf.DUMMYFUNCTION("""COMPUTED_VALUE"""),FALSE)</f>
        <v>0</v>
      </c>
      <c r="H272" s="15" t="str">
        <f>IFERROR(__xludf.DUMMYFUNCTION("""COMPUTED_VALUE"""),"Push, Huge, Disruptive Advertising, Bird Marketing, Impression, WebFX, Found")</f>
        <v>Push, Huge, Disruptive Advertising, Bird Marketing, Impression, WebFX, Found</v>
      </c>
      <c r="I272" s="15">
        <f>IFERROR(__xludf.DUMMYFUNCTION("""COMPUTED_VALUE"""),2.0)</f>
        <v>2</v>
      </c>
      <c r="J272" s="15">
        <f>IFERROR(__xludf.DUMMYFUNCTION("""COMPUTED_VALUE"""),0.0)</f>
        <v>0</v>
      </c>
      <c r="K272" s="15">
        <f>IFERROR(__xludf.DUMMYFUNCTION("""COMPUTED_VALUE"""),1.0)</f>
        <v>1</v>
      </c>
    </row>
    <row r="273" ht="15.75" customHeight="1">
      <c r="A273" s="14" t="str">
        <f>IFERROR(__xludf.DUMMYFUNCTION("""COMPUTED_VALUE"""),"https://digiscorp.com/best-ai-consulting-firms-in-london-top-ai-experts-for-your-business/")</f>
        <v>https://digiscorp.com/best-ai-consulting-firms-in-london-top-ai-experts-for-your-business/</v>
      </c>
      <c r="B273" s="15" t="str">
        <f>IFERROR(__xludf.DUMMYFUNCTION("""COMPUTED_VALUE"""),"Best AI Consulting Firms in London")</f>
        <v>Best AI Consulting Firms in London</v>
      </c>
      <c r="C273" s="14" t="str">
        <f>IFERROR(__xludf.DUMMYFUNCTION("""COMPUTED_VALUE"""),"digiscorp.com")</f>
        <v>digiscorp.com</v>
      </c>
      <c r="D273" s="15" t="str">
        <f>IFERROR(__xludf.DUMMYFUNCTION("""COMPUTED_VALUE"""),"LISTICLE")</f>
        <v>LISTICLE</v>
      </c>
      <c r="E273" s="15" t="str">
        <f>IFERROR(__xludf.DUMMYFUNCTION("""COMPUTED_VALUE"""),"CORPORATE")</f>
        <v>CORPORATE</v>
      </c>
      <c r="F273" s="15" t="str">
        <f>IFERROR(__xludf.DUMMYFUNCTION("""COMPUTED_VALUE"""),"Listicle")</f>
        <v>Listicle</v>
      </c>
      <c r="G273" s="15" t="b">
        <f>IFERROR(__xludf.DUMMYFUNCTION("""COMPUTED_VALUE"""),FALSE)</f>
        <v>0</v>
      </c>
      <c r="H273" s="15" t="str">
        <f>IFERROR(__xludf.DUMMYFUNCTION("""COMPUTED_VALUE"""),"QuantumBlack")</f>
        <v>QuantumBlack</v>
      </c>
      <c r="I273" s="15">
        <f>IFERROR(__xludf.DUMMYFUNCTION("""COMPUTED_VALUE"""),2.0)</f>
        <v>2</v>
      </c>
      <c r="J273" s="15">
        <f>IFERROR(__xludf.DUMMYFUNCTION("""COMPUTED_VALUE"""),0.0)</f>
        <v>0</v>
      </c>
      <c r="K273" s="15">
        <f>IFERROR(__xludf.DUMMYFUNCTION("""COMPUTED_VALUE"""),0.5)</f>
        <v>0.5</v>
      </c>
    </row>
    <row r="274" ht="15.75" customHeight="1">
      <c r="A274" s="14" t="str">
        <f>IFERROR(__xludf.DUMMYFUNCTION("""COMPUTED_VALUE"""),"https://www.digitalagencyleaders.net/blog/best-ai-seo-agencies-uk")</f>
        <v>https://www.digitalagencyleaders.net/blog/best-ai-seo-agencies-uk</v>
      </c>
      <c r="B274" s="15" t="str">
        <f>IFERROR(__xludf.DUMMYFUNCTION("""COMPUTED_VALUE"""),"The 15 Best AI SEO Agencies in the UK (2026): GEO &amp;amp; AEO Specialists Ranked — Digital Agency Leaders Blog")</f>
        <v>The 15 Best AI SEO Agencies in the UK (2026): GEO &amp;amp; AEO Specialists Ranked — Digital Agency Leaders Blog</v>
      </c>
      <c r="C274" s="14" t="str">
        <f>IFERROR(__xludf.DUMMYFUNCTION("""COMPUTED_VALUE"""),"digitalagencyleaders.net")</f>
        <v>digitalagencyleaders.net</v>
      </c>
      <c r="D274" s="15" t="str">
        <f>IFERROR(__xludf.DUMMYFUNCTION("""COMPUTED_VALUE"""),"LISTICLE")</f>
        <v>LISTICLE</v>
      </c>
      <c r="E274" s="15" t="str">
        <f>IFERROR(__xludf.DUMMYFUNCTION("""COMPUTED_VALUE"""),"REFERENCE")</f>
        <v>REFERENCE</v>
      </c>
      <c r="F274" s="15" t="str">
        <f>IFERROR(__xludf.DUMMYFUNCTION("""COMPUTED_VALUE"""),"Listicle")</f>
        <v>Listicle</v>
      </c>
      <c r="G274" s="15" t="b">
        <f>IFERROR(__xludf.DUMMYFUNCTION("""COMPUTED_VALUE"""),FALSE)</f>
        <v>0</v>
      </c>
      <c r="H274" s="15" t="str">
        <f>IFERROR(__xludf.DUMMYFUNCTION("""COMPUTED_VALUE"""),"The SEO Works, Momentum, Found, Measured, Blue Array, Rise at Seven, Exposure Ninja, Impression, Passion Digital, Polaris, ClickSlice, Panovista Marketing, Hallam")</f>
        <v>The SEO Works, Momentum, Found, Measured, Blue Array, Rise at Seven, Exposure Ninja, Impression, Passion Digital, Polaris, ClickSlice, Panovista Marketing, Hallam</v>
      </c>
      <c r="I274" s="15">
        <f>IFERROR(__xludf.DUMMYFUNCTION("""COMPUTED_VALUE"""),2.0)</f>
        <v>2</v>
      </c>
      <c r="J274" s="15">
        <f>IFERROR(__xludf.DUMMYFUNCTION("""COMPUTED_VALUE"""),0.0)</f>
        <v>0</v>
      </c>
      <c r="K274" s="15">
        <f>IFERROR(__xludf.DUMMYFUNCTION("""COMPUTED_VALUE"""),3.0)</f>
        <v>3</v>
      </c>
    </row>
    <row r="275" ht="15.75" customHeight="1">
      <c r="A275" s="14" t="str">
        <f>IFERROR(__xludf.DUMMYFUNCTION("""COMPUTED_VALUE"""),"https://digitalagencynetwork.com/agencies/uk/online-advertising/")</f>
        <v>https://digitalagencynetwork.com/agencies/uk/online-advertising/</v>
      </c>
      <c r="B275" s="15" t="str">
        <f>IFERROR(__xludf.DUMMYFUNCTION("""COMPUTED_VALUE"""),"Best Online Advertising Agencies in UK")</f>
        <v>Best Online Advertising Agencies in UK</v>
      </c>
      <c r="C275" s="14" t="str">
        <f>IFERROR(__xludf.DUMMYFUNCTION("""COMPUTED_VALUE"""),"digitalagencynetwork.com")</f>
        <v>digitalagencynetwork.com</v>
      </c>
      <c r="D275" s="15" t="str">
        <f>IFERROR(__xludf.DUMMYFUNCTION("""COMPUTED_VALUE"""),"LISTICLE")</f>
        <v>LISTICLE</v>
      </c>
      <c r="E275" s="15" t="str">
        <f>IFERROR(__xludf.DUMMYFUNCTION("""COMPUTED_VALUE"""),"REFERENCE")</f>
        <v>REFERENCE</v>
      </c>
      <c r="F275" s="15" t="str">
        <f>IFERROR(__xludf.DUMMYFUNCTION("""COMPUTED_VALUE"""),"Listicle")</f>
        <v>Listicle</v>
      </c>
      <c r="G275" s="15" t="b">
        <f>IFERROR(__xludf.DUMMYFUNCTION("""COMPUTED_VALUE"""),FALSE)</f>
        <v>0</v>
      </c>
      <c r="H275" s="15" t="str">
        <f>IFERROR(__xludf.DUMMYFUNCTION("""COMPUTED_VALUE"""),"Favoured, GA Agency, Measured, Propeller, M3.agency, Bird Marketing, Passion Digital")</f>
        <v>Favoured, GA Agency, Measured, Propeller, M3.agency, Bird Marketing, Passion Digital</v>
      </c>
      <c r="I275" s="15">
        <f>IFERROR(__xludf.DUMMYFUNCTION("""COMPUTED_VALUE"""),2.0)</f>
        <v>2</v>
      </c>
      <c r="J275" s="15">
        <f>IFERROR(__xludf.DUMMYFUNCTION("""COMPUTED_VALUE"""),0.0)</f>
        <v>0</v>
      </c>
      <c r="K275" s="15">
        <f>IFERROR(__xludf.DUMMYFUNCTION("""COMPUTED_VALUE"""),0.5)</f>
        <v>0.5</v>
      </c>
    </row>
    <row r="276" ht="15.75" customHeight="1">
      <c r="A276" s="14" t="str">
        <f>IFERROR(__xludf.DUMMYFUNCTION("""COMPUTED_VALUE"""),"https://digitalmarketingcompanyinlondon.com/best-10-paid-media-agencies-in-london-2025/")</f>
        <v>https://digitalmarketingcompanyinlondon.com/best-10-paid-media-agencies-in-london-2025/</v>
      </c>
      <c r="B276" s="15" t="str">
        <f>IFERROR(__xludf.DUMMYFUNCTION("""COMPUTED_VALUE"""),"Best 10 Paid Media Agencies in London (2025) – Digital Marketing Company in London")</f>
        <v>Best 10 Paid Media Agencies in London (2025) – Digital Marketing Company in London</v>
      </c>
      <c r="C276" s="14" t="str">
        <f>IFERROR(__xludf.DUMMYFUNCTION("""COMPUTED_VALUE"""),"digitalmarketingcompanyinlondon.com")</f>
        <v>digitalmarketingcompanyinlondon.com</v>
      </c>
      <c r="D276" s="15" t="str">
        <f>IFERROR(__xludf.DUMMYFUNCTION("""COMPUTED_VALUE"""),"LISTICLE")</f>
        <v>LISTICLE</v>
      </c>
      <c r="E276" s="15" t="str">
        <f>IFERROR(__xludf.DUMMYFUNCTION("""COMPUTED_VALUE"""),"CORPORATE")</f>
        <v>CORPORATE</v>
      </c>
      <c r="F276" s="15" t="str">
        <f>IFERROR(__xludf.DUMMYFUNCTION("""COMPUTED_VALUE"""),"Listicle")</f>
        <v>Listicle</v>
      </c>
      <c r="G276" s="15" t="b">
        <f>IFERROR(__xludf.DUMMYFUNCTION("""COMPUTED_VALUE"""),FALSE)</f>
        <v>0</v>
      </c>
      <c r="H276" s="15" t="str">
        <f>IFERROR(__xludf.DUMMYFUNCTION("""COMPUTED_VALUE"""),"Found, ROAST, Croud, Jellyfish, Favoured, The Good Marketer, Impression, Passion Digital")</f>
        <v>Found, ROAST, Croud, Jellyfish, Favoured, The Good Marketer, Impression, Passion Digital</v>
      </c>
      <c r="I276" s="15">
        <f>IFERROR(__xludf.DUMMYFUNCTION("""COMPUTED_VALUE"""),2.0)</f>
        <v>2</v>
      </c>
      <c r="J276" s="15">
        <f>IFERROR(__xludf.DUMMYFUNCTION("""COMPUTED_VALUE"""),0.0)</f>
        <v>0</v>
      </c>
      <c r="K276" s="15">
        <f>IFERROR(__xludf.DUMMYFUNCTION("""COMPUTED_VALUE"""),0.0)</f>
        <v>0</v>
      </c>
    </row>
    <row r="277" ht="15.75" customHeight="1">
      <c r="A277" s="14" t="str">
        <f>IFERROR(__xludf.DUMMYFUNCTION("""COMPUTED_VALUE"""),"https://directiveconsulting.com/blog/top-performance-marketing-agencies/")</f>
        <v>https://directiveconsulting.com/blog/top-performance-marketing-agencies/</v>
      </c>
      <c r="B277" s="15" t="str">
        <f>IFERROR(__xludf.DUMMYFUNCTION("""COMPUTED_VALUE"""),"18 Best Performance Marketing Agencies For B2B - Directive")</f>
        <v>18 Best Performance Marketing Agencies For B2B - Directive</v>
      </c>
      <c r="C277" s="14" t="str">
        <f>IFERROR(__xludf.DUMMYFUNCTION("""COMPUTED_VALUE"""),"directiveconsulting.com")</f>
        <v>directiveconsulting.com</v>
      </c>
      <c r="D277" s="15" t="str">
        <f>IFERROR(__xludf.DUMMYFUNCTION("""COMPUTED_VALUE"""),"LISTICLE")</f>
        <v>LISTICLE</v>
      </c>
      <c r="E277" s="15" t="str">
        <f>IFERROR(__xludf.DUMMYFUNCTION("""COMPUTED_VALUE"""),"COMPETITOR")</f>
        <v>COMPETITOR</v>
      </c>
      <c r="F277" s="15" t="str">
        <f>IFERROR(__xludf.DUMMYFUNCTION("""COMPUTED_VALUE"""),"Listicle")</f>
        <v>Listicle</v>
      </c>
      <c r="G277" s="15" t="b">
        <f>IFERROR(__xludf.DUMMYFUNCTION("""COMPUTED_VALUE"""),FALSE)</f>
        <v>0</v>
      </c>
      <c r="H277" s="15" t="str">
        <f>IFERROR(__xludf.DUMMYFUNCTION("""COMPUTED_VALUE"""),"Directive Consulting, NoGood, Common Thread Collective, Wpromote, Darkroom, inBeat, Single Grain, Omniscient Digital, Measured, Disrupt Marketing")</f>
        <v>Directive Consulting, NoGood, Common Thread Collective, Wpromote, Darkroom, inBeat, Single Grain, Omniscient Digital, Measured, Disrupt Marketing</v>
      </c>
      <c r="I277" s="15">
        <f>IFERROR(__xludf.DUMMYFUNCTION("""COMPUTED_VALUE"""),2.0)</f>
        <v>2</v>
      </c>
      <c r="J277" s="15">
        <f>IFERROR(__xludf.DUMMYFUNCTION("""COMPUTED_VALUE"""),0.0)</f>
        <v>0</v>
      </c>
      <c r="K277" s="15">
        <f>IFERROR(__xludf.DUMMYFUNCTION("""COMPUTED_VALUE"""),1.5)</f>
        <v>1.5</v>
      </c>
    </row>
    <row r="278" ht="15.75" customHeight="1">
      <c r="A278" s="14" t="str">
        <f>IFERROR(__xludf.DUMMYFUNCTION("""COMPUTED_VALUE"""),"https://directiveconsulting.com/uk/blog/25-best-advertising-agencies-built-for-media-momentum/")</f>
        <v>https://directiveconsulting.com/uk/blog/25-best-advertising-agencies-built-for-media-momentum/</v>
      </c>
      <c r="B278" s="15" t="str">
        <f>IFERROR(__xludf.DUMMYFUNCTION("""COMPUTED_VALUE"""),"25 Best Advertising Agencies For B2B - Directive")</f>
        <v>25 Best Advertising Agencies For B2B - Directive</v>
      </c>
      <c r="C278" s="14" t="str">
        <f>IFERROR(__xludf.DUMMYFUNCTION("""COMPUTED_VALUE"""),"directiveconsulting.com")</f>
        <v>directiveconsulting.com</v>
      </c>
      <c r="D278" s="15" t="str">
        <f>IFERROR(__xludf.DUMMYFUNCTION("""COMPUTED_VALUE"""),"LISTICLE")</f>
        <v>LISTICLE</v>
      </c>
      <c r="E278" s="15" t="str">
        <f>IFERROR(__xludf.DUMMYFUNCTION("""COMPUTED_VALUE"""),"COMPETITOR")</f>
        <v>COMPETITOR</v>
      </c>
      <c r="F278" s="15" t="str">
        <f>IFERROR(__xludf.DUMMYFUNCTION("""COMPUTED_VALUE"""),"Listicle")</f>
        <v>Listicle</v>
      </c>
      <c r="G278" s="15" t="b">
        <f>IFERROR(__xludf.DUMMYFUNCTION("""COMPUTED_VALUE"""),FALSE)</f>
        <v>0</v>
      </c>
      <c r="H278" s="15" t="str">
        <f>IFERROR(__xludf.DUMMYFUNCTION("""COMPUTED_VALUE"""),"Directive Consulting, Momentum, Tinuiti, PMG, Jellyfish, Wpromote, Merkle, Croud, Impression, Monks, AKQA, Measured")</f>
        <v>Directive Consulting, Momentum, Tinuiti, PMG, Jellyfish, Wpromote, Merkle, Croud, Impression, Monks, AKQA, Measured</v>
      </c>
      <c r="I278" s="15">
        <f>IFERROR(__xludf.DUMMYFUNCTION("""COMPUTED_VALUE"""),2.0)</f>
        <v>2</v>
      </c>
      <c r="J278" s="15">
        <f>IFERROR(__xludf.DUMMYFUNCTION("""COMPUTED_VALUE"""),0.0)</f>
        <v>0</v>
      </c>
      <c r="K278" s="15">
        <f>IFERROR(__xludf.DUMMYFUNCTION("""COMPUTED_VALUE"""),0.5)</f>
        <v>0.5</v>
      </c>
    </row>
    <row r="279" ht="15.75" customHeight="1">
      <c r="A279" s="14" t="str">
        <f>IFERROR(__xludf.DUMMYFUNCTION("""COMPUTED_VALUE"""),"https://eintelligenceweb.com/blog/top-generative-engine-optimisation-geo-agencies/")</f>
        <v>https://eintelligenceweb.com/blog/top-generative-engine-optimisation-geo-agencies/</v>
      </c>
      <c r="B279" s="15" t="str">
        <f>IFERROR(__xludf.DUMMYFUNCTION("""COMPUTED_VALUE"""),"Top Generative Engine Optimisation (GEO) Agencies in UK")</f>
        <v>Top Generative Engine Optimisation (GEO) Agencies in UK</v>
      </c>
      <c r="C279" s="14" t="str">
        <f>IFERROR(__xludf.DUMMYFUNCTION("""COMPUTED_VALUE"""),"eintelligenceweb.com")</f>
        <v>eintelligenceweb.com</v>
      </c>
      <c r="D279" s="15" t="str">
        <f>IFERROR(__xludf.DUMMYFUNCTION("""COMPUTED_VALUE"""),"LISTICLE")</f>
        <v>LISTICLE</v>
      </c>
      <c r="E279" s="15" t="str">
        <f>IFERROR(__xludf.DUMMYFUNCTION("""COMPUTED_VALUE"""),"CORPORATE")</f>
        <v>CORPORATE</v>
      </c>
      <c r="F279" s="15" t="str">
        <f>IFERROR(__xludf.DUMMYFUNCTION("""COMPUTED_VALUE"""),"Listicle")</f>
        <v>Listicle</v>
      </c>
      <c r="G279" s="15" t="b">
        <f>IFERROR(__xludf.DUMMYFUNCTION("""COMPUTED_VALUE"""),FALSE)</f>
        <v>0</v>
      </c>
      <c r="H279" s="15" t="str">
        <f>IFERROR(__xludf.DUMMYFUNCTION("""COMPUTED_VALUE"""),"ClickSlice, Blue Array, Huge")</f>
        <v>ClickSlice, Blue Array, Huge</v>
      </c>
      <c r="I279" s="15">
        <f>IFERROR(__xludf.DUMMYFUNCTION("""COMPUTED_VALUE"""),2.0)</f>
        <v>2</v>
      </c>
      <c r="J279" s="15">
        <f>IFERROR(__xludf.DUMMYFUNCTION("""COMPUTED_VALUE"""),0.0)</f>
        <v>0</v>
      </c>
      <c r="K279" s="15">
        <f>IFERROR(__xludf.DUMMYFUNCTION("""COMPUTED_VALUE"""),2.5)</f>
        <v>2.5</v>
      </c>
    </row>
    <row r="280" ht="15.75" customHeight="1">
      <c r="A280" s="14" t="str">
        <f>IFERROR(__xludf.DUMMYFUNCTION("""COMPUTED_VALUE"""),"https://www.fieldtrip.agency/post/top-geo-agencies#:~:text=First%20Page%20Sage%20has%20built,%2C%20Alcoa%2C%20and%20U.S.%20Bancorp.")</f>
        <v>https://www.fieldtrip.agency/post/top-geo-agencies#:~:text=First%20Page%20Sage%20has%20built,%2C%20Alcoa%2C%20and%20U.S.%20Bancorp.</v>
      </c>
      <c r="B280" s="15" t="str">
        <f>IFERROR(__xludf.DUMMYFUNCTION("""COMPUTED_VALUE"""),"Top Generative Engine Optimization (GEO) Agencies for Brands in AI Search")</f>
        <v>Top Generative Engine Optimization (GEO) Agencies for Brands in AI Search</v>
      </c>
      <c r="C280" s="15" t="str">
        <f>IFERROR(__xludf.DUMMYFUNCTION("""COMPUTED_VALUE"""),"fieldtrip.agency")</f>
        <v>fieldtrip.agency</v>
      </c>
      <c r="D280" s="15" t="str">
        <f>IFERROR(__xludf.DUMMYFUNCTION("""COMPUTED_VALUE"""),"LISTICLE")</f>
        <v>LISTICLE</v>
      </c>
      <c r="E280" s="15" t="str">
        <f>IFERROR(__xludf.DUMMYFUNCTION("""COMPUTED_VALUE"""),"CORPORATE")</f>
        <v>CORPORATE</v>
      </c>
      <c r="F280" s="15" t="str">
        <f>IFERROR(__xludf.DUMMYFUNCTION("""COMPUTED_VALUE"""),"Listicle")</f>
        <v>Listicle</v>
      </c>
      <c r="G280" s="15" t="b">
        <f>IFERROR(__xludf.DUMMYFUNCTION("""COMPUTED_VALUE"""),FALSE)</f>
        <v>0</v>
      </c>
      <c r="H280" s="15" t="str">
        <f>IFERROR(__xludf.DUMMYFUNCTION("""COMPUTED_VALUE"""),"Siege Media, WebFX, NP Digital, Omniscient Digital, Measured, Found, inBeat")</f>
        <v>Siege Media, WebFX, NP Digital, Omniscient Digital, Measured, Found, inBeat</v>
      </c>
      <c r="I280" s="15">
        <f>IFERROR(__xludf.DUMMYFUNCTION("""COMPUTED_VALUE"""),2.0)</f>
        <v>2</v>
      </c>
      <c r="J280" s="15">
        <f>IFERROR(__xludf.DUMMYFUNCTION("""COMPUTED_VALUE"""),0.0)</f>
        <v>0</v>
      </c>
      <c r="K280" s="15">
        <f>IFERROR(__xludf.DUMMYFUNCTION("""COMPUTED_VALUE"""),0.5)</f>
        <v>0.5</v>
      </c>
    </row>
    <row r="281" ht="15.75" customHeight="1">
      <c r="A281" s="14" t="str">
        <f>IFERROR(__xludf.DUMMYFUNCTION("""COMPUTED_VALUE"""),"https://www.forrester.com/blogs/picking-an-agency-to-maximize-the-value-of-your-first-party-data/")</f>
        <v>https://www.forrester.com/blogs/picking-an-agency-to-maximize-the-value-of-your-first-party-data/</v>
      </c>
      <c r="B281" s="15" t="str">
        <f>IFERROR(__xludf.DUMMYFUNCTION("""COMPUTED_VALUE"""),"Picking An Agency To Maximize The Value Of Your First-Party Data")</f>
        <v>Picking An Agency To Maximize The Value Of Your First-Party Data</v>
      </c>
      <c r="C281" s="14" t="str">
        <f>IFERROR(__xludf.DUMMYFUNCTION("""COMPUTED_VALUE"""),"forrester.com")</f>
        <v>forrester.com</v>
      </c>
      <c r="D281" s="15" t="str">
        <f>IFERROR(__xludf.DUMMYFUNCTION("""COMPUTED_VALUE"""),"LISTICLE")</f>
        <v>LISTICLE</v>
      </c>
      <c r="E281" s="15" t="str">
        <f>IFERROR(__xludf.DUMMYFUNCTION("""COMPUTED_VALUE"""),"CORPORATE")</f>
        <v>CORPORATE</v>
      </c>
      <c r="F281" s="15" t="str">
        <f>IFERROR(__xludf.DUMMYFUNCTION("""COMPUTED_VALUE"""),"Listicle")</f>
        <v>Listicle</v>
      </c>
      <c r="G281" s="15" t="b">
        <f>IFERROR(__xludf.DUMMYFUNCTION("""COMPUTED_VALUE"""),FALSE)</f>
        <v>0</v>
      </c>
      <c r="H281" s="15"/>
      <c r="I281" s="15">
        <f>IFERROR(__xludf.DUMMYFUNCTION("""COMPUTED_VALUE"""),2.0)</f>
        <v>2</v>
      </c>
      <c r="J281" s="15">
        <f>IFERROR(__xludf.DUMMYFUNCTION("""COMPUTED_VALUE"""),0.0)</f>
        <v>0</v>
      </c>
      <c r="K281" s="15">
        <f>IFERROR(__xludf.DUMMYFUNCTION("""COMPUTED_VALUE"""),1.0)</f>
        <v>1</v>
      </c>
    </row>
    <row r="282" ht="15.75" customHeight="1">
      <c r="A282" s="14" t="str">
        <f>IFERROR(__xludf.DUMMYFUNCTION("""COMPUTED_VALUE"""),"https://www.forrester.com/blogs/the-latest-and-greatest-mmo-service-providers/")</f>
        <v>https://www.forrester.com/blogs/the-latest-and-greatest-mmo-service-providers/</v>
      </c>
      <c r="B282" s="15" t="str">
        <f>IFERROR(__xludf.DUMMYFUNCTION("""COMPUTED_VALUE"""),"The Latest And Greatest Marketing Measurement Service Providers")</f>
        <v>The Latest And Greatest Marketing Measurement Service Providers</v>
      </c>
      <c r="C282" s="14" t="str">
        <f>IFERROR(__xludf.DUMMYFUNCTION("""COMPUTED_VALUE"""),"forrester.com")</f>
        <v>forrester.com</v>
      </c>
      <c r="D282" s="15" t="str">
        <f>IFERROR(__xludf.DUMMYFUNCTION("""COMPUTED_VALUE"""),"LISTICLE")</f>
        <v>LISTICLE</v>
      </c>
      <c r="E282" s="15" t="str">
        <f>IFERROR(__xludf.DUMMYFUNCTION("""COMPUTED_VALUE"""),"CORPORATE")</f>
        <v>CORPORATE</v>
      </c>
      <c r="F282" s="15" t="str">
        <f>IFERROR(__xludf.DUMMYFUNCTION("""COMPUTED_VALUE"""),"Listicle")</f>
        <v>Listicle</v>
      </c>
      <c r="G282" s="15" t="b">
        <f>IFERROR(__xludf.DUMMYFUNCTION("""COMPUTED_VALUE"""),FALSE)</f>
        <v>0</v>
      </c>
      <c r="H282" s="15" t="str">
        <f>IFERROR(__xludf.DUMMYFUNCTION("""COMPUTED_VALUE"""),"Analytic Partners, Ekimetrics, Gain Theory, Kantar, Nielsen")</f>
        <v>Analytic Partners, Ekimetrics, Gain Theory, Kantar, Nielsen</v>
      </c>
      <c r="I282" s="15">
        <f>IFERROR(__xludf.DUMMYFUNCTION("""COMPUTED_VALUE"""),2.0)</f>
        <v>2</v>
      </c>
      <c r="J282" s="15">
        <f>IFERROR(__xludf.DUMMYFUNCTION("""COMPUTED_VALUE"""),0.0)</f>
        <v>0</v>
      </c>
      <c r="K282" s="15">
        <f>IFERROR(__xludf.DUMMYFUNCTION("""COMPUTED_VALUE"""),2.0)</f>
        <v>2</v>
      </c>
    </row>
    <row r="283" ht="15.75" customHeight="1">
      <c r="A283" s="14" t="str">
        <f>IFERROR(__xludf.DUMMYFUNCTION("""COMPUTED_VALUE"""),"https://www.groupcaliber.com/top-reputation-monitoring-tools-and-why-stakeholder-intelligence-is-next/")</f>
        <v>https://www.groupcaliber.com/top-reputation-monitoring-tools-and-why-stakeholder-intelligence-is-next/</v>
      </c>
      <c r="B283" s="15" t="str">
        <f>IFERROR(__xludf.DUMMYFUNCTION("""COMPUTED_VALUE"""),"Top Reputation Monitoring Tools 2026 | Caliber")</f>
        <v>Top Reputation Monitoring Tools 2026 | Caliber</v>
      </c>
      <c r="C283" s="14" t="str">
        <f>IFERROR(__xludf.DUMMYFUNCTION("""COMPUTED_VALUE"""),"groupcaliber.com")</f>
        <v>groupcaliber.com</v>
      </c>
      <c r="D283" s="15" t="str">
        <f>IFERROR(__xludf.DUMMYFUNCTION("""COMPUTED_VALUE"""),"LISTICLE")</f>
        <v>LISTICLE</v>
      </c>
      <c r="E283" s="15" t="str">
        <f>IFERROR(__xludf.DUMMYFUNCTION("""COMPUTED_VALUE"""),"CORPORATE")</f>
        <v>CORPORATE</v>
      </c>
      <c r="F283" s="15" t="str">
        <f>IFERROR(__xludf.DUMMYFUNCTION("""COMPUTED_VALUE"""),"Listicle")</f>
        <v>Listicle</v>
      </c>
      <c r="G283" s="15" t="b">
        <f>IFERROR(__xludf.DUMMYFUNCTION("""COMPUTED_VALUE"""),FALSE)</f>
        <v>0</v>
      </c>
      <c r="H283" s="15" t="str">
        <f>IFERROR(__xludf.DUMMYFUNCTION("""COMPUTED_VALUE"""),"YouGov, Kantar")</f>
        <v>YouGov, Kantar</v>
      </c>
      <c r="I283" s="15">
        <f>IFERROR(__xludf.DUMMYFUNCTION("""COMPUTED_VALUE"""),2.0)</f>
        <v>2</v>
      </c>
      <c r="J283" s="15">
        <f>IFERROR(__xludf.DUMMYFUNCTION("""COMPUTED_VALUE"""),0.0)</f>
        <v>0</v>
      </c>
      <c r="K283" s="15">
        <f>IFERROR(__xludf.DUMMYFUNCTION("""COMPUTED_VALUE"""),1.0)</f>
        <v>1</v>
      </c>
    </row>
    <row r="284" ht="15.75" customHeight="1">
      <c r="A284" s="14" t="str">
        <f>IFERROR(__xludf.DUMMYFUNCTION("""COMPUTED_VALUE"""),"https://hawkemedia.com/insights/top-performance-marketing-agencies/")</f>
        <v>https://hawkemedia.com/insights/top-performance-marketing-agencies/</v>
      </c>
      <c r="B284" s="15" t="str">
        <f>IFERROR(__xludf.DUMMYFUNCTION("""COMPUTED_VALUE"""),"Top 25 Performance Marketing Agencies In The U.S. 2026 | Hawke Media")</f>
        <v>Top 25 Performance Marketing Agencies In The U.S. 2026 | Hawke Media</v>
      </c>
      <c r="C284" s="14" t="str">
        <f>IFERROR(__xludf.DUMMYFUNCTION("""COMPUTED_VALUE"""),"hawkemedia.com")</f>
        <v>hawkemedia.com</v>
      </c>
      <c r="D284" s="15" t="str">
        <f>IFERROR(__xludf.DUMMYFUNCTION("""COMPUTED_VALUE"""),"LISTICLE")</f>
        <v>LISTICLE</v>
      </c>
      <c r="E284" s="15" t="str">
        <f>IFERROR(__xludf.DUMMYFUNCTION("""COMPUTED_VALUE"""),"COMPETITOR")</f>
        <v>COMPETITOR</v>
      </c>
      <c r="F284" s="15" t="str">
        <f>IFERROR(__xludf.DUMMYFUNCTION("""COMPUTED_VALUE"""),"Listicle")</f>
        <v>Listicle</v>
      </c>
      <c r="G284" s="15" t="b">
        <f>IFERROR(__xludf.DUMMYFUNCTION("""COMPUTED_VALUE"""),FALSE)</f>
        <v>0</v>
      </c>
      <c r="H284" s="15" t="str">
        <f>IFERROR(__xludf.DUMMYFUNCTION("""COMPUTED_VALUE"""),"Hawke Media, Tinuiti, Wpromote, Power Digital, WebFX, Measured, Disruptive Advertising, Ignite Visibility, NP Digital, New Engen, NoGood, Ogilvy, Monks, Merkle, Siege Media")</f>
        <v>Hawke Media, Tinuiti, Wpromote, Power Digital, WebFX, Measured, Disruptive Advertising, Ignite Visibility, NP Digital, New Engen, NoGood, Ogilvy, Monks, Merkle, Siege Media</v>
      </c>
      <c r="I284" s="15">
        <f>IFERROR(__xludf.DUMMYFUNCTION("""COMPUTED_VALUE"""),2.0)</f>
        <v>2</v>
      </c>
      <c r="J284" s="15">
        <f>IFERROR(__xludf.DUMMYFUNCTION("""COMPUTED_VALUE"""),0.0)</f>
        <v>0</v>
      </c>
      <c r="K284" s="15">
        <f>IFERROR(__xludf.DUMMYFUNCTION("""COMPUTED_VALUE"""),1.0)</f>
        <v>1</v>
      </c>
    </row>
    <row r="285" ht="15.75" customHeight="1">
      <c r="A285" s="14" t="str">
        <f>IFERROR(__xludf.DUMMYFUNCTION("""COMPUTED_VALUE"""),"https://helium42.com/blog/ai-consultant-london")</f>
        <v>https://helium42.com/blog/ai-consultant-london</v>
      </c>
      <c r="B285" s="15" t="str">
        <f>IFERROR(__xludf.DUMMYFUNCTION("""COMPUTED_VALUE"""),"AI Consultant in London: Pricing and How to Choose (2026)")</f>
        <v>AI Consultant in London: Pricing and How to Choose (2026)</v>
      </c>
      <c r="C285" s="14" t="str">
        <f>IFERROR(__xludf.DUMMYFUNCTION("""COMPUTED_VALUE"""),"helium42.com")</f>
        <v>helium42.com</v>
      </c>
      <c r="D285" s="15" t="str">
        <f>IFERROR(__xludf.DUMMYFUNCTION("""COMPUTED_VALUE"""),"LISTICLE")</f>
        <v>LISTICLE</v>
      </c>
      <c r="E285" s="15" t="str">
        <f>IFERROR(__xludf.DUMMYFUNCTION("""COMPUTED_VALUE"""),"CORPORATE")</f>
        <v>CORPORATE</v>
      </c>
      <c r="F285" s="15" t="str">
        <f>IFERROR(__xludf.DUMMYFUNCTION("""COMPUTED_VALUE"""),"Listicle")</f>
        <v>Listicle</v>
      </c>
      <c r="G285" s="15" t="b">
        <f>IFERROR(__xludf.DUMMYFUNCTION("""COMPUTED_VALUE"""),FALSE)</f>
        <v>0</v>
      </c>
      <c r="H285" s="15"/>
      <c r="I285" s="15">
        <f>IFERROR(__xludf.DUMMYFUNCTION("""COMPUTED_VALUE"""),2.0)</f>
        <v>2</v>
      </c>
      <c r="J285" s="15">
        <f>IFERROR(__xludf.DUMMYFUNCTION("""COMPUTED_VALUE"""),0.0)</f>
        <v>0</v>
      </c>
      <c r="K285" s="15">
        <f>IFERROR(__xludf.DUMMYFUNCTION("""COMPUTED_VALUE"""),0.5)</f>
        <v>0.5</v>
      </c>
    </row>
    <row r="286" ht="15.75" customHeight="1">
      <c r="A286" s="14" t="str">
        <f>IFERROR(__xludf.DUMMYFUNCTION("""COMPUTED_VALUE"""),"https://hikemytraffic.com/ai-digital-marketing-agencies-in-uk/")</f>
        <v>https://hikemytraffic.com/ai-digital-marketing-agencies-in-uk/</v>
      </c>
      <c r="B286" s="15" t="str">
        <f>IFERROR(__xludf.DUMMYFUNCTION("""COMPUTED_VALUE"""),"Top 10 AI Digital Marketing Agencies in UK (2026)")</f>
        <v>Top 10 AI Digital Marketing Agencies in UK (2026)</v>
      </c>
      <c r="C286" s="14" t="str">
        <f>IFERROR(__xludf.DUMMYFUNCTION("""COMPUTED_VALUE"""),"hikemytraffic.com")</f>
        <v>hikemytraffic.com</v>
      </c>
      <c r="D286" s="15" t="str">
        <f>IFERROR(__xludf.DUMMYFUNCTION("""COMPUTED_VALUE"""),"LISTICLE")</f>
        <v>LISTICLE</v>
      </c>
      <c r="E286" s="15" t="str">
        <f>IFERROR(__xludf.DUMMYFUNCTION("""COMPUTED_VALUE"""),"CORPORATE")</f>
        <v>CORPORATE</v>
      </c>
      <c r="F286" s="15" t="str">
        <f>IFERROR(__xludf.DUMMYFUNCTION("""COMPUTED_VALUE"""),"Listicle")</f>
        <v>Listicle</v>
      </c>
      <c r="G286" s="15" t="b">
        <f>IFERROR(__xludf.DUMMYFUNCTION("""COMPUTED_VALUE"""),FALSE)</f>
        <v>0</v>
      </c>
      <c r="H286" s="15" t="str">
        <f>IFERROR(__xludf.DUMMYFUNCTION("""COMPUTED_VALUE"""),"Found, The Good Marketer, Dentsu")</f>
        <v>Found, The Good Marketer, Dentsu</v>
      </c>
      <c r="I286" s="15">
        <f>IFERROR(__xludf.DUMMYFUNCTION("""COMPUTED_VALUE"""),2.0)</f>
        <v>2</v>
      </c>
      <c r="J286" s="15">
        <f>IFERROR(__xludf.DUMMYFUNCTION("""COMPUTED_VALUE"""),0.0)</f>
        <v>0</v>
      </c>
      <c r="K286" s="15">
        <f>IFERROR(__xludf.DUMMYFUNCTION("""COMPUTED_VALUE"""),0.5)</f>
        <v>0.5</v>
      </c>
    </row>
    <row r="287" ht="15.75" customHeight="1">
      <c r="A287" s="14" t="str">
        <f>IFERROR(__xludf.DUMMYFUNCTION("""COMPUTED_VALUE"""),"https://hikemytraffic.com/ai-digital-marketing-services-in-uk/")</f>
        <v>https://hikemytraffic.com/ai-digital-marketing-services-in-uk/</v>
      </c>
      <c r="B287" s="15" t="str">
        <f>IFERROR(__xludf.DUMMYFUNCTION("""COMPUTED_VALUE"""),"20 Best AI Digital Marketing Services in UK")</f>
        <v>20 Best AI Digital Marketing Services in UK</v>
      </c>
      <c r="C287" s="14" t="str">
        <f>IFERROR(__xludf.DUMMYFUNCTION("""COMPUTED_VALUE"""),"hikemytraffic.com")</f>
        <v>hikemytraffic.com</v>
      </c>
      <c r="D287" s="15" t="str">
        <f>IFERROR(__xludf.DUMMYFUNCTION("""COMPUTED_VALUE"""),"LISTICLE")</f>
        <v>LISTICLE</v>
      </c>
      <c r="E287" s="15" t="str">
        <f>IFERROR(__xludf.DUMMYFUNCTION("""COMPUTED_VALUE"""),"CORPORATE")</f>
        <v>CORPORATE</v>
      </c>
      <c r="F287" s="15" t="str">
        <f>IFERROR(__xludf.DUMMYFUNCTION("""COMPUTED_VALUE"""),"Listicle")</f>
        <v>Listicle</v>
      </c>
      <c r="G287" s="15" t="b">
        <f>IFERROR(__xludf.DUMMYFUNCTION("""COMPUTED_VALUE"""),FALSE)</f>
        <v>0</v>
      </c>
      <c r="H287" s="15" t="str">
        <f>IFERROR(__xludf.DUMMYFUNCTION("""COMPUTED_VALUE"""),"Gripped, The Social Shepherd, Found, The Good Marketer, Bird Marketing")</f>
        <v>Gripped, The Social Shepherd, Found, The Good Marketer, Bird Marketing</v>
      </c>
      <c r="I287" s="15">
        <f>IFERROR(__xludf.DUMMYFUNCTION("""COMPUTED_VALUE"""),2.0)</f>
        <v>2</v>
      </c>
      <c r="J287" s="15">
        <f>IFERROR(__xludf.DUMMYFUNCTION("""COMPUTED_VALUE"""),0.0)</f>
        <v>0</v>
      </c>
      <c r="K287" s="15">
        <f>IFERROR(__xludf.DUMMYFUNCTION("""COMPUTED_VALUE"""),0.5)</f>
        <v>0.5</v>
      </c>
    </row>
    <row r="288" ht="15.75" customHeight="1">
      <c r="A288" s="14" t="str">
        <f>IFERROR(__xludf.DUMMYFUNCTION("""COMPUTED_VALUE"""),"https://ikon.london/articles/best-creative-agencies")</f>
        <v>https://ikon.london/articles/best-creative-agencies</v>
      </c>
      <c r="B288" s="15" t="str">
        <f>IFERROR(__xludf.DUMMYFUNCTION("""COMPUTED_VALUE"""),"Best Creative Agencies in London &amp;amp; Beyond | 2026 | Top 10")</f>
        <v>Best Creative Agencies in London &amp;amp; Beyond | 2026 | Top 10</v>
      </c>
      <c r="C288" s="15" t="str">
        <f>IFERROR(__xludf.DUMMYFUNCTION("""COMPUTED_VALUE"""),"ikon.london")</f>
        <v>ikon.london</v>
      </c>
      <c r="D288" s="15" t="str">
        <f>IFERROR(__xludf.DUMMYFUNCTION("""COMPUTED_VALUE"""),"LISTICLE")</f>
        <v>LISTICLE</v>
      </c>
      <c r="E288" s="15" t="str">
        <f>IFERROR(__xludf.DUMMYFUNCTION("""COMPUTED_VALUE"""),"CORPORATE")</f>
        <v>CORPORATE</v>
      </c>
      <c r="F288" s="15" t="str">
        <f>IFERROR(__xludf.DUMMYFUNCTION("""COMPUTED_VALUE"""),"Listicle")</f>
        <v>Listicle</v>
      </c>
      <c r="G288" s="15" t="b">
        <f>IFERROR(__xludf.DUMMYFUNCTION("""COMPUTED_VALUE"""),FALSE)</f>
        <v>0</v>
      </c>
      <c r="H288" s="15" t="str">
        <f>IFERROR(__xludf.DUMMYFUNCTION("""COMPUTED_VALUE"""),"AKQA, Ogilvy, Mother London")</f>
        <v>AKQA, Ogilvy, Mother London</v>
      </c>
      <c r="I288" s="15">
        <f>IFERROR(__xludf.DUMMYFUNCTION("""COMPUTED_VALUE"""),2.0)</f>
        <v>2</v>
      </c>
      <c r="J288" s="15">
        <f>IFERROR(__xludf.DUMMYFUNCTION("""COMPUTED_VALUE"""),0.0)</f>
        <v>0</v>
      </c>
      <c r="K288" s="15">
        <f>IFERROR(__xludf.DUMMYFUNCTION("""COMPUTED_VALUE"""),0.0)</f>
        <v>0</v>
      </c>
    </row>
    <row r="289" ht="15.75" customHeight="1">
      <c r="A289" s="14" t="str">
        <f>IFERROR(__xludf.DUMMYFUNCTION("""COMPUTED_VALUE"""),"https://inbeat.agency/blog/top-creative-agencies")</f>
        <v>https://inbeat.agency/blog/top-creative-agencies</v>
      </c>
      <c r="B289" s="15" t="str">
        <f>IFERROR(__xludf.DUMMYFUNCTION("""COMPUTED_VALUE"""),"Top 16 Creative Agencies Setting the Standard in 2026 - inBeat Agency")</f>
        <v>Top 16 Creative Agencies Setting the Standard in 2026 - inBeat Agency</v>
      </c>
      <c r="C289" s="15" t="str">
        <f>IFERROR(__xludf.DUMMYFUNCTION("""COMPUTED_VALUE"""),"inbeat.agency")</f>
        <v>inbeat.agency</v>
      </c>
      <c r="D289" s="15" t="str">
        <f>IFERROR(__xludf.DUMMYFUNCTION("""COMPUTED_VALUE"""),"LISTICLE")</f>
        <v>LISTICLE</v>
      </c>
      <c r="E289" s="15" t="str">
        <f>IFERROR(__xludf.DUMMYFUNCTION("""COMPUTED_VALUE"""),"COMPETITOR")</f>
        <v>COMPETITOR</v>
      </c>
      <c r="F289" s="15" t="str">
        <f>IFERROR(__xludf.DUMMYFUNCTION("""COMPUTED_VALUE"""),"Listicle")</f>
        <v>Listicle</v>
      </c>
      <c r="G289" s="15" t="b">
        <f>IFERROR(__xludf.DUMMYFUNCTION("""COMPUTED_VALUE"""),FALSE)</f>
        <v>0</v>
      </c>
      <c r="H289" s="15" t="str">
        <f>IFERROR(__xludf.DUMMYFUNCTION("""COMPUTED_VALUE"""),"inBeat, Nielsen, WPP, Dept, Momentum, Ogilvy")</f>
        <v>inBeat, Nielsen, WPP, Dept, Momentum, Ogilvy</v>
      </c>
      <c r="I289" s="15">
        <f>IFERROR(__xludf.DUMMYFUNCTION("""COMPUTED_VALUE"""),2.0)</f>
        <v>2</v>
      </c>
      <c r="J289" s="15">
        <f>IFERROR(__xludf.DUMMYFUNCTION("""COMPUTED_VALUE"""),0.0)</f>
        <v>0</v>
      </c>
      <c r="K289" s="15">
        <f>IFERROR(__xludf.DUMMYFUNCTION("""COMPUTED_VALUE"""),0.5)</f>
        <v>0.5</v>
      </c>
    </row>
    <row r="290" ht="15.75" customHeight="1">
      <c r="A290" s="14" t="str">
        <f>IFERROR(__xludf.DUMMYFUNCTION("""COMPUTED_VALUE"""),"https://inbeat.agency/blog/top-marketing-analytics-agencies")</f>
        <v>https://inbeat.agency/blog/top-marketing-analytics-agencies</v>
      </c>
      <c r="B290" s="15" t="str">
        <f>IFERROR(__xludf.DUMMYFUNCTION("""COMPUTED_VALUE"""),"Top 15 Marketing Analytics Agencies Defining 2026 - inBeat Agency")</f>
        <v>Top 15 Marketing Analytics Agencies Defining 2026 - inBeat Agency</v>
      </c>
      <c r="C290" s="15" t="str">
        <f>IFERROR(__xludf.DUMMYFUNCTION("""COMPUTED_VALUE"""),"inbeat.agency")</f>
        <v>inbeat.agency</v>
      </c>
      <c r="D290" s="15" t="str">
        <f>IFERROR(__xludf.DUMMYFUNCTION("""COMPUTED_VALUE"""),"LISTICLE")</f>
        <v>LISTICLE</v>
      </c>
      <c r="E290" s="15" t="str">
        <f>IFERROR(__xludf.DUMMYFUNCTION("""COMPUTED_VALUE"""),"COMPETITOR")</f>
        <v>COMPETITOR</v>
      </c>
      <c r="F290" s="15" t="str">
        <f>IFERROR(__xludf.DUMMYFUNCTION("""COMPUTED_VALUE"""),"Listicle")</f>
        <v>Listicle</v>
      </c>
      <c r="G290" s="15" t="b">
        <f>IFERROR(__xludf.DUMMYFUNCTION("""COMPUTED_VALUE"""),FALSE)</f>
        <v>0</v>
      </c>
      <c r="H290" s="15" t="str">
        <f>IFERROR(__xludf.DUMMYFUNCTION("""COMPUTED_VALUE"""),"inBeat, Nielsen, NP Digital, Artefact, Momentum, Found, WebFX")</f>
        <v>inBeat, Nielsen, NP Digital, Artefact, Momentum, Found, WebFX</v>
      </c>
      <c r="I290" s="15">
        <f>IFERROR(__xludf.DUMMYFUNCTION("""COMPUTED_VALUE"""),2.0)</f>
        <v>2</v>
      </c>
      <c r="J290" s="15">
        <f>IFERROR(__xludf.DUMMYFUNCTION("""COMPUTED_VALUE"""),0.0)</f>
        <v>0</v>
      </c>
      <c r="K290" s="15">
        <f>IFERROR(__xludf.DUMMYFUNCTION("""COMPUTED_VALUE"""),1.0)</f>
        <v>1</v>
      </c>
    </row>
    <row r="291" ht="15.75" customHeight="1">
      <c r="A291" s="14" t="str">
        <f>IFERROR(__xludf.DUMMYFUNCTION("""COMPUTED_VALUE"""),"https://inbeat.agency/blog/top-media-buying-agencies")</f>
        <v>https://inbeat.agency/blog/top-media-buying-agencies</v>
      </c>
      <c r="B291" s="15" t="str">
        <f>IFERROR(__xludf.DUMMYFUNCTION("""COMPUTED_VALUE"""),"14 Media Buying Agencies That Actually Stretch a Budget - inBeat Agency")</f>
        <v>14 Media Buying Agencies That Actually Stretch a Budget - inBeat Agency</v>
      </c>
      <c r="C291" s="15" t="str">
        <f>IFERROR(__xludf.DUMMYFUNCTION("""COMPUTED_VALUE"""),"inbeat.agency")</f>
        <v>inbeat.agency</v>
      </c>
      <c r="D291" s="15" t="str">
        <f>IFERROR(__xludf.DUMMYFUNCTION("""COMPUTED_VALUE"""),"LISTICLE")</f>
        <v>LISTICLE</v>
      </c>
      <c r="E291" s="15" t="str">
        <f>IFERROR(__xludf.DUMMYFUNCTION("""COMPUTED_VALUE"""),"COMPETITOR")</f>
        <v>COMPETITOR</v>
      </c>
      <c r="F291" s="15" t="str">
        <f>IFERROR(__xludf.DUMMYFUNCTION("""COMPUTED_VALUE"""),"Listicle")</f>
        <v>Listicle</v>
      </c>
      <c r="G291" s="15" t="b">
        <f>IFERROR(__xludf.DUMMYFUNCTION("""COMPUTED_VALUE"""),FALSE)</f>
        <v>0</v>
      </c>
      <c r="H291" s="15" t="str">
        <f>IFERROR(__xludf.DUMMYFUNCTION("""COMPUTED_VALUE"""),"inBeat, Nielsen, Impression, Push, Hawke Media, Measured")</f>
        <v>inBeat, Nielsen, Impression, Push, Hawke Media, Measured</v>
      </c>
      <c r="I291" s="15">
        <f>IFERROR(__xludf.DUMMYFUNCTION("""COMPUTED_VALUE"""),2.0)</f>
        <v>2</v>
      </c>
      <c r="J291" s="15">
        <f>IFERROR(__xludf.DUMMYFUNCTION("""COMPUTED_VALUE"""),0.0)</f>
        <v>0</v>
      </c>
      <c r="K291" s="15">
        <f>IFERROR(__xludf.DUMMYFUNCTION("""COMPUTED_VALUE"""),0.5)</f>
        <v>0.5</v>
      </c>
    </row>
    <row r="292" ht="15.75" customHeight="1">
      <c r="A292" s="14" t="str">
        <f>IFERROR(__xludf.DUMMYFUNCTION("""COMPUTED_VALUE"""),"https://www.inbeat.co/articles/advertising-agencies-in-the-uk/")</f>
        <v>https://www.inbeat.co/articles/advertising-agencies-in-the-uk/</v>
      </c>
      <c r="B292" s="15" t="str">
        <f>IFERROR(__xludf.DUMMYFUNCTION("""COMPUTED_VALUE"""),"Top 20 Advertising Agencies in the UK as of 2026")</f>
        <v>Top 20 Advertising Agencies in the UK as of 2026</v>
      </c>
      <c r="C292" s="14" t="str">
        <f>IFERROR(__xludf.DUMMYFUNCTION("""COMPUTED_VALUE"""),"inbeat.co")</f>
        <v>inbeat.co</v>
      </c>
      <c r="D292" s="15" t="str">
        <f>IFERROR(__xludf.DUMMYFUNCTION("""COMPUTED_VALUE"""),"LISTICLE")</f>
        <v>LISTICLE</v>
      </c>
      <c r="E292" s="15" t="str">
        <f>IFERROR(__xludf.DUMMYFUNCTION("""COMPUTED_VALUE"""),"CORPORATE")</f>
        <v>CORPORATE</v>
      </c>
      <c r="F292" s="15" t="str">
        <f>IFERROR(__xludf.DUMMYFUNCTION("""COMPUTED_VALUE"""),"Listicle")</f>
        <v>Listicle</v>
      </c>
      <c r="G292" s="15" t="b">
        <f>IFERROR(__xludf.DUMMYFUNCTION("""COMPUTED_VALUE"""),FALSE)</f>
        <v>0</v>
      </c>
      <c r="H292" s="15" t="str">
        <f>IFERROR(__xludf.DUMMYFUNCTION("""COMPUTED_VALUE"""),"inBeat, The Social Shepherd, Adam&amp;eveDDB, BBH London, Disrupt Marketing, Measured, PPC Geeks, Favoured, Found")</f>
        <v>inBeat, The Social Shepherd, Adam&amp;eveDDB, BBH London, Disrupt Marketing, Measured, PPC Geeks, Favoured, Found</v>
      </c>
      <c r="I292" s="15">
        <f>IFERROR(__xludf.DUMMYFUNCTION("""COMPUTED_VALUE"""),2.0)</f>
        <v>2</v>
      </c>
      <c r="J292" s="15">
        <f>IFERROR(__xludf.DUMMYFUNCTION("""COMPUTED_VALUE"""),0.0)</f>
        <v>0</v>
      </c>
      <c r="K292" s="15">
        <f>IFERROR(__xludf.DUMMYFUNCTION("""COMPUTED_VALUE"""),2.0)</f>
        <v>2</v>
      </c>
    </row>
    <row r="293" ht="15.75" customHeight="1">
      <c r="A293" s="14" t="str">
        <f>IFERROR(__xludf.DUMMYFUNCTION("""COMPUTED_VALUE"""),"https://influencermarketinghub.com/ai-marketing-agencies/")</f>
        <v>https://influencermarketinghub.com/ai-marketing-agencies/</v>
      </c>
      <c r="B293" s="15" t="str">
        <f>IFERROR(__xludf.DUMMYFUNCTION("""COMPUTED_VALUE"""),"Best AI Marketing Agencies For 2026")</f>
        <v>Best AI Marketing Agencies For 2026</v>
      </c>
      <c r="C293" s="14" t="str">
        <f>IFERROR(__xludf.DUMMYFUNCTION("""COMPUTED_VALUE"""),"influencermarketinghub.com")</f>
        <v>influencermarketinghub.com</v>
      </c>
      <c r="D293" s="15" t="str">
        <f>IFERROR(__xludf.DUMMYFUNCTION("""COMPUTED_VALUE"""),"LISTICLE")</f>
        <v>LISTICLE</v>
      </c>
      <c r="E293" s="15" t="str">
        <f>IFERROR(__xludf.DUMMYFUNCTION("""COMPUTED_VALUE"""),"REFERENCE")</f>
        <v>REFERENCE</v>
      </c>
      <c r="F293" s="15" t="str">
        <f>IFERROR(__xludf.DUMMYFUNCTION("""COMPUTED_VALUE"""),"Listicle")</f>
        <v>Listicle</v>
      </c>
      <c r="G293" s="15" t="b">
        <f>IFERROR(__xludf.DUMMYFUNCTION("""COMPUTED_VALUE"""),FALSE)</f>
        <v>0</v>
      </c>
      <c r="H293" s="15" t="str">
        <f>IFERROR(__xludf.DUMMYFUNCTION("""COMPUTED_VALUE"""),"McKinsey &amp; Company, Momentum, Found, Wpromote, Dentsu")</f>
        <v>McKinsey &amp; Company, Momentum, Found, Wpromote, Dentsu</v>
      </c>
      <c r="I293" s="15">
        <f>IFERROR(__xludf.DUMMYFUNCTION("""COMPUTED_VALUE"""),2.0)</f>
        <v>2</v>
      </c>
      <c r="J293" s="15">
        <f>IFERROR(__xludf.DUMMYFUNCTION("""COMPUTED_VALUE"""),0.0)</f>
        <v>0</v>
      </c>
      <c r="K293" s="15">
        <f>IFERROR(__xludf.DUMMYFUNCTION("""COMPUTED_VALUE"""),0.0)</f>
        <v>0</v>
      </c>
    </row>
    <row r="294" ht="15.75" customHeight="1">
      <c r="A294" s="14" t="str">
        <f>IFERROR(__xludf.DUMMYFUNCTION("""COMPUTED_VALUE"""),"https://www.lucatagliaferro.com/recommended-aeo-freelance-consultants-for-ai-visibility/")</f>
        <v>https://www.lucatagliaferro.com/recommended-aeo-freelance-consultants-for-ai-visibility/</v>
      </c>
      <c r="B294" s="15" t="str">
        <f>IFERROR(__xludf.DUMMYFUNCTION("""COMPUTED_VALUE"""),"7 AEO Freelance Consultants Leading the Way in the UK (2026)")</f>
        <v>7 AEO Freelance Consultants Leading the Way in the UK (2026)</v>
      </c>
      <c r="C294" s="14" t="str">
        <f>IFERROR(__xludf.DUMMYFUNCTION("""COMPUTED_VALUE"""),"lucatagliaferro.com")</f>
        <v>lucatagliaferro.com</v>
      </c>
      <c r="D294" s="15" t="str">
        <f>IFERROR(__xludf.DUMMYFUNCTION("""COMPUTED_VALUE"""),"LISTICLE")</f>
        <v>LISTICLE</v>
      </c>
      <c r="E294" s="15" t="str">
        <f>IFERROR(__xludf.DUMMYFUNCTION("""COMPUTED_VALUE"""),"CORPORATE")</f>
        <v>CORPORATE</v>
      </c>
      <c r="F294" s="15" t="str">
        <f>IFERROR(__xludf.DUMMYFUNCTION("""COMPUTED_VALUE"""),"Listicle")</f>
        <v>Listicle</v>
      </c>
      <c r="G294" s="15" t="b">
        <f>IFERROR(__xludf.DUMMYFUNCTION("""COMPUTED_VALUE"""),FALSE)</f>
        <v>0</v>
      </c>
      <c r="H294" s="15"/>
      <c r="I294" s="15">
        <f>IFERROR(__xludf.DUMMYFUNCTION("""COMPUTED_VALUE"""),2.0)</f>
        <v>2</v>
      </c>
      <c r="J294" s="15">
        <f>IFERROR(__xludf.DUMMYFUNCTION("""COMPUTED_VALUE"""),0.0)</f>
        <v>0</v>
      </c>
      <c r="K294" s="15">
        <f>IFERROR(__xludf.DUMMYFUNCTION("""COMPUTED_VALUE"""),1.5)</f>
        <v>1.5</v>
      </c>
    </row>
    <row r="295" ht="15.75" customHeight="1">
      <c r="A295" s="14" t="str">
        <f>IFERROR(__xludf.DUMMYFUNCTION("""COMPUTED_VALUE"""),"https://www.m1-project.com/blog/10-best-ai-marketing-agencies-in-depth-comparison")</f>
        <v>https://www.m1-project.com/blog/10-best-ai-marketing-agencies-in-depth-comparison</v>
      </c>
      <c r="B295" s="15" t="str">
        <f>IFERROR(__xludf.DUMMYFUNCTION("""COMPUTED_VALUE"""),"10 Best AI Marketing Agencies: In-Depth Comparison | M1-Project")</f>
        <v>10 Best AI Marketing Agencies: In-Depth Comparison | M1-Project</v>
      </c>
      <c r="C295" s="14" t="str">
        <f>IFERROR(__xludf.DUMMYFUNCTION("""COMPUTED_VALUE"""),"m1-project.com")</f>
        <v>m1-project.com</v>
      </c>
      <c r="D295" s="15" t="str">
        <f>IFERROR(__xludf.DUMMYFUNCTION("""COMPUTED_VALUE"""),"LISTICLE")</f>
        <v>LISTICLE</v>
      </c>
      <c r="E295" s="15" t="str">
        <f>IFERROR(__xludf.DUMMYFUNCTION("""COMPUTED_VALUE"""),"CORPORATE")</f>
        <v>CORPORATE</v>
      </c>
      <c r="F295" s="15" t="str">
        <f>IFERROR(__xludf.DUMMYFUNCTION("""COMPUTED_VALUE"""),"Listicle")</f>
        <v>Listicle</v>
      </c>
      <c r="G295" s="15" t="b">
        <f>IFERROR(__xludf.DUMMYFUNCTION("""COMPUTED_VALUE"""),FALSE)</f>
        <v>0</v>
      </c>
      <c r="H295" s="15" t="str">
        <f>IFERROR(__xludf.DUMMYFUNCTION("""COMPUTED_VALUE"""),"Ninja Promo, Ignite Visibility, Found, Push, Measured")</f>
        <v>Ninja Promo, Ignite Visibility, Found, Push, Measured</v>
      </c>
      <c r="I295" s="15">
        <f>IFERROR(__xludf.DUMMYFUNCTION("""COMPUTED_VALUE"""),2.0)</f>
        <v>2</v>
      </c>
      <c r="J295" s="15">
        <f>IFERROR(__xludf.DUMMYFUNCTION("""COMPUTED_VALUE"""),0.0)</f>
        <v>0</v>
      </c>
      <c r="K295" s="15">
        <f>IFERROR(__xludf.DUMMYFUNCTION("""COMPUTED_VALUE"""),0.0)</f>
        <v>0</v>
      </c>
    </row>
    <row r="296" ht="15.75" customHeight="1">
      <c r="A296" s="14" t="str">
        <f>IFERROR(__xludf.DUMMYFUNCTION("""COMPUTED_VALUE"""),"https://madebyshape.co.uk/web-design-blog/the-best-social-media-agencies-in-the-uk/")</f>
        <v>https://madebyshape.co.uk/web-design-blog/the-best-social-media-agencies-in-the-uk/</v>
      </c>
      <c r="B296" s="15" t="str">
        <f>IFERROR(__xludf.DUMMYFUNCTION("""COMPUTED_VALUE"""),"The Best Social Media Agencies in the UK | MadeByShape")</f>
        <v>The Best Social Media Agencies in the UK | MadeByShape</v>
      </c>
      <c r="C296" s="14" t="str">
        <f>IFERROR(__xludf.DUMMYFUNCTION("""COMPUTED_VALUE"""),"madebyshape.co.uk")</f>
        <v>madebyshape.co.uk</v>
      </c>
      <c r="D296" s="15" t="str">
        <f>IFERROR(__xludf.DUMMYFUNCTION("""COMPUTED_VALUE"""),"LISTICLE")</f>
        <v>LISTICLE</v>
      </c>
      <c r="E296" s="15" t="str">
        <f>IFERROR(__xludf.DUMMYFUNCTION("""COMPUTED_VALUE"""),"CORPORATE")</f>
        <v>CORPORATE</v>
      </c>
      <c r="F296" s="15" t="str">
        <f>IFERROR(__xludf.DUMMYFUNCTION("""COMPUTED_VALUE"""),"Listicle")</f>
        <v>Listicle</v>
      </c>
      <c r="G296" s="15" t="b">
        <f>IFERROR(__xludf.DUMMYFUNCTION("""COMPUTED_VALUE"""),FALSE)</f>
        <v>0</v>
      </c>
      <c r="H296" s="15" t="str">
        <f>IFERROR(__xludf.DUMMYFUNCTION("""COMPUTED_VALUE"""),"The Good Marketer")</f>
        <v>The Good Marketer</v>
      </c>
      <c r="I296" s="15">
        <f>IFERROR(__xludf.DUMMYFUNCTION("""COMPUTED_VALUE"""),2.0)</f>
        <v>2</v>
      </c>
      <c r="J296" s="15">
        <f>IFERROR(__xludf.DUMMYFUNCTION("""COMPUTED_VALUE"""),0.0)</f>
        <v>0</v>
      </c>
      <c r="K296" s="15">
        <f>IFERROR(__xludf.DUMMYFUNCTION("""COMPUTED_VALUE"""),1.0)</f>
        <v>1</v>
      </c>
    </row>
    <row r="297" ht="15.75" customHeight="1">
      <c r="A297" s="14" t="str">
        <f>IFERROR(__xludf.DUMMYFUNCTION("""COMPUTED_VALUE"""),"https://marketingsignals.com/best-geo-agency-2026-the-top-generative-engine-optimisation-agencies-ranked/")</f>
        <v>https://marketingsignals.com/best-geo-agency-2026-the-top-generative-engine-optimisation-agencies-ranked/</v>
      </c>
      <c r="B297" s="15" t="str">
        <f>IFERROR(__xludf.DUMMYFUNCTION("""COMPUTED_VALUE"""),"Best GEO Agency 2026: The Top Generative Engine Optimisation Agencies Ranked - Marketing Signals")</f>
        <v>Best GEO Agency 2026: The Top Generative Engine Optimisation Agencies Ranked - Marketing Signals</v>
      </c>
      <c r="C297" s="14" t="str">
        <f>IFERROR(__xludf.DUMMYFUNCTION("""COMPUTED_VALUE"""),"marketingsignals.com")</f>
        <v>marketingsignals.com</v>
      </c>
      <c r="D297" s="15" t="str">
        <f>IFERROR(__xludf.DUMMYFUNCTION("""COMPUTED_VALUE"""),"LISTICLE")</f>
        <v>LISTICLE</v>
      </c>
      <c r="E297" s="15" t="str">
        <f>IFERROR(__xludf.DUMMYFUNCTION("""COMPUTED_VALUE"""),"CORPORATE")</f>
        <v>CORPORATE</v>
      </c>
      <c r="F297" s="15" t="str">
        <f>IFERROR(__xludf.DUMMYFUNCTION("""COMPUTED_VALUE"""),"Listicle")</f>
        <v>Listicle</v>
      </c>
      <c r="G297" s="15" t="b">
        <f>IFERROR(__xludf.DUMMYFUNCTION("""COMPUTED_VALUE"""),FALSE)</f>
        <v>0</v>
      </c>
      <c r="H297" s="15" t="str">
        <f>IFERROR(__xludf.DUMMYFUNCTION("""COMPUTED_VALUE"""),"Single Grain, Measured, Transmission")</f>
        <v>Single Grain, Measured, Transmission</v>
      </c>
      <c r="I297" s="15">
        <f>IFERROR(__xludf.DUMMYFUNCTION("""COMPUTED_VALUE"""),2.0)</f>
        <v>2</v>
      </c>
      <c r="J297" s="15">
        <f>IFERROR(__xludf.DUMMYFUNCTION("""COMPUTED_VALUE"""),0.0)</f>
        <v>0</v>
      </c>
      <c r="K297" s="15">
        <f>IFERROR(__xludf.DUMMYFUNCTION("""COMPUTED_VALUE"""),0.0)</f>
        <v>0</v>
      </c>
    </row>
    <row r="298" ht="15.75" customHeight="1">
      <c r="A298" s="14" t="str">
        <f>IFERROR(__xludf.DUMMYFUNCTION("""COMPUTED_VALUE"""),"https://www.mintcopywritingstudios.com/blog/ai-search-optimization-geo-agencies")</f>
        <v>https://www.mintcopywritingstudios.com/blog/ai-search-optimization-geo-agencies</v>
      </c>
      <c r="B298" s="15" t="str">
        <f>IFERROR(__xludf.DUMMYFUNCTION("""COMPUTED_VALUE"""),"Top Generative Engine Optimization (GEO) Agencies in 2026: 10+ AI Search Specialists Compared | Mint Studios")</f>
        <v>Top Generative Engine Optimization (GEO) Agencies in 2026: 10+ AI Search Specialists Compared | Mint Studios</v>
      </c>
      <c r="C298" s="14" t="str">
        <f>IFERROR(__xludf.DUMMYFUNCTION("""COMPUTED_VALUE"""),"mintcopywritingstudios.com")</f>
        <v>mintcopywritingstudios.com</v>
      </c>
      <c r="D298" s="15" t="str">
        <f>IFERROR(__xludf.DUMMYFUNCTION("""COMPUTED_VALUE"""),"LISTICLE")</f>
        <v>LISTICLE</v>
      </c>
      <c r="E298" s="15" t="str">
        <f>IFERROR(__xludf.DUMMYFUNCTION("""COMPUTED_VALUE"""),"CORPORATE")</f>
        <v>CORPORATE</v>
      </c>
      <c r="F298" s="15" t="str">
        <f>IFERROR(__xludf.DUMMYFUNCTION("""COMPUTED_VALUE"""),"Listicle")</f>
        <v>Listicle</v>
      </c>
      <c r="G298" s="15" t="b">
        <f>IFERROR(__xludf.DUMMYFUNCTION("""COMPUTED_VALUE"""),FALSE)</f>
        <v>0</v>
      </c>
      <c r="H298" s="15" t="str">
        <f>IFERROR(__xludf.DUMMYFUNCTION("""COMPUTED_VALUE"""),"Found, NoGood, WebFX, The SEO Works, Siege Media, Omniscient Digital, Single Grain, Huge, Measured")</f>
        <v>Found, NoGood, WebFX, The SEO Works, Siege Media, Omniscient Digital, Single Grain, Huge, Measured</v>
      </c>
      <c r="I298" s="15">
        <f>IFERROR(__xludf.DUMMYFUNCTION("""COMPUTED_VALUE"""),2.0)</f>
        <v>2</v>
      </c>
      <c r="J298" s="15">
        <f>IFERROR(__xludf.DUMMYFUNCTION("""COMPUTED_VALUE"""),0.0)</f>
        <v>0</v>
      </c>
      <c r="K298" s="15">
        <f>IFERROR(__xludf.DUMMYFUNCTION("""COMPUTED_VALUE"""),0.0)</f>
        <v>0</v>
      </c>
    </row>
    <row r="299" ht="15.75" customHeight="1">
      <c r="A299" s="14" t="str">
        <f>IFERROR(__xludf.DUMMYFUNCTION("""COMPUTED_VALUE"""),"https://www.modernmarketingpartners.com/2026/03/19/14-best-answer-engine-optimization-agencies-aeo-insights-company-rankings-for-2026/")</f>
        <v>https://www.modernmarketingpartners.com/2026/03/19/14-best-answer-engine-optimization-agencies-aeo-insights-company-rankings-for-2026/</v>
      </c>
      <c r="B299" s="15" t="str">
        <f>IFERROR(__xludf.DUMMYFUNCTION("""COMPUTED_VALUE"""),"15 Best Answer Engine Optimization Agencies: AEO Insights Company Rankings for 2026")</f>
        <v>15 Best Answer Engine Optimization Agencies: AEO Insights Company Rankings for 2026</v>
      </c>
      <c r="C299" s="14" t="str">
        <f>IFERROR(__xludf.DUMMYFUNCTION("""COMPUTED_VALUE"""),"modernmarketingpartners.com")</f>
        <v>modernmarketingpartners.com</v>
      </c>
      <c r="D299" s="15" t="str">
        <f>IFERROR(__xludf.DUMMYFUNCTION("""COMPUTED_VALUE"""),"LISTICLE")</f>
        <v>LISTICLE</v>
      </c>
      <c r="E299" s="15" t="str">
        <f>IFERROR(__xludf.DUMMYFUNCTION("""COMPUTED_VALUE"""),"CORPORATE")</f>
        <v>CORPORATE</v>
      </c>
      <c r="F299" s="15" t="str">
        <f>IFERROR(__xludf.DUMMYFUNCTION("""COMPUTED_VALUE"""),"Listicle")</f>
        <v>Listicle</v>
      </c>
      <c r="G299" s="15" t="b">
        <f>IFERROR(__xludf.DUMMYFUNCTION("""COMPUTED_VALUE"""),FALSE)</f>
        <v>0</v>
      </c>
      <c r="H299" s="15" t="str">
        <f>IFERROR(__xludf.DUMMYFUNCTION("""COMPUTED_VALUE"""),"Siege Media, Single Grain, Omniscient Digital, NoGood")</f>
        <v>Siege Media, Single Grain, Omniscient Digital, NoGood</v>
      </c>
      <c r="I299" s="15">
        <f>IFERROR(__xludf.DUMMYFUNCTION("""COMPUTED_VALUE"""),2.0)</f>
        <v>2</v>
      </c>
      <c r="J299" s="15">
        <f>IFERROR(__xludf.DUMMYFUNCTION("""COMPUTED_VALUE"""),0.0)</f>
        <v>0</v>
      </c>
      <c r="K299" s="15">
        <f>IFERROR(__xludf.DUMMYFUNCTION("""COMPUTED_VALUE"""),0.0)</f>
        <v>0</v>
      </c>
    </row>
    <row r="300" ht="15.75" customHeight="1">
      <c r="A300" s="14" t="str">
        <f>IFERROR(__xludf.DUMMYFUNCTION("""COMPUTED_VALUE"""),"https://www.munro.agency/best-digital-marketing-agencies-in-london/")</f>
        <v>https://www.munro.agency/best-digital-marketing-agencies-in-london/</v>
      </c>
      <c r="B300" s="15" t="str">
        <f>IFERROR(__xludf.DUMMYFUNCTION("""COMPUTED_VALUE"""),"10 Best Digital Marketing Agencies in London for 2026")</f>
        <v>10 Best Digital Marketing Agencies in London for 2026</v>
      </c>
      <c r="C300" s="15" t="str">
        <f>IFERROR(__xludf.DUMMYFUNCTION("""COMPUTED_VALUE"""),"munro.agency")</f>
        <v>munro.agency</v>
      </c>
      <c r="D300" s="15" t="str">
        <f>IFERROR(__xludf.DUMMYFUNCTION("""COMPUTED_VALUE"""),"LISTICLE")</f>
        <v>LISTICLE</v>
      </c>
      <c r="E300" s="15" t="str">
        <f>IFERROR(__xludf.DUMMYFUNCTION("""COMPUTED_VALUE"""),"CORPORATE")</f>
        <v>CORPORATE</v>
      </c>
      <c r="F300" s="15" t="str">
        <f>IFERROR(__xludf.DUMMYFUNCTION("""COMPUTED_VALUE"""),"Listicle")</f>
        <v>Listicle</v>
      </c>
      <c r="G300" s="15" t="b">
        <f>IFERROR(__xludf.DUMMYFUNCTION("""COMPUTED_VALUE"""),FALSE)</f>
        <v>0</v>
      </c>
      <c r="H300" s="15" t="str">
        <f>IFERROR(__xludf.DUMMYFUNCTION("""COMPUTED_VALUE"""),"Found, Croud, Born Social, ROAST")</f>
        <v>Found, Croud, Born Social, ROAST</v>
      </c>
      <c r="I300" s="15">
        <f>IFERROR(__xludf.DUMMYFUNCTION("""COMPUTED_VALUE"""),2.0)</f>
        <v>2</v>
      </c>
      <c r="J300" s="15">
        <f>IFERROR(__xludf.DUMMYFUNCTION("""COMPUTED_VALUE"""),0.0)</f>
        <v>0</v>
      </c>
      <c r="K300" s="15">
        <f>IFERROR(__xludf.DUMMYFUNCTION("""COMPUTED_VALUE"""),1.0)</f>
        <v>1</v>
      </c>
    </row>
    <row r="301" ht="15.75" customHeight="1">
      <c r="A301" s="14" t="str">
        <f>IFERROR(__xludf.DUMMYFUNCTION("""COMPUTED_VALUE"""),"https://www.munro.agency/insights/top-marketing-companies-in-the-world/")</f>
        <v>https://www.munro.agency/insights/top-marketing-companies-in-the-world/</v>
      </c>
      <c r="B301" s="15" t="str">
        <f>IFERROR(__xludf.DUMMYFUNCTION("""COMPUTED_VALUE"""),"Top 50 Marketing Companies in the World Ranked by Revenue - The Munro Agency")</f>
        <v>Top 50 Marketing Companies in the World Ranked by Revenue - The Munro Agency</v>
      </c>
      <c r="C301" s="15" t="str">
        <f>IFERROR(__xludf.DUMMYFUNCTION("""COMPUTED_VALUE"""),"munro.agency")</f>
        <v>munro.agency</v>
      </c>
      <c r="D301" s="15" t="str">
        <f>IFERROR(__xludf.DUMMYFUNCTION("""COMPUTED_VALUE"""),"LISTICLE")</f>
        <v>LISTICLE</v>
      </c>
      <c r="E301" s="15" t="str">
        <f>IFERROR(__xludf.DUMMYFUNCTION("""COMPUTED_VALUE"""),"CORPORATE")</f>
        <v>CORPORATE</v>
      </c>
      <c r="F301" s="15" t="str">
        <f>IFERROR(__xludf.DUMMYFUNCTION("""COMPUTED_VALUE"""),"Listicle")</f>
        <v>Listicle</v>
      </c>
      <c r="G301" s="15" t="b">
        <f>IFERROR(__xludf.DUMMYFUNCTION("""COMPUTED_VALUE"""),FALSE)</f>
        <v>0</v>
      </c>
      <c r="H301" s="15" t="str">
        <f>IFERROR(__xludf.DUMMYFUNCTION("""COMPUTED_VALUE"""),"Croud, Saatchi &amp; Saatchi, AKQA, Ogilvy, WPP, Dentsu, Omnicom, Publicis Groupe, Accenture Song, Deloitte Digital, PwC, EY")</f>
        <v>Croud, Saatchi &amp; Saatchi, AKQA, Ogilvy, WPP, Dentsu, Omnicom, Publicis Groupe, Accenture Song, Deloitte Digital, PwC, EY</v>
      </c>
      <c r="I301" s="15">
        <f>IFERROR(__xludf.DUMMYFUNCTION("""COMPUTED_VALUE"""),2.0)</f>
        <v>2</v>
      </c>
      <c r="J301" s="15">
        <f>IFERROR(__xludf.DUMMYFUNCTION("""COMPUTED_VALUE"""),0.0)</f>
        <v>0</v>
      </c>
      <c r="K301" s="15">
        <f>IFERROR(__xludf.DUMMYFUNCTION("""COMPUTED_VALUE"""),1.0)</f>
        <v>1</v>
      </c>
    </row>
    <row r="302" ht="15.75" customHeight="1">
      <c r="A302" s="14" t="str">
        <f>IFERROR(__xludf.DUMMYFUNCTION("""COMPUTED_VALUE"""),"https://netmonkeys.co.uk/top-10-ai-gen-ai-consultancy-firms-in-the-uk-netmonkeys")</f>
        <v>https://netmonkeys.co.uk/top-10-ai-gen-ai-consultancy-firms-in-the-uk-netmonkeys</v>
      </c>
      <c r="B302" s="15" t="str">
        <f>IFERROR(__xludf.DUMMYFUNCTION("""COMPUTED_VALUE"""),"Top 10 AI &amp;amp; Gen AI Consultancy Firms in the UK | NetMonkeys")</f>
        <v>Top 10 AI &amp;amp; Gen AI Consultancy Firms in the UK | NetMonkeys</v>
      </c>
      <c r="C302" s="14" t="str">
        <f>IFERROR(__xludf.DUMMYFUNCTION("""COMPUTED_VALUE"""),"netmonkeys.co.uk")</f>
        <v>netmonkeys.co.uk</v>
      </c>
      <c r="D302" s="15" t="str">
        <f>IFERROR(__xludf.DUMMYFUNCTION("""COMPUTED_VALUE"""),"LISTICLE")</f>
        <v>LISTICLE</v>
      </c>
      <c r="E302" s="15" t="str">
        <f>IFERROR(__xludf.DUMMYFUNCTION("""COMPUTED_VALUE"""),"CORPORATE")</f>
        <v>CORPORATE</v>
      </c>
      <c r="F302" s="15" t="str">
        <f>IFERROR(__xludf.DUMMYFUNCTION("""COMPUTED_VALUE"""),"Listicle")</f>
        <v>Listicle</v>
      </c>
      <c r="G302" s="15" t="b">
        <f>IFERROR(__xludf.DUMMYFUNCTION("""COMPUTED_VALUE"""),FALSE)</f>
        <v>0</v>
      </c>
      <c r="H302" s="15" t="str">
        <f>IFERROR(__xludf.DUMMYFUNCTION("""COMPUTED_VALUE"""),"EY, PwC")</f>
        <v>EY, PwC</v>
      </c>
      <c r="I302" s="15">
        <f>IFERROR(__xludf.DUMMYFUNCTION("""COMPUTED_VALUE"""),2.0)</f>
        <v>2</v>
      </c>
      <c r="J302" s="15">
        <f>IFERROR(__xludf.DUMMYFUNCTION("""COMPUTED_VALUE"""),0.0)</f>
        <v>0</v>
      </c>
      <c r="K302" s="15">
        <f>IFERROR(__xludf.DUMMYFUNCTION("""COMPUTED_VALUE"""),0.0)</f>
        <v>0</v>
      </c>
    </row>
    <row r="303" ht="15.75" customHeight="1">
      <c r="A303" s="14" t="str">
        <f>IFERROR(__xludf.DUMMYFUNCTION("""COMPUTED_VALUE"""),"https://neuraladx.com/top-10-geo-agencies-uk/")</f>
        <v>https://neuraladx.com/top-10-geo-agencies-uk/</v>
      </c>
      <c r="B303" s="15" t="str">
        <f>IFERROR(__xludf.DUMMYFUNCTION("""COMPUTED_VALUE"""),"Top 10 GEO Agencies UK for ChatGPT, Perplexity, Copilot &amp;amp; Google AI Mode")</f>
        <v>Top 10 GEO Agencies UK for ChatGPT, Perplexity, Copilot &amp;amp; Google AI Mode</v>
      </c>
      <c r="C303" s="14" t="str">
        <f>IFERROR(__xludf.DUMMYFUNCTION("""COMPUTED_VALUE"""),"neuraladx.com")</f>
        <v>neuraladx.com</v>
      </c>
      <c r="D303" s="15" t="str">
        <f>IFERROR(__xludf.DUMMYFUNCTION("""COMPUTED_VALUE"""),"LISTICLE")</f>
        <v>LISTICLE</v>
      </c>
      <c r="E303" s="15" t="str">
        <f>IFERROR(__xludf.DUMMYFUNCTION("""COMPUTED_VALUE"""),"UGC")</f>
        <v>UGC</v>
      </c>
      <c r="F303" s="15" t="str">
        <f>IFERROR(__xludf.DUMMYFUNCTION("""COMPUTED_VALUE"""),"Listicle")</f>
        <v>Listicle</v>
      </c>
      <c r="G303" s="15" t="b">
        <f>IFERROR(__xludf.DUMMYFUNCTION("""COMPUTED_VALUE"""),FALSE)</f>
        <v>0</v>
      </c>
      <c r="H303" s="15" t="str">
        <f>IFERROR(__xludf.DUMMYFUNCTION("""COMPUTED_VALUE"""),"Impression, Blue Array, Koozai, Hallam, Found, Builtvisible")</f>
        <v>Impression, Blue Array, Koozai, Hallam, Found, Builtvisible</v>
      </c>
      <c r="I303" s="15">
        <f>IFERROR(__xludf.DUMMYFUNCTION("""COMPUTED_VALUE"""),2.0)</f>
        <v>2</v>
      </c>
      <c r="J303" s="15">
        <f>IFERROR(__xludf.DUMMYFUNCTION("""COMPUTED_VALUE"""),0.0)</f>
        <v>0</v>
      </c>
      <c r="K303" s="15">
        <f>IFERROR(__xludf.DUMMYFUNCTION("""COMPUTED_VALUE"""),1.0)</f>
        <v>1</v>
      </c>
    </row>
    <row r="304" ht="15.75" customHeight="1">
      <c r="A304" s="14" t="str">
        <f>IFERROR(__xludf.DUMMYFUNCTION("""COMPUTED_VALUE"""),"https://nogood.io/blog/ai-marketing-agency/")</f>
        <v>https://nogood.io/blog/ai-marketing-agency/</v>
      </c>
      <c r="B304" s="15" t="str">
        <f>IFERROR(__xludf.DUMMYFUNCTION("""COMPUTED_VALUE"""),"Top 5 AI Marketing Agencies for Growth in 2026 | NoGood")</f>
        <v>Top 5 AI Marketing Agencies for Growth in 2026 | NoGood</v>
      </c>
      <c r="C304" s="14" t="str">
        <f>IFERROR(__xludf.DUMMYFUNCTION("""COMPUTED_VALUE"""),"nogood.io")</f>
        <v>nogood.io</v>
      </c>
      <c r="D304" s="15" t="str">
        <f>IFERROR(__xludf.DUMMYFUNCTION("""COMPUTED_VALUE"""),"LISTICLE")</f>
        <v>LISTICLE</v>
      </c>
      <c r="E304" s="15" t="str">
        <f>IFERROR(__xludf.DUMMYFUNCTION("""COMPUTED_VALUE"""),"COMPETITOR")</f>
        <v>COMPETITOR</v>
      </c>
      <c r="F304" s="15" t="str">
        <f>IFERROR(__xludf.DUMMYFUNCTION("""COMPUTED_VALUE"""),"Listicle")</f>
        <v>Listicle</v>
      </c>
      <c r="G304" s="15" t="b">
        <f>IFERROR(__xludf.DUMMYFUNCTION("""COMPUTED_VALUE"""),FALSE)</f>
        <v>0</v>
      </c>
      <c r="H304" s="15" t="str">
        <f>IFERROR(__xludf.DUMMYFUNCTION("""COMPUTED_VALUE"""),"NoGood, Single Grain, inBeat")</f>
        <v>NoGood, Single Grain, inBeat</v>
      </c>
      <c r="I304" s="15">
        <f>IFERROR(__xludf.DUMMYFUNCTION("""COMPUTED_VALUE"""),2.0)</f>
        <v>2</v>
      </c>
      <c r="J304" s="15">
        <f>IFERROR(__xludf.DUMMYFUNCTION("""COMPUTED_VALUE"""),0.0)</f>
        <v>0</v>
      </c>
      <c r="K304" s="15">
        <f>IFERROR(__xludf.DUMMYFUNCTION("""COMPUTED_VALUE"""),1.0)</f>
        <v>1</v>
      </c>
    </row>
    <row r="305" ht="15.75" customHeight="1">
      <c r="A305" s="14" t="str">
        <f>IFERROR(__xludf.DUMMYFUNCTION("""COMPUTED_VALUE"""),"https://www.noisemediagroup.co.uk/insights/the-best-social-media-marketing-agencies-in-london-2026")</f>
        <v>https://www.noisemediagroup.co.uk/insights/the-best-social-media-marketing-agencies-in-london-2026</v>
      </c>
      <c r="B305" s="15" t="str">
        <f>IFERROR(__xludf.DUMMYFUNCTION("""COMPUTED_VALUE"""),"The Best Social Media Marketing Agencies in London (2026)")</f>
        <v>The Best Social Media Marketing Agencies in London (2026)</v>
      </c>
      <c r="C305" s="14" t="str">
        <f>IFERROR(__xludf.DUMMYFUNCTION("""COMPUTED_VALUE"""),"noisemediagroup.co.uk")</f>
        <v>noisemediagroup.co.uk</v>
      </c>
      <c r="D305" s="15" t="str">
        <f>IFERROR(__xludf.DUMMYFUNCTION("""COMPUTED_VALUE"""),"LISTICLE")</f>
        <v>LISTICLE</v>
      </c>
      <c r="E305" s="15" t="str">
        <f>IFERROR(__xludf.DUMMYFUNCTION("""COMPUTED_VALUE"""),"CORPORATE")</f>
        <v>CORPORATE</v>
      </c>
      <c r="F305" s="15" t="str">
        <f>IFERROR(__xludf.DUMMYFUNCTION("""COMPUTED_VALUE"""),"Listicle")</f>
        <v>Listicle</v>
      </c>
      <c r="G305" s="15" t="b">
        <f>IFERROR(__xludf.DUMMYFUNCTION("""COMPUTED_VALUE"""),FALSE)</f>
        <v>0</v>
      </c>
      <c r="H305" s="15" t="str">
        <f>IFERROR(__xludf.DUMMYFUNCTION("""COMPUTED_VALUE"""),"The Social Shepherd, Born Social, Croud, Social Chain, We Are Social, Dept, Disrupt Marketing")</f>
        <v>The Social Shepherd, Born Social, Croud, Social Chain, We Are Social, Dept, Disrupt Marketing</v>
      </c>
      <c r="I305" s="15">
        <f>IFERROR(__xludf.DUMMYFUNCTION("""COMPUTED_VALUE"""),2.0)</f>
        <v>2</v>
      </c>
      <c r="J305" s="15">
        <f>IFERROR(__xludf.DUMMYFUNCTION("""COMPUTED_VALUE"""),0.0)</f>
        <v>0</v>
      </c>
      <c r="K305" s="15">
        <f>IFERROR(__xludf.DUMMYFUNCTION("""COMPUTED_VALUE"""),1.5)</f>
        <v>1.5</v>
      </c>
    </row>
    <row r="306" ht="15.75" customHeight="1">
      <c r="A306" s="14" t="str">
        <f>IFERROR(__xludf.DUMMYFUNCTION("""COMPUTED_VALUE"""),"https://www.noisemediagroup.co.uk/insights/the-best-tiktok-marketing-agencies-in-the-uk-2026")</f>
        <v>https://www.noisemediagroup.co.uk/insights/the-best-tiktok-marketing-agencies-in-the-uk-2026</v>
      </c>
      <c r="B306" s="15" t="str">
        <f>IFERROR(__xludf.DUMMYFUNCTION("""COMPUTED_VALUE"""),"The Best TikTok Marketing Agencies in the UK (2026)")</f>
        <v>The Best TikTok Marketing Agencies in the UK (2026)</v>
      </c>
      <c r="C306" s="14" t="str">
        <f>IFERROR(__xludf.DUMMYFUNCTION("""COMPUTED_VALUE"""),"noisemediagroup.co.uk")</f>
        <v>noisemediagroup.co.uk</v>
      </c>
      <c r="D306" s="15" t="str">
        <f>IFERROR(__xludf.DUMMYFUNCTION("""COMPUTED_VALUE"""),"LISTICLE")</f>
        <v>LISTICLE</v>
      </c>
      <c r="E306" s="15" t="str">
        <f>IFERROR(__xludf.DUMMYFUNCTION("""COMPUTED_VALUE"""),"CORPORATE")</f>
        <v>CORPORATE</v>
      </c>
      <c r="F306" s="15" t="str">
        <f>IFERROR(__xludf.DUMMYFUNCTION("""COMPUTED_VALUE"""),"Listicle")</f>
        <v>Listicle</v>
      </c>
      <c r="G306" s="15" t="b">
        <f>IFERROR(__xludf.DUMMYFUNCTION("""COMPUTED_VALUE"""),FALSE)</f>
        <v>0</v>
      </c>
      <c r="H306" s="15" t="str">
        <f>IFERROR(__xludf.DUMMYFUNCTION("""COMPUTED_VALUE"""),"The Social Shepherd, Disrupt Marketing, Social Chain, Brainlabs, Momentum")</f>
        <v>The Social Shepherd, Disrupt Marketing, Social Chain, Brainlabs, Momentum</v>
      </c>
      <c r="I306" s="15">
        <f>IFERROR(__xludf.DUMMYFUNCTION("""COMPUTED_VALUE"""),2.0)</f>
        <v>2</v>
      </c>
      <c r="J306" s="15">
        <f>IFERROR(__xludf.DUMMYFUNCTION("""COMPUTED_VALUE"""),0.0)</f>
        <v>0</v>
      </c>
      <c r="K306" s="15">
        <f>IFERROR(__xludf.DUMMYFUNCTION("""COMPUTED_VALUE"""),1.0)</f>
        <v>1</v>
      </c>
    </row>
    <row r="307" ht="15.75" customHeight="1">
      <c r="A307" s="14" t="str">
        <f>IFERROR(__xludf.DUMMYFUNCTION("""COMPUTED_VALUE"""),"https://www.omnius.so/blog/best-answer-engine-optimization-agencies")</f>
        <v>https://www.omnius.so/blog/best-answer-engine-optimization-agencies</v>
      </c>
      <c r="B307" s="15" t="str">
        <f>IFERROR(__xludf.DUMMYFUNCTION("""COMPUTED_VALUE"""),"16 Best Answer Engine Optimization (AEO) Agencies in 2026")</f>
        <v>16 Best Answer Engine Optimization (AEO) Agencies in 2026</v>
      </c>
      <c r="C307" s="14" t="str">
        <f>IFERROR(__xludf.DUMMYFUNCTION("""COMPUTED_VALUE"""),"omnius.so")</f>
        <v>omnius.so</v>
      </c>
      <c r="D307" s="15" t="str">
        <f>IFERROR(__xludf.DUMMYFUNCTION("""COMPUTED_VALUE"""),"LISTICLE")</f>
        <v>LISTICLE</v>
      </c>
      <c r="E307" s="15" t="str">
        <f>IFERROR(__xludf.DUMMYFUNCTION("""COMPUTED_VALUE"""),"OTHER")</f>
        <v>OTHER</v>
      </c>
      <c r="F307" s="15" t="str">
        <f>IFERROR(__xludf.DUMMYFUNCTION("""COMPUTED_VALUE"""),"Listicle")</f>
        <v>Listicle</v>
      </c>
      <c r="G307" s="15" t="b">
        <f>IFERROR(__xludf.DUMMYFUNCTION("""COMPUTED_VALUE"""),FALSE)</f>
        <v>0</v>
      </c>
      <c r="H307" s="15" t="str">
        <f>IFERROR(__xludf.DUMMYFUNCTION("""COMPUTED_VALUE"""),"Omniscient Digital, Single Grain, Found")</f>
        <v>Omniscient Digital, Single Grain, Found</v>
      </c>
      <c r="I307" s="15">
        <f>IFERROR(__xludf.DUMMYFUNCTION("""COMPUTED_VALUE"""),2.0)</f>
        <v>2</v>
      </c>
      <c r="J307" s="15">
        <f>IFERROR(__xludf.DUMMYFUNCTION("""COMPUTED_VALUE"""),0.0)</f>
        <v>0</v>
      </c>
      <c r="K307" s="15">
        <f>IFERROR(__xludf.DUMMYFUNCTION("""COMPUTED_VALUE"""),0.0)</f>
        <v>0</v>
      </c>
    </row>
    <row r="308" ht="15.75" customHeight="1">
      <c r="A308" s="14" t="str">
        <f>IFERROR(__xludf.DUMMYFUNCTION("""COMPUTED_VALUE"""),"https://open.partners/open-partners-insights/top-uk-independent-marketing-agencies-5m-budgets/")</f>
        <v>https://open.partners/open-partners-insights/top-uk-independent-marketing-agencies-5m-budgets/</v>
      </c>
      <c r="B308" s="15" t="str">
        <f>IFERROR(__xludf.DUMMYFUNCTION("""COMPUTED_VALUE"""),"Top UK Marketing Agencies for £5m+ Budgets | Open Partners")</f>
        <v>Top UK Marketing Agencies for £5m+ Budgets | Open Partners</v>
      </c>
      <c r="C308" s="15" t="str">
        <f>IFERROR(__xludf.DUMMYFUNCTION("""COMPUTED_VALUE"""),"open.partners")</f>
        <v>open.partners</v>
      </c>
      <c r="D308" s="15" t="str">
        <f>IFERROR(__xludf.DUMMYFUNCTION("""COMPUTED_VALUE"""),"LISTICLE")</f>
        <v>LISTICLE</v>
      </c>
      <c r="E308" s="15" t="str">
        <f>IFERROR(__xludf.DUMMYFUNCTION("""COMPUTED_VALUE"""),"COMPETITOR")</f>
        <v>COMPETITOR</v>
      </c>
      <c r="F308" s="15" t="str">
        <f>IFERROR(__xludf.DUMMYFUNCTION("""COMPUTED_VALUE"""),"Listicle")</f>
        <v>Listicle</v>
      </c>
      <c r="G308" s="15" t="b">
        <f>IFERROR(__xludf.DUMMYFUNCTION("""COMPUTED_VALUE"""),FALSE)</f>
        <v>0</v>
      </c>
      <c r="H308" s="15" t="str">
        <f>IFERROR(__xludf.DUMMYFUNCTION("""COMPUTED_VALUE"""),"Open Partners, Brainlabs, Journey Further, Found, ROAST")</f>
        <v>Open Partners, Brainlabs, Journey Further, Found, ROAST</v>
      </c>
      <c r="I308" s="15">
        <f>IFERROR(__xludf.DUMMYFUNCTION("""COMPUTED_VALUE"""),2.0)</f>
        <v>2</v>
      </c>
      <c r="J308" s="15">
        <f>IFERROR(__xludf.DUMMYFUNCTION("""COMPUTED_VALUE"""),0.0)</f>
        <v>0</v>
      </c>
      <c r="K308" s="15">
        <f>IFERROR(__xludf.DUMMYFUNCTION("""COMPUTED_VALUE"""),0.5)</f>
        <v>0.5</v>
      </c>
    </row>
    <row r="309" ht="15.75" customHeight="1">
      <c r="A309" s="14" t="str">
        <f>IFERROR(__xludf.DUMMYFUNCTION("""COMPUTED_VALUE"""),"https://orm-tech.com/blog/best-marketing-attribution-software/")</f>
        <v>https://orm-tech.com/blog/best-marketing-attribution-software/</v>
      </c>
      <c r="B309" s="15" t="str">
        <f>IFERROR(__xludf.DUMMYFUNCTION("""COMPUTED_VALUE"""),"9 Best Marketing Attribution Software for B2B (2026) | ORM")</f>
        <v>9 Best Marketing Attribution Software for B2B (2026) | ORM</v>
      </c>
      <c r="C309" s="14" t="str">
        <f>IFERROR(__xludf.DUMMYFUNCTION("""COMPUTED_VALUE"""),"orm-tech.com")</f>
        <v>orm-tech.com</v>
      </c>
      <c r="D309" s="15" t="str">
        <f>IFERROR(__xludf.DUMMYFUNCTION("""COMPUTED_VALUE"""),"LISTICLE")</f>
        <v>LISTICLE</v>
      </c>
      <c r="E309" s="15" t="str">
        <f>IFERROR(__xludf.DUMMYFUNCTION("""COMPUTED_VALUE"""),"CORPORATE")</f>
        <v>CORPORATE</v>
      </c>
      <c r="F309" s="15" t="str">
        <f>IFERROR(__xludf.DUMMYFUNCTION("""COMPUTED_VALUE"""),"Listicle")</f>
        <v>Listicle</v>
      </c>
      <c r="G309" s="15" t="b">
        <f>IFERROR(__xludf.DUMMYFUNCTION("""COMPUTED_VALUE"""),FALSE)</f>
        <v>0</v>
      </c>
      <c r="H309" s="15"/>
      <c r="I309" s="15">
        <f>IFERROR(__xludf.DUMMYFUNCTION("""COMPUTED_VALUE"""),2.0)</f>
        <v>2</v>
      </c>
      <c r="J309" s="15">
        <f>IFERROR(__xludf.DUMMYFUNCTION("""COMPUTED_VALUE"""),0.0)</f>
        <v>0</v>
      </c>
      <c r="K309" s="15">
        <f>IFERROR(__xludf.DUMMYFUNCTION("""COMPUTED_VALUE"""),0.5)</f>
        <v>0.5</v>
      </c>
    </row>
    <row r="310" ht="15.75" customHeight="1">
      <c r="A310" s="14" t="str">
        <f>IFERROR(__xludf.DUMMYFUNCTION("""COMPUTED_VALUE"""),"https://www.outrightcrm.com/blog/roi-focused-digital-marketing-agencies/")</f>
        <v>https://www.outrightcrm.com/blog/roi-focused-digital-marketing-agencies/</v>
      </c>
      <c r="B310" s="15" t="str">
        <f>IFERROR(__xludf.DUMMYFUNCTION("""COMPUTED_VALUE"""),"15 Best ROI-Focused Digital Marketing Firms in 2026 | OutrightCRM")</f>
        <v>15 Best ROI-Focused Digital Marketing Firms in 2026 | OutrightCRM</v>
      </c>
      <c r="C310" s="14" t="str">
        <f>IFERROR(__xludf.DUMMYFUNCTION("""COMPUTED_VALUE"""),"outrightcrm.com")</f>
        <v>outrightcrm.com</v>
      </c>
      <c r="D310" s="15" t="str">
        <f>IFERROR(__xludf.DUMMYFUNCTION("""COMPUTED_VALUE"""),"LISTICLE")</f>
        <v>LISTICLE</v>
      </c>
      <c r="E310" s="15" t="str">
        <f>IFERROR(__xludf.DUMMYFUNCTION("""COMPUTED_VALUE"""),"CORPORATE")</f>
        <v>CORPORATE</v>
      </c>
      <c r="F310" s="15" t="str">
        <f>IFERROR(__xludf.DUMMYFUNCTION("""COMPUTED_VALUE"""),"Listicle")</f>
        <v>Listicle</v>
      </c>
      <c r="G310" s="15" t="b">
        <f>IFERROR(__xludf.DUMMYFUNCTION("""COMPUTED_VALUE"""),FALSE)</f>
        <v>0</v>
      </c>
      <c r="H310" s="15" t="str">
        <f>IFERROR(__xludf.DUMMYFUNCTION("""COMPUTED_VALUE"""),"Disruptive Advertising, Power Digital, Wpromote, Ignite Visibility, Directive Consulting, Jellyfish, Merkle, NP Digital, Huge, Push")</f>
        <v>Disruptive Advertising, Power Digital, Wpromote, Ignite Visibility, Directive Consulting, Jellyfish, Merkle, NP Digital, Huge, Push</v>
      </c>
      <c r="I310" s="15">
        <f>IFERROR(__xludf.DUMMYFUNCTION("""COMPUTED_VALUE"""),2.0)</f>
        <v>2</v>
      </c>
      <c r="J310" s="15">
        <f>IFERROR(__xludf.DUMMYFUNCTION("""COMPUTED_VALUE"""),0.0)</f>
        <v>0</v>
      </c>
      <c r="K310" s="15">
        <f>IFERROR(__xludf.DUMMYFUNCTION("""COMPUTED_VALUE"""),0.5)</f>
        <v>0.5</v>
      </c>
    </row>
    <row r="311" ht="15.75" customHeight="1">
      <c r="A311" s="14" t="str">
        <f>IFERROR(__xludf.DUMMYFUNCTION("""COMPUTED_VALUE"""),"https://oxdpr.com/advertising-firms-london/")</f>
        <v>https://oxdpr.com/advertising-firms-london/</v>
      </c>
      <c r="B311" s="15" t="str">
        <f>IFERROR(__xludf.DUMMYFUNCTION("""COMPUTED_VALUE"""),"7 Outstanding Advertising Firms London to Watch in 2026 - OXDPR - Digital Marketing")</f>
        <v>7 Outstanding Advertising Firms London to Watch in 2026 - OXDPR - Digital Marketing</v>
      </c>
      <c r="C311" s="14" t="str">
        <f>IFERROR(__xludf.DUMMYFUNCTION("""COMPUTED_VALUE"""),"oxdpr.com")</f>
        <v>oxdpr.com</v>
      </c>
      <c r="D311" s="15" t="str">
        <f>IFERROR(__xludf.DUMMYFUNCTION("""COMPUTED_VALUE"""),"LISTICLE")</f>
        <v>LISTICLE</v>
      </c>
      <c r="E311" s="15" t="str">
        <f>IFERROR(__xludf.DUMMYFUNCTION("""COMPUTED_VALUE"""),"CORPORATE")</f>
        <v>CORPORATE</v>
      </c>
      <c r="F311" s="15" t="str">
        <f>IFERROR(__xludf.DUMMYFUNCTION("""COMPUTED_VALUE"""),"Listicle")</f>
        <v>Listicle</v>
      </c>
      <c r="G311" s="15" t="b">
        <f>IFERROR(__xludf.DUMMYFUNCTION("""COMPUTED_VALUE"""),FALSE)</f>
        <v>0</v>
      </c>
      <c r="H311" s="15" t="str">
        <f>IFERROR(__xludf.DUMMYFUNCTION("""COMPUTED_VALUE"""),"Mother London, VCCP, Adam&amp;eveDDB, Uncommon Creative Studio, Saatchi &amp; Saatchi, Found")</f>
        <v>Mother London, VCCP, Adam&amp;eveDDB, Uncommon Creative Studio, Saatchi &amp; Saatchi, Found</v>
      </c>
      <c r="I311" s="15">
        <f>IFERROR(__xludf.DUMMYFUNCTION("""COMPUTED_VALUE"""),2.0)</f>
        <v>2</v>
      </c>
      <c r="J311" s="15">
        <f>IFERROR(__xludf.DUMMYFUNCTION("""COMPUTED_VALUE"""),0.0)</f>
        <v>0</v>
      </c>
      <c r="K311" s="15">
        <f>IFERROR(__xludf.DUMMYFUNCTION("""COMPUTED_VALUE"""),1.0)</f>
        <v>1</v>
      </c>
    </row>
    <row r="312" ht="15.75" customHeight="1">
      <c r="A312" s="14" t="str">
        <f>IFERROR(__xludf.DUMMYFUNCTION("""COMPUTED_VALUE"""),"https://phosailabs.com/blog/best-ai-consulting-firms-marketing-agencies")</f>
        <v>https://phosailabs.com/blog/best-ai-consulting-firms-marketing-agencies</v>
      </c>
      <c r="B312" s="15" t="str">
        <f>IFERROR(__xludf.DUMMYFUNCTION("""COMPUTED_VALUE"""),"Best AI Consulting for Marketing Agencies (2026)")</f>
        <v>Best AI Consulting for Marketing Agencies (2026)</v>
      </c>
      <c r="C312" s="14" t="str">
        <f>IFERROR(__xludf.DUMMYFUNCTION("""COMPUTED_VALUE"""),"phosailabs.com")</f>
        <v>phosailabs.com</v>
      </c>
      <c r="D312" s="15" t="str">
        <f>IFERROR(__xludf.DUMMYFUNCTION("""COMPUTED_VALUE"""),"LISTICLE")</f>
        <v>LISTICLE</v>
      </c>
      <c r="E312" s="15" t="str">
        <f>IFERROR(__xludf.DUMMYFUNCTION("""COMPUTED_VALUE"""),"CORPORATE")</f>
        <v>CORPORATE</v>
      </c>
      <c r="F312" s="15" t="str">
        <f>IFERROR(__xludf.DUMMYFUNCTION("""COMPUTED_VALUE"""),"Listicle")</f>
        <v>Listicle</v>
      </c>
      <c r="G312" s="15" t="b">
        <f>IFERROR(__xludf.DUMMYFUNCTION("""COMPUTED_VALUE"""),FALSE)</f>
        <v>0</v>
      </c>
      <c r="H312" s="15"/>
      <c r="I312" s="15">
        <f>IFERROR(__xludf.DUMMYFUNCTION("""COMPUTED_VALUE"""),2.0)</f>
        <v>2</v>
      </c>
      <c r="J312" s="15">
        <f>IFERROR(__xludf.DUMMYFUNCTION("""COMPUTED_VALUE"""),0.0)</f>
        <v>0</v>
      </c>
      <c r="K312" s="15">
        <f>IFERROR(__xludf.DUMMYFUNCTION("""COMPUTED_VALUE"""),1.0)</f>
        <v>1</v>
      </c>
    </row>
    <row r="313" ht="15.75" customHeight="1">
      <c r="A313" s="14" t="str">
        <f>IFERROR(__xludf.DUMMYFUNCTION("""COMPUTED_VALUE"""),"https://pinpoint-media.global/insights/best-10-digital-marketing-companies-in-the-uk-2026")</f>
        <v>https://pinpoint-media.global/insights/best-10-digital-marketing-companies-in-the-uk-2026</v>
      </c>
      <c r="B313" s="15" t="str">
        <f>IFERROR(__xludf.DUMMYFUNCTION("""COMPUTED_VALUE"""),"Best 10 Digital Marketing Companies in the UK for 2026 | PinPoint Media")</f>
        <v>Best 10 Digital Marketing Companies in the UK for 2026 | PinPoint Media</v>
      </c>
      <c r="C313" s="15" t="str">
        <f>IFERROR(__xludf.DUMMYFUNCTION("""COMPUTED_VALUE"""),"pinpoint-media.global")</f>
        <v>pinpoint-media.global</v>
      </c>
      <c r="D313" s="15" t="str">
        <f>IFERROR(__xludf.DUMMYFUNCTION("""COMPUTED_VALUE"""),"LISTICLE")</f>
        <v>LISTICLE</v>
      </c>
      <c r="E313" s="15" t="str">
        <f>IFERROR(__xludf.DUMMYFUNCTION("""COMPUTED_VALUE"""),"COMPETITOR")</f>
        <v>COMPETITOR</v>
      </c>
      <c r="F313" s="15" t="str">
        <f>IFERROR(__xludf.DUMMYFUNCTION("""COMPUTED_VALUE"""),"Listicle")</f>
        <v>Listicle</v>
      </c>
      <c r="G313" s="15" t="b">
        <f>IFERROR(__xludf.DUMMYFUNCTION("""COMPUTED_VALUE"""),FALSE)</f>
        <v>0</v>
      </c>
      <c r="H313" s="15" t="str">
        <f>IFERROR(__xludf.DUMMYFUNCTION("""COMPUTED_VALUE"""),"PinPoint Media, Found, Social Chain, Born Social, Impression, Hallam, Croud, Brainlabs, Koozai, The SEO Works")</f>
        <v>PinPoint Media, Found, Social Chain, Born Social, Impression, Hallam, Croud, Brainlabs, Koozai, The SEO Works</v>
      </c>
      <c r="I313" s="15">
        <f>IFERROR(__xludf.DUMMYFUNCTION("""COMPUTED_VALUE"""),2.0)</f>
        <v>2</v>
      </c>
      <c r="J313" s="15">
        <f>IFERROR(__xludf.DUMMYFUNCTION("""COMPUTED_VALUE"""),0.0)</f>
        <v>0</v>
      </c>
      <c r="K313" s="15">
        <f>IFERROR(__xludf.DUMMYFUNCTION("""COMPUTED_VALUE"""),1.0)</f>
        <v>1</v>
      </c>
    </row>
    <row r="314" ht="15.75" customHeight="1">
      <c r="A314" s="14" t="str">
        <f>IFERROR(__xludf.DUMMYFUNCTION("""COMPUTED_VALUE"""),"https://ppcgeeks.co.uk/ppc/top-7-google-ads-agencies-in-the-uk-for-exceptional-ppc-results/")</f>
        <v>https://ppcgeeks.co.uk/ppc/top-7-google-ads-agencies-in-the-uk-for-exceptional-ppc-results/</v>
      </c>
      <c r="B314" s="15" t="str">
        <f>IFERROR(__xludf.DUMMYFUNCTION("""COMPUTED_VALUE"""),"Top 7 Google Ads Agencies in the UK: Achieve Exceptional Results")</f>
        <v>Top 7 Google Ads Agencies in the UK: Achieve Exceptional Results</v>
      </c>
      <c r="C314" s="14" t="str">
        <f>IFERROR(__xludf.DUMMYFUNCTION("""COMPUTED_VALUE"""),"ppcgeeks.co.uk")</f>
        <v>ppcgeeks.co.uk</v>
      </c>
      <c r="D314" s="15" t="str">
        <f>IFERROR(__xludf.DUMMYFUNCTION("""COMPUTED_VALUE"""),"LISTICLE")</f>
        <v>LISTICLE</v>
      </c>
      <c r="E314" s="15" t="str">
        <f>IFERROR(__xludf.DUMMYFUNCTION("""COMPUTED_VALUE"""),"COMPETITOR")</f>
        <v>COMPETITOR</v>
      </c>
      <c r="F314" s="15" t="str">
        <f>IFERROR(__xludf.DUMMYFUNCTION("""COMPUTED_VALUE"""),"Listicle")</f>
        <v>Listicle</v>
      </c>
      <c r="G314" s="15" t="b">
        <f>IFERROR(__xludf.DUMMYFUNCTION("""COMPUTED_VALUE"""),FALSE)</f>
        <v>0</v>
      </c>
      <c r="H314" s="15" t="str">
        <f>IFERROR(__xludf.DUMMYFUNCTION("""COMPUTED_VALUE"""),"PPC Geeks, Push, Push Group, Impression, Found")</f>
        <v>PPC Geeks, Push, Push Group, Impression, Found</v>
      </c>
      <c r="I314" s="15">
        <f>IFERROR(__xludf.DUMMYFUNCTION("""COMPUTED_VALUE"""),2.0)</f>
        <v>2</v>
      </c>
      <c r="J314" s="15">
        <f>IFERROR(__xludf.DUMMYFUNCTION("""COMPUTED_VALUE"""),0.0)</f>
        <v>0</v>
      </c>
      <c r="K314" s="15">
        <f>IFERROR(__xludf.DUMMYFUNCTION("""COMPUTED_VALUE"""),1.0)</f>
        <v>1</v>
      </c>
    </row>
    <row r="315" ht="15.75" customHeight="1">
      <c r="A315" s="14" t="str">
        <f>IFERROR(__xludf.DUMMYFUNCTION("""COMPUTED_VALUE"""),"https://www.rank4ai.co.uk/research/rankings/top-ai-search-visibility-agencies-2026/")</f>
        <v>https://www.rank4ai.co.uk/research/rankings/top-ai-search-visibility-agencies-2026/</v>
      </c>
      <c r="B315" s="15" t="str">
        <f>IFERROR(__xludf.DUMMYFUNCTION("""COMPUTED_VALUE"""),"Top AI Search Visibility Agencies UK 2026 | Rank4AI")</f>
        <v>Top AI Search Visibility Agencies UK 2026 | Rank4AI</v>
      </c>
      <c r="C315" s="14" t="str">
        <f>IFERROR(__xludf.DUMMYFUNCTION("""COMPUTED_VALUE"""),"rank4ai.co.uk")</f>
        <v>rank4ai.co.uk</v>
      </c>
      <c r="D315" s="15" t="str">
        <f>IFERROR(__xludf.DUMMYFUNCTION("""COMPUTED_VALUE"""),"LISTICLE")</f>
        <v>LISTICLE</v>
      </c>
      <c r="E315" s="15" t="str">
        <f>IFERROR(__xludf.DUMMYFUNCTION("""COMPUTED_VALUE"""),"COMPETITOR")</f>
        <v>COMPETITOR</v>
      </c>
      <c r="F315" s="15" t="str">
        <f>IFERROR(__xludf.DUMMYFUNCTION("""COMPUTED_VALUE"""),"Listicle")</f>
        <v>Listicle</v>
      </c>
      <c r="G315" s="15" t="b">
        <f>IFERROR(__xludf.DUMMYFUNCTION("""COMPUTED_VALUE"""),FALSE)</f>
        <v>0</v>
      </c>
      <c r="H315" s="15" t="str">
        <f>IFERROR(__xludf.DUMMYFUNCTION("""COMPUTED_VALUE"""),"Rank4AI, Varn, Impression, Builtvisible, Found")</f>
        <v>Rank4AI, Varn, Impression, Builtvisible, Found</v>
      </c>
      <c r="I315" s="15">
        <f>IFERROR(__xludf.DUMMYFUNCTION("""COMPUTED_VALUE"""),2.0)</f>
        <v>2</v>
      </c>
      <c r="J315" s="15">
        <f>IFERROR(__xludf.DUMMYFUNCTION("""COMPUTED_VALUE"""),0.0)</f>
        <v>0</v>
      </c>
      <c r="K315" s="15">
        <f>IFERROR(__xludf.DUMMYFUNCTION("""COMPUTED_VALUE"""),0.0)</f>
        <v>0</v>
      </c>
    </row>
    <row r="316" ht="15.75" customHeight="1">
      <c r="A316" s="14" t="str">
        <f>IFERROR(__xludf.DUMMYFUNCTION("""COMPUTED_VALUE"""),"https://scopicstudios.com/blog/top-performance-marketing-agencies/")</f>
        <v>https://scopicstudios.com/blog/top-performance-marketing-agencies/</v>
      </c>
      <c r="B316" s="15" t="str">
        <f>IFERROR(__xludf.DUMMYFUNCTION("""COMPUTED_VALUE"""),"Top 10 Performance Marketing Agencies for ROI in 2025")</f>
        <v>Top 10 Performance Marketing Agencies for ROI in 2025</v>
      </c>
      <c r="C316" s="14" t="str">
        <f>IFERROR(__xludf.DUMMYFUNCTION("""COMPUTED_VALUE"""),"scopicstudios.com")</f>
        <v>scopicstudios.com</v>
      </c>
      <c r="D316" s="15" t="str">
        <f>IFERROR(__xludf.DUMMYFUNCTION("""COMPUTED_VALUE"""),"LISTICLE")</f>
        <v>LISTICLE</v>
      </c>
      <c r="E316" s="15" t="str">
        <f>IFERROR(__xludf.DUMMYFUNCTION("""COMPUTED_VALUE"""),"CORPORATE")</f>
        <v>CORPORATE</v>
      </c>
      <c r="F316" s="15" t="str">
        <f>IFERROR(__xludf.DUMMYFUNCTION("""COMPUTED_VALUE"""),"Listicle")</f>
        <v>Listicle</v>
      </c>
      <c r="G316" s="15" t="b">
        <f>IFERROR(__xludf.DUMMYFUNCTION("""COMPUTED_VALUE"""),FALSE)</f>
        <v>0</v>
      </c>
      <c r="H316" s="15" t="str">
        <f>IFERROR(__xludf.DUMMYFUNCTION("""COMPUTED_VALUE"""),"Measured")</f>
        <v>Measured</v>
      </c>
      <c r="I316" s="15">
        <f>IFERROR(__xludf.DUMMYFUNCTION("""COMPUTED_VALUE"""),2.0)</f>
        <v>2</v>
      </c>
      <c r="J316" s="15">
        <f>IFERROR(__xludf.DUMMYFUNCTION("""COMPUTED_VALUE"""),0.0)</f>
        <v>0</v>
      </c>
      <c r="K316" s="15">
        <f>IFERROR(__xludf.DUMMYFUNCTION("""COMPUTED_VALUE"""),0.0)</f>
        <v>0</v>
      </c>
    </row>
    <row r="317" ht="15.75" customHeight="1">
      <c r="A317" s="14" t="str">
        <f>IFERROR(__xludf.DUMMYFUNCTION("""COMPUTED_VALUE"""),"https://silverspoonagency.com/best-performance-marketing-agencies/")</f>
        <v>https://silverspoonagency.com/best-performance-marketing-agencies/</v>
      </c>
      <c r="B317" s="15" t="str">
        <f>IFERROR(__xludf.DUMMYFUNCTION("""COMPUTED_VALUE"""),"7 Best Performance marketing agencies to Drive ROI in 2026")</f>
        <v>7 Best Performance marketing agencies to Drive ROI in 2026</v>
      </c>
      <c r="C317" s="14" t="str">
        <f>IFERROR(__xludf.DUMMYFUNCTION("""COMPUTED_VALUE"""),"silverspoonagency.com")</f>
        <v>silverspoonagency.com</v>
      </c>
      <c r="D317" s="15" t="str">
        <f>IFERROR(__xludf.DUMMYFUNCTION("""COMPUTED_VALUE"""),"LISTICLE")</f>
        <v>LISTICLE</v>
      </c>
      <c r="E317" s="15" t="str">
        <f>IFERROR(__xludf.DUMMYFUNCTION("""COMPUTED_VALUE"""),"CORPORATE")</f>
        <v>CORPORATE</v>
      </c>
      <c r="F317" s="15" t="str">
        <f>IFERROR(__xludf.DUMMYFUNCTION("""COMPUTED_VALUE"""),"Listicle")</f>
        <v>Listicle</v>
      </c>
      <c r="G317" s="15" t="b">
        <f>IFERROR(__xludf.DUMMYFUNCTION("""COMPUTED_VALUE"""),FALSE)</f>
        <v>0</v>
      </c>
      <c r="H317" s="15" t="str">
        <f>IFERROR(__xludf.DUMMYFUNCTION("""COMPUTED_VALUE"""),"Found")</f>
        <v>Found</v>
      </c>
      <c r="I317" s="15">
        <f>IFERROR(__xludf.DUMMYFUNCTION("""COMPUTED_VALUE"""),2.0)</f>
        <v>2</v>
      </c>
      <c r="J317" s="15">
        <f>IFERROR(__xludf.DUMMYFUNCTION("""COMPUTED_VALUE"""),0.0)</f>
        <v>0</v>
      </c>
      <c r="K317" s="15">
        <f>IFERROR(__xludf.DUMMYFUNCTION("""COMPUTED_VALUE"""),0.0)</f>
        <v>0</v>
      </c>
    </row>
    <row r="318" ht="15.75" customHeight="1">
      <c r="A318" s="14" t="str">
        <f>IFERROR(__xludf.DUMMYFUNCTION("""COMPUTED_VALUE"""),"https://socialander.com/top-digital-marketing-company-in-the-united-kingdom/")</f>
        <v>https://socialander.com/top-digital-marketing-company-in-the-united-kingdom/</v>
      </c>
      <c r="B318" s="15" t="str">
        <f>IFERROR(__xludf.DUMMYFUNCTION("""COMPUTED_VALUE"""),"Top Digital Marketing Company in the United Kingdom")</f>
        <v>Top Digital Marketing Company in the United Kingdom</v>
      </c>
      <c r="C318" s="14" t="str">
        <f>IFERROR(__xludf.DUMMYFUNCTION("""COMPUTED_VALUE"""),"socialander.com")</f>
        <v>socialander.com</v>
      </c>
      <c r="D318" s="15" t="str">
        <f>IFERROR(__xludf.DUMMYFUNCTION("""COMPUTED_VALUE"""),"LISTICLE")</f>
        <v>LISTICLE</v>
      </c>
      <c r="E318" s="15" t="str">
        <f>IFERROR(__xludf.DUMMYFUNCTION("""COMPUTED_VALUE"""),"CORPORATE")</f>
        <v>CORPORATE</v>
      </c>
      <c r="F318" s="15" t="str">
        <f>IFERROR(__xludf.DUMMYFUNCTION("""COMPUTED_VALUE"""),"Listicle")</f>
        <v>Listicle</v>
      </c>
      <c r="G318" s="15" t="b">
        <f>IFERROR(__xludf.DUMMYFUNCTION("""COMPUTED_VALUE"""),FALSE)</f>
        <v>0</v>
      </c>
      <c r="H318" s="15" t="str">
        <f>IFERROR(__xludf.DUMMYFUNCTION("""COMPUTED_VALUE"""),"Huge, Impression, M3.agency, Favoured, Soap Media, Propeller, Hallam, ROAST, Gripped, We Are Social, Found")</f>
        <v>Huge, Impression, M3.agency, Favoured, Soap Media, Propeller, Hallam, ROAST, Gripped, We Are Social, Found</v>
      </c>
      <c r="I318" s="15">
        <f>IFERROR(__xludf.DUMMYFUNCTION("""COMPUTED_VALUE"""),2.0)</f>
        <v>2</v>
      </c>
      <c r="J318" s="15">
        <f>IFERROR(__xludf.DUMMYFUNCTION("""COMPUTED_VALUE"""),0.0)</f>
        <v>0</v>
      </c>
      <c r="K318" s="15">
        <f>IFERROR(__xludf.DUMMYFUNCTION("""COMPUTED_VALUE"""),0.5)</f>
        <v>0.5</v>
      </c>
    </row>
    <row r="319" ht="15.75" customHeight="1">
      <c r="A319" s="14" t="str">
        <f>IFERROR(__xludf.DUMMYFUNCTION("""COMPUTED_VALUE"""),"https://sourceloop.ai/blog/best-marketing-measurement-tools/")</f>
        <v>https://sourceloop.ai/blog/best-marketing-measurement-tools/</v>
      </c>
      <c r="B319" s="15" t="str">
        <f>IFERROR(__xludf.DUMMYFUNCTION("""COMPUTED_VALUE"""),"10 Best Marketing Measurement Tools: Compared in 2026 | SourceLoop")</f>
        <v>10 Best Marketing Measurement Tools: Compared in 2026 | SourceLoop</v>
      </c>
      <c r="C319" s="14" t="str">
        <f>IFERROR(__xludf.DUMMYFUNCTION("""COMPUTED_VALUE"""),"sourceloop.ai")</f>
        <v>sourceloop.ai</v>
      </c>
      <c r="D319" s="15" t="str">
        <f>IFERROR(__xludf.DUMMYFUNCTION("""COMPUTED_VALUE"""),"LISTICLE")</f>
        <v>LISTICLE</v>
      </c>
      <c r="E319" s="15" t="str">
        <f>IFERROR(__xludf.DUMMYFUNCTION("""COMPUTED_VALUE"""),"CORPORATE")</f>
        <v>CORPORATE</v>
      </c>
      <c r="F319" s="15" t="str">
        <f>IFERROR(__xludf.DUMMYFUNCTION("""COMPUTED_VALUE"""),"Listicle")</f>
        <v>Listicle</v>
      </c>
      <c r="G319" s="15" t="b">
        <f>IFERROR(__xludf.DUMMYFUNCTION("""COMPUTED_VALUE"""),FALSE)</f>
        <v>0</v>
      </c>
      <c r="H319" s="15" t="str">
        <f>IFERROR(__xludf.DUMMYFUNCTION("""COMPUTED_VALUE"""),"Northbeam, Triple Whale, Measured, Recast, Rockerbox, Sellforte, Analytic Partners, Push, Cometly, Nielsen")</f>
        <v>Northbeam, Triple Whale, Measured, Recast, Rockerbox, Sellforte, Analytic Partners, Push, Cometly, Nielsen</v>
      </c>
      <c r="I319" s="15">
        <f>IFERROR(__xludf.DUMMYFUNCTION("""COMPUTED_VALUE"""),2.0)</f>
        <v>2</v>
      </c>
      <c r="J319" s="15">
        <f>IFERROR(__xludf.DUMMYFUNCTION("""COMPUTED_VALUE"""),0.0)</f>
        <v>0</v>
      </c>
      <c r="K319" s="15">
        <f>IFERROR(__xludf.DUMMYFUNCTION("""COMPUTED_VALUE"""),0.0)</f>
        <v>0</v>
      </c>
    </row>
    <row r="320" ht="15.75" customHeight="1">
      <c r="A320" s="14" t="str">
        <f>IFERROR(__xludf.DUMMYFUNCTION("""COMPUTED_VALUE"""),"https://superbcompanies.com/categories/digital-marketing-companies-in-the-uk/")</f>
        <v>https://superbcompanies.com/categories/digital-marketing-companies-in-the-uk/</v>
      </c>
      <c r="B320" s="15" t="str">
        <f>IFERROR(__xludf.DUMMYFUNCTION("""COMPUTED_VALUE"""),"Top 100 Digital Marketing Companies in the United Kingdom - Jul 2026 | Ranking | SuperbCompanies")</f>
        <v>Top 100 Digital Marketing Companies in the United Kingdom - Jul 2026 | Ranking | SuperbCompanies</v>
      </c>
      <c r="C320" s="14" t="str">
        <f>IFERROR(__xludf.DUMMYFUNCTION("""COMPUTED_VALUE"""),"superbcompanies.com")</f>
        <v>superbcompanies.com</v>
      </c>
      <c r="D320" s="15" t="str">
        <f>IFERROR(__xludf.DUMMYFUNCTION("""COMPUTED_VALUE"""),"LISTICLE")</f>
        <v>LISTICLE</v>
      </c>
      <c r="E320" s="15" t="str">
        <f>IFERROR(__xludf.DUMMYFUNCTION("""COMPUTED_VALUE"""),"REFERENCE")</f>
        <v>REFERENCE</v>
      </c>
      <c r="F320" s="15" t="str">
        <f>IFERROR(__xludf.DUMMYFUNCTION("""COMPUTED_VALUE"""),"Listicle")</f>
        <v>Listicle</v>
      </c>
      <c r="G320" s="15" t="b">
        <f>IFERROR(__xludf.DUMMYFUNCTION("""COMPUTED_VALUE"""),FALSE)</f>
        <v>0</v>
      </c>
      <c r="H320" s="15" t="str">
        <f>IFERROR(__xludf.DUMMYFUNCTION("""COMPUTED_VALUE"""),"Bird Marketing, The SEO Works, Found, Impression")</f>
        <v>Bird Marketing, The SEO Works, Found, Impression</v>
      </c>
      <c r="I320" s="15">
        <f>IFERROR(__xludf.DUMMYFUNCTION("""COMPUTED_VALUE"""),2.0)</f>
        <v>2</v>
      </c>
      <c r="J320" s="15">
        <f>IFERROR(__xludf.DUMMYFUNCTION("""COMPUTED_VALUE"""),0.0)</f>
        <v>0</v>
      </c>
      <c r="K320" s="15">
        <f>IFERROR(__xludf.DUMMYFUNCTION("""COMPUTED_VALUE"""),0.0)</f>
        <v>0</v>
      </c>
    </row>
    <row r="321" ht="15.75" customHeight="1">
      <c r="A321" s="14" t="str">
        <f>IFERROR(__xludf.DUMMYFUNCTION("""COMPUTED_VALUE"""),"https://thatware.co/top-10-seo-companies-in-uk/")</f>
        <v>https://thatware.co/top-10-seo-companies-in-uk/</v>
      </c>
      <c r="B321" s="15" t="str">
        <f>IFERROR(__xludf.DUMMYFUNCTION("""COMPUTED_VALUE"""),"Top SEO Companies in UK | 10 Best UK SEO Agencies")</f>
        <v>Top SEO Companies in UK | 10 Best UK SEO Agencies</v>
      </c>
      <c r="C321" s="14" t="str">
        <f>IFERROR(__xludf.DUMMYFUNCTION("""COMPUTED_VALUE"""),"thatware.co")</f>
        <v>thatware.co</v>
      </c>
      <c r="D321" s="15" t="str">
        <f>IFERROR(__xludf.DUMMYFUNCTION("""COMPUTED_VALUE"""),"LISTICLE")</f>
        <v>LISTICLE</v>
      </c>
      <c r="E321" s="15" t="str">
        <f>IFERROR(__xludf.DUMMYFUNCTION("""COMPUTED_VALUE"""),"CORPORATE")</f>
        <v>CORPORATE</v>
      </c>
      <c r="F321" s="15" t="str">
        <f>IFERROR(__xludf.DUMMYFUNCTION("""COMPUTED_VALUE"""),"Listicle")</f>
        <v>Listicle</v>
      </c>
      <c r="G321" s="15" t="b">
        <f>IFERROR(__xludf.DUMMYFUNCTION("""COMPUTED_VALUE"""),FALSE)</f>
        <v>0</v>
      </c>
      <c r="H321" s="15" t="str">
        <f>IFERROR(__xludf.DUMMYFUNCTION("""COMPUTED_VALUE"""),"Ninja Promo, Impression, Genie Crawl, Rise at Seven, Builtvisible, Whitehat")</f>
        <v>Ninja Promo, Impression, Genie Crawl, Rise at Seven, Builtvisible, Whitehat</v>
      </c>
      <c r="I321" s="15">
        <f>IFERROR(__xludf.DUMMYFUNCTION("""COMPUTED_VALUE"""),2.0)</f>
        <v>2</v>
      </c>
      <c r="J321" s="15">
        <f>IFERROR(__xludf.DUMMYFUNCTION("""COMPUTED_VALUE"""),0.0)</f>
        <v>0</v>
      </c>
      <c r="K321" s="15">
        <f>IFERROR(__xludf.DUMMYFUNCTION("""COMPUTED_VALUE"""),1.0)</f>
        <v>1</v>
      </c>
    </row>
    <row r="322" ht="15.75" customHeight="1">
      <c r="A322" s="14" t="str">
        <f>IFERROR(__xludf.DUMMYFUNCTION("""COMPUTED_VALUE"""),"https://www.thedrum.com/lists/world-creative-rankings/companies/the-most-awarded-agencies-uk-ireland/2026")</f>
        <v>https://www.thedrum.com/lists/world-creative-rankings/companies/the-most-awarded-agencies-uk-ireland/2026</v>
      </c>
      <c r="B322" s="15" t="str">
        <f>IFERROR(__xludf.DUMMYFUNCTION("""COMPUTED_VALUE"""),"The Drum")</f>
        <v>The Drum</v>
      </c>
      <c r="C322" s="14" t="str">
        <f>IFERROR(__xludf.DUMMYFUNCTION("""COMPUTED_VALUE"""),"thedrum.com")</f>
        <v>thedrum.com</v>
      </c>
      <c r="D322" s="15" t="str">
        <f>IFERROR(__xludf.DUMMYFUNCTION("""COMPUTED_VALUE"""),"LISTICLE")</f>
        <v>LISTICLE</v>
      </c>
      <c r="E322" s="15" t="str">
        <f>IFERROR(__xludf.DUMMYFUNCTION("""COMPUTED_VALUE"""),"EDITORIAL")</f>
        <v>EDITORIAL</v>
      </c>
      <c r="F322" s="15" t="str">
        <f>IFERROR(__xludf.DUMMYFUNCTION("""COMPUTED_VALUE"""),"Listicle")</f>
        <v>Listicle</v>
      </c>
      <c r="G322" s="15" t="b">
        <f>IFERROR(__xludf.DUMMYFUNCTION("""COMPUTED_VALUE"""),FALSE)</f>
        <v>0</v>
      </c>
      <c r="H322" s="15" t="str">
        <f>IFERROR(__xludf.DUMMYFUNCTION("""COMPUTED_VALUE"""),"AMV BBDO, Adam&amp;eveDDB, VCCP, Mother London, Saatchi &amp; Saatchi, Ogilvy, BBH London, AKQA, Uncommon Creative Studio, WPP, Lucky Generals, Transmission, Further Group, Propeller, Momentum")</f>
        <v>AMV BBDO, Adam&amp;eveDDB, VCCP, Mother London, Saatchi &amp; Saatchi, Ogilvy, BBH London, AKQA, Uncommon Creative Studio, WPP, Lucky Generals, Transmission, Further Group, Propeller, Momentum</v>
      </c>
      <c r="I322" s="15">
        <f>IFERROR(__xludf.DUMMYFUNCTION("""COMPUTED_VALUE"""),2.0)</f>
        <v>2</v>
      </c>
      <c r="J322" s="15">
        <f>IFERROR(__xludf.DUMMYFUNCTION("""COMPUTED_VALUE"""),0.0)</f>
        <v>0</v>
      </c>
      <c r="K322" s="15">
        <f>IFERROR(__xludf.DUMMYFUNCTION("""COMPUTED_VALUE"""),0.0)</f>
        <v>0</v>
      </c>
    </row>
    <row r="323" ht="15.75" customHeight="1">
      <c r="A323" s="14" t="str">
        <f>IFERROR(__xludf.DUMMYFUNCTION("""COMPUTED_VALUE"""),"https://www.thegrowthsyndicate.com/agencies/best-b2b-digital-marketing-agencies-uk")</f>
        <v>https://www.thegrowthsyndicate.com/agencies/best-b2b-digital-marketing-agencies-uk</v>
      </c>
      <c r="B323" s="15" t="str">
        <f>IFERROR(__xludf.DUMMYFUNCTION("""COMPUTED_VALUE"""),"The 11 Best B2B Digital Marketing Agencies in the UK (2026)")</f>
        <v>The 11 Best B2B Digital Marketing Agencies in the UK (2026)</v>
      </c>
      <c r="C323" s="14" t="str">
        <f>IFERROR(__xludf.DUMMYFUNCTION("""COMPUTED_VALUE"""),"thegrowthsyndicate.com")</f>
        <v>thegrowthsyndicate.com</v>
      </c>
      <c r="D323" s="15" t="str">
        <f>IFERROR(__xludf.DUMMYFUNCTION("""COMPUTED_VALUE"""),"LISTICLE")</f>
        <v>LISTICLE</v>
      </c>
      <c r="E323" s="15" t="str">
        <f>IFERROR(__xludf.DUMMYFUNCTION("""COMPUTED_VALUE"""),"CORPORATE")</f>
        <v>CORPORATE</v>
      </c>
      <c r="F323" s="15" t="str">
        <f>IFERROR(__xludf.DUMMYFUNCTION("""COMPUTED_VALUE"""),"Listicle")</f>
        <v>Listicle</v>
      </c>
      <c r="G323" s="15" t="b">
        <f>IFERROR(__xludf.DUMMYFUNCTION("""COMPUTED_VALUE"""),FALSE)</f>
        <v>0</v>
      </c>
      <c r="H323" s="15" t="str">
        <f>IFERROR(__xludf.DUMMYFUNCTION("""COMPUTED_VALUE"""),"The Social Shepherd, Propellernet, Dentsu, LOCALiQ, Found")</f>
        <v>The Social Shepherd, Propellernet, Dentsu, LOCALiQ, Found</v>
      </c>
      <c r="I323" s="15">
        <f>IFERROR(__xludf.DUMMYFUNCTION("""COMPUTED_VALUE"""),2.0)</f>
        <v>2</v>
      </c>
      <c r="J323" s="15">
        <f>IFERROR(__xludf.DUMMYFUNCTION("""COMPUTED_VALUE"""),0.0)</f>
        <v>0</v>
      </c>
      <c r="K323" s="15">
        <f>IFERROR(__xludf.DUMMYFUNCTION("""COMPUTED_VALUE"""),2.5)</f>
        <v>2.5</v>
      </c>
    </row>
    <row r="324" ht="15.75" customHeight="1">
      <c r="A324" s="14" t="str">
        <f>IFERROR(__xludf.DUMMYFUNCTION("""COMPUTED_VALUE"""),"https://thetechfounders.co.uk/guides/10-best-ai-readiness-assessment-platforms-available-in-2026/#:~:text=Avanade's%20assessment%20is%20informed%20by,human%20side%20of%20AI%20adoption.")</f>
        <v>https://thetechfounders.co.uk/guides/10-best-ai-readiness-assessment-platforms-available-in-2026/#:~:text=Avanade's%20assessment%20is%20informed%20by,human%20side%20of%20AI%20adoption.</v>
      </c>
      <c r="B324" s="15" t="str">
        <f>IFERROR(__xludf.DUMMYFUNCTION("""COMPUTED_VALUE"""),"10 Best AI Readiness Assessment Platforms Available in 2026 | The Tech Founders")</f>
        <v>10 Best AI Readiness Assessment Platforms Available in 2026 | The Tech Founders</v>
      </c>
      <c r="C324" s="14" t="str">
        <f>IFERROR(__xludf.DUMMYFUNCTION("""COMPUTED_VALUE"""),"thetechfounders.co.uk")</f>
        <v>thetechfounders.co.uk</v>
      </c>
      <c r="D324" s="15" t="str">
        <f>IFERROR(__xludf.DUMMYFUNCTION("""COMPUTED_VALUE"""),"LISTICLE")</f>
        <v>LISTICLE</v>
      </c>
      <c r="E324" s="15" t="str">
        <f>IFERROR(__xludf.DUMMYFUNCTION("""COMPUTED_VALUE"""),"UGC")</f>
        <v>UGC</v>
      </c>
      <c r="F324" s="15" t="str">
        <f>IFERROR(__xludf.DUMMYFUNCTION("""COMPUTED_VALUE"""),"Listicle")</f>
        <v>Listicle</v>
      </c>
      <c r="G324" s="15" t="b">
        <f>IFERROR(__xludf.DUMMYFUNCTION("""COMPUTED_VALUE"""),FALSE)</f>
        <v>0</v>
      </c>
      <c r="H324" s="15" t="str">
        <f>IFERROR(__xludf.DUMMYFUNCTION("""COMPUTED_VALUE"""),"YouGov")</f>
        <v>YouGov</v>
      </c>
      <c r="I324" s="15">
        <f>IFERROR(__xludf.DUMMYFUNCTION("""COMPUTED_VALUE"""),2.0)</f>
        <v>2</v>
      </c>
      <c r="J324" s="15">
        <f>IFERROR(__xludf.DUMMYFUNCTION("""COMPUTED_VALUE"""),0.0)</f>
        <v>0</v>
      </c>
      <c r="K324" s="15">
        <f>IFERROR(__xludf.DUMMYFUNCTION("""COMPUTED_VALUE"""),1.0)</f>
        <v>1</v>
      </c>
    </row>
    <row r="325" ht="15.75" customHeight="1">
      <c r="A325" s="14" t="str">
        <f>IFERROR(__xludf.DUMMYFUNCTION("""COMPUTED_VALUE"""),"https://www.topseobrands.com/uk/best-display-advertising-firms-in-uk/page/8")</f>
        <v>https://www.topseobrands.com/uk/best-display-advertising-firms-in-uk/page/8</v>
      </c>
      <c r="B325" s="15" t="str">
        <f>IFERROR(__xludf.DUMMYFUNCTION("""COMPUTED_VALUE"""),"Best Display Advertising Firms in United Kingdom | Top SEO Brands")</f>
        <v>Best Display Advertising Firms in United Kingdom | Top SEO Brands</v>
      </c>
      <c r="C325" s="14" t="str">
        <f>IFERROR(__xludf.DUMMYFUNCTION("""COMPUTED_VALUE"""),"topseobrands.com")</f>
        <v>topseobrands.com</v>
      </c>
      <c r="D325" s="15" t="str">
        <f>IFERROR(__xludf.DUMMYFUNCTION("""COMPUTED_VALUE"""),"LISTICLE")</f>
        <v>LISTICLE</v>
      </c>
      <c r="E325" s="15" t="str">
        <f>IFERROR(__xludf.DUMMYFUNCTION("""COMPUTED_VALUE"""),"REFERENCE")</f>
        <v>REFERENCE</v>
      </c>
      <c r="F325" s="15" t="str">
        <f>IFERROR(__xludf.DUMMYFUNCTION("""COMPUTED_VALUE"""),"Listicle")</f>
        <v>Listicle</v>
      </c>
      <c r="G325" s="15" t="b">
        <f>IFERROR(__xludf.DUMMYFUNCTION("""COMPUTED_VALUE"""),FALSE)</f>
        <v>0</v>
      </c>
      <c r="H325" s="15" t="str">
        <f>IFERROR(__xludf.DUMMYFUNCTION("""COMPUTED_VALUE"""),"Found")</f>
        <v>Found</v>
      </c>
      <c r="I325" s="15">
        <f>IFERROR(__xludf.DUMMYFUNCTION("""COMPUTED_VALUE"""),2.0)</f>
        <v>2</v>
      </c>
      <c r="J325" s="15">
        <f>IFERROR(__xludf.DUMMYFUNCTION("""COMPUTED_VALUE"""),0.0)</f>
        <v>0</v>
      </c>
      <c r="K325" s="15">
        <f>IFERROR(__xludf.DUMMYFUNCTION("""COMPUTED_VALUE"""),0.0)</f>
        <v>0</v>
      </c>
    </row>
    <row r="326" ht="15.75" customHeight="1">
      <c r="A326" s="14" t="str">
        <f>IFERROR(__xludf.DUMMYFUNCTION("""COMPUTED_VALUE"""),"https://www.webtonic.io/blog/top-conversion-rate-optimisation-agencies-london")</f>
        <v>https://www.webtonic.io/blog/top-conversion-rate-optimisation-agencies-london</v>
      </c>
      <c r="B326" s="15" t="str">
        <f>IFERROR(__xludf.DUMMYFUNCTION("""COMPUTED_VALUE"""),"25 Top Conversion Rate Optimisation Agencies in London for 2026")</f>
        <v>25 Top Conversion Rate Optimisation Agencies in London for 2026</v>
      </c>
      <c r="C326" s="14" t="str">
        <f>IFERROR(__xludf.DUMMYFUNCTION("""COMPUTED_VALUE"""),"webtonic.io")</f>
        <v>webtonic.io</v>
      </c>
      <c r="D326" s="15" t="str">
        <f>IFERROR(__xludf.DUMMYFUNCTION("""COMPUTED_VALUE"""),"LISTICLE")</f>
        <v>LISTICLE</v>
      </c>
      <c r="E326" s="15" t="str">
        <f>IFERROR(__xludf.DUMMYFUNCTION("""COMPUTED_VALUE"""),"CORPORATE")</f>
        <v>CORPORATE</v>
      </c>
      <c r="F326" s="15" t="str">
        <f>IFERROR(__xludf.DUMMYFUNCTION("""COMPUTED_VALUE"""),"Listicle")</f>
        <v>Listicle</v>
      </c>
      <c r="G326" s="15" t="b">
        <f>IFERROR(__xludf.DUMMYFUNCTION("""COMPUTED_VALUE"""),FALSE)</f>
        <v>0</v>
      </c>
      <c r="H326" s="15" t="str">
        <f>IFERROR(__xludf.DUMMYFUNCTION("""COMPUTED_VALUE"""),"Impression, Anicca Digital")</f>
        <v>Impression, Anicca Digital</v>
      </c>
      <c r="I326" s="15">
        <f>IFERROR(__xludf.DUMMYFUNCTION("""COMPUTED_VALUE"""),2.0)</f>
        <v>2</v>
      </c>
      <c r="J326" s="15">
        <f>IFERROR(__xludf.DUMMYFUNCTION("""COMPUTED_VALUE"""),0.0)</f>
        <v>0</v>
      </c>
      <c r="K326" s="15">
        <f>IFERROR(__xludf.DUMMYFUNCTION("""COMPUTED_VALUE"""),2.0)</f>
        <v>2</v>
      </c>
    </row>
    <row r="327" ht="15.75" customHeight="1">
      <c r="A327" s="14" t="str">
        <f>IFERROR(__xludf.DUMMYFUNCTION("""COMPUTED_VALUE"""),"https://www.webtonic.io/blog/top-social-media-agencies-uk")</f>
        <v>https://www.webtonic.io/blog/top-social-media-agencies-uk</v>
      </c>
      <c r="B327" s="15" t="str">
        <f>IFERROR(__xludf.DUMMYFUNCTION("""COMPUTED_VALUE"""),"Top 48 Social Media Agencies in the UK (Reviewed in 2026)")</f>
        <v>Top 48 Social Media Agencies in the UK (Reviewed in 2026)</v>
      </c>
      <c r="C327" s="14" t="str">
        <f>IFERROR(__xludf.DUMMYFUNCTION("""COMPUTED_VALUE"""),"webtonic.io")</f>
        <v>webtonic.io</v>
      </c>
      <c r="D327" s="15" t="str">
        <f>IFERROR(__xludf.DUMMYFUNCTION("""COMPUTED_VALUE"""),"LISTICLE")</f>
        <v>LISTICLE</v>
      </c>
      <c r="E327" s="15" t="str">
        <f>IFERROR(__xludf.DUMMYFUNCTION("""COMPUTED_VALUE"""),"CORPORATE")</f>
        <v>CORPORATE</v>
      </c>
      <c r="F327" s="15" t="str">
        <f>IFERROR(__xludf.DUMMYFUNCTION("""COMPUTED_VALUE"""),"Listicle")</f>
        <v>Listicle</v>
      </c>
      <c r="G327" s="15" t="b">
        <f>IFERROR(__xludf.DUMMYFUNCTION("""COMPUTED_VALUE"""),FALSE)</f>
        <v>0</v>
      </c>
      <c r="H327" s="15" t="str">
        <f>IFERROR(__xludf.DUMMYFUNCTION("""COMPUTED_VALUE"""),"The Social Shepherd, We Are Social, Social Chain, WPP, Born Social, Brainlabs, Ninja Promo, Make Agency, Croud, The Good Marketer, Gripped, Measured, inBeat, Bird Marketing, Disrupt Marketing, Soap Media")</f>
        <v>The Social Shepherd, We Are Social, Social Chain, WPP, Born Social, Brainlabs, Ninja Promo, Make Agency, Croud, The Good Marketer, Gripped, Measured, inBeat, Bird Marketing, Disrupt Marketing, Soap Media</v>
      </c>
      <c r="I327" s="15">
        <f>IFERROR(__xludf.DUMMYFUNCTION("""COMPUTED_VALUE"""),2.0)</f>
        <v>2</v>
      </c>
      <c r="J327" s="15">
        <f>IFERROR(__xludf.DUMMYFUNCTION("""COMPUTED_VALUE"""),0.0)</f>
        <v>0</v>
      </c>
      <c r="K327" s="15">
        <f>IFERROR(__xludf.DUMMYFUNCTION("""COMPUTED_VALUE"""),1.0)</f>
        <v>1</v>
      </c>
    </row>
    <row r="328" ht="15.75" customHeight="1">
      <c r="A328" s="14" t="str">
        <f>IFERROR(__xludf.DUMMYFUNCTION("""COMPUTED_VALUE"""),"https://www.20northmarketing.com/blog/top-ai-optimization-agencies")</f>
        <v>https://www.20northmarketing.com/blog/top-ai-optimization-agencies</v>
      </c>
      <c r="B328" s="15" t="str">
        <f>IFERROR(__xludf.DUMMYFUNCTION("""COMPUTED_VALUE"""),"Top AI Optimization Agencies | 20North Marketing | 20North")</f>
        <v>Top AI Optimization Agencies | 20North Marketing | 20North</v>
      </c>
      <c r="C328" s="14" t="str">
        <f>IFERROR(__xludf.DUMMYFUNCTION("""COMPUTED_VALUE"""),"20northmarketing.com")</f>
        <v>20northmarketing.com</v>
      </c>
      <c r="D328" s="15" t="str">
        <f>IFERROR(__xludf.DUMMYFUNCTION("""COMPUTED_VALUE"""),"LISTICLE")</f>
        <v>LISTICLE</v>
      </c>
      <c r="E328" s="15" t="str">
        <f>IFERROR(__xludf.DUMMYFUNCTION("""COMPUTED_VALUE"""),"CORPORATE")</f>
        <v>CORPORATE</v>
      </c>
      <c r="F328" s="15" t="str">
        <f>IFERROR(__xludf.DUMMYFUNCTION("""COMPUTED_VALUE"""),"Listicle")</f>
        <v>Listicle</v>
      </c>
      <c r="G328" s="15" t="b">
        <f>IFERROR(__xludf.DUMMYFUNCTION("""COMPUTED_VALUE"""),FALSE)</f>
        <v>0</v>
      </c>
      <c r="H328" s="15" t="str">
        <f>IFERROR(__xludf.DUMMYFUNCTION("""COMPUTED_VALUE"""),"Siege Media")</f>
        <v>Siege Media</v>
      </c>
      <c r="I328" s="15">
        <f>IFERROR(__xludf.DUMMYFUNCTION("""COMPUTED_VALUE"""),1.0)</f>
        <v>1</v>
      </c>
      <c r="J328" s="15">
        <f>IFERROR(__xludf.DUMMYFUNCTION("""COMPUTED_VALUE"""),0.0)</f>
        <v>0</v>
      </c>
      <c r="K328" s="15">
        <f>IFERROR(__xludf.DUMMYFUNCTION("""COMPUTED_VALUE"""),1.0)</f>
        <v>1</v>
      </c>
    </row>
    <row r="329" ht="15.75" customHeight="1">
      <c r="A329" s="14" t="str">
        <f>IFERROR(__xludf.DUMMYFUNCTION("""COMPUTED_VALUE"""),"https://www.303.london/blog/top-creative-agencies-uk")</f>
        <v>https://www.303.london/blog/top-creative-agencies-uk</v>
      </c>
      <c r="B329" s="15" t="str">
        <f>IFERROR(__xludf.DUMMYFUNCTION("""COMPUTED_VALUE"""),"Top Creative Agencies in the UK 2023/24")</f>
        <v>Top Creative Agencies in the UK 2023/24</v>
      </c>
      <c r="C329" s="15" t="str">
        <f>IFERROR(__xludf.DUMMYFUNCTION("""COMPUTED_VALUE"""),"303.london")</f>
        <v>303.london</v>
      </c>
      <c r="D329" s="15" t="str">
        <f>IFERROR(__xludf.DUMMYFUNCTION("""COMPUTED_VALUE"""),"LISTICLE")</f>
        <v>LISTICLE</v>
      </c>
      <c r="E329" s="15" t="str">
        <f>IFERROR(__xludf.DUMMYFUNCTION("""COMPUTED_VALUE"""),"CORPORATE")</f>
        <v>CORPORATE</v>
      </c>
      <c r="F329" s="15" t="str">
        <f>IFERROR(__xludf.DUMMYFUNCTION("""COMPUTED_VALUE"""),"Listicle")</f>
        <v>Listicle</v>
      </c>
      <c r="G329" s="15" t="b">
        <f>IFERROR(__xludf.DUMMYFUNCTION("""COMPUTED_VALUE"""),FALSE)</f>
        <v>0</v>
      </c>
      <c r="H329" s="15"/>
      <c r="I329" s="15">
        <f>IFERROR(__xludf.DUMMYFUNCTION("""COMPUTED_VALUE"""),1.0)</f>
        <v>1</v>
      </c>
      <c r="J329" s="15">
        <f>IFERROR(__xludf.DUMMYFUNCTION("""COMPUTED_VALUE"""),0.0)</f>
        <v>0</v>
      </c>
      <c r="K329" s="15">
        <f>IFERROR(__xludf.DUMMYFUNCTION("""COMPUTED_VALUE"""),0.0)</f>
        <v>0</v>
      </c>
    </row>
    <row r="330" ht="15.75" customHeight="1">
      <c r="A330" s="14" t="str">
        <f>IFERROR(__xludf.DUMMYFUNCTION("""COMPUTED_VALUE"""),"https://www.adstellar.ai/blog/media-buying-automation-tools")</f>
        <v>https://www.adstellar.ai/blog/media-buying-automation-tools</v>
      </c>
      <c r="B330" s="15" t="str">
        <f>IFERROR(__xludf.DUMMYFUNCTION("""COMPUTED_VALUE"""),"Top 9 Media Buying Automation Tools: 2026… | AdStellar")</f>
        <v>Top 9 Media Buying Automation Tools: 2026… | AdStellar</v>
      </c>
      <c r="C330" s="14" t="str">
        <f>IFERROR(__xludf.DUMMYFUNCTION("""COMPUTED_VALUE"""),"adstellar.ai")</f>
        <v>adstellar.ai</v>
      </c>
      <c r="D330" s="15" t="str">
        <f>IFERROR(__xludf.DUMMYFUNCTION("""COMPUTED_VALUE"""),"LISTICLE")</f>
        <v>LISTICLE</v>
      </c>
      <c r="E330" s="15" t="str">
        <f>IFERROR(__xludf.DUMMYFUNCTION("""COMPUTED_VALUE"""),"CORPORATE")</f>
        <v>CORPORATE</v>
      </c>
      <c r="F330" s="15" t="str">
        <f>IFERROR(__xludf.DUMMYFUNCTION("""COMPUTED_VALUE"""),"Listicle")</f>
        <v>Listicle</v>
      </c>
      <c r="G330" s="15" t="b">
        <f>IFERROR(__xludf.DUMMYFUNCTION("""COMPUTED_VALUE"""),FALSE)</f>
        <v>0</v>
      </c>
      <c r="H330" s="15" t="str">
        <f>IFERROR(__xludf.DUMMYFUNCTION("""COMPUTED_VALUE"""),"Cometly")</f>
        <v>Cometly</v>
      </c>
      <c r="I330" s="15">
        <f>IFERROR(__xludf.DUMMYFUNCTION("""COMPUTED_VALUE"""),1.0)</f>
        <v>1</v>
      </c>
      <c r="J330" s="15">
        <f>IFERROR(__xludf.DUMMYFUNCTION("""COMPUTED_VALUE"""),0.0)</f>
        <v>0</v>
      </c>
      <c r="K330" s="15">
        <f>IFERROR(__xludf.DUMMYFUNCTION("""COMPUTED_VALUE"""),0.0)</f>
        <v>0</v>
      </c>
    </row>
    <row r="331" ht="15.75" customHeight="1">
      <c r="A331" s="14" t="str">
        <f>IFERROR(__xludf.DUMMYFUNCTION("""COMPUTED_VALUE"""),"https://adzooma.com/blog/top-10-advertising-agencies-in-the-uk/")</f>
        <v>https://adzooma.com/blog/top-10-advertising-agencies-in-the-uk/</v>
      </c>
      <c r="B331" s="15" t="str">
        <f>IFERROR(__xludf.DUMMYFUNCTION("""COMPUTED_VALUE"""),"Top 10 Advertising Agencies In The UK | Adzooma")</f>
        <v>Top 10 Advertising Agencies In The UK | Adzooma</v>
      </c>
      <c r="C331" s="14" t="str">
        <f>IFERROR(__xludf.DUMMYFUNCTION("""COMPUTED_VALUE"""),"adzooma.com")</f>
        <v>adzooma.com</v>
      </c>
      <c r="D331" s="15" t="str">
        <f>IFERROR(__xludf.DUMMYFUNCTION("""COMPUTED_VALUE"""),"LISTICLE")</f>
        <v>LISTICLE</v>
      </c>
      <c r="E331" s="15" t="str">
        <f>IFERROR(__xludf.DUMMYFUNCTION("""COMPUTED_VALUE"""),"CORPORATE")</f>
        <v>CORPORATE</v>
      </c>
      <c r="F331" s="15" t="str">
        <f>IFERROR(__xludf.DUMMYFUNCTION("""COMPUTED_VALUE"""),"Listicle")</f>
        <v>Listicle</v>
      </c>
      <c r="G331" s="15" t="b">
        <f>IFERROR(__xludf.DUMMYFUNCTION("""COMPUTED_VALUE"""),FALSE)</f>
        <v>0</v>
      </c>
      <c r="H331" s="15" t="str">
        <f>IFERROR(__xludf.DUMMYFUNCTION("""COMPUTED_VALUE"""),"Ogilvy, Saatchi &amp; Saatchi, The Brains, Adam&amp;eveDDB, BBH London, Found")</f>
        <v>Ogilvy, Saatchi &amp; Saatchi, The Brains, Adam&amp;eveDDB, BBH London, Found</v>
      </c>
      <c r="I331" s="15">
        <f>IFERROR(__xludf.DUMMYFUNCTION("""COMPUTED_VALUE"""),1.0)</f>
        <v>1</v>
      </c>
      <c r="J331" s="15">
        <f>IFERROR(__xludf.DUMMYFUNCTION("""COMPUTED_VALUE"""),0.0)</f>
        <v>0</v>
      </c>
      <c r="K331" s="15">
        <f>IFERROR(__xludf.DUMMYFUNCTION("""COMPUTED_VALUE"""),2.0)</f>
        <v>2</v>
      </c>
    </row>
    <row r="332" ht="15.75" customHeight="1">
      <c r="A332" s="14" t="str">
        <f>IFERROR(__xludf.DUMMYFUNCTION("""COMPUTED_VALUE"""),"https://aeo-rex.com/blog/best-aeo-agencies-uk-2026")</f>
        <v>https://aeo-rex.com/blog/best-aeo-agencies-uk-2026</v>
      </c>
      <c r="B332" s="15" t="str">
        <f>IFERROR(__xludf.DUMMYFUNCTION("""COMPUTED_VALUE"""),"Best AEO Agencies in the UK (2026), Answer Engine Optimisation Consultancies Ranked")</f>
        <v>Best AEO Agencies in the UK (2026), Answer Engine Optimisation Consultancies Ranked</v>
      </c>
      <c r="C332" s="14" t="str">
        <f>IFERROR(__xludf.DUMMYFUNCTION("""COMPUTED_VALUE"""),"aeo-rex.com")</f>
        <v>aeo-rex.com</v>
      </c>
      <c r="D332" s="15" t="str">
        <f>IFERROR(__xludf.DUMMYFUNCTION("""COMPUTED_VALUE"""),"LISTICLE")</f>
        <v>LISTICLE</v>
      </c>
      <c r="E332" s="15" t="str">
        <f>IFERROR(__xludf.DUMMYFUNCTION("""COMPUTED_VALUE"""),"UGC")</f>
        <v>UGC</v>
      </c>
      <c r="F332" s="15" t="str">
        <f>IFERROR(__xludf.DUMMYFUNCTION("""COMPUTED_VALUE"""),"Listicle")</f>
        <v>Listicle</v>
      </c>
      <c r="G332" s="15" t="b">
        <f>IFERROR(__xludf.DUMMYFUNCTION("""COMPUTED_VALUE"""),FALSE)</f>
        <v>0</v>
      </c>
      <c r="H332" s="15" t="str">
        <f>IFERROR(__xludf.DUMMYFUNCTION("""COMPUTED_VALUE"""),"ClickSlice, The SEO Works, Push, Push Group, Varn")</f>
        <v>ClickSlice, The SEO Works, Push, Push Group, Varn</v>
      </c>
      <c r="I332" s="15">
        <f>IFERROR(__xludf.DUMMYFUNCTION("""COMPUTED_VALUE"""),1.0)</f>
        <v>1</v>
      </c>
      <c r="J332" s="15">
        <f>IFERROR(__xludf.DUMMYFUNCTION("""COMPUTED_VALUE"""),0.0)</f>
        <v>0</v>
      </c>
      <c r="K332" s="15">
        <f>IFERROR(__xludf.DUMMYFUNCTION("""COMPUTED_VALUE"""),0.0)</f>
        <v>0</v>
      </c>
    </row>
    <row r="333" ht="15.75" customHeight="1">
      <c r="A333" s="14" t="str">
        <f>IFERROR(__xludf.DUMMYFUNCTION("""COMPUTED_VALUE"""),"https://aiblmedia.com/posts/ai-readiness-assessment/")</f>
        <v>https://aiblmedia.com/posts/ai-readiness-assessment/</v>
      </c>
      <c r="B333" s="15" t="str">
        <f>IFERROR(__xludf.DUMMYFUNCTION("""COMPUTED_VALUE"""),"AI Readiness Assessment: 10-Point Checklist | aibl")</f>
        <v>AI Readiness Assessment: 10-Point Checklist | aibl</v>
      </c>
      <c r="C333" s="14" t="str">
        <f>IFERROR(__xludf.DUMMYFUNCTION("""COMPUTED_VALUE"""),"aiblmedia.com")</f>
        <v>aiblmedia.com</v>
      </c>
      <c r="D333" s="15" t="str">
        <f>IFERROR(__xludf.DUMMYFUNCTION("""COMPUTED_VALUE"""),"LISTICLE")</f>
        <v>LISTICLE</v>
      </c>
      <c r="E333" s="15" t="str">
        <f>IFERROR(__xludf.DUMMYFUNCTION("""COMPUTED_VALUE"""),"EDITORIAL")</f>
        <v>EDITORIAL</v>
      </c>
      <c r="F333" s="15" t="str">
        <f>IFERROR(__xludf.DUMMYFUNCTION("""COMPUTED_VALUE"""),"Listicle")</f>
        <v>Listicle</v>
      </c>
      <c r="G333" s="15" t="b">
        <f>IFERROR(__xludf.DUMMYFUNCTION("""COMPUTED_VALUE"""),FALSE)</f>
        <v>0</v>
      </c>
      <c r="H333" s="15" t="str">
        <f>IFERROR(__xludf.DUMMYFUNCTION("""COMPUTED_VALUE"""),"Measured")</f>
        <v>Measured</v>
      </c>
      <c r="I333" s="15">
        <f>IFERROR(__xludf.DUMMYFUNCTION("""COMPUTED_VALUE"""),1.0)</f>
        <v>1</v>
      </c>
      <c r="J333" s="15">
        <f>IFERROR(__xludf.DUMMYFUNCTION("""COMPUTED_VALUE"""),0.0)</f>
        <v>0</v>
      </c>
      <c r="K333" s="15">
        <f>IFERROR(__xludf.DUMMYFUNCTION("""COMPUTED_VALUE"""),0.0)</f>
        <v>0</v>
      </c>
    </row>
    <row r="334" ht="15.75" customHeight="1">
      <c r="A334" s="14" t="str">
        <f>IFERROR(__xludf.DUMMYFUNCTION("""COMPUTED_VALUE"""),"https://aigeo360.com/gis-companies-in-uk/")</f>
        <v>https://aigeo360.com/gis-companies-in-uk/</v>
      </c>
      <c r="B334" s="15" t="str">
        <f>IFERROR(__xludf.DUMMYFUNCTION("""COMPUTED_VALUE"""),"Top 10 GIS Companies in UK | Best Geospatial Firms in 2025")</f>
        <v>Top 10 GIS Companies in UK | Best Geospatial Firms in 2025</v>
      </c>
      <c r="C334" s="14" t="str">
        <f>IFERROR(__xludf.DUMMYFUNCTION("""COMPUTED_VALUE"""),"aigeo360.com")</f>
        <v>aigeo360.com</v>
      </c>
      <c r="D334" s="15" t="str">
        <f>IFERROR(__xludf.DUMMYFUNCTION("""COMPUTED_VALUE"""),"LISTICLE")</f>
        <v>LISTICLE</v>
      </c>
      <c r="E334" s="15" t="str">
        <f>IFERROR(__xludf.DUMMYFUNCTION("""COMPUTED_VALUE"""),"CORPORATE")</f>
        <v>CORPORATE</v>
      </c>
      <c r="F334" s="15" t="str">
        <f>IFERROR(__xludf.DUMMYFUNCTION("""COMPUTED_VALUE"""),"Listicle")</f>
        <v>Listicle</v>
      </c>
      <c r="G334" s="15" t="b">
        <f>IFERROR(__xludf.DUMMYFUNCTION("""COMPUTED_VALUE"""),FALSE)</f>
        <v>0</v>
      </c>
      <c r="H334" s="15"/>
      <c r="I334" s="15">
        <f>IFERROR(__xludf.DUMMYFUNCTION("""COMPUTED_VALUE"""),1.0)</f>
        <v>1</v>
      </c>
      <c r="J334" s="15">
        <f>IFERROR(__xludf.DUMMYFUNCTION("""COMPUTED_VALUE"""),0.0)</f>
        <v>0</v>
      </c>
      <c r="K334" s="15">
        <f>IFERROR(__xludf.DUMMYFUNCTION("""COMPUTED_VALUE"""),5.0)</f>
        <v>5</v>
      </c>
    </row>
    <row r="335" ht="15.75" customHeight="1">
      <c r="A335" s="14" t="str">
        <f>IFERROR(__xludf.DUMMYFUNCTION("""COMPUTED_VALUE"""),"https://www.aimerce.ai/blogs/seo/top-5-incrementality-testing-tools-for-dtc-brands-in-2026")</f>
        <v>https://www.aimerce.ai/blogs/seo/top-5-incrementality-testing-tools-for-dtc-brands-in-2026</v>
      </c>
      <c r="B335" s="15" t="str">
        <f>IFERROR(__xludf.DUMMYFUNCTION("""COMPUTED_VALUE"""),"Top 5 Incrementality Testing Tools for DTC Brands in 2026")</f>
        <v>Top 5 Incrementality Testing Tools for DTC Brands in 2026</v>
      </c>
      <c r="C335" s="14" t="str">
        <f>IFERROR(__xludf.DUMMYFUNCTION("""COMPUTED_VALUE"""),"aimerce.ai")</f>
        <v>aimerce.ai</v>
      </c>
      <c r="D335" s="15" t="str">
        <f>IFERROR(__xludf.DUMMYFUNCTION("""COMPUTED_VALUE"""),"LISTICLE")</f>
        <v>LISTICLE</v>
      </c>
      <c r="E335" s="15" t="str">
        <f>IFERROR(__xludf.DUMMYFUNCTION("""COMPUTED_VALUE"""),"CORPORATE")</f>
        <v>CORPORATE</v>
      </c>
      <c r="F335" s="15" t="str">
        <f>IFERROR(__xludf.DUMMYFUNCTION("""COMPUTED_VALUE"""),"Listicle")</f>
        <v>Listicle</v>
      </c>
      <c r="G335" s="15" t="b">
        <f>IFERROR(__xludf.DUMMYFUNCTION("""COMPUTED_VALUE"""),FALSE)</f>
        <v>0</v>
      </c>
      <c r="H335" s="15" t="str">
        <f>IFERROR(__xludf.DUMMYFUNCTION("""COMPUTED_VALUE"""),"Northbeam, Triple Whale, Measured")</f>
        <v>Northbeam, Triple Whale, Measured</v>
      </c>
      <c r="I335" s="15">
        <f>IFERROR(__xludf.DUMMYFUNCTION("""COMPUTED_VALUE"""),1.0)</f>
        <v>1</v>
      </c>
      <c r="J335" s="15">
        <f>IFERROR(__xludf.DUMMYFUNCTION("""COMPUTED_VALUE"""),0.0)</f>
        <v>0</v>
      </c>
      <c r="K335" s="15">
        <f>IFERROR(__xludf.DUMMYFUNCTION("""COMPUTED_VALUE"""),0.0)</f>
        <v>0</v>
      </c>
    </row>
    <row r="336" ht="15.75" customHeight="1">
      <c r="A336" s="14" t="str">
        <f>IFERROR(__xludf.DUMMYFUNCTION("""COMPUTED_VALUE"""),"https://alexbirkett.com/digital-pr-agencies/")</f>
        <v>https://alexbirkett.com/digital-pr-agencies/</v>
      </c>
      <c r="B336" s="15" t="str">
        <f>IFERROR(__xludf.DUMMYFUNCTION("""COMPUTED_VALUE"""),"The 7 Best Digital PR Agencies in 2026 - Alex Birkett")</f>
        <v>The 7 Best Digital PR Agencies in 2026 - Alex Birkett</v>
      </c>
      <c r="C336" s="14" t="str">
        <f>IFERROR(__xludf.DUMMYFUNCTION("""COMPUTED_VALUE"""),"alexbirkett.com")</f>
        <v>alexbirkett.com</v>
      </c>
      <c r="D336" s="15" t="str">
        <f>IFERROR(__xludf.DUMMYFUNCTION("""COMPUTED_VALUE"""),"LISTICLE")</f>
        <v>LISTICLE</v>
      </c>
      <c r="E336" s="15" t="str">
        <f>IFERROR(__xludf.DUMMYFUNCTION("""COMPUTED_VALUE"""),"CORPORATE")</f>
        <v>CORPORATE</v>
      </c>
      <c r="F336" s="15" t="str">
        <f>IFERROR(__xludf.DUMMYFUNCTION("""COMPUTED_VALUE"""),"Listicle")</f>
        <v>Listicle</v>
      </c>
      <c r="G336" s="15" t="b">
        <f>IFERROR(__xludf.DUMMYFUNCTION("""COMPUTED_VALUE"""),FALSE)</f>
        <v>0</v>
      </c>
      <c r="H336" s="15" t="str">
        <f>IFERROR(__xludf.DUMMYFUNCTION("""COMPUTED_VALUE"""),"Omniscient Digital, Power Digital")</f>
        <v>Omniscient Digital, Power Digital</v>
      </c>
      <c r="I336" s="15">
        <f>IFERROR(__xludf.DUMMYFUNCTION("""COMPUTED_VALUE"""),1.0)</f>
        <v>1</v>
      </c>
      <c r="J336" s="15">
        <f>IFERROR(__xludf.DUMMYFUNCTION("""COMPUTED_VALUE"""),0.0)</f>
        <v>0</v>
      </c>
      <c r="K336" s="15">
        <f>IFERROR(__xludf.DUMMYFUNCTION("""COMPUTED_VALUE"""),0.0)</f>
        <v>0</v>
      </c>
    </row>
    <row r="337" ht="15.75" customHeight="1">
      <c r="A337" s="14" t="str">
        <f>IFERROR(__xludf.DUMMYFUNCTION("""COMPUTED_VALUE"""),"https://altorise.com/hub/content-marketing-agency-in-london/")</f>
        <v>https://altorise.com/hub/content-marketing-agency-in-london/</v>
      </c>
      <c r="B337" s="15" t="str">
        <f>IFERROR(__xludf.DUMMYFUNCTION("""COMPUTED_VALUE"""),"Best 15 Content Marketing Agency in London in 2026 - Altorise Hub")</f>
        <v>Best 15 Content Marketing Agency in London in 2026 - Altorise Hub</v>
      </c>
      <c r="C337" s="14" t="str">
        <f>IFERROR(__xludf.DUMMYFUNCTION("""COMPUTED_VALUE"""),"altorise.com")</f>
        <v>altorise.com</v>
      </c>
      <c r="D337" s="15" t="str">
        <f>IFERROR(__xludf.DUMMYFUNCTION("""COMPUTED_VALUE"""),"LISTICLE")</f>
        <v>LISTICLE</v>
      </c>
      <c r="E337" s="15" t="str">
        <f>IFERROR(__xludf.DUMMYFUNCTION("""COMPUTED_VALUE"""),"CORPORATE")</f>
        <v>CORPORATE</v>
      </c>
      <c r="F337" s="15" t="str">
        <f>IFERROR(__xludf.DUMMYFUNCTION("""COMPUTED_VALUE"""),"Listicle")</f>
        <v>Listicle</v>
      </c>
      <c r="G337" s="15" t="b">
        <f>IFERROR(__xludf.DUMMYFUNCTION("""COMPUTED_VALUE"""),FALSE)</f>
        <v>0</v>
      </c>
      <c r="H337" s="15" t="str">
        <f>IFERROR(__xludf.DUMMYFUNCTION("""COMPUTED_VALUE"""),"Passion Digital, The Good Marketer, The Social Shepherd, Found, NoGood, LOCALiQ, Measured")</f>
        <v>Passion Digital, The Good Marketer, The Social Shepherd, Found, NoGood, LOCALiQ, Measured</v>
      </c>
      <c r="I337" s="15">
        <f>IFERROR(__xludf.DUMMYFUNCTION("""COMPUTED_VALUE"""),1.0)</f>
        <v>1</v>
      </c>
      <c r="J337" s="15">
        <f>IFERROR(__xludf.DUMMYFUNCTION("""COMPUTED_VALUE"""),0.0)</f>
        <v>0</v>
      </c>
      <c r="K337" s="15">
        <f>IFERROR(__xludf.DUMMYFUNCTION("""COMPUTED_VALUE"""),1.0)</f>
        <v>1</v>
      </c>
    </row>
    <row r="338" ht="15.75" customHeight="1">
      <c r="A338" s="14" t="str">
        <f>IFERROR(__xludf.DUMMYFUNCTION("""COMPUTED_VALUE"""),"https://www.amraandelma.com/influencer-growth-agencies-in-the-us/")</f>
        <v>https://www.amraandelma.com/influencer-growth-agencies-in-the-us/</v>
      </c>
      <c r="B338" s="15" t="str">
        <f>IFERROR(__xludf.DUMMYFUNCTION("""COMPUTED_VALUE"""),"7 INFLUENCER GROWTH AGENCIES CRUSHING REACH REVENUE AND VIRALITY IN 2026")</f>
        <v>7 INFLUENCER GROWTH AGENCIES CRUSHING REACH REVENUE AND VIRALITY IN 2026</v>
      </c>
      <c r="C338" s="14" t="str">
        <f>IFERROR(__xludf.DUMMYFUNCTION("""COMPUTED_VALUE"""),"amraandelma.com")</f>
        <v>amraandelma.com</v>
      </c>
      <c r="D338" s="15" t="str">
        <f>IFERROR(__xludf.DUMMYFUNCTION("""COMPUTED_VALUE"""),"LISTICLE")</f>
        <v>LISTICLE</v>
      </c>
      <c r="E338" s="15" t="str">
        <f>IFERROR(__xludf.DUMMYFUNCTION("""COMPUTED_VALUE"""),"OTHER")</f>
        <v>OTHER</v>
      </c>
      <c r="F338" s="15" t="str">
        <f>IFERROR(__xludf.DUMMYFUNCTION("""COMPUTED_VALUE"""),"Listicle")</f>
        <v>Listicle</v>
      </c>
      <c r="G338" s="15" t="b">
        <f>IFERROR(__xludf.DUMMYFUNCTION("""COMPUTED_VALUE"""),FALSE)</f>
        <v>0</v>
      </c>
      <c r="H338" s="15" t="str">
        <f>IFERROR(__xludf.DUMMYFUNCTION("""COMPUTED_VALUE"""),"Momentum")</f>
        <v>Momentum</v>
      </c>
      <c r="I338" s="15">
        <f>IFERROR(__xludf.DUMMYFUNCTION("""COMPUTED_VALUE"""),1.0)</f>
        <v>1</v>
      </c>
      <c r="J338" s="15">
        <f>IFERROR(__xludf.DUMMYFUNCTION("""COMPUTED_VALUE"""),0.0)</f>
        <v>0</v>
      </c>
      <c r="K338" s="15">
        <f>IFERROR(__xludf.DUMMYFUNCTION("""COMPUTED_VALUE"""),1.0)</f>
        <v>1</v>
      </c>
    </row>
    <row r="339" ht="15.75" customHeight="1">
      <c r="A339" s="14" t="str">
        <f>IFERROR(__xludf.DUMMYFUNCTION("""COMPUTED_VALUE"""),"https://www.amraandelma.com/sports-social-media-management-agencies/")</f>
        <v>https://www.amraandelma.com/sports-social-media-management-agencies/</v>
      </c>
      <c r="B339" s="15" t="str">
        <f>IFERROR(__xludf.DUMMYFUNCTION("""COMPUTED_VALUE"""),"7 BEST SPORTS SOCIAL MEDIA MANAGEMENT AGENCIES SECRETLY DOMINATING FAN CULTURE IN 2026")</f>
        <v>7 BEST SPORTS SOCIAL MEDIA MANAGEMENT AGENCIES SECRETLY DOMINATING FAN CULTURE IN 2026</v>
      </c>
      <c r="C339" s="14" t="str">
        <f>IFERROR(__xludf.DUMMYFUNCTION("""COMPUTED_VALUE"""),"amraandelma.com")</f>
        <v>amraandelma.com</v>
      </c>
      <c r="D339" s="15" t="str">
        <f>IFERROR(__xludf.DUMMYFUNCTION("""COMPUTED_VALUE"""),"LISTICLE")</f>
        <v>LISTICLE</v>
      </c>
      <c r="E339" s="15" t="str">
        <f>IFERROR(__xludf.DUMMYFUNCTION("""COMPUTED_VALUE"""),"OTHER")</f>
        <v>OTHER</v>
      </c>
      <c r="F339" s="15" t="str">
        <f>IFERROR(__xludf.DUMMYFUNCTION("""COMPUTED_VALUE"""),"Listicle")</f>
        <v>Listicle</v>
      </c>
      <c r="G339" s="15" t="b">
        <f>IFERROR(__xludf.DUMMYFUNCTION("""COMPUTED_VALUE"""),FALSE)</f>
        <v>0</v>
      </c>
      <c r="H339" s="15" t="str">
        <f>IFERROR(__xludf.DUMMYFUNCTION("""COMPUTED_VALUE"""),"Momentum, Disrupt Marketing")</f>
        <v>Momentum, Disrupt Marketing</v>
      </c>
      <c r="I339" s="15">
        <f>IFERROR(__xludf.DUMMYFUNCTION("""COMPUTED_VALUE"""),1.0)</f>
        <v>1</v>
      </c>
      <c r="J339" s="15">
        <f>IFERROR(__xludf.DUMMYFUNCTION("""COMPUTED_VALUE"""),0.0)</f>
        <v>0</v>
      </c>
      <c r="K339" s="15">
        <f>IFERROR(__xludf.DUMMYFUNCTION("""COMPUTED_VALUE"""),0.0)</f>
        <v>0</v>
      </c>
    </row>
    <row r="340" ht="15.75" customHeight="1">
      <c r="A340" s="14" t="str">
        <f>IFERROR(__xludf.DUMMYFUNCTION("""COMPUTED_VALUE"""),"https://www.appearonline.co.uk/blog/best-uk-digital-marketing-agencies")</f>
        <v>https://www.appearonline.co.uk/blog/best-uk-digital-marketing-agencies</v>
      </c>
      <c r="B340" s="15" t="str">
        <f>IFERROR(__xludf.DUMMYFUNCTION("""COMPUTED_VALUE"""),"10 Best UK Digital Marketing Agencies (2026) | Appear Online")</f>
        <v>10 Best UK Digital Marketing Agencies (2026) | Appear Online</v>
      </c>
      <c r="C340" s="14" t="str">
        <f>IFERROR(__xludf.DUMMYFUNCTION("""COMPUTED_VALUE"""),"appearonline.co.uk")</f>
        <v>appearonline.co.uk</v>
      </c>
      <c r="D340" s="15" t="str">
        <f>IFERROR(__xludf.DUMMYFUNCTION("""COMPUTED_VALUE"""),"LISTICLE")</f>
        <v>LISTICLE</v>
      </c>
      <c r="E340" s="15" t="str">
        <f>IFERROR(__xludf.DUMMYFUNCTION("""COMPUTED_VALUE"""),"CORPORATE")</f>
        <v>CORPORATE</v>
      </c>
      <c r="F340" s="15" t="str">
        <f>IFERROR(__xludf.DUMMYFUNCTION("""COMPUTED_VALUE"""),"Listicle")</f>
        <v>Listicle</v>
      </c>
      <c r="G340" s="15" t="b">
        <f>IFERROR(__xludf.DUMMYFUNCTION("""COMPUTED_VALUE"""),FALSE)</f>
        <v>0</v>
      </c>
      <c r="H340" s="15" t="str">
        <f>IFERROR(__xludf.DUMMYFUNCTION("""COMPUTED_VALUE"""),"The SEO Works, Blue Array, Builtvisible, Impression, Hallam, Found, Rise at Seven")</f>
        <v>The SEO Works, Blue Array, Builtvisible, Impression, Hallam, Found, Rise at Seven</v>
      </c>
      <c r="I340" s="15">
        <f>IFERROR(__xludf.DUMMYFUNCTION("""COMPUTED_VALUE"""),1.0)</f>
        <v>1</v>
      </c>
      <c r="J340" s="15">
        <f>IFERROR(__xludf.DUMMYFUNCTION("""COMPUTED_VALUE"""),0.0)</f>
        <v>0</v>
      </c>
      <c r="K340" s="15">
        <f>IFERROR(__xludf.DUMMYFUNCTION("""COMPUTED_VALUE"""),0.0)</f>
        <v>0</v>
      </c>
    </row>
    <row r="341" ht="15.75" customHeight="1">
      <c r="A341" s="14" t="str">
        <f>IFERROR(__xludf.DUMMYFUNCTION("""COMPUTED_VALUE"""),"https://auditynow.com/blog/best-ai-readiness-assessment-tools")</f>
        <v>https://auditynow.com/blog/best-ai-readiness-assessment-tools</v>
      </c>
      <c r="B341" s="15" t="str">
        <f>IFERROR(__xludf.DUMMYFUNCTION("""COMPUTED_VALUE"""),"8 Best AI Readiness Assessment Tools for Consulting Firms (2026)")</f>
        <v>8 Best AI Readiness Assessment Tools for Consulting Firms (2026)</v>
      </c>
      <c r="C341" s="14" t="str">
        <f>IFERROR(__xludf.DUMMYFUNCTION("""COMPUTED_VALUE"""),"auditynow.com")</f>
        <v>auditynow.com</v>
      </c>
      <c r="D341" s="15" t="str">
        <f>IFERROR(__xludf.DUMMYFUNCTION("""COMPUTED_VALUE"""),"LISTICLE")</f>
        <v>LISTICLE</v>
      </c>
      <c r="E341" s="15" t="str">
        <f>IFERROR(__xludf.DUMMYFUNCTION("""COMPUTED_VALUE"""),"CORPORATE")</f>
        <v>CORPORATE</v>
      </c>
      <c r="F341" s="15" t="str">
        <f>IFERROR(__xludf.DUMMYFUNCTION("""COMPUTED_VALUE"""),"Listicle")</f>
        <v>Listicle</v>
      </c>
      <c r="G341" s="15" t="b">
        <f>IFERROR(__xludf.DUMMYFUNCTION("""COMPUTED_VALUE"""),FALSE)</f>
        <v>0</v>
      </c>
      <c r="H341" s="15" t="str">
        <f>IFERROR(__xludf.DUMMYFUNCTION("""COMPUTED_VALUE"""),"Found, NoGood, Momentum")</f>
        <v>Found, NoGood, Momentum</v>
      </c>
      <c r="I341" s="15">
        <f>IFERROR(__xludf.DUMMYFUNCTION("""COMPUTED_VALUE"""),1.0)</f>
        <v>1</v>
      </c>
      <c r="J341" s="15">
        <f>IFERROR(__xludf.DUMMYFUNCTION("""COMPUTED_VALUE"""),0.0)</f>
        <v>0</v>
      </c>
      <c r="K341" s="15">
        <f>IFERROR(__xludf.DUMMYFUNCTION("""COMPUTED_VALUE"""),0.0)</f>
        <v>0</v>
      </c>
    </row>
    <row r="342" ht="15.75" customHeight="1">
      <c r="A342" s="14" t="str">
        <f>IFERROR(__xludf.DUMMYFUNCTION("""COMPUTED_VALUE"""),"https://www.awarenessai.co.uk/blogs/top-geo-and-ai-visibility-agencies-in-the-uk-2026")</f>
        <v>https://www.awarenessai.co.uk/blogs/top-geo-and-ai-visibility-agencies-in-the-uk-2026</v>
      </c>
      <c r="B342" s="15" t="str">
        <f>IFERROR(__xludf.DUMMYFUNCTION("""COMPUTED_VALUE"""),"Top GEO and AI Visibility Agencies in the UK (2026) | AwarenessAI Blog")</f>
        <v>Top GEO and AI Visibility Agencies in the UK (2026) | AwarenessAI Blog</v>
      </c>
      <c r="C342" s="14" t="str">
        <f>IFERROR(__xludf.DUMMYFUNCTION("""COMPUTED_VALUE"""),"awarenessai.co.uk")</f>
        <v>awarenessai.co.uk</v>
      </c>
      <c r="D342" s="15" t="str">
        <f>IFERROR(__xludf.DUMMYFUNCTION("""COMPUTED_VALUE"""),"LISTICLE")</f>
        <v>LISTICLE</v>
      </c>
      <c r="E342" s="15" t="str">
        <f>IFERROR(__xludf.DUMMYFUNCTION("""COMPUTED_VALUE"""),"CORPORATE")</f>
        <v>CORPORATE</v>
      </c>
      <c r="F342" s="15" t="str">
        <f>IFERROR(__xludf.DUMMYFUNCTION("""COMPUTED_VALUE"""),"Listicle")</f>
        <v>Listicle</v>
      </c>
      <c r="G342" s="15" t="b">
        <f>IFERROR(__xludf.DUMMYFUNCTION("""COMPUTED_VALUE"""),FALSE)</f>
        <v>0</v>
      </c>
      <c r="H342" s="15"/>
      <c r="I342" s="15">
        <f>IFERROR(__xludf.DUMMYFUNCTION("""COMPUTED_VALUE"""),1.0)</f>
        <v>1</v>
      </c>
      <c r="J342" s="15">
        <f>IFERROR(__xludf.DUMMYFUNCTION("""COMPUTED_VALUE"""),0.0)</f>
        <v>0</v>
      </c>
      <c r="K342" s="15">
        <f>IFERROR(__xludf.DUMMYFUNCTION("""COMPUTED_VALUE"""),0.0)</f>
        <v>0</v>
      </c>
    </row>
    <row r="343" ht="15.75" customHeight="1">
      <c r="A343" s="14" t="str">
        <f>IFERROR(__xludf.DUMMYFUNCTION("""COMPUTED_VALUE"""),"https://www.b2bmarketing.net/top-10-uk-marketing-agencies-blog/")</f>
        <v>https://www.b2bmarketing.net/top-10-uk-marketing-agencies-blog/</v>
      </c>
      <c r="B343" s="15" t="str">
        <f>IFERROR(__xludf.DUMMYFUNCTION("""COMPUTED_VALUE"""),"Revealed: Top 10 B2B UK Agencies 2026 - B2B Marketing")</f>
        <v>Revealed: Top 10 B2B UK Agencies 2026 - B2B Marketing</v>
      </c>
      <c r="C343" s="14" t="str">
        <f>IFERROR(__xludf.DUMMYFUNCTION("""COMPUTED_VALUE"""),"b2bmarketing.net")</f>
        <v>b2bmarketing.net</v>
      </c>
      <c r="D343" s="15" t="str">
        <f>IFERROR(__xludf.DUMMYFUNCTION("""COMPUTED_VALUE"""),"LISTICLE")</f>
        <v>LISTICLE</v>
      </c>
      <c r="E343" s="15" t="str">
        <f>IFERROR(__xludf.DUMMYFUNCTION("""COMPUTED_VALUE"""),"INSTITUTIONAL")</f>
        <v>INSTITUTIONAL</v>
      </c>
      <c r="F343" s="15" t="str">
        <f>IFERROR(__xludf.DUMMYFUNCTION("""COMPUTED_VALUE"""),"Listicle")</f>
        <v>Listicle</v>
      </c>
      <c r="G343" s="15" t="b">
        <f>IFERROR(__xludf.DUMMYFUNCTION("""COMPUTED_VALUE"""),FALSE)</f>
        <v>0</v>
      </c>
      <c r="H343" s="15" t="str">
        <f>IFERROR(__xludf.DUMMYFUNCTION("""COMPUTED_VALUE"""),"Dentsu, Gravity Global, Transmission, Momentum")</f>
        <v>Dentsu, Gravity Global, Transmission, Momentum</v>
      </c>
      <c r="I343" s="15">
        <f>IFERROR(__xludf.DUMMYFUNCTION("""COMPUTED_VALUE"""),1.0)</f>
        <v>1</v>
      </c>
      <c r="J343" s="15">
        <f>IFERROR(__xludf.DUMMYFUNCTION("""COMPUTED_VALUE"""),0.0)</f>
        <v>0</v>
      </c>
      <c r="K343" s="15">
        <f>IFERROR(__xludf.DUMMYFUNCTION("""COMPUTED_VALUE"""),0.0)</f>
        <v>0</v>
      </c>
    </row>
    <row r="344" ht="15.75" customHeight="1">
      <c r="A344" s="14" t="str">
        <f>IFERROR(__xludf.DUMMYFUNCTION("""COMPUTED_VALUE"""),"https://belkins.io/blog/best-appointment-setting-companies-uk")</f>
        <v>https://belkins.io/blog/best-appointment-setting-companies-uk</v>
      </c>
      <c r="B344" s="15" t="str">
        <f>IFERROR(__xludf.DUMMYFUNCTION("""COMPUTED_VALUE"""),"7 Best B2B Appointment Setting Companies in UK for 2024")</f>
        <v>7 Best B2B Appointment Setting Companies in UK for 2024</v>
      </c>
      <c r="C344" s="14" t="str">
        <f>IFERROR(__xludf.DUMMYFUNCTION("""COMPUTED_VALUE"""),"belkins.io")</f>
        <v>belkins.io</v>
      </c>
      <c r="D344" s="15" t="str">
        <f>IFERROR(__xludf.DUMMYFUNCTION("""COMPUTED_VALUE"""),"LISTICLE")</f>
        <v>LISTICLE</v>
      </c>
      <c r="E344" s="15" t="str">
        <f>IFERROR(__xludf.DUMMYFUNCTION("""COMPUTED_VALUE"""),"CORPORATE")</f>
        <v>CORPORATE</v>
      </c>
      <c r="F344" s="15" t="str">
        <f>IFERROR(__xludf.DUMMYFUNCTION("""COMPUTED_VALUE"""),"Listicle")</f>
        <v>Listicle</v>
      </c>
      <c r="G344" s="15" t="b">
        <f>IFERROR(__xludf.DUMMYFUNCTION("""COMPUTED_VALUE"""),FALSE)</f>
        <v>0</v>
      </c>
      <c r="H344" s="15" t="str">
        <f>IFERROR(__xludf.DUMMYFUNCTION("""COMPUTED_VALUE"""),"Dept, Hawke Media")</f>
        <v>Dept, Hawke Media</v>
      </c>
      <c r="I344" s="15">
        <f>IFERROR(__xludf.DUMMYFUNCTION("""COMPUTED_VALUE"""),1.0)</f>
        <v>1</v>
      </c>
      <c r="J344" s="15">
        <f>IFERROR(__xludf.DUMMYFUNCTION("""COMPUTED_VALUE"""),0.0)</f>
        <v>0</v>
      </c>
      <c r="K344" s="15">
        <f>IFERROR(__xludf.DUMMYFUNCTION("""COMPUTED_VALUE"""),0.0)</f>
        <v>0</v>
      </c>
    </row>
    <row r="345" ht="15.75" customHeight="1">
      <c r="A345" s="14" t="str">
        <f>IFERROR(__xludf.DUMMYFUNCTION("""COMPUTED_VALUE"""),"https://benly.ai/learn/ai-marketing/best-attribution-tools-2026")</f>
        <v>https://benly.ai/learn/ai-marketing/best-attribution-tools-2026</v>
      </c>
      <c r="B345" s="15" t="str">
        <f>IFERROR(__xludf.DUMMYFUNCTION("""COMPUTED_VALUE"""),"11 Best Marketing Attribution Tools in 2026")</f>
        <v>11 Best Marketing Attribution Tools in 2026</v>
      </c>
      <c r="C345" s="14" t="str">
        <f>IFERROR(__xludf.DUMMYFUNCTION("""COMPUTED_VALUE"""),"benly.ai")</f>
        <v>benly.ai</v>
      </c>
      <c r="D345" s="15" t="str">
        <f>IFERROR(__xludf.DUMMYFUNCTION("""COMPUTED_VALUE"""),"LISTICLE")</f>
        <v>LISTICLE</v>
      </c>
      <c r="E345" s="15" t="str">
        <f>IFERROR(__xludf.DUMMYFUNCTION("""COMPUTED_VALUE"""),"CORPORATE")</f>
        <v>CORPORATE</v>
      </c>
      <c r="F345" s="15" t="str">
        <f>IFERROR(__xludf.DUMMYFUNCTION("""COMPUTED_VALUE"""),"Listicle")</f>
        <v>Listicle</v>
      </c>
      <c r="G345" s="15" t="b">
        <f>IFERROR(__xludf.DUMMYFUNCTION("""COMPUTED_VALUE"""),FALSE)</f>
        <v>0</v>
      </c>
      <c r="H345" s="15" t="str">
        <f>IFERROR(__xludf.DUMMYFUNCTION("""COMPUTED_VALUE"""),"Northbeam, Triple Whale, Rockerbox, Measured, Ruler Analytics")</f>
        <v>Northbeam, Triple Whale, Rockerbox, Measured, Ruler Analytics</v>
      </c>
      <c r="I345" s="15">
        <f>IFERROR(__xludf.DUMMYFUNCTION("""COMPUTED_VALUE"""),1.0)</f>
        <v>1</v>
      </c>
      <c r="J345" s="15">
        <f>IFERROR(__xludf.DUMMYFUNCTION("""COMPUTED_VALUE"""),0.0)</f>
        <v>0</v>
      </c>
      <c r="K345" s="15">
        <f>IFERROR(__xludf.DUMMYFUNCTION("""COMPUTED_VALUE"""),0.0)</f>
        <v>0</v>
      </c>
    </row>
    <row r="346" ht="15.75" customHeight="1">
      <c r="A346" s="14" t="str">
        <f>IFERROR(__xludf.DUMMYFUNCTION("""COMPUTED_VALUE"""),"https://beomniscient.com/blog/growth-marketing-agency/")</f>
        <v>https://beomniscient.com/blog/growth-marketing-agency/</v>
      </c>
      <c r="B346" s="15" t="str">
        <f>IFERROR(__xludf.DUMMYFUNCTION("""COMPUTED_VALUE"""),"The 16 Best Growth Marketing Agencies in 2026 - Omniscient Digital")</f>
        <v>The 16 Best Growth Marketing Agencies in 2026 - Omniscient Digital</v>
      </c>
      <c r="C346" s="14" t="str">
        <f>IFERROR(__xludf.DUMMYFUNCTION("""COMPUTED_VALUE"""),"beomniscient.com")</f>
        <v>beomniscient.com</v>
      </c>
      <c r="D346" s="15" t="str">
        <f>IFERROR(__xludf.DUMMYFUNCTION("""COMPUTED_VALUE"""),"LISTICLE")</f>
        <v>LISTICLE</v>
      </c>
      <c r="E346" s="15" t="str">
        <f>IFERROR(__xludf.DUMMYFUNCTION("""COMPUTED_VALUE"""),"COMPETITOR")</f>
        <v>COMPETITOR</v>
      </c>
      <c r="F346" s="15" t="str">
        <f>IFERROR(__xludf.DUMMYFUNCTION("""COMPUTED_VALUE"""),"Listicle")</f>
        <v>Listicle</v>
      </c>
      <c r="G346" s="15" t="b">
        <f>IFERROR(__xludf.DUMMYFUNCTION("""COMPUTED_VALUE"""),FALSE)</f>
        <v>0</v>
      </c>
      <c r="H346" s="15" t="str">
        <f>IFERROR(__xludf.DUMMYFUNCTION("""COMPUTED_VALUE"""),"Omniscient Digital, Ignite Visibility, Single Grain, Disruptive Advertising, NoGood, Directive Consulting, NP Digital, Superside, Momentum")</f>
        <v>Omniscient Digital, Ignite Visibility, Single Grain, Disruptive Advertising, NoGood, Directive Consulting, NP Digital, Superside, Momentum</v>
      </c>
      <c r="I346" s="15">
        <f>IFERROR(__xludf.DUMMYFUNCTION("""COMPUTED_VALUE"""),1.0)</f>
        <v>1</v>
      </c>
      <c r="J346" s="15">
        <f>IFERROR(__xludf.DUMMYFUNCTION("""COMPUTED_VALUE"""),0.0)</f>
        <v>0</v>
      </c>
      <c r="K346" s="15">
        <f>IFERROR(__xludf.DUMMYFUNCTION("""COMPUTED_VALUE"""),0.0)</f>
        <v>0</v>
      </c>
    </row>
    <row r="347" ht="15.75" customHeight="1">
      <c r="A347" s="14" t="str">
        <f>IFERROR(__xludf.DUMMYFUNCTION("""COMPUTED_VALUE"""),"https://beomniscient.com/blog/marketing-agencies/")</f>
        <v>https://beomniscient.com/blog/marketing-agencies/</v>
      </c>
      <c r="B347" s="15" t="str">
        <f>IFERROR(__xludf.DUMMYFUNCTION("""COMPUTED_VALUE"""),"The 6 Best Marketing Agencies in 2026 - Omniscient Digital")</f>
        <v>The 6 Best Marketing Agencies in 2026 - Omniscient Digital</v>
      </c>
      <c r="C347" s="14" t="str">
        <f>IFERROR(__xludf.DUMMYFUNCTION("""COMPUTED_VALUE"""),"beomniscient.com")</f>
        <v>beomniscient.com</v>
      </c>
      <c r="D347" s="15" t="str">
        <f>IFERROR(__xludf.DUMMYFUNCTION("""COMPUTED_VALUE"""),"LISTICLE")</f>
        <v>LISTICLE</v>
      </c>
      <c r="E347" s="15" t="str">
        <f>IFERROR(__xludf.DUMMYFUNCTION("""COMPUTED_VALUE"""),"COMPETITOR")</f>
        <v>COMPETITOR</v>
      </c>
      <c r="F347" s="15" t="str">
        <f>IFERROR(__xludf.DUMMYFUNCTION("""COMPUTED_VALUE"""),"Listicle")</f>
        <v>Listicle</v>
      </c>
      <c r="G347" s="15" t="b">
        <f>IFERROR(__xludf.DUMMYFUNCTION("""COMPUTED_VALUE"""),FALSE)</f>
        <v>0</v>
      </c>
      <c r="H347" s="15" t="str">
        <f>IFERROR(__xludf.DUMMYFUNCTION("""COMPUTED_VALUE"""),"Omniscient Digital, Disruptive Advertising, NoGood")</f>
        <v>Omniscient Digital, Disruptive Advertising, NoGood</v>
      </c>
      <c r="I347" s="15">
        <f>IFERROR(__xludf.DUMMYFUNCTION("""COMPUTED_VALUE"""),1.0)</f>
        <v>1</v>
      </c>
      <c r="J347" s="15">
        <f>IFERROR(__xludf.DUMMYFUNCTION("""COMPUTED_VALUE"""),0.0)</f>
        <v>0</v>
      </c>
      <c r="K347" s="15">
        <f>IFERROR(__xludf.DUMMYFUNCTION("""COMPUTED_VALUE"""),0.0)</f>
        <v>0</v>
      </c>
    </row>
    <row r="348" ht="15.75" customHeight="1">
      <c r="A348" s="14" t="str">
        <f>IFERROR(__xludf.DUMMYFUNCTION("""COMPUTED_VALUE"""),"https://www.bizzabo.com/blog/top-uk-event-agencies")</f>
        <v>https://www.bizzabo.com/blog/top-uk-event-agencies</v>
      </c>
      <c r="B348" s="15" t="str">
        <f>IFERROR(__xludf.DUMMYFUNCTION("""COMPUTED_VALUE"""),"The Top UK Event Agencies for 2024")</f>
        <v>The Top UK Event Agencies for 2024</v>
      </c>
      <c r="C348" s="14" t="str">
        <f>IFERROR(__xludf.DUMMYFUNCTION("""COMPUTED_VALUE"""),"bizzabo.com")</f>
        <v>bizzabo.com</v>
      </c>
      <c r="D348" s="15" t="str">
        <f>IFERROR(__xludf.DUMMYFUNCTION("""COMPUTED_VALUE"""),"LISTICLE")</f>
        <v>LISTICLE</v>
      </c>
      <c r="E348" s="15" t="str">
        <f>IFERROR(__xludf.DUMMYFUNCTION("""COMPUTED_VALUE"""),"CORPORATE")</f>
        <v>CORPORATE</v>
      </c>
      <c r="F348" s="15" t="str">
        <f>IFERROR(__xludf.DUMMYFUNCTION("""COMPUTED_VALUE"""),"Listicle")</f>
        <v>Listicle</v>
      </c>
      <c r="G348" s="15" t="b">
        <f>IFERROR(__xludf.DUMMYFUNCTION("""COMPUTED_VALUE"""),FALSE)</f>
        <v>0</v>
      </c>
      <c r="H348" s="15" t="str">
        <f>IFERROR(__xludf.DUMMYFUNCTION("""COMPUTED_VALUE"""),"Adam&amp;eveDDB, AMV BBDO, BBH London, Push, Lucky Generals, Merkle, Mother London, Saatchi &amp; Saatchi, VCCP, WPP")</f>
        <v>Adam&amp;eveDDB, AMV BBDO, BBH London, Push, Lucky Generals, Merkle, Mother London, Saatchi &amp; Saatchi, VCCP, WPP</v>
      </c>
      <c r="I348" s="15">
        <f>IFERROR(__xludf.DUMMYFUNCTION("""COMPUTED_VALUE"""),1.0)</f>
        <v>1</v>
      </c>
      <c r="J348" s="15">
        <f>IFERROR(__xludf.DUMMYFUNCTION("""COMPUTED_VALUE"""),0.0)</f>
        <v>0</v>
      </c>
      <c r="K348" s="15">
        <f>IFERROR(__xludf.DUMMYFUNCTION("""COMPUTED_VALUE"""),0.0)</f>
        <v>0</v>
      </c>
    </row>
    <row r="349" ht="15.75" customHeight="1">
      <c r="A349" s="14" t="str">
        <f>IFERROR(__xludf.DUMMYFUNCTION("""COMPUTED_VALUE"""),"https://www.blendb2b.com/resources/best-aeo-agencies-for-b2b-companies")</f>
        <v>https://www.blendb2b.com/resources/best-aeo-agencies-for-b2b-companies</v>
      </c>
      <c r="B349" s="15" t="str">
        <f>IFERROR(__xludf.DUMMYFUNCTION("""COMPUTED_VALUE"""),"The 6 best B2B AEO agencies in 2026")</f>
        <v>The 6 best B2B AEO agencies in 2026</v>
      </c>
      <c r="C349" s="14" t="str">
        <f>IFERROR(__xludf.DUMMYFUNCTION("""COMPUTED_VALUE"""),"blendb2b.com")</f>
        <v>blendb2b.com</v>
      </c>
      <c r="D349" s="15" t="str">
        <f>IFERROR(__xludf.DUMMYFUNCTION("""COMPUTED_VALUE"""),"LISTICLE")</f>
        <v>LISTICLE</v>
      </c>
      <c r="E349" s="15" t="str">
        <f>IFERROR(__xludf.DUMMYFUNCTION("""COMPUTED_VALUE"""),"CORPORATE")</f>
        <v>CORPORATE</v>
      </c>
      <c r="F349" s="15" t="str">
        <f>IFERROR(__xludf.DUMMYFUNCTION("""COMPUTED_VALUE"""),"Listicle")</f>
        <v>Listicle</v>
      </c>
      <c r="G349" s="15" t="b">
        <f>IFERROR(__xludf.DUMMYFUNCTION("""COMPUTED_VALUE"""),FALSE)</f>
        <v>0</v>
      </c>
      <c r="H349" s="15" t="str">
        <f>IFERROR(__xludf.DUMMYFUNCTION("""COMPUTED_VALUE"""),"Passion Digital, Single Grain, Siege Media, Measured")</f>
        <v>Passion Digital, Single Grain, Siege Media, Measured</v>
      </c>
      <c r="I349" s="15">
        <f>IFERROR(__xludf.DUMMYFUNCTION("""COMPUTED_VALUE"""),1.0)</f>
        <v>1</v>
      </c>
      <c r="J349" s="15">
        <f>IFERROR(__xludf.DUMMYFUNCTION("""COMPUTED_VALUE"""),0.0)</f>
        <v>0</v>
      </c>
      <c r="K349" s="15">
        <f>IFERROR(__xludf.DUMMYFUNCTION("""COMPUTED_VALUE"""),0.0)</f>
        <v>0</v>
      </c>
    </row>
    <row r="350" ht="15.75" customHeight="1">
      <c r="A350" s="14" t="str">
        <f>IFERROR(__xludf.DUMMYFUNCTION("""COMPUTED_VALUE"""),"https://www.bluearray.co.uk/agency-directory/best-influencer-agencies-in-the-uk/")</f>
        <v>https://www.bluearray.co.uk/agency-directory/best-influencer-agencies-in-the-uk/</v>
      </c>
      <c r="B350" s="15" t="str">
        <f>IFERROR(__xludf.DUMMYFUNCTION("""COMPUTED_VALUE"""),"Best Influencer Agencies in the UK - Blue Array SEO")</f>
        <v>Best Influencer Agencies in the UK - Blue Array SEO</v>
      </c>
      <c r="C350" s="14" t="str">
        <f>IFERROR(__xludf.DUMMYFUNCTION("""COMPUTED_VALUE"""),"bluearray.co.uk")</f>
        <v>bluearray.co.uk</v>
      </c>
      <c r="D350" s="15" t="str">
        <f>IFERROR(__xludf.DUMMYFUNCTION("""COMPUTED_VALUE"""),"LISTICLE")</f>
        <v>LISTICLE</v>
      </c>
      <c r="E350" s="15" t="str">
        <f>IFERROR(__xludf.DUMMYFUNCTION("""COMPUTED_VALUE"""),"COMPETITOR")</f>
        <v>COMPETITOR</v>
      </c>
      <c r="F350" s="15" t="str">
        <f>IFERROR(__xludf.DUMMYFUNCTION("""COMPUTED_VALUE"""),"Listicle")</f>
        <v>Listicle</v>
      </c>
      <c r="G350" s="15" t="b">
        <f>IFERROR(__xludf.DUMMYFUNCTION("""COMPUTED_VALUE"""),FALSE)</f>
        <v>0</v>
      </c>
      <c r="H350" s="15" t="str">
        <f>IFERROR(__xludf.DUMMYFUNCTION("""COMPUTED_VALUE"""),"Blue Array, Disrupt Marketing, Push")</f>
        <v>Blue Array, Disrupt Marketing, Push</v>
      </c>
      <c r="I350" s="15">
        <f>IFERROR(__xludf.DUMMYFUNCTION("""COMPUTED_VALUE"""),1.0)</f>
        <v>1</v>
      </c>
      <c r="J350" s="15">
        <f>IFERROR(__xludf.DUMMYFUNCTION("""COMPUTED_VALUE"""),0.0)</f>
        <v>0</v>
      </c>
      <c r="K350" s="15">
        <f>IFERROR(__xludf.DUMMYFUNCTION("""COMPUTED_VALUE"""),0.0)</f>
        <v>0</v>
      </c>
    </row>
    <row r="351" ht="15.75" customHeight="1">
      <c r="A351" s="14" t="str">
        <f>IFERROR(__xludf.DUMMYFUNCTION("""COMPUTED_VALUE"""),"https://blueprintdemand.com/top-10-display-advertising-agency-partners-for-2026/")</f>
        <v>https://blueprintdemand.com/top-10-display-advertising-agency-partners-for-2026/</v>
      </c>
      <c r="B351" s="15" t="str">
        <f>IFERROR(__xludf.DUMMYFUNCTION("""COMPUTED_VALUE"""),"10 Best B2B Display Advertising Agency Partners (2026) – Blueprint Demand: Demand Generation Experts")</f>
        <v>10 Best B2B Display Advertising Agency Partners (2026) – Blueprint Demand: Demand Generation Experts</v>
      </c>
      <c r="C351" s="14" t="str">
        <f>IFERROR(__xludf.DUMMYFUNCTION("""COMPUTED_VALUE"""),"blueprintdemand.com")</f>
        <v>blueprintdemand.com</v>
      </c>
      <c r="D351" s="15" t="str">
        <f>IFERROR(__xludf.DUMMYFUNCTION("""COMPUTED_VALUE"""),"LISTICLE")</f>
        <v>LISTICLE</v>
      </c>
      <c r="E351" s="15" t="str">
        <f>IFERROR(__xludf.DUMMYFUNCTION("""COMPUTED_VALUE"""),"CORPORATE")</f>
        <v>CORPORATE</v>
      </c>
      <c r="F351" s="15" t="str">
        <f>IFERROR(__xludf.DUMMYFUNCTION("""COMPUTED_VALUE"""),"Listicle")</f>
        <v>Listicle</v>
      </c>
      <c r="G351" s="15" t="b">
        <f>IFERROR(__xludf.DUMMYFUNCTION("""COMPUTED_VALUE"""),FALSE)</f>
        <v>0</v>
      </c>
      <c r="H351" s="15" t="str">
        <f>IFERROR(__xludf.DUMMYFUNCTION("""COMPUTED_VALUE"""),"Measured, Impression, Momentum, Single Grain")</f>
        <v>Measured, Impression, Momentum, Single Grain</v>
      </c>
      <c r="I351" s="15">
        <f>IFERROR(__xludf.DUMMYFUNCTION("""COMPUTED_VALUE"""),1.0)</f>
        <v>1</v>
      </c>
      <c r="J351" s="15">
        <f>IFERROR(__xludf.DUMMYFUNCTION("""COMPUTED_VALUE"""),0.0)</f>
        <v>0</v>
      </c>
      <c r="K351" s="15">
        <f>IFERROR(__xludf.DUMMYFUNCTION("""COMPUTED_VALUE"""),1.0)</f>
        <v>1</v>
      </c>
    </row>
    <row r="352" ht="15.75" customHeight="1">
      <c r="A352" s="14" t="str">
        <f>IFERROR(__xludf.DUMMYFUNCTION("""COMPUTED_VALUE"""),"https://www.brandedagency.com/blog/top-digital-marketing-agencies")</f>
        <v>https://www.brandedagency.com/blog/top-digital-marketing-agencies</v>
      </c>
      <c r="B352" s="15" t="str">
        <f>IFERROR(__xludf.DUMMYFUNCTION("""COMPUTED_VALUE"""),"Best Digital Marketing Agencies for Growth in 2026")</f>
        <v>Best Digital Marketing Agencies for Growth in 2026</v>
      </c>
      <c r="C352" s="14" t="str">
        <f>IFERROR(__xludf.DUMMYFUNCTION("""COMPUTED_VALUE"""),"brandedagency.com")</f>
        <v>brandedagency.com</v>
      </c>
      <c r="D352" s="15" t="str">
        <f>IFERROR(__xludf.DUMMYFUNCTION("""COMPUTED_VALUE"""),"LISTICLE")</f>
        <v>LISTICLE</v>
      </c>
      <c r="E352" s="15" t="str">
        <f>IFERROR(__xludf.DUMMYFUNCTION("""COMPUTED_VALUE"""),"CORPORATE")</f>
        <v>CORPORATE</v>
      </c>
      <c r="F352" s="15" t="str">
        <f>IFERROR(__xludf.DUMMYFUNCTION("""COMPUTED_VALUE"""),"Listicle")</f>
        <v>Listicle</v>
      </c>
      <c r="G352" s="15" t="b">
        <f>IFERROR(__xludf.DUMMYFUNCTION("""COMPUTED_VALUE"""),FALSE)</f>
        <v>0</v>
      </c>
      <c r="H352" s="15" t="str">
        <f>IFERROR(__xludf.DUMMYFUNCTION("""COMPUTED_VALUE"""),"Found, Measured, WebFX, Ignite Visibility, Ninja Promo")</f>
        <v>Found, Measured, WebFX, Ignite Visibility, Ninja Promo</v>
      </c>
      <c r="I352" s="15">
        <f>IFERROR(__xludf.DUMMYFUNCTION("""COMPUTED_VALUE"""),1.0)</f>
        <v>1</v>
      </c>
      <c r="J352" s="15">
        <f>IFERROR(__xludf.DUMMYFUNCTION("""COMPUTED_VALUE"""),0.0)</f>
        <v>0</v>
      </c>
      <c r="K352" s="15">
        <f>IFERROR(__xludf.DUMMYFUNCTION("""COMPUTED_VALUE"""),2.0)</f>
        <v>2</v>
      </c>
    </row>
    <row r="353" ht="15.75" customHeight="1">
      <c r="A353" s="14" t="str">
        <f>IFERROR(__xludf.DUMMYFUNCTION("""COMPUTED_VALUE"""),"https://www.brandsandagencies.co.uk/news-insights/uk-best-integrated-marketing-agencies/")</f>
        <v>https://www.brandsandagencies.co.uk/news-insights/uk-best-integrated-marketing-agencies/</v>
      </c>
      <c r="B353" s="15" t="str">
        <f>IFERROR(__xludf.DUMMYFUNCTION("""COMPUTED_VALUE"""),"Top UK Integrated Marketing Agencies 2025 | Insight guide | Brands &amp;amp; Agencies")</f>
        <v>Top UK Integrated Marketing Agencies 2025 | Insight guide | Brands &amp;amp; Agencies</v>
      </c>
      <c r="C353" s="14" t="str">
        <f>IFERROR(__xludf.DUMMYFUNCTION("""COMPUTED_VALUE"""),"brandsandagencies.co.uk")</f>
        <v>brandsandagencies.co.uk</v>
      </c>
      <c r="D353" s="15" t="str">
        <f>IFERROR(__xludf.DUMMYFUNCTION("""COMPUTED_VALUE"""),"LISTICLE")</f>
        <v>LISTICLE</v>
      </c>
      <c r="E353" s="15" t="str">
        <f>IFERROR(__xludf.DUMMYFUNCTION("""COMPUTED_VALUE"""),"REFERENCE")</f>
        <v>REFERENCE</v>
      </c>
      <c r="F353" s="15" t="str">
        <f>IFERROR(__xludf.DUMMYFUNCTION("""COMPUTED_VALUE"""),"Listicle")</f>
        <v>Listicle</v>
      </c>
      <c r="G353" s="15" t="b">
        <f>IFERROR(__xludf.DUMMYFUNCTION("""COMPUTED_VALUE"""),FALSE)</f>
        <v>0</v>
      </c>
      <c r="H353" s="15" t="str">
        <f>IFERROR(__xludf.DUMMYFUNCTION("""COMPUTED_VALUE"""),"MSQ Partners, WPP, Soap Media")</f>
        <v>MSQ Partners, WPP, Soap Media</v>
      </c>
      <c r="I353" s="15">
        <f>IFERROR(__xludf.DUMMYFUNCTION("""COMPUTED_VALUE"""),1.0)</f>
        <v>1</v>
      </c>
      <c r="J353" s="15">
        <f>IFERROR(__xludf.DUMMYFUNCTION("""COMPUTED_VALUE"""),0.0)</f>
        <v>0</v>
      </c>
      <c r="K353" s="15">
        <f>IFERROR(__xludf.DUMMYFUNCTION("""COMPUTED_VALUE"""),0.0)</f>
        <v>0</v>
      </c>
    </row>
    <row r="354" ht="15.75" customHeight="1">
      <c r="A354" s="14" t="str">
        <f>IFERROR(__xludf.DUMMYFUNCTION("""COMPUTED_VALUE"""),"https://brandspeak.co.uk/blog/top-10-market-research-agencies/")</f>
        <v>https://brandspeak.co.uk/blog/top-10-market-research-agencies/</v>
      </c>
      <c r="B354" s="15" t="str">
        <f>IFERROR(__xludf.DUMMYFUNCTION("""COMPUTED_VALUE"""),"Best Market Research Agencies in the UK (2026) \| Compared &amp; Reviewed")</f>
        <v>Best Market Research Agencies in the UK (2026) \| Compared &amp; Reviewed</v>
      </c>
      <c r="C354" s="14" t="str">
        <f>IFERROR(__xludf.DUMMYFUNCTION("""COMPUTED_VALUE"""),"brandspeak.co.uk")</f>
        <v>brandspeak.co.uk</v>
      </c>
      <c r="D354" s="15" t="str">
        <f>IFERROR(__xludf.DUMMYFUNCTION("""COMPUTED_VALUE"""),"LISTICLE")</f>
        <v>LISTICLE</v>
      </c>
      <c r="E354" s="15" t="str">
        <f>IFERROR(__xludf.DUMMYFUNCTION("""COMPUTED_VALUE"""),"CORPORATE")</f>
        <v>CORPORATE</v>
      </c>
      <c r="F354" s="15" t="str">
        <f>IFERROR(__xludf.DUMMYFUNCTION("""COMPUTED_VALUE"""),"Listicle")</f>
        <v>Listicle</v>
      </c>
      <c r="G354" s="15" t="b">
        <f>IFERROR(__xludf.DUMMYFUNCTION("""COMPUTED_VALUE"""),FALSE)</f>
        <v>0</v>
      </c>
      <c r="H354" s="15" t="str">
        <f>IFERROR(__xludf.DUMMYFUNCTION("""COMPUTED_VALUE"""),"Kantar, Accenture Song, YouGov")</f>
        <v>Kantar, Accenture Song, YouGov</v>
      </c>
      <c r="I354" s="15">
        <f>IFERROR(__xludf.DUMMYFUNCTION("""COMPUTED_VALUE"""),1.0)</f>
        <v>1</v>
      </c>
      <c r="J354" s="15">
        <f>IFERROR(__xludf.DUMMYFUNCTION("""COMPUTED_VALUE"""),0.0)</f>
        <v>0</v>
      </c>
      <c r="K354" s="15">
        <f>IFERROR(__xludf.DUMMYFUNCTION("""COMPUTED_VALUE"""),0.0)</f>
        <v>0</v>
      </c>
    </row>
    <row r="355" ht="15.75" customHeight="1">
      <c r="A355" s="14" t="str">
        <f>IFERROR(__xludf.DUMMYFUNCTION("""COMPUTED_VALUE"""),"https://brentonway.com/blog/top-performance-marketing-agencies")</f>
        <v>https://brentonway.com/blog/top-performance-marketing-agencies</v>
      </c>
      <c r="B355" s="15" t="str">
        <f>IFERROR(__xludf.DUMMYFUNCTION("""COMPUTED_VALUE"""),"Top 25 Performance Marketing Agencies in 2026 | Brenton Way")</f>
        <v>Top 25 Performance Marketing Agencies in 2026 | Brenton Way</v>
      </c>
      <c r="C355" s="14" t="str">
        <f>IFERROR(__xludf.DUMMYFUNCTION("""COMPUTED_VALUE"""),"brentonway.com")</f>
        <v>brentonway.com</v>
      </c>
      <c r="D355" s="15" t="str">
        <f>IFERROR(__xludf.DUMMYFUNCTION("""COMPUTED_VALUE"""),"LISTICLE")</f>
        <v>LISTICLE</v>
      </c>
      <c r="E355" s="15" t="str">
        <f>IFERROR(__xludf.DUMMYFUNCTION("""COMPUTED_VALUE"""),"CORPORATE")</f>
        <v>CORPORATE</v>
      </c>
      <c r="F355" s="15" t="str">
        <f>IFERROR(__xludf.DUMMYFUNCTION("""COMPUTED_VALUE"""),"Listicle")</f>
        <v>Listicle</v>
      </c>
      <c r="G355" s="15" t="b">
        <f>IFERROR(__xludf.DUMMYFUNCTION("""COMPUTED_VALUE"""),FALSE)</f>
        <v>0</v>
      </c>
      <c r="H355" s="15" t="str">
        <f>IFERROR(__xludf.DUMMYFUNCTION("""COMPUTED_VALUE"""),"Push, NoGood, inBeat, Disruptive Advertising, Directive Consulting, Power Digital")</f>
        <v>Push, NoGood, inBeat, Disruptive Advertising, Directive Consulting, Power Digital</v>
      </c>
      <c r="I355" s="15">
        <f>IFERROR(__xludf.DUMMYFUNCTION("""COMPUTED_VALUE"""),1.0)</f>
        <v>1</v>
      </c>
      <c r="J355" s="15">
        <f>IFERROR(__xludf.DUMMYFUNCTION("""COMPUTED_VALUE"""),0.0)</f>
        <v>0</v>
      </c>
      <c r="K355" s="15">
        <f>IFERROR(__xludf.DUMMYFUNCTION("""COMPUTED_VALUE"""),0.0)</f>
        <v>0</v>
      </c>
    </row>
    <row r="356" ht="15.75" customHeight="1">
      <c r="A356" s="14" t="str">
        <f>IFERROR(__xludf.DUMMYFUNCTION("""COMPUTED_VALUE"""),"https://brysa.co.uk/insights/top-ai-consulting-companies-uk")</f>
        <v>https://brysa.co.uk/insights/top-ai-consulting-companies-uk</v>
      </c>
      <c r="B356" s="15" t="str">
        <f>IFERROR(__xludf.DUMMYFUNCTION("""COMPUTED_VALUE"""),"Top AI Transformation Consulting Companies in the UK")</f>
        <v>Top AI Transformation Consulting Companies in the UK</v>
      </c>
      <c r="C356" s="14" t="str">
        <f>IFERROR(__xludf.DUMMYFUNCTION("""COMPUTED_VALUE"""),"brysa.co.uk")</f>
        <v>brysa.co.uk</v>
      </c>
      <c r="D356" s="15" t="str">
        <f>IFERROR(__xludf.DUMMYFUNCTION("""COMPUTED_VALUE"""),"LISTICLE")</f>
        <v>LISTICLE</v>
      </c>
      <c r="E356" s="15" t="str">
        <f>IFERROR(__xludf.DUMMYFUNCTION("""COMPUTED_VALUE"""),"CORPORATE")</f>
        <v>CORPORATE</v>
      </c>
      <c r="F356" s="15" t="str">
        <f>IFERROR(__xludf.DUMMYFUNCTION("""COMPUTED_VALUE"""),"Listicle")</f>
        <v>Listicle</v>
      </c>
      <c r="G356" s="15" t="b">
        <f>IFERROR(__xludf.DUMMYFUNCTION("""COMPUTED_VALUE"""),FALSE)</f>
        <v>0</v>
      </c>
      <c r="H356" s="15" t="str">
        <f>IFERROR(__xludf.DUMMYFUNCTION("""COMPUTED_VALUE"""),"EY, PwC")</f>
        <v>EY, PwC</v>
      </c>
      <c r="I356" s="15">
        <f>IFERROR(__xludf.DUMMYFUNCTION("""COMPUTED_VALUE"""),1.0)</f>
        <v>1</v>
      </c>
      <c r="J356" s="15">
        <f>IFERROR(__xludf.DUMMYFUNCTION("""COMPUTED_VALUE"""),0.0)</f>
        <v>0</v>
      </c>
      <c r="K356" s="15">
        <f>IFERROR(__xludf.DUMMYFUNCTION("""COMPUTED_VALUE"""),0.0)</f>
        <v>0</v>
      </c>
    </row>
    <row r="357" ht="15.75" customHeight="1">
      <c r="A357" s="14" t="str">
        <f>IFERROR(__xludf.DUMMYFUNCTION("""COMPUTED_VALUE"""),"https://builtin.com/articles/marketing-companies-uk")</f>
        <v>https://builtin.com/articles/marketing-companies-uk</v>
      </c>
      <c r="B357" s="15" t="str">
        <f>IFERROR(__xludf.DUMMYFUNCTION("""COMPUTED_VALUE"""),"24 Marketing Companies in the UK to Know | Built In")</f>
        <v>24 Marketing Companies in the UK to Know | Built In</v>
      </c>
      <c r="C357" s="14" t="str">
        <f>IFERROR(__xludf.DUMMYFUNCTION("""COMPUTED_VALUE"""),"builtin.com")</f>
        <v>builtin.com</v>
      </c>
      <c r="D357" s="15" t="str">
        <f>IFERROR(__xludf.DUMMYFUNCTION("""COMPUTED_VALUE"""),"LISTICLE")</f>
        <v>LISTICLE</v>
      </c>
      <c r="E357" s="15" t="str">
        <f>IFERROR(__xludf.DUMMYFUNCTION("""COMPUTED_VALUE"""),"UGC")</f>
        <v>UGC</v>
      </c>
      <c r="F357" s="15" t="str">
        <f>IFERROR(__xludf.DUMMYFUNCTION("""COMPUTED_VALUE"""),"Listicle")</f>
        <v>Listicle</v>
      </c>
      <c r="G357" s="15" t="b">
        <f>IFERROR(__xludf.DUMMYFUNCTION("""COMPUTED_VALUE"""),FALSE)</f>
        <v>0</v>
      </c>
      <c r="H357" s="15" t="str">
        <f>IFERROR(__xludf.DUMMYFUNCTION("""COMPUTED_VALUE"""),"Tinuiti, Push")</f>
        <v>Tinuiti, Push</v>
      </c>
      <c r="I357" s="15">
        <f>IFERROR(__xludf.DUMMYFUNCTION("""COMPUTED_VALUE"""),1.0)</f>
        <v>1</v>
      </c>
      <c r="J357" s="15">
        <f>IFERROR(__xludf.DUMMYFUNCTION("""COMPUTED_VALUE"""),0.0)</f>
        <v>0</v>
      </c>
      <c r="K357" s="15">
        <f>IFERROR(__xludf.DUMMYFUNCTION("""COMPUTED_VALUE"""),0.0)</f>
        <v>0</v>
      </c>
    </row>
    <row r="358" ht="15.75" customHeight="1">
      <c r="A358" s="14" t="str">
        <f>IFERROR(__xludf.DUMMYFUNCTION("""COMPUTED_VALUE"""),"https://careerfoundry.com/en/blog/digital-marketing/top-digital-marketing-agencies/")</f>
        <v>https://careerfoundry.com/en/blog/digital-marketing/top-digital-marketing-agencies/</v>
      </c>
      <c r="B358" s="15" t="str">
        <f>IFERROR(__xludf.DUMMYFUNCTION("""COMPUTED_VALUE"""),"The Top 10 Best Digital Marketing Agencies in the World")</f>
        <v>The Top 10 Best Digital Marketing Agencies in the World</v>
      </c>
      <c r="C358" s="14" t="str">
        <f>IFERROR(__xludf.DUMMYFUNCTION("""COMPUTED_VALUE"""),"careerfoundry.com")</f>
        <v>careerfoundry.com</v>
      </c>
      <c r="D358" s="15" t="str">
        <f>IFERROR(__xludf.DUMMYFUNCTION("""COMPUTED_VALUE"""),"LISTICLE")</f>
        <v>LISTICLE</v>
      </c>
      <c r="E358" s="15" t="str">
        <f>IFERROR(__xludf.DUMMYFUNCTION("""COMPUTED_VALUE"""),"INSTITUTIONAL")</f>
        <v>INSTITUTIONAL</v>
      </c>
      <c r="F358" s="15" t="str">
        <f>IFERROR(__xludf.DUMMYFUNCTION("""COMPUTED_VALUE"""),"Listicle")</f>
        <v>Listicle</v>
      </c>
      <c r="G358" s="15" t="b">
        <f>IFERROR(__xludf.DUMMYFUNCTION("""COMPUTED_VALUE"""),FALSE)</f>
        <v>0</v>
      </c>
      <c r="H358" s="15" t="str">
        <f>IFERROR(__xludf.DUMMYFUNCTION("""COMPUTED_VALUE"""),"Momentum, Huge, WebFX, Disruptive Advertising, WPP, Ogilvy, GroupM, Omnicom, Publicis Groupe, Dentsu")</f>
        <v>Momentum, Huge, WebFX, Disruptive Advertising, WPP, Ogilvy, GroupM, Omnicom, Publicis Groupe, Dentsu</v>
      </c>
      <c r="I358" s="15">
        <f>IFERROR(__xludf.DUMMYFUNCTION("""COMPUTED_VALUE"""),1.0)</f>
        <v>1</v>
      </c>
      <c r="J358" s="15">
        <f>IFERROR(__xludf.DUMMYFUNCTION("""COMPUTED_VALUE"""),0.0)</f>
        <v>0</v>
      </c>
      <c r="K358" s="15">
        <f>IFERROR(__xludf.DUMMYFUNCTION("""COMPUTED_VALUE"""),1.0)</f>
        <v>1</v>
      </c>
    </row>
    <row r="359" ht="15.75" customHeight="1">
      <c r="A359" s="14" t="str">
        <f>IFERROR(__xludf.DUMMYFUNCTION("""COMPUTED_VALUE"""),"https://www.causalityengine.ai/resources/best-incrementality-testing-platforms")</f>
        <v>https://www.causalityengine.ai/resources/best-incrementality-testing-platforms</v>
      </c>
      <c r="B359" s="15" t="str">
        <f>IFERROR(__xludf.DUMMYFUNCTION("""COMPUTED_VALUE"""),"Best Incrementality Testing Platforms for True ROI. Causality Engine")</f>
        <v>Best Incrementality Testing Platforms for True ROI. Causality Engine</v>
      </c>
      <c r="C359" s="14" t="str">
        <f>IFERROR(__xludf.DUMMYFUNCTION("""COMPUTED_VALUE"""),"causalityengine.ai")</f>
        <v>causalityengine.ai</v>
      </c>
      <c r="D359" s="15" t="str">
        <f>IFERROR(__xludf.DUMMYFUNCTION("""COMPUTED_VALUE"""),"LISTICLE")</f>
        <v>LISTICLE</v>
      </c>
      <c r="E359" s="15" t="str">
        <f>IFERROR(__xludf.DUMMYFUNCTION("""COMPUTED_VALUE"""),"CORPORATE")</f>
        <v>CORPORATE</v>
      </c>
      <c r="F359" s="15" t="str">
        <f>IFERROR(__xludf.DUMMYFUNCTION("""COMPUTED_VALUE"""),"Listicle")</f>
        <v>Listicle</v>
      </c>
      <c r="G359" s="15" t="b">
        <f>IFERROR(__xludf.DUMMYFUNCTION("""COMPUTED_VALUE"""),FALSE)</f>
        <v>0</v>
      </c>
      <c r="H359" s="15" t="str">
        <f>IFERROR(__xludf.DUMMYFUNCTION("""COMPUTED_VALUE"""),"Measured, Recast, Triple Whale, Northbeam, Rockerbox")</f>
        <v>Measured, Recast, Triple Whale, Northbeam, Rockerbox</v>
      </c>
      <c r="I359" s="15">
        <f>IFERROR(__xludf.DUMMYFUNCTION("""COMPUTED_VALUE"""),1.0)</f>
        <v>1</v>
      </c>
      <c r="J359" s="15">
        <f>IFERROR(__xludf.DUMMYFUNCTION("""COMPUTED_VALUE"""),0.0)</f>
        <v>0</v>
      </c>
      <c r="K359" s="15">
        <f>IFERROR(__xludf.DUMMYFUNCTION("""COMPUTED_VALUE"""),0.0)</f>
        <v>0</v>
      </c>
    </row>
    <row r="360" ht="15.75" customHeight="1">
      <c r="A360" s="14" t="str">
        <f>IFERROR(__xludf.DUMMYFUNCTION("""COMPUTED_VALUE"""),"https://cdp.com/glossary/data-management-platform-dmp-vendors/")</f>
        <v>https://cdp.com/glossary/data-management-platform-dmp-vendors/</v>
      </c>
      <c r="B360" s="15" t="str">
        <f>IFERROR(__xludf.DUMMYFUNCTION("""COMPUTED_VALUE"""),"DMP Vendors 2026: Top Data Management Platforms | CDP.com")</f>
        <v>DMP Vendors 2026: Top Data Management Platforms | CDP.com</v>
      </c>
      <c r="C360" s="14" t="str">
        <f>IFERROR(__xludf.DUMMYFUNCTION("""COMPUTED_VALUE"""),"cdp.com")</f>
        <v>cdp.com</v>
      </c>
      <c r="D360" s="15" t="str">
        <f>IFERROR(__xludf.DUMMYFUNCTION("""COMPUTED_VALUE"""),"LISTICLE")</f>
        <v>LISTICLE</v>
      </c>
      <c r="E360" s="15" t="str">
        <f>IFERROR(__xludf.DUMMYFUNCTION("""COMPUTED_VALUE"""),"REFERENCE")</f>
        <v>REFERENCE</v>
      </c>
      <c r="F360" s="15" t="str">
        <f>IFERROR(__xludf.DUMMYFUNCTION("""COMPUTED_VALUE"""),"Listicle")</f>
        <v>Listicle</v>
      </c>
      <c r="G360" s="15" t="b">
        <f>IFERROR(__xludf.DUMMYFUNCTION("""COMPUTED_VALUE"""),FALSE)</f>
        <v>0</v>
      </c>
      <c r="H360" s="15" t="str">
        <f>IFERROR(__xludf.DUMMYFUNCTION("""COMPUTED_VALUE"""),"Neustar, Nielsen")</f>
        <v>Neustar, Nielsen</v>
      </c>
      <c r="I360" s="15">
        <f>IFERROR(__xludf.DUMMYFUNCTION("""COMPUTED_VALUE"""),1.0)</f>
        <v>1</v>
      </c>
      <c r="J360" s="15">
        <f>IFERROR(__xludf.DUMMYFUNCTION("""COMPUTED_VALUE"""),0.0)</f>
        <v>0</v>
      </c>
      <c r="K360" s="15">
        <f>IFERROR(__xludf.DUMMYFUNCTION("""COMPUTED_VALUE"""),0.0)</f>
        <v>0</v>
      </c>
    </row>
    <row r="361" ht="15.75" customHeight="1">
      <c r="A361" s="14" t="str">
        <f>IFERROR(__xludf.DUMMYFUNCTION("""COMPUTED_VALUE"""),"https://www.clickintelligence.co.uk/guides/agency-lists/seo/best-geo-seo-agencies/")</f>
        <v>https://www.clickintelligence.co.uk/guides/agency-lists/seo/best-geo-seo-agencies/</v>
      </c>
      <c r="B361" s="15" t="str">
        <f>IFERROR(__xludf.DUMMYFUNCTION("""COMPUTED_VALUE"""),"6 Best GEO SEO Companies and Agencies (2026) — UK, US &amp; Global")</f>
        <v>6 Best GEO SEO Companies and Agencies (2026) — UK, US &amp; Global</v>
      </c>
      <c r="C361" s="14" t="str">
        <f>IFERROR(__xludf.DUMMYFUNCTION("""COMPUTED_VALUE"""),"clickintelligence.co.uk")</f>
        <v>clickintelligence.co.uk</v>
      </c>
      <c r="D361" s="15" t="str">
        <f>IFERROR(__xludf.DUMMYFUNCTION("""COMPUTED_VALUE"""),"LISTICLE")</f>
        <v>LISTICLE</v>
      </c>
      <c r="E361" s="15" t="str">
        <f>IFERROR(__xludf.DUMMYFUNCTION("""COMPUTED_VALUE"""),"COMPETITOR")</f>
        <v>COMPETITOR</v>
      </c>
      <c r="F361" s="15" t="str">
        <f>IFERROR(__xludf.DUMMYFUNCTION("""COMPUTED_VALUE"""),"Listicle")</f>
        <v>Listicle</v>
      </c>
      <c r="G361" s="15" t="b">
        <f>IFERROR(__xludf.DUMMYFUNCTION("""COMPUTED_VALUE"""),FALSE)</f>
        <v>0</v>
      </c>
      <c r="H361" s="15" t="str">
        <f>IFERROR(__xludf.DUMMYFUNCTION("""COMPUTED_VALUE"""),"Click Intelligence, Whitehat, Huge")</f>
        <v>Click Intelligence, Whitehat, Huge</v>
      </c>
      <c r="I361" s="15">
        <f>IFERROR(__xludf.DUMMYFUNCTION("""COMPUTED_VALUE"""),1.0)</f>
        <v>1</v>
      </c>
      <c r="J361" s="15">
        <f>IFERROR(__xludf.DUMMYFUNCTION("""COMPUTED_VALUE"""),0.0)</f>
        <v>0</v>
      </c>
      <c r="K361" s="15">
        <f>IFERROR(__xludf.DUMMYFUNCTION("""COMPUTED_VALUE"""),0.0)</f>
        <v>0</v>
      </c>
    </row>
    <row r="362" ht="15.75" customHeight="1">
      <c r="A362" s="14" t="str">
        <f>IFERROR(__xludf.DUMMYFUNCTION("""COMPUTED_VALUE"""),"https://clicksgeek.com/best-paid-advertising-platforms-for-small-business/")</f>
        <v>https://clicksgeek.com/best-paid-advertising-platforms-for-small-business/</v>
      </c>
      <c r="B362" s="15" t="str">
        <f>IFERROR(__xludf.DUMMYFUNCTION("""COMPUTED_VALUE"""),"Best Paid Advertising Platforms For Small Business 2026")</f>
        <v>Best Paid Advertising Platforms For Small Business 2026</v>
      </c>
      <c r="C362" s="14" t="str">
        <f>IFERROR(__xludf.DUMMYFUNCTION("""COMPUTED_VALUE"""),"clicksgeek.com")</f>
        <v>clicksgeek.com</v>
      </c>
      <c r="D362" s="15" t="str">
        <f>IFERROR(__xludf.DUMMYFUNCTION("""COMPUTED_VALUE"""),"LISTICLE")</f>
        <v>LISTICLE</v>
      </c>
      <c r="E362" s="15" t="str">
        <f>IFERROR(__xludf.DUMMYFUNCTION("""COMPUTED_VALUE"""),"CORPORATE")</f>
        <v>CORPORATE</v>
      </c>
      <c r="F362" s="15" t="str">
        <f>IFERROR(__xludf.DUMMYFUNCTION("""COMPUTED_VALUE"""),"Listicle")</f>
        <v>Listicle</v>
      </c>
      <c r="G362" s="15" t="b">
        <f>IFERROR(__xludf.DUMMYFUNCTION("""COMPUTED_VALUE"""),FALSE)</f>
        <v>0</v>
      </c>
      <c r="H362" s="15" t="str">
        <f>IFERROR(__xludf.DUMMYFUNCTION("""COMPUTED_VALUE"""),"Impression")</f>
        <v>Impression</v>
      </c>
      <c r="I362" s="15">
        <f>IFERROR(__xludf.DUMMYFUNCTION("""COMPUTED_VALUE"""),1.0)</f>
        <v>1</v>
      </c>
      <c r="J362" s="15">
        <f>IFERROR(__xludf.DUMMYFUNCTION("""COMPUTED_VALUE"""),0.0)</f>
        <v>0</v>
      </c>
      <c r="K362" s="15">
        <f>IFERROR(__xludf.DUMMYFUNCTION("""COMPUTED_VALUE"""),1.0)</f>
        <v>1</v>
      </c>
    </row>
    <row r="363" ht="15.75" customHeight="1">
      <c r="A363" s="14" t="str">
        <f>IFERROR(__xludf.DUMMYFUNCTION("""COMPUTED_VALUE"""),"https://clicksgeek.com/best-roi-digital-marketing-agencies/")</f>
        <v>https://clicksgeek.com/best-roi-digital-marketing-agencies/</v>
      </c>
      <c r="B363" s="15" t="str">
        <f>IFERROR(__xludf.DUMMYFUNCTION("""COMPUTED_VALUE"""),"Best ROI Digital Marketing Agencies: Expert Guide 2026")</f>
        <v>Best ROI Digital Marketing Agencies: Expert Guide 2026</v>
      </c>
      <c r="C363" s="14" t="str">
        <f>IFERROR(__xludf.DUMMYFUNCTION("""COMPUTED_VALUE"""),"clicksgeek.com")</f>
        <v>clicksgeek.com</v>
      </c>
      <c r="D363" s="15" t="str">
        <f>IFERROR(__xludf.DUMMYFUNCTION("""COMPUTED_VALUE"""),"LISTICLE")</f>
        <v>LISTICLE</v>
      </c>
      <c r="E363" s="15" t="str">
        <f>IFERROR(__xludf.DUMMYFUNCTION("""COMPUTED_VALUE"""),"CORPORATE")</f>
        <v>CORPORATE</v>
      </c>
      <c r="F363" s="15" t="str">
        <f>IFERROR(__xludf.DUMMYFUNCTION("""COMPUTED_VALUE"""),"Listicle")</f>
        <v>Listicle</v>
      </c>
      <c r="G363" s="15" t="b">
        <f>IFERROR(__xludf.DUMMYFUNCTION("""COMPUTED_VALUE"""),FALSE)</f>
        <v>0</v>
      </c>
      <c r="H363" s="15" t="str">
        <f>IFERROR(__xludf.DUMMYFUNCTION("""COMPUTED_VALUE"""),"Push")</f>
        <v>Push</v>
      </c>
      <c r="I363" s="15">
        <f>IFERROR(__xludf.DUMMYFUNCTION("""COMPUTED_VALUE"""),1.0)</f>
        <v>1</v>
      </c>
      <c r="J363" s="15">
        <f>IFERROR(__xludf.DUMMYFUNCTION("""COMPUTED_VALUE"""),0.0)</f>
        <v>0</v>
      </c>
      <c r="K363" s="15">
        <f>IFERROR(__xludf.DUMMYFUNCTION("""COMPUTED_VALUE"""),0.0)</f>
        <v>0</v>
      </c>
    </row>
    <row r="364" ht="15.75" customHeight="1">
      <c r="A364" s="14" t="str">
        <f>IFERROR(__xludf.DUMMYFUNCTION("""COMPUTED_VALUE"""),"https://clicksgeek.com/best-roi-focused-marketing-agencies/")</f>
        <v>https://clicksgeek.com/best-roi-focused-marketing-agencies/</v>
      </c>
      <c r="B364" s="15" t="str">
        <f>IFERROR(__xludf.DUMMYFUNCTION("""COMPUTED_VALUE"""),"Best ROI Focused Marketing Agencies: 2026 Guide &amp;amp; Tips")</f>
        <v>Best ROI Focused Marketing Agencies: 2026 Guide &amp;amp; Tips</v>
      </c>
      <c r="C364" s="14" t="str">
        <f>IFERROR(__xludf.DUMMYFUNCTION("""COMPUTED_VALUE"""),"clicksgeek.com")</f>
        <v>clicksgeek.com</v>
      </c>
      <c r="D364" s="15" t="str">
        <f>IFERROR(__xludf.DUMMYFUNCTION("""COMPUTED_VALUE"""),"LISTICLE")</f>
        <v>LISTICLE</v>
      </c>
      <c r="E364" s="15" t="str">
        <f>IFERROR(__xludf.DUMMYFUNCTION("""COMPUTED_VALUE"""),"CORPORATE")</f>
        <v>CORPORATE</v>
      </c>
      <c r="F364" s="15" t="str">
        <f>IFERROR(__xludf.DUMMYFUNCTION("""COMPUTED_VALUE"""),"Listicle")</f>
        <v>Listicle</v>
      </c>
      <c r="G364" s="15" t="b">
        <f>IFERROR(__xludf.DUMMYFUNCTION("""COMPUTED_VALUE"""),FALSE)</f>
        <v>0</v>
      </c>
      <c r="H364" s="15" t="str">
        <f>IFERROR(__xludf.DUMMYFUNCTION("""COMPUTED_VALUE"""),"Momentum")</f>
        <v>Momentum</v>
      </c>
      <c r="I364" s="15">
        <f>IFERROR(__xludf.DUMMYFUNCTION("""COMPUTED_VALUE"""),1.0)</f>
        <v>1</v>
      </c>
      <c r="J364" s="15">
        <f>IFERROR(__xludf.DUMMYFUNCTION("""COMPUTED_VALUE"""),0.0)</f>
        <v>0</v>
      </c>
      <c r="K364" s="15">
        <f>IFERROR(__xludf.DUMMYFUNCTION("""COMPUTED_VALUE"""),0.0)</f>
        <v>0</v>
      </c>
    </row>
    <row r="365" ht="15.75" customHeight="1">
      <c r="A365" s="14" t="str">
        <f>IFERROR(__xludf.DUMMYFUNCTION("""COMPUTED_VALUE"""),"https://clicksgeek.com/best-roi-focused-marketing-agency/")</f>
        <v>https://clicksgeek.com/best-roi-focused-marketing-agency/</v>
      </c>
      <c r="B365" s="15" t="str">
        <f>IFERROR(__xludf.DUMMYFUNCTION("""COMPUTED_VALUE"""),"Best ROI Focused Marketing Agency: 7 Proven Strategies")</f>
        <v>Best ROI Focused Marketing Agency: 7 Proven Strategies</v>
      </c>
      <c r="C365" s="14" t="str">
        <f>IFERROR(__xludf.DUMMYFUNCTION("""COMPUTED_VALUE"""),"clicksgeek.com")</f>
        <v>clicksgeek.com</v>
      </c>
      <c r="D365" s="15" t="str">
        <f>IFERROR(__xludf.DUMMYFUNCTION("""COMPUTED_VALUE"""),"LISTICLE")</f>
        <v>LISTICLE</v>
      </c>
      <c r="E365" s="15" t="str">
        <f>IFERROR(__xludf.DUMMYFUNCTION("""COMPUTED_VALUE"""),"CORPORATE")</f>
        <v>CORPORATE</v>
      </c>
      <c r="F365" s="15" t="str">
        <f>IFERROR(__xludf.DUMMYFUNCTION("""COMPUTED_VALUE"""),"Listicle")</f>
        <v>Listicle</v>
      </c>
      <c r="G365" s="15" t="b">
        <f>IFERROR(__xludf.DUMMYFUNCTION("""COMPUTED_VALUE"""),FALSE)</f>
        <v>0</v>
      </c>
      <c r="H365" s="15"/>
      <c r="I365" s="15">
        <f>IFERROR(__xludf.DUMMYFUNCTION("""COMPUTED_VALUE"""),1.0)</f>
        <v>1</v>
      </c>
      <c r="J365" s="15">
        <f>IFERROR(__xludf.DUMMYFUNCTION("""COMPUTED_VALUE"""),0.0)</f>
        <v>0</v>
      </c>
      <c r="K365" s="15">
        <f>IFERROR(__xludf.DUMMYFUNCTION("""COMPUTED_VALUE"""),0.0)</f>
        <v>0</v>
      </c>
    </row>
    <row r="366" ht="15.75" customHeight="1">
      <c r="A366" s="14" t="str">
        <f>IFERROR(__xludf.DUMMYFUNCTION("""COMPUTED_VALUE"""),"https://clicksgeek.com/best-roi-marketing-agencies/")</f>
        <v>https://clicksgeek.com/best-roi-marketing-agencies/</v>
      </c>
      <c r="B366" s="15" t="str">
        <f>IFERROR(__xludf.DUMMYFUNCTION("""COMPUTED_VALUE"""),"Best ROI Marketing Agencies: 7 Proven Strategies 2026")</f>
        <v>Best ROI Marketing Agencies: 7 Proven Strategies 2026</v>
      </c>
      <c r="C366" s="14" t="str">
        <f>IFERROR(__xludf.DUMMYFUNCTION("""COMPUTED_VALUE"""),"clicksgeek.com")</f>
        <v>clicksgeek.com</v>
      </c>
      <c r="D366" s="15" t="str">
        <f>IFERROR(__xludf.DUMMYFUNCTION("""COMPUTED_VALUE"""),"LISTICLE")</f>
        <v>LISTICLE</v>
      </c>
      <c r="E366" s="15" t="str">
        <f>IFERROR(__xludf.DUMMYFUNCTION("""COMPUTED_VALUE"""),"CORPORATE")</f>
        <v>CORPORATE</v>
      </c>
      <c r="F366" s="15" t="str">
        <f>IFERROR(__xludf.DUMMYFUNCTION("""COMPUTED_VALUE"""),"Listicle")</f>
        <v>Listicle</v>
      </c>
      <c r="G366" s="15" t="b">
        <f>IFERROR(__xludf.DUMMYFUNCTION("""COMPUTED_VALUE"""),FALSE)</f>
        <v>0</v>
      </c>
      <c r="H366" s="15" t="str">
        <f>IFERROR(__xludf.DUMMYFUNCTION("""COMPUTED_VALUE"""),"Measured, Push")</f>
        <v>Measured, Push</v>
      </c>
      <c r="I366" s="15">
        <f>IFERROR(__xludf.DUMMYFUNCTION("""COMPUTED_VALUE"""),1.0)</f>
        <v>1</v>
      </c>
      <c r="J366" s="15">
        <f>IFERROR(__xludf.DUMMYFUNCTION("""COMPUTED_VALUE"""),0.0)</f>
        <v>0</v>
      </c>
      <c r="K366" s="15">
        <f>IFERROR(__xludf.DUMMYFUNCTION("""COMPUTED_VALUE"""),0.0)</f>
        <v>0</v>
      </c>
    </row>
    <row r="367" ht="15.75" customHeight="1">
      <c r="A367" s="14" t="str">
        <f>IFERROR(__xludf.DUMMYFUNCTION("""COMPUTED_VALUE"""),"https://www.clickslice.co.uk/best-ecommerce-seo-agencies-uk/")</f>
        <v>https://www.clickslice.co.uk/best-ecommerce-seo-agencies-uk/</v>
      </c>
      <c r="B367" s="15" t="str">
        <f>IFERROR(__xludf.DUMMYFUNCTION("""COMPUTED_VALUE"""),"10 Best eCommerce SEO Agencies in the UK 2026")</f>
        <v>10 Best eCommerce SEO Agencies in the UK 2026</v>
      </c>
      <c r="C367" s="14" t="str">
        <f>IFERROR(__xludf.DUMMYFUNCTION("""COMPUTED_VALUE"""),"clickslice.co.uk")</f>
        <v>clickslice.co.uk</v>
      </c>
      <c r="D367" s="15" t="str">
        <f>IFERROR(__xludf.DUMMYFUNCTION("""COMPUTED_VALUE"""),"LISTICLE")</f>
        <v>LISTICLE</v>
      </c>
      <c r="E367" s="15" t="str">
        <f>IFERROR(__xludf.DUMMYFUNCTION("""COMPUTED_VALUE"""),"COMPETITOR")</f>
        <v>COMPETITOR</v>
      </c>
      <c r="F367" s="15" t="str">
        <f>IFERROR(__xludf.DUMMYFUNCTION("""COMPUTED_VALUE"""),"Listicle")</f>
        <v>Listicle</v>
      </c>
      <c r="G367" s="15" t="b">
        <f>IFERROR(__xludf.DUMMYFUNCTION("""COMPUTED_VALUE"""),FALSE)</f>
        <v>0</v>
      </c>
      <c r="H367" s="15" t="str">
        <f>IFERROR(__xludf.DUMMYFUNCTION("""COMPUTED_VALUE"""),"ClickSlice, Rise at Seven, Builtvisible, Brainlabs, Screaming Frog")</f>
        <v>ClickSlice, Rise at Seven, Builtvisible, Brainlabs, Screaming Frog</v>
      </c>
      <c r="I367" s="15">
        <f>IFERROR(__xludf.DUMMYFUNCTION("""COMPUTED_VALUE"""),1.0)</f>
        <v>1</v>
      </c>
      <c r="J367" s="15">
        <f>IFERROR(__xludf.DUMMYFUNCTION("""COMPUTED_VALUE"""),0.0)</f>
        <v>0</v>
      </c>
      <c r="K367" s="15">
        <f>IFERROR(__xludf.DUMMYFUNCTION("""COMPUTED_VALUE"""),1.0)</f>
        <v>1</v>
      </c>
    </row>
    <row r="368" ht="15.75" customHeight="1">
      <c r="A368" s="14" t="str">
        <f>IFERROR(__xludf.DUMMYFUNCTION("""COMPUTED_VALUE"""),"https://www.clickslice.co.uk/recommended-aeo-agencies-for-ai-visibility/")</f>
        <v>https://www.clickslice.co.uk/recommended-aeo-agencies-for-ai-visibility/</v>
      </c>
      <c r="B368" s="15" t="str">
        <f>IFERROR(__xludf.DUMMYFUNCTION("""COMPUTED_VALUE"""),"7 Recommended UK Agencies Leading the Way in AI Visibility")</f>
        <v>7 Recommended UK Agencies Leading the Way in AI Visibility</v>
      </c>
      <c r="C368" s="14" t="str">
        <f>IFERROR(__xludf.DUMMYFUNCTION("""COMPUTED_VALUE"""),"clickslice.co.uk")</f>
        <v>clickslice.co.uk</v>
      </c>
      <c r="D368" s="15" t="str">
        <f>IFERROR(__xludf.DUMMYFUNCTION("""COMPUTED_VALUE"""),"LISTICLE")</f>
        <v>LISTICLE</v>
      </c>
      <c r="E368" s="15" t="str">
        <f>IFERROR(__xludf.DUMMYFUNCTION("""COMPUTED_VALUE"""),"COMPETITOR")</f>
        <v>COMPETITOR</v>
      </c>
      <c r="F368" s="15" t="str">
        <f>IFERROR(__xludf.DUMMYFUNCTION("""COMPUTED_VALUE"""),"Listicle")</f>
        <v>Listicle</v>
      </c>
      <c r="G368" s="15" t="b">
        <f>IFERROR(__xludf.DUMMYFUNCTION("""COMPUTED_VALUE"""),FALSE)</f>
        <v>0</v>
      </c>
      <c r="H368" s="15" t="str">
        <f>IFERROR(__xludf.DUMMYFUNCTION("""COMPUTED_VALUE"""),"ClickSlice")</f>
        <v>ClickSlice</v>
      </c>
      <c r="I368" s="15">
        <f>IFERROR(__xludf.DUMMYFUNCTION("""COMPUTED_VALUE"""),1.0)</f>
        <v>1</v>
      </c>
      <c r="J368" s="15">
        <f>IFERROR(__xludf.DUMMYFUNCTION("""COMPUTED_VALUE"""),0.0)</f>
        <v>0</v>
      </c>
      <c r="K368" s="15">
        <f>IFERROR(__xludf.DUMMYFUNCTION("""COMPUTED_VALUE"""),1.0)</f>
        <v>1</v>
      </c>
    </row>
    <row r="369" ht="15.75" customHeight="1">
      <c r="A369" s="14" t="str">
        <f>IFERROR(__xludf.DUMMYFUNCTION("""COMPUTED_VALUE"""),"https://www.clickslice.co.uk/roi-focused-ecommerce-seo-agencies/")</f>
        <v>https://www.clickslice.co.uk/roi-focused-ecommerce-seo-agencies/</v>
      </c>
      <c r="B369" s="15" t="str">
        <f>IFERROR(__xludf.DUMMYFUNCTION("""COMPUTED_VALUE"""),"9 ROI-Focused eCommerce SEO Agencies – 2026 List &amp;amp; Buyer’s Guide")</f>
        <v>9 ROI-Focused eCommerce SEO Agencies – 2026 List &amp;amp; Buyer’s Guide</v>
      </c>
      <c r="C369" s="14" t="str">
        <f>IFERROR(__xludf.DUMMYFUNCTION("""COMPUTED_VALUE"""),"clickslice.co.uk")</f>
        <v>clickslice.co.uk</v>
      </c>
      <c r="D369" s="15" t="str">
        <f>IFERROR(__xludf.DUMMYFUNCTION("""COMPUTED_VALUE"""),"LISTICLE")</f>
        <v>LISTICLE</v>
      </c>
      <c r="E369" s="15" t="str">
        <f>IFERROR(__xludf.DUMMYFUNCTION("""COMPUTED_VALUE"""),"COMPETITOR")</f>
        <v>COMPETITOR</v>
      </c>
      <c r="F369" s="15" t="str">
        <f>IFERROR(__xludf.DUMMYFUNCTION("""COMPUTED_VALUE"""),"Listicle")</f>
        <v>Listicle</v>
      </c>
      <c r="G369" s="15" t="b">
        <f>IFERROR(__xludf.DUMMYFUNCTION("""COMPUTED_VALUE"""),FALSE)</f>
        <v>0</v>
      </c>
      <c r="H369" s="15" t="str">
        <f>IFERROR(__xludf.DUMMYFUNCTION("""COMPUTED_VALUE"""),"ClickSlice, Builtvisible, Brainlabs, Bird Marketing")</f>
        <v>ClickSlice, Builtvisible, Brainlabs, Bird Marketing</v>
      </c>
      <c r="I369" s="15">
        <f>IFERROR(__xludf.DUMMYFUNCTION("""COMPUTED_VALUE"""),1.0)</f>
        <v>1</v>
      </c>
      <c r="J369" s="15">
        <f>IFERROR(__xludf.DUMMYFUNCTION("""COMPUTED_VALUE"""),0.0)</f>
        <v>0</v>
      </c>
      <c r="K369" s="15">
        <f>IFERROR(__xludf.DUMMYFUNCTION("""COMPUTED_VALUE"""),1.0)</f>
        <v>1</v>
      </c>
    </row>
    <row r="370" ht="15.75" customHeight="1">
      <c r="A370" s="14" t="str">
        <f>IFERROR(__xludf.DUMMYFUNCTION("""COMPUTED_VALUE"""),"https://clickstrike.com/blog/ai-marketing-agencies/")</f>
        <v>https://clickstrike.com/blog/ai-marketing-agencies/</v>
      </c>
      <c r="B370" s="15" t="str">
        <f>IFERROR(__xludf.DUMMYFUNCTION("""COMPUTED_VALUE"""),"Top AI Marketing Agencies in 2026: 7 Best Partners for AI Companies | Clickstrike")</f>
        <v>Top AI Marketing Agencies in 2026: 7 Best Partners for AI Companies | Clickstrike</v>
      </c>
      <c r="C370" s="14" t="str">
        <f>IFERROR(__xludf.DUMMYFUNCTION("""COMPUTED_VALUE"""),"clickstrike.com")</f>
        <v>clickstrike.com</v>
      </c>
      <c r="D370" s="15" t="str">
        <f>IFERROR(__xludf.DUMMYFUNCTION("""COMPUTED_VALUE"""),"LISTICLE")</f>
        <v>LISTICLE</v>
      </c>
      <c r="E370" s="15" t="str">
        <f>IFERROR(__xludf.DUMMYFUNCTION("""COMPUTED_VALUE"""),"CORPORATE")</f>
        <v>CORPORATE</v>
      </c>
      <c r="F370" s="15" t="str">
        <f>IFERROR(__xludf.DUMMYFUNCTION("""COMPUTED_VALUE"""),"Listicle")</f>
        <v>Listicle</v>
      </c>
      <c r="G370" s="15" t="b">
        <f>IFERROR(__xludf.DUMMYFUNCTION("""COMPUTED_VALUE"""),FALSE)</f>
        <v>0</v>
      </c>
      <c r="H370" s="15" t="str">
        <f>IFERROR(__xludf.DUMMYFUNCTION("""COMPUTED_VALUE"""),"NoGood, Directive Consulting, Single Grain, Ninja Promo, Found")</f>
        <v>NoGood, Directive Consulting, Single Grain, Ninja Promo, Found</v>
      </c>
      <c r="I370" s="15">
        <f>IFERROR(__xludf.DUMMYFUNCTION("""COMPUTED_VALUE"""),1.0)</f>
        <v>1</v>
      </c>
      <c r="J370" s="15">
        <f>IFERROR(__xludf.DUMMYFUNCTION("""COMPUTED_VALUE"""),0.0)</f>
        <v>0</v>
      </c>
      <c r="K370" s="15">
        <f>IFERROR(__xludf.DUMMYFUNCTION("""COMPUTED_VALUE"""),0.0)</f>
        <v>0</v>
      </c>
    </row>
    <row r="371" ht="15.75" customHeight="1">
      <c r="A371" s="14" t="str">
        <f>IFERROR(__xludf.DUMMYFUNCTION("""COMPUTED_VALUE"""),"https://clutch.co/agencies/performance-marketing%3Fpage%3D0")</f>
        <v>https://clutch.co/agencies/performance-marketing%3Fpage%3D0</v>
      </c>
      <c r="B371" s="15" t="str">
        <f>IFERROR(__xludf.DUMMYFUNCTION("""COMPUTED_VALUE"""),"Top Performance Marketing Agencies - Jul 2026 Rankings \| Clutch.co")</f>
        <v>Top Performance Marketing Agencies - Jul 2026 Rankings \| Clutch.co</v>
      </c>
      <c r="C371" s="14" t="str">
        <f>IFERROR(__xludf.DUMMYFUNCTION("""COMPUTED_VALUE"""),"clutch.co")</f>
        <v>clutch.co</v>
      </c>
      <c r="D371" s="15" t="str">
        <f>IFERROR(__xludf.DUMMYFUNCTION("""COMPUTED_VALUE"""),"LISTICLE")</f>
        <v>LISTICLE</v>
      </c>
      <c r="E371" s="15" t="str">
        <f>IFERROR(__xludf.DUMMYFUNCTION("""COMPUTED_VALUE"""),"CORPORATE")</f>
        <v>CORPORATE</v>
      </c>
      <c r="F371" s="15" t="str">
        <f>IFERROR(__xludf.DUMMYFUNCTION("""COMPUTED_VALUE"""),"Listicle")</f>
        <v>Listicle</v>
      </c>
      <c r="G371" s="15" t="b">
        <f>IFERROR(__xludf.DUMMYFUNCTION("""COMPUTED_VALUE"""),FALSE)</f>
        <v>0</v>
      </c>
      <c r="H371" s="15" t="str">
        <f>IFERROR(__xludf.DUMMYFUNCTION("""COMPUTED_VALUE"""),"Disruptive Advertising, Launch Online, Momentum, GA Agency, Found")</f>
        <v>Disruptive Advertising, Launch Online, Momentum, GA Agency, Found</v>
      </c>
      <c r="I371" s="15">
        <f>IFERROR(__xludf.DUMMYFUNCTION("""COMPUTED_VALUE"""),1.0)</f>
        <v>1</v>
      </c>
      <c r="J371" s="15">
        <f>IFERROR(__xludf.DUMMYFUNCTION("""COMPUTED_VALUE"""),0.0)</f>
        <v>0</v>
      </c>
      <c r="K371" s="15">
        <f>IFERROR(__xludf.DUMMYFUNCTION("""COMPUTED_VALUE"""),0.0)</f>
        <v>0</v>
      </c>
    </row>
    <row r="372" ht="15.75" customHeight="1">
      <c r="A372" s="14" t="str">
        <f>IFERROR(__xludf.DUMMYFUNCTION("""COMPUTED_VALUE"""),"https://www.colossalinfluence.com/biggest-marketing-agencies-uk/")</f>
        <v>https://www.colossalinfluence.com/biggest-marketing-agencies-uk/</v>
      </c>
      <c r="B372" s="15" t="str">
        <f>IFERROR(__xludf.DUMMYFUNCTION("""COMPUTED_VALUE"""),"7 Biggest Marketing Agencies UK: Your 2025 Guide .")</f>
        <v>7 Biggest Marketing Agencies UK: Your 2025 Guide .</v>
      </c>
      <c r="C372" s="14" t="str">
        <f>IFERROR(__xludf.DUMMYFUNCTION("""COMPUTED_VALUE"""),"colossalinfluence.com")</f>
        <v>colossalinfluence.com</v>
      </c>
      <c r="D372" s="15" t="str">
        <f>IFERROR(__xludf.DUMMYFUNCTION("""COMPUTED_VALUE"""),"LISTICLE")</f>
        <v>LISTICLE</v>
      </c>
      <c r="E372" s="15" t="str">
        <f>IFERROR(__xludf.DUMMYFUNCTION("""COMPUTED_VALUE"""),"CORPORATE")</f>
        <v>CORPORATE</v>
      </c>
      <c r="F372" s="15" t="str">
        <f>IFERROR(__xludf.DUMMYFUNCTION("""COMPUTED_VALUE"""),"Listicle")</f>
        <v>Listicle</v>
      </c>
      <c r="G372" s="15" t="b">
        <f>IFERROR(__xludf.DUMMYFUNCTION("""COMPUTED_VALUE"""),FALSE)</f>
        <v>0</v>
      </c>
      <c r="H372" s="15" t="str">
        <f>IFERROR(__xludf.DUMMYFUNCTION("""COMPUTED_VALUE"""),"Measured, Momentum, WPP, Omnicom, Found")</f>
        <v>Measured, Momentum, WPP, Omnicom, Found</v>
      </c>
      <c r="I372" s="15">
        <f>IFERROR(__xludf.DUMMYFUNCTION("""COMPUTED_VALUE"""),1.0)</f>
        <v>1</v>
      </c>
      <c r="J372" s="15">
        <f>IFERROR(__xludf.DUMMYFUNCTION("""COMPUTED_VALUE"""),0.0)</f>
        <v>0</v>
      </c>
      <c r="K372" s="15">
        <f>IFERROR(__xludf.DUMMYFUNCTION("""COMPUTED_VALUE"""),0.0)</f>
        <v>0</v>
      </c>
    </row>
    <row r="373" ht="15.75" customHeight="1">
      <c r="A373" s="14" t="str">
        <f>IFERROR(__xludf.DUMMYFUNCTION("""COMPUTED_VALUE"""),"https://www.cometly.com/post/agency-marketing-attribution-tools")</f>
        <v>https://www.cometly.com/post/agency-marketing-attribution-tools</v>
      </c>
      <c r="B373" s="15" t="str">
        <f>IFERROR(__xludf.DUMMYFUNCTION("""COMPUTED_VALUE"""),"Top Agency Marketing Attribution Tools for 2026 Tips")</f>
        <v>Top Agency Marketing Attribution Tools for 2026 Tips</v>
      </c>
      <c r="C373" s="14" t="str">
        <f>IFERROR(__xludf.DUMMYFUNCTION("""COMPUTED_VALUE"""),"cometly.com")</f>
        <v>cometly.com</v>
      </c>
      <c r="D373" s="15" t="str">
        <f>IFERROR(__xludf.DUMMYFUNCTION("""COMPUTED_VALUE"""),"LISTICLE")</f>
        <v>LISTICLE</v>
      </c>
      <c r="E373" s="15" t="str">
        <f>IFERROR(__xludf.DUMMYFUNCTION("""COMPUTED_VALUE"""),"COMPETITOR")</f>
        <v>COMPETITOR</v>
      </c>
      <c r="F373" s="15" t="str">
        <f>IFERROR(__xludf.DUMMYFUNCTION("""COMPUTED_VALUE"""),"Listicle")</f>
        <v>Listicle</v>
      </c>
      <c r="G373" s="15" t="b">
        <f>IFERROR(__xludf.DUMMYFUNCTION("""COMPUTED_VALUE"""),FALSE)</f>
        <v>0</v>
      </c>
      <c r="H373" s="15" t="str">
        <f>IFERROR(__xludf.DUMMYFUNCTION("""COMPUTED_VALUE"""),"Cometly, Triple Whale, Northbeam, Rockerbox, Ruler Analytics")</f>
        <v>Cometly, Triple Whale, Northbeam, Rockerbox, Ruler Analytics</v>
      </c>
      <c r="I373" s="15">
        <f>IFERROR(__xludf.DUMMYFUNCTION("""COMPUTED_VALUE"""),1.0)</f>
        <v>1</v>
      </c>
      <c r="J373" s="15">
        <f>IFERROR(__xludf.DUMMYFUNCTION("""COMPUTED_VALUE"""),0.0)</f>
        <v>0</v>
      </c>
      <c r="K373" s="15">
        <f>IFERROR(__xludf.DUMMYFUNCTION("""COMPUTED_VALUE"""),2.0)</f>
        <v>2</v>
      </c>
    </row>
    <row r="374" ht="15.75" customHeight="1">
      <c r="A374" s="14" t="str">
        <f>IFERROR(__xludf.DUMMYFUNCTION("""COMPUTED_VALUE"""),"https://www.cometly.com/post/ai-powered-ad-optimization-platform")</f>
        <v>https://www.cometly.com/post/ai-powered-ad-optimization-platform</v>
      </c>
      <c r="B374" s="15" t="str">
        <f>IFERROR(__xludf.DUMMYFUNCTION("""COMPUTED_VALUE"""),"9 Best AI Powered Ad Optimization Platforms 2026 Guide")</f>
        <v>9 Best AI Powered Ad Optimization Platforms 2026 Guide</v>
      </c>
      <c r="C374" s="14" t="str">
        <f>IFERROR(__xludf.DUMMYFUNCTION("""COMPUTED_VALUE"""),"cometly.com")</f>
        <v>cometly.com</v>
      </c>
      <c r="D374" s="15" t="str">
        <f>IFERROR(__xludf.DUMMYFUNCTION("""COMPUTED_VALUE"""),"LISTICLE")</f>
        <v>LISTICLE</v>
      </c>
      <c r="E374" s="15" t="str">
        <f>IFERROR(__xludf.DUMMYFUNCTION("""COMPUTED_VALUE"""),"COMPETITOR")</f>
        <v>COMPETITOR</v>
      </c>
      <c r="F374" s="15" t="str">
        <f>IFERROR(__xludf.DUMMYFUNCTION("""COMPUTED_VALUE"""),"Listicle")</f>
        <v>Listicle</v>
      </c>
      <c r="G374" s="15" t="b">
        <f>IFERROR(__xludf.DUMMYFUNCTION("""COMPUTED_VALUE"""),FALSE)</f>
        <v>0</v>
      </c>
      <c r="H374" s="15" t="str">
        <f>IFERROR(__xludf.DUMMYFUNCTION("""COMPUTED_VALUE"""),"Cometly, Impression")</f>
        <v>Cometly, Impression</v>
      </c>
      <c r="I374" s="15">
        <f>IFERROR(__xludf.DUMMYFUNCTION("""COMPUTED_VALUE"""),1.0)</f>
        <v>1</v>
      </c>
      <c r="J374" s="15">
        <f>IFERROR(__xludf.DUMMYFUNCTION("""COMPUTED_VALUE"""),0.0)</f>
        <v>0</v>
      </c>
      <c r="K374" s="15">
        <f>IFERROR(__xludf.DUMMYFUNCTION("""COMPUTED_VALUE"""),0.0)</f>
        <v>0</v>
      </c>
    </row>
    <row r="375" ht="15.75" customHeight="1">
      <c r="A375" s="14" t="str">
        <f>IFERROR(__xludf.DUMMYFUNCTION("""COMPUTED_VALUE"""),"https://www.cometly.com/post/attribution-platforms-for-agencies")</f>
        <v>https://www.cometly.com/post/attribution-platforms-for-agencies</v>
      </c>
      <c r="B375" s="15" t="str">
        <f>IFERROR(__xludf.DUMMYFUNCTION("""COMPUTED_VALUE"""),"Top Attribution Platforms For Agencies: 2026 Guide")</f>
        <v>Top Attribution Platforms For Agencies: 2026 Guide</v>
      </c>
      <c r="C375" s="14" t="str">
        <f>IFERROR(__xludf.DUMMYFUNCTION("""COMPUTED_VALUE"""),"cometly.com")</f>
        <v>cometly.com</v>
      </c>
      <c r="D375" s="15" t="str">
        <f>IFERROR(__xludf.DUMMYFUNCTION("""COMPUTED_VALUE"""),"LISTICLE")</f>
        <v>LISTICLE</v>
      </c>
      <c r="E375" s="15" t="str">
        <f>IFERROR(__xludf.DUMMYFUNCTION("""COMPUTED_VALUE"""),"COMPETITOR")</f>
        <v>COMPETITOR</v>
      </c>
      <c r="F375" s="15" t="str">
        <f>IFERROR(__xludf.DUMMYFUNCTION("""COMPUTED_VALUE"""),"Listicle")</f>
        <v>Listicle</v>
      </c>
      <c r="G375" s="15" t="b">
        <f>IFERROR(__xludf.DUMMYFUNCTION("""COMPUTED_VALUE"""),FALSE)</f>
        <v>0</v>
      </c>
      <c r="H375" s="15" t="str">
        <f>IFERROR(__xludf.DUMMYFUNCTION("""COMPUTED_VALUE"""),"Cometly, Triple Whale, Northbeam, Rockerbox, Ruler Analytics")</f>
        <v>Cometly, Triple Whale, Northbeam, Rockerbox, Ruler Analytics</v>
      </c>
      <c r="I375" s="15">
        <f>IFERROR(__xludf.DUMMYFUNCTION("""COMPUTED_VALUE"""),1.0)</f>
        <v>1</v>
      </c>
      <c r="J375" s="15">
        <f>IFERROR(__xludf.DUMMYFUNCTION("""COMPUTED_VALUE"""),0.0)</f>
        <v>0</v>
      </c>
      <c r="K375" s="15">
        <f>IFERROR(__xludf.DUMMYFUNCTION("""COMPUTED_VALUE"""),1.0)</f>
        <v>1</v>
      </c>
    </row>
    <row r="376" ht="15.75" customHeight="1">
      <c r="A376" s="14" t="str">
        <f>IFERROR(__xludf.DUMMYFUNCTION("""COMPUTED_VALUE"""),"https://www.cometly.com/post/attribution-tools-for-digital-marketing-agencies")</f>
        <v>https://www.cometly.com/post/attribution-tools-for-digital-marketing-agencies</v>
      </c>
      <c r="B376" s="15" t="str">
        <f>IFERROR(__xludf.DUMMYFUNCTION("""COMPUTED_VALUE"""),"9 Best Attribution Tools For Digital Marketing Agencies")</f>
        <v>9 Best Attribution Tools For Digital Marketing Agencies</v>
      </c>
      <c r="C376" s="14" t="str">
        <f>IFERROR(__xludf.DUMMYFUNCTION("""COMPUTED_VALUE"""),"cometly.com")</f>
        <v>cometly.com</v>
      </c>
      <c r="D376" s="15" t="str">
        <f>IFERROR(__xludf.DUMMYFUNCTION("""COMPUTED_VALUE"""),"LISTICLE")</f>
        <v>LISTICLE</v>
      </c>
      <c r="E376" s="15" t="str">
        <f>IFERROR(__xludf.DUMMYFUNCTION("""COMPUTED_VALUE"""),"COMPETITOR")</f>
        <v>COMPETITOR</v>
      </c>
      <c r="F376" s="15" t="str">
        <f>IFERROR(__xludf.DUMMYFUNCTION("""COMPUTED_VALUE"""),"Listicle")</f>
        <v>Listicle</v>
      </c>
      <c r="G376" s="15" t="b">
        <f>IFERROR(__xludf.DUMMYFUNCTION("""COMPUTED_VALUE"""),FALSE)</f>
        <v>0</v>
      </c>
      <c r="H376" s="15" t="str">
        <f>IFERROR(__xludf.DUMMYFUNCTION("""COMPUTED_VALUE"""),"Cometly, Triple Whale, Northbeam, Rockerbox, Ruler Analytics")</f>
        <v>Cometly, Triple Whale, Northbeam, Rockerbox, Ruler Analytics</v>
      </c>
      <c r="I376" s="15">
        <f>IFERROR(__xludf.DUMMYFUNCTION("""COMPUTED_VALUE"""),1.0)</f>
        <v>1</v>
      </c>
      <c r="J376" s="15">
        <f>IFERROR(__xludf.DUMMYFUNCTION("""COMPUTED_VALUE"""),0.0)</f>
        <v>0</v>
      </c>
      <c r="K376" s="15">
        <f>IFERROR(__xludf.DUMMYFUNCTION("""COMPUTED_VALUE"""),0.0)</f>
        <v>0</v>
      </c>
    </row>
    <row r="377" ht="15.75" customHeight="1">
      <c r="A377" s="14" t="str">
        <f>IFERROR(__xludf.DUMMYFUNCTION("""COMPUTED_VALUE"""),"https://www.cometly.com/post/first-party-data-tracking-solutions")</f>
        <v>https://www.cometly.com/post/first-party-data-tracking-solutions</v>
      </c>
      <c r="B377" s="15" t="str">
        <f>IFERROR(__xludf.DUMMYFUNCTION("""COMPUTED_VALUE"""),"9 Best First Party Data Tracking Solutions for 2026")</f>
        <v>9 Best First Party Data Tracking Solutions for 2026</v>
      </c>
      <c r="C377" s="14" t="str">
        <f>IFERROR(__xludf.DUMMYFUNCTION("""COMPUTED_VALUE"""),"cometly.com")</f>
        <v>cometly.com</v>
      </c>
      <c r="D377" s="15" t="str">
        <f>IFERROR(__xludf.DUMMYFUNCTION("""COMPUTED_VALUE"""),"LISTICLE")</f>
        <v>LISTICLE</v>
      </c>
      <c r="E377" s="15" t="str">
        <f>IFERROR(__xludf.DUMMYFUNCTION("""COMPUTED_VALUE"""),"COMPETITOR")</f>
        <v>COMPETITOR</v>
      </c>
      <c r="F377" s="15" t="str">
        <f>IFERROR(__xludf.DUMMYFUNCTION("""COMPUTED_VALUE"""),"Listicle")</f>
        <v>Listicle</v>
      </c>
      <c r="G377" s="15" t="b">
        <f>IFERROR(__xludf.DUMMYFUNCTION("""COMPUTED_VALUE"""),FALSE)</f>
        <v>0</v>
      </c>
      <c r="H377" s="15" t="str">
        <f>IFERROR(__xludf.DUMMYFUNCTION("""COMPUTED_VALUE"""),"Cometly, Push")</f>
        <v>Cometly, Push</v>
      </c>
      <c r="I377" s="15">
        <f>IFERROR(__xludf.DUMMYFUNCTION("""COMPUTED_VALUE"""),1.0)</f>
        <v>1</v>
      </c>
      <c r="J377" s="15">
        <f>IFERROR(__xludf.DUMMYFUNCTION("""COMPUTED_VALUE"""),0.0)</f>
        <v>0</v>
      </c>
      <c r="K377" s="15">
        <f>IFERROR(__xludf.DUMMYFUNCTION("""COMPUTED_VALUE"""),1.0)</f>
        <v>1</v>
      </c>
    </row>
    <row r="378" ht="15.75" customHeight="1">
      <c r="A378" s="14" t="str">
        <f>IFERROR(__xludf.DUMMYFUNCTION("""COMPUTED_VALUE"""),"https://www.cometly.com/post/incrementality-testing-software")</f>
        <v>https://www.cometly.com/post/incrementality-testing-software</v>
      </c>
      <c r="B378" s="15" t="str">
        <f>IFERROR(__xludf.DUMMYFUNCTION("""COMPUTED_VALUE"""),"Best Incrementality Testing Software Tools Guide 2026")</f>
        <v>Best Incrementality Testing Software Tools Guide 2026</v>
      </c>
      <c r="C378" s="14" t="str">
        <f>IFERROR(__xludf.DUMMYFUNCTION("""COMPUTED_VALUE"""),"cometly.com")</f>
        <v>cometly.com</v>
      </c>
      <c r="D378" s="15" t="str">
        <f>IFERROR(__xludf.DUMMYFUNCTION("""COMPUTED_VALUE"""),"LISTICLE")</f>
        <v>LISTICLE</v>
      </c>
      <c r="E378" s="15" t="str">
        <f>IFERROR(__xludf.DUMMYFUNCTION("""COMPUTED_VALUE"""),"COMPETITOR")</f>
        <v>COMPETITOR</v>
      </c>
      <c r="F378" s="15" t="str">
        <f>IFERROR(__xludf.DUMMYFUNCTION("""COMPUTED_VALUE"""),"Listicle")</f>
        <v>Listicle</v>
      </c>
      <c r="G378" s="15" t="b">
        <f>IFERROR(__xludf.DUMMYFUNCTION("""COMPUTED_VALUE"""),FALSE)</f>
        <v>0</v>
      </c>
      <c r="H378" s="15" t="str">
        <f>IFERROR(__xludf.DUMMYFUNCTION("""COMPUTED_VALUE"""),"Cometly, Measured, Rockerbox, Northbeam, Haus, Recast")</f>
        <v>Cometly, Measured, Rockerbox, Northbeam, Haus, Recast</v>
      </c>
      <c r="I378" s="15">
        <f>IFERROR(__xludf.DUMMYFUNCTION("""COMPUTED_VALUE"""),1.0)</f>
        <v>1</v>
      </c>
      <c r="J378" s="15">
        <f>IFERROR(__xludf.DUMMYFUNCTION("""COMPUTED_VALUE"""),0.0)</f>
        <v>0</v>
      </c>
      <c r="K378" s="15">
        <f>IFERROR(__xludf.DUMMYFUNCTION("""COMPUTED_VALUE"""),1.0)</f>
        <v>1</v>
      </c>
    </row>
    <row r="379" ht="15.75" customHeight="1">
      <c r="A379" s="14" t="str">
        <f>IFERROR(__xludf.DUMMYFUNCTION("""COMPUTED_VALUE"""),"https://www.cometly.com/post/marketing-attribution-platforms-for-agencies")</f>
        <v>https://www.cometly.com/post/marketing-attribution-platforms-for-agencies</v>
      </c>
      <c r="B379" s="15" t="str">
        <f>IFERROR(__xludf.DUMMYFUNCTION("""COMPUTED_VALUE"""),"Best Marketing Attribution Platforms For Agencies 2026")</f>
        <v>Best Marketing Attribution Platforms For Agencies 2026</v>
      </c>
      <c r="C379" s="14" t="str">
        <f>IFERROR(__xludf.DUMMYFUNCTION("""COMPUTED_VALUE"""),"cometly.com")</f>
        <v>cometly.com</v>
      </c>
      <c r="D379" s="15" t="str">
        <f>IFERROR(__xludf.DUMMYFUNCTION("""COMPUTED_VALUE"""),"LISTICLE")</f>
        <v>LISTICLE</v>
      </c>
      <c r="E379" s="15" t="str">
        <f>IFERROR(__xludf.DUMMYFUNCTION("""COMPUTED_VALUE"""),"COMPETITOR")</f>
        <v>COMPETITOR</v>
      </c>
      <c r="F379" s="15" t="str">
        <f>IFERROR(__xludf.DUMMYFUNCTION("""COMPUTED_VALUE"""),"Listicle")</f>
        <v>Listicle</v>
      </c>
      <c r="G379" s="15" t="b">
        <f>IFERROR(__xludf.DUMMYFUNCTION("""COMPUTED_VALUE"""),FALSE)</f>
        <v>0</v>
      </c>
      <c r="H379" s="15" t="str">
        <f>IFERROR(__xludf.DUMMYFUNCTION("""COMPUTED_VALUE"""),"Cometly, Triple Whale, Northbeam, Rockerbox, Ruler Analytics")</f>
        <v>Cometly, Triple Whale, Northbeam, Rockerbox, Ruler Analytics</v>
      </c>
      <c r="I379" s="15">
        <f>IFERROR(__xludf.DUMMYFUNCTION("""COMPUTED_VALUE"""),1.0)</f>
        <v>1</v>
      </c>
      <c r="J379" s="15">
        <f>IFERROR(__xludf.DUMMYFUNCTION("""COMPUTED_VALUE"""),0.0)</f>
        <v>0</v>
      </c>
      <c r="K379" s="15">
        <f>IFERROR(__xludf.DUMMYFUNCTION("""COMPUTED_VALUE"""),1.0)</f>
        <v>1</v>
      </c>
    </row>
    <row r="380" ht="15.75" customHeight="1">
      <c r="A380" s="14" t="str">
        <f>IFERROR(__xludf.DUMMYFUNCTION("""COMPUTED_VALUE"""),"https://www.cometly.com/post/media-buying-optimization-tool")</f>
        <v>https://www.cometly.com/post/media-buying-optimization-tool</v>
      </c>
      <c r="B380" s="15" t="str">
        <f>IFERROR(__xludf.DUMMYFUNCTION("""COMPUTED_VALUE"""),"Best Media Buying Optimization Tool for Ad Teams 2026")</f>
        <v>Best Media Buying Optimization Tool for Ad Teams 2026</v>
      </c>
      <c r="C380" s="14" t="str">
        <f>IFERROR(__xludf.DUMMYFUNCTION("""COMPUTED_VALUE"""),"cometly.com")</f>
        <v>cometly.com</v>
      </c>
      <c r="D380" s="15" t="str">
        <f>IFERROR(__xludf.DUMMYFUNCTION("""COMPUTED_VALUE"""),"LISTICLE")</f>
        <v>LISTICLE</v>
      </c>
      <c r="E380" s="15" t="str">
        <f>IFERROR(__xludf.DUMMYFUNCTION("""COMPUTED_VALUE"""),"COMPETITOR")</f>
        <v>COMPETITOR</v>
      </c>
      <c r="F380" s="15" t="str">
        <f>IFERROR(__xludf.DUMMYFUNCTION("""COMPUTED_VALUE"""),"Listicle")</f>
        <v>Listicle</v>
      </c>
      <c r="G380" s="15" t="b">
        <f>IFERROR(__xludf.DUMMYFUNCTION("""COMPUTED_VALUE"""),FALSE)</f>
        <v>0</v>
      </c>
      <c r="H380" s="15" t="str">
        <f>IFERROR(__xludf.DUMMYFUNCTION("""COMPUTED_VALUE"""),"Cometly, Momentum, Northbeam")</f>
        <v>Cometly, Momentum, Northbeam</v>
      </c>
      <c r="I380" s="15">
        <f>IFERROR(__xludf.DUMMYFUNCTION("""COMPUTED_VALUE"""),1.0)</f>
        <v>1</v>
      </c>
      <c r="J380" s="15">
        <f>IFERROR(__xludf.DUMMYFUNCTION("""COMPUTED_VALUE"""),0.0)</f>
        <v>0</v>
      </c>
      <c r="K380" s="15">
        <f>IFERROR(__xludf.DUMMYFUNCTION("""COMPUTED_VALUE"""),0.0)</f>
        <v>0</v>
      </c>
    </row>
    <row r="381" ht="15.75" customHeight="1">
      <c r="A381" s="14" t="str">
        <f>IFERROR(__xludf.DUMMYFUNCTION("""COMPUTED_VALUE"""),"https://www.cometly.com/post/tools-for-marketing-analytics")</f>
        <v>https://www.cometly.com/post/tools-for-marketing-analytics</v>
      </c>
      <c r="B381" s="15" t="str">
        <f>IFERROR(__xludf.DUMMYFUNCTION("""COMPUTED_VALUE"""),"7 Essential Tools For Marketing Analytics You Need Today")</f>
        <v>7 Essential Tools For Marketing Analytics You Need Today</v>
      </c>
      <c r="C381" s="14" t="str">
        <f>IFERROR(__xludf.DUMMYFUNCTION("""COMPUTED_VALUE"""),"cometly.com")</f>
        <v>cometly.com</v>
      </c>
      <c r="D381" s="15" t="str">
        <f>IFERROR(__xludf.DUMMYFUNCTION("""COMPUTED_VALUE"""),"LISTICLE")</f>
        <v>LISTICLE</v>
      </c>
      <c r="E381" s="15" t="str">
        <f>IFERROR(__xludf.DUMMYFUNCTION("""COMPUTED_VALUE"""),"COMPETITOR")</f>
        <v>COMPETITOR</v>
      </c>
      <c r="F381" s="15" t="str">
        <f>IFERROR(__xludf.DUMMYFUNCTION("""COMPUTED_VALUE"""),"Listicle")</f>
        <v>Listicle</v>
      </c>
      <c r="G381" s="15" t="b">
        <f>IFERROR(__xludf.DUMMYFUNCTION("""COMPUTED_VALUE"""),FALSE)</f>
        <v>0</v>
      </c>
      <c r="H381" s="15" t="str">
        <f>IFERROR(__xludf.DUMMYFUNCTION("""COMPUTED_VALUE"""),"Cometly, Impression")</f>
        <v>Cometly, Impression</v>
      </c>
      <c r="I381" s="15">
        <f>IFERROR(__xludf.DUMMYFUNCTION("""COMPUTED_VALUE"""),1.0)</f>
        <v>1</v>
      </c>
      <c r="J381" s="15">
        <f>IFERROR(__xludf.DUMMYFUNCTION("""COMPUTED_VALUE"""),0.0)</f>
        <v>0</v>
      </c>
      <c r="K381" s="15">
        <f>IFERROR(__xludf.DUMMYFUNCTION("""COMPUTED_VALUE"""),0.0)</f>
        <v>0</v>
      </c>
    </row>
    <row r="382" ht="15.75" customHeight="1">
      <c r="A382" s="14" t="str">
        <f>IFERROR(__xludf.DUMMYFUNCTION("""COMPUTED_VALUE"""),"https://companies.london/performance-marketing-companies/")</f>
        <v>https://companies.london/performance-marketing-companies/</v>
      </c>
      <c r="B382" s="15" t="str">
        <f>IFERROR(__xludf.DUMMYFUNCTION("""COMPUTED_VALUE"""),"Top 10 Performance Marketing Companies in London | ROI Driven")</f>
        <v>Top 10 Performance Marketing Companies in London | ROI Driven</v>
      </c>
      <c r="C382" s="15" t="str">
        <f>IFERROR(__xludf.DUMMYFUNCTION("""COMPUTED_VALUE"""),"companies.london")</f>
        <v>companies.london</v>
      </c>
      <c r="D382" s="15" t="str">
        <f>IFERROR(__xludf.DUMMYFUNCTION("""COMPUTED_VALUE"""),"LISTICLE")</f>
        <v>LISTICLE</v>
      </c>
      <c r="E382" s="15" t="str">
        <f>IFERROR(__xludf.DUMMYFUNCTION("""COMPUTED_VALUE"""),"REFERENCE")</f>
        <v>REFERENCE</v>
      </c>
      <c r="F382" s="15" t="str">
        <f>IFERROR(__xludf.DUMMYFUNCTION("""COMPUTED_VALUE"""),"Listicle")</f>
        <v>Listicle</v>
      </c>
      <c r="G382" s="15" t="b">
        <f>IFERROR(__xludf.DUMMYFUNCTION("""COMPUTED_VALUE"""),FALSE)</f>
        <v>0</v>
      </c>
      <c r="H382" s="15" t="str">
        <f>IFERROR(__xludf.DUMMYFUNCTION("""COMPUTED_VALUE"""),"inBeat, The Social Shepherd, PMG, Bind Media")</f>
        <v>inBeat, The Social Shepherd, PMG, Bind Media</v>
      </c>
      <c r="I382" s="15">
        <f>IFERROR(__xludf.DUMMYFUNCTION("""COMPUTED_VALUE"""),1.0)</f>
        <v>1</v>
      </c>
      <c r="J382" s="15">
        <f>IFERROR(__xludf.DUMMYFUNCTION("""COMPUTED_VALUE"""),0.0)</f>
        <v>0</v>
      </c>
      <c r="K382" s="15">
        <f>IFERROR(__xludf.DUMMYFUNCTION("""COMPUTED_VALUE"""),3.0)</f>
        <v>3</v>
      </c>
    </row>
    <row r="383" ht="15.75" customHeight="1">
      <c r="A383" s="14" t="str">
        <f>IFERROR(__xludf.DUMMYFUNCTION("""COMPUTED_VALUE"""),"https://coolnerdsmarketing.com/top-creative-agencies-us/")</f>
        <v>https://coolnerdsmarketing.com/top-creative-agencies-us/</v>
      </c>
      <c r="B383" s="15" t="str">
        <f>IFERROR(__xludf.DUMMYFUNCTION("""COMPUTED_VALUE"""),"Top 15 Creative Agencies in the U.S. (2026)")</f>
        <v>Top 15 Creative Agencies in the U.S. (2026)</v>
      </c>
      <c r="C383" s="14" t="str">
        <f>IFERROR(__xludf.DUMMYFUNCTION("""COMPUTED_VALUE"""),"coolnerdsmarketing.com")</f>
        <v>coolnerdsmarketing.com</v>
      </c>
      <c r="D383" s="15" t="str">
        <f>IFERROR(__xludf.DUMMYFUNCTION("""COMPUTED_VALUE"""),"LISTICLE")</f>
        <v>LISTICLE</v>
      </c>
      <c r="E383" s="15" t="str">
        <f>IFERROR(__xludf.DUMMYFUNCTION("""COMPUTED_VALUE"""),"CORPORATE")</f>
        <v>CORPORATE</v>
      </c>
      <c r="F383" s="15" t="str">
        <f>IFERROR(__xludf.DUMMYFUNCTION("""COMPUTED_VALUE"""),"Listicle")</f>
        <v>Listicle</v>
      </c>
      <c r="G383" s="15" t="b">
        <f>IFERROR(__xludf.DUMMYFUNCTION("""COMPUTED_VALUE"""),FALSE)</f>
        <v>0</v>
      </c>
      <c r="H383" s="15" t="str">
        <f>IFERROR(__xludf.DUMMYFUNCTION("""COMPUTED_VALUE"""),"Dentsu, Momentum")</f>
        <v>Dentsu, Momentum</v>
      </c>
      <c r="I383" s="15">
        <f>IFERROR(__xludf.DUMMYFUNCTION("""COMPUTED_VALUE"""),1.0)</f>
        <v>1</v>
      </c>
      <c r="J383" s="15">
        <f>IFERROR(__xludf.DUMMYFUNCTION("""COMPUTED_VALUE"""),0.0)</f>
        <v>0</v>
      </c>
      <c r="K383" s="15">
        <f>IFERROR(__xludf.DUMMYFUNCTION("""COMPUTED_VALUE"""),0.0)</f>
        <v>0</v>
      </c>
    </row>
    <row r="384" ht="15.75" customHeight="1">
      <c r="A384" s="14" t="str">
        <f>IFERROR(__xludf.DUMMYFUNCTION("""COMPUTED_VALUE"""),"https://www.cornishwebservices.co.uk/articles/marketing/Top-10-Social-Media-Agencies-in-the-UK-in-2026.html")</f>
        <v>https://www.cornishwebservices.co.uk/articles/marketing/Top-10-Social-Media-Agencies-in-the-UK-in-2026.html</v>
      </c>
      <c r="B384" s="15" t="str">
        <f>IFERROR(__xludf.DUMMYFUNCTION("""COMPUTED_VALUE"""),"Top 10 Social Media Agencies in the UK (2026)")</f>
        <v>Top 10 Social Media Agencies in the UK (2026)</v>
      </c>
      <c r="C384" s="14" t="str">
        <f>IFERROR(__xludf.DUMMYFUNCTION("""COMPUTED_VALUE"""),"cornishwebservices.co.uk")</f>
        <v>cornishwebservices.co.uk</v>
      </c>
      <c r="D384" s="15" t="str">
        <f>IFERROR(__xludf.DUMMYFUNCTION("""COMPUTED_VALUE"""),"LISTICLE")</f>
        <v>LISTICLE</v>
      </c>
      <c r="E384" s="15" t="str">
        <f>IFERROR(__xludf.DUMMYFUNCTION("""COMPUTED_VALUE"""),"CORPORATE")</f>
        <v>CORPORATE</v>
      </c>
      <c r="F384" s="15" t="str">
        <f>IFERROR(__xludf.DUMMYFUNCTION("""COMPUTED_VALUE"""),"Listicle")</f>
        <v>Listicle</v>
      </c>
      <c r="G384" s="15" t="b">
        <f>IFERROR(__xludf.DUMMYFUNCTION("""COMPUTED_VALUE"""),FALSE)</f>
        <v>0</v>
      </c>
      <c r="H384" s="15" t="str">
        <f>IFERROR(__xludf.DUMMYFUNCTION("""COMPUTED_VALUE"""),"Social Chain, We Are Social, Jellyfish, Passion Digital")</f>
        <v>Social Chain, We Are Social, Jellyfish, Passion Digital</v>
      </c>
      <c r="I384" s="15">
        <f>IFERROR(__xludf.DUMMYFUNCTION("""COMPUTED_VALUE"""),1.0)</f>
        <v>1</v>
      </c>
      <c r="J384" s="15">
        <f>IFERROR(__xludf.DUMMYFUNCTION("""COMPUTED_VALUE"""),0.0)</f>
        <v>0</v>
      </c>
      <c r="K384" s="15">
        <f>IFERROR(__xludf.DUMMYFUNCTION("""COMPUTED_VALUE"""),0.0)</f>
        <v>0</v>
      </c>
    </row>
    <row r="385" ht="15.75" customHeight="1">
      <c r="A385" s="14" t="str">
        <f>IFERROR(__xludf.DUMMYFUNCTION("""COMPUTED_VALUE"""),"https://www.cornishwebservices.co.uk/articles/marketing/Top-Digital-Marketing-Agencies-in-the-UK.html")</f>
        <v>https://www.cornishwebservices.co.uk/articles/marketing/Top-Digital-Marketing-Agencies-in-the-UK.html</v>
      </c>
      <c r="B385" s="15" t="str">
        <f>IFERROR(__xludf.DUMMYFUNCTION("""COMPUTED_VALUE"""),"Top Digital Marketing Agencies in the UK (2026)")</f>
        <v>Top Digital Marketing Agencies in the UK (2026)</v>
      </c>
      <c r="C385" s="14" t="str">
        <f>IFERROR(__xludf.DUMMYFUNCTION("""COMPUTED_VALUE"""),"cornishwebservices.co.uk")</f>
        <v>cornishwebservices.co.uk</v>
      </c>
      <c r="D385" s="15" t="str">
        <f>IFERROR(__xludf.DUMMYFUNCTION("""COMPUTED_VALUE"""),"LISTICLE")</f>
        <v>LISTICLE</v>
      </c>
      <c r="E385" s="15" t="str">
        <f>IFERROR(__xludf.DUMMYFUNCTION("""COMPUTED_VALUE"""),"CORPORATE")</f>
        <v>CORPORATE</v>
      </c>
      <c r="F385" s="15" t="str">
        <f>IFERROR(__xludf.DUMMYFUNCTION("""COMPUTED_VALUE"""),"Listicle")</f>
        <v>Listicle</v>
      </c>
      <c r="G385" s="15" t="b">
        <f>IFERROR(__xludf.DUMMYFUNCTION("""COMPUTED_VALUE"""),FALSE)</f>
        <v>0</v>
      </c>
      <c r="H385" s="15" t="str">
        <f>IFERROR(__xludf.DUMMYFUNCTION("""COMPUTED_VALUE"""),"Impression, Brainlabs, Hallam, Found, Croud")</f>
        <v>Impression, Brainlabs, Hallam, Found, Croud</v>
      </c>
      <c r="I385" s="15">
        <f>IFERROR(__xludf.DUMMYFUNCTION("""COMPUTED_VALUE"""),1.0)</f>
        <v>1</v>
      </c>
      <c r="J385" s="15">
        <f>IFERROR(__xludf.DUMMYFUNCTION("""COMPUTED_VALUE"""),0.0)</f>
        <v>0</v>
      </c>
      <c r="K385" s="15">
        <f>IFERROR(__xludf.DUMMYFUNCTION("""COMPUTED_VALUE"""),0.0)</f>
        <v>0</v>
      </c>
    </row>
    <row r="386" ht="15.75" customHeight="1">
      <c r="A386" s="14" t="str">
        <f>IFERROR(__xludf.DUMMYFUNCTION("""COMPUTED_VALUE"""),"https://www.creativecorner.studio/blog/best-marketing-agencies-in-europe")</f>
        <v>https://www.creativecorner.studio/blog/best-marketing-agencies-in-europe</v>
      </c>
      <c r="B386" s="15" t="str">
        <f>IFERROR(__xludf.DUMMYFUNCTION("""COMPUTED_VALUE"""),"11 Best Marketing Agencies in Europe [2026]")</f>
        <v>11 Best Marketing Agencies in Europe [2026]</v>
      </c>
      <c r="C386" s="15" t="str">
        <f>IFERROR(__xludf.DUMMYFUNCTION("""COMPUTED_VALUE"""),"creativecorner.studio")</f>
        <v>creativecorner.studio</v>
      </c>
      <c r="D386" s="15" t="str">
        <f>IFERROR(__xludf.DUMMYFUNCTION("""COMPUTED_VALUE"""),"LISTICLE")</f>
        <v>LISTICLE</v>
      </c>
      <c r="E386" s="15" t="str">
        <f>IFERROR(__xludf.DUMMYFUNCTION("""COMPUTED_VALUE"""),"CORPORATE")</f>
        <v>CORPORATE</v>
      </c>
      <c r="F386" s="15" t="str">
        <f>IFERROR(__xludf.DUMMYFUNCTION("""COMPUTED_VALUE"""),"Listicle")</f>
        <v>Listicle</v>
      </c>
      <c r="G386" s="15" t="b">
        <f>IFERROR(__xludf.DUMMYFUNCTION("""COMPUTED_VALUE"""),FALSE)</f>
        <v>0</v>
      </c>
      <c r="H386" s="15" t="str">
        <f>IFERROR(__xludf.DUMMYFUNCTION("""COMPUTED_VALUE"""),"Found, The Social Shepherd, Saatchi &amp; Saatchi")</f>
        <v>Found, The Social Shepherd, Saatchi &amp; Saatchi</v>
      </c>
      <c r="I386" s="15">
        <f>IFERROR(__xludf.DUMMYFUNCTION("""COMPUTED_VALUE"""),1.0)</f>
        <v>1</v>
      </c>
      <c r="J386" s="15">
        <f>IFERROR(__xludf.DUMMYFUNCTION("""COMPUTED_VALUE"""),0.0)</f>
        <v>0</v>
      </c>
      <c r="K386" s="15">
        <f>IFERROR(__xludf.DUMMYFUNCTION("""COMPUTED_VALUE"""),0.0)</f>
        <v>0</v>
      </c>
    </row>
    <row r="387" ht="15.75" customHeight="1">
      <c r="A387" s="14" t="str">
        <f>IFERROR(__xludf.DUMMYFUNCTION("""COMPUTED_VALUE"""),"https://www.creativemarketingltd.co.uk/blog/top-fashion-marketing-agencies")</f>
        <v>https://www.creativemarketingltd.co.uk/blog/top-fashion-marketing-agencies</v>
      </c>
      <c r="B387" s="15" t="str">
        <f>IFERROR(__xludf.DUMMYFUNCTION("""COMPUTED_VALUE"""),"Top 20 Fashion Marketing Agencies in the UK (2026)")</f>
        <v>Top 20 Fashion Marketing Agencies in the UK (2026)</v>
      </c>
      <c r="C387" s="14" t="str">
        <f>IFERROR(__xludf.DUMMYFUNCTION("""COMPUTED_VALUE"""),"creativemarketingltd.co.uk")</f>
        <v>creativemarketingltd.co.uk</v>
      </c>
      <c r="D387" s="15" t="str">
        <f>IFERROR(__xludf.DUMMYFUNCTION("""COMPUTED_VALUE"""),"LISTICLE")</f>
        <v>LISTICLE</v>
      </c>
      <c r="E387" s="15" t="str">
        <f>IFERROR(__xludf.DUMMYFUNCTION("""COMPUTED_VALUE"""),"CORPORATE")</f>
        <v>CORPORATE</v>
      </c>
      <c r="F387" s="15" t="str">
        <f>IFERROR(__xludf.DUMMYFUNCTION("""COMPUTED_VALUE"""),"Listicle")</f>
        <v>Listicle</v>
      </c>
      <c r="G387" s="15" t="b">
        <f>IFERROR(__xludf.DUMMYFUNCTION("""COMPUTED_VALUE"""),FALSE)</f>
        <v>0</v>
      </c>
      <c r="H387" s="15"/>
      <c r="I387" s="15">
        <f>IFERROR(__xludf.DUMMYFUNCTION("""COMPUTED_VALUE"""),1.0)</f>
        <v>1</v>
      </c>
      <c r="J387" s="15">
        <f>IFERROR(__xludf.DUMMYFUNCTION("""COMPUTED_VALUE"""),0.0)</f>
        <v>0</v>
      </c>
      <c r="K387" s="15">
        <f>IFERROR(__xludf.DUMMYFUNCTION("""COMPUTED_VALUE"""),1.0)</f>
        <v>1</v>
      </c>
    </row>
    <row r="388" ht="15.75" customHeight="1">
      <c r="A388" s="14" t="str">
        <f>IFERROR(__xludf.DUMMYFUNCTION("""COMPUTED_VALUE"""),"https://www.darkroomagency.com/observatory/best-performance-marketing-agencies-in-2026")</f>
        <v>https://www.darkroomagency.com/observatory/best-performance-marketing-agencies-in-2026</v>
      </c>
      <c r="B388" s="15" t="str">
        <f>IFERROR(__xludf.DUMMYFUNCTION("""COMPUTED_VALUE"""),"Best Performance Marketing Agencies for Ecommerce in 2026")</f>
        <v>Best Performance Marketing Agencies for Ecommerce in 2026</v>
      </c>
      <c r="C388" s="14" t="str">
        <f>IFERROR(__xludf.DUMMYFUNCTION("""COMPUTED_VALUE"""),"darkroomagency.com")</f>
        <v>darkroomagency.com</v>
      </c>
      <c r="D388" s="15" t="str">
        <f>IFERROR(__xludf.DUMMYFUNCTION("""COMPUTED_VALUE"""),"LISTICLE")</f>
        <v>LISTICLE</v>
      </c>
      <c r="E388" s="15" t="str">
        <f>IFERROR(__xludf.DUMMYFUNCTION("""COMPUTED_VALUE"""),"COMPETITOR")</f>
        <v>COMPETITOR</v>
      </c>
      <c r="F388" s="15" t="str">
        <f>IFERROR(__xludf.DUMMYFUNCTION("""COMPUTED_VALUE"""),"Listicle")</f>
        <v>Listicle</v>
      </c>
      <c r="G388" s="15" t="b">
        <f>IFERROR(__xludf.DUMMYFUNCTION("""COMPUTED_VALUE"""),FALSE)</f>
        <v>0</v>
      </c>
      <c r="H388" s="15" t="str">
        <f>IFERROR(__xludf.DUMMYFUNCTION("""COMPUTED_VALUE"""),"Darkroom, Tinuiti, Wpromote, Power Digital, Common Thread Collective, Disruptive Advertising, Ignite Visibility, WebFX, Measured")</f>
        <v>Darkroom, Tinuiti, Wpromote, Power Digital, Common Thread Collective, Disruptive Advertising, Ignite Visibility, WebFX, Measured</v>
      </c>
      <c r="I388" s="15">
        <f>IFERROR(__xludf.DUMMYFUNCTION("""COMPUTED_VALUE"""),1.0)</f>
        <v>1</v>
      </c>
      <c r="J388" s="15">
        <f>IFERROR(__xludf.DUMMYFUNCTION("""COMPUTED_VALUE"""),0.0)</f>
        <v>0</v>
      </c>
      <c r="K388" s="15">
        <f>IFERROR(__xludf.DUMMYFUNCTION("""COMPUTED_VALUE"""),1.0)</f>
        <v>1</v>
      </c>
    </row>
    <row r="389" ht="15.75" customHeight="1">
      <c r="A389" s="14" t="str">
        <f>IFERROR(__xludf.DUMMYFUNCTION("""COMPUTED_VALUE"""),"https://www.dataally.ai/blog/top-paid-media-agencies")</f>
        <v>https://www.dataally.ai/blog/top-paid-media-agencies</v>
      </c>
      <c r="B389" s="15" t="str">
        <f>IFERROR(__xludf.DUMMYFUNCTION("""COMPUTED_VALUE"""),"Top 15 Paid Media Agencies in 2026")</f>
        <v>Top 15 Paid Media Agencies in 2026</v>
      </c>
      <c r="C389" s="14" t="str">
        <f>IFERROR(__xludf.DUMMYFUNCTION("""COMPUTED_VALUE"""),"dataally.ai")</f>
        <v>dataally.ai</v>
      </c>
      <c r="D389" s="15" t="str">
        <f>IFERROR(__xludf.DUMMYFUNCTION("""COMPUTED_VALUE"""),"LISTICLE")</f>
        <v>LISTICLE</v>
      </c>
      <c r="E389" s="15" t="str">
        <f>IFERROR(__xludf.DUMMYFUNCTION("""COMPUTED_VALUE"""),"CORPORATE")</f>
        <v>CORPORATE</v>
      </c>
      <c r="F389" s="15" t="str">
        <f>IFERROR(__xludf.DUMMYFUNCTION("""COMPUTED_VALUE"""),"Listicle")</f>
        <v>Listicle</v>
      </c>
      <c r="G389" s="15" t="b">
        <f>IFERROR(__xludf.DUMMYFUNCTION("""COMPUTED_VALUE"""),FALSE)</f>
        <v>0</v>
      </c>
      <c r="H389" s="15" t="str">
        <f>IFERROR(__xludf.DUMMYFUNCTION("""COMPUTED_VALUE"""),"Ninja Promo, inBeat, The Social Shepherd, Darkroom, Disruptive Advertising, NP Digital, WebFX, Found, Push")</f>
        <v>Ninja Promo, inBeat, The Social Shepherd, Darkroom, Disruptive Advertising, NP Digital, WebFX, Found, Push</v>
      </c>
      <c r="I389" s="15">
        <f>IFERROR(__xludf.DUMMYFUNCTION("""COMPUTED_VALUE"""),1.0)</f>
        <v>1</v>
      </c>
      <c r="J389" s="15">
        <f>IFERROR(__xludf.DUMMYFUNCTION("""COMPUTED_VALUE"""),0.0)</f>
        <v>0</v>
      </c>
      <c r="K389" s="15">
        <f>IFERROR(__xludf.DUMMYFUNCTION("""COMPUTED_VALUE"""),0.0)</f>
        <v>0</v>
      </c>
    </row>
    <row r="390" ht="15.75" customHeight="1">
      <c r="A390" s="14" t="str">
        <f>IFERROR(__xludf.DUMMYFUNCTION("""COMPUTED_VALUE"""),"https://www.decentriq.com/article/best-data-management-platforms")</f>
        <v>https://www.decentriq.com/article/best-data-management-platforms</v>
      </c>
      <c r="B390" s="15" t="str">
        <f>IFERROR(__xludf.DUMMYFUNCTION("""COMPUTED_VALUE"""),"Best data management platforms for advertising (2026)")</f>
        <v>Best data management platforms for advertising (2026)</v>
      </c>
      <c r="C390" s="14" t="str">
        <f>IFERROR(__xludf.DUMMYFUNCTION("""COMPUTED_VALUE"""),"decentriq.com")</f>
        <v>decentriq.com</v>
      </c>
      <c r="D390" s="15" t="str">
        <f>IFERROR(__xludf.DUMMYFUNCTION("""COMPUTED_VALUE"""),"LISTICLE")</f>
        <v>LISTICLE</v>
      </c>
      <c r="E390" s="15" t="str">
        <f>IFERROR(__xludf.DUMMYFUNCTION("""COMPUTED_VALUE"""),"CORPORATE")</f>
        <v>CORPORATE</v>
      </c>
      <c r="F390" s="15" t="str">
        <f>IFERROR(__xludf.DUMMYFUNCTION("""COMPUTED_VALUE"""),"Listicle")</f>
        <v>Listicle</v>
      </c>
      <c r="G390" s="15" t="b">
        <f>IFERROR(__xludf.DUMMYFUNCTION("""COMPUTED_VALUE"""),FALSE)</f>
        <v>0</v>
      </c>
      <c r="H390" s="15" t="str">
        <f>IFERROR(__xludf.DUMMYFUNCTION("""COMPUTED_VALUE"""),"Found, Push, Impression")</f>
        <v>Found, Push, Impression</v>
      </c>
      <c r="I390" s="15">
        <f>IFERROR(__xludf.DUMMYFUNCTION("""COMPUTED_VALUE"""),1.0)</f>
        <v>1</v>
      </c>
      <c r="J390" s="15">
        <f>IFERROR(__xludf.DUMMYFUNCTION("""COMPUTED_VALUE"""),0.0)</f>
        <v>0</v>
      </c>
      <c r="K390" s="15">
        <f>IFERROR(__xludf.DUMMYFUNCTION("""COMPUTED_VALUE"""),0.0)</f>
        <v>0</v>
      </c>
    </row>
    <row r="391" ht="15.75" customHeight="1">
      <c r="A391" s="14" t="str">
        <f>IFERROR(__xludf.DUMMYFUNCTION("""COMPUTED_VALUE"""),"https://www.dejongphillips.co.uk/2023/05/23/five-key-metrics-every-digital-marketing-agency-must-track/")</f>
        <v>https://www.dejongphillips.co.uk/2023/05/23/five-key-metrics-every-digital-marketing-agency-must-track/</v>
      </c>
      <c r="B391" s="15" t="str">
        <f>IFERROR(__xludf.DUMMYFUNCTION("""COMPUTED_VALUE"""),"Tracking the ROI of Agency Business: Essential Metrics - de Jong Phillips")</f>
        <v>Tracking the ROI of Agency Business: Essential Metrics - de Jong Phillips</v>
      </c>
      <c r="C391" s="14" t="str">
        <f>IFERROR(__xludf.DUMMYFUNCTION("""COMPUTED_VALUE"""),"dejongphillips.co.uk")</f>
        <v>dejongphillips.co.uk</v>
      </c>
      <c r="D391" s="15" t="str">
        <f>IFERROR(__xludf.DUMMYFUNCTION("""COMPUTED_VALUE"""),"LISTICLE")</f>
        <v>LISTICLE</v>
      </c>
      <c r="E391" s="15" t="str">
        <f>IFERROR(__xludf.DUMMYFUNCTION("""COMPUTED_VALUE"""),"CORPORATE")</f>
        <v>CORPORATE</v>
      </c>
      <c r="F391" s="15" t="str">
        <f>IFERROR(__xludf.DUMMYFUNCTION("""COMPUTED_VALUE"""),"Listicle")</f>
        <v>Listicle</v>
      </c>
      <c r="G391" s="15" t="b">
        <f>IFERROR(__xludf.DUMMYFUNCTION("""COMPUTED_VALUE"""),FALSE)</f>
        <v>0</v>
      </c>
      <c r="H391" s="15"/>
      <c r="I391" s="15">
        <f>IFERROR(__xludf.DUMMYFUNCTION("""COMPUTED_VALUE"""),1.0)</f>
        <v>1</v>
      </c>
      <c r="J391" s="15">
        <f>IFERROR(__xludf.DUMMYFUNCTION("""COMPUTED_VALUE"""),0.0)</f>
        <v>0</v>
      </c>
      <c r="K391" s="15">
        <f>IFERROR(__xludf.DUMMYFUNCTION("""COMPUTED_VALUE"""),1.0)</f>
        <v>1</v>
      </c>
    </row>
    <row r="392" ht="15.75" customHeight="1">
      <c r="A392" s="14" t="str">
        <f>IFERROR(__xludf.DUMMYFUNCTION("""COMPUTED_VALUE"""),"https://delivix.digital/marketing/marketing-agencies-in-the-uk/")</f>
        <v>https://delivix.digital/marketing/marketing-agencies-in-the-uk/</v>
      </c>
      <c r="B392" s="15" t="str">
        <f>IFERROR(__xludf.DUMMYFUNCTION("""COMPUTED_VALUE"""),"Top 10 marketing agencies in the UK for business growth")</f>
        <v>Top 10 marketing agencies in the UK for business growth</v>
      </c>
      <c r="C392" s="15" t="str">
        <f>IFERROR(__xludf.DUMMYFUNCTION("""COMPUTED_VALUE"""),"delivix.digital")</f>
        <v>delivix.digital</v>
      </c>
      <c r="D392" s="15" t="str">
        <f>IFERROR(__xludf.DUMMYFUNCTION("""COMPUTED_VALUE"""),"LISTICLE")</f>
        <v>LISTICLE</v>
      </c>
      <c r="E392" s="15" t="str">
        <f>IFERROR(__xludf.DUMMYFUNCTION("""COMPUTED_VALUE"""),"CORPORATE")</f>
        <v>CORPORATE</v>
      </c>
      <c r="F392" s="15" t="str">
        <f>IFERROR(__xludf.DUMMYFUNCTION("""COMPUTED_VALUE"""),"Listicle")</f>
        <v>Listicle</v>
      </c>
      <c r="G392" s="15" t="b">
        <f>IFERROR(__xludf.DUMMYFUNCTION("""COMPUTED_VALUE"""),FALSE)</f>
        <v>0</v>
      </c>
      <c r="H392" s="15" t="str">
        <f>IFERROR(__xludf.DUMMYFUNCTION("""COMPUTED_VALUE"""),"The Good Marketer, Passion Digital, Found")</f>
        <v>The Good Marketer, Passion Digital, Found</v>
      </c>
      <c r="I392" s="15">
        <f>IFERROR(__xludf.DUMMYFUNCTION("""COMPUTED_VALUE"""),1.0)</f>
        <v>1</v>
      </c>
      <c r="J392" s="15">
        <f>IFERROR(__xludf.DUMMYFUNCTION("""COMPUTED_VALUE"""),0.0)</f>
        <v>0</v>
      </c>
      <c r="K392" s="15">
        <f>IFERROR(__xludf.DUMMYFUNCTION("""COMPUTED_VALUE"""),1.0)</f>
        <v>1</v>
      </c>
    </row>
    <row r="393" ht="15.75" customHeight="1">
      <c r="A393" s="14" t="str">
        <f>IFERROR(__xludf.DUMMYFUNCTION("""COMPUTED_VALUE"""),"https://www.delve.ai/blog/audience-insights-tools")</f>
        <v>https://www.delve.ai/blog/audience-insights-tools</v>
      </c>
      <c r="B393" s="15" t="str">
        <f>IFERROR(__xludf.DUMMYFUNCTION("""COMPUTED_VALUE"""),"Top 13 Audience Insights Tools For Marketers in 2026 [Free+Paid]")</f>
        <v>Top 13 Audience Insights Tools For Marketers in 2026 [Free+Paid]</v>
      </c>
      <c r="C393" s="14" t="str">
        <f>IFERROR(__xludf.DUMMYFUNCTION("""COMPUTED_VALUE"""),"delve.ai")</f>
        <v>delve.ai</v>
      </c>
      <c r="D393" s="15" t="str">
        <f>IFERROR(__xludf.DUMMYFUNCTION("""COMPUTED_VALUE"""),"LISTICLE")</f>
        <v>LISTICLE</v>
      </c>
      <c r="E393" s="15" t="str">
        <f>IFERROR(__xludf.DUMMYFUNCTION("""COMPUTED_VALUE"""),"CORPORATE")</f>
        <v>CORPORATE</v>
      </c>
      <c r="F393" s="15" t="str">
        <f>IFERROR(__xludf.DUMMYFUNCTION("""COMPUTED_VALUE"""),"Listicle")</f>
        <v>Listicle</v>
      </c>
      <c r="G393" s="15" t="b">
        <f>IFERROR(__xludf.DUMMYFUNCTION("""COMPUTED_VALUE"""),FALSE)</f>
        <v>0</v>
      </c>
      <c r="H393" s="15" t="str">
        <f>IFERROR(__xludf.DUMMYFUNCTION("""COMPUTED_VALUE"""),"Momentum, YouGov")</f>
        <v>Momentum, YouGov</v>
      </c>
      <c r="I393" s="15">
        <f>IFERROR(__xludf.DUMMYFUNCTION("""COMPUTED_VALUE"""),1.0)</f>
        <v>1</v>
      </c>
      <c r="J393" s="15">
        <f>IFERROR(__xludf.DUMMYFUNCTION("""COMPUTED_VALUE"""),0.0)</f>
        <v>0</v>
      </c>
      <c r="K393" s="15">
        <f>IFERROR(__xludf.DUMMYFUNCTION("""COMPUTED_VALUE"""),1.0)</f>
        <v>1</v>
      </c>
    </row>
    <row r="394" ht="15.75" customHeight="1">
      <c r="A394" s="14" t="str">
        <f>IFERROR(__xludf.DUMMYFUNCTION("""COMPUTED_VALUE"""),"https://www.designity.com/blog/ai-marketing-agency")</f>
        <v>https://www.designity.com/blog/ai-marketing-agency</v>
      </c>
      <c r="B394" s="15" t="str">
        <f>IFERROR(__xludf.DUMMYFUNCTION("""COMPUTED_VALUE"""),"10 Powerhouse AI Marketing Agencies Leading the Future - Designity")</f>
        <v>10 Powerhouse AI Marketing Agencies Leading the Future - Designity</v>
      </c>
      <c r="C394" s="14" t="str">
        <f>IFERROR(__xludf.DUMMYFUNCTION("""COMPUTED_VALUE"""),"designity.com")</f>
        <v>designity.com</v>
      </c>
      <c r="D394" s="15" t="str">
        <f>IFERROR(__xludf.DUMMYFUNCTION("""COMPUTED_VALUE"""),"LISTICLE")</f>
        <v>LISTICLE</v>
      </c>
      <c r="E394" s="15" t="str">
        <f>IFERROR(__xludf.DUMMYFUNCTION("""COMPUTED_VALUE"""),"CORPORATE")</f>
        <v>CORPORATE</v>
      </c>
      <c r="F394" s="15" t="str">
        <f>IFERROR(__xludf.DUMMYFUNCTION("""COMPUTED_VALUE"""),"Listicle")</f>
        <v>Listicle</v>
      </c>
      <c r="G394" s="15" t="b">
        <f>IFERROR(__xludf.DUMMYFUNCTION("""COMPUTED_VALUE"""),FALSE)</f>
        <v>0</v>
      </c>
      <c r="H394" s="15" t="str">
        <f>IFERROR(__xludf.DUMMYFUNCTION("""COMPUTED_VALUE"""),"Single Grain, Omniscient Digital, NoGood, Siege Media, Jellyfish, Momentum, Found")</f>
        <v>Single Grain, Omniscient Digital, NoGood, Siege Media, Jellyfish, Momentum, Found</v>
      </c>
      <c r="I394" s="15">
        <f>IFERROR(__xludf.DUMMYFUNCTION("""COMPUTED_VALUE"""),1.0)</f>
        <v>1</v>
      </c>
      <c r="J394" s="15">
        <f>IFERROR(__xludf.DUMMYFUNCTION("""COMPUTED_VALUE"""),0.0)</f>
        <v>0</v>
      </c>
      <c r="K394" s="15">
        <f>IFERROR(__xludf.DUMMYFUNCTION("""COMPUTED_VALUE"""),0.0)</f>
        <v>0</v>
      </c>
    </row>
    <row r="395" ht="15.75" customHeight="1">
      <c r="A395" s="14" t="str">
        <f>IFERROR(__xludf.DUMMYFUNCTION("""COMPUTED_VALUE"""),"https://www.designrush.com/agency/digital-marketing/integrated-marketing")</f>
        <v>https://www.designrush.com/agency/digital-marketing/integrated-marketing</v>
      </c>
      <c r="B395" s="15" t="str">
        <f>IFERROR(__xludf.DUMMYFUNCTION("""COMPUTED_VALUE"""),"Top Integrated Marketing Agencies in 2026")</f>
        <v>Top Integrated Marketing Agencies in 2026</v>
      </c>
      <c r="C395" s="14" t="str">
        <f>IFERROR(__xludf.DUMMYFUNCTION("""COMPUTED_VALUE"""),"designrush.com")</f>
        <v>designrush.com</v>
      </c>
      <c r="D395" s="15" t="str">
        <f>IFERROR(__xludf.DUMMYFUNCTION("""COMPUTED_VALUE"""),"LISTICLE")</f>
        <v>LISTICLE</v>
      </c>
      <c r="E395" s="15" t="str">
        <f>IFERROR(__xludf.DUMMYFUNCTION("""COMPUTED_VALUE"""),"CORPORATE")</f>
        <v>CORPORATE</v>
      </c>
      <c r="F395" s="15" t="str">
        <f>IFERROR(__xludf.DUMMYFUNCTION("""COMPUTED_VALUE"""),"Listicle")</f>
        <v>Listicle</v>
      </c>
      <c r="G395" s="15" t="b">
        <f>IFERROR(__xludf.DUMMYFUNCTION("""COMPUTED_VALUE"""),FALSE)</f>
        <v>0</v>
      </c>
      <c r="H395" s="15" t="str">
        <f>IFERROR(__xludf.DUMMYFUNCTION("""COMPUTED_VALUE"""),"Momentum, PwC, Wpromote")</f>
        <v>Momentum, PwC, Wpromote</v>
      </c>
      <c r="I395" s="15">
        <f>IFERROR(__xludf.DUMMYFUNCTION("""COMPUTED_VALUE"""),1.0)</f>
        <v>1</v>
      </c>
      <c r="J395" s="15">
        <f>IFERROR(__xludf.DUMMYFUNCTION("""COMPUTED_VALUE"""),0.0)</f>
        <v>0</v>
      </c>
      <c r="K395" s="15">
        <f>IFERROR(__xludf.DUMMYFUNCTION("""COMPUTED_VALUE"""),0.0)</f>
        <v>0</v>
      </c>
    </row>
    <row r="396" ht="15.75" customHeight="1">
      <c r="A396" s="14" t="str">
        <f>IFERROR(__xludf.DUMMYFUNCTION("""COMPUTED_VALUE"""),"https://www.devopsschool.com/blog/top-10-brand-tracking-tools-features-pros-cons-comparison/")</f>
        <v>https://www.devopsschool.com/blog/top-10-brand-tracking-tools-features-pros-cons-comparison/</v>
      </c>
      <c r="B396" s="15" t="str">
        <f>IFERROR(__xludf.DUMMYFUNCTION("""COMPUTED_VALUE"""),"Top 10 Brand Tracking Tools: Features, Pros, Cons &amp;amp; Comparison")</f>
        <v>Top 10 Brand Tracking Tools: Features, Pros, Cons &amp;amp; Comparison</v>
      </c>
      <c r="C396" s="14" t="str">
        <f>IFERROR(__xludf.DUMMYFUNCTION("""COMPUTED_VALUE"""),"devopsschool.com")</f>
        <v>devopsschool.com</v>
      </c>
      <c r="D396" s="15" t="str">
        <f>IFERROR(__xludf.DUMMYFUNCTION("""COMPUTED_VALUE"""),"LISTICLE")</f>
        <v>LISTICLE</v>
      </c>
      <c r="E396" s="15" t="str">
        <f>IFERROR(__xludf.DUMMYFUNCTION("""COMPUTED_VALUE"""),"INSTITUTIONAL")</f>
        <v>INSTITUTIONAL</v>
      </c>
      <c r="F396" s="15" t="str">
        <f>IFERROR(__xludf.DUMMYFUNCTION("""COMPUTED_VALUE"""),"Listicle")</f>
        <v>Listicle</v>
      </c>
      <c r="G396" s="15" t="b">
        <f>IFERROR(__xludf.DUMMYFUNCTION("""COMPUTED_VALUE"""),FALSE)</f>
        <v>0</v>
      </c>
      <c r="H396" s="15" t="str">
        <f>IFERROR(__xludf.DUMMYFUNCTION("""COMPUTED_VALUE"""),"YouGov, Kantar")</f>
        <v>YouGov, Kantar</v>
      </c>
      <c r="I396" s="15">
        <f>IFERROR(__xludf.DUMMYFUNCTION("""COMPUTED_VALUE"""),1.0)</f>
        <v>1</v>
      </c>
      <c r="J396" s="15">
        <f>IFERROR(__xludf.DUMMYFUNCTION("""COMPUTED_VALUE"""),0.0)</f>
        <v>0</v>
      </c>
      <c r="K396" s="15">
        <f>IFERROR(__xludf.DUMMYFUNCTION("""COMPUTED_VALUE"""),1.0)</f>
        <v>1</v>
      </c>
    </row>
    <row r="397" ht="15.75" customHeight="1">
      <c r="A397" s="14" t="str">
        <f>IFERROR(__xludf.DUMMYFUNCTION("""COMPUTED_VALUE"""),"https://devsdata.com/digital-analytics-agency-top-firms/")</f>
        <v>https://devsdata.com/digital-analytics-agency-top-firms/</v>
      </c>
      <c r="B397" s="15" t="str">
        <f>IFERROR(__xludf.DUMMYFUNCTION("""COMPUTED_VALUE"""),"Digital Analytics Agency: Top 8 Firms")</f>
        <v>Digital Analytics Agency: Top 8 Firms</v>
      </c>
      <c r="C397" s="14" t="str">
        <f>IFERROR(__xludf.DUMMYFUNCTION("""COMPUTED_VALUE"""),"devsdata.com")</f>
        <v>devsdata.com</v>
      </c>
      <c r="D397" s="15" t="str">
        <f>IFERROR(__xludf.DUMMYFUNCTION("""COMPUTED_VALUE"""),"LISTICLE")</f>
        <v>LISTICLE</v>
      </c>
      <c r="E397" s="15" t="str">
        <f>IFERROR(__xludf.DUMMYFUNCTION("""COMPUTED_VALUE"""),"CORPORATE")</f>
        <v>CORPORATE</v>
      </c>
      <c r="F397" s="15" t="str">
        <f>IFERROR(__xludf.DUMMYFUNCTION("""COMPUTED_VALUE"""),"Listicle")</f>
        <v>Listicle</v>
      </c>
      <c r="G397" s="15" t="b">
        <f>IFERROR(__xludf.DUMMYFUNCTION("""COMPUTED_VALUE"""),FALSE)</f>
        <v>0</v>
      </c>
      <c r="H397" s="15" t="str">
        <f>IFERROR(__xludf.DUMMYFUNCTION("""COMPUTED_VALUE"""),"Impression")</f>
        <v>Impression</v>
      </c>
      <c r="I397" s="15">
        <f>IFERROR(__xludf.DUMMYFUNCTION("""COMPUTED_VALUE"""),1.0)</f>
        <v>1</v>
      </c>
      <c r="J397" s="15">
        <f>IFERROR(__xludf.DUMMYFUNCTION("""COMPUTED_VALUE"""),0.0)</f>
        <v>0</v>
      </c>
      <c r="K397" s="15">
        <f>IFERROR(__xludf.DUMMYFUNCTION("""COMPUTED_VALUE"""),1.0)</f>
        <v>1</v>
      </c>
    </row>
    <row r="398" ht="15.75" customHeight="1">
      <c r="A398" s="14" t="str">
        <f>IFERROR(__xludf.DUMMYFUNCTION("""COMPUTED_VALUE"""),"https://www.digitallitmus.com/blog/best-linkedin-marketing-agencies-for-2024")</f>
        <v>https://www.digitallitmus.com/blog/best-linkedin-marketing-agencies-for-2024</v>
      </c>
      <c r="B398" s="15" t="str">
        <f>IFERROR(__xludf.DUMMYFUNCTION("""COMPUTED_VALUE"""),"Best LinkedIn Marketing Agencies in the UK (2025)")</f>
        <v>Best LinkedIn Marketing Agencies in the UK (2025)</v>
      </c>
      <c r="C398" s="14" t="str">
        <f>IFERROR(__xludf.DUMMYFUNCTION("""COMPUTED_VALUE"""),"digitallitmus.com")</f>
        <v>digitallitmus.com</v>
      </c>
      <c r="D398" s="15" t="str">
        <f>IFERROR(__xludf.DUMMYFUNCTION("""COMPUTED_VALUE"""),"LISTICLE")</f>
        <v>LISTICLE</v>
      </c>
      <c r="E398" s="15" t="str">
        <f>IFERROR(__xludf.DUMMYFUNCTION("""COMPUTED_VALUE"""),"CORPORATE")</f>
        <v>CORPORATE</v>
      </c>
      <c r="F398" s="15" t="str">
        <f>IFERROR(__xludf.DUMMYFUNCTION("""COMPUTED_VALUE"""),"Listicle")</f>
        <v>Listicle</v>
      </c>
      <c r="G398" s="15" t="b">
        <f>IFERROR(__xludf.DUMMYFUNCTION("""COMPUTED_VALUE"""),FALSE)</f>
        <v>0</v>
      </c>
      <c r="H398" s="15" t="str">
        <f>IFERROR(__xludf.DUMMYFUNCTION("""COMPUTED_VALUE"""),"The Good Marketer, Disruptive Advertising, The Social Shepherd")</f>
        <v>The Good Marketer, Disruptive Advertising, The Social Shepherd</v>
      </c>
      <c r="I398" s="15">
        <f>IFERROR(__xludf.DUMMYFUNCTION("""COMPUTED_VALUE"""),1.0)</f>
        <v>1</v>
      </c>
      <c r="J398" s="15">
        <f>IFERROR(__xludf.DUMMYFUNCTION("""COMPUTED_VALUE"""),0.0)</f>
        <v>0</v>
      </c>
      <c r="K398" s="15">
        <f>IFERROR(__xludf.DUMMYFUNCTION("""COMPUTED_VALUE"""),1.0)</f>
        <v>1</v>
      </c>
    </row>
    <row r="399" ht="15.75" customHeight="1">
      <c r="A399" s="14" t="str">
        <f>IFERROR(__xludf.DUMMYFUNCTION("""COMPUTED_VALUE"""),"https://www.digitalreference.co/insights/engineering-professionals/best-ai-machine-learning-consulting-services-in-the-uk")</f>
        <v>https://www.digitalreference.co/insights/engineering-professionals/best-ai-machine-learning-consulting-services-in-the-uk</v>
      </c>
      <c r="B399" s="15" t="str">
        <f>IFERROR(__xludf.DUMMYFUNCTION("""COMPUTED_VALUE"""),"Top United Kingdom AI &amp;amp; Machine Learning Consultants")</f>
        <v>Top United Kingdom AI &amp;amp; Machine Learning Consultants</v>
      </c>
      <c r="C399" s="14" t="str">
        <f>IFERROR(__xludf.DUMMYFUNCTION("""COMPUTED_VALUE"""),"digitalreference.co")</f>
        <v>digitalreference.co</v>
      </c>
      <c r="D399" s="15" t="str">
        <f>IFERROR(__xludf.DUMMYFUNCTION("""COMPUTED_VALUE"""),"LISTICLE")</f>
        <v>LISTICLE</v>
      </c>
      <c r="E399" s="15" t="str">
        <f>IFERROR(__xludf.DUMMYFUNCTION("""COMPUTED_VALUE"""),"UGC")</f>
        <v>UGC</v>
      </c>
      <c r="F399" s="15" t="str">
        <f>IFERROR(__xludf.DUMMYFUNCTION("""COMPUTED_VALUE"""),"Listicle")</f>
        <v>Listicle</v>
      </c>
      <c r="G399" s="15" t="b">
        <f>IFERROR(__xludf.DUMMYFUNCTION("""COMPUTED_VALUE"""),FALSE)</f>
        <v>0</v>
      </c>
      <c r="H399" s="15" t="str">
        <f>IFERROR(__xludf.DUMMYFUNCTION("""COMPUTED_VALUE"""),"Push")</f>
        <v>Push</v>
      </c>
      <c r="I399" s="15">
        <f>IFERROR(__xludf.DUMMYFUNCTION("""COMPUTED_VALUE"""),1.0)</f>
        <v>1</v>
      </c>
      <c r="J399" s="15">
        <f>IFERROR(__xludf.DUMMYFUNCTION("""COMPUTED_VALUE"""),0.0)</f>
        <v>0</v>
      </c>
      <c r="K399" s="15">
        <f>IFERROR(__xludf.DUMMYFUNCTION("""COMPUTED_VALUE"""),0.0)</f>
        <v>0</v>
      </c>
    </row>
    <row r="400" ht="15.75" customHeight="1">
      <c r="A400" s="14" t="str">
        <f>IFERROR(__xludf.DUMMYFUNCTION("""COMPUTED_VALUE"""),"https://directiveconsulting.com/blog/17-leading-llm-agencies-powering-ai-innovation-for-modern-b2b-teams/")</f>
        <v>https://directiveconsulting.com/blog/17-leading-llm-agencies-powering-ai-innovation-for-modern-b2b-teams/</v>
      </c>
      <c r="B400" s="15" t="str">
        <f>IFERROR(__xludf.DUMMYFUNCTION("""COMPUTED_VALUE"""),"17 Best LLM Agencies For B2B - Directive")</f>
        <v>17 Best LLM Agencies For B2B - Directive</v>
      </c>
      <c r="C400" s="14" t="str">
        <f>IFERROR(__xludf.DUMMYFUNCTION("""COMPUTED_VALUE"""),"directiveconsulting.com")</f>
        <v>directiveconsulting.com</v>
      </c>
      <c r="D400" s="15" t="str">
        <f>IFERROR(__xludf.DUMMYFUNCTION("""COMPUTED_VALUE"""),"LISTICLE")</f>
        <v>LISTICLE</v>
      </c>
      <c r="E400" s="15" t="str">
        <f>IFERROR(__xludf.DUMMYFUNCTION("""COMPUTED_VALUE"""),"COMPETITOR")</f>
        <v>COMPETITOR</v>
      </c>
      <c r="F400" s="15" t="str">
        <f>IFERROR(__xludf.DUMMYFUNCTION("""COMPUTED_VALUE"""),"Listicle")</f>
        <v>Listicle</v>
      </c>
      <c r="G400" s="15" t="b">
        <f>IFERROR(__xludf.DUMMYFUNCTION("""COMPUTED_VALUE"""),FALSE)</f>
        <v>0</v>
      </c>
      <c r="H400" s="15" t="str">
        <f>IFERROR(__xludf.DUMMYFUNCTION("""COMPUTED_VALUE"""),"Directive Consulting, Measured, Momentum")</f>
        <v>Directive Consulting, Measured, Momentum</v>
      </c>
      <c r="I400" s="15">
        <f>IFERROR(__xludf.DUMMYFUNCTION("""COMPUTED_VALUE"""),1.0)</f>
        <v>1</v>
      </c>
      <c r="J400" s="15">
        <f>IFERROR(__xludf.DUMMYFUNCTION("""COMPUTED_VALUE"""),0.0)</f>
        <v>0</v>
      </c>
      <c r="K400" s="15">
        <f>IFERROR(__xludf.DUMMYFUNCTION("""COMPUTED_VALUE"""),0.0)</f>
        <v>0</v>
      </c>
    </row>
    <row r="401" ht="15.75" customHeight="1">
      <c r="A401" s="14" t="str">
        <f>IFERROR(__xludf.DUMMYFUNCTION("""COMPUTED_VALUE"""),"https://directiveconsulting.com/blog/25-best-advertising-agencies-built-for-media-momentum/")</f>
        <v>https://directiveconsulting.com/blog/25-best-advertising-agencies-built-for-media-momentum/</v>
      </c>
      <c r="B401" s="15" t="str">
        <f>IFERROR(__xludf.DUMMYFUNCTION("""COMPUTED_VALUE"""),"25 Best Advertising Agencies For B2B - Directive")</f>
        <v>25 Best Advertising Agencies For B2B - Directive</v>
      </c>
      <c r="C401" s="14" t="str">
        <f>IFERROR(__xludf.DUMMYFUNCTION("""COMPUTED_VALUE"""),"directiveconsulting.com")</f>
        <v>directiveconsulting.com</v>
      </c>
      <c r="D401" s="15" t="str">
        <f>IFERROR(__xludf.DUMMYFUNCTION("""COMPUTED_VALUE"""),"LISTICLE")</f>
        <v>LISTICLE</v>
      </c>
      <c r="E401" s="15" t="str">
        <f>IFERROR(__xludf.DUMMYFUNCTION("""COMPUTED_VALUE"""),"COMPETITOR")</f>
        <v>COMPETITOR</v>
      </c>
      <c r="F401" s="15" t="str">
        <f>IFERROR(__xludf.DUMMYFUNCTION("""COMPUTED_VALUE"""),"Listicle")</f>
        <v>Listicle</v>
      </c>
      <c r="G401" s="15" t="b">
        <f>IFERROR(__xludf.DUMMYFUNCTION("""COMPUTED_VALUE"""),FALSE)</f>
        <v>0</v>
      </c>
      <c r="H401" s="15" t="str">
        <f>IFERROR(__xludf.DUMMYFUNCTION("""COMPUTED_VALUE"""),"Directive Consulting, Momentum, Tinuiti, PMG, Jellyfish, Wpromote, Merkle, Croud, Impression, Monks, AKQA, Measured")</f>
        <v>Directive Consulting, Momentum, Tinuiti, PMG, Jellyfish, Wpromote, Merkle, Croud, Impression, Monks, AKQA, Measured</v>
      </c>
      <c r="I401" s="15">
        <f>IFERROR(__xludf.DUMMYFUNCTION("""COMPUTED_VALUE"""),1.0)</f>
        <v>1</v>
      </c>
      <c r="J401" s="15">
        <f>IFERROR(__xludf.DUMMYFUNCTION("""COMPUTED_VALUE"""),0.0)</f>
        <v>0</v>
      </c>
      <c r="K401" s="15">
        <f>IFERROR(__xludf.DUMMYFUNCTION("""COMPUTED_VALUE"""),0.0)</f>
        <v>0</v>
      </c>
    </row>
    <row r="402" ht="15.75" customHeight="1">
      <c r="A402" s="14" t="str">
        <f>IFERROR(__xludf.DUMMYFUNCTION("""COMPUTED_VALUE"""),"https://directiveconsulting.com/blog/25-best-paid-media-agencies-that-turn-ad-spend-into-revenue/")</f>
        <v>https://directiveconsulting.com/blog/25-best-paid-media-agencies-that-turn-ad-spend-into-revenue/</v>
      </c>
      <c r="B402" s="15" t="str">
        <f>IFERROR(__xludf.DUMMYFUNCTION("""COMPUTED_VALUE"""),"25 Best Paid Media Agencies For B2B - Directive")</f>
        <v>25 Best Paid Media Agencies For B2B - Directive</v>
      </c>
      <c r="C402" s="14" t="str">
        <f>IFERROR(__xludf.DUMMYFUNCTION("""COMPUTED_VALUE"""),"directiveconsulting.com")</f>
        <v>directiveconsulting.com</v>
      </c>
      <c r="D402" s="15" t="str">
        <f>IFERROR(__xludf.DUMMYFUNCTION("""COMPUTED_VALUE"""),"LISTICLE")</f>
        <v>LISTICLE</v>
      </c>
      <c r="E402" s="15" t="str">
        <f>IFERROR(__xludf.DUMMYFUNCTION("""COMPUTED_VALUE"""),"COMPETITOR")</f>
        <v>COMPETITOR</v>
      </c>
      <c r="F402" s="15" t="str">
        <f>IFERROR(__xludf.DUMMYFUNCTION("""COMPUTED_VALUE"""),"Listicle")</f>
        <v>Listicle</v>
      </c>
      <c r="G402" s="15" t="b">
        <f>IFERROR(__xludf.DUMMYFUNCTION("""COMPUTED_VALUE"""),FALSE)</f>
        <v>0</v>
      </c>
      <c r="H402" s="15" t="str">
        <f>IFERROR(__xludf.DUMMYFUNCTION("""COMPUTED_VALUE"""),"Directive Consulting, Jellyfish, Brainlabs, Dept, Wpromote, Merkle, WebFX, Disruptive Advertising, Dentsu, Impression")</f>
        <v>Directive Consulting, Jellyfish, Brainlabs, Dept, Wpromote, Merkle, WebFX, Disruptive Advertising, Dentsu, Impression</v>
      </c>
      <c r="I402" s="15">
        <f>IFERROR(__xludf.DUMMYFUNCTION("""COMPUTED_VALUE"""),1.0)</f>
        <v>1</v>
      </c>
      <c r="J402" s="15">
        <f>IFERROR(__xludf.DUMMYFUNCTION("""COMPUTED_VALUE"""),0.0)</f>
        <v>0</v>
      </c>
      <c r="K402" s="15">
        <f>IFERROR(__xludf.DUMMYFUNCTION("""COMPUTED_VALUE"""),0.0)</f>
        <v>0</v>
      </c>
    </row>
    <row r="403" ht="15.75" customHeight="1">
      <c r="A403" s="14" t="str">
        <f>IFERROR(__xludf.DUMMYFUNCTION("""COMPUTED_VALUE"""),"https://directiveconsulting.com/uk/blog/top-25-b2b-enterprise-marketing-agencies/")</f>
        <v>https://directiveconsulting.com/uk/blog/top-25-b2b-enterprise-marketing-agencies/</v>
      </c>
      <c r="B403" s="15" t="str">
        <f>IFERROR(__xludf.DUMMYFUNCTION("""COMPUTED_VALUE"""),"25 Best Enterprise Marketing Agencies For B2B - Directive")</f>
        <v>25 Best Enterprise Marketing Agencies For B2B - Directive</v>
      </c>
      <c r="C403" s="14" t="str">
        <f>IFERROR(__xludf.DUMMYFUNCTION("""COMPUTED_VALUE"""),"directiveconsulting.com")</f>
        <v>directiveconsulting.com</v>
      </c>
      <c r="D403" s="15" t="str">
        <f>IFERROR(__xludf.DUMMYFUNCTION("""COMPUTED_VALUE"""),"LISTICLE")</f>
        <v>LISTICLE</v>
      </c>
      <c r="E403" s="15" t="str">
        <f>IFERROR(__xludf.DUMMYFUNCTION("""COMPUTED_VALUE"""),"COMPETITOR")</f>
        <v>COMPETITOR</v>
      </c>
      <c r="F403" s="15" t="str">
        <f>IFERROR(__xludf.DUMMYFUNCTION("""COMPUTED_VALUE"""),"Listicle")</f>
        <v>Listicle</v>
      </c>
      <c r="G403" s="15" t="b">
        <f>IFERROR(__xludf.DUMMYFUNCTION("""COMPUTED_VALUE"""),FALSE)</f>
        <v>0</v>
      </c>
      <c r="H403" s="15" t="str">
        <f>IFERROR(__xludf.DUMMYFUNCTION("""COMPUTED_VALUE"""),"Directive Consulting, Merkle, Accenture Song, Deloitte Digital, Wpromote, Dentsu, Ogilvy, Brainlabs, PwC, Monks, Momentum, Push")</f>
        <v>Directive Consulting, Merkle, Accenture Song, Deloitte Digital, Wpromote, Dentsu, Ogilvy, Brainlabs, PwC, Monks, Momentum, Push</v>
      </c>
      <c r="I403" s="15">
        <f>IFERROR(__xludf.DUMMYFUNCTION("""COMPUTED_VALUE"""),1.0)</f>
        <v>1</v>
      </c>
      <c r="J403" s="15">
        <f>IFERROR(__xludf.DUMMYFUNCTION("""COMPUTED_VALUE"""),0.0)</f>
        <v>0</v>
      </c>
      <c r="K403" s="15">
        <f>IFERROR(__xludf.DUMMYFUNCTION("""COMPUTED_VALUE"""),2.0)</f>
        <v>2</v>
      </c>
    </row>
    <row r="404" ht="15.75" customHeight="1">
      <c r="A404" s="14" t="str">
        <f>IFERROR(__xludf.DUMMYFUNCTION("""COMPUTED_VALUE"""),"https://disruptiveadvertising.com/blog/business/top-us-digital-marketing-agencies/")</f>
        <v>https://disruptiveadvertising.com/blog/business/top-us-digital-marketing-agencies/</v>
      </c>
      <c r="B404" s="15" t="str">
        <f>IFERROR(__xludf.DUMMYFUNCTION("""COMPUTED_VALUE"""),"Top U.S. Digital Marketing Agencies In 2026 | Disruptive Advertising")</f>
        <v>Top U.S. Digital Marketing Agencies In 2026 | Disruptive Advertising</v>
      </c>
      <c r="C404" s="14" t="str">
        <f>IFERROR(__xludf.DUMMYFUNCTION("""COMPUTED_VALUE"""),"disruptiveadvertising.com")</f>
        <v>disruptiveadvertising.com</v>
      </c>
      <c r="D404" s="15" t="str">
        <f>IFERROR(__xludf.DUMMYFUNCTION("""COMPUTED_VALUE"""),"LISTICLE")</f>
        <v>LISTICLE</v>
      </c>
      <c r="E404" s="15" t="str">
        <f>IFERROR(__xludf.DUMMYFUNCTION("""COMPUTED_VALUE"""),"COMPETITOR")</f>
        <v>COMPETITOR</v>
      </c>
      <c r="F404" s="15" t="str">
        <f>IFERROR(__xludf.DUMMYFUNCTION("""COMPUTED_VALUE"""),"Listicle")</f>
        <v>Listicle</v>
      </c>
      <c r="G404" s="15" t="b">
        <f>IFERROR(__xludf.DUMMYFUNCTION("""COMPUTED_VALUE"""),FALSE)</f>
        <v>0</v>
      </c>
      <c r="H404" s="15" t="str">
        <f>IFERROR(__xludf.DUMMYFUNCTION("""COMPUTED_VALUE"""),"Disruptive Advertising, inBeat")</f>
        <v>Disruptive Advertising, inBeat</v>
      </c>
      <c r="I404" s="15">
        <f>IFERROR(__xludf.DUMMYFUNCTION("""COMPUTED_VALUE"""),1.0)</f>
        <v>1</v>
      </c>
      <c r="J404" s="15">
        <f>IFERROR(__xludf.DUMMYFUNCTION("""COMPUTED_VALUE"""),0.0)</f>
        <v>0</v>
      </c>
      <c r="K404" s="15">
        <f>IFERROR(__xludf.DUMMYFUNCTION("""COMPUTED_VALUE"""),0.0)</f>
        <v>0</v>
      </c>
    </row>
    <row r="405" ht="15.75" customHeight="1">
      <c r="A405" s="14" t="str">
        <f>IFERROR(__xludf.DUMMYFUNCTION("""COMPUTED_VALUE"""),"https://eakwire.com/top-8-ai-marketing-agencies-tools-strategies/")</f>
        <v>https://eakwire.com/top-8-ai-marketing-agencies-tools-strategies/</v>
      </c>
      <c r="B405" s="15" t="str">
        <f>IFERROR(__xludf.DUMMYFUNCTION("""COMPUTED_VALUE"""),"Top 8 AI Marketing Agencies in 2026: Tools &amp;amp; Strategies")</f>
        <v>Top 8 AI Marketing Agencies in 2026: Tools &amp;amp; Strategies</v>
      </c>
      <c r="C405" s="14" t="str">
        <f>IFERROR(__xludf.DUMMYFUNCTION("""COMPUTED_VALUE"""),"eakwire.com")</f>
        <v>eakwire.com</v>
      </c>
      <c r="D405" s="15" t="str">
        <f>IFERROR(__xludf.DUMMYFUNCTION("""COMPUTED_VALUE"""),"LISTICLE")</f>
        <v>LISTICLE</v>
      </c>
      <c r="E405" s="15" t="str">
        <f>IFERROR(__xludf.DUMMYFUNCTION("""COMPUTED_VALUE"""),"CORPORATE")</f>
        <v>CORPORATE</v>
      </c>
      <c r="F405" s="15" t="str">
        <f>IFERROR(__xludf.DUMMYFUNCTION("""COMPUTED_VALUE"""),"Listicle")</f>
        <v>Listicle</v>
      </c>
      <c r="G405" s="15" t="b">
        <f>IFERROR(__xludf.DUMMYFUNCTION("""COMPUTED_VALUE"""),FALSE)</f>
        <v>0</v>
      </c>
      <c r="H405" s="15" t="str">
        <f>IFERROR(__xludf.DUMMYFUNCTION("""COMPUTED_VALUE"""),"Wpromote, Polaris, Jellyfish, NoGood, Single Grain, Tinuiti")</f>
        <v>Wpromote, Polaris, Jellyfish, NoGood, Single Grain, Tinuiti</v>
      </c>
      <c r="I405" s="15">
        <f>IFERROR(__xludf.DUMMYFUNCTION("""COMPUTED_VALUE"""),1.0)</f>
        <v>1</v>
      </c>
      <c r="J405" s="15">
        <f>IFERROR(__xludf.DUMMYFUNCTION("""COMPUTED_VALUE"""),0.0)</f>
        <v>0</v>
      </c>
      <c r="K405" s="15">
        <f>IFERROR(__xludf.DUMMYFUNCTION("""COMPUTED_VALUE"""),0.0)</f>
        <v>0</v>
      </c>
    </row>
    <row r="406" ht="15.75" customHeight="1">
      <c r="A406" s="14" t="str">
        <f>IFERROR(__xludf.DUMMYFUNCTION("""COMPUTED_VALUE"""),"https://easyinsights.ai/blog/first-party-data-activation-platforms/")</f>
        <v>https://easyinsights.ai/blog/first-party-data-activation-platforms/</v>
      </c>
      <c r="B406" s="15" t="str">
        <f>IFERROR(__xludf.DUMMYFUNCTION("""COMPUTED_VALUE"""),"First-Party Data Activation Platforms")</f>
        <v>First-Party Data Activation Platforms</v>
      </c>
      <c r="C406" s="14" t="str">
        <f>IFERROR(__xludf.DUMMYFUNCTION("""COMPUTED_VALUE"""),"easyinsights.ai")</f>
        <v>easyinsights.ai</v>
      </c>
      <c r="D406" s="15" t="str">
        <f>IFERROR(__xludf.DUMMYFUNCTION("""COMPUTED_VALUE"""),"LISTICLE")</f>
        <v>LISTICLE</v>
      </c>
      <c r="E406" s="15" t="str">
        <f>IFERROR(__xludf.DUMMYFUNCTION("""COMPUTED_VALUE"""),"CORPORATE")</f>
        <v>CORPORATE</v>
      </c>
      <c r="F406" s="15" t="str">
        <f>IFERROR(__xludf.DUMMYFUNCTION("""COMPUTED_VALUE"""),"Listicle")</f>
        <v>Listicle</v>
      </c>
      <c r="G406" s="15" t="b">
        <f>IFERROR(__xludf.DUMMYFUNCTION("""COMPUTED_VALUE"""),FALSE)</f>
        <v>0</v>
      </c>
      <c r="H406" s="15" t="str">
        <f>IFERROR(__xludf.DUMMYFUNCTION("""COMPUTED_VALUE"""),"Push")</f>
        <v>Push</v>
      </c>
      <c r="I406" s="15">
        <f>IFERROR(__xludf.DUMMYFUNCTION("""COMPUTED_VALUE"""),1.0)</f>
        <v>1</v>
      </c>
      <c r="J406" s="15">
        <f>IFERROR(__xludf.DUMMYFUNCTION("""COMPUTED_VALUE"""),0.0)</f>
        <v>0</v>
      </c>
      <c r="K406" s="15">
        <f>IFERROR(__xludf.DUMMYFUNCTION("""COMPUTED_VALUE"""),0.0)</f>
        <v>0</v>
      </c>
    </row>
    <row r="407" ht="15.75" customHeight="1">
      <c r="A407" s="14" t="str">
        <f>IFERROR(__xludf.DUMMYFUNCTION("""COMPUTED_VALUE"""),"https://www.ecomone.com/insights/ai-seo-agencies-uk/")</f>
        <v>https://www.ecomone.com/insights/ai-seo-agencies-uk/</v>
      </c>
      <c r="B407" s="15" t="str">
        <f>IFERROR(__xludf.DUMMYFUNCTION("""COMPUTED_VALUE"""),"Top 10 AI SEO Agencies in 2026 - eComOne")</f>
        <v>Top 10 AI SEO Agencies in 2026 - eComOne</v>
      </c>
      <c r="C407" s="14" t="str">
        <f>IFERROR(__xludf.DUMMYFUNCTION("""COMPUTED_VALUE"""),"ecomone.com")</f>
        <v>ecomone.com</v>
      </c>
      <c r="D407" s="15" t="str">
        <f>IFERROR(__xludf.DUMMYFUNCTION("""COMPUTED_VALUE"""),"LISTICLE")</f>
        <v>LISTICLE</v>
      </c>
      <c r="E407" s="15" t="str">
        <f>IFERROR(__xludf.DUMMYFUNCTION("""COMPUTED_VALUE"""),"CORPORATE")</f>
        <v>CORPORATE</v>
      </c>
      <c r="F407" s="15" t="str">
        <f>IFERROR(__xludf.DUMMYFUNCTION("""COMPUTED_VALUE"""),"Listicle")</f>
        <v>Listicle</v>
      </c>
      <c r="G407" s="15" t="b">
        <f>IFERROR(__xludf.DUMMYFUNCTION("""COMPUTED_VALUE"""),FALSE)</f>
        <v>0</v>
      </c>
      <c r="H407" s="15" t="str">
        <f>IFERROR(__xludf.DUMMYFUNCTION("""COMPUTED_VALUE"""),"NP Digital, Measured")</f>
        <v>NP Digital, Measured</v>
      </c>
      <c r="I407" s="15">
        <f>IFERROR(__xludf.DUMMYFUNCTION("""COMPUTED_VALUE"""),1.0)</f>
        <v>1</v>
      </c>
      <c r="J407" s="15">
        <f>IFERROR(__xludf.DUMMYFUNCTION("""COMPUTED_VALUE"""),0.0)</f>
        <v>0</v>
      </c>
      <c r="K407" s="15">
        <f>IFERROR(__xludf.DUMMYFUNCTION("""COMPUTED_VALUE"""),2.0)</f>
        <v>2</v>
      </c>
    </row>
    <row r="408" ht="15.75" customHeight="1">
      <c r="A408" s="14" t="str">
        <f>IFERROR(__xludf.DUMMYFUNCTION("""COMPUTED_VALUE"""),"https://www.ecomone.com/insights/best-facebook-advertising-agencies-uk/")</f>
        <v>https://www.ecomone.com/insights/best-facebook-advertising-agencies-uk/</v>
      </c>
      <c r="B408" s="15" t="str">
        <f>IFERROR(__xludf.DUMMYFUNCTION("""COMPUTED_VALUE"""),"10 Best Facebook Advertising Agencies in the UK 2026")</f>
        <v>10 Best Facebook Advertising Agencies in the UK 2026</v>
      </c>
      <c r="C408" s="14" t="str">
        <f>IFERROR(__xludf.DUMMYFUNCTION("""COMPUTED_VALUE"""),"ecomone.com")</f>
        <v>ecomone.com</v>
      </c>
      <c r="D408" s="15" t="str">
        <f>IFERROR(__xludf.DUMMYFUNCTION("""COMPUTED_VALUE"""),"LISTICLE")</f>
        <v>LISTICLE</v>
      </c>
      <c r="E408" s="15" t="str">
        <f>IFERROR(__xludf.DUMMYFUNCTION("""COMPUTED_VALUE"""),"CORPORATE")</f>
        <v>CORPORATE</v>
      </c>
      <c r="F408" s="15" t="str">
        <f>IFERROR(__xludf.DUMMYFUNCTION("""COMPUTED_VALUE"""),"Listicle")</f>
        <v>Listicle</v>
      </c>
      <c r="G408" s="15" t="b">
        <f>IFERROR(__xludf.DUMMYFUNCTION("""COMPUTED_VALUE"""),FALSE)</f>
        <v>0</v>
      </c>
      <c r="H408" s="15" t="str">
        <f>IFERROR(__xludf.DUMMYFUNCTION("""COMPUTED_VALUE"""),"The Social Shepherd, Push, Push Group, ClickSlice, Disruptive Advertising, Bird Marketing, The SEO Works, Triple Whale, Northbeam")</f>
        <v>The Social Shepherd, Push, Push Group, ClickSlice, Disruptive Advertising, Bird Marketing, The SEO Works, Triple Whale, Northbeam</v>
      </c>
      <c r="I408" s="15">
        <f>IFERROR(__xludf.DUMMYFUNCTION("""COMPUTED_VALUE"""),1.0)</f>
        <v>1</v>
      </c>
      <c r="J408" s="15">
        <f>IFERROR(__xludf.DUMMYFUNCTION("""COMPUTED_VALUE"""),0.0)</f>
        <v>0</v>
      </c>
      <c r="K408" s="15">
        <f>IFERROR(__xludf.DUMMYFUNCTION("""COMPUTED_VALUE"""),0.0)</f>
        <v>0</v>
      </c>
    </row>
    <row r="409" ht="15.75" customHeight="1">
      <c r="A409" s="14" t="str">
        <f>IFERROR(__xludf.DUMMYFUNCTION("""COMPUTED_VALUE"""),"https://www.ecomone.com/insights/top-best-ppc-agencies-in-the-uk-2/")</f>
        <v>https://www.ecomone.com/insights/top-best-ppc-agencies-in-the-uk-2/</v>
      </c>
      <c r="B409" s="15" t="str">
        <f>IFERROR(__xludf.DUMMYFUNCTION("""COMPUTED_VALUE"""),"Top 5 Best PPC Agencies in the UK for 2025 | eComOne")</f>
        <v>Top 5 Best PPC Agencies in the UK for 2025 | eComOne</v>
      </c>
      <c r="C409" s="14" t="str">
        <f>IFERROR(__xludf.DUMMYFUNCTION("""COMPUTED_VALUE"""),"ecomone.com")</f>
        <v>ecomone.com</v>
      </c>
      <c r="D409" s="15" t="str">
        <f>IFERROR(__xludf.DUMMYFUNCTION("""COMPUTED_VALUE"""),"LISTICLE")</f>
        <v>LISTICLE</v>
      </c>
      <c r="E409" s="15" t="str">
        <f>IFERROR(__xludf.DUMMYFUNCTION("""COMPUTED_VALUE"""),"CORPORATE")</f>
        <v>CORPORATE</v>
      </c>
      <c r="F409" s="15" t="str">
        <f>IFERROR(__xludf.DUMMYFUNCTION("""COMPUTED_VALUE"""),"Listicle")</f>
        <v>Listicle</v>
      </c>
      <c r="G409" s="15" t="b">
        <f>IFERROR(__xludf.DUMMYFUNCTION("""COMPUTED_VALUE"""),FALSE)</f>
        <v>0</v>
      </c>
      <c r="H409" s="15" t="str">
        <f>IFERROR(__xludf.DUMMYFUNCTION("""COMPUTED_VALUE"""),"PPC Geeks, Bind Media, Found")</f>
        <v>PPC Geeks, Bind Media, Found</v>
      </c>
      <c r="I409" s="15">
        <f>IFERROR(__xludf.DUMMYFUNCTION("""COMPUTED_VALUE"""),1.0)</f>
        <v>1</v>
      </c>
      <c r="J409" s="15">
        <f>IFERROR(__xludf.DUMMYFUNCTION("""COMPUTED_VALUE"""),0.0)</f>
        <v>0</v>
      </c>
      <c r="K409" s="15">
        <f>IFERROR(__xludf.DUMMYFUNCTION("""COMPUTED_VALUE"""),1.0)</f>
        <v>1</v>
      </c>
    </row>
    <row r="410" ht="15.75" customHeight="1">
      <c r="A410" s="14" t="str">
        <f>IFERROR(__xludf.DUMMYFUNCTION("""COMPUTED_VALUE"""),"https://www.enzuzo.com/blog/best-performance-marketing-agencies")</f>
        <v>https://www.enzuzo.com/blog/best-performance-marketing-agencies</v>
      </c>
      <c r="B410" s="15" t="str">
        <f>IFERROR(__xludf.DUMMYFUNCTION("""COMPUTED_VALUE"""),"9 Top Performance Marketing Agencies [2024 Review]")</f>
        <v>9 Top Performance Marketing Agencies [2024 Review]</v>
      </c>
      <c r="C410" s="14" t="str">
        <f>IFERROR(__xludf.DUMMYFUNCTION("""COMPUTED_VALUE"""),"enzuzo.com")</f>
        <v>enzuzo.com</v>
      </c>
      <c r="D410" s="15" t="str">
        <f>IFERROR(__xludf.DUMMYFUNCTION("""COMPUTED_VALUE"""),"LISTICLE")</f>
        <v>LISTICLE</v>
      </c>
      <c r="E410" s="15" t="str">
        <f>IFERROR(__xludf.DUMMYFUNCTION("""COMPUTED_VALUE"""),"CORPORATE")</f>
        <v>CORPORATE</v>
      </c>
      <c r="F410" s="15" t="str">
        <f>IFERROR(__xludf.DUMMYFUNCTION("""COMPUTED_VALUE"""),"Listicle")</f>
        <v>Listicle</v>
      </c>
      <c r="G410" s="15" t="b">
        <f>IFERROR(__xludf.DUMMYFUNCTION("""COMPUTED_VALUE"""),FALSE)</f>
        <v>0</v>
      </c>
      <c r="H410" s="15"/>
      <c r="I410" s="15">
        <f>IFERROR(__xludf.DUMMYFUNCTION("""COMPUTED_VALUE"""),1.0)</f>
        <v>1</v>
      </c>
      <c r="J410" s="15">
        <f>IFERROR(__xludf.DUMMYFUNCTION("""COMPUTED_VALUE"""),0.0)</f>
        <v>0</v>
      </c>
      <c r="K410" s="15">
        <f>IFERROR(__xludf.DUMMYFUNCTION("""COMPUTED_VALUE"""),0.0)</f>
        <v>0</v>
      </c>
    </row>
    <row r="411" ht="15.75" customHeight="1">
      <c r="A411" s="14" t="str">
        <f>IFERROR(__xludf.DUMMYFUNCTION("""COMPUTED_VALUE"""),"https://exposureninja.com/blog/best-ai-search-optimisation-agencies/")</f>
        <v>https://exposureninja.com/blog/best-ai-search-optimisation-agencies/</v>
      </c>
      <c r="B411" s="15" t="str">
        <f>IFERROR(__xludf.DUMMYFUNCTION("""COMPUTED_VALUE"""),"Best AI Search Optimisation Agencies in 2026 (Reviewed)")</f>
        <v>Best AI Search Optimisation Agencies in 2026 (Reviewed)</v>
      </c>
      <c r="C411" s="14" t="str">
        <f>IFERROR(__xludf.DUMMYFUNCTION("""COMPUTED_VALUE"""),"exposureninja.com")</f>
        <v>exposureninja.com</v>
      </c>
      <c r="D411" s="15" t="str">
        <f>IFERROR(__xludf.DUMMYFUNCTION("""COMPUTED_VALUE"""),"LISTICLE")</f>
        <v>LISTICLE</v>
      </c>
      <c r="E411" s="15" t="str">
        <f>IFERROR(__xludf.DUMMYFUNCTION("""COMPUTED_VALUE"""),"COMPETITOR")</f>
        <v>COMPETITOR</v>
      </c>
      <c r="F411" s="15" t="str">
        <f>IFERROR(__xludf.DUMMYFUNCTION("""COMPUTED_VALUE"""),"Listicle")</f>
        <v>Listicle</v>
      </c>
      <c r="G411" s="15" t="b">
        <f>IFERROR(__xludf.DUMMYFUNCTION("""COMPUTED_VALUE"""),FALSE)</f>
        <v>0</v>
      </c>
      <c r="H411" s="15" t="str">
        <f>IFERROR(__xludf.DUMMYFUNCTION("""COMPUTED_VALUE"""),"Exposure Ninja, Found, NP Digital, NoGood")</f>
        <v>Exposure Ninja, Found, NP Digital, NoGood</v>
      </c>
      <c r="I411" s="15">
        <f>IFERROR(__xludf.DUMMYFUNCTION("""COMPUTED_VALUE"""),1.0)</f>
        <v>1</v>
      </c>
      <c r="J411" s="15">
        <f>IFERROR(__xludf.DUMMYFUNCTION("""COMPUTED_VALUE"""),0.0)</f>
        <v>0</v>
      </c>
      <c r="K411" s="15">
        <f>IFERROR(__xludf.DUMMYFUNCTION("""COMPUTED_VALUE"""),1.0)</f>
        <v>1</v>
      </c>
    </row>
    <row r="412" ht="15.75" customHeight="1">
      <c r="A412" s="14" t="str">
        <f>IFERROR(__xludf.DUMMYFUNCTION("""COMPUTED_VALUE"""),"https://extraordinaryengagement.co.uk/what-are-the-big-four-creative-agencies/")</f>
        <v>https://extraordinaryengagement.co.uk/what-are-the-big-four-creative-agencies/</v>
      </c>
      <c r="B412" s="15" t="str">
        <f>IFERROR(__xludf.DUMMYFUNCTION("""COMPUTED_VALUE"""),"Extraordinary Engagement | What are the big four creative agencies?")</f>
        <v>Extraordinary Engagement | What are the big four creative agencies?</v>
      </c>
      <c r="C412" s="14" t="str">
        <f>IFERROR(__xludf.DUMMYFUNCTION("""COMPUTED_VALUE"""),"extraordinaryengagement.co.uk")</f>
        <v>extraordinaryengagement.co.uk</v>
      </c>
      <c r="D412" s="15" t="str">
        <f>IFERROR(__xludf.DUMMYFUNCTION("""COMPUTED_VALUE"""),"LISTICLE")</f>
        <v>LISTICLE</v>
      </c>
      <c r="E412" s="15" t="str">
        <f>IFERROR(__xludf.DUMMYFUNCTION("""COMPUTED_VALUE"""),"CORPORATE")</f>
        <v>CORPORATE</v>
      </c>
      <c r="F412" s="15" t="str">
        <f>IFERROR(__xludf.DUMMYFUNCTION("""COMPUTED_VALUE"""),"Listicle")</f>
        <v>Listicle</v>
      </c>
      <c r="G412" s="15" t="b">
        <f>IFERROR(__xludf.DUMMYFUNCTION("""COMPUTED_VALUE"""),FALSE)</f>
        <v>0</v>
      </c>
      <c r="H412" s="15" t="str">
        <f>IFERROR(__xludf.DUMMYFUNCTION("""COMPUTED_VALUE"""),"Publicis Groupe, WPP, Omnicom, Saatchi &amp; Saatchi, Ogilvy, BBH London, AMV BBDO")</f>
        <v>Publicis Groupe, WPP, Omnicom, Saatchi &amp; Saatchi, Ogilvy, BBH London, AMV BBDO</v>
      </c>
      <c r="I412" s="15">
        <f>IFERROR(__xludf.DUMMYFUNCTION("""COMPUTED_VALUE"""),1.0)</f>
        <v>1</v>
      </c>
      <c r="J412" s="15">
        <f>IFERROR(__xludf.DUMMYFUNCTION("""COMPUTED_VALUE"""),0.0)</f>
        <v>0</v>
      </c>
      <c r="K412" s="15">
        <f>IFERROR(__xludf.DUMMYFUNCTION("""COMPUTED_VALUE"""),0.0)</f>
        <v>0</v>
      </c>
    </row>
    <row r="413" ht="15.75" customHeight="1">
      <c r="A413" s="14" t="str">
        <f>IFERROR(__xludf.DUMMYFUNCTION("""COMPUTED_VALUE"""),"https://factoryjet.com/blog/best-seo-agencies-uk")</f>
        <v>https://factoryjet.com/blog/best-seo-agencies-uk</v>
      </c>
      <c r="B413" s="15" t="str">
        <f>IFERROR(__xludf.DUMMYFUNCTION("""COMPUTED_VALUE"""),"The 10 Best SEO Agencies in the UK (2026)")</f>
        <v>The 10 Best SEO Agencies in the UK (2026)</v>
      </c>
      <c r="C413" s="14" t="str">
        <f>IFERROR(__xludf.DUMMYFUNCTION("""COMPUTED_VALUE"""),"factoryjet.com")</f>
        <v>factoryjet.com</v>
      </c>
      <c r="D413" s="15" t="str">
        <f>IFERROR(__xludf.DUMMYFUNCTION("""COMPUTED_VALUE"""),"LISTICLE")</f>
        <v>LISTICLE</v>
      </c>
      <c r="E413" s="15" t="str">
        <f>IFERROR(__xludf.DUMMYFUNCTION("""COMPUTED_VALUE"""),"CORPORATE")</f>
        <v>CORPORATE</v>
      </c>
      <c r="F413" s="15" t="str">
        <f>IFERROR(__xludf.DUMMYFUNCTION("""COMPUTED_VALUE"""),"Listicle")</f>
        <v>Listicle</v>
      </c>
      <c r="G413" s="15" t="b">
        <f>IFERROR(__xludf.DUMMYFUNCTION("""COMPUTED_VALUE"""),FALSE)</f>
        <v>0</v>
      </c>
      <c r="H413" s="15" t="str">
        <f>IFERROR(__xludf.DUMMYFUNCTION("""COMPUTED_VALUE"""),"Brainlabs, Builtvisible, The SEO Works, Croud, Rise at Seven, Screaming Frog, Blue Array, Whitehat")</f>
        <v>Brainlabs, Builtvisible, The SEO Works, Croud, Rise at Seven, Screaming Frog, Blue Array, Whitehat</v>
      </c>
      <c r="I413" s="15">
        <f>IFERROR(__xludf.DUMMYFUNCTION("""COMPUTED_VALUE"""),1.0)</f>
        <v>1</v>
      </c>
      <c r="J413" s="15">
        <f>IFERROR(__xludf.DUMMYFUNCTION("""COMPUTED_VALUE"""),0.0)</f>
        <v>0</v>
      </c>
      <c r="K413" s="15">
        <f>IFERROR(__xludf.DUMMYFUNCTION("""COMPUTED_VALUE"""),1.0)</f>
        <v>1</v>
      </c>
    </row>
    <row r="414" ht="15.75" customHeight="1">
      <c r="A414" s="14" t="str">
        <f>IFERROR(__xludf.DUMMYFUNCTION("""COMPUTED_VALUE"""),"https://www.fibbler.co/blog/b2b-marketing-attribution-software")</f>
        <v>https://www.fibbler.co/blog/b2b-marketing-attribution-software</v>
      </c>
      <c r="B414" s="15" t="str">
        <f>IFERROR(__xludf.DUMMYFUNCTION("""COMPUTED_VALUE"""),"15 Best B2B Marketing Attribution Software for 2026 | Fibbler | Fibbler")</f>
        <v>15 Best B2B Marketing Attribution Software for 2026 | Fibbler | Fibbler</v>
      </c>
      <c r="C414" s="14" t="str">
        <f>IFERROR(__xludf.DUMMYFUNCTION("""COMPUTED_VALUE"""),"fibbler.co")</f>
        <v>fibbler.co</v>
      </c>
      <c r="D414" s="15" t="str">
        <f>IFERROR(__xludf.DUMMYFUNCTION("""COMPUTED_VALUE"""),"LISTICLE")</f>
        <v>LISTICLE</v>
      </c>
      <c r="E414" s="15" t="str">
        <f>IFERROR(__xludf.DUMMYFUNCTION("""COMPUTED_VALUE"""),"OTHER")</f>
        <v>OTHER</v>
      </c>
      <c r="F414" s="15" t="str">
        <f>IFERROR(__xludf.DUMMYFUNCTION("""COMPUTED_VALUE"""),"Listicle")</f>
        <v>Listicle</v>
      </c>
      <c r="G414" s="15" t="b">
        <f>IFERROR(__xludf.DUMMYFUNCTION("""COMPUTED_VALUE"""),FALSE)</f>
        <v>0</v>
      </c>
      <c r="H414" s="15" t="str">
        <f>IFERROR(__xludf.DUMMYFUNCTION("""COMPUTED_VALUE"""),"Impression, Ruler Analytics, SegmentStream, Cometly, Found")</f>
        <v>Impression, Ruler Analytics, SegmentStream, Cometly, Found</v>
      </c>
      <c r="I414" s="15">
        <f>IFERROR(__xludf.DUMMYFUNCTION("""COMPUTED_VALUE"""),1.0)</f>
        <v>1</v>
      </c>
      <c r="J414" s="15">
        <f>IFERROR(__xludf.DUMMYFUNCTION("""COMPUTED_VALUE"""),0.0)</f>
        <v>0</v>
      </c>
      <c r="K414" s="15">
        <f>IFERROR(__xludf.DUMMYFUNCTION("""COMPUTED_VALUE"""),0.0)</f>
        <v>0</v>
      </c>
    </row>
    <row r="415" ht="15.75" customHeight="1">
      <c r="A415" s="14" t="str">
        <f>IFERROR(__xludf.DUMMYFUNCTION("""COMPUTED_VALUE"""),"https://fibr.ai/geo/best-generative-engine-optimization-brands-for-ai")</f>
        <v>https://fibr.ai/geo/best-generative-engine-optimization-brands-for-ai</v>
      </c>
      <c r="B415" s="15" t="str">
        <f>IFERROR(__xludf.DUMMYFUNCTION("""COMPUTED_VALUE"""),"11 Best GEO Agencies for AI Search Visibility (2026)")</f>
        <v>11 Best GEO Agencies for AI Search Visibility (2026)</v>
      </c>
      <c r="C415" s="14" t="str">
        <f>IFERROR(__xludf.DUMMYFUNCTION("""COMPUTED_VALUE"""),"fibr.ai")</f>
        <v>fibr.ai</v>
      </c>
      <c r="D415" s="15" t="str">
        <f>IFERROR(__xludf.DUMMYFUNCTION("""COMPUTED_VALUE"""),"LISTICLE")</f>
        <v>LISTICLE</v>
      </c>
      <c r="E415" s="15" t="str">
        <f>IFERROR(__xludf.DUMMYFUNCTION("""COMPUTED_VALUE"""),"CORPORATE")</f>
        <v>CORPORATE</v>
      </c>
      <c r="F415" s="15" t="str">
        <f>IFERROR(__xludf.DUMMYFUNCTION("""COMPUTED_VALUE"""),"Listicle")</f>
        <v>Listicle</v>
      </c>
      <c r="G415" s="15" t="b">
        <f>IFERROR(__xludf.DUMMYFUNCTION("""COMPUTED_VALUE"""),FALSE)</f>
        <v>0</v>
      </c>
      <c r="H415" s="15"/>
      <c r="I415" s="15">
        <f>IFERROR(__xludf.DUMMYFUNCTION("""COMPUTED_VALUE"""),1.0)</f>
        <v>1</v>
      </c>
      <c r="J415" s="15">
        <f>IFERROR(__xludf.DUMMYFUNCTION("""COMPUTED_VALUE"""),0.0)</f>
        <v>0</v>
      </c>
      <c r="K415" s="15">
        <f>IFERROR(__xludf.DUMMYFUNCTION("""COMPUTED_VALUE"""),0.0)</f>
        <v>0</v>
      </c>
    </row>
    <row r="416" ht="15.75" customHeight="1">
      <c r="A416" s="14" t="str">
        <f>IFERROR(__xludf.DUMMYFUNCTION("""COMPUTED_VALUE"""),"https://www.fieldtrip.agency/post/best-creative-agencies-for-global-brands")</f>
        <v>https://www.fieldtrip.agency/post/best-creative-agencies-for-global-brands</v>
      </c>
      <c r="B416" s="15" t="str">
        <f>IFERROR(__xludf.DUMMYFUNCTION("""COMPUTED_VALUE"""),"Top 14 Creative Agencies Powering Global Branding This Year")</f>
        <v>Top 14 Creative Agencies Powering Global Branding This Year</v>
      </c>
      <c r="C416" s="15" t="str">
        <f>IFERROR(__xludf.DUMMYFUNCTION("""COMPUTED_VALUE"""),"fieldtrip.agency")</f>
        <v>fieldtrip.agency</v>
      </c>
      <c r="D416" s="15" t="str">
        <f>IFERROR(__xludf.DUMMYFUNCTION("""COMPUTED_VALUE"""),"LISTICLE")</f>
        <v>LISTICLE</v>
      </c>
      <c r="E416" s="15" t="str">
        <f>IFERROR(__xludf.DUMMYFUNCTION("""COMPUTED_VALUE"""),"CORPORATE")</f>
        <v>CORPORATE</v>
      </c>
      <c r="F416" s="15" t="str">
        <f>IFERROR(__xludf.DUMMYFUNCTION("""COMPUTED_VALUE"""),"Listicle")</f>
        <v>Listicle</v>
      </c>
      <c r="G416" s="15" t="b">
        <f>IFERROR(__xludf.DUMMYFUNCTION("""COMPUTED_VALUE"""),FALSE)</f>
        <v>0</v>
      </c>
      <c r="H416" s="15" t="str">
        <f>IFERROR(__xludf.DUMMYFUNCTION("""COMPUTED_VALUE"""),"inBeat, Dentsu, We Are Social, Omnicom, Nielsen")</f>
        <v>inBeat, Dentsu, We Are Social, Omnicom, Nielsen</v>
      </c>
      <c r="I416" s="15">
        <f>IFERROR(__xludf.DUMMYFUNCTION("""COMPUTED_VALUE"""),1.0)</f>
        <v>1</v>
      </c>
      <c r="J416" s="15">
        <f>IFERROR(__xludf.DUMMYFUNCTION("""COMPUTED_VALUE"""),0.0)</f>
        <v>0</v>
      </c>
      <c r="K416" s="15">
        <f>IFERROR(__xludf.DUMMYFUNCTION("""COMPUTED_VALUE"""),2.0)</f>
        <v>2</v>
      </c>
    </row>
    <row r="417" ht="15.75" customHeight="1">
      <c r="A417" s="14" t="str">
        <f>IFERROR(__xludf.DUMMYFUNCTION("""COMPUTED_VALUE"""),"https://firstmotion.com/insights/best-geo-agencies-in-london-10-top-partners-for-ai-search-in-2026")</f>
        <v>https://firstmotion.com/insights/best-geo-agencies-in-london-10-top-partners-for-ai-search-in-2026</v>
      </c>
      <c r="B417" s="15" t="str">
        <f>IFERROR(__xludf.DUMMYFUNCTION("""COMPUTED_VALUE"""),"Best GEO Agencies in London for AI Search (2026) | FirstMotion")</f>
        <v>Best GEO Agencies in London for AI Search (2026) | FirstMotion</v>
      </c>
      <c r="C417" s="14" t="str">
        <f>IFERROR(__xludf.DUMMYFUNCTION("""COMPUTED_VALUE"""),"firstmotion.com")</f>
        <v>firstmotion.com</v>
      </c>
      <c r="D417" s="15" t="str">
        <f>IFERROR(__xludf.DUMMYFUNCTION("""COMPUTED_VALUE"""),"LISTICLE")</f>
        <v>LISTICLE</v>
      </c>
      <c r="E417" s="15" t="str">
        <f>IFERROR(__xludf.DUMMYFUNCTION("""COMPUTED_VALUE"""),"COMPETITOR")</f>
        <v>COMPETITOR</v>
      </c>
      <c r="F417" s="15" t="str">
        <f>IFERROR(__xludf.DUMMYFUNCTION("""COMPUTED_VALUE"""),"Listicle")</f>
        <v>Listicle</v>
      </c>
      <c r="G417" s="15" t="b">
        <f>IFERROR(__xludf.DUMMYFUNCTION("""COMPUTED_VALUE"""),FALSE)</f>
        <v>0</v>
      </c>
      <c r="H417" s="15" t="str">
        <f>IFERROR(__xludf.DUMMYFUNCTION("""COMPUTED_VALUE"""),"FirstMotion, Passion Digital, Found, Bird Marketing, Exposure Ninja, Blue Array, Varn, Buried Agency, Charle Agency, Measured")</f>
        <v>FirstMotion, Passion Digital, Found, Bird Marketing, Exposure Ninja, Blue Array, Varn, Buried Agency, Charle Agency, Measured</v>
      </c>
      <c r="I417" s="15">
        <f>IFERROR(__xludf.DUMMYFUNCTION("""COMPUTED_VALUE"""),1.0)</f>
        <v>1</v>
      </c>
      <c r="J417" s="15">
        <f>IFERROR(__xludf.DUMMYFUNCTION("""COMPUTED_VALUE"""),0.0)</f>
        <v>0</v>
      </c>
      <c r="K417" s="15">
        <f>IFERROR(__xludf.DUMMYFUNCTION("""COMPUTED_VALUE"""),0.0)</f>
        <v>0</v>
      </c>
    </row>
    <row r="418" ht="15.75" customHeight="1">
      <c r="A418" s="14" t="str">
        <f>IFERROR(__xludf.DUMMYFUNCTION("""COMPUTED_VALUE"""),"https://www.flyingvgroup.com/ai-marketing-agency/")</f>
        <v>https://www.flyingvgroup.com/ai-marketing-agency/</v>
      </c>
      <c r="B418" s="15" t="str">
        <f>IFERROR(__xludf.DUMMYFUNCTION("""COMPUTED_VALUE"""),"Best 18 AI Marketing Agencies in 2026 | Top AI-Powered Marketing Firms Ranked")</f>
        <v>Best 18 AI Marketing Agencies in 2026 | Top AI-Powered Marketing Firms Ranked</v>
      </c>
      <c r="C418" s="14" t="str">
        <f>IFERROR(__xludf.DUMMYFUNCTION("""COMPUTED_VALUE"""),"flyingvgroup.com")</f>
        <v>flyingvgroup.com</v>
      </c>
      <c r="D418" s="15" t="str">
        <f>IFERROR(__xludf.DUMMYFUNCTION("""COMPUTED_VALUE"""),"LISTICLE")</f>
        <v>LISTICLE</v>
      </c>
      <c r="E418" s="15" t="str">
        <f>IFERROR(__xludf.DUMMYFUNCTION("""COMPUTED_VALUE"""),"CORPORATE")</f>
        <v>CORPORATE</v>
      </c>
      <c r="F418" s="15" t="str">
        <f>IFERROR(__xludf.DUMMYFUNCTION("""COMPUTED_VALUE"""),"Listicle")</f>
        <v>Listicle</v>
      </c>
      <c r="G418" s="15" t="b">
        <f>IFERROR(__xludf.DUMMYFUNCTION("""COMPUTED_VALUE"""),FALSE)</f>
        <v>0</v>
      </c>
      <c r="H418" s="15" t="str">
        <f>IFERROR(__xludf.DUMMYFUNCTION("""COMPUTED_VALUE"""),"NoGood, Single Grain, inBeat, Monks, Found")</f>
        <v>NoGood, Single Grain, inBeat, Monks, Found</v>
      </c>
      <c r="I418" s="15">
        <f>IFERROR(__xludf.DUMMYFUNCTION("""COMPUTED_VALUE"""),1.0)</f>
        <v>1</v>
      </c>
      <c r="J418" s="15">
        <f>IFERROR(__xludf.DUMMYFUNCTION("""COMPUTED_VALUE"""),0.0)</f>
        <v>0</v>
      </c>
      <c r="K418" s="15">
        <f>IFERROR(__xludf.DUMMYFUNCTION("""COMPUTED_VALUE"""),0.0)</f>
        <v>0</v>
      </c>
    </row>
    <row r="419" ht="15.75" customHeight="1">
      <c r="A419" s="14" t="str">
        <f>IFERROR(__xludf.DUMMYFUNCTION("""COMPUTED_VALUE"""),"https://www.flyingvgroup.com/franchise-marketing-agency/")</f>
        <v>https://www.flyingvgroup.com/franchise-marketing-agency/</v>
      </c>
      <c r="B419" s="15" t="str">
        <f>IFERROR(__xludf.DUMMYFUNCTION("""COMPUTED_VALUE"""),"Best 12 Franchise Marketing Agencies in 2026 – Flying V Group")</f>
        <v>Best 12 Franchise Marketing Agencies in 2026 – Flying V Group</v>
      </c>
      <c r="C419" s="14" t="str">
        <f>IFERROR(__xludf.DUMMYFUNCTION("""COMPUTED_VALUE"""),"flyingvgroup.com")</f>
        <v>flyingvgroup.com</v>
      </c>
      <c r="D419" s="15" t="str">
        <f>IFERROR(__xludf.DUMMYFUNCTION("""COMPUTED_VALUE"""),"LISTICLE")</f>
        <v>LISTICLE</v>
      </c>
      <c r="E419" s="15" t="str">
        <f>IFERROR(__xludf.DUMMYFUNCTION("""COMPUTED_VALUE"""),"CORPORATE")</f>
        <v>CORPORATE</v>
      </c>
      <c r="F419" s="15" t="str">
        <f>IFERROR(__xludf.DUMMYFUNCTION("""COMPUTED_VALUE"""),"Listicle")</f>
        <v>Listicle</v>
      </c>
      <c r="G419" s="15" t="b">
        <f>IFERROR(__xludf.DUMMYFUNCTION("""COMPUTED_VALUE"""),FALSE)</f>
        <v>0</v>
      </c>
      <c r="H419" s="15"/>
      <c r="I419" s="15">
        <f>IFERROR(__xludf.DUMMYFUNCTION("""COMPUTED_VALUE"""),1.0)</f>
        <v>1</v>
      </c>
      <c r="J419" s="15">
        <f>IFERROR(__xludf.DUMMYFUNCTION("""COMPUTED_VALUE"""),0.0)</f>
        <v>0</v>
      </c>
      <c r="K419" s="15">
        <f>IFERROR(__xludf.DUMMYFUNCTION("""COMPUTED_VALUE"""),0.0)</f>
        <v>0</v>
      </c>
    </row>
    <row r="420" ht="15.75" customHeight="1">
      <c r="A420" s="14" t="str">
        <f>IFERROR(__xludf.DUMMYFUNCTION("""COMPUTED_VALUE"""),"https://www.flyingvgroup.com/programmatic-agency/")</f>
        <v>https://www.flyingvgroup.com/programmatic-agency/</v>
      </c>
      <c r="B420" s="15" t="str">
        <f>IFERROR(__xludf.DUMMYFUNCTION("""COMPUTED_VALUE"""),"Top 16 Programmatic Agencies of 2026 (Expert List) – Flying V Group")</f>
        <v>Top 16 Programmatic Agencies of 2026 (Expert List) – Flying V Group</v>
      </c>
      <c r="C420" s="14" t="str">
        <f>IFERROR(__xludf.DUMMYFUNCTION("""COMPUTED_VALUE"""),"flyingvgroup.com")</f>
        <v>flyingvgroup.com</v>
      </c>
      <c r="D420" s="15" t="str">
        <f>IFERROR(__xludf.DUMMYFUNCTION("""COMPUTED_VALUE"""),"LISTICLE")</f>
        <v>LISTICLE</v>
      </c>
      <c r="E420" s="15" t="str">
        <f>IFERROR(__xludf.DUMMYFUNCTION("""COMPUTED_VALUE"""),"CORPORATE")</f>
        <v>CORPORATE</v>
      </c>
      <c r="F420" s="15" t="str">
        <f>IFERROR(__xludf.DUMMYFUNCTION("""COMPUTED_VALUE"""),"Listicle")</f>
        <v>Listicle</v>
      </c>
      <c r="G420" s="15" t="b">
        <f>IFERROR(__xludf.DUMMYFUNCTION("""COMPUTED_VALUE"""),FALSE)</f>
        <v>0</v>
      </c>
      <c r="H420" s="15" t="str">
        <f>IFERROR(__xludf.DUMMYFUNCTION("""COMPUTED_VALUE"""),"ROAST, Single Grain, Power Digital")</f>
        <v>ROAST, Single Grain, Power Digital</v>
      </c>
      <c r="I420" s="15">
        <f>IFERROR(__xludf.DUMMYFUNCTION("""COMPUTED_VALUE"""),1.0)</f>
        <v>1</v>
      </c>
      <c r="J420" s="15">
        <f>IFERROR(__xludf.DUMMYFUNCTION("""COMPUTED_VALUE"""),0.0)</f>
        <v>0</v>
      </c>
      <c r="K420" s="15">
        <f>IFERROR(__xludf.DUMMYFUNCTION("""COMPUTED_VALUE"""),1.0)</f>
        <v>1</v>
      </c>
    </row>
    <row r="421" ht="15.75" customHeight="1">
      <c r="A421" s="14" t="str">
        <f>IFERROR(__xludf.DUMMYFUNCTION("""COMPUTED_VALUE"""),"https://flypix.ai/geospatial-companies-in-london/")</f>
        <v>https://flypix.ai/geospatial-companies-in-london/</v>
      </c>
      <c r="B421" s="15" t="str">
        <f>IFERROR(__xludf.DUMMYFUNCTION("""COMPUTED_VALUE"""),"Top Geospatial Companies in London: Industry Leaders")</f>
        <v>Top Geospatial Companies in London: Industry Leaders</v>
      </c>
      <c r="C421" s="14" t="str">
        <f>IFERROR(__xludf.DUMMYFUNCTION("""COMPUTED_VALUE"""),"flypix.ai")</f>
        <v>flypix.ai</v>
      </c>
      <c r="D421" s="15" t="str">
        <f>IFERROR(__xludf.DUMMYFUNCTION("""COMPUTED_VALUE"""),"LISTICLE")</f>
        <v>LISTICLE</v>
      </c>
      <c r="E421" s="15" t="str">
        <f>IFERROR(__xludf.DUMMYFUNCTION("""COMPUTED_VALUE"""),"CORPORATE")</f>
        <v>CORPORATE</v>
      </c>
      <c r="F421" s="15" t="str">
        <f>IFERROR(__xludf.DUMMYFUNCTION("""COMPUTED_VALUE"""),"Listicle")</f>
        <v>Listicle</v>
      </c>
      <c r="G421" s="15" t="b">
        <f>IFERROR(__xludf.DUMMYFUNCTION("""COMPUTED_VALUE"""),FALSE)</f>
        <v>0</v>
      </c>
      <c r="H421" s="15"/>
      <c r="I421" s="15">
        <f>IFERROR(__xludf.DUMMYFUNCTION("""COMPUTED_VALUE"""),1.0)</f>
        <v>1</v>
      </c>
      <c r="J421" s="15">
        <f>IFERROR(__xludf.DUMMYFUNCTION("""COMPUTED_VALUE"""),0.0)</f>
        <v>0</v>
      </c>
      <c r="K421" s="15">
        <f>IFERROR(__xludf.DUMMYFUNCTION("""COMPUTED_VALUE"""),0.0)</f>
        <v>0</v>
      </c>
    </row>
    <row r="422" ht="15.75" customHeight="1">
      <c r="A422" s="14" t="str">
        <f>IFERROR(__xludf.DUMMYFUNCTION("""COMPUTED_VALUE"""),"https://flypix.ai/geospatial-companies-in-the-uk/")</f>
        <v>https://flypix.ai/geospatial-companies-in-the-uk/</v>
      </c>
      <c r="B422" s="15" t="str">
        <f>IFERROR(__xludf.DUMMYFUNCTION("""COMPUTED_VALUE"""),"5 Best UK Geospatial Companies in the UK (2026)")</f>
        <v>5 Best UK Geospatial Companies in the UK (2026)</v>
      </c>
      <c r="C422" s="14" t="str">
        <f>IFERROR(__xludf.DUMMYFUNCTION("""COMPUTED_VALUE"""),"flypix.ai")</f>
        <v>flypix.ai</v>
      </c>
      <c r="D422" s="15" t="str">
        <f>IFERROR(__xludf.DUMMYFUNCTION("""COMPUTED_VALUE"""),"LISTICLE")</f>
        <v>LISTICLE</v>
      </c>
      <c r="E422" s="15" t="str">
        <f>IFERROR(__xludf.DUMMYFUNCTION("""COMPUTED_VALUE"""),"CORPORATE")</f>
        <v>CORPORATE</v>
      </c>
      <c r="F422" s="15" t="str">
        <f>IFERROR(__xludf.DUMMYFUNCTION("""COMPUTED_VALUE"""),"Listicle")</f>
        <v>Listicle</v>
      </c>
      <c r="G422" s="15" t="b">
        <f>IFERROR(__xludf.DUMMYFUNCTION("""COMPUTED_VALUE"""),FALSE)</f>
        <v>0</v>
      </c>
      <c r="H422" s="15" t="str">
        <f>IFERROR(__xludf.DUMMYFUNCTION("""COMPUTED_VALUE"""),"Push")</f>
        <v>Push</v>
      </c>
      <c r="I422" s="15">
        <f>IFERROR(__xludf.DUMMYFUNCTION("""COMPUTED_VALUE"""),1.0)</f>
        <v>1</v>
      </c>
      <c r="J422" s="15">
        <f>IFERROR(__xludf.DUMMYFUNCTION("""COMPUTED_VALUE"""),0.0)</f>
        <v>0</v>
      </c>
      <c r="K422" s="15">
        <f>IFERROR(__xludf.DUMMYFUNCTION("""COMPUTED_VALUE"""),0.0)</f>
        <v>0</v>
      </c>
    </row>
    <row r="423" ht="15.75" customHeight="1">
      <c r="A423" s="14" t="str">
        <f>IFERROR(__xludf.DUMMYFUNCTION("""COMPUTED_VALUE"""),"https://fntmanagement.com/top-marketing-agencies/")</f>
        <v>https://fntmanagement.com/top-marketing-agencies/</v>
      </c>
      <c r="B423" s="15" t="str">
        <f>IFERROR(__xludf.DUMMYFUNCTION("""COMPUTED_VALUE"""),"Best Marketing Agencies 2026: Rating | Expert ROI Guide")</f>
        <v>Best Marketing Agencies 2026: Rating | Expert ROI Guide</v>
      </c>
      <c r="C423" s="14" t="str">
        <f>IFERROR(__xludf.DUMMYFUNCTION("""COMPUTED_VALUE"""),"fntmanagement.com")</f>
        <v>fntmanagement.com</v>
      </c>
      <c r="D423" s="15" t="str">
        <f>IFERROR(__xludf.DUMMYFUNCTION("""COMPUTED_VALUE"""),"LISTICLE")</f>
        <v>LISTICLE</v>
      </c>
      <c r="E423" s="15" t="str">
        <f>IFERROR(__xludf.DUMMYFUNCTION("""COMPUTED_VALUE"""),"CORPORATE")</f>
        <v>CORPORATE</v>
      </c>
      <c r="F423" s="15" t="str">
        <f>IFERROR(__xludf.DUMMYFUNCTION("""COMPUTED_VALUE"""),"Listicle")</f>
        <v>Listicle</v>
      </c>
      <c r="G423" s="15" t="b">
        <f>IFERROR(__xludf.DUMMYFUNCTION("""COMPUTED_VALUE"""),FALSE)</f>
        <v>0</v>
      </c>
      <c r="H423" s="15" t="str">
        <f>IFERROR(__xludf.DUMMYFUNCTION("""COMPUTED_VALUE"""),"Siege Media, WebFX, The Good Marketer")</f>
        <v>Siege Media, WebFX, The Good Marketer</v>
      </c>
      <c r="I423" s="15">
        <f>IFERROR(__xludf.DUMMYFUNCTION("""COMPUTED_VALUE"""),1.0)</f>
        <v>1</v>
      </c>
      <c r="J423" s="15">
        <f>IFERROR(__xludf.DUMMYFUNCTION("""COMPUTED_VALUE"""),0.0)</f>
        <v>0</v>
      </c>
      <c r="K423" s="15">
        <f>IFERROR(__xludf.DUMMYFUNCTION("""COMPUTED_VALUE"""),0.0)</f>
        <v>0</v>
      </c>
    </row>
    <row r="424" ht="15.75" customHeight="1">
      <c r="A424" s="14" t="str">
        <f>IFERROR(__xludf.DUMMYFUNCTION("""COMPUTED_VALUE"""),"https://forlinux.co.uk/best-ppc-agencies-in-the-uk-for-scalable-advertising-success")</f>
        <v>https://forlinux.co.uk/best-ppc-agencies-in-the-uk-for-scalable-advertising-success</v>
      </c>
      <c r="B424" s="15" t="str">
        <f>IFERROR(__xludf.DUMMYFUNCTION("""COMPUTED_VALUE"""),"Best PPC Agencies in the UK for Scalable Advertising Success")</f>
        <v>Best PPC Agencies in the UK for Scalable Advertising Success</v>
      </c>
      <c r="C424" s="14" t="str">
        <f>IFERROR(__xludf.DUMMYFUNCTION("""COMPUTED_VALUE"""),"forlinux.co.uk")</f>
        <v>forlinux.co.uk</v>
      </c>
      <c r="D424" s="15" t="str">
        <f>IFERROR(__xludf.DUMMYFUNCTION("""COMPUTED_VALUE"""),"LISTICLE")</f>
        <v>LISTICLE</v>
      </c>
      <c r="E424" s="15" t="str">
        <f>IFERROR(__xludf.DUMMYFUNCTION("""COMPUTED_VALUE"""),"CORPORATE")</f>
        <v>CORPORATE</v>
      </c>
      <c r="F424" s="15" t="str">
        <f>IFERROR(__xludf.DUMMYFUNCTION("""COMPUTED_VALUE"""),"Listicle")</f>
        <v>Listicle</v>
      </c>
      <c r="G424" s="15" t="b">
        <f>IFERROR(__xludf.DUMMYFUNCTION("""COMPUTED_VALUE"""),FALSE)</f>
        <v>0</v>
      </c>
      <c r="H424" s="15" t="str">
        <f>IFERROR(__xludf.DUMMYFUNCTION("""COMPUTED_VALUE"""),"Brainlabs, Hallam, The Social Shepherd, PPC Geeks")</f>
        <v>Brainlabs, Hallam, The Social Shepherd, PPC Geeks</v>
      </c>
      <c r="I424" s="15">
        <f>IFERROR(__xludf.DUMMYFUNCTION("""COMPUTED_VALUE"""),1.0)</f>
        <v>1</v>
      </c>
      <c r="J424" s="15">
        <f>IFERROR(__xludf.DUMMYFUNCTION("""COMPUTED_VALUE"""),0.0)</f>
        <v>0</v>
      </c>
      <c r="K424" s="15">
        <f>IFERROR(__xludf.DUMMYFUNCTION("""COMPUTED_VALUE"""),0.0)</f>
        <v>0</v>
      </c>
    </row>
    <row r="425" ht="15.75" customHeight="1">
      <c r="A425" s="14" t="str">
        <f>IFERROR(__xludf.DUMMYFUNCTION("""COMPUTED_VALUE"""),"https://www.found.co.uk/blog/top-10-ppc-agencies/")</f>
        <v>https://www.found.co.uk/blog/top-10-ppc-agencies/</v>
      </c>
      <c r="B425" s="15" t="str">
        <f>IFERROR(__xludf.DUMMYFUNCTION("""COMPUTED_VALUE"""),"Best PPC Agencies 2026 UK | Top 10 PPC Companies | Found")</f>
        <v>Best PPC Agencies 2026 UK | Top 10 PPC Companies | Found</v>
      </c>
      <c r="C425" s="14" t="str">
        <f>IFERROR(__xludf.DUMMYFUNCTION("""COMPUTED_VALUE"""),"found.co.uk")</f>
        <v>found.co.uk</v>
      </c>
      <c r="D425" s="15" t="str">
        <f>IFERROR(__xludf.DUMMYFUNCTION("""COMPUTED_VALUE"""),"LISTICLE")</f>
        <v>LISTICLE</v>
      </c>
      <c r="E425" s="15" t="str">
        <f>IFERROR(__xludf.DUMMYFUNCTION("""COMPUTED_VALUE"""),"CORPORATE")</f>
        <v>CORPORATE</v>
      </c>
      <c r="F425" s="15" t="str">
        <f>IFERROR(__xludf.DUMMYFUNCTION("""COMPUTED_VALUE"""),"Listicle")</f>
        <v>Listicle</v>
      </c>
      <c r="G425" s="15" t="b">
        <f>IFERROR(__xludf.DUMMYFUNCTION("""COMPUTED_VALUE"""),FALSE)</f>
        <v>0</v>
      </c>
      <c r="H425" s="15" t="str">
        <f>IFERROR(__xludf.DUMMYFUNCTION("""COMPUTED_VALUE"""),"Found, Propeller, Jellyfish, Impression, Journey Further, Hallam, Croud")</f>
        <v>Found, Propeller, Jellyfish, Impression, Journey Further, Hallam, Croud</v>
      </c>
      <c r="I425" s="15">
        <f>IFERROR(__xludf.DUMMYFUNCTION("""COMPUTED_VALUE"""),1.0)</f>
        <v>1</v>
      </c>
      <c r="J425" s="15">
        <f>IFERROR(__xludf.DUMMYFUNCTION("""COMPUTED_VALUE"""),0.0)</f>
        <v>0</v>
      </c>
      <c r="K425" s="15">
        <f>IFERROR(__xludf.DUMMYFUNCTION("""COMPUTED_VALUE"""),1.0)</f>
        <v>1</v>
      </c>
    </row>
    <row r="426" ht="15.75" customHeight="1">
      <c r="A426" s="14" t="str">
        <f>IFERROR(__xludf.DUMMYFUNCTION("""COMPUTED_VALUE"""),"https://fueler.io/blog/performance-marketing-agencies-that-prove-roi-with-real-client-results")</f>
        <v>https://fueler.io/blog/performance-marketing-agencies-that-prove-roi-with-real-client-results</v>
      </c>
      <c r="B426" s="15" t="str">
        <f>IFERROR(__xludf.DUMMYFUNCTION("""COMPUTED_VALUE"""),"Performance Marketing Agencies That Prove ROI With Real Client Results (2026 Edition)")</f>
        <v>Performance Marketing Agencies That Prove ROI With Real Client Results (2026 Edition)</v>
      </c>
      <c r="C426" s="14" t="str">
        <f>IFERROR(__xludf.DUMMYFUNCTION("""COMPUTED_VALUE"""),"fueler.io")</f>
        <v>fueler.io</v>
      </c>
      <c r="D426" s="15" t="str">
        <f>IFERROR(__xludf.DUMMYFUNCTION("""COMPUTED_VALUE"""),"LISTICLE")</f>
        <v>LISTICLE</v>
      </c>
      <c r="E426" s="15" t="str">
        <f>IFERROR(__xludf.DUMMYFUNCTION("""COMPUTED_VALUE"""),"UGC")</f>
        <v>UGC</v>
      </c>
      <c r="F426" s="15" t="str">
        <f>IFERROR(__xludf.DUMMYFUNCTION("""COMPUTED_VALUE"""),"Listicle")</f>
        <v>Listicle</v>
      </c>
      <c r="G426" s="15" t="b">
        <f>IFERROR(__xludf.DUMMYFUNCTION("""COMPUTED_VALUE"""),FALSE)</f>
        <v>0</v>
      </c>
      <c r="H426" s="15" t="str">
        <f>IFERROR(__xludf.DUMMYFUNCTION("""COMPUTED_VALUE"""),"Tinuiti, Merkle, Wpromote, WebFX, NP Digital, NoGood, Common Thread Collective, Power Digital, Disruptive Advertising, Dentsu, Publicis Groupe")</f>
        <v>Tinuiti, Merkle, Wpromote, WebFX, NP Digital, NoGood, Common Thread Collective, Power Digital, Disruptive Advertising, Dentsu, Publicis Groupe</v>
      </c>
      <c r="I426" s="15">
        <f>IFERROR(__xludf.DUMMYFUNCTION("""COMPUTED_VALUE"""),1.0)</f>
        <v>1</v>
      </c>
      <c r="J426" s="15">
        <f>IFERROR(__xludf.DUMMYFUNCTION("""COMPUTED_VALUE"""),0.0)</f>
        <v>0</v>
      </c>
      <c r="K426" s="15">
        <f>IFERROR(__xludf.DUMMYFUNCTION("""COMPUTED_VALUE"""),0.0)</f>
        <v>0</v>
      </c>
    </row>
    <row r="427" ht="15.75" customHeight="1">
      <c r="A427" s="14" t="str">
        <f>IFERROR(__xludf.DUMMYFUNCTION("""COMPUTED_VALUE"""),"https://funnel.io/blog/top-mta-tools")</f>
        <v>https://funnel.io/blog/top-mta-tools</v>
      </c>
      <c r="B427" s="15" t="str">
        <f>IFERROR(__xludf.DUMMYFUNCTION("""COMPUTED_VALUE"""),"Top multi-touch attribution (MTA) tools for 2026")</f>
        <v>Top multi-touch attribution (MTA) tools for 2026</v>
      </c>
      <c r="C427" s="14" t="str">
        <f>IFERROR(__xludf.DUMMYFUNCTION("""COMPUTED_VALUE"""),"funnel.io")</f>
        <v>funnel.io</v>
      </c>
      <c r="D427" s="15" t="str">
        <f>IFERROR(__xludf.DUMMYFUNCTION("""COMPUTED_VALUE"""),"LISTICLE")</f>
        <v>LISTICLE</v>
      </c>
      <c r="E427" s="15" t="str">
        <f>IFERROR(__xludf.DUMMYFUNCTION("""COMPUTED_VALUE"""),"CORPORATE")</f>
        <v>CORPORATE</v>
      </c>
      <c r="F427" s="15" t="str">
        <f>IFERROR(__xludf.DUMMYFUNCTION("""COMPUTED_VALUE"""),"Listicle")</f>
        <v>Listicle</v>
      </c>
      <c r="G427" s="15" t="b">
        <f>IFERROR(__xludf.DUMMYFUNCTION("""COMPUTED_VALUE"""),FALSE)</f>
        <v>0</v>
      </c>
      <c r="H427" s="15" t="str">
        <f>IFERROR(__xludf.DUMMYFUNCTION("""COMPUTED_VALUE"""),"Found, SegmentStream, Northbeam, Push")</f>
        <v>Found, SegmentStream, Northbeam, Push</v>
      </c>
      <c r="I427" s="15">
        <f>IFERROR(__xludf.DUMMYFUNCTION("""COMPUTED_VALUE"""),1.0)</f>
        <v>1</v>
      </c>
      <c r="J427" s="15">
        <f>IFERROR(__xludf.DUMMYFUNCTION("""COMPUTED_VALUE"""),0.0)</f>
        <v>0</v>
      </c>
      <c r="K427" s="15">
        <f>IFERROR(__xludf.DUMMYFUNCTION("""COMPUTED_VALUE"""),0.0)</f>
        <v>0</v>
      </c>
    </row>
    <row r="428" ht="15.75" customHeight="1">
      <c r="A428" s="14" t="str">
        <f>IFERROR(__xludf.DUMMYFUNCTION("""COMPUTED_VALUE"""),"https://www.gambitagency.co.uk/blog/the-best-ppc-agencies")</f>
        <v>https://www.gambitagency.co.uk/blog/the-best-ppc-agencies</v>
      </c>
      <c r="B428" s="15" t="str">
        <f>IFERROR(__xludf.DUMMYFUNCTION("""COMPUTED_VALUE"""),"Top 19 PPC Agencies in the UK - Gambit Agency")</f>
        <v>Top 19 PPC Agencies in the UK - Gambit Agency</v>
      </c>
      <c r="C428" s="14" t="str">
        <f>IFERROR(__xludf.DUMMYFUNCTION("""COMPUTED_VALUE"""),"gambitagency.co.uk")</f>
        <v>gambitagency.co.uk</v>
      </c>
      <c r="D428" s="15" t="str">
        <f>IFERROR(__xludf.DUMMYFUNCTION("""COMPUTED_VALUE"""),"LISTICLE")</f>
        <v>LISTICLE</v>
      </c>
      <c r="E428" s="15" t="str">
        <f>IFERROR(__xludf.DUMMYFUNCTION("""COMPUTED_VALUE"""),"CORPORATE")</f>
        <v>CORPORATE</v>
      </c>
      <c r="F428" s="15" t="str">
        <f>IFERROR(__xludf.DUMMYFUNCTION("""COMPUTED_VALUE"""),"Listicle")</f>
        <v>Listicle</v>
      </c>
      <c r="G428" s="15" t="b">
        <f>IFERROR(__xludf.DUMMYFUNCTION("""COMPUTED_VALUE"""),FALSE)</f>
        <v>0</v>
      </c>
      <c r="H428" s="15" t="str">
        <f>IFERROR(__xludf.DUMMYFUNCTION("""COMPUTED_VALUE"""),"Jellyfish, Brainlabs, Bind Media, Impression, Koozai, Croud, Push, Push Group, Disruptive Advertising, Hallam")</f>
        <v>Jellyfish, Brainlabs, Bind Media, Impression, Koozai, Croud, Push, Push Group, Disruptive Advertising, Hallam</v>
      </c>
      <c r="I428" s="15">
        <f>IFERROR(__xludf.DUMMYFUNCTION("""COMPUTED_VALUE"""),1.0)</f>
        <v>1</v>
      </c>
      <c r="J428" s="15">
        <f>IFERROR(__xludf.DUMMYFUNCTION("""COMPUTED_VALUE"""),0.0)</f>
        <v>0</v>
      </c>
      <c r="K428" s="15">
        <f>IFERROR(__xludf.DUMMYFUNCTION("""COMPUTED_VALUE"""),0.0)</f>
        <v>0</v>
      </c>
    </row>
    <row r="429" ht="15.75" customHeight="1">
      <c r="A429" s="14" t="str">
        <f>IFERROR(__xludf.DUMMYFUNCTION("""COMPUTED_VALUE"""),"https://www.gen-optima.com/geo/top-generative-ai-search-engine-optimization-agencies-2026/")</f>
        <v>https://www.gen-optima.com/geo/top-generative-ai-search-engine-optimization-agencies-2026/</v>
      </c>
      <c r="B429" s="15" t="str">
        <f>IFERROR(__xludf.DUMMYFUNCTION("""COMPUTED_VALUE"""),"Top AI Search Optimization Agencies in 2026 (Q1 2026 Update)")</f>
        <v>Top AI Search Optimization Agencies in 2026 (Q1 2026 Update)</v>
      </c>
      <c r="C429" s="14" t="str">
        <f>IFERROR(__xludf.DUMMYFUNCTION("""COMPUTED_VALUE"""),"gen-optima.com")</f>
        <v>gen-optima.com</v>
      </c>
      <c r="D429" s="15" t="str">
        <f>IFERROR(__xludf.DUMMYFUNCTION("""COMPUTED_VALUE"""),"LISTICLE")</f>
        <v>LISTICLE</v>
      </c>
      <c r="E429" s="15" t="str">
        <f>IFERROR(__xludf.DUMMYFUNCTION("""COMPUTED_VALUE"""),"CORPORATE")</f>
        <v>CORPORATE</v>
      </c>
      <c r="F429" s="15" t="str">
        <f>IFERROR(__xludf.DUMMYFUNCTION("""COMPUTED_VALUE"""),"Listicle")</f>
        <v>Listicle</v>
      </c>
      <c r="G429" s="15" t="b">
        <f>IFERROR(__xludf.DUMMYFUNCTION("""COMPUTED_VALUE"""),FALSE)</f>
        <v>0</v>
      </c>
      <c r="H429" s="15" t="str">
        <f>IFERROR(__xludf.DUMMYFUNCTION("""COMPUTED_VALUE"""),"Siege Media, Omniscient Digital, Single Grain")</f>
        <v>Siege Media, Omniscient Digital, Single Grain</v>
      </c>
      <c r="I429" s="15">
        <f>IFERROR(__xludf.DUMMYFUNCTION("""COMPUTED_VALUE"""),1.0)</f>
        <v>1</v>
      </c>
      <c r="J429" s="15">
        <f>IFERROR(__xludf.DUMMYFUNCTION("""COMPUTED_VALUE"""),0.0)</f>
        <v>0</v>
      </c>
      <c r="K429" s="15">
        <f>IFERROR(__xludf.DUMMYFUNCTION("""COMPUTED_VALUE"""),0.0)</f>
        <v>0</v>
      </c>
    </row>
    <row r="430" ht="15.75" customHeight="1">
      <c r="A430" s="14" t="str">
        <f>IFERROR(__xludf.DUMMYFUNCTION("""COMPUTED_VALUE"""),"https://gigawattgroup.com/insights/best-geo-agencies-in-2026-who-actually-drives-ai-visibility-and-citations/")</f>
        <v>https://gigawattgroup.com/insights/best-geo-agencies-in-2026-who-actually-drives-ai-visibility-and-citations/</v>
      </c>
      <c r="B430" s="15" t="str">
        <f>IFERROR(__xludf.DUMMYFUNCTION("""COMPUTED_VALUE"""),"Best GEO Agencies in 2026: Who Actually Drives AI Visibility and Citations - Gigawatt Group")</f>
        <v>Best GEO Agencies in 2026: Who Actually Drives AI Visibility and Citations - Gigawatt Group</v>
      </c>
      <c r="C430" s="14" t="str">
        <f>IFERROR(__xludf.DUMMYFUNCTION("""COMPUTED_VALUE"""),"gigawattgroup.com")</f>
        <v>gigawattgroup.com</v>
      </c>
      <c r="D430" s="15" t="str">
        <f>IFERROR(__xludf.DUMMYFUNCTION("""COMPUTED_VALUE"""),"LISTICLE")</f>
        <v>LISTICLE</v>
      </c>
      <c r="E430" s="15" t="str">
        <f>IFERROR(__xludf.DUMMYFUNCTION("""COMPUTED_VALUE"""),"CORPORATE")</f>
        <v>CORPORATE</v>
      </c>
      <c r="F430" s="15" t="str">
        <f>IFERROR(__xludf.DUMMYFUNCTION("""COMPUTED_VALUE"""),"Listicle")</f>
        <v>Listicle</v>
      </c>
      <c r="G430" s="15" t="b">
        <f>IFERROR(__xludf.DUMMYFUNCTION("""COMPUTED_VALUE"""),FALSE)</f>
        <v>0</v>
      </c>
      <c r="H430" s="15"/>
      <c r="I430" s="15">
        <f>IFERROR(__xludf.DUMMYFUNCTION("""COMPUTED_VALUE"""),1.0)</f>
        <v>1</v>
      </c>
      <c r="J430" s="15">
        <f>IFERROR(__xludf.DUMMYFUNCTION("""COMPUTED_VALUE"""),0.0)</f>
        <v>0</v>
      </c>
      <c r="K430" s="15">
        <f>IFERROR(__xludf.DUMMYFUNCTION("""COMPUTED_VALUE"""),0.0)</f>
        <v>0</v>
      </c>
    </row>
    <row r="431" ht="15.75" customHeight="1">
      <c r="A431" s="14" t="str">
        <f>IFERROR(__xludf.DUMMYFUNCTION("""COMPUTED_VALUE"""),"https://ginitalent.com/top-10-creative-agencies-in-the-uk-2025-guide/")</f>
        <v>https://ginitalent.com/top-10-creative-agencies-in-the-uk-2025-guide/</v>
      </c>
      <c r="B431" s="15" t="str">
        <f>IFERROR(__xludf.DUMMYFUNCTION("""COMPUTED_VALUE"""),"Top 10 Creative Agencies in the UK (2025 Guide) - Gini Talent")</f>
        <v>Top 10 Creative Agencies in the UK (2025 Guide) - Gini Talent</v>
      </c>
      <c r="C431" s="14" t="str">
        <f>IFERROR(__xludf.DUMMYFUNCTION("""COMPUTED_VALUE"""),"ginitalent.com")</f>
        <v>ginitalent.com</v>
      </c>
      <c r="D431" s="15" t="str">
        <f>IFERROR(__xludf.DUMMYFUNCTION("""COMPUTED_VALUE"""),"LISTICLE")</f>
        <v>LISTICLE</v>
      </c>
      <c r="E431" s="15" t="str">
        <f>IFERROR(__xludf.DUMMYFUNCTION("""COMPUTED_VALUE"""),"CORPORATE")</f>
        <v>CORPORATE</v>
      </c>
      <c r="F431" s="15" t="str">
        <f>IFERROR(__xludf.DUMMYFUNCTION("""COMPUTED_VALUE"""),"Listicle")</f>
        <v>Listicle</v>
      </c>
      <c r="G431" s="15" t="b">
        <f>IFERROR(__xludf.DUMMYFUNCTION("""COMPUTED_VALUE"""),FALSE)</f>
        <v>0</v>
      </c>
      <c r="H431" s="15"/>
      <c r="I431" s="15">
        <f>IFERROR(__xludf.DUMMYFUNCTION("""COMPUTED_VALUE"""),1.0)</f>
        <v>1</v>
      </c>
      <c r="J431" s="15">
        <f>IFERROR(__xludf.DUMMYFUNCTION("""COMPUTED_VALUE"""),0.0)</f>
        <v>0</v>
      </c>
      <c r="K431" s="15">
        <f>IFERROR(__xludf.DUMMYFUNCTION("""COMPUTED_VALUE"""),0.0)</f>
        <v>0</v>
      </c>
    </row>
    <row r="432" ht="15.75" customHeight="1">
      <c r="A432" s="14" t="str">
        <f>IFERROR(__xludf.DUMMYFUNCTION("""COMPUTED_VALUE"""),"https://grizzle.io/blog/best-generative-engine-optimization-agencies-for-b2b")</f>
        <v>https://grizzle.io/blog/best-generative-engine-optimization-agencies-for-b2b</v>
      </c>
      <c r="B432" s="15" t="str">
        <f>IFERROR(__xludf.DUMMYFUNCTION("""COMPUTED_VALUE"""),"6 best generative engine optimization (GEO) agencies for B2B to grow AI visibility in 2026")</f>
        <v>6 best generative engine optimization (GEO) agencies for B2B to grow AI visibility in 2026</v>
      </c>
      <c r="C432" s="14" t="str">
        <f>IFERROR(__xludf.DUMMYFUNCTION("""COMPUTED_VALUE"""),"grizzle.io")</f>
        <v>grizzle.io</v>
      </c>
      <c r="D432" s="15" t="str">
        <f>IFERROR(__xludf.DUMMYFUNCTION("""COMPUTED_VALUE"""),"LISTICLE")</f>
        <v>LISTICLE</v>
      </c>
      <c r="E432" s="15" t="str">
        <f>IFERROR(__xludf.DUMMYFUNCTION("""COMPUTED_VALUE"""),"OTHER")</f>
        <v>OTHER</v>
      </c>
      <c r="F432" s="15" t="str">
        <f>IFERROR(__xludf.DUMMYFUNCTION("""COMPUTED_VALUE"""),"Listicle")</f>
        <v>Listicle</v>
      </c>
      <c r="G432" s="15" t="b">
        <f>IFERROR(__xludf.DUMMYFUNCTION("""COMPUTED_VALUE"""),FALSE)</f>
        <v>0</v>
      </c>
      <c r="H432" s="15" t="str">
        <f>IFERROR(__xludf.DUMMYFUNCTION("""COMPUTED_VALUE"""),"Siege Media, Omniscient Digital, Found, Push, Rise at Seven, Measured, Brainlabs, Tinuiti")</f>
        <v>Siege Media, Omniscient Digital, Found, Push, Rise at Seven, Measured, Brainlabs, Tinuiti</v>
      </c>
      <c r="I432" s="15">
        <f>IFERROR(__xludf.DUMMYFUNCTION("""COMPUTED_VALUE"""),1.0)</f>
        <v>1</v>
      </c>
      <c r="J432" s="15">
        <f>IFERROR(__xludf.DUMMYFUNCTION("""COMPUTED_VALUE"""),0.0)</f>
        <v>0</v>
      </c>
      <c r="K432" s="15">
        <f>IFERROR(__xludf.DUMMYFUNCTION("""COMPUTED_VALUE"""),1.0)</f>
        <v>1</v>
      </c>
    </row>
    <row r="433" ht="15.75" customHeight="1">
      <c r="A433" s="14" t="str">
        <f>IFERROR(__xludf.DUMMYFUNCTION("""COMPUTED_VALUE"""),"https://growth-labs.co.uk/top-50-uk-web-development-companies-2026-rankings/")</f>
        <v>https://growth-labs.co.uk/top-50-uk-web-development-companies-2026-rankings/</v>
      </c>
      <c r="B433" s="15" t="str">
        <f>IFERROR(__xludf.DUMMYFUNCTION("""COMPUTED_VALUE"""),"Top 50 UK Web Development Companies | 2026 Rankings | Growthlabs")</f>
        <v>Top 50 UK Web Development Companies | 2026 Rankings | Growthlabs</v>
      </c>
      <c r="C433" s="14" t="str">
        <f>IFERROR(__xludf.DUMMYFUNCTION("""COMPUTED_VALUE"""),"growth-labs.co.uk")</f>
        <v>growth-labs.co.uk</v>
      </c>
      <c r="D433" s="15" t="str">
        <f>IFERROR(__xludf.DUMMYFUNCTION("""COMPUTED_VALUE"""),"LISTICLE")</f>
        <v>LISTICLE</v>
      </c>
      <c r="E433" s="15" t="str">
        <f>IFERROR(__xludf.DUMMYFUNCTION("""COMPUTED_VALUE"""),"CORPORATE")</f>
        <v>CORPORATE</v>
      </c>
      <c r="F433" s="15" t="str">
        <f>IFERROR(__xludf.DUMMYFUNCTION("""COMPUTED_VALUE"""),"Listicle")</f>
        <v>Listicle</v>
      </c>
      <c r="G433" s="15" t="b">
        <f>IFERROR(__xludf.DUMMYFUNCTION("""COMPUTED_VALUE"""),FALSE)</f>
        <v>0</v>
      </c>
      <c r="H433" s="15" t="str">
        <f>IFERROR(__xludf.DUMMYFUNCTION("""COMPUTED_VALUE"""),"Propeller, Impression, Dept, AKQA, Hallam, Bird Marketing")</f>
        <v>Propeller, Impression, Dept, AKQA, Hallam, Bird Marketing</v>
      </c>
      <c r="I433" s="15">
        <f>IFERROR(__xludf.DUMMYFUNCTION("""COMPUTED_VALUE"""),1.0)</f>
        <v>1</v>
      </c>
      <c r="J433" s="15">
        <f>IFERROR(__xludf.DUMMYFUNCTION("""COMPUTED_VALUE"""),0.0)</f>
        <v>0</v>
      </c>
      <c r="K433" s="15">
        <f>IFERROR(__xludf.DUMMYFUNCTION("""COMPUTED_VALUE"""),1.0)</f>
        <v>1</v>
      </c>
    </row>
    <row r="434" ht="15.75" customHeight="1">
      <c r="A434" s="14" t="str">
        <f>IFERROR(__xludf.DUMMYFUNCTION("""COMPUTED_VALUE"""),"https://growth.cx/blog/best-performance-marketing-agencies/")</f>
        <v>https://growth.cx/blog/best-performance-marketing-agencies/</v>
      </c>
      <c r="B434" s="15" t="str">
        <f>IFERROR(__xludf.DUMMYFUNCTION("""COMPUTED_VALUE"""),"13 Best Performance Marketing Agencies to Boost ROI in 2026")</f>
        <v>13 Best Performance Marketing Agencies to Boost ROI in 2026</v>
      </c>
      <c r="C434" s="14" t="str">
        <f>IFERROR(__xludf.DUMMYFUNCTION("""COMPUTED_VALUE"""),"growth.cx")</f>
        <v>growth.cx</v>
      </c>
      <c r="D434" s="15" t="str">
        <f>IFERROR(__xludf.DUMMYFUNCTION("""COMPUTED_VALUE"""),"LISTICLE")</f>
        <v>LISTICLE</v>
      </c>
      <c r="E434" s="15" t="str">
        <f>IFERROR(__xludf.DUMMYFUNCTION("""COMPUTED_VALUE"""),"CORPORATE")</f>
        <v>CORPORATE</v>
      </c>
      <c r="F434" s="15" t="str">
        <f>IFERROR(__xludf.DUMMYFUNCTION("""COMPUTED_VALUE"""),"Listicle")</f>
        <v>Listicle</v>
      </c>
      <c r="G434" s="15" t="b">
        <f>IFERROR(__xludf.DUMMYFUNCTION("""COMPUTED_VALUE"""),FALSE)</f>
        <v>0</v>
      </c>
      <c r="H434" s="15" t="str">
        <f>IFERROR(__xludf.DUMMYFUNCTION("""COMPUTED_VALUE"""),"Ignite Visibility, Tinuiti, NoGood, iCrossing, Wpromote")</f>
        <v>Ignite Visibility, Tinuiti, NoGood, iCrossing, Wpromote</v>
      </c>
      <c r="I434" s="15">
        <f>IFERROR(__xludf.DUMMYFUNCTION("""COMPUTED_VALUE"""),1.0)</f>
        <v>1</v>
      </c>
      <c r="J434" s="15">
        <f>IFERROR(__xludf.DUMMYFUNCTION("""COMPUTED_VALUE"""),0.0)</f>
        <v>0</v>
      </c>
      <c r="K434" s="15">
        <f>IFERROR(__xludf.DUMMYFUNCTION("""COMPUTED_VALUE"""),1.0)</f>
        <v>1</v>
      </c>
    </row>
    <row r="435" ht="15.75" customHeight="1">
      <c r="A435" s="14" t="str">
        <f>IFERROR(__xludf.DUMMYFUNCTION("""COMPUTED_VALUE"""),"https://growthmanager.ai/best-geo-agency")</f>
        <v>https://growthmanager.ai/best-geo-agency</v>
      </c>
      <c r="B435" s="15" t="str">
        <f>IFERROR(__xludf.DUMMYFUNCTION("""COMPUTED_VALUE"""),"Best GEO agencies in 2026, reviewed and ranked")</f>
        <v>Best GEO agencies in 2026, reviewed and ranked</v>
      </c>
      <c r="C435" s="14" t="str">
        <f>IFERROR(__xludf.DUMMYFUNCTION("""COMPUTED_VALUE"""),"growthmanager.ai")</f>
        <v>growthmanager.ai</v>
      </c>
      <c r="D435" s="15" t="str">
        <f>IFERROR(__xludf.DUMMYFUNCTION("""COMPUTED_VALUE"""),"LISTICLE")</f>
        <v>LISTICLE</v>
      </c>
      <c r="E435" s="15" t="str">
        <f>IFERROR(__xludf.DUMMYFUNCTION("""COMPUTED_VALUE"""),"CORPORATE")</f>
        <v>CORPORATE</v>
      </c>
      <c r="F435" s="15" t="str">
        <f>IFERROR(__xludf.DUMMYFUNCTION("""COMPUTED_VALUE"""),"Listicle")</f>
        <v>Listicle</v>
      </c>
      <c r="G435" s="15" t="b">
        <f>IFERROR(__xludf.DUMMYFUNCTION("""COMPUTED_VALUE"""),FALSE)</f>
        <v>0</v>
      </c>
      <c r="H435" s="15" t="str">
        <f>IFERROR(__xludf.DUMMYFUNCTION("""COMPUTED_VALUE"""),"Momentum")</f>
        <v>Momentum</v>
      </c>
      <c r="I435" s="15">
        <f>IFERROR(__xludf.DUMMYFUNCTION("""COMPUTED_VALUE"""),1.0)</f>
        <v>1</v>
      </c>
      <c r="J435" s="15">
        <f>IFERROR(__xludf.DUMMYFUNCTION("""COMPUTED_VALUE"""),0.0)</f>
        <v>0</v>
      </c>
      <c r="K435" s="15">
        <f>IFERROR(__xludf.DUMMYFUNCTION("""COMPUTED_VALUE"""),0.0)</f>
        <v>0</v>
      </c>
    </row>
    <row r="436" ht="15.75" customHeight="1">
      <c r="A436" s="14" t="str">
        <f>IFERROR(__xludf.DUMMYFUNCTION("""COMPUTED_VALUE"""),"https://www.growthspreeofficial.com/blogs/top-6-ai-powered-b2b-saas-marketing-agencies-in-the-united-states-2026")</f>
        <v>https://www.growthspreeofficial.com/blogs/top-6-ai-powered-b2b-saas-marketing-agencies-in-the-united-states-2026</v>
      </c>
      <c r="B436" s="15" t="str">
        <f>IFERROR(__xludf.DUMMYFUNCTION("""COMPUTED_VALUE"""),"Top 6 AI-Powered B2B SaaS Marketing Agencies USA 2026")</f>
        <v>Top 6 AI-Powered B2B SaaS Marketing Agencies USA 2026</v>
      </c>
      <c r="C436" s="14" t="str">
        <f>IFERROR(__xludf.DUMMYFUNCTION("""COMPUTED_VALUE"""),"growthspreeofficial.com")</f>
        <v>growthspreeofficial.com</v>
      </c>
      <c r="D436" s="15" t="str">
        <f>IFERROR(__xludf.DUMMYFUNCTION("""COMPUTED_VALUE"""),"LISTICLE")</f>
        <v>LISTICLE</v>
      </c>
      <c r="E436" s="15" t="str">
        <f>IFERROR(__xludf.DUMMYFUNCTION("""COMPUTED_VALUE"""),"CORPORATE")</f>
        <v>CORPORATE</v>
      </c>
      <c r="F436" s="15" t="str">
        <f>IFERROR(__xludf.DUMMYFUNCTION("""COMPUTED_VALUE"""),"Listicle")</f>
        <v>Listicle</v>
      </c>
      <c r="G436" s="15" t="b">
        <f>IFERROR(__xludf.DUMMYFUNCTION("""COMPUTED_VALUE"""),FALSE)</f>
        <v>0</v>
      </c>
      <c r="H436" s="15" t="str">
        <f>IFERROR(__xludf.DUMMYFUNCTION("""COMPUTED_VALUE"""),"GrowthSpree, Measured, Found")</f>
        <v>GrowthSpree, Measured, Found</v>
      </c>
      <c r="I436" s="15">
        <f>IFERROR(__xludf.DUMMYFUNCTION("""COMPUTED_VALUE"""),1.0)</f>
        <v>1</v>
      </c>
      <c r="J436" s="15">
        <f>IFERROR(__xludf.DUMMYFUNCTION("""COMPUTED_VALUE"""),0.0)</f>
        <v>0</v>
      </c>
      <c r="K436" s="15">
        <f>IFERROR(__xludf.DUMMYFUNCTION("""COMPUTED_VALUE"""),1.0)</f>
        <v>1</v>
      </c>
    </row>
    <row r="437" ht="15.75" customHeight="1">
      <c r="A437" s="14" t="str">
        <f>IFERROR(__xludf.DUMMYFUNCTION("""COMPUTED_VALUE"""),"https://hashmeta.com/blog/10-best-aeo-geo-agencies-for-ai-search-optimization/")</f>
        <v>https://hashmeta.com/blog/10-best-aeo-geo-agencies-for-ai-search-optimization/</v>
      </c>
      <c r="B437" s="15" t="str">
        <f>IFERROR(__xludf.DUMMYFUNCTION("""COMPUTED_VALUE"""),"10 Best AEO/GEO Agencies for AI Search Optimization | Hashmeta")</f>
        <v>10 Best AEO/GEO Agencies for AI Search Optimization | Hashmeta</v>
      </c>
      <c r="C437" s="14" t="str">
        <f>IFERROR(__xludf.DUMMYFUNCTION("""COMPUTED_VALUE"""),"hashmeta.com")</f>
        <v>hashmeta.com</v>
      </c>
      <c r="D437" s="15" t="str">
        <f>IFERROR(__xludf.DUMMYFUNCTION("""COMPUTED_VALUE"""),"LISTICLE")</f>
        <v>LISTICLE</v>
      </c>
      <c r="E437" s="15" t="str">
        <f>IFERROR(__xludf.DUMMYFUNCTION("""COMPUTED_VALUE"""),"CORPORATE")</f>
        <v>CORPORATE</v>
      </c>
      <c r="F437" s="15" t="str">
        <f>IFERROR(__xludf.DUMMYFUNCTION("""COMPUTED_VALUE"""),"Listicle")</f>
        <v>Listicle</v>
      </c>
      <c r="G437" s="15" t="b">
        <f>IFERROR(__xludf.DUMMYFUNCTION("""COMPUTED_VALUE"""),FALSE)</f>
        <v>0</v>
      </c>
      <c r="H437" s="15" t="str">
        <f>IFERROR(__xludf.DUMMYFUNCTION("""COMPUTED_VALUE"""),"Siege Media, Blue Array, Measured")</f>
        <v>Siege Media, Blue Array, Measured</v>
      </c>
      <c r="I437" s="15">
        <f>IFERROR(__xludf.DUMMYFUNCTION("""COMPUTED_VALUE"""),1.0)</f>
        <v>1</v>
      </c>
      <c r="J437" s="15">
        <f>IFERROR(__xludf.DUMMYFUNCTION("""COMPUTED_VALUE"""),0.0)</f>
        <v>0</v>
      </c>
      <c r="K437" s="15">
        <f>IFERROR(__xludf.DUMMYFUNCTION("""COMPUTED_VALUE"""),1.0)</f>
        <v>1</v>
      </c>
    </row>
    <row r="438" ht="15.75" customHeight="1">
      <c r="A438" s="14" t="str">
        <f>IFERROR(__xludf.DUMMYFUNCTION("""COMPUTED_VALUE"""),"https://hawksem.com/blog/performance-marketing-agency-list/")</f>
        <v>https://hawksem.com/blog/performance-marketing-agency-list/</v>
      </c>
      <c r="B438" s="15" t="str">
        <f>IFERROR(__xludf.DUMMYFUNCTION("""COMPUTED_VALUE"""),"Top 10 Performance Marketing Agencies in 2026")</f>
        <v>Top 10 Performance Marketing Agencies in 2026</v>
      </c>
      <c r="C438" s="14" t="str">
        <f>IFERROR(__xludf.DUMMYFUNCTION("""COMPUTED_VALUE"""),"hawksem.com")</f>
        <v>hawksem.com</v>
      </c>
      <c r="D438" s="15" t="str">
        <f>IFERROR(__xludf.DUMMYFUNCTION("""COMPUTED_VALUE"""),"LISTICLE")</f>
        <v>LISTICLE</v>
      </c>
      <c r="E438" s="15" t="str">
        <f>IFERROR(__xludf.DUMMYFUNCTION("""COMPUTED_VALUE"""),"CORPORATE")</f>
        <v>CORPORATE</v>
      </c>
      <c r="F438" s="15" t="str">
        <f>IFERROR(__xludf.DUMMYFUNCTION("""COMPUTED_VALUE"""),"Listicle")</f>
        <v>Listicle</v>
      </c>
      <c r="G438" s="15" t="b">
        <f>IFERROR(__xludf.DUMMYFUNCTION("""COMPUTED_VALUE"""),FALSE)</f>
        <v>0</v>
      </c>
      <c r="H438" s="15" t="str">
        <f>IFERROR(__xludf.DUMMYFUNCTION("""COMPUTED_VALUE"""),"Tinuiti, Merkle, Wpromote, Polaris, iCrossing")</f>
        <v>Tinuiti, Merkle, Wpromote, Polaris, iCrossing</v>
      </c>
      <c r="I438" s="15">
        <f>IFERROR(__xludf.DUMMYFUNCTION("""COMPUTED_VALUE"""),1.0)</f>
        <v>1</v>
      </c>
      <c r="J438" s="15">
        <f>IFERROR(__xludf.DUMMYFUNCTION("""COMPUTED_VALUE"""),0.0)</f>
        <v>0</v>
      </c>
      <c r="K438" s="15">
        <f>IFERROR(__xludf.DUMMYFUNCTION("""COMPUTED_VALUE"""),0.0)</f>
        <v>0</v>
      </c>
    </row>
    <row r="439" ht="15.75" customHeight="1">
      <c r="A439" s="14" t="str">
        <f>IFERROR(__xludf.DUMMYFUNCTION("""COMPUTED_VALUE"""),"https://helium42.com/blog/how-to-choose-ai-consultant")</f>
        <v>https://helium42.com/blog/how-to-choose-ai-consultant</v>
      </c>
      <c r="B439" s="15" t="str">
        <f>IFERROR(__xludf.DUMMYFUNCTION("""COMPUTED_VALUE"""),"Choosing an AI Consultant: 12-Point Evaluation Guide (2026)")</f>
        <v>Choosing an AI Consultant: 12-Point Evaluation Guide (2026)</v>
      </c>
      <c r="C439" s="14" t="str">
        <f>IFERROR(__xludf.DUMMYFUNCTION("""COMPUTED_VALUE"""),"helium42.com")</f>
        <v>helium42.com</v>
      </c>
      <c r="D439" s="15" t="str">
        <f>IFERROR(__xludf.DUMMYFUNCTION("""COMPUTED_VALUE"""),"LISTICLE")</f>
        <v>LISTICLE</v>
      </c>
      <c r="E439" s="15" t="str">
        <f>IFERROR(__xludf.DUMMYFUNCTION("""COMPUTED_VALUE"""),"CORPORATE")</f>
        <v>CORPORATE</v>
      </c>
      <c r="F439" s="15" t="str">
        <f>IFERROR(__xludf.DUMMYFUNCTION("""COMPUTED_VALUE"""),"Listicle")</f>
        <v>Listicle</v>
      </c>
      <c r="G439" s="15" t="b">
        <f>IFERROR(__xludf.DUMMYFUNCTION("""COMPUTED_VALUE"""),FALSE)</f>
        <v>0</v>
      </c>
      <c r="H439" s="15" t="str">
        <f>IFERROR(__xludf.DUMMYFUNCTION("""COMPUTED_VALUE"""),"PwC, EY")</f>
        <v>PwC, EY</v>
      </c>
      <c r="I439" s="15">
        <f>IFERROR(__xludf.DUMMYFUNCTION("""COMPUTED_VALUE"""),1.0)</f>
        <v>1</v>
      </c>
      <c r="J439" s="15">
        <f>IFERROR(__xludf.DUMMYFUNCTION("""COMPUTED_VALUE"""),0.0)</f>
        <v>0</v>
      </c>
      <c r="K439" s="15">
        <f>IFERROR(__xludf.DUMMYFUNCTION("""COMPUTED_VALUE"""),1.0)</f>
        <v>1</v>
      </c>
    </row>
    <row r="440" ht="15.75" customHeight="1">
      <c r="A440" s="14" t="str">
        <f>IFERROR(__xludf.DUMMYFUNCTION("""COMPUTED_VALUE"""),"https://www.heydigital.co/blog/saas-marketing-agencies")</f>
        <v>https://www.heydigital.co/blog/saas-marketing-agencies</v>
      </c>
      <c r="B440" s="15" t="str">
        <f>IFERROR(__xludf.DUMMYFUNCTION("""COMPUTED_VALUE"""),"The 16 Best SaaS Marketing Agencies in 2026 | Hey Digital")</f>
        <v>The 16 Best SaaS Marketing Agencies in 2026 | Hey Digital</v>
      </c>
      <c r="C440" s="14" t="str">
        <f>IFERROR(__xludf.DUMMYFUNCTION("""COMPUTED_VALUE"""),"heydigital.co")</f>
        <v>heydigital.co</v>
      </c>
      <c r="D440" s="15" t="str">
        <f>IFERROR(__xludf.DUMMYFUNCTION("""COMPUTED_VALUE"""),"LISTICLE")</f>
        <v>LISTICLE</v>
      </c>
      <c r="E440" s="15" t="str">
        <f>IFERROR(__xludf.DUMMYFUNCTION("""COMPUTED_VALUE"""),"CORPORATE")</f>
        <v>CORPORATE</v>
      </c>
      <c r="F440" s="15" t="str">
        <f>IFERROR(__xludf.DUMMYFUNCTION("""COMPUTED_VALUE"""),"Listicle")</f>
        <v>Listicle</v>
      </c>
      <c r="G440" s="15" t="b">
        <f>IFERROR(__xludf.DUMMYFUNCTION("""COMPUTED_VALUE"""),FALSE)</f>
        <v>0</v>
      </c>
      <c r="H440" s="15" t="str">
        <f>IFERROR(__xludf.DUMMYFUNCTION("""COMPUTED_VALUE"""),"Found, Directive Consulting, NoGood, Single Grain, Omniscient Digital, Siege Media")</f>
        <v>Found, Directive Consulting, NoGood, Single Grain, Omniscient Digital, Siege Media</v>
      </c>
      <c r="I440" s="15">
        <f>IFERROR(__xludf.DUMMYFUNCTION("""COMPUTED_VALUE"""),1.0)</f>
        <v>1</v>
      </c>
      <c r="J440" s="15">
        <f>IFERROR(__xludf.DUMMYFUNCTION("""COMPUTED_VALUE"""),0.0)</f>
        <v>0</v>
      </c>
      <c r="K440" s="15">
        <f>IFERROR(__xludf.DUMMYFUNCTION("""COMPUTED_VALUE"""),0.0)</f>
        <v>0</v>
      </c>
    </row>
    <row r="441" ht="15.75" customHeight="1">
      <c r="A441" s="14" t="str">
        <f>IFERROR(__xludf.DUMMYFUNCTION("""COMPUTED_VALUE"""),"https://hikemytraffic.com/ai-digital-marketing-companies-in-uk/")</f>
        <v>https://hikemytraffic.com/ai-digital-marketing-companies-in-uk/</v>
      </c>
      <c r="B441" s="15" t="str">
        <f>IFERROR(__xludf.DUMMYFUNCTION("""COMPUTED_VALUE"""),"15 Best AI Digital Marketing Companies in UK (Updated 2026)")</f>
        <v>15 Best AI Digital Marketing Companies in UK (Updated 2026)</v>
      </c>
      <c r="C441" s="14" t="str">
        <f>IFERROR(__xludf.DUMMYFUNCTION("""COMPUTED_VALUE"""),"hikemytraffic.com")</f>
        <v>hikemytraffic.com</v>
      </c>
      <c r="D441" s="15" t="str">
        <f>IFERROR(__xludf.DUMMYFUNCTION("""COMPUTED_VALUE"""),"LISTICLE")</f>
        <v>LISTICLE</v>
      </c>
      <c r="E441" s="15" t="str">
        <f>IFERROR(__xludf.DUMMYFUNCTION("""COMPUTED_VALUE"""),"CORPORATE")</f>
        <v>CORPORATE</v>
      </c>
      <c r="F441" s="15" t="str">
        <f>IFERROR(__xludf.DUMMYFUNCTION("""COMPUTED_VALUE"""),"Listicle")</f>
        <v>Listicle</v>
      </c>
      <c r="G441" s="15" t="b">
        <f>IFERROR(__xludf.DUMMYFUNCTION("""COMPUTED_VALUE"""),FALSE)</f>
        <v>0</v>
      </c>
      <c r="H441" s="15" t="str">
        <f>IFERROR(__xludf.DUMMYFUNCTION("""COMPUTED_VALUE"""),"The Good Marketer, Propeller, Soap Media")</f>
        <v>The Good Marketer, Propeller, Soap Media</v>
      </c>
      <c r="I441" s="15">
        <f>IFERROR(__xludf.DUMMYFUNCTION("""COMPUTED_VALUE"""),1.0)</f>
        <v>1</v>
      </c>
      <c r="J441" s="15">
        <f>IFERROR(__xludf.DUMMYFUNCTION("""COMPUTED_VALUE"""),0.0)</f>
        <v>0</v>
      </c>
      <c r="K441" s="15">
        <f>IFERROR(__xludf.DUMMYFUNCTION("""COMPUTED_VALUE"""),0.0)</f>
        <v>0</v>
      </c>
    </row>
    <row r="442" ht="15.75" customHeight="1">
      <c r="A442" s="14" t="str">
        <f>IFERROR(__xludf.DUMMYFUNCTION("""COMPUTED_VALUE"""),"https://humanise.world/blog/first-party-data-activation")</f>
        <v>https://humanise.world/blog/first-party-data-activation</v>
      </c>
      <c r="B442" s="15" t="str">
        <f>IFERROR(__xludf.DUMMYFUNCTION("""COMPUTED_VALUE"""),"Three Truths About First-Party Data Activation | Humanise")</f>
        <v>Three Truths About First-Party Data Activation | Humanise</v>
      </c>
      <c r="C442" s="15" t="str">
        <f>IFERROR(__xludf.DUMMYFUNCTION("""COMPUTED_VALUE"""),"humanise.world")</f>
        <v>humanise.world</v>
      </c>
      <c r="D442" s="15" t="str">
        <f>IFERROR(__xludf.DUMMYFUNCTION("""COMPUTED_VALUE"""),"LISTICLE")</f>
        <v>LISTICLE</v>
      </c>
      <c r="E442" s="15" t="str">
        <f>IFERROR(__xludf.DUMMYFUNCTION("""COMPUTED_VALUE"""),"CORPORATE")</f>
        <v>CORPORATE</v>
      </c>
      <c r="F442" s="15" t="str">
        <f>IFERROR(__xludf.DUMMYFUNCTION("""COMPUTED_VALUE"""),"Listicle")</f>
        <v>Listicle</v>
      </c>
      <c r="G442" s="15" t="b">
        <f>IFERROR(__xludf.DUMMYFUNCTION("""COMPUTED_VALUE"""),FALSE)</f>
        <v>0</v>
      </c>
      <c r="H442" s="15"/>
      <c r="I442" s="15">
        <f>IFERROR(__xludf.DUMMYFUNCTION("""COMPUTED_VALUE"""),1.0)</f>
        <v>1</v>
      </c>
      <c r="J442" s="15">
        <f>IFERROR(__xludf.DUMMYFUNCTION("""COMPUTED_VALUE"""),0.0)</f>
        <v>0</v>
      </c>
      <c r="K442" s="15">
        <f>IFERROR(__xludf.DUMMYFUNCTION("""COMPUTED_VALUE"""),0.0)</f>
        <v>0</v>
      </c>
    </row>
    <row r="443" ht="15.75" customHeight="1">
      <c r="A443" s="14" t="str">
        <f>IFERROR(__xludf.DUMMYFUNCTION("""COMPUTED_VALUE"""),"https://inbeat.agency/blog/top-dynamic-creative-optimization-companies")</f>
        <v>https://inbeat.agency/blog/top-dynamic-creative-optimization-companies</v>
      </c>
      <c r="B443" s="15" t="str">
        <f>IFERROR(__xludf.DUMMYFUNCTION("""COMPUTED_VALUE"""),"Top 11 Dynamic Creative Optimization Companies Revolutionizing Personalized Advertising - inBeat Agency")</f>
        <v>Top 11 Dynamic Creative Optimization Companies Revolutionizing Personalized Advertising - inBeat Agency</v>
      </c>
      <c r="C443" s="15" t="str">
        <f>IFERROR(__xludf.DUMMYFUNCTION("""COMPUTED_VALUE"""),"inbeat.agency")</f>
        <v>inbeat.agency</v>
      </c>
      <c r="D443" s="15" t="str">
        <f>IFERROR(__xludf.DUMMYFUNCTION("""COMPUTED_VALUE"""),"LISTICLE")</f>
        <v>LISTICLE</v>
      </c>
      <c r="E443" s="15" t="str">
        <f>IFERROR(__xludf.DUMMYFUNCTION("""COMPUTED_VALUE"""),"COMPETITOR")</f>
        <v>COMPETITOR</v>
      </c>
      <c r="F443" s="15" t="str">
        <f>IFERROR(__xludf.DUMMYFUNCTION("""COMPUTED_VALUE"""),"Listicle")</f>
        <v>Listicle</v>
      </c>
      <c r="G443" s="15" t="b">
        <f>IFERROR(__xludf.DUMMYFUNCTION("""COMPUTED_VALUE"""),FALSE)</f>
        <v>0</v>
      </c>
      <c r="H443" s="15" t="str">
        <f>IFERROR(__xludf.DUMMYFUNCTION("""COMPUTED_VALUE"""),"inBeat, Nielsen, Impression, Momentum, Found")</f>
        <v>inBeat, Nielsen, Impression, Momentum, Found</v>
      </c>
      <c r="I443" s="15">
        <f>IFERROR(__xludf.DUMMYFUNCTION("""COMPUTED_VALUE"""),1.0)</f>
        <v>1</v>
      </c>
      <c r="J443" s="15">
        <f>IFERROR(__xludf.DUMMYFUNCTION("""COMPUTED_VALUE"""),0.0)</f>
        <v>0</v>
      </c>
      <c r="K443" s="15">
        <f>IFERROR(__xludf.DUMMYFUNCTION("""COMPUTED_VALUE"""),1.0)</f>
        <v>1</v>
      </c>
    </row>
    <row r="444" ht="15.75" customHeight="1">
      <c r="A444" s="14" t="str">
        <f>IFERROR(__xludf.DUMMYFUNCTION("""COMPUTED_VALUE"""),"https://inbeat.agency/blog/top-performance-creative-agencies")</f>
        <v>https://inbeat.agency/blog/top-performance-creative-agencies</v>
      </c>
      <c r="B444" s="15" t="str">
        <f>IFERROR(__xludf.DUMMYFUNCTION("""COMPUTED_VALUE"""),"Performance Creative Agencies: 15 Worth a First Call (2026) - inBeat Agency")</f>
        <v>Performance Creative Agencies: 15 Worth a First Call (2026) - inBeat Agency</v>
      </c>
      <c r="C444" s="15" t="str">
        <f>IFERROR(__xludf.DUMMYFUNCTION("""COMPUTED_VALUE"""),"inbeat.agency")</f>
        <v>inbeat.agency</v>
      </c>
      <c r="D444" s="15" t="str">
        <f>IFERROR(__xludf.DUMMYFUNCTION("""COMPUTED_VALUE"""),"LISTICLE")</f>
        <v>LISTICLE</v>
      </c>
      <c r="E444" s="15" t="str">
        <f>IFERROR(__xludf.DUMMYFUNCTION("""COMPUTED_VALUE"""),"COMPETITOR")</f>
        <v>COMPETITOR</v>
      </c>
      <c r="F444" s="15" t="str">
        <f>IFERROR(__xludf.DUMMYFUNCTION("""COMPUTED_VALUE"""),"Listicle")</f>
        <v>Listicle</v>
      </c>
      <c r="G444" s="15" t="b">
        <f>IFERROR(__xludf.DUMMYFUNCTION("""COMPUTED_VALUE"""),FALSE)</f>
        <v>0</v>
      </c>
      <c r="H444" s="15" t="str">
        <f>IFERROR(__xludf.DUMMYFUNCTION("""COMPUTED_VALUE"""),"inBeat, Nielsen, Bind Media, Tinuiti, Darkroom, Found, Bark London")</f>
        <v>inBeat, Nielsen, Bind Media, Tinuiti, Darkroom, Found, Bark London</v>
      </c>
      <c r="I444" s="15">
        <f>IFERROR(__xludf.DUMMYFUNCTION("""COMPUTED_VALUE"""),1.0)</f>
        <v>1</v>
      </c>
      <c r="J444" s="15">
        <f>IFERROR(__xludf.DUMMYFUNCTION("""COMPUTED_VALUE"""),0.0)</f>
        <v>0</v>
      </c>
      <c r="K444" s="15">
        <f>IFERROR(__xludf.DUMMYFUNCTION("""COMPUTED_VALUE"""),0.0)</f>
        <v>0</v>
      </c>
    </row>
    <row r="445" ht="15.75" customHeight="1">
      <c r="A445" s="14" t="str">
        <f>IFERROR(__xludf.DUMMYFUNCTION("""COMPUTED_VALUE"""),"https://inbeat.agency/blog/top-ppc-agencies-uk")</f>
        <v>https://inbeat.agency/blog/top-ppc-agencies-uk</v>
      </c>
      <c r="B445" s="15" t="str">
        <f>IFERROR(__xludf.DUMMYFUNCTION("""COMPUTED_VALUE"""),"Top 32 PPC Agencies in the United Kingdom for 2025 - Reviewed - inBeat Agency")</f>
        <v>Top 32 PPC Agencies in the United Kingdom for 2025 - Reviewed - inBeat Agency</v>
      </c>
      <c r="C445" s="15" t="str">
        <f>IFERROR(__xludf.DUMMYFUNCTION("""COMPUTED_VALUE"""),"inbeat.agency")</f>
        <v>inbeat.agency</v>
      </c>
      <c r="D445" s="15" t="str">
        <f>IFERROR(__xludf.DUMMYFUNCTION("""COMPUTED_VALUE"""),"LISTICLE")</f>
        <v>LISTICLE</v>
      </c>
      <c r="E445" s="15" t="str">
        <f>IFERROR(__xludf.DUMMYFUNCTION("""COMPUTED_VALUE"""),"COMPETITOR")</f>
        <v>COMPETITOR</v>
      </c>
      <c r="F445" s="15" t="str">
        <f>IFERROR(__xludf.DUMMYFUNCTION("""COMPUTED_VALUE"""),"Listicle")</f>
        <v>Listicle</v>
      </c>
      <c r="G445" s="15" t="b">
        <f>IFERROR(__xludf.DUMMYFUNCTION("""COMPUTED_VALUE"""),FALSE)</f>
        <v>0</v>
      </c>
      <c r="H445" s="15" t="str">
        <f>IFERROR(__xludf.DUMMYFUNCTION("""COMPUTED_VALUE"""),"inBeat, Nielsen, PPC Geeks, Impression, Found, The SEO Works, Soap Media, Launch Online, The Good Marketer, Genie Crawl, LOCALiQ")</f>
        <v>inBeat, Nielsen, PPC Geeks, Impression, Found, The SEO Works, Soap Media, Launch Online, The Good Marketer, Genie Crawl, LOCALiQ</v>
      </c>
      <c r="I445" s="15">
        <f>IFERROR(__xludf.DUMMYFUNCTION("""COMPUTED_VALUE"""),1.0)</f>
        <v>1</v>
      </c>
      <c r="J445" s="15">
        <f>IFERROR(__xludf.DUMMYFUNCTION("""COMPUTED_VALUE"""),0.0)</f>
        <v>0</v>
      </c>
      <c r="K445" s="15">
        <f>IFERROR(__xludf.DUMMYFUNCTION("""COMPUTED_VALUE"""),0.0)</f>
        <v>0</v>
      </c>
    </row>
    <row r="446" ht="15.75" customHeight="1">
      <c r="A446" s="14" t="str">
        <f>IFERROR(__xludf.DUMMYFUNCTION("""COMPUTED_VALUE"""),"https://www.inbeat.co/articles/top-performance-marketing-agencies/")</f>
        <v>https://www.inbeat.co/articles/top-performance-marketing-agencies/</v>
      </c>
      <c r="B446" s="15" t="str">
        <f>IFERROR(__xludf.DUMMYFUNCTION("""COMPUTED_VALUE"""),"Top 30 Performance Marketing Agencies for 2026 and Beyond")</f>
        <v>Top 30 Performance Marketing Agencies for 2026 and Beyond</v>
      </c>
      <c r="C446" s="14" t="str">
        <f>IFERROR(__xludf.DUMMYFUNCTION("""COMPUTED_VALUE"""),"inbeat.co")</f>
        <v>inbeat.co</v>
      </c>
      <c r="D446" s="15" t="str">
        <f>IFERROR(__xludf.DUMMYFUNCTION("""COMPUTED_VALUE"""),"LISTICLE")</f>
        <v>LISTICLE</v>
      </c>
      <c r="E446" s="15" t="str">
        <f>IFERROR(__xludf.DUMMYFUNCTION("""COMPUTED_VALUE"""),"CORPORATE")</f>
        <v>CORPORATE</v>
      </c>
      <c r="F446" s="15" t="str">
        <f>IFERROR(__xludf.DUMMYFUNCTION("""COMPUTED_VALUE"""),"Listicle")</f>
        <v>Listicle</v>
      </c>
      <c r="G446" s="15" t="b">
        <f>IFERROR(__xludf.DUMMYFUNCTION("""COMPUTED_VALUE"""),FALSE)</f>
        <v>0</v>
      </c>
      <c r="H446" s="15" t="str">
        <f>IFERROR(__xludf.DUMMYFUNCTION("""COMPUTED_VALUE"""),"inBeat, 9AM, Momentum, Tinuiti, Bark London, The Brains, Single Grain, Found")</f>
        <v>inBeat, 9AM, Momentum, Tinuiti, Bark London, The Brains, Single Grain, Found</v>
      </c>
      <c r="I446" s="15">
        <f>IFERROR(__xludf.DUMMYFUNCTION("""COMPUTED_VALUE"""),1.0)</f>
        <v>1</v>
      </c>
      <c r="J446" s="15">
        <f>IFERROR(__xludf.DUMMYFUNCTION("""COMPUTED_VALUE"""),0.0)</f>
        <v>0</v>
      </c>
      <c r="K446" s="15">
        <f>IFERROR(__xludf.DUMMYFUNCTION("""COMPUTED_VALUE"""),0.0)</f>
        <v>0</v>
      </c>
    </row>
    <row r="447" ht="15.75" customHeight="1">
      <c r="A447" s="14" t="str">
        <f>IFERROR(__xludf.DUMMYFUNCTION("""COMPUTED_VALUE"""),"https://influencermarketinghub.com/geo-agencies/")</f>
        <v>https://influencermarketinghub.com/geo-agencies/</v>
      </c>
      <c r="B447" s="15" t="str">
        <f>IFERROR(__xludf.DUMMYFUNCTION("""COMPUTED_VALUE"""),"6 Best GEO Agencies Driving AI Search Visibility")</f>
        <v>6 Best GEO Agencies Driving AI Search Visibility</v>
      </c>
      <c r="C447" s="14" t="str">
        <f>IFERROR(__xludf.DUMMYFUNCTION("""COMPUTED_VALUE"""),"influencermarketinghub.com")</f>
        <v>influencermarketinghub.com</v>
      </c>
      <c r="D447" s="15" t="str">
        <f>IFERROR(__xludf.DUMMYFUNCTION("""COMPUTED_VALUE"""),"LISTICLE")</f>
        <v>LISTICLE</v>
      </c>
      <c r="E447" s="15" t="str">
        <f>IFERROR(__xludf.DUMMYFUNCTION("""COMPUTED_VALUE"""),"REFERENCE")</f>
        <v>REFERENCE</v>
      </c>
      <c r="F447" s="15" t="str">
        <f>IFERROR(__xludf.DUMMYFUNCTION("""COMPUTED_VALUE"""),"Listicle")</f>
        <v>Listicle</v>
      </c>
      <c r="G447" s="15" t="b">
        <f>IFERROR(__xludf.DUMMYFUNCTION("""COMPUTED_VALUE"""),FALSE)</f>
        <v>0</v>
      </c>
      <c r="H447" s="15" t="str">
        <f>IFERROR(__xludf.DUMMYFUNCTION("""COMPUTED_VALUE"""),"Bird Marketing, McKinsey &amp; Company, Directive Consulting")</f>
        <v>Bird Marketing, McKinsey &amp; Company, Directive Consulting</v>
      </c>
      <c r="I447" s="15">
        <f>IFERROR(__xludf.DUMMYFUNCTION("""COMPUTED_VALUE"""),1.0)</f>
        <v>1</v>
      </c>
      <c r="J447" s="15">
        <f>IFERROR(__xludf.DUMMYFUNCTION("""COMPUTED_VALUE"""),0.0)</f>
        <v>0</v>
      </c>
      <c r="K447" s="15">
        <f>IFERROR(__xludf.DUMMYFUNCTION("""COMPUTED_VALUE"""),3.0)</f>
        <v>3</v>
      </c>
    </row>
    <row r="448" ht="15.75" customHeight="1">
      <c r="A448" s="14" t="str">
        <f>IFERROR(__xludf.DUMMYFUNCTION("""COMPUTED_VALUE"""),"https://influencermarketinghub.com/performance-marketing-agencies/")</f>
        <v>https://influencermarketinghub.com/performance-marketing-agencies/</v>
      </c>
      <c r="B448" s="15" t="str">
        <f>IFERROR(__xludf.DUMMYFUNCTION("""COMPUTED_VALUE"""),"Top 54 Performance Marketing Agencies to Boost Your ROI in 2026")</f>
        <v>Top 54 Performance Marketing Agencies to Boost Your ROI in 2026</v>
      </c>
      <c r="C448" s="14" t="str">
        <f>IFERROR(__xludf.DUMMYFUNCTION("""COMPUTED_VALUE"""),"influencermarketinghub.com")</f>
        <v>influencermarketinghub.com</v>
      </c>
      <c r="D448" s="15" t="str">
        <f>IFERROR(__xludf.DUMMYFUNCTION("""COMPUTED_VALUE"""),"LISTICLE")</f>
        <v>LISTICLE</v>
      </c>
      <c r="E448" s="15" t="str">
        <f>IFERROR(__xludf.DUMMYFUNCTION("""COMPUTED_VALUE"""),"REFERENCE")</f>
        <v>REFERENCE</v>
      </c>
      <c r="F448" s="15" t="str">
        <f>IFERROR(__xludf.DUMMYFUNCTION("""COMPUTED_VALUE"""),"Listicle")</f>
        <v>Listicle</v>
      </c>
      <c r="G448" s="15" t="b">
        <f>IFERROR(__xludf.DUMMYFUNCTION("""COMPUTED_VALUE"""),TRUE)</f>
        <v>1</v>
      </c>
      <c r="H448" s="15" t="str">
        <f>IFERROR(__xludf.DUMMYFUNCTION("""COMPUTED_VALUE"""),"McKinsey &amp; Company, Momentum, 9AM, Measured, WebFX, Ignite Visibility, Tinuiti, GroupM, Wpromote, Dept, Dentsu, iCrossing, Merkle, Power Digital, Croud, The Brains, Incubeta, NoGood, Disruptive Advertising, Directive Consulting")</f>
        <v>McKinsey &amp; Company, Momentum, 9AM, Measured, WebFX, Ignite Visibility, Tinuiti, GroupM, Wpromote, Dept, Dentsu, iCrossing, Merkle, Power Digital, Croud, The Brains, Incubeta, NoGood, Disruptive Advertising, Directive Consulting</v>
      </c>
      <c r="I448" s="15">
        <f>IFERROR(__xludf.DUMMYFUNCTION("""COMPUTED_VALUE"""),1.0)</f>
        <v>1</v>
      </c>
      <c r="J448" s="15">
        <f>IFERROR(__xludf.DUMMYFUNCTION("""COMPUTED_VALUE"""),0.0)</f>
        <v>0</v>
      </c>
      <c r="K448" s="15">
        <f>IFERROR(__xludf.DUMMYFUNCTION("""COMPUTED_VALUE"""),0.0)</f>
        <v>0</v>
      </c>
    </row>
    <row r="449" ht="15.75" customHeight="1">
      <c r="A449" s="14" t="str">
        <f>IFERROR(__xludf.DUMMYFUNCTION("""COMPUTED_VALUE"""),"https://insanelogic.co.uk/top-uk-geo-agencies-for-scaling-visibility-in-generative-engines")</f>
        <v>https://insanelogic.co.uk/top-uk-geo-agencies-for-scaling-visibility-in-generative-engines</v>
      </c>
      <c r="B449" s="15" t="str">
        <f>IFERROR(__xludf.DUMMYFUNCTION("""COMPUTED_VALUE"""),"Top UK GEO Agencies for Scaling Visibility in Generative Engines")</f>
        <v>Top UK GEO Agencies for Scaling Visibility in Generative Engines</v>
      </c>
      <c r="C449" s="14" t="str">
        <f>IFERROR(__xludf.DUMMYFUNCTION("""COMPUTED_VALUE"""),"insanelogic.co.uk")</f>
        <v>insanelogic.co.uk</v>
      </c>
      <c r="D449" s="15" t="str">
        <f>IFERROR(__xludf.DUMMYFUNCTION("""COMPUTED_VALUE"""),"LISTICLE")</f>
        <v>LISTICLE</v>
      </c>
      <c r="E449" s="15" t="str">
        <f>IFERROR(__xludf.DUMMYFUNCTION("""COMPUTED_VALUE"""),"CORPORATE")</f>
        <v>CORPORATE</v>
      </c>
      <c r="F449" s="15" t="str">
        <f>IFERROR(__xludf.DUMMYFUNCTION("""COMPUTED_VALUE"""),"Listicle")</f>
        <v>Listicle</v>
      </c>
      <c r="G449" s="15" t="b">
        <f>IFERROR(__xludf.DUMMYFUNCTION("""COMPUTED_VALUE"""),FALSE)</f>
        <v>0</v>
      </c>
      <c r="H449" s="15" t="str">
        <f>IFERROR(__xludf.DUMMYFUNCTION("""COMPUTED_VALUE"""),"Single Grain")</f>
        <v>Single Grain</v>
      </c>
      <c r="I449" s="15">
        <f>IFERROR(__xludf.DUMMYFUNCTION("""COMPUTED_VALUE"""),1.0)</f>
        <v>1</v>
      </c>
      <c r="J449" s="15">
        <f>IFERROR(__xludf.DUMMYFUNCTION("""COMPUTED_VALUE"""),0.0)</f>
        <v>0</v>
      </c>
      <c r="K449" s="15">
        <f>IFERROR(__xludf.DUMMYFUNCTION("""COMPUTED_VALUE"""),1.0)</f>
        <v>1</v>
      </c>
    </row>
    <row r="450" ht="15.75" customHeight="1">
      <c r="A450" s="14" t="str">
        <f>IFERROR(__xludf.DUMMYFUNCTION("""COMPUTED_VALUE"""),"https://www.intellectyx.com/ai-agent-development-companies-in-usa/")</f>
        <v>https://www.intellectyx.com/ai-agent-development-companies-in-usa/</v>
      </c>
      <c r="B450" s="15" t="str">
        <f>IFERROR(__xludf.DUMMYFUNCTION("""COMPUTED_VALUE"""),"Top AI Agent Development Companies in USA (2026)")</f>
        <v>Top AI Agent Development Companies in USA (2026)</v>
      </c>
      <c r="C450" s="14" t="str">
        <f>IFERROR(__xludf.DUMMYFUNCTION("""COMPUTED_VALUE"""),"intellectyx.com")</f>
        <v>intellectyx.com</v>
      </c>
      <c r="D450" s="15" t="str">
        <f>IFERROR(__xludf.DUMMYFUNCTION("""COMPUTED_VALUE"""),"LISTICLE")</f>
        <v>LISTICLE</v>
      </c>
      <c r="E450" s="15" t="str">
        <f>IFERROR(__xludf.DUMMYFUNCTION("""COMPUTED_VALUE"""),"UGC")</f>
        <v>UGC</v>
      </c>
      <c r="F450" s="15" t="str">
        <f>IFERROR(__xludf.DUMMYFUNCTION("""COMPUTED_VALUE"""),"Listicle")</f>
        <v>Listicle</v>
      </c>
      <c r="G450" s="15" t="b">
        <f>IFERROR(__xludf.DUMMYFUNCTION("""COMPUTED_VALUE"""),FALSE)</f>
        <v>0</v>
      </c>
      <c r="H450" s="15"/>
      <c r="I450" s="15">
        <f>IFERROR(__xludf.DUMMYFUNCTION("""COMPUTED_VALUE"""),1.0)</f>
        <v>1</v>
      </c>
      <c r="J450" s="15">
        <f>IFERROR(__xludf.DUMMYFUNCTION("""COMPUTED_VALUE"""),0.0)</f>
        <v>0</v>
      </c>
      <c r="K450" s="15">
        <f>IFERROR(__xludf.DUMMYFUNCTION("""COMPUTED_VALUE"""),0.0)</f>
        <v>0</v>
      </c>
    </row>
    <row r="451" ht="15.75" customHeight="1">
      <c r="A451" s="14" t="str">
        <f>IFERROR(__xludf.DUMMYFUNCTION("""COMPUTED_VALUE"""),"https://itprofiles.com/services/ai-consulting/uk")</f>
        <v>https://itprofiles.com/services/ai-consulting/uk</v>
      </c>
      <c r="B451" s="15" t="str">
        <f>IFERROR(__xludf.DUMMYFUNCTION("""COMPUTED_VALUE"""),"22 Best-Rated AI Consulting Companies in United Kingdom- Jul 2026 Rankings | ITProfiles")</f>
        <v>22 Best-Rated AI Consulting Companies in United Kingdom- Jul 2026 Rankings | ITProfiles</v>
      </c>
      <c r="C451" s="14" t="str">
        <f>IFERROR(__xludf.DUMMYFUNCTION("""COMPUTED_VALUE"""),"itprofiles.com")</f>
        <v>itprofiles.com</v>
      </c>
      <c r="D451" s="15" t="str">
        <f>IFERROR(__xludf.DUMMYFUNCTION("""COMPUTED_VALUE"""),"LISTICLE")</f>
        <v>LISTICLE</v>
      </c>
      <c r="E451" s="15" t="str">
        <f>IFERROR(__xludf.DUMMYFUNCTION("""COMPUTED_VALUE"""),"REFERENCE")</f>
        <v>REFERENCE</v>
      </c>
      <c r="F451" s="15" t="str">
        <f>IFERROR(__xludf.DUMMYFUNCTION("""COMPUTED_VALUE"""),"Listicle")</f>
        <v>Listicle</v>
      </c>
      <c r="G451" s="15" t="b">
        <f>IFERROR(__xludf.DUMMYFUNCTION("""COMPUTED_VALUE"""),FALSE)</f>
        <v>0</v>
      </c>
      <c r="H451" s="15" t="str">
        <f>IFERROR(__xludf.DUMMYFUNCTION("""COMPUTED_VALUE"""),"QuantumBlack")</f>
        <v>QuantumBlack</v>
      </c>
      <c r="I451" s="15">
        <f>IFERROR(__xludf.DUMMYFUNCTION("""COMPUTED_VALUE"""),1.0)</f>
        <v>1</v>
      </c>
      <c r="J451" s="15">
        <f>IFERROR(__xludf.DUMMYFUNCTION("""COMPUTED_VALUE"""),0.0)</f>
        <v>0</v>
      </c>
      <c r="K451" s="15">
        <f>IFERROR(__xludf.DUMMYFUNCTION("""COMPUTED_VALUE"""),0.0)</f>
        <v>0</v>
      </c>
    </row>
    <row r="452" ht="15.75" customHeight="1">
      <c r="A452" s="14" t="str">
        <f>IFERROR(__xludf.DUMMYFUNCTION("""COMPUTED_VALUE"""),"https://jake-jorgovan.com/blog/tiktok-marketing-agencies")</f>
        <v>https://jake-jorgovan.com/blog/tiktok-marketing-agencies</v>
      </c>
      <c r="B452" s="15" t="str">
        <f>IFERROR(__xludf.DUMMYFUNCTION("""COMPUTED_VALUE"""),"Top 30 TikTok Marketing Agencies in 2025 — Jake Jorgovan")</f>
        <v>Top 30 TikTok Marketing Agencies in 2025 — Jake Jorgovan</v>
      </c>
      <c r="C452" s="14" t="str">
        <f>IFERROR(__xludf.DUMMYFUNCTION("""COMPUTED_VALUE"""),"jake-jorgovan.com")</f>
        <v>jake-jorgovan.com</v>
      </c>
      <c r="D452" s="15" t="str">
        <f>IFERROR(__xludf.DUMMYFUNCTION("""COMPUTED_VALUE"""),"LISTICLE")</f>
        <v>LISTICLE</v>
      </c>
      <c r="E452" s="15" t="str">
        <f>IFERROR(__xludf.DUMMYFUNCTION("""COMPUTED_VALUE"""),"CORPORATE")</f>
        <v>CORPORATE</v>
      </c>
      <c r="F452" s="15" t="str">
        <f>IFERROR(__xludf.DUMMYFUNCTION("""COMPUTED_VALUE"""),"Listicle")</f>
        <v>Listicle</v>
      </c>
      <c r="G452" s="15" t="b">
        <f>IFERROR(__xludf.DUMMYFUNCTION("""COMPUTED_VALUE"""),FALSE)</f>
        <v>0</v>
      </c>
      <c r="H452" s="15" t="str">
        <f>IFERROR(__xludf.DUMMYFUNCTION("""COMPUTED_VALUE"""),"inBeat, NoGood, Measured, Power Digital, Disrupt Marketing, The Social Shepherd")</f>
        <v>inBeat, NoGood, Measured, Power Digital, Disrupt Marketing, The Social Shepherd</v>
      </c>
      <c r="I452" s="15">
        <f>IFERROR(__xludf.DUMMYFUNCTION("""COMPUTED_VALUE"""),1.0)</f>
        <v>1</v>
      </c>
      <c r="J452" s="15">
        <f>IFERROR(__xludf.DUMMYFUNCTION("""COMPUTED_VALUE"""),0.0)</f>
        <v>0</v>
      </c>
      <c r="K452" s="15">
        <f>IFERROR(__xludf.DUMMYFUNCTION("""COMPUTED_VALUE"""),1.0)</f>
        <v>1</v>
      </c>
    </row>
    <row r="453" ht="15.75" customHeight="1">
      <c r="A453" s="14" t="str">
        <f>IFERROR(__xludf.DUMMYFUNCTION("""COMPUTED_VALUE"""),"https://www.k2l.co.uk/top-25-digital-marketing-agencies-in-the-uk-2024/")</f>
        <v>https://www.k2l.co.uk/top-25-digital-marketing-agencies-in-the-uk-2024/</v>
      </c>
      <c r="B453" s="15" t="str">
        <f>IFERROR(__xludf.DUMMYFUNCTION("""COMPUTED_VALUE"""),"Top 25 Digital Marketing Agencies in the UK (2024) | K2L Marketing")</f>
        <v>Top 25 Digital Marketing Agencies in the UK (2024) | K2L Marketing</v>
      </c>
      <c r="C453" s="14" t="str">
        <f>IFERROR(__xludf.DUMMYFUNCTION("""COMPUTED_VALUE"""),"k2l.co.uk")</f>
        <v>k2l.co.uk</v>
      </c>
      <c r="D453" s="15" t="str">
        <f>IFERROR(__xludf.DUMMYFUNCTION("""COMPUTED_VALUE"""),"LISTICLE")</f>
        <v>LISTICLE</v>
      </c>
      <c r="E453" s="15" t="str">
        <f>IFERROR(__xludf.DUMMYFUNCTION("""COMPUTED_VALUE"""),"CORPORATE")</f>
        <v>CORPORATE</v>
      </c>
      <c r="F453" s="15" t="str">
        <f>IFERROR(__xludf.DUMMYFUNCTION("""COMPUTED_VALUE"""),"Listicle")</f>
        <v>Listicle</v>
      </c>
      <c r="G453" s="15" t="b">
        <f>IFERROR(__xludf.DUMMYFUNCTION("""COMPUTED_VALUE"""),FALSE)</f>
        <v>0</v>
      </c>
      <c r="H453" s="15" t="str">
        <f>IFERROR(__xludf.DUMMYFUNCTION("""COMPUTED_VALUE"""),"Found, Push, Push Group, Dept, Gripped, The Brains, Huge, LOCALiQ, Saatchi &amp; Saatchi, BBH London, Transmission")</f>
        <v>Found, Push, Push Group, Dept, Gripped, The Brains, Huge, LOCALiQ, Saatchi &amp; Saatchi, BBH London, Transmission</v>
      </c>
      <c r="I453" s="15">
        <f>IFERROR(__xludf.DUMMYFUNCTION("""COMPUTED_VALUE"""),1.0)</f>
        <v>1</v>
      </c>
      <c r="J453" s="15">
        <f>IFERROR(__xludf.DUMMYFUNCTION("""COMPUTED_VALUE"""),0.0)</f>
        <v>0</v>
      </c>
      <c r="K453" s="15">
        <f>IFERROR(__xludf.DUMMYFUNCTION("""COMPUTED_VALUE"""),0.0)</f>
        <v>0</v>
      </c>
    </row>
    <row r="454" ht="15.75" customHeight="1">
      <c r="A454" s="14" t="str">
        <f>IFERROR(__xludf.DUMMYFUNCTION("""COMPUTED_VALUE"""),"https://www.kaweb.co.uk/blog/best-ppc-agencies-uk")</f>
        <v>https://www.kaweb.co.uk/blog/best-ppc-agencies-uk</v>
      </c>
      <c r="B454" s="15" t="str">
        <f>IFERROR(__xludf.DUMMYFUNCTION("""COMPUTED_VALUE"""),"13 Best PPC Agencies in the UK | Kaweb 2025 Guide | Kaweb")</f>
        <v>13 Best PPC Agencies in the UK | Kaweb 2025 Guide | Kaweb</v>
      </c>
      <c r="C454" s="14" t="str">
        <f>IFERROR(__xludf.DUMMYFUNCTION("""COMPUTED_VALUE"""),"kaweb.co.uk")</f>
        <v>kaweb.co.uk</v>
      </c>
      <c r="D454" s="15" t="str">
        <f>IFERROR(__xludf.DUMMYFUNCTION("""COMPUTED_VALUE"""),"LISTICLE")</f>
        <v>LISTICLE</v>
      </c>
      <c r="E454" s="15" t="str">
        <f>IFERROR(__xludf.DUMMYFUNCTION("""COMPUTED_VALUE"""),"CORPORATE")</f>
        <v>CORPORATE</v>
      </c>
      <c r="F454" s="15" t="str">
        <f>IFERROR(__xludf.DUMMYFUNCTION("""COMPUTED_VALUE"""),"Listicle")</f>
        <v>Listicle</v>
      </c>
      <c r="G454" s="15" t="b">
        <f>IFERROR(__xludf.DUMMYFUNCTION("""COMPUTED_VALUE"""),FALSE)</f>
        <v>0</v>
      </c>
      <c r="H454" s="15" t="str">
        <f>IFERROR(__xludf.DUMMYFUNCTION("""COMPUTED_VALUE"""),"The Social Shepherd, PPC Geeks, Impression, inBeat, NP Digital, Koozai, Ninja Promo, Bind Media, Found, Push, Push Group, NoGood, Momentum")</f>
        <v>The Social Shepherd, PPC Geeks, Impression, inBeat, NP Digital, Koozai, Ninja Promo, Bind Media, Found, Push, Push Group, NoGood, Momentum</v>
      </c>
      <c r="I454" s="15">
        <f>IFERROR(__xludf.DUMMYFUNCTION("""COMPUTED_VALUE"""),1.0)</f>
        <v>1</v>
      </c>
      <c r="J454" s="15">
        <f>IFERROR(__xludf.DUMMYFUNCTION("""COMPUTED_VALUE"""),0.0)</f>
        <v>0</v>
      </c>
      <c r="K454" s="15">
        <f>IFERROR(__xludf.DUMMYFUNCTION("""COMPUTED_VALUE"""),1.0)</f>
        <v>1</v>
      </c>
    </row>
    <row r="455" ht="15.75" customHeight="1">
      <c r="A455" s="14" t="str">
        <f>IFERROR(__xludf.DUMMYFUNCTION("""COMPUTED_VALUE"""),"https://knownandcited.com/blog/leading-uk-ai-visibility-agencies-2026")</f>
        <v>https://knownandcited.com/blog/leading-uk-ai-visibility-agencies-2026</v>
      </c>
      <c r="B455" s="15" t="str">
        <f>IFERROR(__xludf.DUMMYFUNCTION("""COMPUTED_VALUE"""),"Leading AI Visibility Agencies in the UK | Known &amp;amp; Cited")</f>
        <v>Leading AI Visibility Agencies in the UK | Known &amp;amp; Cited</v>
      </c>
      <c r="C455" s="14" t="str">
        <f>IFERROR(__xludf.DUMMYFUNCTION("""COMPUTED_VALUE"""),"knownandcited.com")</f>
        <v>knownandcited.com</v>
      </c>
      <c r="D455" s="15" t="str">
        <f>IFERROR(__xludf.DUMMYFUNCTION("""COMPUTED_VALUE"""),"LISTICLE")</f>
        <v>LISTICLE</v>
      </c>
      <c r="E455" s="15" t="str">
        <f>IFERROR(__xludf.DUMMYFUNCTION("""COMPUTED_VALUE"""),"CORPORATE")</f>
        <v>CORPORATE</v>
      </c>
      <c r="F455" s="15" t="str">
        <f>IFERROR(__xludf.DUMMYFUNCTION("""COMPUTED_VALUE"""),"Listicle")</f>
        <v>Listicle</v>
      </c>
      <c r="G455" s="15" t="b">
        <f>IFERROR(__xludf.DUMMYFUNCTION("""COMPUTED_VALUE"""),FALSE)</f>
        <v>0</v>
      </c>
      <c r="H455" s="15" t="str">
        <f>IFERROR(__xludf.DUMMYFUNCTION("""COMPUTED_VALUE"""),"Tilio, Rank4AI")</f>
        <v>Tilio, Rank4AI</v>
      </c>
      <c r="I455" s="15">
        <f>IFERROR(__xludf.DUMMYFUNCTION("""COMPUTED_VALUE"""),1.0)</f>
        <v>1</v>
      </c>
      <c r="J455" s="15">
        <f>IFERROR(__xludf.DUMMYFUNCTION("""COMPUTED_VALUE"""),0.0)</f>
        <v>0</v>
      </c>
      <c r="K455" s="15">
        <f>IFERROR(__xludf.DUMMYFUNCTION("""COMPUTED_VALUE"""),0.0)</f>
        <v>0</v>
      </c>
    </row>
    <row r="456" ht="15.75" customHeight="1">
      <c r="A456" s="14" t="str">
        <f>IFERROR(__xludf.DUMMYFUNCTION("""COMPUTED_VALUE"""),"https://lengreo.com/erotic-lead-generation-agencies/")</f>
        <v>https://lengreo.com/erotic-lead-generation-agencies/</v>
      </c>
      <c r="B456" s="15" t="str">
        <f>IFERROR(__xludf.DUMMYFUNCTION("""COMPUTED_VALUE"""),"Top 13 Erotic Lead Generation Companies (2026)")</f>
        <v>Top 13 Erotic Lead Generation Companies (2026)</v>
      </c>
      <c r="C456" s="14" t="str">
        <f>IFERROR(__xludf.DUMMYFUNCTION("""COMPUTED_VALUE"""),"lengreo.com")</f>
        <v>lengreo.com</v>
      </c>
      <c r="D456" s="15" t="str">
        <f>IFERROR(__xludf.DUMMYFUNCTION("""COMPUTED_VALUE"""),"LISTICLE")</f>
        <v>LISTICLE</v>
      </c>
      <c r="E456" s="15" t="str">
        <f>IFERROR(__xludf.DUMMYFUNCTION("""COMPUTED_VALUE"""),"CORPORATE")</f>
        <v>CORPORATE</v>
      </c>
      <c r="F456" s="15" t="str">
        <f>IFERROR(__xludf.DUMMYFUNCTION("""COMPUTED_VALUE"""),"Listicle")</f>
        <v>Listicle</v>
      </c>
      <c r="G456" s="15" t="b">
        <f>IFERROR(__xludf.DUMMYFUNCTION("""COMPUTED_VALUE"""),FALSE)</f>
        <v>0</v>
      </c>
      <c r="H456" s="15" t="str">
        <f>IFERROR(__xludf.DUMMYFUNCTION("""COMPUTED_VALUE"""),"Whitehat")</f>
        <v>Whitehat</v>
      </c>
      <c r="I456" s="15">
        <f>IFERROR(__xludf.DUMMYFUNCTION("""COMPUTED_VALUE"""),1.0)</f>
        <v>1</v>
      </c>
      <c r="J456" s="15">
        <f>IFERROR(__xludf.DUMMYFUNCTION("""COMPUTED_VALUE"""),0.0)</f>
        <v>0</v>
      </c>
      <c r="K456" s="15">
        <f>IFERROR(__xludf.DUMMYFUNCTION("""COMPUTED_VALUE"""),1.0)</f>
        <v>1</v>
      </c>
    </row>
    <row r="457" ht="15.75" customHeight="1">
      <c r="A457" s="14" t="str">
        <f>IFERROR(__xludf.DUMMYFUNCTION("""COMPUTED_VALUE"""),"https://www.leverdigital.co.uk/post/best-ppc-agencies-uk")</f>
        <v>https://www.leverdigital.co.uk/post/best-ppc-agencies-uk</v>
      </c>
      <c r="B457" s="15" t="str">
        <f>IFERROR(__xludf.DUMMYFUNCTION("""COMPUTED_VALUE"""),"Best PPC Agencies UK 2026 | Lever Digital")</f>
        <v>Best PPC Agencies UK 2026 | Lever Digital</v>
      </c>
      <c r="C457" s="14" t="str">
        <f>IFERROR(__xludf.DUMMYFUNCTION("""COMPUTED_VALUE"""),"leverdigital.co.uk")</f>
        <v>leverdigital.co.uk</v>
      </c>
      <c r="D457" s="15" t="str">
        <f>IFERROR(__xludf.DUMMYFUNCTION("""COMPUTED_VALUE"""),"LISTICLE")</f>
        <v>LISTICLE</v>
      </c>
      <c r="E457" s="15" t="str">
        <f>IFERROR(__xludf.DUMMYFUNCTION("""COMPUTED_VALUE"""),"CORPORATE")</f>
        <v>CORPORATE</v>
      </c>
      <c r="F457" s="15" t="str">
        <f>IFERROR(__xludf.DUMMYFUNCTION("""COMPUTED_VALUE"""),"Listicle")</f>
        <v>Listicle</v>
      </c>
      <c r="G457" s="15" t="b">
        <f>IFERROR(__xludf.DUMMYFUNCTION("""COMPUTED_VALUE"""),FALSE)</f>
        <v>0</v>
      </c>
      <c r="H457" s="15" t="str">
        <f>IFERROR(__xludf.DUMMYFUNCTION("""COMPUTED_VALUE"""),"Impression, PPC Geeks, Brainlabs, Measured")</f>
        <v>Impression, PPC Geeks, Brainlabs, Measured</v>
      </c>
      <c r="I457" s="15">
        <f>IFERROR(__xludf.DUMMYFUNCTION("""COMPUTED_VALUE"""),1.0)</f>
        <v>1</v>
      </c>
      <c r="J457" s="15">
        <f>IFERROR(__xludf.DUMMYFUNCTION("""COMPUTED_VALUE"""),0.0)</f>
        <v>0</v>
      </c>
      <c r="K457" s="15">
        <f>IFERROR(__xludf.DUMMYFUNCTION("""COMPUTED_VALUE"""),1.0)</f>
        <v>1</v>
      </c>
    </row>
    <row r="458" ht="15.75" customHeight="1">
      <c r="A458" s="14" t="str">
        <f>IFERROR(__xludf.DUMMYFUNCTION("""COMPUTED_VALUE"""),"https://www.linkedin.com/pulse/top-21-data-science-consulting-companies-2026-saurabh-sharma-kzwge")</f>
        <v>https://www.linkedin.com/pulse/top-21-data-science-consulting-companies-2026-saurabh-sharma-kzwge</v>
      </c>
      <c r="B458" s="15" t="str">
        <f>IFERROR(__xludf.DUMMYFUNCTION("""COMPUTED_VALUE"""),"Top 21 Data Science Consulting Companies in 2026")</f>
        <v>Top 21 Data Science Consulting Companies in 2026</v>
      </c>
      <c r="C458" s="14" t="str">
        <f>IFERROR(__xludf.DUMMYFUNCTION("""COMPUTED_VALUE"""),"linkedin.com")</f>
        <v>linkedin.com</v>
      </c>
      <c r="D458" s="15" t="str">
        <f>IFERROR(__xludf.DUMMYFUNCTION("""COMPUTED_VALUE"""),"LISTICLE")</f>
        <v>LISTICLE</v>
      </c>
      <c r="E458" s="15" t="str">
        <f>IFERROR(__xludf.DUMMYFUNCTION("""COMPUTED_VALUE"""),"UGC")</f>
        <v>UGC</v>
      </c>
      <c r="F458" s="15" t="str">
        <f>IFERROR(__xludf.DUMMYFUNCTION("""COMPUTED_VALUE"""),"Listicle")</f>
        <v>Listicle</v>
      </c>
      <c r="G458" s="15" t="b">
        <f>IFERROR(__xludf.DUMMYFUNCTION("""COMPUTED_VALUE"""),FALSE)</f>
        <v>0</v>
      </c>
      <c r="H458" s="15" t="str">
        <f>IFERROR(__xludf.DUMMYFUNCTION("""COMPUTED_VALUE"""),"PwC")</f>
        <v>PwC</v>
      </c>
      <c r="I458" s="15">
        <f>IFERROR(__xludf.DUMMYFUNCTION("""COMPUTED_VALUE"""),1.0)</f>
        <v>1</v>
      </c>
      <c r="J458" s="15">
        <f>IFERROR(__xludf.DUMMYFUNCTION("""COMPUTED_VALUE"""),0.0)</f>
        <v>0</v>
      </c>
      <c r="K458" s="15">
        <f>IFERROR(__xludf.DUMMYFUNCTION("""COMPUTED_VALUE"""),0.0)</f>
        <v>0</v>
      </c>
    </row>
    <row r="459" ht="15.75" customHeight="1">
      <c r="A459" s="14" t="str">
        <f>IFERROR(__xludf.DUMMYFUNCTION("""COMPUTED_VALUE"""),"https://www.loudface.co/blog/best-aeo-agencies-b2b-saas-2026")</f>
        <v>https://www.loudface.co/blog/best-aeo-agencies-b2b-saas-2026</v>
      </c>
      <c r="B459" s="15" t="str">
        <f>IFERROR(__xludf.DUMMYFUNCTION("""COMPUTED_VALUE"""),"Best AEO &amp;amp; GEO Agencies for B2B SaaS in 2026 | LoudFace")</f>
        <v>Best AEO &amp;amp; GEO Agencies for B2B SaaS in 2026 | LoudFace</v>
      </c>
      <c r="C459" s="14" t="str">
        <f>IFERROR(__xludf.DUMMYFUNCTION("""COMPUTED_VALUE"""),"loudface.co")</f>
        <v>loudface.co</v>
      </c>
      <c r="D459" s="15" t="str">
        <f>IFERROR(__xludf.DUMMYFUNCTION("""COMPUTED_VALUE"""),"LISTICLE")</f>
        <v>LISTICLE</v>
      </c>
      <c r="E459" s="15" t="str">
        <f>IFERROR(__xludf.DUMMYFUNCTION("""COMPUTED_VALUE"""),"CORPORATE")</f>
        <v>CORPORATE</v>
      </c>
      <c r="F459" s="15" t="str">
        <f>IFERROR(__xludf.DUMMYFUNCTION("""COMPUTED_VALUE"""),"Listicle")</f>
        <v>Listicle</v>
      </c>
      <c r="G459" s="15" t="b">
        <f>IFERROR(__xludf.DUMMYFUNCTION("""COMPUTED_VALUE"""),FALSE)</f>
        <v>0</v>
      </c>
      <c r="H459" s="15" t="str">
        <f>IFERROR(__xludf.DUMMYFUNCTION("""COMPUTED_VALUE"""),"Siege Media, NoGood")</f>
        <v>Siege Media, NoGood</v>
      </c>
      <c r="I459" s="15">
        <f>IFERROR(__xludf.DUMMYFUNCTION("""COMPUTED_VALUE"""),1.0)</f>
        <v>1</v>
      </c>
      <c r="J459" s="15">
        <f>IFERROR(__xludf.DUMMYFUNCTION("""COMPUTED_VALUE"""),0.0)</f>
        <v>0</v>
      </c>
      <c r="K459" s="15">
        <f>IFERROR(__xludf.DUMMYFUNCTION("""COMPUTED_VALUE"""),1.0)</f>
        <v>1</v>
      </c>
    </row>
    <row r="460" ht="15.75" customHeight="1">
      <c r="A460" s="14" t="str">
        <f>IFERROR(__xludf.DUMMYFUNCTION("""COMPUTED_VALUE"""),"https://lunarailab.com/blog/2026/03/04/top-5-ai-agent-adoption-agencies-in-2026/")</f>
        <v>https://lunarailab.com/blog/2026/03/04/top-5-ai-agent-adoption-agencies-in-2026/</v>
      </c>
      <c r="B460" s="15" t="str">
        <f>IFERROR(__xludf.DUMMYFUNCTION("""COMPUTED_VALUE"""),"Top 5 AI Agent Adoption Agencies in 2026 - Lunar AI Lab")</f>
        <v>Top 5 AI Agent Adoption Agencies in 2026 - Lunar AI Lab</v>
      </c>
      <c r="C460" s="14" t="str">
        <f>IFERROR(__xludf.DUMMYFUNCTION("""COMPUTED_VALUE"""),"lunarailab.com")</f>
        <v>lunarailab.com</v>
      </c>
      <c r="D460" s="15" t="str">
        <f>IFERROR(__xludf.DUMMYFUNCTION("""COMPUTED_VALUE"""),"LISTICLE")</f>
        <v>LISTICLE</v>
      </c>
      <c r="E460" s="15" t="str">
        <f>IFERROR(__xludf.DUMMYFUNCTION("""COMPUTED_VALUE"""),"CORPORATE")</f>
        <v>CORPORATE</v>
      </c>
      <c r="F460" s="15" t="str">
        <f>IFERROR(__xludf.DUMMYFUNCTION("""COMPUTED_VALUE"""),"Listicle")</f>
        <v>Listicle</v>
      </c>
      <c r="G460" s="15" t="b">
        <f>IFERROR(__xludf.DUMMYFUNCTION("""COMPUTED_VALUE"""),FALSE)</f>
        <v>0</v>
      </c>
      <c r="H460" s="15" t="str">
        <f>IFERROR(__xludf.DUMMYFUNCTION("""COMPUTED_VALUE"""),"Measured")</f>
        <v>Measured</v>
      </c>
      <c r="I460" s="15">
        <f>IFERROR(__xludf.DUMMYFUNCTION("""COMPUTED_VALUE"""),1.0)</f>
        <v>1</v>
      </c>
      <c r="J460" s="15">
        <f>IFERROR(__xludf.DUMMYFUNCTION("""COMPUTED_VALUE"""),0.0)</f>
        <v>0</v>
      </c>
      <c r="K460" s="15">
        <f>IFERROR(__xludf.DUMMYFUNCTION("""COMPUTED_VALUE"""),2.0)</f>
        <v>2</v>
      </c>
    </row>
    <row r="461" ht="15.75" customHeight="1">
      <c r="A461" s="14" t="str">
        <f>IFERROR(__xludf.DUMMYFUNCTION("""COMPUTED_VALUE"""),"https://madebyshape.co.uk/web-design-blog/the-best-branding-agencies-to-work-for-in-the-uk/")</f>
        <v>https://madebyshape.co.uk/web-design-blog/the-best-branding-agencies-to-work-for-in-the-uk/</v>
      </c>
      <c r="B461" s="15" t="str">
        <f>IFERROR(__xludf.DUMMYFUNCTION("""COMPUTED_VALUE"""),"The Best Branding Agencies to Work For in the UK | MadeByShape")</f>
        <v>The Best Branding Agencies to Work For in the UK | MadeByShape</v>
      </c>
      <c r="C461" s="14" t="str">
        <f>IFERROR(__xludf.DUMMYFUNCTION("""COMPUTED_VALUE"""),"madebyshape.co.uk")</f>
        <v>madebyshape.co.uk</v>
      </c>
      <c r="D461" s="15" t="str">
        <f>IFERROR(__xludf.DUMMYFUNCTION("""COMPUTED_VALUE"""),"LISTICLE")</f>
        <v>LISTICLE</v>
      </c>
      <c r="E461" s="15" t="str">
        <f>IFERROR(__xludf.DUMMYFUNCTION("""COMPUTED_VALUE"""),"CORPORATE")</f>
        <v>CORPORATE</v>
      </c>
      <c r="F461" s="15" t="str">
        <f>IFERROR(__xludf.DUMMYFUNCTION("""COMPUTED_VALUE"""),"Listicle")</f>
        <v>Listicle</v>
      </c>
      <c r="G461" s="15" t="b">
        <f>IFERROR(__xludf.DUMMYFUNCTION("""COMPUTED_VALUE"""),FALSE)</f>
        <v>0</v>
      </c>
      <c r="H461" s="15" t="str">
        <f>IFERROR(__xludf.DUMMYFUNCTION("""COMPUTED_VALUE"""),"Push, Gripped, Found")</f>
        <v>Push, Gripped, Found</v>
      </c>
      <c r="I461" s="15">
        <f>IFERROR(__xludf.DUMMYFUNCTION("""COMPUTED_VALUE"""),1.0)</f>
        <v>1</v>
      </c>
      <c r="J461" s="15">
        <f>IFERROR(__xludf.DUMMYFUNCTION("""COMPUTED_VALUE"""),0.0)</f>
        <v>0</v>
      </c>
      <c r="K461" s="15">
        <f>IFERROR(__xludf.DUMMYFUNCTION("""COMPUTED_VALUE"""),0.0)</f>
        <v>0</v>
      </c>
    </row>
    <row r="462" ht="15.75" customHeight="1">
      <c r="A462" s="14" t="str">
        <f>IFERROR(__xludf.DUMMYFUNCTION("""COMPUTED_VALUE"""),"https://marketerhire.com/blog/display-advertising-agency")</f>
        <v>https://marketerhire.com/blog/display-advertising-agency</v>
      </c>
      <c r="B462" s="15" t="str">
        <f>IFERROR(__xludf.DUMMYFUNCTION("""COMPUTED_VALUE"""),"10 Top Display Advertising Agencies to Lower CPMs and Lift Conversions")</f>
        <v>10 Top Display Advertising Agencies to Lower CPMs and Lift Conversions</v>
      </c>
      <c r="C462" s="14" t="str">
        <f>IFERROR(__xludf.DUMMYFUNCTION("""COMPUTED_VALUE"""),"marketerhire.com")</f>
        <v>marketerhire.com</v>
      </c>
      <c r="D462" s="15" t="str">
        <f>IFERROR(__xludf.DUMMYFUNCTION("""COMPUTED_VALUE"""),"LISTICLE")</f>
        <v>LISTICLE</v>
      </c>
      <c r="E462" s="15" t="str">
        <f>IFERROR(__xludf.DUMMYFUNCTION("""COMPUTED_VALUE"""),"CORPORATE")</f>
        <v>CORPORATE</v>
      </c>
      <c r="F462" s="15" t="str">
        <f>IFERROR(__xludf.DUMMYFUNCTION("""COMPUTED_VALUE"""),"Listicle")</f>
        <v>Listicle</v>
      </c>
      <c r="G462" s="15" t="b">
        <f>IFERROR(__xludf.DUMMYFUNCTION("""COMPUTED_VALUE"""),FALSE)</f>
        <v>0</v>
      </c>
      <c r="H462" s="15" t="str">
        <f>IFERROR(__xludf.DUMMYFUNCTION("""COMPUTED_VALUE"""),"Push, Measured, Impression, Single Grain, Momentum, inBeat")</f>
        <v>Push, Measured, Impression, Single Grain, Momentum, inBeat</v>
      </c>
      <c r="I462" s="15">
        <f>IFERROR(__xludf.DUMMYFUNCTION("""COMPUTED_VALUE"""),1.0)</f>
        <v>1</v>
      </c>
      <c r="J462" s="15">
        <f>IFERROR(__xludf.DUMMYFUNCTION("""COMPUTED_VALUE"""),0.0)</f>
        <v>0</v>
      </c>
      <c r="K462" s="15">
        <f>IFERROR(__xludf.DUMMYFUNCTION("""COMPUTED_VALUE"""),1.0)</f>
        <v>1</v>
      </c>
    </row>
    <row r="463" ht="15.75" customHeight="1">
      <c r="A463" s="14" t="str">
        <f>IFERROR(__xludf.DUMMYFUNCTION("""COMPUTED_VALUE"""),"https://marketing-attribution-and-consulting.martechoutlook.com/vendors/top-marketing-attribution-and-consulting-services.html")</f>
        <v>https://marketing-attribution-and-consulting.martechoutlook.com/vendors/top-marketing-attribution-and-consulting-services.html</v>
      </c>
      <c r="B463" s="15" t="str">
        <f>IFERROR(__xludf.DUMMYFUNCTION("""COMPUTED_VALUE"""),"Top Marketing Attribution and Consulting Services")</f>
        <v>Top Marketing Attribution and Consulting Services</v>
      </c>
      <c r="C463" s="14" t="str">
        <f>IFERROR(__xludf.DUMMYFUNCTION("""COMPUTED_VALUE"""),"martechoutlook.com")</f>
        <v>martechoutlook.com</v>
      </c>
      <c r="D463" s="15" t="str">
        <f>IFERROR(__xludf.DUMMYFUNCTION("""COMPUTED_VALUE"""),"LISTICLE")</f>
        <v>LISTICLE</v>
      </c>
      <c r="E463" s="15" t="str">
        <f>IFERROR(__xludf.DUMMYFUNCTION("""COMPUTED_VALUE"""),"EDITORIAL")</f>
        <v>EDITORIAL</v>
      </c>
      <c r="F463" s="15" t="str">
        <f>IFERROR(__xludf.DUMMYFUNCTION("""COMPUTED_VALUE"""),"Listicle")</f>
        <v>Listicle</v>
      </c>
      <c r="G463" s="15" t="b">
        <f>IFERROR(__xludf.DUMMYFUNCTION("""COMPUTED_VALUE"""),FALSE)</f>
        <v>0</v>
      </c>
      <c r="H463" s="15" t="str">
        <f>IFERROR(__xludf.DUMMYFUNCTION("""COMPUTED_VALUE"""),"Push, Impression")</f>
        <v>Push, Impression</v>
      </c>
      <c r="I463" s="15">
        <f>IFERROR(__xludf.DUMMYFUNCTION("""COMPUTED_VALUE"""),1.0)</f>
        <v>1</v>
      </c>
      <c r="J463" s="15">
        <f>IFERROR(__xludf.DUMMYFUNCTION("""COMPUTED_VALUE"""),0.0)</f>
        <v>0</v>
      </c>
      <c r="K463" s="15">
        <f>IFERROR(__xludf.DUMMYFUNCTION("""COMPUTED_VALUE"""),0.0)</f>
        <v>0</v>
      </c>
    </row>
    <row r="464" ht="15.75" customHeight="1">
      <c r="A464" s="14" t="str">
        <f>IFERROR(__xludf.DUMMYFUNCTION("""COMPUTED_VALUE"""),"https://marketingsignals.com/best-ppc-agency-2026-the-top-uk-pay-per-click-agencies-ranked/")</f>
        <v>https://marketingsignals.com/best-ppc-agency-2026-the-top-uk-pay-per-click-agencies-ranked/</v>
      </c>
      <c r="B464" s="15" t="str">
        <f>IFERROR(__xludf.DUMMYFUNCTION("""COMPUTED_VALUE"""),"Best PPC Agency 2026: The Top UK Pay-Per-Click Agencies Ranked - Marketing Signals")</f>
        <v>Best PPC Agency 2026: The Top UK Pay-Per-Click Agencies Ranked - Marketing Signals</v>
      </c>
      <c r="C464" s="14" t="str">
        <f>IFERROR(__xludf.DUMMYFUNCTION("""COMPUTED_VALUE"""),"marketingsignals.com")</f>
        <v>marketingsignals.com</v>
      </c>
      <c r="D464" s="15" t="str">
        <f>IFERROR(__xludf.DUMMYFUNCTION("""COMPUTED_VALUE"""),"LISTICLE")</f>
        <v>LISTICLE</v>
      </c>
      <c r="E464" s="15" t="str">
        <f>IFERROR(__xludf.DUMMYFUNCTION("""COMPUTED_VALUE"""),"CORPORATE")</f>
        <v>CORPORATE</v>
      </c>
      <c r="F464" s="15" t="str">
        <f>IFERROR(__xludf.DUMMYFUNCTION("""COMPUTED_VALUE"""),"Listicle")</f>
        <v>Listicle</v>
      </c>
      <c r="G464" s="15" t="b">
        <f>IFERROR(__xludf.DUMMYFUNCTION("""COMPUTED_VALUE"""),FALSE)</f>
        <v>0</v>
      </c>
      <c r="H464" s="15" t="str">
        <f>IFERROR(__xludf.DUMMYFUNCTION("""COMPUTED_VALUE"""),"Brainlabs, Hallam, PPC Geeks, The Social Shepherd, Transmission")</f>
        <v>Brainlabs, Hallam, PPC Geeks, The Social Shepherd, Transmission</v>
      </c>
      <c r="I464" s="15">
        <f>IFERROR(__xludf.DUMMYFUNCTION("""COMPUTED_VALUE"""),1.0)</f>
        <v>1</v>
      </c>
      <c r="J464" s="15">
        <f>IFERROR(__xludf.DUMMYFUNCTION("""COMPUTED_VALUE"""),0.0)</f>
        <v>0</v>
      </c>
      <c r="K464" s="15">
        <f>IFERROR(__xludf.DUMMYFUNCTION("""COMPUTED_VALUE"""),0.0)</f>
        <v>0</v>
      </c>
    </row>
    <row r="465" ht="15.75" customHeight="1">
      <c r="A465" s="14" t="str">
        <f>IFERROR(__xludf.DUMMYFUNCTION("""COMPUTED_VALUE"""),"https://martal.ca/integrated-marketing-agencies-lb/")</f>
        <v>https://martal.ca/integrated-marketing-agencies-lb/</v>
      </c>
      <c r="B465" s="15" t="str">
        <f>IFERROR(__xludf.DUMMYFUNCTION("""COMPUTED_VALUE"""),"Top Integrated Marketing Agencies: ROI-Driven Guide for 2026")</f>
        <v>Top Integrated Marketing Agencies: ROI-Driven Guide for 2026</v>
      </c>
      <c r="C465" s="14" t="str">
        <f>IFERROR(__xludf.DUMMYFUNCTION("""COMPUTED_VALUE"""),"martal.ca")</f>
        <v>martal.ca</v>
      </c>
      <c r="D465" s="15" t="str">
        <f>IFERROR(__xludf.DUMMYFUNCTION("""COMPUTED_VALUE"""),"LISTICLE")</f>
        <v>LISTICLE</v>
      </c>
      <c r="E465" s="15" t="str">
        <f>IFERROR(__xludf.DUMMYFUNCTION("""COMPUTED_VALUE"""),"CORPORATE")</f>
        <v>CORPORATE</v>
      </c>
      <c r="F465" s="15" t="str">
        <f>IFERROR(__xludf.DUMMYFUNCTION("""COMPUTED_VALUE"""),"Listicle")</f>
        <v>Listicle</v>
      </c>
      <c r="G465" s="15" t="b">
        <f>IFERROR(__xludf.DUMMYFUNCTION("""COMPUTED_VALUE"""),FALSE)</f>
        <v>0</v>
      </c>
      <c r="H465" s="15" t="str">
        <f>IFERROR(__xludf.DUMMYFUNCTION("""COMPUTED_VALUE"""),"Found, Push, Measured, Dentsu")</f>
        <v>Found, Push, Measured, Dentsu</v>
      </c>
      <c r="I465" s="15">
        <f>IFERROR(__xludf.DUMMYFUNCTION("""COMPUTED_VALUE"""),1.0)</f>
        <v>1</v>
      </c>
      <c r="J465" s="15">
        <f>IFERROR(__xludf.DUMMYFUNCTION("""COMPUTED_VALUE"""),0.0)</f>
        <v>0</v>
      </c>
      <c r="K465" s="15">
        <f>IFERROR(__xludf.DUMMYFUNCTION("""COMPUTED_VALUE"""),1.0)</f>
        <v>1</v>
      </c>
    </row>
    <row r="466" ht="15.75" customHeight="1">
      <c r="A466" s="14" t="str">
        <f>IFERROR(__xludf.DUMMYFUNCTION("""COMPUTED_VALUE"""),"https://www.medianug.com/blog/10-paid-media-agencies-to-elevate-your-marketing-strategy-in-2026")</f>
        <v>https://www.medianug.com/blog/10-paid-media-agencies-to-elevate-your-marketing-strategy-in-2026</v>
      </c>
      <c r="B466" s="15" t="str">
        <f>IFERROR(__xludf.DUMMYFUNCTION("""COMPUTED_VALUE"""),"10 Paid Media Agencies to Elevate Your Marketing Strategy in 2026")</f>
        <v>10 Paid Media Agencies to Elevate Your Marketing Strategy in 2026</v>
      </c>
      <c r="C466" s="14" t="str">
        <f>IFERROR(__xludf.DUMMYFUNCTION("""COMPUTED_VALUE"""),"medianug.com")</f>
        <v>medianug.com</v>
      </c>
      <c r="D466" s="15" t="str">
        <f>IFERROR(__xludf.DUMMYFUNCTION("""COMPUTED_VALUE"""),"LISTICLE")</f>
        <v>LISTICLE</v>
      </c>
      <c r="E466" s="15" t="str">
        <f>IFERROR(__xludf.DUMMYFUNCTION("""COMPUTED_VALUE"""),"OTHER")</f>
        <v>OTHER</v>
      </c>
      <c r="F466" s="15" t="str">
        <f>IFERROR(__xludf.DUMMYFUNCTION("""COMPUTED_VALUE"""),"Listicle")</f>
        <v>Listicle</v>
      </c>
      <c r="G466" s="15" t="b">
        <f>IFERROR(__xludf.DUMMYFUNCTION("""COMPUTED_VALUE"""),FALSE)</f>
        <v>0</v>
      </c>
      <c r="H466" s="15" t="str">
        <f>IFERROR(__xludf.DUMMYFUNCTION("""COMPUTED_VALUE"""),"Directive Consulting, Power Digital, Wpromote, Tinuiti, NP Digital, Disruptive Advertising, WebFX, Disrupt Marketing, Found")</f>
        <v>Directive Consulting, Power Digital, Wpromote, Tinuiti, NP Digital, Disruptive Advertising, WebFX, Disrupt Marketing, Found</v>
      </c>
      <c r="I466" s="15">
        <f>IFERROR(__xludf.DUMMYFUNCTION("""COMPUTED_VALUE"""),1.0)</f>
        <v>1</v>
      </c>
      <c r="J466" s="15">
        <f>IFERROR(__xludf.DUMMYFUNCTION("""COMPUTED_VALUE"""),0.0)</f>
        <v>0</v>
      </c>
      <c r="K466" s="15">
        <f>IFERROR(__xludf.DUMMYFUNCTION("""COMPUTED_VALUE"""),0.0)</f>
        <v>0</v>
      </c>
    </row>
    <row r="467" ht="15.75" customHeight="1">
      <c r="A467" s="14" t="str">
        <f>IFERROR(__xludf.DUMMYFUNCTION("""COMPUTED_VALUE"""),"https://mediascape.ltd.uk/av-insights/top-digital-screen-companies-in-the-uk/")</f>
        <v>https://mediascape.ltd.uk/av-insights/top-digital-screen-companies-in-the-uk/</v>
      </c>
      <c r="B467" s="15" t="str">
        <f>IFERROR(__xludf.DUMMYFUNCTION("""COMPUTED_VALUE"""),"Top 10 Digital Screen Companies in the UK")</f>
        <v>Top 10 Digital Screen Companies in the UK</v>
      </c>
      <c r="C467" s="14" t="str">
        <f>IFERROR(__xludf.DUMMYFUNCTION("""COMPUTED_VALUE"""),"mediascape.ltd.uk")</f>
        <v>mediascape.ltd.uk</v>
      </c>
      <c r="D467" s="15" t="str">
        <f>IFERROR(__xludf.DUMMYFUNCTION("""COMPUTED_VALUE"""),"LISTICLE")</f>
        <v>LISTICLE</v>
      </c>
      <c r="E467" s="15" t="str">
        <f>IFERROR(__xludf.DUMMYFUNCTION("""COMPUTED_VALUE"""),"CORPORATE")</f>
        <v>CORPORATE</v>
      </c>
      <c r="F467" s="15" t="str">
        <f>IFERROR(__xludf.DUMMYFUNCTION("""COMPUTED_VALUE"""),"Listicle")</f>
        <v>Listicle</v>
      </c>
      <c r="G467" s="15" t="b">
        <f>IFERROR(__xludf.DUMMYFUNCTION("""COMPUTED_VALUE"""),FALSE)</f>
        <v>0</v>
      </c>
      <c r="H467" s="15" t="str">
        <f>IFERROR(__xludf.DUMMYFUNCTION("""COMPUTED_VALUE"""),"Huge, 9AM")</f>
        <v>Huge, 9AM</v>
      </c>
      <c r="I467" s="15">
        <f>IFERROR(__xludf.DUMMYFUNCTION("""COMPUTED_VALUE"""),1.0)</f>
        <v>1</v>
      </c>
      <c r="J467" s="15">
        <f>IFERROR(__xludf.DUMMYFUNCTION("""COMPUTED_VALUE"""),0.0)</f>
        <v>0</v>
      </c>
      <c r="K467" s="15">
        <f>IFERROR(__xludf.DUMMYFUNCTION("""COMPUTED_VALUE"""),1.0)</f>
        <v>1</v>
      </c>
    </row>
    <row r="468" ht="15.75" customHeight="1">
      <c r="A468" s="14" t="str">
        <f>IFERROR(__xludf.DUMMYFUNCTION("""COMPUTED_VALUE"""),"https://www.mediaworxfilms.com/post/best-10-creative-agencies-in-london-2025")</f>
        <v>https://www.mediaworxfilms.com/post/best-10-creative-agencies-in-london-2025</v>
      </c>
      <c r="B468" s="15" t="str">
        <f>IFERROR(__xludf.DUMMYFUNCTION("""COMPUTED_VALUE"""),"Best 10 Creative Agencies in London 2025")</f>
        <v>Best 10 Creative Agencies in London 2025</v>
      </c>
      <c r="C468" s="14" t="str">
        <f>IFERROR(__xludf.DUMMYFUNCTION("""COMPUTED_VALUE"""),"mediaworxfilms.com")</f>
        <v>mediaworxfilms.com</v>
      </c>
      <c r="D468" s="15" t="str">
        <f>IFERROR(__xludf.DUMMYFUNCTION("""COMPUTED_VALUE"""),"LISTICLE")</f>
        <v>LISTICLE</v>
      </c>
      <c r="E468" s="15" t="str">
        <f>IFERROR(__xludf.DUMMYFUNCTION("""COMPUTED_VALUE"""),"CORPORATE")</f>
        <v>CORPORATE</v>
      </c>
      <c r="F468" s="15" t="str">
        <f>IFERROR(__xludf.DUMMYFUNCTION("""COMPUTED_VALUE"""),"Listicle")</f>
        <v>Listicle</v>
      </c>
      <c r="G468" s="15" t="b">
        <f>IFERROR(__xludf.DUMMYFUNCTION("""COMPUTED_VALUE"""),FALSE)</f>
        <v>0</v>
      </c>
      <c r="H468" s="15" t="str">
        <f>IFERROR(__xludf.DUMMYFUNCTION("""COMPUTED_VALUE"""),"Mother London, Saatchi &amp; Saatchi, VCCP, Ogilvy, WPP, Publicis Groupe, AKQA")</f>
        <v>Mother London, Saatchi &amp; Saatchi, VCCP, Ogilvy, WPP, Publicis Groupe, AKQA</v>
      </c>
      <c r="I468" s="15">
        <f>IFERROR(__xludf.DUMMYFUNCTION("""COMPUTED_VALUE"""),1.0)</f>
        <v>1</v>
      </c>
      <c r="J468" s="15">
        <f>IFERROR(__xludf.DUMMYFUNCTION("""COMPUTED_VALUE"""),0.0)</f>
        <v>0</v>
      </c>
      <c r="K468" s="15">
        <f>IFERROR(__xludf.DUMMYFUNCTION("""COMPUTED_VALUE"""),1.0)</f>
        <v>1</v>
      </c>
    </row>
    <row r="469" ht="15.75" customHeight="1">
      <c r="A469" s="14" t="str">
        <f>IFERROR(__xludf.DUMMYFUNCTION("""COMPUTED_VALUE"""),"https://www.mitochonpixel.co.uk/blogs/top-10-analytics-and-reporting-companies-in-uk")</f>
        <v>https://www.mitochonpixel.co.uk/blogs/top-10-analytics-and-reporting-companies-in-uk</v>
      </c>
      <c r="B469" s="15" t="str">
        <f>IFERROR(__xludf.DUMMYFUNCTION("""COMPUTED_VALUE"""),"Top 10 Analytics and Reporting Agencies in UK | Mitochon Pixel")</f>
        <v>Top 10 Analytics and Reporting Agencies in UK | Mitochon Pixel</v>
      </c>
      <c r="C469" s="14" t="str">
        <f>IFERROR(__xludf.DUMMYFUNCTION("""COMPUTED_VALUE"""),"mitochonpixel.co.uk")</f>
        <v>mitochonpixel.co.uk</v>
      </c>
      <c r="D469" s="15" t="str">
        <f>IFERROR(__xludf.DUMMYFUNCTION("""COMPUTED_VALUE"""),"LISTICLE")</f>
        <v>LISTICLE</v>
      </c>
      <c r="E469" s="15" t="str">
        <f>IFERROR(__xludf.DUMMYFUNCTION("""COMPUTED_VALUE"""),"CORPORATE")</f>
        <v>CORPORATE</v>
      </c>
      <c r="F469" s="15" t="str">
        <f>IFERROR(__xludf.DUMMYFUNCTION("""COMPUTED_VALUE"""),"Listicle")</f>
        <v>Listicle</v>
      </c>
      <c r="G469" s="15" t="b">
        <f>IFERROR(__xludf.DUMMYFUNCTION("""COMPUTED_VALUE"""),FALSE)</f>
        <v>0</v>
      </c>
      <c r="H469" s="15" t="str">
        <f>IFERROR(__xludf.DUMMYFUNCTION("""COMPUTED_VALUE"""),"Deloitte Digital, PwC")</f>
        <v>Deloitte Digital, PwC</v>
      </c>
      <c r="I469" s="15">
        <f>IFERROR(__xludf.DUMMYFUNCTION("""COMPUTED_VALUE"""),1.0)</f>
        <v>1</v>
      </c>
      <c r="J469" s="15">
        <f>IFERROR(__xludf.DUMMYFUNCTION("""COMPUTED_VALUE"""),0.0)</f>
        <v>0</v>
      </c>
      <c r="K469" s="15">
        <f>IFERROR(__xludf.DUMMYFUNCTION("""COMPUTED_VALUE"""),1.0)</f>
        <v>1</v>
      </c>
    </row>
    <row r="470" ht="15.75" customHeight="1">
      <c r="A470" s="14" t="str">
        <f>IFERROR(__xludf.DUMMYFUNCTION("""COMPUTED_VALUE"""),"https://www.munro.agency/best-growth-marketing-agencies/")</f>
        <v>https://www.munro.agency/best-growth-marketing-agencies/</v>
      </c>
      <c r="B470" s="15" t="str">
        <f>IFERROR(__xludf.DUMMYFUNCTION("""COMPUTED_VALUE"""),"14 Best Growth Marketing Agencies")</f>
        <v>14 Best Growth Marketing Agencies</v>
      </c>
      <c r="C470" s="15" t="str">
        <f>IFERROR(__xludf.DUMMYFUNCTION("""COMPUTED_VALUE"""),"munro.agency")</f>
        <v>munro.agency</v>
      </c>
      <c r="D470" s="15" t="str">
        <f>IFERROR(__xludf.DUMMYFUNCTION("""COMPUTED_VALUE"""),"LISTICLE")</f>
        <v>LISTICLE</v>
      </c>
      <c r="E470" s="15" t="str">
        <f>IFERROR(__xludf.DUMMYFUNCTION("""COMPUTED_VALUE"""),"CORPORATE")</f>
        <v>CORPORATE</v>
      </c>
      <c r="F470" s="15" t="str">
        <f>IFERROR(__xludf.DUMMYFUNCTION("""COMPUTED_VALUE"""),"Listicle")</f>
        <v>Listicle</v>
      </c>
      <c r="G470" s="15" t="b">
        <f>IFERROR(__xludf.DUMMYFUNCTION("""COMPUTED_VALUE"""),FALSE)</f>
        <v>0</v>
      </c>
      <c r="H470" s="15" t="str">
        <f>IFERROR(__xludf.DUMMYFUNCTION("""COMPUTED_VALUE"""),"Momentum, NoGood, Brainlabs, Tinuiti, Wpromote, Impression, Single Grain, NP Digital, Favoured")</f>
        <v>Momentum, NoGood, Brainlabs, Tinuiti, Wpromote, Impression, Single Grain, NP Digital, Favoured</v>
      </c>
      <c r="I470" s="15">
        <f>IFERROR(__xludf.DUMMYFUNCTION("""COMPUTED_VALUE"""),1.0)</f>
        <v>1</v>
      </c>
      <c r="J470" s="15">
        <f>IFERROR(__xludf.DUMMYFUNCTION("""COMPUTED_VALUE"""),0.0)</f>
        <v>0</v>
      </c>
      <c r="K470" s="15">
        <f>IFERROR(__xludf.DUMMYFUNCTION("""COMPUTED_VALUE"""),0.0)</f>
        <v>0</v>
      </c>
    </row>
    <row r="471" ht="15.75" customHeight="1">
      <c r="A471" s="14" t="str">
        <f>IFERROR(__xludf.DUMMYFUNCTION("""COMPUTED_VALUE"""),"https://www.munro.agency/creative-advertising-agencies/")</f>
        <v>https://www.munro.agency/creative-advertising-agencies/</v>
      </c>
      <c r="B471" s="15" t="str">
        <f>IFERROR(__xludf.DUMMYFUNCTION("""COMPUTED_VALUE"""),"Top 15 creative advertising agencies")</f>
        <v>Top 15 creative advertising agencies</v>
      </c>
      <c r="C471" s="15" t="str">
        <f>IFERROR(__xludf.DUMMYFUNCTION("""COMPUTED_VALUE"""),"munro.agency")</f>
        <v>munro.agency</v>
      </c>
      <c r="D471" s="15" t="str">
        <f>IFERROR(__xludf.DUMMYFUNCTION("""COMPUTED_VALUE"""),"LISTICLE")</f>
        <v>LISTICLE</v>
      </c>
      <c r="E471" s="15" t="str">
        <f>IFERROR(__xludf.DUMMYFUNCTION("""COMPUTED_VALUE"""),"CORPORATE")</f>
        <v>CORPORATE</v>
      </c>
      <c r="F471" s="15" t="str">
        <f>IFERROR(__xludf.DUMMYFUNCTION("""COMPUTED_VALUE"""),"Listicle")</f>
        <v>Listicle</v>
      </c>
      <c r="G471" s="15" t="b">
        <f>IFERROR(__xludf.DUMMYFUNCTION("""COMPUTED_VALUE"""),FALSE)</f>
        <v>0</v>
      </c>
      <c r="H471" s="15" t="str">
        <f>IFERROR(__xludf.DUMMYFUNCTION("""COMPUTED_VALUE"""),"BBH London, WPP, Mother London, Adam&amp;eveDDB, AMV BBDO")</f>
        <v>BBH London, WPP, Mother London, Adam&amp;eveDDB, AMV BBDO</v>
      </c>
      <c r="I471" s="15">
        <f>IFERROR(__xludf.DUMMYFUNCTION("""COMPUTED_VALUE"""),1.0)</f>
        <v>1</v>
      </c>
      <c r="J471" s="15">
        <f>IFERROR(__xludf.DUMMYFUNCTION("""COMPUTED_VALUE"""),0.0)</f>
        <v>0</v>
      </c>
      <c r="K471" s="15">
        <f>IFERROR(__xludf.DUMMYFUNCTION("""COMPUTED_VALUE"""),1.0)</f>
        <v>1</v>
      </c>
    </row>
    <row r="472" ht="15.75" customHeight="1">
      <c r="A472" s="14" t="str">
        <f>IFERROR(__xludf.DUMMYFUNCTION("""COMPUTED_VALUE"""),"https://www.munro.agency/google-ads-agencies/")</f>
        <v>https://www.munro.agency/google-ads-agencies/</v>
      </c>
      <c r="B472" s="15" t="str">
        <f>IFERROR(__xludf.DUMMYFUNCTION("""COMPUTED_VALUE"""),"Top 15 Google Ads Agencies")</f>
        <v>Top 15 Google Ads Agencies</v>
      </c>
      <c r="C472" s="15" t="str">
        <f>IFERROR(__xludf.DUMMYFUNCTION("""COMPUTED_VALUE"""),"munro.agency")</f>
        <v>munro.agency</v>
      </c>
      <c r="D472" s="15" t="str">
        <f>IFERROR(__xludf.DUMMYFUNCTION("""COMPUTED_VALUE"""),"LISTICLE")</f>
        <v>LISTICLE</v>
      </c>
      <c r="E472" s="15" t="str">
        <f>IFERROR(__xludf.DUMMYFUNCTION("""COMPUTED_VALUE"""),"CORPORATE")</f>
        <v>CORPORATE</v>
      </c>
      <c r="F472" s="15" t="str">
        <f>IFERROR(__xludf.DUMMYFUNCTION("""COMPUTED_VALUE"""),"Listicle")</f>
        <v>Listicle</v>
      </c>
      <c r="G472" s="15" t="b">
        <f>IFERROR(__xludf.DUMMYFUNCTION("""COMPUTED_VALUE"""),FALSE)</f>
        <v>0</v>
      </c>
      <c r="H472" s="15" t="str">
        <f>IFERROR(__xludf.DUMMYFUNCTION("""COMPUTED_VALUE"""),"Impression, Gripped, Soap Media, PPC Geeks, Brainlabs, Croud, Push, Push Group, Bind Media")</f>
        <v>Impression, Gripped, Soap Media, PPC Geeks, Brainlabs, Croud, Push, Push Group, Bind Media</v>
      </c>
      <c r="I472" s="15">
        <f>IFERROR(__xludf.DUMMYFUNCTION("""COMPUTED_VALUE"""),1.0)</f>
        <v>1</v>
      </c>
      <c r="J472" s="15">
        <f>IFERROR(__xludf.DUMMYFUNCTION("""COMPUTED_VALUE"""),0.0)</f>
        <v>0</v>
      </c>
      <c r="K472" s="15">
        <f>IFERROR(__xludf.DUMMYFUNCTION("""COMPUTED_VALUE"""),1.0)</f>
        <v>1</v>
      </c>
    </row>
    <row r="473" ht="15.75" customHeight="1">
      <c r="A473" s="14" t="str">
        <f>IFERROR(__xludf.DUMMYFUNCTION("""COMPUTED_VALUE"""),"https://www.munro.agency/top-10-paid-media-agencies/")</f>
        <v>https://www.munro.agency/top-10-paid-media-agencies/</v>
      </c>
      <c r="B473" s="15" t="str">
        <f>IFERROR(__xludf.DUMMYFUNCTION("""COMPUTED_VALUE"""),"Top 10 Paid Media Agencies for 2026")</f>
        <v>Top 10 Paid Media Agencies for 2026</v>
      </c>
      <c r="C473" s="15" t="str">
        <f>IFERROR(__xludf.DUMMYFUNCTION("""COMPUTED_VALUE"""),"munro.agency")</f>
        <v>munro.agency</v>
      </c>
      <c r="D473" s="15" t="str">
        <f>IFERROR(__xludf.DUMMYFUNCTION("""COMPUTED_VALUE"""),"LISTICLE")</f>
        <v>LISTICLE</v>
      </c>
      <c r="E473" s="15" t="str">
        <f>IFERROR(__xludf.DUMMYFUNCTION("""COMPUTED_VALUE"""),"CORPORATE")</f>
        <v>CORPORATE</v>
      </c>
      <c r="F473" s="15" t="str">
        <f>IFERROR(__xludf.DUMMYFUNCTION("""COMPUTED_VALUE"""),"Listicle")</f>
        <v>Listicle</v>
      </c>
      <c r="G473" s="15" t="b">
        <f>IFERROR(__xludf.DUMMYFUNCTION("""COMPUTED_VALUE"""),FALSE)</f>
        <v>0</v>
      </c>
      <c r="H473" s="15" t="str">
        <f>IFERROR(__xludf.DUMMYFUNCTION("""COMPUTED_VALUE"""),"Impression, Push, ClickSlice, inBeat, Power Digital")</f>
        <v>Impression, Push, ClickSlice, inBeat, Power Digital</v>
      </c>
      <c r="I473" s="15">
        <f>IFERROR(__xludf.DUMMYFUNCTION("""COMPUTED_VALUE"""),1.0)</f>
        <v>1</v>
      </c>
      <c r="J473" s="15">
        <f>IFERROR(__xludf.DUMMYFUNCTION("""COMPUTED_VALUE"""),0.0)</f>
        <v>0</v>
      </c>
      <c r="K473" s="15">
        <f>IFERROR(__xludf.DUMMYFUNCTION("""COMPUTED_VALUE"""),0.0)</f>
        <v>0</v>
      </c>
    </row>
    <row r="474" ht="15.75" customHeight="1">
      <c r="A474" s="14" t="str">
        <f>IFERROR(__xludf.DUMMYFUNCTION("""COMPUTED_VALUE"""),"https://www.munro.agency/top-geo-agencies/")</f>
        <v>https://www.munro.agency/top-geo-agencies/</v>
      </c>
      <c r="B474" s="15" t="str">
        <f>IFERROR(__xludf.DUMMYFUNCTION("""COMPUTED_VALUE"""),"Top 13 GEO Agencies")</f>
        <v>Top 13 GEO Agencies</v>
      </c>
      <c r="C474" s="15" t="str">
        <f>IFERROR(__xludf.DUMMYFUNCTION("""COMPUTED_VALUE"""),"munro.agency")</f>
        <v>munro.agency</v>
      </c>
      <c r="D474" s="15" t="str">
        <f>IFERROR(__xludf.DUMMYFUNCTION("""COMPUTED_VALUE"""),"LISTICLE")</f>
        <v>LISTICLE</v>
      </c>
      <c r="E474" s="15" t="str">
        <f>IFERROR(__xludf.DUMMYFUNCTION("""COMPUTED_VALUE"""),"CORPORATE")</f>
        <v>CORPORATE</v>
      </c>
      <c r="F474" s="15" t="str">
        <f>IFERROR(__xludf.DUMMYFUNCTION("""COMPUTED_VALUE"""),"Listicle")</f>
        <v>Listicle</v>
      </c>
      <c r="G474" s="15" t="b">
        <f>IFERROR(__xludf.DUMMYFUNCTION("""COMPUTED_VALUE"""),FALSE)</f>
        <v>0</v>
      </c>
      <c r="H474" s="15" t="str">
        <f>IFERROR(__xludf.DUMMYFUNCTION("""COMPUTED_VALUE"""),"Siege Media, Omniscient Digital, Exposure Ninja, Varn, Bird Marketing")</f>
        <v>Siege Media, Omniscient Digital, Exposure Ninja, Varn, Bird Marketing</v>
      </c>
      <c r="I474" s="15">
        <f>IFERROR(__xludf.DUMMYFUNCTION("""COMPUTED_VALUE"""),1.0)</f>
        <v>1</v>
      </c>
      <c r="J474" s="15">
        <f>IFERROR(__xludf.DUMMYFUNCTION("""COMPUTED_VALUE"""),0.0)</f>
        <v>0</v>
      </c>
      <c r="K474" s="15">
        <f>IFERROR(__xludf.DUMMYFUNCTION("""COMPUTED_VALUE"""),1.0)</f>
        <v>1</v>
      </c>
    </row>
    <row r="475" ht="15.75" customHeight="1">
      <c r="A475" s="14" t="str">
        <f>IFERROR(__xludf.DUMMYFUNCTION("""COMPUTED_VALUE"""),"https://nalaber.com/insights/best-ai-seo-agencies-uk")</f>
        <v>https://nalaber.com/insights/best-ai-seo-agencies-uk</v>
      </c>
      <c r="B475" s="15" t="str">
        <f>IFERROR(__xludf.DUMMYFUNCTION("""COMPUTED_VALUE"""),"Best AI SEO Agencies in the UK (2026) | Nalaber")</f>
        <v>Best AI SEO Agencies in the UK (2026) | Nalaber</v>
      </c>
      <c r="C475" s="14" t="str">
        <f>IFERROR(__xludf.DUMMYFUNCTION("""COMPUTED_VALUE"""),"nalaber.com")</f>
        <v>nalaber.com</v>
      </c>
      <c r="D475" s="15" t="str">
        <f>IFERROR(__xludf.DUMMYFUNCTION("""COMPUTED_VALUE"""),"LISTICLE")</f>
        <v>LISTICLE</v>
      </c>
      <c r="E475" s="15" t="str">
        <f>IFERROR(__xludf.DUMMYFUNCTION("""COMPUTED_VALUE"""),"CORPORATE")</f>
        <v>CORPORATE</v>
      </c>
      <c r="F475" s="15" t="str">
        <f>IFERROR(__xludf.DUMMYFUNCTION("""COMPUTED_VALUE"""),"Listicle")</f>
        <v>Listicle</v>
      </c>
      <c r="G475" s="15" t="b">
        <f>IFERROR(__xludf.DUMMYFUNCTION("""COMPUTED_VALUE"""),FALSE)</f>
        <v>0</v>
      </c>
      <c r="H475" s="15" t="str">
        <f>IFERROR(__xludf.DUMMYFUNCTION("""COMPUTED_VALUE"""),"Found, Impression, Rise at Seven, Measured")</f>
        <v>Found, Impression, Rise at Seven, Measured</v>
      </c>
      <c r="I475" s="15">
        <f>IFERROR(__xludf.DUMMYFUNCTION("""COMPUTED_VALUE"""),1.0)</f>
        <v>1</v>
      </c>
      <c r="J475" s="15">
        <f>IFERROR(__xludf.DUMMYFUNCTION("""COMPUTED_VALUE"""),0.0)</f>
        <v>0</v>
      </c>
      <c r="K475" s="15">
        <f>IFERROR(__xludf.DUMMYFUNCTION("""COMPUTED_VALUE"""),1.0)</f>
        <v>1</v>
      </c>
    </row>
    <row r="476" ht="15.75" customHeight="1">
      <c r="A476" s="14" t="str">
        <f>IFERROR(__xludf.DUMMYFUNCTION("""COMPUTED_VALUE"""),"https://nealschaffer.com/ai-marketing-agency/")</f>
        <v>https://nealschaffer.com/ai-marketing-agency/</v>
      </c>
      <c r="B476" s="15" t="str">
        <f>IFERROR(__xludf.DUMMYFUNCTION("""COMPUTED_VALUE"""),"15 Best AI Marketing Agencies Helping Brands Grow in 2026")</f>
        <v>15 Best AI Marketing Agencies Helping Brands Grow in 2026</v>
      </c>
      <c r="C476" s="14" t="str">
        <f>IFERROR(__xludf.DUMMYFUNCTION("""COMPUTED_VALUE"""),"nealschaffer.com")</f>
        <v>nealschaffer.com</v>
      </c>
      <c r="D476" s="15" t="str">
        <f>IFERROR(__xludf.DUMMYFUNCTION("""COMPUTED_VALUE"""),"LISTICLE")</f>
        <v>LISTICLE</v>
      </c>
      <c r="E476" s="15" t="str">
        <f>IFERROR(__xludf.DUMMYFUNCTION("""COMPUTED_VALUE"""),"CORPORATE")</f>
        <v>CORPORATE</v>
      </c>
      <c r="F476" s="15" t="str">
        <f>IFERROR(__xludf.DUMMYFUNCTION("""COMPUTED_VALUE"""),"Listicle")</f>
        <v>Listicle</v>
      </c>
      <c r="G476" s="15" t="b">
        <f>IFERROR(__xludf.DUMMYFUNCTION("""COMPUTED_VALUE"""),FALSE)</f>
        <v>0</v>
      </c>
      <c r="H476" s="15" t="str">
        <f>IFERROR(__xludf.DUMMYFUNCTION("""COMPUTED_VALUE"""),"QuantumBlack, Found, Measured")</f>
        <v>QuantumBlack, Found, Measured</v>
      </c>
      <c r="I476" s="15">
        <f>IFERROR(__xludf.DUMMYFUNCTION("""COMPUTED_VALUE"""),1.0)</f>
        <v>1</v>
      </c>
      <c r="J476" s="15">
        <f>IFERROR(__xludf.DUMMYFUNCTION("""COMPUTED_VALUE"""),0.0)</f>
        <v>0</v>
      </c>
      <c r="K476" s="15">
        <f>IFERROR(__xludf.DUMMYFUNCTION("""COMPUTED_VALUE"""),0.0)</f>
        <v>0</v>
      </c>
    </row>
    <row r="477" ht="15.75" customHeight="1">
      <c r="A477" s="14" t="str">
        <f>IFERROR(__xludf.DUMMYFUNCTION("""COMPUTED_VALUE"""),"https://www.nikaconsulting.co.nz/advertising-agencies-auckland/")</f>
        <v>https://www.nikaconsulting.co.nz/advertising-agencies-auckland/</v>
      </c>
      <c r="B477" s="15" t="str">
        <f>IFERROR(__xludf.DUMMYFUNCTION("""COMPUTED_VALUE"""),"7 Best Advertising Agencies Auckland Offers in 2025 » Award-Winning Creative Digital Marketing Agency NZ")</f>
        <v>7 Best Advertising Agencies Auckland Offers in 2025 » Award-Winning Creative Digital Marketing Agency NZ</v>
      </c>
      <c r="C477" s="14" t="str">
        <f>IFERROR(__xludf.DUMMYFUNCTION("""COMPUTED_VALUE"""),"nikaconsulting.co.nz")</f>
        <v>nikaconsulting.co.nz</v>
      </c>
      <c r="D477" s="15" t="str">
        <f>IFERROR(__xludf.DUMMYFUNCTION("""COMPUTED_VALUE"""),"LISTICLE")</f>
        <v>LISTICLE</v>
      </c>
      <c r="E477" s="15" t="str">
        <f>IFERROR(__xludf.DUMMYFUNCTION("""COMPUTED_VALUE"""),"CORPORATE")</f>
        <v>CORPORATE</v>
      </c>
      <c r="F477" s="15" t="str">
        <f>IFERROR(__xludf.DUMMYFUNCTION("""COMPUTED_VALUE"""),"Listicle")</f>
        <v>Listicle</v>
      </c>
      <c r="G477" s="15" t="b">
        <f>IFERROR(__xludf.DUMMYFUNCTION("""COMPUTED_VALUE"""),FALSE)</f>
        <v>0</v>
      </c>
      <c r="H477" s="15" t="str">
        <f>IFERROR(__xludf.DUMMYFUNCTION("""COMPUTED_VALUE"""),"Found")</f>
        <v>Found</v>
      </c>
      <c r="I477" s="15">
        <f>IFERROR(__xludf.DUMMYFUNCTION("""COMPUTED_VALUE"""),1.0)</f>
        <v>1</v>
      </c>
      <c r="J477" s="15">
        <f>IFERROR(__xludf.DUMMYFUNCTION("""COMPUTED_VALUE"""),0.0)</f>
        <v>0</v>
      </c>
      <c r="K477" s="15">
        <f>IFERROR(__xludf.DUMMYFUNCTION("""COMPUTED_VALUE"""),1.0)</f>
        <v>1</v>
      </c>
    </row>
    <row r="478" ht="15.75" customHeight="1">
      <c r="A478" s="14" t="str">
        <f>IFERROR(__xludf.DUMMYFUNCTION("""COMPUTED_VALUE"""),"https://ninjapromo.io/best-ai-marketing-agencies")</f>
        <v>https://ninjapromo.io/best-ai-marketing-agencies</v>
      </c>
      <c r="B478" s="15" t="str">
        <f>IFERROR(__xludf.DUMMYFUNCTION("""COMPUTED_VALUE"""),"Top 8 AI Marketing Agencies for AI-Driven Digital Campaigns in 2026")</f>
        <v>Top 8 AI Marketing Agencies for AI-Driven Digital Campaigns in 2026</v>
      </c>
      <c r="C478" s="14" t="str">
        <f>IFERROR(__xludf.DUMMYFUNCTION("""COMPUTED_VALUE"""),"ninjapromo.io")</f>
        <v>ninjapromo.io</v>
      </c>
      <c r="D478" s="15" t="str">
        <f>IFERROR(__xludf.DUMMYFUNCTION("""COMPUTED_VALUE"""),"LISTICLE")</f>
        <v>LISTICLE</v>
      </c>
      <c r="E478" s="15" t="str">
        <f>IFERROR(__xludf.DUMMYFUNCTION("""COMPUTED_VALUE"""),"COMPETITOR")</f>
        <v>COMPETITOR</v>
      </c>
      <c r="F478" s="15" t="str">
        <f>IFERROR(__xludf.DUMMYFUNCTION("""COMPUTED_VALUE"""),"Listicle")</f>
        <v>Listicle</v>
      </c>
      <c r="G478" s="15" t="b">
        <f>IFERROR(__xludf.DUMMYFUNCTION("""COMPUTED_VALUE"""),FALSE)</f>
        <v>0</v>
      </c>
      <c r="H478" s="15" t="str">
        <f>IFERROR(__xludf.DUMMYFUNCTION("""COMPUTED_VALUE"""),"Ninja Promo")</f>
        <v>Ninja Promo</v>
      </c>
      <c r="I478" s="15">
        <f>IFERROR(__xludf.DUMMYFUNCTION("""COMPUTED_VALUE"""),1.0)</f>
        <v>1</v>
      </c>
      <c r="J478" s="15">
        <f>IFERROR(__xludf.DUMMYFUNCTION("""COMPUTED_VALUE"""),0.0)</f>
        <v>0</v>
      </c>
      <c r="K478" s="15">
        <f>IFERROR(__xludf.DUMMYFUNCTION("""COMPUTED_VALUE"""),0.0)</f>
        <v>0</v>
      </c>
    </row>
    <row r="479" ht="15.75" customHeight="1">
      <c r="A479" s="14" t="str">
        <f>IFERROR(__xludf.DUMMYFUNCTION("""COMPUTED_VALUE"""),"https://www.niracore.com/top-ai-consulting-companies-in-the-uk/")</f>
        <v>https://www.niracore.com/top-ai-consulting-companies-in-the-uk/</v>
      </c>
      <c r="B479" s="15" t="str">
        <f>IFERROR(__xludf.DUMMYFUNCTION("""COMPUTED_VALUE"""),"AI Consulting Companies in the UK | Top Firms")</f>
        <v>AI Consulting Companies in the UK | Top Firms</v>
      </c>
      <c r="C479" s="14" t="str">
        <f>IFERROR(__xludf.DUMMYFUNCTION("""COMPUTED_VALUE"""),"niracore.com")</f>
        <v>niracore.com</v>
      </c>
      <c r="D479" s="15" t="str">
        <f>IFERROR(__xludf.DUMMYFUNCTION("""COMPUTED_VALUE"""),"LISTICLE")</f>
        <v>LISTICLE</v>
      </c>
      <c r="E479" s="15" t="str">
        <f>IFERROR(__xludf.DUMMYFUNCTION("""COMPUTED_VALUE"""),"CORPORATE")</f>
        <v>CORPORATE</v>
      </c>
      <c r="F479" s="15" t="str">
        <f>IFERROR(__xludf.DUMMYFUNCTION("""COMPUTED_VALUE"""),"Listicle")</f>
        <v>Listicle</v>
      </c>
      <c r="G479" s="15" t="b">
        <f>IFERROR(__xludf.DUMMYFUNCTION("""COMPUTED_VALUE"""),FALSE)</f>
        <v>0</v>
      </c>
      <c r="H479" s="15"/>
      <c r="I479" s="15">
        <f>IFERROR(__xludf.DUMMYFUNCTION("""COMPUTED_VALUE"""),1.0)</f>
        <v>1</v>
      </c>
      <c r="J479" s="15">
        <f>IFERROR(__xludf.DUMMYFUNCTION("""COMPUTED_VALUE"""),0.0)</f>
        <v>0</v>
      </c>
      <c r="K479" s="15">
        <f>IFERROR(__xludf.DUMMYFUNCTION("""COMPUTED_VALUE"""),0.0)</f>
        <v>0</v>
      </c>
    </row>
    <row r="480" ht="15.75" customHeight="1">
      <c r="A480" s="14" t="str">
        <f>IFERROR(__xludf.DUMMYFUNCTION("""COMPUTED_VALUE"""),"https://noirandblanco.com/best-digital-marketing-agencies-in-the-uk/")</f>
        <v>https://noirandblanco.com/best-digital-marketing-agencies-in-the-uk/</v>
      </c>
      <c r="B480" s="15" t="str">
        <f>IFERROR(__xludf.DUMMYFUNCTION("""COMPUTED_VALUE"""),"11 Best Digital Marketing Agencies in the UK for D2C &amp;amp; Small Businesses (2026)")</f>
        <v>11 Best Digital Marketing Agencies in the UK for D2C &amp;amp; Small Businesses (2026)</v>
      </c>
      <c r="C480" s="14" t="str">
        <f>IFERROR(__xludf.DUMMYFUNCTION("""COMPUTED_VALUE"""),"noirandblanco.com")</f>
        <v>noirandblanco.com</v>
      </c>
      <c r="D480" s="15" t="str">
        <f>IFERROR(__xludf.DUMMYFUNCTION("""COMPUTED_VALUE"""),"LISTICLE")</f>
        <v>LISTICLE</v>
      </c>
      <c r="E480" s="15" t="str">
        <f>IFERROR(__xludf.DUMMYFUNCTION("""COMPUTED_VALUE"""),"CORPORATE")</f>
        <v>CORPORATE</v>
      </c>
      <c r="F480" s="15" t="str">
        <f>IFERROR(__xludf.DUMMYFUNCTION("""COMPUTED_VALUE"""),"Listicle")</f>
        <v>Listicle</v>
      </c>
      <c r="G480" s="15" t="b">
        <f>IFERROR(__xludf.DUMMYFUNCTION("""COMPUTED_VALUE"""),FALSE)</f>
        <v>0</v>
      </c>
      <c r="H480" s="15" t="str">
        <f>IFERROR(__xludf.DUMMYFUNCTION("""COMPUTED_VALUE"""),"The Social Shepherd, Gripped, Found, The Good Marketer")</f>
        <v>The Social Shepherd, Gripped, Found, The Good Marketer</v>
      </c>
      <c r="I480" s="15">
        <f>IFERROR(__xludf.DUMMYFUNCTION("""COMPUTED_VALUE"""),1.0)</f>
        <v>1</v>
      </c>
      <c r="J480" s="15">
        <f>IFERROR(__xludf.DUMMYFUNCTION("""COMPUTED_VALUE"""),0.0)</f>
        <v>0</v>
      </c>
      <c r="K480" s="15">
        <f>IFERROR(__xludf.DUMMYFUNCTION("""COMPUTED_VALUE"""),0.0)</f>
        <v>0</v>
      </c>
    </row>
    <row r="481" ht="15.75" customHeight="1">
      <c r="A481" s="14" t="str">
        <f>IFERROR(__xludf.DUMMYFUNCTION("""COMPUTED_VALUE"""),"https://oakpool.xyz/drift/top-10-geo-aeo-ai-search-agencies/")</f>
        <v>https://oakpool.xyz/drift/top-10-geo-aeo-ai-search-agencies/</v>
      </c>
      <c r="B481" s="15" t="str">
        <f>IFERROR(__xludf.DUMMYFUNCTION("""COMPUTED_VALUE"""),"Top 10 GEO Agencies for AI Search in 2026")</f>
        <v>Top 10 GEO Agencies for AI Search in 2026</v>
      </c>
      <c r="C481" s="14" t="str">
        <f>IFERROR(__xludf.DUMMYFUNCTION("""COMPUTED_VALUE"""),"oakpool.xyz")</f>
        <v>oakpool.xyz</v>
      </c>
      <c r="D481" s="15" t="str">
        <f>IFERROR(__xludf.DUMMYFUNCTION("""COMPUTED_VALUE"""),"LISTICLE")</f>
        <v>LISTICLE</v>
      </c>
      <c r="E481" s="15" t="str">
        <f>IFERROR(__xludf.DUMMYFUNCTION("""COMPUTED_VALUE"""),"CORPORATE")</f>
        <v>CORPORATE</v>
      </c>
      <c r="F481" s="15" t="str">
        <f>IFERROR(__xludf.DUMMYFUNCTION("""COMPUTED_VALUE"""),"Listicle")</f>
        <v>Listicle</v>
      </c>
      <c r="G481" s="15" t="b">
        <f>IFERROR(__xludf.DUMMYFUNCTION("""COMPUTED_VALUE"""),FALSE)</f>
        <v>0</v>
      </c>
      <c r="H481" s="15" t="str">
        <f>IFERROR(__xludf.DUMMYFUNCTION("""COMPUTED_VALUE"""),"NoGood, Impression")</f>
        <v>NoGood, Impression</v>
      </c>
      <c r="I481" s="15">
        <f>IFERROR(__xludf.DUMMYFUNCTION("""COMPUTED_VALUE"""),1.0)</f>
        <v>1</v>
      </c>
      <c r="J481" s="15">
        <f>IFERROR(__xludf.DUMMYFUNCTION("""COMPUTED_VALUE"""),0.0)</f>
        <v>0</v>
      </c>
      <c r="K481" s="15">
        <f>IFERROR(__xludf.DUMMYFUNCTION("""COMPUTED_VALUE"""),0.0)</f>
        <v>0</v>
      </c>
    </row>
    <row r="482" ht="15.75" customHeight="1">
      <c r="A482" s="14" t="str">
        <f>IFERROR(__xludf.DUMMYFUNCTION("""COMPUTED_VALUE"""),"https://www.ofspace.co/blog/digital-product-design-agency-london")</f>
        <v>https://www.ofspace.co/blog/digital-product-design-agency-london</v>
      </c>
      <c r="B482" s="15" t="str">
        <f>IFERROR(__xludf.DUMMYFUNCTION("""COMPUTED_VALUE"""),"Top 9 Best Digital Product Design Agencies in London (2026 Rankings &amp;amp; Reviews)")</f>
        <v>Top 9 Best Digital Product Design Agencies in London (2026 Rankings &amp;amp; Reviews)</v>
      </c>
      <c r="C482" s="14" t="str">
        <f>IFERROR(__xludf.DUMMYFUNCTION("""COMPUTED_VALUE"""),"ofspace.co")</f>
        <v>ofspace.co</v>
      </c>
      <c r="D482" s="15" t="str">
        <f>IFERROR(__xludf.DUMMYFUNCTION("""COMPUTED_VALUE"""),"LISTICLE")</f>
        <v>LISTICLE</v>
      </c>
      <c r="E482" s="15" t="str">
        <f>IFERROR(__xludf.DUMMYFUNCTION("""COMPUTED_VALUE"""),"CORPORATE")</f>
        <v>CORPORATE</v>
      </c>
      <c r="F482" s="15" t="str">
        <f>IFERROR(__xludf.DUMMYFUNCTION("""COMPUTED_VALUE"""),"Listicle")</f>
        <v>Listicle</v>
      </c>
      <c r="G482" s="15" t="b">
        <f>IFERROR(__xludf.DUMMYFUNCTION("""COMPUTED_VALUE"""),FALSE)</f>
        <v>0</v>
      </c>
      <c r="H482" s="15" t="str">
        <f>IFERROR(__xludf.DUMMYFUNCTION("""COMPUTED_VALUE"""),"Momentum, Push, Found")</f>
        <v>Momentum, Push, Found</v>
      </c>
      <c r="I482" s="15">
        <f>IFERROR(__xludf.DUMMYFUNCTION("""COMPUTED_VALUE"""),1.0)</f>
        <v>1</v>
      </c>
      <c r="J482" s="15">
        <f>IFERROR(__xludf.DUMMYFUNCTION("""COMPUTED_VALUE"""),0.0)</f>
        <v>0</v>
      </c>
      <c r="K482" s="15">
        <f>IFERROR(__xludf.DUMMYFUNCTION("""COMPUTED_VALUE"""),0.0)</f>
        <v>0</v>
      </c>
    </row>
    <row r="483" ht="15.75" customHeight="1">
      <c r="A483" s="14" t="str">
        <f>IFERROR(__xludf.DUMMYFUNCTION("""COMPUTED_VALUE"""),"https://www.omnibound.ai/blog/first-party-data-statistics")</f>
        <v>https://www.omnibound.ai/blog/first-party-data-statistics</v>
      </c>
      <c r="B483" s="15" t="str">
        <f>IFERROR(__xludf.DUMMYFUNCTION("""COMPUTED_VALUE"""),"First-Party Data Statistics (2026): 52+ Data Points on Adoption, ROI, Privacy Drivers, and the CDP Transition")</f>
        <v>First-Party Data Statistics (2026): 52+ Data Points on Adoption, ROI, Privacy Drivers, and the CDP Transition</v>
      </c>
      <c r="C483" s="14" t="str">
        <f>IFERROR(__xludf.DUMMYFUNCTION("""COMPUTED_VALUE"""),"omnibound.ai")</f>
        <v>omnibound.ai</v>
      </c>
      <c r="D483" s="15" t="str">
        <f>IFERROR(__xludf.DUMMYFUNCTION("""COMPUTED_VALUE"""),"LISTICLE")</f>
        <v>LISTICLE</v>
      </c>
      <c r="E483" s="15" t="str">
        <f>IFERROR(__xludf.DUMMYFUNCTION("""COMPUTED_VALUE"""),"CORPORATE")</f>
        <v>CORPORATE</v>
      </c>
      <c r="F483" s="15" t="str">
        <f>IFERROR(__xludf.DUMMYFUNCTION("""COMPUTED_VALUE"""),"Listicle")</f>
        <v>Listicle</v>
      </c>
      <c r="G483" s="15" t="b">
        <f>IFERROR(__xludf.DUMMYFUNCTION("""COMPUTED_VALUE"""),FALSE)</f>
        <v>0</v>
      </c>
      <c r="H483" s="15" t="str">
        <f>IFERROR(__xludf.DUMMYFUNCTION("""COMPUTED_VALUE"""),"Found, Measured, Deloitte Digital")</f>
        <v>Found, Measured, Deloitte Digital</v>
      </c>
      <c r="I483" s="15">
        <f>IFERROR(__xludf.DUMMYFUNCTION("""COMPUTED_VALUE"""),1.0)</f>
        <v>1</v>
      </c>
      <c r="J483" s="15">
        <f>IFERROR(__xludf.DUMMYFUNCTION("""COMPUTED_VALUE"""),0.0)</f>
        <v>0</v>
      </c>
      <c r="K483" s="15">
        <f>IFERROR(__xludf.DUMMYFUNCTION("""COMPUTED_VALUE"""),0.0)</f>
        <v>0</v>
      </c>
    </row>
    <row r="484" ht="15.75" customHeight="1">
      <c r="A484" s="14" t="str">
        <f>IFERROR(__xludf.DUMMYFUNCTION("""COMPUTED_VALUE"""),"https://www.onely.com/blog/best-digital-marketing-agencies/")</f>
        <v>https://www.onely.com/blog/best-digital-marketing-agencies/</v>
      </c>
      <c r="B484" s="15" t="str">
        <f>IFERROR(__xludf.DUMMYFUNCTION("""COMPUTED_VALUE"""),"Top 16 Digital Marketing Agencies in 2026: Evaluated by AI Search Readiness, Technical Depth, and Measurable Visibility Impact - Onely")</f>
        <v>Top 16 Digital Marketing Agencies in 2026: Evaluated by AI Search Readiness, Technical Depth, and Measurable Visibility Impact - Onely</v>
      </c>
      <c r="C484" s="14" t="str">
        <f>IFERROR(__xludf.DUMMYFUNCTION("""COMPUTED_VALUE"""),"onely.com")</f>
        <v>onely.com</v>
      </c>
      <c r="D484" s="15" t="str">
        <f>IFERROR(__xludf.DUMMYFUNCTION("""COMPUTED_VALUE"""),"LISTICLE")</f>
        <v>LISTICLE</v>
      </c>
      <c r="E484" s="15" t="str">
        <f>IFERROR(__xludf.DUMMYFUNCTION("""COMPUTED_VALUE"""),"CORPORATE")</f>
        <v>CORPORATE</v>
      </c>
      <c r="F484" s="15" t="str">
        <f>IFERROR(__xludf.DUMMYFUNCTION("""COMPUTED_VALUE"""),"Listicle")</f>
        <v>Listicle</v>
      </c>
      <c r="G484" s="15" t="b">
        <f>IFERROR(__xludf.DUMMYFUNCTION("""COMPUTED_VALUE"""),FALSE)</f>
        <v>0</v>
      </c>
      <c r="H484" s="15" t="str">
        <f>IFERROR(__xludf.DUMMYFUNCTION("""COMPUTED_VALUE"""),"Directive Consulting, Siege Media, Power Digital, Disruptive Advertising, Single Grain, NP Digital, WebFX, Ignite Visibility, Ninja Promo, Found")</f>
        <v>Directive Consulting, Siege Media, Power Digital, Disruptive Advertising, Single Grain, NP Digital, WebFX, Ignite Visibility, Ninja Promo, Found</v>
      </c>
      <c r="I484" s="15">
        <f>IFERROR(__xludf.DUMMYFUNCTION("""COMPUTED_VALUE"""),1.0)</f>
        <v>1</v>
      </c>
      <c r="J484" s="15">
        <f>IFERROR(__xludf.DUMMYFUNCTION("""COMPUTED_VALUE"""),0.0)</f>
        <v>0</v>
      </c>
      <c r="K484" s="15">
        <f>IFERROR(__xludf.DUMMYFUNCTION("""COMPUTED_VALUE"""),0.0)</f>
        <v>0</v>
      </c>
    </row>
    <row r="485" ht="15.75" customHeight="1">
      <c r="A485" s="14" t="str">
        <f>IFERROR(__xludf.DUMMYFUNCTION("""COMPUTED_VALUE"""),"https://onlineoptimism.com/learn/top-b2b-social-media-agencies-in-the-world/")</f>
        <v>https://onlineoptimism.com/learn/top-b2b-social-media-agencies-in-the-world/</v>
      </c>
      <c r="B485" s="15" t="str">
        <f>IFERROR(__xludf.DUMMYFUNCTION("""COMPUTED_VALUE"""),"Top B2B Social Media Agencies in the World | Online Optimism")</f>
        <v>Top B2B Social Media Agencies in the World | Online Optimism</v>
      </c>
      <c r="C485" s="14" t="str">
        <f>IFERROR(__xludf.DUMMYFUNCTION("""COMPUTED_VALUE"""),"onlineoptimism.com")</f>
        <v>onlineoptimism.com</v>
      </c>
      <c r="D485" s="15" t="str">
        <f>IFERROR(__xludf.DUMMYFUNCTION("""COMPUTED_VALUE"""),"LISTICLE")</f>
        <v>LISTICLE</v>
      </c>
      <c r="E485" s="15" t="str">
        <f>IFERROR(__xludf.DUMMYFUNCTION("""COMPUTED_VALUE"""),"CORPORATE")</f>
        <v>CORPORATE</v>
      </c>
      <c r="F485" s="15" t="str">
        <f>IFERROR(__xludf.DUMMYFUNCTION("""COMPUTED_VALUE"""),"Listicle")</f>
        <v>Listicle</v>
      </c>
      <c r="G485" s="15" t="b">
        <f>IFERROR(__xludf.DUMMYFUNCTION("""COMPUTED_VALUE"""),FALSE)</f>
        <v>0</v>
      </c>
      <c r="H485" s="15"/>
      <c r="I485" s="15">
        <f>IFERROR(__xludf.DUMMYFUNCTION("""COMPUTED_VALUE"""),1.0)</f>
        <v>1</v>
      </c>
      <c r="J485" s="15">
        <f>IFERROR(__xludf.DUMMYFUNCTION("""COMPUTED_VALUE"""),0.0)</f>
        <v>0</v>
      </c>
      <c r="K485" s="15">
        <f>IFERROR(__xludf.DUMMYFUNCTION("""COMPUTED_VALUE"""),0.0)</f>
        <v>0</v>
      </c>
    </row>
    <row r="486" ht="15.75" customHeight="1">
      <c r="A486" s="14" t="str">
        <f>IFERROR(__xludf.DUMMYFUNCTION("""COMPUTED_VALUE"""),"https://oski.site/blog/sales-and-marketing-analytics-companies-europe/#:~:text=Brainlabs%20focuses%20on%20scientific%20marketing,rely%20on%20modeling%20and%20testing.")</f>
        <v>https://oski.site/blog/sales-and-marketing-analytics-companies-europe/#:~:text=Brainlabs%20focuses%20on%20scientific%20marketing,rely%20on%20modeling%20and%20testing.</v>
      </c>
      <c r="B486" s="15" t="str">
        <f>IFERROR(__xludf.DUMMYFUNCTION("""COMPUTED_VALUE"""),"Top Sales and Marketing Analytics Companies in Europe")</f>
        <v>Top Sales and Marketing Analytics Companies in Europe</v>
      </c>
      <c r="C486" s="15" t="str">
        <f>IFERROR(__xludf.DUMMYFUNCTION("""COMPUTED_VALUE"""),"oski.site")</f>
        <v>oski.site</v>
      </c>
      <c r="D486" s="15" t="str">
        <f>IFERROR(__xludf.DUMMYFUNCTION("""COMPUTED_VALUE"""),"LISTICLE")</f>
        <v>LISTICLE</v>
      </c>
      <c r="E486" s="15" t="str">
        <f>IFERROR(__xludf.DUMMYFUNCTION("""COMPUTED_VALUE"""),"OTHER")</f>
        <v>OTHER</v>
      </c>
      <c r="F486" s="15" t="str">
        <f>IFERROR(__xludf.DUMMYFUNCTION("""COMPUTED_VALUE"""),"Listicle")</f>
        <v>Listicle</v>
      </c>
      <c r="G486" s="15" t="b">
        <f>IFERROR(__xludf.DUMMYFUNCTION("""COMPUTED_VALUE"""),FALSE)</f>
        <v>0</v>
      </c>
      <c r="H486" s="15" t="str">
        <f>IFERROR(__xludf.DUMMYFUNCTION("""COMPUTED_VALUE"""),"Oski Solutions, Push, Dept, Brainlabs, Croud, Impression, Artefact")</f>
        <v>Oski Solutions, Push, Dept, Brainlabs, Croud, Impression, Artefact</v>
      </c>
      <c r="I486" s="15">
        <f>IFERROR(__xludf.DUMMYFUNCTION("""COMPUTED_VALUE"""),1.0)</f>
        <v>1</v>
      </c>
      <c r="J486" s="15">
        <f>IFERROR(__xludf.DUMMYFUNCTION("""COMPUTED_VALUE"""),0.0)</f>
        <v>0</v>
      </c>
      <c r="K486" s="15">
        <f>IFERROR(__xludf.DUMMYFUNCTION("""COMPUTED_VALUE"""),2.0)</f>
        <v>2</v>
      </c>
    </row>
    <row r="487" ht="15.75" customHeight="1">
      <c r="A487" s="14" t="str">
        <f>IFERROR(__xludf.DUMMYFUNCTION("""COMPUTED_VALUE"""),"https://outreachz.com/blog/best-ai-marketing-agencies-2026/")</f>
        <v>https://outreachz.com/blog/best-ai-marketing-agencies-2026/</v>
      </c>
      <c r="B487" s="15" t="str">
        <f>IFERROR(__xludf.DUMMYFUNCTION("""COMPUTED_VALUE"""),"Best AI Marketing Agencies (2026): 10 Top Picks for Brands That Want Smarter Growth")</f>
        <v>Best AI Marketing Agencies (2026): 10 Top Picks for Brands That Want Smarter Growth</v>
      </c>
      <c r="C487" s="14" t="str">
        <f>IFERROR(__xludf.DUMMYFUNCTION("""COMPUTED_VALUE"""),"outreachz.com")</f>
        <v>outreachz.com</v>
      </c>
      <c r="D487" s="15" t="str">
        <f>IFERROR(__xludf.DUMMYFUNCTION("""COMPUTED_VALUE"""),"LISTICLE")</f>
        <v>LISTICLE</v>
      </c>
      <c r="E487" s="15" t="str">
        <f>IFERROR(__xludf.DUMMYFUNCTION("""COMPUTED_VALUE"""),"CORPORATE")</f>
        <v>CORPORATE</v>
      </c>
      <c r="F487" s="15" t="str">
        <f>IFERROR(__xludf.DUMMYFUNCTION("""COMPUTED_VALUE"""),"Listicle")</f>
        <v>Listicle</v>
      </c>
      <c r="G487" s="15" t="b">
        <f>IFERROR(__xludf.DUMMYFUNCTION("""COMPUTED_VALUE"""),FALSE)</f>
        <v>0</v>
      </c>
      <c r="H487" s="15" t="str">
        <f>IFERROR(__xludf.DUMMYFUNCTION("""COMPUTED_VALUE"""),"NoGood, Single Grain, Ninja Promo, NP Digital, Hawke Media, Huge, Found")</f>
        <v>NoGood, Single Grain, Ninja Promo, NP Digital, Hawke Media, Huge, Found</v>
      </c>
      <c r="I487" s="15">
        <f>IFERROR(__xludf.DUMMYFUNCTION("""COMPUTED_VALUE"""),1.0)</f>
        <v>1</v>
      </c>
      <c r="J487" s="15">
        <f>IFERROR(__xludf.DUMMYFUNCTION("""COMPUTED_VALUE"""),0.0)</f>
        <v>0</v>
      </c>
      <c r="K487" s="15">
        <f>IFERROR(__xludf.DUMMYFUNCTION("""COMPUTED_VALUE"""),1.0)</f>
        <v>1</v>
      </c>
    </row>
    <row r="488" ht="15.75" customHeight="1">
      <c r="A488" s="14" t="str">
        <f>IFERROR(__xludf.DUMMYFUNCTION("""COMPUTED_VALUE"""),"https://pearllemon.com/top-performance-marketing-agencies-uk-2/")</f>
        <v>https://pearllemon.com/top-performance-marketing-agencies-uk-2/</v>
      </c>
      <c r="B488" s="15" t="str">
        <f>IFERROR(__xludf.DUMMYFUNCTION("""COMPUTED_VALUE"""),"Best 13 Performance Marketing Agencies In The UK")</f>
        <v>Best 13 Performance Marketing Agencies In The UK</v>
      </c>
      <c r="C488" s="14" t="str">
        <f>IFERROR(__xludf.DUMMYFUNCTION("""COMPUTED_VALUE"""),"pearllemon.com")</f>
        <v>pearllemon.com</v>
      </c>
      <c r="D488" s="15" t="str">
        <f>IFERROR(__xludf.DUMMYFUNCTION("""COMPUTED_VALUE"""),"LISTICLE")</f>
        <v>LISTICLE</v>
      </c>
      <c r="E488" s="15" t="str">
        <f>IFERROR(__xludf.DUMMYFUNCTION("""COMPUTED_VALUE"""),"CORPORATE")</f>
        <v>CORPORATE</v>
      </c>
      <c r="F488" s="15" t="str">
        <f>IFERROR(__xludf.DUMMYFUNCTION("""COMPUTED_VALUE"""),"Listicle")</f>
        <v>Listicle</v>
      </c>
      <c r="G488" s="15" t="b">
        <f>IFERROR(__xludf.DUMMYFUNCTION("""COMPUTED_VALUE"""),FALSE)</f>
        <v>0</v>
      </c>
      <c r="H488" s="15" t="str">
        <f>IFERROR(__xludf.DUMMYFUNCTION("""COMPUTED_VALUE"""),"The Social Shepherd, Favoured, ROAST, Gravity Global, The SEO Works")</f>
        <v>The Social Shepherd, Favoured, ROAST, Gravity Global, The SEO Works</v>
      </c>
      <c r="I488" s="15">
        <f>IFERROR(__xludf.DUMMYFUNCTION("""COMPUTED_VALUE"""),1.0)</f>
        <v>1</v>
      </c>
      <c r="J488" s="15">
        <f>IFERROR(__xludf.DUMMYFUNCTION("""COMPUTED_VALUE"""),0.0)</f>
        <v>0</v>
      </c>
      <c r="K488" s="15">
        <f>IFERROR(__xludf.DUMMYFUNCTION("""COMPUTED_VALUE"""),1.0)</f>
        <v>1</v>
      </c>
    </row>
    <row r="489" ht="15.75" customHeight="1">
      <c r="A489" s="14" t="str">
        <f>IFERROR(__xludf.DUMMYFUNCTION("""COMPUTED_VALUE"""),"https://penji.co/biggest-creative-agencies/")</f>
        <v>https://penji.co/biggest-creative-agencies/</v>
      </c>
      <c r="B489" s="15" t="str">
        <f>IFERROR(__xludf.DUMMYFUNCTION("""COMPUTED_VALUE"""),"The 10 Biggest Creative Agencies in the World for 2024 - Unlimited Graphic Design Service")</f>
        <v>The 10 Biggest Creative Agencies in the World for 2024 - Unlimited Graphic Design Service</v>
      </c>
      <c r="C489" s="14" t="str">
        <f>IFERROR(__xludf.DUMMYFUNCTION("""COMPUTED_VALUE"""),"penji.co")</f>
        <v>penji.co</v>
      </c>
      <c r="D489" s="15" t="str">
        <f>IFERROR(__xludf.DUMMYFUNCTION("""COMPUTED_VALUE"""),"LISTICLE")</f>
        <v>LISTICLE</v>
      </c>
      <c r="E489" s="15" t="str">
        <f>IFERROR(__xludf.DUMMYFUNCTION("""COMPUTED_VALUE"""),"CORPORATE")</f>
        <v>CORPORATE</v>
      </c>
      <c r="F489" s="15" t="str">
        <f>IFERROR(__xludf.DUMMYFUNCTION("""COMPUTED_VALUE"""),"Listicle")</f>
        <v>Listicle</v>
      </c>
      <c r="G489" s="15" t="b">
        <f>IFERROR(__xludf.DUMMYFUNCTION("""COMPUTED_VALUE"""),FALSE)</f>
        <v>0</v>
      </c>
      <c r="H489" s="15" t="str">
        <f>IFERROR(__xludf.DUMMYFUNCTION("""COMPUTED_VALUE"""),"Ogilvy, Dentsu, Saatchi &amp; Saatchi")</f>
        <v>Ogilvy, Dentsu, Saatchi &amp; Saatchi</v>
      </c>
      <c r="I489" s="15">
        <f>IFERROR(__xludf.DUMMYFUNCTION("""COMPUTED_VALUE"""),1.0)</f>
        <v>1</v>
      </c>
      <c r="J489" s="15">
        <f>IFERROR(__xludf.DUMMYFUNCTION("""COMPUTED_VALUE"""),0.0)</f>
        <v>0</v>
      </c>
      <c r="K489" s="15">
        <f>IFERROR(__xludf.DUMMYFUNCTION("""COMPUTED_VALUE"""),1.0)</f>
        <v>1</v>
      </c>
    </row>
    <row r="490" ht="15.75" customHeight="1">
      <c r="A490" s="14" t="str">
        <f>IFERROR(__xludf.DUMMYFUNCTION("""COMPUTED_VALUE"""),"https://www.performancemarketingadvisors.com/insights/10-powerful-ai-applications-for-business-marketing-leaders")</f>
        <v>https://www.performancemarketingadvisors.com/insights/10-powerful-ai-applications-for-business-marketing-leaders</v>
      </c>
      <c r="B490" s="15" t="str">
        <f>IFERROR(__xludf.DUMMYFUNCTION("""COMPUTED_VALUE"""),"10 Powerful AI Applications for Business Marketing Leaders")</f>
        <v>10 Powerful AI Applications for Business Marketing Leaders</v>
      </c>
      <c r="C490" s="14" t="str">
        <f>IFERROR(__xludf.DUMMYFUNCTION("""COMPUTED_VALUE"""),"performancemarketingadvisors.com")</f>
        <v>performancemarketingadvisors.com</v>
      </c>
      <c r="D490" s="15" t="str">
        <f>IFERROR(__xludf.DUMMYFUNCTION("""COMPUTED_VALUE"""),"LISTICLE")</f>
        <v>LISTICLE</v>
      </c>
      <c r="E490" s="15" t="str">
        <f>IFERROR(__xludf.DUMMYFUNCTION("""COMPUTED_VALUE"""),"CORPORATE")</f>
        <v>CORPORATE</v>
      </c>
      <c r="F490" s="15" t="str">
        <f>IFERROR(__xludf.DUMMYFUNCTION("""COMPUTED_VALUE"""),"Listicle")</f>
        <v>Listicle</v>
      </c>
      <c r="G490" s="15" t="b">
        <f>IFERROR(__xludf.DUMMYFUNCTION("""COMPUTED_VALUE"""),FALSE)</f>
        <v>0</v>
      </c>
      <c r="H490" s="15" t="str">
        <f>IFERROR(__xludf.DUMMYFUNCTION("""COMPUTED_VALUE"""),"QuantumBlack, Found, inBeat, Nielsen, Publicis Groupe, 9AM")</f>
        <v>QuantumBlack, Found, inBeat, Nielsen, Publicis Groupe, 9AM</v>
      </c>
      <c r="I490" s="15">
        <f>IFERROR(__xludf.DUMMYFUNCTION("""COMPUTED_VALUE"""),1.0)</f>
        <v>1</v>
      </c>
      <c r="J490" s="15">
        <f>IFERROR(__xludf.DUMMYFUNCTION("""COMPUTED_VALUE"""),0.0)</f>
        <v>0</v>
      </c>
      <c r="K490" s="15">
        <f>IFERROR(__xludf.DUMMYFUNCTION("""COMPUTED_VALUE"""),0.0)</f>
        <v>0</v>
      </c>
    </row>
    <row r="491" ht="15.75" customHeight="1">
      <c r="A491" s="14" t="str">
        <f>IFERROR(__xludf.DUMMYFUNCTION("""COMPUTED_VALUE"""),"https://www.phable.io/top-creative-agencies/in-east-london-masters-of-branding-content-creation-and-digital-innovation")</f>
        <v>https://www.phable.io/top-creative-agencies/in-east-london-masters-of-branding-content-creation-and-digital-innovation</v>
      </c>
      <c r="B491" s="15" t="str">
        <f>IFERROR(__xludf.DUMMYFUNCTION("""COMPUTED_VALUE"""),"Top Creative Agencies in East London | Leaders in Branding, Content Creation, and Digital Innovation — Branding And Content Marketing For Technology")</f>
        <v>Top Creative Agencies in East London | Leaders in Branding, Content Creation, and Digital Innovation — Branding And Content Marketing For Technology</v>
      </c>
      <c r="C491" s="14" t="str">
        <f>IFERROR(__xludf.DUMMYFUNCTION("""COMPUTED_VALUE"""),"phable.io")</f>
        <v>phable.io</v>
      </c>
      <c r="D491" s="15" t="str">
        <f>IFERROR(__xludf.DUMMYFUNCTION("""COMPUTED_VALUE"""),"LISTICLE")</f>
        <v>LISTICLE</v>
      </c>
      <c r="E491" s="15" t="str">
        <f>IFERROR(__xludf.DUMMYFUNCTION("""COMPUTED_VALUE"""),"CORPORATE")</f>
        <v>CORPORATE</v>
      </c>
      <c r="F491" s="15" t="str">
        <f>IFERROR(__xludf.DUMMYFUNCTION("""COMPUTED_VALUE"""),"Listicle")</f>
        <v>Listicle</v>
      </c>
      <c r="G491" s="15" t="b">
        <f>IFERROR(__xludf.DUMMYFUNCTION("""COMPUTED_VALUE"""),FALSE)</f>
        <v>0</v>
      </c>
      <c r="H491" s="15" t="str">
        <f>IFERROR(__xludf.DUMMYFUNCTION("""COMPUTED_VALUE"""),"Impression, Mother London, Push, Jellyfish")</f>
        <v>Impression, Mother London, Push, Jellyfish</v>
      </c>
      <c r="I491" s="15">
        <f>IFERROR(__xludf.DUMMYFUNCTION("""COMPUTED_VALUE"""),1.0)</f>
        <v>1</v>
      </c>
      <c r="J491" s="15">
        <f>IFERROR(__xludf.DUMMYFUNCTION("""COMPUTED_VALUE"""),0.0)</f>
        <v>0</v>
      </c>
      <c r="K491" s="15">
        <f>IFERROR(__xludf.DUMMYFUNCTION("""COMPUTED_VALUE"""),0.0)</f>
        <v>0</v>
      </c>
    </row>
    <row r="492" ht="15.75" customHeight="1">
      <c r="A492" s="14" t="str">
        <f>IFERROR(__xludf.DUMMYFUNCTION("""COMPUTED_VALUE"""),"https://pinpoint-media.global/insights/top-10-full-service-marketing-agencies-in-london")</f>
        <v>https://pinpoint-media.global/insights/top-10-full-service-marketing-agencies-in-london</v>
      </c>
      <c r="B492" s="15" t="str">
        <f>IFERROR(__xludf.DUMMYFUNCTION("""COMPUTED_VALUE"""),"Top 10 Full-Service Marketing Agencies in London | PinPoint Media")</f>
        <v>Top 10 Full-Service Marketing Agencies in London | PinPoint Media</v>
      </c>
      <c r="C492" s="15" t="str">
        <f>IFERROR(__xludf.DUMMYFUNCTION("""COMPUTED_VALUE"""),"pinpoint-media.global")</f>
        <v>pinpoint-media.global</v>
      </c>
      <c r="D492" s="15" t="str">
        <f>IFERROR(__xludf.DUMMYFUNCTION("""COMPUTED_VALUE"""),"LISTICLE")</f>
        <v>LISTICLE</v>
      </c>
      <c r="E492" s="15" t="str">
        <f>IFERROR(__xludf.DUMMYFUNCTION("""COMPUTED_VALUE"""),"COMPETITOR")</f>
        <v>COMPETITOR</v>
      </c>
      <c r="F492" s="15" t="str">
        <f>IFERROR(__xludf.DUMMYFUNCTION("""COMPUTED_VALUE"""),"Listicle")</f>
        <v>Listicle</v>
      </c>
      <c r="G492" s="15" t="b">
        <f>IFERROR(__xludf.DUMMYFUNCTION("""COMPUTED_VALUE"""),FALSE)</f>
        <v>0</v>
      </c>
      <c r="H492" s="15" t="str">
        <f>IFERROR(__xludf.DUMMYFUNCTION("""COMPUTED_VALUE"""),"PinPoint Media, Dentsu, Brainlabs, Impression, Found, Tinuiti")</f>
        <v>PinPoint Media, Dentsu, Brainlabs, Impression, Found, Tinuiti</v>
      </c>
      <c r="I492" s="15">
        <f>IFERROR(__xludf.DUMMYFUNCTION("""COMPUTED_VALUE"""),1.0)</f>
        <v>1</v>
      </c>
      <c r="J492" s="15">
        <f>IFERROR(__xludf.DUMMYFUNCTION("""COMPUTED_VALUE"""),0.0)</f>
        <v>0</v>
      </c>
      <c r="K492" s="15">
        <f>IFERROR(__xludf.DUMMYFUNCTION("""COMPUTED_VALUE"""),1.0)</f>
        <v>1</v>
      </c>
    </row>
    <row r="493" ht="15.75" customHeight="1">
      <c r="A493" s="14" t="str">
        <f>IFERROR(__xludf.DUMMYFUNCTION("""COMPUTED_VALUE"""),"https://pinpoint-media.global/insights/top-10-tailored-paid-media-agencies-in-london")</f>
        <v>https://pinpoint-media.global/insights/top-10-tailored-paid-media-agencies-in-london</v>
      </c>
      <c r="B493" s="15" t="str">
        <f>IFERROR(__xludf.DUMMYFUNCTION("""COMPUTED_VALUE"""),"Top 10 Tailored Paid Media Agencies in London | PinPoint Media")</f>
        <v>Top 10 Tailored Paid Media Agencies in London | PinPoint Media</v>
      </c>
      <c r="C493" s="15" t="str">
        <f>IFERROR(__xludf.DUMMYFUNCTION("""COMPUTED_VALUE"""),"pinpoint-media.global")</f>
        <v>pinpoint-media.global</v>
      </c>
      <c r="D493" s="15" t="str">
        <f>IFERROR(__xludf.DUMMYFUNCTION("""COMPUTED_VALUE"""),"LISTICLE")</f>
        <v>LISTICLE</v>
      </c>
      <c r="E493" s="15" t="str">
        <f>IFERROR(__xludf.DUMMYFUNCTION("""COMPUTED_VALUE"""),"COMPETITOR")</f>
        <v>COMPETITOR</v>
      </c>
      <c r="F493" s="15" t="str">
        <f>IFERROR(__xludf.DUMMYFUNCTION("""COMPUTED_VALUE"""),"Listicle")</f>
        <v>Listicle</v>
      </c>
      <c r="G493" s="15" t="b">
        <f>IFERROR(__xludf.DUMMYFUNCTION("""COMPUTED_VALUE"""),FALSE)</f>
        <v>0</v>
      </c>
      <c r="H493" s="15" t="str">
        <f>IFERROR(__xludf.DUMMYFUNCTION("""COMPUTED_VALUE"""),"PinPoint Media, Social Chain, Jellyfish")</f>
        <v>PinPoint Media, Social Chain, Jellyfish</v>
      </c>
      <c r="I493" s="15">
        <f>IFERROR(__xludf.DUMMYFUNCTION("""COMPUTED_VALUE"""),1.0)</f>
        <v>1</v>
      </c>
      <c r="J493" s="15">
        <f>IFERROR(__xludf.DUMMYFUNCTION("""COMPUTED_VALUE"""),0.0)</f>
        <v>0</v>
      </c>
      <c r="K493" s="15">
        <f>IFERROR(__xludf.DUMMYFUNCTION("""COMPUTED_VALUE"""),1.0)</f>
        <v>1</v>
      </c>
    </row>
    <row r="494" ht="15.75" customHeight="1">
      <c r="A494" s="14" t="str">
        <f>IFERROR(__xludf.DUMMYFUNCTION("""COMPUTED_VALUE"""),"https://pinpoint-media.global/insights/top-5-paid-media-performance-agencies-for-health-wellness-brands")</f>
        <v>https://pinpoint-media.global/insights/top-5-paid-media-performance-agencies-for-health-wellness-brands</v>
      </c>
      <c r="B494" s="15" t="str">
        <f>IFERROR(__xludf.DUMMYFUNCTION("""COMPUTED_VALUE"""),"Top 5 Paid Media Performance Agencies for Health &amp;amp; Wellness Brands | PinPoint Media")</f>
        <v>Top 5 Paid Media Performance Agencies for Health &amp;amp; Wellness Brands | PinPoint Media</v>
      </c>
      <c r="C494" s="15" t="str">
        <f>IFERROR(__xludf.DUMMYFUNCTION("""COMPUTED_VALUE"""),"pinpoint-media.global")</f>
        <v>pinpoint-media.global</v>
      </c>
      <c r="D494" s="15" t="str">
        <f>IFERROR(__xludf.DUMMYFUNCTION("""COMPUTED_VALUE"""),"LISTICLE")</f>
        <v>LISTICLE</v>
      </c>
      <c r="E494" s="15" t="str">
        <f>IFERROR(__xludf.DUMMYFUNCTION("""COMPUTED_VALUE"""),"COMPETITOR")</f>
        <v>COMPETITOR</v>
      </c>
      <c r="F494" s="15" t="str">
        <f>IFERROR(__xludf.DUMMYFUNCTION("""COMPUTED_VALUE"""),"Listicle")</f>
        <v>Listicle</v>
      </c>
      <c r="G494" s="15" t="b">
        <f>IFERROR(__xludf.DUMMYFUNCTION("""COMPUTED_VALUE"""),FALSE)</f>
        <v>0</v>
      </c>
      <c r="H494" s="15" t="str">
        <f>IFERROR(__xludf.DUMMYFUNCTION("""COMPUTED_VALUE"""),"PinPoint Media, The Social Shepherd")</f>
        <v>PinPoint Media, The Social Shepherd</v>
      </c>
      <c r="I494" s="15">
        <f>IFERROR(__xludf.DUMMYFUNCTION("""COMPUTED_VALUE"""),1.0)</f>
        <v>1</v>
      </c>
      <c r="J494" s="15">
        <f>IFERROR(__xludf.DUMMYFUNCTION("""COMPUTED_VALUE"""),0.0)</f>
        <v>0</v>
      </c>
      <c r="K494" s="15">
        <f>IFERROR(__xludf.DUMMYFUNCTION("""COMPUTED_VALUE"""),1.0)</f>
        <v>1</v>
      </c>
    </row>
    <row r="495" ht="15.75" customHeight="1">
      <c r="A495" s="14" t="str">
        <f>IFERROR(__xludf.DUMMYFUNCTION("""COMPUTED_VALUE"""),"https://pipeline.zoominfo.com/sales/intent-data-platform")</f>
        <v>https://pipeline.zoominfo.com/sales/intent-data-platform</v>
      </c>
      <c r="B495" s="15" t="str">
        <f>IFERROR(__xludf.DUMMYFUNCTION("""COMPUTED_VALUE"""),"Best Intent Data Platforms in 2026: Identify In-Market B2B Accounts Fast")</f>
        <v>Best Intent Data Platforms in 2026: Identify In-Market B2B Accounts Fast</v>
      </c>
      <c r="C495" s="14" t="str">
        <f>IFERROR(__xludf.DUMMYFUNCTION("""COMPUTED_VALUE"""),"zoominfo.com")</f>
        <v>zoominfo.com</v>
      </c>
      <c r="D495" s="15" t="str">
        <f>IFERROR(__xludf.DUMMYFUNCTION("""COMPUTED_VALUE"""),"LISTICLE")</f>
        <v>LISTICLE</v>
      </c>
      <c r="E495" s="15" t="str">
        <f>IFERROR(__xludf.DUMMYFUNCTION("""COMPUTED_VALUE"""),"CORPORATE")</f>
        <v>CORPORATE</v>
      </c>
      <c r="F495" s="15" t="str">
        <f>IFERROR(__xludf.DUMMYFUNCTION("""COMPUTED_VALUE"""),"Listicle")</f>
        <v>Listicle</v>
      </c>
      <c r="G495" s="15" t="b">
        <f>IFERROR(__xludf.DUMMYFUNCTION("""COMPUTED_VALUE"""),FALSE)</f>
        <v>0</v>
      </c>
      <c r="H495" s="15" t="str">
        <f>IFERROR(__xludf.DUMMYFUNCTION("""COMPUTED_VALUE"""),"Found, Push")</f>
        <v>Found, Push</v>
      </c>
      <c r="I495" s="15">
        <f>IFERROR(__xludf.DUMMYFUNCTION("""COMPUTED_VALUE"""),1.0)</f>
        <v>1</v>
      </c>
      <c r="J495" s="15">
        <f>IFERROR(__xludf.DUMMYFUNCTION("""COMPUTED_VALUE"""),0.0)</f>
        <v>0</v>
      </c>
      <c r="K495" s="15">
        <f>IFERROR(__xludf.DUMMYFUNCTION("""COMPUTED_VALUE"""),0.0)</f>
        <v>0</v>
      </c>
    </row>
    <row r="496" ht="15.75" customHeight="1">
      <c r="A496" s="14" t="str">
        <f>IFERROR(__xludf.DUMMYFUNCTION("""COMPUTED_VALUE"""),"https://www.pitchkitchen.com/best-ai-sales-marketing-agencies")</f>
        <v>https://www.pitchkitchen.com/best-ai-sales-marketing-agencies</v>
      </c>
      <c r="B496" s="15" t="str">
        <f>IFERROR(__xludf.DUMMYFUNCTION("""COMPUTED_VALUE"""),"Best AI Sales and Marketing Agencies for B2B in 2026 | PitchKitchen")</f>
        <v>Best AI Sales and Marketing Agencies for B2B in 2026 | PitchKitchen</v>
      </c>
      <c r="C496" s="14" t="str">
        <f>IFERROR(__xludf.DUMMYFUNCTION("""COMPUTED_VALUE"""),"pitchkitchen.com")</f>
        <v>pitchkitchen.com</v>
      </c>
      <c r="D496" s="15" t="str">
        <f>IFERROR(__xludf.DUMMYFUNCTION("""COMPUTED_VALUE"""),"LISTICLE")</f>
        <v>LISTICLE</v>
      </c>
      <c r="E496" s="15" t="str">
        <f>IFERROR(__xludf.DUMMYFUNCTION("""COMPUTED_VALUE"""),"CORPORATE")</f>
        <v>CORPORATE</v>
      </c>
      <c r="F496" s="15" t="str">
        <f>IFERROR(__xludf.DUMMYFUNCTION("""COMPUTED_VALUE"""),"Listicle")</f>
        <v>Listicle</v>
      </c>
      <c r="G496" s="15" t="b">
        <f>IFERROR(__xludf.DUMMYFUNCTION("""COMPUTED_VALUE"""),FALSE)</f>
        <v>0</v>
      </c>
      <c r="H496" s="15" t="str">
        <f>IFERROR(__xludf.DUMMYFUNCTION("""COMPUTED_VALUE"""),"Directive Consulting")</f>
        <v>Directive Consulting</v>
      </c>
      <c r="I496" s="15">
        <f>IFERROR(__xludf.DUMMYFUNCTION("""COMPUTED_VALUE"""),1.0)</f>
        <v>1</v>
      </c>
      <c r="J496" s="15">
        <f>IFERROR(__xludf.DUMMYFUNCTION("""COMPUTED_VALUE"""),0.0)</f>
        <v>0</v>
      </c>
      <c r="K496" s="15">
        <f>IFERROR(__xludf.DUMMYFUNCTION("""COMPUTED_VALUE"""),0.0)</f>
        <v>0</v>
      </c>
    </row>
    <row r="497" ht="15.75" customHeight="1">
      <c r="A497" s="14" t="str">
        <f>IFERROR(__xludf.DUMMYFUNCTION("""COMPUTED_VALUE"""),"https://www.polarisagency.com/us/marketing-insights/top-branding-agencies-in-london-2024/")</f>
        <v>https://www.polarisagency.com/us/marketing-insights/top-branding-agencies-in-london-2024/</v>
      </c>
      <c r="B497" s="15" t="str">
        <f>IFERROR(__xludf.DUMMYFUNCTION("""COMPUTED_VALUE"""),"Top Branding Agencies in London 2024 - POLARIS")</f>
        <v>Top Branding Agencies in London 2024 - POLARIS</v>
      </c>
      <c r="C497" s="14" t="str">
        <f>IFERROR(__xludf.DUMMYFUNCTION("""COMPUTED_VALUE"""),"polarisagency.com")</f>
        <v>polarisagency.com</v>
      </c>
      <c r="D497" s="15" t="str">
        <f>IFERROR(__xludf.DUMMYFUNCTION("""COMPUTED_VALUE"""),"LISTICLE")</f>
        <v>LISTICLE</v>
      </c>
      <c r="E497" s="15" t="str">
        <f>IFERROR(__xludf.DUMMYFUNCTION("""COMPUTED_VALUE"""),"COMPETITOR")</f>
        <v>COMPETITOR</v>
      </c>
      <c r="F497" s="15" t="str">
        <f>IFERROR(__xludf.DUMMYFUNCTION("""COMPUTED_VALUE"""),"Listicle")</f>
        <v>Listicle</v>
      </c>
      <c r="G497" s="15" t="b">
        <f>IFERROR(__xludf.DUMMYFUNCTION("""COMPUTED_VALUE"""),FALSE)</f>
        <v>0</v>
      </c>
      <c r="H497" s="15" t="str">
        <f>IFERROR(__xludf.DUMMYFUNCTION("""COMPUTED_VALUE"""),"Polaris, Impression, Push")</f>
        <v>Polaris, Impression, Push</v>
      </c>
      <c r="I497" s="15">
        <f>IFERROR(__xludf.DUMMYFUNCTION("""COMPUTED_VALUE"""),1.0)</f>
        <v>1</v>
      </c>
      <c r="J497" s="15">
        <f>IFERROR(__xludf.DUMMYFUNCTION("""COMPUTED_VALUE"""),0.0)</f>
        <v>0</v>
      </c>
      <c r="K497" s="15">
        <f>IFERROR(__xludf.DUMMYFUNCTION("""COMPUTED_VALUE"""),0.0)</f>
        <v>0</v>
      </c>
    </row>
    <row r="498" ht="15.75" customHeight="1">
      <c r="A498" s="14" t="str">
        <f>IFERROR(__xludf.DUMMYFUNCTION("""COMPUTED_VALUE"""),"https://www.position.digital/blog/top-geo-agencies/")</f>
        <v>https://www.position.digital/blog/top-geo-agencies/</v>
      </c>
      <c r="B498" s="15" t="str">
        <f>IFERROR(__xludf.DUMMYFUNCTION("""COMPUTED_VALUE"""),"Top 13 Generative Engine Optimization (GEO) Agencies in 2026")</f>
        <v>Top 13 Generative Engine Optimization (GEO) Agencies in 2026</v>
      </c>
      <c r="C498" s="15" t="str">
        <f>IFERROR(__xludf.DUMMYFUNCTION("""COMPUTED_VALUE"""),"position.digital")</f>
        <v>position.digital</v>
      </c>
      <c r="D498" s="15" t="str">
        <f>IFERROR(__xludf.DUMMYFUNCTION("""COMPUTED_VALUE"""),"LISTICLE")</f>
        <v>LISTICLE</v>
      </c>
      <c r="E498" s="15" t="str">
        <f>IFERROR(__xludf.DUMMYFUNCTION("""COMPUTED_VALUE"""),"CORPORATE")</f>
        <v>CORPORATE</v>
      </c>
      <c r="F498" s="15" t="str">
        <f>IFERROR(__xludf.DUMMYFUNCTION("""COMPUTED_VALUE"""),"Listicle")</f>
        <v>Listicle</v>
      </c>
      <c r="G498" s="15" t="b">
        <f>IFERROR(__xludf.DUMMYFUNCTION("""COMPUTED_VALUE"""),FALSE)</f>
        <v>0</v>
      </c>
      <c r="H498" s="15" t="str">
        <f>IFERROR(__xludf.DUMMYFUNCTION("""COMPUTED_VALUE"""),"Huge, Ignite Visibility")</f>
        <v>Huge, Ignite Visibility</v>
      </c>
      <c r="I498" s="15">
        <f>IFERROR(__xludf.DUMMYFUNCTION("""COMPUTED_VALUE"""),1.0)</f>
        <v>1</v>
      </c>
      <c r="J498" s="15">
        <f>IFERROR(__xludf.DUMMYFUNCTION("""COMPUTED_VALUE"""),0.0)</f>
        <v>0</v>
      </c>
      <c r="K498" s="15">
        <f>IFERROR(__xludf.DUMMYFUNCTION("""COMPUTED_VALUE"""),0.0)</f>
        <v>0</v>
      </c>
    </row>
    <row r="499" ht="15.75" customHeight="1">
      <c r="A499" s="14" t="str">
        <f>IFERROR(__xludf.DUMMYFUNCTION("""COMPUTED_VALUE"""),"https://prescientai.com/blog/best-mmm-tools-for-e-commerce-brands")</f>
        <v>https://prescientai.com/blog/best-mmm-tools-for-e-commerce-brands</v>
      </c>
      <c r="B499" s="15" t="str">
        <f>IFERROR(__xludf.DUMMYFUNCTION("""COMPUTED_VALUE"""),"Best MMM Tools for E-Commerce Brands [2026 Guide]")</f>
        <v>Best MMM Tools for E-Commerce Brands [2026 Guide]</v>
      </c>
      <c r="C499" s="14" t="str">
        <f>IFERROR(__xludf.DUMMYFUNCTION("""COMPUTED_VALUE"""),"prescientai.com")</f>
        <v>prescientai.com</v>
      </c>
      <c r="D499" s="15" t="str">
        <f>IFERROR(__xludf.DUMMYFUNCTION("""COMPUTED_VALUE"""),"LISTICLE")</f>
        <v>LISTICLE</v>
      </c>
      <c r="E499" s="15" t="str">
        <f>IFERROR(__xludf.DUMMYFUNCTION("""COMPUTED_VALUE"""),"CORPORATE")</f>
        <v>CORPORATE</v>
      </c>
      <c r="F499" s="15" t="str">
        <f>IFERROR(__xludf.DUMMYFUNCTION("""COMPUTED_VALUE"""),"Listicle")</f>
        <v>Listicle</v>
      </c>
      <c r="G499" s="15" t="b">
        <f>IFERROR(__xludf.DUMMYFUNCTION("""COMPUTED_VALUE"""),FALSE)</f>
        <v>0</v>
      </c>
      <c r="H499" s="15" t="str">
        <f>IFERROR(__xludf.DUMMYFUNCTION("""COMPUTED_VALUE"""),"Recast, Northbeam, Measured, Sellforte, Found")</f>
        <v>Recast, Northbeam, Measured, Sellforte, Found</v>
      </c>
      <c r="I499" s="15">
        <f>IFERROR(__xludf.DUMMYFUNCTION("""COMPUTED_VALUE"""),1.0)</f>
        <v>1</v>
      </c>
      <c r="J499" s="15">
        <f>IFERROR(__xludf.DUMMYFUNCTION("""COMPUTED_VALUE"""),0.0)</f>
        <v>0</v>
      </c>
      <c r="K499" s="15">
        <f>IFERROR(__xludf.DUMMYFUNCTION("""COMPUTED_VALUE"""),0.0)</f>
        <v>0</v>
      </c>
    </row>
    <row r="500" ht="15.75" customHeight="1">
      <c r="A500" s="14" t="str">
        <f>IFERROR(__xludf.DUMMYFUNCTION("""COMPUTED_VALUE"""),"https://www.promodo.com/blog/best-geo-agencies")</f>
        <v>https://www.promodo.com/blog/best-geo-agencies</v>
      </c>
      <c r="B500" s="15" t="str">
        <f>IFERROR(__xludf.DUMMYFUNCTION("""COMPUTED_VALUE"""),"Top GEO Agencies in 2026: Get Your Brand Cited by AI Search")</f>
        <v>Top GEO Agencies in 2026: Get Your Brand Cited by AI Search</v>
      </c>
      <c r="C500" s="14" t="str">
        <f>IFERROR(__xludf.DUMMYFUNCTION("""COMPUTED_VALUE"""),"promodo.com")</f>
        <v>promodo.com</v>
      </c>
      <c r="D500" s="15" t="str">
        <f>IFERROR(__xludf.DUMMYFUNCTION("""COMPUTED_VALUE"""),"LISTICLE")</f>
        <v>LISTICLE</v>
      </c>
      <c r="E500" s="15" t="str">
        <f>IFERROR(__xludf.DUMMYFUNCTION("""COMPUTED_VALUE"""),"CORPORATE")</f>
        <v>CORPORATE</v>
      </c>
      <c r="F500" s="15" t="str">
        <f>IFERROR(__xludf.DUMMYFUNCTION("""COMPUTED_VALUE"""),"Listicle")</f>
        <v>Listicle</v>
      </c>
      <c r="G500" s="15" t="b">
        <f>IFERROR(__xludf.DUMMYFUNCTION("""COMPUTED_VALUE"""),FALSE)</f>
        <v>0</v>
      </c>
      <c r="H500" s="15" t="str">
        <f>IFERROR(__xludf.DUMMYFUNCTION("""COMPUTED_VALUE"""),"Found, Directive Consulting, Siege Media, Impression, The SEO Works, Measured")</f>
        <v>Found, Directive Consulting, Siege Media, Impression, The SEO Works, Measured</v>
      </c>
      <c r="I500" s="15">
        <f>IFERROR(__xludf.DUMMYFUNCTION("""COMPUTED_VALUE"""),1.0)</f>
        <v>1</v>
      </c>
      <c r="J500" s="15">
        <f>IFERROR(__xludf.DUMMYFUNCTION("""COMPUTED_VALUE"""),0.0)</f>
        <v>0</v>
      </c>
      <c r="K500" s="15">
        <f>IFERROR(__xludf.DUMMYFUNCTION("""COMPUTED_VALUE"""),1.0)</f>
        <v>1</v>
      </c>
    </row>
    <row r="501" ht="15.75" customHeight="1">
      <c r="A501" s="14" t="str">
        <f>IFERROR(__xludf.DUMMYFUNCTION("""COMPUTED_VALUE"""),"https://www.provokemedia.com/events-awards/agencies-of-the-year/the-best-agencies-in-emea-2026/the-70-best-agencies-in-the-uk")</f>
        <v>https://www.provokemedia.com/events-awards/agencies-of-the-year/the-best-agencies-in-emea-2026/the-70-best-agencies-in-the-uk</v>
      </c>
      <c r="B501" s="15"/>
      <c r="C501" s="14" t="str">
        <f>IFERROR(__xludf.DUMMYFUNCTION("""COMPUTED_VALUE"""),"provokemedia.com")</f>
        <v>provokemedia.com</v>
      </c>
      <c r="D501" s="15" t="str">
        <f>IFERROR(__xludf.DUMMYFUNCTION("""COMPUTED_VALUE"""),"LISTICLE")</f>
        <v>LISTICLE</v>
      </c>
      <c r="E501" s="15" t="str">
        <f>IFERROR(__xludf.DUMMYFUNCTION("""COMPUTED_VALUE"""),"CORPORATE")</f>
        <v>CORPORATE</v>
      </c>
      <c r="F501" s="15" t="str">
        <f>IFERROR(__xludf.DUMMYFUNCTION("""COMPUTED_VALUE"""),"Listicle")</f>
        <v>Listicle</v>
      </c>
      <c r="G501" s="15" t="b">
        <f>IFERROR(__xludf.DUMMYFUNCTION("""COMPUTED_VALUE"""),FALSE)</f>
        <v>0</v>
      </c>
      <c r="H501" s="15" t="str">
        <f>IFERROR(__xludf.DUMMYFUNCTION("""COMPUTED_VALUE"""),"Manifest Group, Ogilvy, Propeller, VCCP, Omnicom")</f>
        <v>Manifest Group, Ogilvy, Propeller, VCCP, Omnicom</v>
      </c>
      <c r="I501" s="15">
        <f>IFERROR(__xludf.DUMMYFUNCTION("""COMPUTED_VALUE"""),1.0)</f>
        <v>1</v>
      </c>
      <c r="J501" s="15">
        <f>IFERROR(__xludf.DUMMYFUNCTION("""COMPUTED_VALUE"""),0.0)</f>
        <v>0</v>
      </c>
      <c r="K501" s="15">
        <f>IFERROR(__xludf.DUMMYFUNCTION("""COMPUTED_VALUE"""),0.0)</f>
        <v>0</v>
      </c>
    </row>
    <row r="502" ht="15.75" customHeight="1">
      <c r="A502" s="14" t="str">
        <f>IFERROR(__xludf.DUMMYFUNCTION("""COMPUTED_VALUE"""),"https://www.pushgroup.co.uk/blog/top-9-ai-marketing-agencies-in-the-uk?gad_campaignid=22483974645&amp;gad_source=1&amp;hsa_acc=9418696810&amp;hsa_cam=22483974645&amp;hsa_grp=185549061984&amp;hsa_kw=full%25252520service%25252520digital%25252520marketing%25252520agency&amp;hsa_mt="&amp;"b&amp;hsa_net=adwords&amp;hsa_src=g&amp;hsa_tgt=kwd-3181654106&amp;hsa_ver=3")</f>
        <v>https://www.pushgroup.co.uk/blog/top-9-ai-marketing-agencies-in-the-uk?gad_campaignid=22483974645&amp;gad_source=1&amp;hsa_acc=9418696810&amp;hsa_cam=22483974645&amp;hsa_grp=185549061984&amp;hsa_kw=full%25252520service%25252520digital%25252520marketing%25252520agency&amp;hsa_mt=b&amp;hsa_net=adwords&amp;hsa_src=g&amp;hsa_tgt=kwd-3181654106&amp;hsa_ver=3</v>
      </c>
      <c r="B502" s="15" t="str">
        <f>IFERROR(__xludf.DUMMYFUNCTION("""COMPUTED_VALUE"""),"Top 9 AI Marketing Agencies in the UK (2026) | PUSH")</f>
        <v>Top 9 AI Marketing Agencies in the UK (2026) | PUSH</v>
      </c>
      <c r="C502" s="14" t="str">
        <f>IFERROR(__xludf.DUMMYFUNCTION("""COMPUTED_VALUE"""),"pushgroup.co.uk")</f>
        <v>pushgroup.co.uk</v>
      </c>
      <c r="D502" s="15" t="str">
        <f>IFERROR(__xludf.DUMMYFUNCTION("""COMPUTED_VALUE"""),"LISTICLE")</f>
        <v>LISTICLE</v>
      </c>
      <c r="E502" s="15" t="str">
        <f>IFERROR(__xludf.DUMMYFUNCTION("""COMPUTED_VALUE"""),"COMPETITOR")</f>
        <v>COMPETITOR</v>
      </c>
      <c r="F502" s="15" t="str">
        <f>IFERROR(__xludf.DUMMYFUNCTION("""COMPUTED_VALUE"""),"Listicle")</f>
        <v>Listicle</v>
      </c>
      <c r="G502" s="15" t="b">
        <f>IFERROR(__xludf.DUMMYFUNCTION("""COMPUTED_VALUE"""),FALSE)</f>
        <v>0</v>
      </c>
      <c r="H502" s="15" t="str">
        <f>IFERROR(__xludf.DUMMYFUNCTION("""COMPUTED_VALUE"""),"Push, Push Group, Found, Croud, Born Social, Brainlabs, Measured, Disrupt Marketing, NoGood, Impression, Open Partners, Single Grain, VCCP")</f>
        <v>Push, Push Group, Found, Croud, Born Social, Brainlabs, Measured, Disrupt Marketing, NoGood, Impression, Open Partners, Single Grain, VCCP</v>
      </c>
      <c r="I502" s="15">
        <f>IFERROR(__xludf.DUMMYFUNCTION("""COMPUTED_VALUE"""),1.0)</f>
        <v>1</v>
      </c>
      <c r="J502" s="15">
        <f>IFERROR(__xludf.DUMMYFUNCTION("""COMPUTED_VALUE"""),0.0)</f>
        <v>0</v>
      </c>
      <c r="K502" s="15">
        <f>IFERROR(__xludf.DUMMYFUNCTION("""COMPUTED_VALUE"""),0.0)</f>
        <v>0</v>
      </c>
    </row>
    <row r="503" ht="15.75" customHeight="1">
      <c r="A503" s="14" t="str">
        <f>IFERROR(__xludf.DUMMYFUNCTION("""COMPUTED_VALUE"""),"https://www.pushgroup.co.uk/blog/top-9-e-commerce-agencies-in-the-uk")</f>
        <v>https://www.pushgroup.co.uk/blog/top-9-e-commerce-agencies-in-the-uk</v>
      </c>
      <c r="B503" s="15" t="str">
        <f>IFERROR(__xludf.DUMMYFUNCTION("""COMPUTED_VALUE"""),"Top 9 Ecommerce Agencies in the UK (2026) | PUSH Group")</f>
        <v>Top 9 Ecommerce Agencies in the UK (2026) | PUSH Group</v>
      </c>
      <c r="C503" s="14" t="str">
        <f>IFERROR(__xludf.DUMMYFUNCTION("""COMPUTED_VALUE"""),"pushgroup.co.uk")</f>
        <v>pushgroup.co.uk</v>
      </c>
      <c r="D503" s="15" t="str">
        <f>IFERROR(__xludf.DUMMYFUNCTION("""COMPUTED_VALUE"""),"LISTICLE")</f>
        <v>LISTICLE</v>
      </c>
      <c r="E503" s="15" t="str">
        <f>IFERROR(__xludf.DUMMYFUNCTION("""COMPUTED_VALUE"""),"COMPETITOR")</f>
        <v>COMPETITOR</v>
      </c>
      <c r="F503" s="15" t="str">
        <f>IFERROR(__xludf.DUMMYFUNCTION("""COMPUTED_VALUE"""),"Listicle")</f>
        <v>Listicle</v>
      </c>
      <c r="G503" s="15" t="b">
        <f>IFERROR(__xludf.DUMMYFUNCTION("""COMPUTED_VALUE"""),FALSE)</f>
        <v>0</v>
      </c>
      <c r="H503" s="15" t="str">
        <f>IFERROR(__xludf.DUMMYFUNCTION("""COMPUTED_VALUE"""),"Push, Push Group, Found, Impression, Croud")</f>
        <v>Push, Push Group, Found, Impression, Croud</v>
      </c>
      <c r="I503" s="15">
        <f>IFERROR(__xludf.DUMMYFUNCTION("""COMPUTED_VALUE"""),1.0)</f>
        <v>1</v>
      </c>
      <c r="J503" s="15">
        <f>IFERROR(__xludf.DUMMYFUNCTION("""COMPUTED_VALUE"""),0.0)</f>
        <v>0</v>
      </c>
      <c r="K503" s="15">
        <f>IFERROR(__xludf.DUMMYFUNCTION("""COMPUTED_VALUE"""),1.0)</f>
        <v>1</v>
      </c>
    </row>
    <row r="504" ht="15.75" customHeight="1">
      <c r="A504" s="14" t="str">
        <f>IFERROR(__xludf.DUMMYFUNCTION("""COMPUTED_VALUE"""),"https://raddinteractive.com/the-best-social-media-sites-for-marketing-and-most-popular/")</f>
        <v>https://raddinteractive.com/the-best-social-media-sites-for-marketing-and-most-popular/</v>
      </c>
      <c r="B504" s="15" t="str">
        <f>IFERROR(__xludf.DUMMYFUNCTION("""COMPUTED_VALUE"""),"The Best Social Media Sites for Marketing (and Most Popular)")</f>
        <v>The Best Social Media Sites for Marketing (and Most Popular)</v>
      </c>
      <c r="C504" s="14" t="str">
        <f>IFERROR(__xludf.DUMMYFUNCTION("""COMPUTED_VALUE"""),"raddinteractive.com")</f>
        <v>raddinteractive.com</v>
      </c>
      <c r="D504" s="15" t="str">
        <f>IFERROR(__xludf.DUMMYFUNCTION("""COMPUTED_VALUE"""),"LISTICLE")</f>
        <v>LISTICLE</v>
      </c>
      <c r="E504" s="15" t="str">
        <f>IFERROR(__xludf.DUMMYFUNCTION("""COMPUTED_VALUE"""),"CORPORATE")</f>
        <v>CORPORATE</v>
      </c>
      <c r="F504" s="15" t="str">
        <f>IFERROR(__xludf.DUMMYFUNCTION("""COMPUTED_VALUE"""),"Listicle")</f>
        <v>Listicle</v>
      </c>
      <c r="G504" s="15" t="b">
        <f>IFERROR(__xludf.DUMMYFUNCTION("""COMPUTED_VALUE"""),FALSE)</f>
        <v>0</v>
      </c>
      <c r="H504" s="15" t="str">
        <f>IFERROR(__xludf.DUMMYFUNCTION("""COMPUTED_VALUE"""),"Impression, Huge")</f>
        <v>Impression, Huge</v>
      </c>
      <c r="I504" s="15">
        <f>IFERROR(__xludf.DUMMYFUNCTION("""COMPUTED_VALUE"""),1.0)</f>
        <v>1</v>
      </c>
      <c r="J504" s="15">
        <f>IFERROR(__xludf.DUMMYFUNCTION("""COMPUTED_VALUE"""),0.0)</f>
        <v>0</v>
      </c>
      <c r="K504" s="15">
        <f>IFERROR(__xludf.DUMMYFUNCTION("""COMPUTED_VALUE"""),0.0)</f>
        <v>0</v>
      </c>
    </row>
    <row r="505" ht="15.75" customHeight="1">
      <c r="A505" s="14" t="str">
        <f>IFERROR(__xludf.DUMMYFUNCTION("""COMPUTED_VALUE"""),"https://www.radyant.io/comparison/6-best-organic-growth-agencies-in-europe")</f>
        <v>https://www.radyant.io/comparison/6-best-organic-growth-agencies-in-europe</v>
      </c>
      <c r="B505" s="15" t="str">
        <f>IFERROR(__xludf.DUMMYFUNCTION("""COMPUTED_VALUE"""),"6 best organic growth agencies in Europe · Radyant")</f>
        <v>6 best organic growth agencies in Europe · Radyant</v>
      </c>
      <c r="C505" s="14" t="str">
        <f>IFERROR(__xludf.DUMMYFUNCTION("""COMPUTED_VALUE"""),"radyant.io")</f>
        <v>radyant.io</v>
      </c>
      <c r="D505" s="15" t="str">
        <f>IFERROR(__xludf.DUMMYFUNCTION("""COMPUTED_VALUE"""),"LISTICLE")</f>
        <v>LISTICLE</v>
      </c>
      <c r="E505" s="15" t="str">
        <f>IFERROR(__xludf.DUMMYFUNCTION("""COMPUTED_VALUE"""),"CORPORATE")</f>
        <v>CORPORATE</v>
      </c>
      <c r="F505" s="15" t="str">
        <f>IFERROR(__xludf.DUMMYFUNCTION("""COMPUTED_VALUE"""),"Listicle")</f>
        <v>Listicle</v>
      </c>
      <c r="G505" s="15" t="b">
        <f>IFERROR(__xludf.DUMMYFUNCTION("""COMPUTED_VALUE"""),FALSE)</f>
        <v>0</v>
      </c>
      <c r="H505" s="15" t="str">
        <f>IFERROR(__xludf.DUMMYFUNCTION("""COMPUTED_VALUE"""),"Found, Measured")</f>
        <v>Found, Measured</v>
      </c>
      <c r="I505" s="15">
        <f>IFERROR(__xludf.DUMMYFUNCTION("""COMPUTED_VALUE"""),1.0)</f>
        <v>1</v>
      </c>
      <c r="J505" s="15">
        <f>IFERROR(__xludf.DUMMYFUNCTION("""COMPUTED_VALUE"""),0.0)</f>
        <v>0</v>
      </c>
      <c r="K505" s="15">
        <f>IFERROR(__xludf.DUMMYFUNCTION("""COMPUTED_VALUE"""),1.0)</f>
        <v>1</v>
      </c>
    </row>
    <row r="506" ht="15.75" customHeight="1">
      <c r="A506" s="14" t="str">
        <f>IFERROR(__xludf.DUMMYFUNCTION("""COMPUTED_VALUE"""),"https://www.rank4ai.co.uk/research/rankings/top-ai-search-agencies-uk/")</f>
        <v>https://www.rank4ai.co.uk/research/rankings/top-ai-search-agencies-uk/</v>
      </c>
      <c r="B506" s="15" t="str">
        <f>IFERROR(__xludf.DUMMYFUNCTION("""COMPUTED_VALUE"""),"Top AI Search Agencies UK 2026 | Rank4AI")</f>
        <v>Top AI Search Agencies UK 2026 | Rank4AI</v>
      </c>
      <c r="C506" s="14" t="str">
        <f>IFERROR(__xludf.DUMMYFUNCTION("""COMPUTED_VALUE"""),"rank4ai.co.uk")</f>
        <v>rank4ai.co.uk</v>
      </c>
      <c r="D506" s="15" t="str">
        <f>IFERROR(__xludf.DUMMYFUNCTION("""COMPUTED_VALUE"""),"LISTICLE")</f>
        <v>LISTICLE</v>
      </c>
      <c r="E506" s="15" t="str">
        <f>IFERROR(__xludf.DUMMYFUNCTION("""COMPUTED_VALUE"""),"COMPETITOR")</f>
        <v>COMPETITOR</v>
      </c>
      <c r="F506" s="15" t="str">
        <f>IFERROR(__xludf.DUMMYFUNCTION("""COMPUTED_VALUE"""),"Listicle")</f>
        <v>Listicle</v>
      </c>
      <c r="G506" s="15" t="b">
        <f>IFERROR(__xludf.DUMMYFUNCTION("""COMPUTED_VALUE"""),FALSE)</f>
        <v>0</v>
      </c>
      <c r="H506" s="15" t="str">
        <f>IFERROR(__xludf.DUMMYFUNCTION("""COMPUTED_VALUE"""),"Rank4AI, Varn, Found, Buried Agency")</f>
        <v>Rank4AI, Varn, Found, Buried Agency</v>
      </c>
      <c r="I506" s="15">
        <f>IFERROR(__xludf.DUMMYFUNCTION("""COMPUTED_VALUE"""),1.0)</f>
        <v>1</v>
      </c>
      <c r="J506" s="15">
        <f>IFERROR(__xludf.DUMMYFUNCTION("""COMPUTED_VALUE"""),0.0)</f>
        <v>0</v>
      </c>
      <c r="K506" s="15">
        <f>IFERROR(__xludf.DUMMYFUNCTION("""COMPUTED_VALUE"""),3.0)</f>
        <v>3</v>
      </c>
    </row>
    <row r="507" ht="15.75" customHeight="1">
      <c r="A507" s="14" t="str">
        <f>IFERROR(__xludf.DUMMYFUNCTION("""COMPUTED_VALUE"""),"https://www.rebootonline.com/data-marketing/best-data-marketing-agencies/#:~:text=PMG%20Advertising%20Agency%20is%20a,%2C%20affiliate%20marketing%2C%20and%20SEO.")</f>
        <v>https://www.rebootonline.com/data-marketing/best-data-marketing-agencies/#:~:text=PMG%20Advertising%20Agency%20is%20a,%2C%20affiliate%20marketing%2C%20and%20SEO.</v>
      </c>
      <c r="B507" s="15" t="str">
        <f>IFERROR(__xludf.DUMMYFUNCTION("""COMPUTED_VALUE"""),"Best Data Marketing Agencies 2026 | Ultimate Top 10 List Ranked &amp;amp; Rated")</f>
        <v>Best Data Marketing Agencies 2026 | Ultimate Top 10 List Ranked &amp;amp; Rated</v>
      </c>
      <c r="C507" s="14" t="str">
        <f>IFERROR(__xludf.DUMMYFUNCTION("""COMPUTED_VALUE"""),"rebootonline.com")</f>
        <v>rebootonline.com</v>
      </c>
      <c r="D507" s="15" t="str">
        <f>IFERROR(__xludf.DUMMYFUNCTION("""COMPUTED_VALUE"""),"LISTICLE")</f>
        <v>LISTICLE</v>
      </c>
      <c r="E507" s="15" t="str">
        <f>IFERROR(__xludf.DUMMYFUNCTION("""COMPUTED_VALUE"""),"OTHER")</f>
        <v>OTHER</v>
      </c>
      <c r="F507" s="15" t="str">
        <f>IFERROR(__xludf.DUMMYFUNCTION("""COMPUTED_VALUE"""),"Listicle")</f>
        <v>Listicle</v>
      </c>
      <c r="G507" s="15" t="b">
        <f>IFERROR(__xludf.DUMMYFUNCTION("""COMPUTED_VALUE"""),FALSE)</f>
        <v>0</v>
      </c>
      <c r="H507" s="15" t="str">
        <f>IFERROR(__xludf.DUMMYFUNCTION("""COMPUTED_VALUE"""),"Brainlabs, Bind Media, Gravity Global, PMG, Journey Further, YouGov, Directive Consulting, Found")</f>
        <v>Brainlabs, Bind Media, Gravity Global, PMG, Journey Further, YouGov, Directive Consulting, Found</v>
      </c>
      <c r="I507" s="15">
        <f>IFERROR(__xludf.DUMMYFUNCTION("""COMPUTED_VALUE"""),1.0)</f>
        <v>1</v>
      </c>
      <c r="J507" s="15">
        <f>IFERROR(__xludf.DUMMYFUNCTION("""COMPUTED_VALUE"""),0.0)</f>
        <v>0</v>
      </c>
      <c r="K507" s="15">
        <f>IFERROR(__xludf.DUMMYFUNCTION("""COMPUTED_VALUE"""),2.0)</f>
        <v>2</v>
      </c>
    </row>
    <row r="508" ht="15.75" customHeight="1">
      <c r="A508" s="14" t="str">
        <f>IFERROR(__xludf.DUMMYFUNCTION("""COMPUTED_VALUE"""),"https://respona.com/blog/ai-seo-agency/")</f>
        <v>https://respona.com/blog/ai-seo-agency/</v>
      </c>
      <c r="B508" s="15" t="str">
        <f>IFERROR(__xludf.DUMMYFUNCTION("""COMPUTED_VALUE"""),"My Top 21 AI SEO Agency List for 2026")</f>
        <v>My Top 21 AI SEO Agency List for 2026</v>
      </c>
      <c r="C508" s="14" t="str">
        <f>IFERROR(__xludf.DUMMYFUNCTION("""COMPUTED_VALUE"""),"respona.com")</f>
        <v>respona.com</v>
      </c>
      <c r="D508" s="15" t="str">
        <f>IFERROR(__xludf.DUMMYFUNCTION("""COMPUTED_VALUE"""),"LISTICLE")</f>
        <v>LISTICLE</v>
      </c>
      <c r="E508" s="15" t="str">
        <f>IFERROR(__xludf.DUMMYFUNCTION("""COMPUTED_VALUE"""),"CORPORATE")</f>
        <v>CORPORATE</v>
      </c>
      <c r="F508" s="15" t="str">
        <f>IFERROR(__xludf.DUMMYFUNCTION("""COMPUTED_VALUE"""),"Listicle")</f>
        <v>Listicle</v>
      </c>
      <c r="G508" s="15" t="b">
        <f>IFERROR(__xludf.DUMMYFUNCTION("""COMPUTED_VALUE"""),FALSE)</f>
        <v>0</v>
      </c>
      <c r="H508" s="15" t="str">
        <f>IFERROR(__xludf.DUMMYFUNCTION("""COMPUTED_VALUE"""),"The SEO Works, Click Intelligence, Power Digital, Whitehat")</f>
        <v>The SEO Works, Click Intelligence, Power Digital, Whitehat</v>
      </c>
      <c r="I508" s="15">
        <f>IFERROR(__xludf.DUMMYFUNCTION("""COMPUTED_VALUE"""),1.0)</f>
        <v>1</v>
      </c>
      <c r="J508" s="15">
        <f>IFERROR(__xludf.DUMMYFUNCTION("""COMPUTED_VALUE"""),0.0)</f>
        <v>0</v>
      </c>
      <c r="K508" s="15">
        <f>IFERROR(__xludf.DUMMYFUNCTION("""COMPUTED_VALUE"""),1.0)</f>
        <v>1</v>
      </c>
    </row>
    <row r="509" ht="15.75" customHeight="1">
      <c r="A509" s="14" t="str">
        <f>IFERROR(__xludf.DUMMYFUNCTION("""COMPUTED_VALUE"""),"https://reverbico.com/blog/top-digital-agencies-for-early-stage-brand-launches/")</f>
        <v>https://reverbico.com/blog/top-digital-agencies-for-early-stage-brand-launches/</v>
      </c>
      <c r="B509" s="15" t="str">
        <f>IFERROR(__xludf.DUMMYFUNCTION("""COMPUTED_VALUE"""),"Top Digital Agencies For Early-Stage Brand Launches | REVERB")</f>
        <v>Top Digital Agencies For Early-Stage Brand Launches | REVERB</v>
      </c>
      <c r="C509" s="14" t="str">
        <f>IFERROR(__xludf.DUMMYFUNCTION("""COMPUTED_VALUE"""),"reverbico.com")</f>
        <v>reverbico.com</v>
      </c>
      <c r="D509" s="15" t="str">
        <f>IFERROR(__xludf.DUMMYFUNCTION("""COMPUTED_VALUE"""),"LISTICLE")</f>
        <v>LISTICLE</v>
      </c>
      <c r="E509" s="15" t="str">
        <f>IFERROR(__xludf.DUMMYFUNCTION("""COMPUTED_VALUE"""),"OTHER")</f>
        <v>OTHER</v>
      </c>
      <c r="F509" s="15" t="str">
        <f>IFERROR(__xludf.DUMMYFUNCTION("""COMPUTED_VALUE"""),"Listicle")</f>
        <v>Listicle</v>
      </c>
      <c r="G509" s="15" t="b">
        <f>IFERROR(__xludf.DUMMYFUNCTION("""COMPUTED_VALUE"""),FALSE)</f>
        <v>0</v>
      </c>
      <c r="H509" s="15" t="str">
        <f>IFERROR(__xludf.DUMMYFUNCTION("""COMPUTED_VALUE"""),"Momentum, NoGood, Ogilvy, Directive Consulting")</f>
        <v>Momentum, NoGood, Ogilvy, Directive Consulting</v>
      </c>
      <c r="I509" s="15">
        <f>IFERROR(__xludf.DUMMYFUNCTION("""COMPUTED_VALUE"""),1.0)</f>
        <v>1</v>
      </c>
      <c r="J509" s="15">
        <f>IFERROR(__xludf.DUMMYFUNCTION("""COMPUTED_VALUE"""),0.0)</f>
        <v>0</v>
      </c>
      <c r="K509" s="15">
        <f>IFERROR(__xludf.DUMMYFUNCTION("""COMPUTED_VALUE"""),1.0)</f>
        <v>1</v>
      </c>
    </row>
    <row r="510" ht="15.75" customHeight="1">
      <c r="A510" s="14" t="str">
        <f>IFERROR(__xludf.DUMMYFUNCTION("""COMPUTED_VALUE"""),"https://www.ruleranalytics.com/blog/analytics/marketing-attribution-software/")</f>
        <v>https://www.ruleranalytics.com/blog/analytics/marketing-attribution-software/</v>
      </c>
      <c r="B510" s="15" t="str">
        <f>IFERROR(__xludf.DUMMYFUNCTION("""COMPUTED_VALUE"""),"12 Marketing Attribution Software and Tools to Level Up Your Measurement in 2026 | Ruler Analytics")</f>
        <v>12 Marketing Attribution Software and Tools to Level Up Your Measurement in 2026 | Ruler Analytics</v>
      </c>
      <c r="C510" s="14" t="str">
        <f>IFERROR(__xludf.DUMMYFUNCTION("""COMPUTED_VALUE"""),"ruleranalytics.com")</f>
        <v>ruleranalytics.com</v>
      </c>
      <c r="D510" s="15" t="str">
        <f>IFERROR(__xludf.DUMMYFUNCTION("""COMPUTED_VALUE"""),"LISTICLE")</f>
        <v>LISTICLE</v>
      </c>
      <c r="E510" s="15" t="str">
        <f>IFERROR(__xludf.DUMMYFUNCTION("""COMPUTED_VALUE"""),"COMPETITOR")</f>
        <v>COMPETITOR</v>
      </c>
      <c r="F510" s="15" t="str">
        <f>IFERROR(__xludf.DUMMYFUNCTION("""COMPUTED_VALUE"""),"Listicle")</f>
        <v>Listicle</v>
      </c>
      <c r="G510" s="15" t="b">
        <f>IFERROR(__xludf.DUMMYFUNCTION("""COMPUTED_VALUE"""),FALSE)</f>
        <v>0</v>
      </c>
      <c r="H510" s="15" t="str">
        <f>IFERROR(__xludf.DUMMYFUNCTION("""COMPUTED_VALUE"""),"Ruler Analytics, Impression, Triple Whale")</f>
        <v>Ruler Analytics, Impression, Triple Whale</v>
      </c>
      <c r="I510" s="15">
        <f>IFERROR(__xludf.DUMMYFUNCTION("""COMPUTED_VALUE"""),1.0)</f>
        <v>1</v>
      </c>
      <c r="J510" s="15">
        <f>IFERROR(__xludf.DUMMYFUNCTION("""COMPUTED_VALUE"""),0.0)</f>
        <v>0</v>
      </c>
      <c r="K510" s="15">
        <f>IFERROR(__xludf.DUMMYFUNCTION("""COMPUTED_VALUE"""),0.0)</f>
        <v>0</v>
      </c>
    </row>
    <row r="511" ht="15.75" customHeight="1">
      <c r="A511" s="14" t="str">
        <f>IFERROR(__xludf.DUMMYFUNCTION("""COMPUTED_VALUE"""),"https://scalixai.com/blog/best-performance-marketing-agencies")</f>
        <v>https://scalixai.com/blog/best-performance-marketing-agencies</v>
      </c>
      <c r="B511" s="15" t="str">
        <f>IFERROR(__xludf.DUMMYFUNCTION("""COMPUTED_VALUE"""),"The Best Performance Marketing Agencies for 2026 | ScalixAI")</f>
        <v>The Best Performance Marketing Agencies for 2026 | ScalixAI</v>
      </c>
      <c r="C511" s="14" t="str">
        <f>IFERROR(__xludf.DUMMYFUNCTION("""COMPUTED_VALUE"""),"scalixai.com")</f>
        <v>scalixai.com</v>
      </c>
      <c r="D511" s="15" t="str">
        <f>IFERROR(__xludf.DUMMYFUNCTION("""COMPUTED_VALUE"""),"LISTICLE")</f>
        <v>LISTICLE</v>
      </c>
      <c r="E511" s="15" t="str">
        <f>IFERROR(__xludf.DUMMYFUNCTION("""COMPUTED_VALUE"""),"CORPORATE")</f>
        <v>CORPORATE</v>
      </c>
      <c r="F511" s="15" t="str">
        <f>IFERROR(__xludf.DUMMYFUNCTION("""COMPUTED_VALUE"""),"Listicle")</f>
        <v>Listicle</v>
      </c>
      <c r="G511" s="15" t="b">
        <f>IFERROR(__xludf.DUMMYFUNCTION("""COMPUTED_VALUE"""),FALSE)</f>
        <v>0</v>
      </c>
      <c r="H511" s="15" t="str">
        <f>IFERROR(__xludf.DUMMYFUNCTION("""COMPUTED_VALUE"""),"NoGood, Single Grain, Wpromote, Omniscient Digital, Darkroom, Common Thread Collective, Found")</f>
        <v>NoGood, Single Grain, Wpromote, Omniscient Digital, Darkroom, Common Thread Collective, Found</v>
      </c>
      <c r="I511" s="15">
        <f>IFERROR(__xludf.DUMMYFUNCTION("""COMPUTED_VALUE"""),1.0)</f>
        <v>1</v>
      </c>
      <c r="J511" s="15">
        <f>IFERROR(__xludf.DUMMYFUNCTION("""COMPUTED_VALUE"""),0.0)</f>
        <v>0</v>
      </c>
      <c r="K511" s="15">
        <f>IFERROR(__xludf.DUMMYFUNCTION("""COMPUTED_VALUE"""),0.0)</f>
        <v>0</v>
      </c>
    </row>
    <row r="512" ht="15.75" customHeight="1">
      <c r="A512" s="14" t="str">
        <f>IFERROR(__xludf.DUMMYFUNCTION("""COMPUTED_VALUE"""),"https://www.searchbloom.com/strategy/best-ai-seo-agency-companies-services-usa/")</f>
        <v>https://www.searchbloom.com/strategy/best-ai-seo-agency-companies-services-usa/</v>
      </c>
      <c r="B512" s="15" t="str">
        <f>IFERROR(__xludf.DUMMYFUNCTION("""COMPUTED_VALUE"""),"Best AI SEO Companies + Services in the US 2026 (AEO/GEO) - Best AEO Agencies in USA")</f>
        <v>Best AI SEO Companies + Services in the US 2026 (AEO/GEO) - Best AEO Agencies in USA</v>
      </c>
      <c r="C512" s="14" t="str">
        <f>IFERROR(__xludf.DUMMYFUNCTION("""COMPUTED_VALUE"""),"searchbloom.com")</f>
        <v>searchbloom.com</v>
      </c>
      <c r="D512" s="15" t="str">
        <f>IFERROR(__xludf.DUMMYFUNCTION("""COMPUTED_VALUE"""),"LISTICLE")</f>
        <v>LISTICLE</v>
      </c>
      <c r="E512" s="15" t="str">
        <f>IFERROR(__xludf.DUMMYFUNCTION("""COMPUTED_VALUE"""),"CORPORATE")</f>
        <v>CORPORATE</v>
      </c>
      <c r="F512" s="15" t="str">
        <f>IFERROR(__xludf.DUMMYFUNCTION("""COMPUTED_VALUE"""),"Listicle")</f>
        <v>Listicle</v>
      </c>
      <c r="G512" s="15" t="b">
        <f>IFERROR(__xludf.DUMMYFUNCTION("""COMPUTED_VALUE"""),FALSE)</f>
        <v>0</v>
      </c>
      <c r="H512" s="15" t="str">
        <f>IFERROR(__xludf.DUMMYFUNCTION("""COMPUTED_VALUE"""),"The SEO Works, Tinuiti, Omniscient Digital, Single Grain, Siege Media")</f>
        <v>The SEO Works, Tinuiti, Omniscient Digital, Single Grain, Siege Media</v>
      </c>
      <c r="I512" s="15">
        <f>IFERROR(__xludf.DUMMYFUNCTION("""COMPUTED_VALUE"""),1.0)</f>
        <v>1</v>
      </c>
      <c r="J512" s="15">
        <f>IFERROR(__xludf.DUMMYFUNCTION("""COMPUTED_VALUE"""),0.0)</f>
        <v>0</v>
      </c>
      <c r="K512" s="15">
        <f>IFERROR(__xludf.DUMMYFUNCTION("""COMPUTED_VALUE"""),4.0)</f>
        <v>4</v>
      </c>
    </row>
    <row r="513" ht="15.75" customHeight="1">
      <c r="A513" s="14" t="str">
        <f>IFERROR(__xludf.DUMMYFUNCTION("""COMPUTED_VALUE"""),"https://www.securitysenses.com/posts/best-saas-ai-seo-companies-united-kingdom-technical-seo-scale#:~:text=B2B%20SaaS%20technical%20SEO%2C%20AI%20search%2C%20LLMO%2C,the%20UK%20market%20for%20enterprise%2Dscale%20SaaS%20organisations.")</f>
        <v>https://www.securitysenses.com/posts/best-saas-ai-seo-companies-united-kingdom-technical-seo-scale#:~:text=B2B%20SaaS%20technical%20SEO%2C%20AI%20search%2C%20LLMO%2C,the%20UK%20market%20for%20enterprise%2Dscale%20SaaS%20organisations.</v>
      </c>
      <c r="B513" s="15" t="str">
        <f>IFERROR(__xludf.DUMMYFUNCTION("""COMPUTED_VALUE"""),"Best SaaS AI SEO Companies in the United Kingdom for Technical SEO at Scale | SecuritySenses")</f>
        <v>Best SaaS AI SEO Companies in the United Kingdom for Technical SEO at Scale | SecuritySenses</v>
      </c>
      <c r="C513" s="14" t="str">
        <f>IFERROR(__xludf.DUMMYFUNCTION("""COMPUTED_VALUE"""),"securitysenses.com")</f>
        <v>securitysenses.com</v>
      </c>
      <c r="D513" s="15" t="str">
        <f>IFERROR(__xludf.DUMMYFUNCTION("""COMPUTED_VALUE"""),"LISTICLE")</f>
        <v>LISTICLE</v>
      </c>
      <c r="E513" s="15" t="str">
        <f>IFERROR(__xludf.DUMMYFUNCTION("""COMPUTED_VALUE"""),"EDITORIAL")</f>
        <v>EDITORIAL</v>
      </c>
      <c r="F513" s="15" t="str">
        <f>IFERROR(__xludf.DUMMYFUNCTION("""COMPUTED_VALUE"""),"Listicle")</f>
        <v>Listicle</v>
      </c>
      <c r="G513" s="15" t="b">
        <f>IFERROR(__xludf.DUMMYFUNCTION("""COMPUTED_VALUE"""),FALSE)</f>
        <v>0</v>
      </c>
      <c r="H513" s="15" t="str">
        <f>IFERROR(__xludf.DUMMYFUNCTION("""COMPUTED_VALUE"""),"Brainlabs, Impression, Hallam")</f>
        <v>Brainlabs, Impression, Hallam</v>
      </c>
      <c r="I513" s="15">
        <f>IFERROR(__xludf.DUMMYFUNCTION("""COMPUTED_VALUE"""),1.0)</f>
        <v>1</v>
      </c>
      <c r="J513" s="15">
        <f>IFERROR(__xludf.DUMMYFUNCTION("""COMPUTED_VALUE"""),0.0)</f>
        <v>0</v>
      </c>
      <c r="K513" s="15">
        <f>IFERROR(__xludf.DUMMYFUNCTION("""COMPUTED_VALUE"""),4.0)</f>
        <v>4</v>
      </c>
    </row>
    <row r="514" ht="15.75" customHeight="1">
      <c r="A514" s="14" t="str">
        <f>IFERROR(__xludf.DUMMYFUNCTION("""COMPUTED_VALUE"""),"https://segmentstream.com/blog/articles/top-enterprise-marketing-analytics-and-attribution-platforms")</f>
        <v>https://segmentstream.com/blog/articles/top-enterprise-marketing-analytics-and-attribution-platforms</v>
      </c>
      <c r="B514" s="15" t="str">
        <f>IFERROR(__xludf.DUMMYFUNCTION("""COMPUTED_VALUE"""),"10 Best Enterprise Marketing Analytics &amp;amp; Attribution Platforms in 2026 — SegmentStream")</f>
        <v>10 Best Enterprise Marketing Analytics &amp;amp; Attribution Platforms in 2026 — SegmentStream</v>
      </c>
      <c r="C514" s="14" t="str">
        <f>IFERROR(__xludf.DUMMYFUNCTION("""COMPUTED_VALUE"""),"segmentstream.com")</f>
        <v>segmentstream.com</v>
      </c>
      <c r="D514" s="15" t="str">
        <f>IFERROR(__xludf.DUMMYFUNCTION("""COMPUTED_VALUE"""),"LISTICLE")</f>
        <v>LISTICLE</v>
      </c>
      <c r="E514" s="15" t="str">
        <f>IFERROR(__xludf.DUMMYFUNCTION("""COMPUTED_VALUE"""),"COMPETITOR")</f>
        <v>COMPETITOR</v>
      </c>
      <c r="F514" s="15" t="str">
        <f>IFERROR(__xludf.DUMMYFUNCTION("""COMPUTED_VALUE"""),"Listicle")</f>
        <v>Listicle</v>
      </c>
      <c r="G514" s="15" t="b">
        <f>IFERROR(__xludf.DUMMYFUNCTION("""COMPUTED_VALUE"""),FALSE)</f>
        <v>0</v>
      </c>
      <c r="H514" s="15" t="str">
        <f>IFERROR(__xludf.DUMMYFUNCTION("""COMPUTED_VALUE"""),"SegmentStream, Measured, Rockerbox")</f>
        <v>SegmentStream, Measured, Rockerbox</v>
      </c>
      <c r="I514" s="15">
        <f>IFERROR(__xludf.DUMMYFUNCTION("""COMPUTED_VALUE"""),1.0)</f>
        <v>1</v>
      </c>
      <c r="J514" s="15">
        <f>IFERROR(__xludf.DUMMYFUNCTION("""COMPUTED_VALUE"""),0.0)</f>
        <v>0</v>
      </c>
      <c r="K514" s="15">
        <f>IFERROR(__xludf.DUMMYFUNCTION("""COMPUTED_VALUE"""),0.0)</f>
        <v>0</v>
      </c>
    </row>
    <row r="515" ht="15.75" customHeight="1">
      <c r="A515" s="14" t="str">
        <f>IFERROR(__xludf.DUMMYFUNCTION("""COMPUTED_VALUE"""),"https://seo-ranks.co.uk/best-seo-agencies-uk-aeo-geo-2026/")</f>
        <v>https://seo-ranks.co.uk/best-seo-agencies-uk-aeo-geo-2026/</v>
      </c>
      <c r="B515" s="15" t="str">
        <f>IFERROR(__xludf.DUMMYFUNCTION("""COMPUTED_VALUE"""),"Best SEO Agencies UK for AEO and GEO 2026 | SEO Ranks")</f>
        <v>Best SEO Agencies UK for AEO and GEO 2026 | SEO Ranks</v>
      </c>
      <c r="C515" s="14" t="str">
        <f>IFERROR(__xludf.DUMMYFUNCTION("""COMPUTED_VALUE"""),"seo-ranks.co.uk")</f>
        <v>seo-ranks.co.uk</v>
      </c>
      <c r="D515" s="15" t="str">
        <f>IFERROR(__xludf.DUMMYFUNCTION("""COMPUTED_VALUE"""),"LISTICLE")</f>
        <v>LISTICLE</v>
      </c>
      <c r="E515" s="15" t="str">
        <f>IFERROR(__xludf.DUMMYFUNCTION("""COMPUTED_VALUE"""),"CORPORATE")</f>
        <v>CORPORATE</v>
      </c>
      <c r="F515" s="15" t="str">
        <f>IFERROR(__xludf.DUMMYFUNCTION("""COMPUTED_VALUE"""),"Listicle")</f>
        <v>Listicle</v>
      </c>
      <c r="G515" s="15" t="b">
        <f>IFERROR(__xludf.DUMMYFUNCTION("""COMPUTED_VALUE"""),FALSE)</f>
        <v>0</v>
      </c>
      <c r="H515" s="15" t="str">
        <f>IFERROR(__xludf.DUMMYFUNCTION("""COMPUTED_VALUE"""),"Found, Click Intelligence, The SEO Works, Genie Crawl, Measured")</f>
        <v>Found, Click Intelligence, The SEO Works, Genie Crawl, Measured</v>
      </c>
      <c r="I515" s="15">
        <f>IFERROR(__xludf.DUMMYFUNCTION("""COMPUTED_VALUE"""),1.0)</f>
        <v>1</v>
      </c>
      <c r="J515" s="15">
        <f>IFERROR(__xludf.DUMMYFUNCTION("""COMPUTED_VALUE"""),0.0)</f>
        <v>0</v>
      </c>
      <c r="K515" s="15">
        <f>IFERROR(__xludf.DUMMYFUNCTION("""COMPUTED_VALUE"""),1.0)</f>
        <v>1</v>
      </c>
    </row>
    <row r="516" ht="15.75" customHeight="1">
      <c r="A516" s="14" t="str">
        <f>IFERROR(__xludf.DUMMYFUNCTION("""COMPUTED_VALUE"""),"https://www.sevenatoms.com/blog/facebook-advertising-companies")</f>
        <v>https://www.sevenatoms.com/blog/facebook-advertising-companies</v>
      </c>
      <c r="B516" s="15" t="str">
        <f>IFERROR(__xludf.DUMMYFUNCTION("""COMPUTED_VALUE"""),"Top 7 Facebook Advertising Companies")</f>
        <v>Top 7 Facebook Advertising Companies</v>
      </c>
      <c r="C516" s="14" t="str">
        <f>IFERROR(__xludf.DUMMYFUNCTION("""COMPUTED_VALUE"""),"sevenatoms.com")</f>
        <v>sevenatoms.com</v>
      </c>
      <c r="D516" s="15" t="str">
        <f>IFERROR(__xludf.DUMMYFUNCTION("""COMPUTED_VALUE"""),"LISTICLE")</f>
        <v>LISTICLE</v>
      </c>
      <c r="E516" s="15" t="str">
        <f>IFERROR(__xludf.DUMMYFUNCTION("""COMPUTED_VALUE"""),"CORPORATE")</f>
        <v>CORPORATE</v>
      </c>
      <c r="F516" s="15" t="str">
        <f>IFERROR(__xludf.DUMMYFUNCTION("""COMPUTED_VALUE"""),"Listicle")</f>
        <v>Listicle</v>
      </c>
      <c r="G516" s="15" t="b">
        <f>IFERROR(__xludf.DUMMYFUNCTION("""COMPUTED_VALUE"""),FALSE)</f>
        <v>0</v>
      </c>
      <c r="H516" s="15" t="str">
        <f>IFERROR(__xludf.DUMMYFUNCTION("""COMPUTED_VALUE"""),"Deloitte Digital, PPC Geeks, Huge")</f>
        <v>Deloitte Digital, PPC Geeks, Huge</v>
      </c>
      <c r="I516" s="15">
        <f>IFERROR(__xludf.DUMMYFUNCTION("""COMPUTED_VALUE"""),1.0)</f>
        <v>1</v>
      </c>
      <c r="J516" s="15">
        <f>IFERROR(__xludf.DUMMYFUNCTION("""COMPUTED_VALUE"""),0.0)</f>
        <v>0</v>
      </c>
      <c r="K516" s="15">
        <f>IFERROR(__xludf.DUMMYFUNCTION("""COMPUTED_VALUE"""),1.0)</f>
        <v>1</v>
      </c>
    </row>
    <row r="517" ht="15.75" customHeight="1">
      <c r="A517" s="14" t="str">
        <f>IFERROR(__xludf.DUMMYFUNCTION("""COMPUTED_VALUE"""),"https://www.siegemedia.com/strategy/content-strategy-agency")</f>
        <v>https://www.siegemedia.com/strategy/content-strategy-agency</v>
      </c>
      <c r="B517" s="15" t="str">
        <f>IFERROR(__xludf.DUMMYFUNCTION("""COMPUTED_VALUE"""),"12 Best Content Strategy Agencies That Drive Results (2026)")</f>
        <v>12 Best Content Strategy Agencies That Drive Results (2026)</v>
      </c>
      <c r="C517" s="14" t="str">
        <f>IFERROR(__xludf.DUMMYFUNCTION("""COMPUTED_VALUE"""),"siegemedia.com")</f>
        <v>siegemedia.com</v>
      </c>
      <c r="D517" s="15" t="str">
        <f>IFERROR(__xludf.DUMMYFUNCTION("""COMPUTED_VALUE"""),"LISTICLE")</f>
        <v>LISTICLE</v>
      </c>
      <c r="E517" s="15" t="str">
        <f>IFERROR(__xludf.DUMMYFUNCTION("""COMPUTED_VALUE"""),"COMPETITOR")</f>
        <v>COMPETITOR</v>
      </c>
      <c r="F517" s="15" t="str">
        <f>IFERROR(__xludf.DUMMYFUNCTION("""COMPUTED_VALUE"""),"Listicle")</f>
        <v>Listicle</v>
      </c>
      <c r="G517" s="15" t="b">
        <f>IFERROR(__xludf.DUMMYFUNCTION("""COMPUTED_VALUE"""),FALSE)</f>
        <v>0</v>
      </c>
      <c r="H517" s="15" t="str">
        <f>IFERROR(__xludf.DUMMYFUNCTION("""COMPUTED_VALUE"""),"Siege Media, Omniscient Digital, NP Digital, Power Digital, Single Grain, Found")</f>
        <v>Siege Media, Omniscient Digital, NP Digital, Power Digital, Single Grain, Found</v>
      </c>
      <c r="I517" s="15">
        <f>IFERROR(__xludf.DUMMYFUNCTION("""COMPUTED_VALUE"""),1.0)</f>
        <v>1</v>
      </c>
      <c r="J517" s="15">
        <f>IFERROR(__xludf.DUMMYFUNCTION("""COMPUTED_VALUE"""),0.0)</f>
        <v>0</v>
      </c>
      <c r="K517" s="15">
        <f>IFERROR(__xludf.DUMMYFUNCTION("""COMPUTED_VALUE"""),0.0)</f>
        <v>0</v>
      </c>
    </row>
    <row r="518" ht="15.75" customHeight="1">
      <c r="A518" s="14" t="str">
        <f>IFERROR(__xludf.DUMMYFUNCTION("""COMPUTED_VALUE"""),"https://socialchameleon.com/top-30-marketing-agencies-in-london/")</f>
        <v>https://socialchameleon.com/top-30-marketing-agencies-in-london/</v>
      </c>
      <c r="B518" s="15" t="str">
        <f>IFERROR(__xludf.DUMMYFUNCTION("""COMPUTED_VALUE"""),"Top 30 Marketing Agencies in London - Social Chameleon")</f>
        <v>Top 30 Marketing Agencies in London - Social Chameleon</v>
      </c>
      <c r="C518" s="14" t="str">
        <f>IFERROR(__xludf.DUMMYFUNCTION("""COMPUTED_VALUE"""),"socialchameleon.com")</f>
        <v>socialchameleon.com</v>
      </c>
      <c r="D518" s="15" t="str">
        <f>IFERROR(__xludf.DUMMYFUNCTION("""COMPUTED_VALUE"""),"LISTICLE")</f>
        <v>LISTICLE</v>
      </c>
      <c r="E518" s="15" t="str">
        <f>IFERROR(__xludf.DUMMYFUNCTION("""COMPUTED_VALUE"""),"CORPORATE")</f>
        <v>CORPORATE</v>
      </c>
      <c r="F518" s="15" t="str">
        <f>IFERROR(__xludf.DUMMYFUNCTION("""COMPUTED_VALUE"""),"Listicle")</f>
        <v>Listicle</v>
      </c>
      <c r="G518" s="15" t="b">
        <f>IFERROR(__xludf.DUMMYFUNCTION("""COMPUTED_VALUE"""),FALSE)</f>
        <v>0</v>
      </c>
      <c r="H518" s="15" t="str">
        <f>IFERROR(__xludf.DUMMYFUNCTION("""COMPUTED_VALUE"""),"Ogilvy, AMV BBDO, Hallam, Saatchi &amp; Saatchi, Impression, Found, Push, Push Group, Propeller, Jellyfish, Builtvisible, Merkle, The SEO Works")</f>
        <v>Ogilvy, AMV BBDO, Hallam, Saatchi &amp; Saatchi, Impression, Found, Push, Push Group, Propeller, Jellyfish, Builtvisible, Merkle, The SEO Works</v>
      </c>
      <c r="I518" s="15">
        <f>IFERROR(__xludf.DUMMYFUNCTION("""COMPUTED_VALUE"""),1.0)</f>
        <v>1</v>
      </c>
      <c r="J518" s="15">
        <f>IFERROR(__xludf.DUMMYFUNCTION("""COMPUTED_VALUE"""),0.0)</f>
        <v>0</v>
      </c>
      <c r="K518" s="15">
        <f>IFERROR(__xludf.DUMMYFUNCTION("""COMPUTED_VALUE"""),1.0)</f>
        <v>1</v>
      </c>
    </row>
    <row r="519" ht="15.75" customHeight="1">
      <c r="A519" s="14" t="str">
        <f>IFERROR(__xludf.DUMMYFUNCTION("""COMPUTED_VALUE"""),"https://sociallypowerful.com/post/top-20-advertising-agencies-uk")</f>
        <v>https://sociallypowerful.com/post/top-20-advertising-agencies-uk</v>
      </c>
      <c r="B519" s="15" t="str">
        <f>IFERROR(__xludf.DUMMYFUNCTION("""COMPUTED_VALUE"""),"Top 20 Advertising Agencies in the UK in 2024 | Socially Powerful")</f>
        <v>Top 20 Advertising Agencies in the UK in 2024 | Socially Powerful</v>
      </c>
      <c r="C519" s="14" t="str">
        <f>IFERROR(__xludf.DUMMYFUNCTION("""COMPUTED_VALUE"""),"sociallypowerful.com")</f>
        <v>sociallypowerful.com</v>
      </c>
      <c r="D519" s="15" t="str">
        <f>IFERROR(__xludf.DUMMYFUNCTION("""COMPUTED_VALUE"""),"LISTICLE")</f>
        <v>LISTICLE</v>
      </c>
      <c r="E519" s="15" t="str">
        <f>IFERROR(__xludf.DUMMYFUNCTION("""COMPUTED_VALUE"""),"CORPORATE")</f>
        <v>CORPORATE</v>
      </c>
      <c r="F519" s="15" t="str">
        <f>IFERROR(__xludf.DUMMYFUNCTION("""COMPUTED_VALUE"""),"Listicle")</f>
        <v>Listicle</v>
      </c>
      <c r="G519" s="15" t="b">
        <f>IFERROR(__xludf.DUMMYFUNCTION("""COMPUTED_VALUE"""),FALSE)</f>
        <v>0</v>
      </c>
      <c r="H519" s="15" t="str">
        <f>IFERROR(__xludf.DUMMYFUNCTION("""COMPUTED_VALUE"""),"Push, M3.agency, ROAST, Favoured, Impression, Measured")</f>
        <v>Push, M3.agency, ROAST, Favoured, Impression, Measured</v>
      </c>
      <c r="I519" s="15">
        <f>IFERROR(__xludf.DUMMYFUNCTION("""COMPUTED_VALUE"""),1.0)</f>
        <v>1</v>
      </c>
      <c r="J519" s="15">
        <f>IFERROR(__xludf.DUMMYFUNCTION("""COMPUTED_VALUE"""),0.0)</f>
        <v>0</v>
      </c>
      <c r="K519" s="15">
        <f>IFERROR(__xludf.DUMMYFUNCTION("""COMPUTED_VALUE"""),1.0)</f>
        <v>1</v>
      </c>
    </row>
    <row r="520" ht="15.75" customHeight="1">
      <c r="A520" s="14" t="str">
        <f>IFERROR(__xludf.DUMMYFUNCTION("""COMPUTED_VALUE"""),"https://sociallypowerful.com/post/top-social-media-marketing-agencies-uk")</f>
        <v>https://sociallypowerful.com/post/top-social-media-marketing-agencies-uk</v>
      </c>
      <c r="B520" s="15" t="str">
        <f>IFERROR(__xludf.DUMMYFUNCTION("""COMPUTED_VALUE"""),"Top 30 Social Media Marketing Agencies in the UK (2025)")</f>
        <v>Top 30 Social Media Marketing Agencies in the UK (2025)</v>
      </c>
      <c r="C520" s="14" t="str">
        <f>IFERROR(__xludf.DUMMYFUNCTION("""COMPUTED_VALUE"""),"sociallypowerful.com")</f>
        <v>sociallypowerful.com</v>
      </c>
      <c r="D520" s="15" t="str">
        <f>IFERROR(__xludf.DUMMYFUNCTION("""COMPUTED_VALUE"""),"LISTICLE")</f>
        <v>LISTICLE</v>
      </c>
      <c r="E520" s="15" t="str">
        <f>IFERROR(__xludf.DUMMYFUNCTION("""COMPUTED_VALUE"""),"CORPORATE")</f>
        <v>CORPORATE</v>
      </c>
      <c r="F520" s="15" t="str">
        <f>IFERROR(__xludf.DUMMYFUNCTION("""COMPUTED_VALUE"""),"Listicle")</f>
        <v>Listicle</v>
      </c>
      <c r="G520" s="15" t="b">
        <f>IFERROR(__xludf.DUMMYFUNCTION("""COMPUTED_VALUE"""),FALSE)</f>
        <v>0</v>
      </c>
      <c r="H520" s="15" t="str">
        <f>IFERROR(__xludf.DUMMYFUNCTION("""COMPUTED_VALUE"""),"We Are Social, Social Chain, Born Social, Soap Media, Disrupt Marketing, The Social Shepherd, Croud, Gripped, inBeat, The Good Marketer, WPP, Monks")</f>
        <v>We Are Social, Social Chain, Born Social, Soap Media, Disrupt Marketing, The Social Shepherd, Croud, Gripped, inBeat, The Good Marketer, WPP, Monks</v>
      </c>
      <c r="I520" s="15">
        <f>IFERROR(__xludf.DUMMYFUNCTION("""COMPUTED_VALUE"""),1.0)</f>
        <v>1</v>
      </c>
      <c r="J520" s="15">
        <f>IFERROR(__xludf.DUMMYFUNCTION("""COMPUTED_VALUE"""),0.0)</f>
        <v>0</v>
      </c>
      <c r="K520" s="15">
        <f>IFERROR(__xludf.DUMMYFUNCTION("""COMPUTED_VALUE"""),0.0)</f>
        <v>0</v>
      </c>
    </row>
    <row r="521" ht="15.75" customHeight="1">
      <c r="A521" s="14" t="str">
        <f>IFERROR(__xludf.DUMMYFUNCTION("""COMPUTED_VALUE"""),"https://www.sogolytics.com/blog/top-full-service-market-research-firms/")</f>
        <v>https://www.sogolytics.com/blog/top-full-service-market-research-firms/</v>
      </c>
      <c r="B521" s="15" t="str">
        <f>IFERROR(__xludf.DUMMYFUNCTION("""COMPUTED_VALUE"""),"25 Best Full Service Market Research Firms - Sogolytics")</f>
        <v>25 Best Full Service Market Research Firms - Sogolytics</v>
      </c>
      <c r="C521" s="14" t="str">
        <f>IFERROR(__xludf.DUMMYFUNCTION("""COMPUTED_VALUE"""),"sogolytics.com")</f>
        <v>sogolytics.com</v>
      </c>
      <c r="D521" s="15" t="str">
        <f>IFERROR(__xludf.DUMMYFUNCTION("""COMPUTED_VALUE"""),"LISTICLE")</f>
        <v>LISTICLE</v>
      </c>
      <c r="E521" s="15" t="str">
        <f>IFERROR(__xludf.DUMMYFUNCTION("""COMPUTED_VALUE"""),"CORPORATE")</f>
        <v>CORPORATE</v>
      </c>
      <c r="F521" s="15" t="str">
        <f>IFERROR(__xludf.DUMMYFUNCTION("""COMPUTED_VALUE"""),"Listicle")</f>
        <v>Listicle</v>
      </c>
      <c r="G521" s="15" t="b">
        <f>IFERROR(__xludf.DUMMYFUNCTION("""COMPUTED_VALUE"""),FALSE)</f>
        <v>0</v>
      </c>
      <c r="H521" s="15" t="str">
        <f>IFERROR(__xludf.DUMMYFUNCTION("""COMPUTED_VALUE"""),"Nielsen, Kantar, YouGov, WPP, Push")</f>
        <v>Nielsen, Kantar, YouGov, WPP, Push</v>
      </c>
      <c r="I521" s="15">
        <f>IFERROR(__xludf.DUMMYFUNCTION("""COMPUTED_VALUE"""),1.0)</f>
        <v>1</v>
      </c>
      <c r="J521" s="15">
        <f>IFERROR(__xludf.DUMMYFUNCTION("""COMPUTED_VALUE"""),0.0)</f>
        <v>0</v>
      </c>
      <c r="K521" s="15">
        <f>IFERROR(__xludf.DUMMYFUNCTION("""COMPUTED_VALUE"""),1.0)</f>
        <v>1</v>
      </c>
    </row>
    <row r="522" ht="15.75" customHeight="1">
      <c r="A522" s="14" t="str">
        <f>IFERROR(__xludf.DUMMYFUNCTION("""COMPUTED_VALUE"""),"https://www.sortlist.co.uk/s/google-ads/united-kingdom-gb")</f>
        <v>https://www.sortlist.co.uk/s/google-ads/united-kingdom-gb</v>
      </c>
      <c r="B522" s="15" t="str">
        <f>IFERROR(__xludf.DUMMYFUNCTION("""COMPUTED_VALUE"""),"The 10 Best Google Ads Agencies in The United Kingdom - 2026 Reviews")</f>
        <v>The 10 Best Google Ads Agencies in The United Kingdom - 2026 Reviews</v>
      </c>
      <c r="C522" s="14" t="str">
        <f>IFERROR(__xludf.DUMMYFUNCTION("""COMPUTED_VALUE"""),"sortlist.co.uk")</f>
        <v>sortlist.co.uk</v>
      </c>
      <c r="D522" s="15" t="str">
        <f>IFERROR(__xludf.DUMMYFUNCTION("""COMPUTED_VALUE"""),"LISTICLE")</f>
        <v>LISTICLE</v>
      </c>
      <c r="E522" s="15" t="str">
        <f>IFERROR(__xludf.DUMMYFUNCTION("""COMPUTED_VALUE"""),"REFERENCE")</f>
        <v>REFERENCE</v>
      </c>
      <c r="F522" s="15" t="str">
        <f>IFERROR(__xludf.DUMMYFUNCTION("""COMPUTED_VALUE"""),"Listicle")</f>
        <v>Listicle</v>
      </c>
      <c r="G522" s="15" t="b">
        <f>IFERROR(__xludf.DUMMYFUNCTION("""COMPUTED_VALUE"""),FALSE)</f>
        <v>0</v>
      </c>
      <c r="H522" s="15" t="str">
        <f>IFERROR(__xludf.DUMMYFUNCTION("""COMPUTED_VALUE"""),"Push, Triple Whale, Northbeam, Found, Ninja Promo")</f>
        <v>Push, Triple Whale, Northbeam, Found, Ninja Promo</v>
      </c>
      <c r="I522" s="15">
        <f>IFERROR(__xludf.DUMMYFUNCTION("""COMPUTED_VALUE"""),1.0)</f>
        <v>1</v>
      </c>
      <c r="J522" s="15">
        <f>IFERROR(__xludf.DUMMYFUNCTION("""COMPUTED_VALUE"""),0.0)</f>
        <v>0</v>
      </c>
      <c r="K522" s="15">
        <f>IFERROR(__xludf.DUMMYFUNCTION("""COMPUTED_VALUE"""),1.0)</f>
        <v>1</v>
      </c>
    </row>
    <row r="523" ht="15.75" customHeight="1">
      <c r="A523" s="14" t="str">
        <f>IFERROR(__xludf.DUMMYFUNCTION("""COMPUTED_VALUE"""),"https://www.starfishco.com/branding/10-must%E2%80%91know-branding-agencies-in-2026-for-creative-campaigns/")</f>
        <v>https://www.starfishco.com/branding/10-must%E2%80%91know-branding-agencies-in-2026-for-creative-campaigns/</v>
      </c>
      <c r="B523" s="15" t="str">
        <f>IFERROR(__xludf.DUMMYFUNCTION("""COMPUTED_VALUE"""),"10 Must‑Know Branding Agencies in 2026 for Creative Campaigns - Starfish")</f>
        <v>10 Must‑Know Branding Agencies in 2026 for Creative Campaigns - Starfish</v>
      </c>
      <c r="C523" s="14" t="str">
        <f>IFERROR(__xludf.DUMMYFUNCTION("""COMPUTED_VALUE"""),"starfishco.com")</f>
        <v>starfishco.com</v>
      </c>
      <c r="D523" s="15" t="str">
        <f>IFERROR(__xludf.DUMMYFUNCTION("""COMPUTED_VALUE"""),"LISTICLE")</f>
        <v>LISTICLE</v>
      </c>
      <c r="E523" s="15" t="str">
        <f>IFERROR(__xludf.DUMMYFUNCTION("""COMPUTED_VALUE"""),"CORPORATE")</f>
        <v>CORPORATE</v>
      </c>
      <c r="F523" s="15" t="str">
        <f>IFERROR(__xludf.DUMMYFUNCTION("""COMPUTED_VALUE"""),"Listicle")</f>
        <v>Listicle</v>
      </c>
      <c r="G523" s="15" t="b">
        <f>IFERROR(__xludf.DUMMYFUNCTION("""COMPUTED_VALUE"""),FALSE)</f>
        <v>0</v>
      </c>
      <c r="H523" s="15" t="str">
        <f>IFERROR(__xludf.DUMMYFUNCTION("""COMPUTED_VALUE"""),"Momentum, Superside, Found, Impression")</f>
        <v>Momentum, Superside, Found, Impression</v>
      </c>
      <c r="I523" s="15">
        <f>IFERROR(__xludf.DUMMYFUNCTION("""COMPUTED_VALUE"""),1.0)</f>
        <v>1</v>
      </c>
      <c r="J523" s="15">
        <f>IFERROR(__xludf.DUMMYFUNCTION("""COMPUTED_VALUE"""),0.0)</f>
        <v>0</v>
      </c>
      <c r="K523" s="15">
        <f>IFERROR(__xludf.DUMMYFUNCTION("""COMPUTED_VALUE"""),1.0)</f>
        <v>1</v>
      </c>
    </row>
    <row r="524" ht="15.75" customHeight="1">
      <c r="A524" s="14" t="str">
        <f>IFERROR(__xludf.DUMMYFUNCTION("""COMPUTED_VALUE"""),"https://www.superhub.biz/top-digital-marketing-companies-for-small-business-uk")</f>
        <v>https://www.superhub.biz/top-digital-marketing-companies-for-small-business-uk</v>
      </c>
      <c r="B524" s="15" t="str">
        <f>IFERROR(__xludf.DUMMYFUNCTION("""COMPUTED_VALUE"""),"Best Digital Marketing Companies for Small Business UK 2026")</f>
        <v>Best Digital Marketing Companies for Small Business UK 2026</v>
      </c>
      <c r="C524" s="14" t="str">
        <f>IFERROR(__xludf.DUMMYFUNCTION("""COMPUTED_VALUE"""),"superhub.biz")</f>
        <v>superhub.biz</v>
      </c>
      <c r="D524" s="15" t="str">
        <f>IFERROR(__xludf.DUMMYFUNCTION("""COMPUTED_VALUE"""),"LISTICLE")</f>
        <v>LISTICLE</v>
      </c>
      <c r="E524" s="15" t="str">
        <f>IFERROR(__xludf.DUMMYFUNCTION("""COMPUTED_VALUE"""),"CORPORATE")</f>
        <v>CORPORATE</v>
      </c>
      <c r="F524" s="15" t="str">
        <f>IFERROR(__xludf.DUMMYFUNCTION("""COMPUTED_VALUE"""),"Listicle")</f>
        <v>Listicle</v>
      </c>
      <c r="G524" s="15" t="b">
        <f>IFERROR(__xludf.DUMMYFUNCTION("""COMPUTED_VALUE"""),FALSE)</f>
        <v>0</v>
      </c>
      <c r="H524" s="15" t="str">
        <f>IFERROR(__xludf.DUMMYFUNCTION("""COMPUTED_VALUE"""),"Push, Found")</f>
        <v>Push, Found</v>
      </c>
      <c r="I524" s="15">
        <f>IFERROR(__xludf.DUMMYFUNCTION("""COMPUTED_VALUE"""),1.0)</f>
        <v>1</v>
      </c>
      <c r="J524" s="15">
        <f>IFERROR(__xludf.DUMMYFUNCTION("""COMPUTED_VALUE"""),0.0)</f>
        <v>0</v>
      </c>
      <c r="K524" s="15">
        <f>IFERROR(__xludf.DUMMYFUNCTION("""COMPUTED_VALUE"""),1.0)</f>
        <v>1</v>
      </c>
    </row>
    <row r="525" ht="15.75" customHeight="1">
      <c r="A525" s="14" t="str">
        <f>IFERROR(__xludf.DUMMYFUNCTION("""COMPUTED_VALUE"""),"https://www.superside.com/blog/ad-creative-agencies")</f>
        <v>https://www.superside.com/blog/ad-creative-agencies</v>
      </c>
      <c r="B525" s="15" t="str">
        <f>IFERROR(__xludf.DUMMYFUNCTION("""COMPUTED_VALUE"""),"12 Top Ad Creative Agencies for Enterprises &amp;amp; Brands (2026)")</f>
        <v>12 Top Ad Creative Agencies for Enterprises &amp;amp; Brands (2026)</v>
      </c>
      <c r="C525" s="14" t="str">
        <f>IFERROR(__xludf.DUMMYFUNCTION("""COMPUTED_VALUE"""),"superside.com")</f>
        <v>superside.com</v>
      </c>
      <c r="D525" s="15" t="str">
        <f>IFERROR(__xludf.DUMMYFUNCTION("""COMPUTED_VALUE"""),"LISTICLE")</f>
        <v>LISTICLE</v>
      </c>
      <c r="E525" s="15" t="str">
        <f>IFERROR(__xludf.DUMMYFUNCTION("""COMPUTED_VALUE"""),"COMPETITOR")</f>
        <v>COMPETITOR</v>
      </c>
      <c r="F525" s="15" t="str">
        <f>IFERROR(__xludf.DUMMYFUNCTION("""COMPUTED_VALUE"""),"Listicle")</f>
        <v>Listicle</v>
      </c>
      <c r="G525" s="15" t="b">
        <f>IFERROR(__xludf.DUMMYFUNCTION("""COMPUTED_VALUE"""),FALSE)</f>
        <v>0</v>
      </c>
      <c r="H525" s="15" t="str">
        <f>IFERROR(__xludf.DUMMYFUNCTION("""COMPUTED_VALUE"""),"Superside, Found, Gravity Global, Ogilvy, Accenture Song")</f>
        <v>Superside, Found, Gravity Global, Ogilvy, Accenture Song</v>
      </c>
      <c r="I525" s="15">
        <f>IFERROR(__xludf.DUMMYFUNCTION("""COMPUTED_VALUE"""),1.0)</f>
        <v>1</v>
      </c>
      <c r="J525" s="15">
        <f>IFERROR(__xludf.DUMMYFUNCTION("""COMPUTED_VALUE"""),0.0)</f>
        <v>0</v>
      </c>
      <c r="K525" s="15">
        <f>IFERROR(__xludf.DUMMYFUNCTION("""COMPUTED_VALUE"""),1.0)</f>
        <v>1</v>
      </c>
    </row>
    <row r="526" ht="15.75" customHeight="1">
      <c r="A526" s="14" t="str">
        <f>IFERROR(__xludf.DUMMYFUNCTION("""COMPUTED_VALUE"""),"https://www.superside.com/blog/creative-agencies")</f>
        <v>https://www.superside.com/blog/creative-agencies</v>
      </c>
      <c r="B526" s="15" t="str">
        <f>IFERROR(__xludf.DUMMYFUNCTION("""COMPUTED_VALUE"""),"14 Best Creative Agencies That Make Brands Stand Out in 2026")</f>
        <v>14 Best Creative Agencies That Make Brands Stand Out in 2026</v>
      </c>
      <c r="C526" s="14" t="str">
        <f>IFERROR(__xludf.DUMMYFUNCTION("""COMPUTED_VALUE"""),"superside.com")</f>
        <v>superside.com</v>
      </c>
      <c r="D526" s="15" t="str">
        <f>IFERROR(__xludf.DUMMYFUNCTION("""COMPUTED_VALUE"""),"LISTICLE")</f>
        <v>LISTICLE</v>
      </c>
      <c r="E526" s="15" t="str">
        <f>IFERROR(__xludf.DUMMYFUNCTION("""COMPUTED_VALUE"""),"COMPETITOR")</f>
        <v>COMPETITOR</v>
      </c>
      <c r="F526" s="15" t="str">
        <f>IFERROR(__xludf.DUMMYFUNCTION("""COMPUTED_VALUE"""),"Listicle")</f>
        <v>Listicle</v>
      </c>
      <c r="G526" s="15" t="b">
        <f>IFERROR(__xludf.DUMMYFUNCTION("""COMPUTED_VALUE"""),FALSE)</f>
        <v>0</v>
      </c>
      <c r="H526" s="15" t="str">
        <f>IFERROR(__xludf.DUMMYFUNCTION("""COMPUTED_VALUE"""),"Superside, Huge, Ogilvy, Found, Impression")</f>
        <v>Superside, Huge, Ogilvy, Found, Impression</v>
      </c>
      <c r="I526" s="15">
        <f>IFERROR(__xludf.DUMMYFUNCTION("""COMPUTED_VALUE"""),1.0)</f>
        <v>1</v>
      </c>
      <c r="J526" s="15">
        <f>IFERROR(__xludf.DUMMYFUNCTION("""COMPUTED_VALUE"""),0.0)</f>
        <v>0</v>
      </c>
      <c r="K526" s="15">
        <f>IFERROR(__xludf.DUMMYFUNCTION("""COMPUTED_VALUE"""),1.0)</f>
        <v>1</v>
      </c>
    </row>
    <row r="527" ht="15.75" customHeight="1">
      <c r="A527" s="14" t="str">
        <f>IFERROR(__xludf.DUMMYFUNCTION("""COMPUTED_VALUE"""),"https://www.superside.com/blog/creative-content-agencies")</f>
        <v>https://www.superside.com/blog/creative-content-agencies</v>
      </c>
      <c r="B527" s="15" t="str">
        <f>IFERROR(__xludf.DUMMYFUNCTION("""COMPUTED_VALUE"""),"10 Creative Content Agencies Making Brands Shine in 2026")</f>
        <v>10 Creative Content Agencies Making Brands Shine in 2026</v>
      </c>
      <c r="C527" s="14" t="str">
        <f>IFERROR(__xludf.DUMMYFUNCTION("""COMPUTED_VALUE"""),"superside.com")</f>
        <v>superside.com</v>
      </c>
      <c r="D527" s="15" t="str">
        <f>IFERROR(__xludf.DUMMYFUNCTION("""COMPUTED_VALUE"""),"LISTICLE")</f>
        <v>LISTICLE</v>
      </c>
      <c r="E527" s="15" t="str">
        <f>IFERROR(__xludf.DUMMYFUNCTION("""COMPUTED_VALUE"""),"COMPETITOR")</f>
        <v>COMPETITOR</v>
      </c>
      <c r="F527" s="15" t="str">
        <f>IFERROR(__xludf.DUMMYFUNCTION("""COMPUTED_VALUE"""),"Listicle")</f>
        <v>Listicle</v>
      </c>
      <c r="G527" s="15" t="b">
        <f>IFERROR(__xludf.DUMMYFUNCTION("""COMPUTED_VALUE"""),FALSE)</f>
        <v>0</v>
      </c>
      <c r="H527" s="15" t="str">
        <f>IFERROR(__xludf.DUMMYFUNCTION("""COMPUTED_VALUE"""),"Superside, Impression, Push")</f>
        <v>Superside, Impression, Push</v>
      </c>
      <c r="I527" s="15">
        <f>IFERROR(__xludf.DUMMYFUNCTION("""COMPUTED_VALUE"""),1.0)</f>
        <v>1</v>
      </c>
      <c r="J527" s="15">
        <f>IFERROR(__xludf.DUMMYFUNCTION("""COMPUTED_VALUE"""),0.0)</f>
        <v>0</v>
      </c>
      <c r="K527" s="15">
        <f>IFERROR(__xludf.DUMMYFUNCTION("""COMPUTED_VALUE"""),0.0)</f>
        <v>0</v>
      </c>
    </row>
    <row r="528" ht="15.75" customHeight="1">
      <c r="A528" s="14" t="str">
        <f>IFERROR(__xludf.DUMMYFUNCTION("""COMPUTED_VALUE"""),"https://susodigital.com/thoughts/12-best-generative-seo-service-agencies/")</f>
        <v>https://susodigital.com/thoughts/12-best-generative-seo-service-agencies/</v>
      </c>
      <c r="B528" s="15" t="str">
        <f>IFERROR(__xludf.DUMMYFUNCTION("""COMPUTED_VALUE"""),"Top 12 GEO Agencies in 2026 - SUSO")</f>
        <v>Top 12 GEO Agencies in 2026 - SUSO</v>
      </c>
      <c r="C528" s="14" t="str">
        <f>IFERROR(__xludf.DUMMYFUNCTION("""COMPUTED_VALUE"""),"susodigital.com")</f>
        <v>susodigital.com</v>
      </c>
      <c r="D528" s="15" t="str">
        <f>IFERROR(__xludf.DUMMYFUNCTION("""COMPUTED_VALUE"""),"LISTICLE")</f>
        <v>LISTICLE</v>
      </c>
      <c r="E528" s="15" t="str">
        <f>IFERROR(__xludf.DUMMYFUNCTION("""COMPUTED_VALUE"""),"CORPORATE")</f>
        <v>CORPORATE</v>
      </c>
      <c r="F528" s="15" t="str">
        <f>IFERROR(__xludf.DUMMYFUNCTION("""COMPUTED_VALUE"""),"Listicle")</f>
        <v>Listicle</v>
      </c>
      <c r="G528" s="15" t="b">
        <f>IFERROR(__xludf.DUMMYFUNCTION("""COMPUTED_VALUE"""),FALSE)</f>
        <v>0</v>
      </c>
      <c r="H528" s="15" t="str">
        <f>IFERROR(__xludf.DUMMYFUNCTION("""COMPUTED_VALUE"""),"Blue Array, Ignite Visibility, WebFX, Found")</f>
        <v>Blue Array, Ignite Visibility, WebFX, Found</v>
      </c>
      <c r="I528" s="15">
        <f>IFERROR(__xludf.DUMMYFUNCTION("""COMPUTED_VALUE"""),1.0)</f>
        <v>1</v>
      </c>
      <c r="J528" s="15">
        <f>IFERROR(__xludf.DUMMYFUNCTION("""COMPUTED_VALUE"""),0.0)</f>
        <v>0</v>
      </c>
      <c r="K528" s="15">
        <f>IFERROR(__xludf.DUMMYFUNCTION("""COMPUTED_VALUE"""),2.0)</f>
        <v>2</v>
      </c>
    </row>
    <row r="529" ht="15.75" customHeight="1">
      <c r="A529" s="14" t="str">
        <f>IFERROR(__xludf.DUMMYFUNCTION("""COMPUTED_VALUE"""),"https://www.synscribe.com/blog/marketing-agencies-singapore")</f>
        <v>https://www.synscribe.com/blog/marketing-agencies-singapore</v>
      </c>
      <c r="B529" s="15" t="str">
        <f>IFERROR(__xludf.DUMMYFUNCTION("""COMPUTED_VALUE"""),"11 Types of Marketing Agencies in Singapore (Ranked &amp;amp; Updated 2026) | Synscribe")</f>
        <v>11 Types of Marketing Agencies in Singapore (Ranked &amp;amp; Updated 2026) | Synscribe</v>
      </c>
      <c r="C529" s="14" t="str">
        <f>IFERROR(__xludf.DUMMYFUNCTION("""COMPUTED_VALUE"""),"synscribe.com")</f>
        <v>synscribe.com</v>
      </c>
      <c r="D529" s="15" t="str">
        <f>IFERROR(__xludf.DUMMYFUNCTION("""COMPUTED_VALUE"""),"LISTICLE")</f>
        <v>LISTICLE</v>
      </c>
      <c r="E529" s="15" t="str">
        <f>IFERROR(__xludf.DUMMYFUNCTION("""COMPUTED_VALUE"""),"CORPORATE")</f>
        <v>CORPORATE</v>
      </c>
      <c r="F529" s="15" t="str">
        <f>IFERROR(__xludf.DUMMYFUNCTION("""COMPUTED_VALUE"""),"Listicle")</f>
        <v>Listicle</v>
      </c>
      <c r="G529" s="15" t="b">
        <f>IFERROR(__xludf.DUMMYFUNCTION("""COMPUTED_VALUE"""),FALSE)</f>
        <v>0</v>
      </c>
      <c r="H529" s="15" t="str">
        <f>IFERROR(__xludf.DUMMYFUNCTION("""COMPUTED_VALUE"""),"Saatchi &amp; Saatchi")</f>
        <v>Saatchi &amp; Saatchi</v>
      </c>
      <c r="I529" s="15">
        <f>IFERROR(__xludf.DUMMYFUNCTION("""COMPUTED_VALUE"""),1.0)</f>
        <v>1</v>
      </c>
      <c r="J529" s="15">
        <f>IFERROR(__xludf.DUMMYFUNCTION("""COMPUTED_VALUE"""),0.0)</f>
        <v>0</v>
      </c>
      <c r="K529" s="15">
        <f>IFERROR(__xludf.DUMMYFUNCTION("""COMPUTED_VALUE"""),0.0)</f>
        <v>0</v>
      </c>
    </row>
    <row r="530" ht="15.75" customHeight="1">
      <c r="A530" s="14" t="str">
        <f>IFERROR(__xludf.DUMMYFUNCTION("""COMPUTED_VALUE"""),"https://syntermedia.ai/blog/best-attribution-software-marketing-teams")</f>
        <v>https://syntermedia.ai/blog/best-attribution-software-marketing-teams</v>
      </c>
      <c r="B530" s="15" t="str">
        <f>IFERROR(__xludf.DUMMYFUNCTION("""COMPUTED_VALUE"""),"10 Best Attribution Software for Marketing Teams (2026 Compared) | Synter")</f>
        <v>10 Best Attribution Software for Marketing Teams (2026 Compared) | Synter</v>
      </c>
      <c r="C530" s="14" t="str">
        <f>IFERROR(__xludf.DUMMYFUNCTION("""COMPUTED_VALUE"""),"syntermedia.ai")</f>
        <v>syntermedia.ai</v>
      </c>
      <c r="D530" s="15" t="str">
        <f>IFERROR(__xludf.DUMMYFUNCTION("""COMPUTED_VALUE"""),"LISTICLE")</f>
        <v>LISTICLE</v>
      </c>
      <c r="E530" s="15" t="str">
        <f>IFERROR(__xludf.DUMMYFUNCTION("""COMPUTED_VALUE"""),"CORPORATE")</f>
        <v>CORPORATE</v>
      </c>
      <c r="F530" s="15" t="str">
        <f>IFERROR(__xludf.DUMMYFUNCTION("""COMPUTED_VALUE"""),"Listicle")</f>
        <v>Listicle</v>
      </c>
      <c r="G530" s="15" t="b">
        <f>IFERROR(__xludf.DUMMYFUNCTION("""COMPUTED_VALUE"""),FALSE)</f>
        <v>0</v>
      </c>
      <c r="H530" s="15" t="str">
        <f>IFERROR(__xludf.DUMMYFUNCTION("""COMPUTED_VALUE"""),"Ruler Analytics, SegmentStream, Impression, Push, Found, Cometly, Triple Whale")</f>
        <v>Ruler Analytics, SegmentStream, Impression, Push, Found, Cometly, Triple Whale</v>
      </c>
      <c r="I530" s="15">
        <f>IFERROR(__xludf.DUMMYFUNCTION("""COMPUTED_VALUE"""),1.0)</f>
        <v>1</v>
      </c>
      <c r="J530" s="15">
        <f>IFERROR(__xludf.DUMMYFUNCTION("""COMPUTED_VALUE"""),0.0)</f>
        <v>0</v>
      </c>
      <c r="K530" s="15">
        <f>IFERROR(__xludf.DUMMYFUNCTION("""COMPUTED_VALUE"""),0.0)</f>
        <v>0</v>
      </c>
    </row>
    <row r="531" ht="15.75" customHeight="1">
      <c r="A531" s="14" t="str">
        <f>IFERROR(__xludf.DUMMYFUNCTION("""COMPUTED_VALUE"""),"https://teamai.com/blog/generative-ai-and-business/top-geo-agencies-for-ai-visibility/")</f>
        <v>https://teamai.com/blog/generative-ai-and-business/top-geo-agencies-for-ai-visibility/</v>
      </c>
      <c r="B531" s="15" t="str">
        <f>IFERROR(__xludf.DUMMYFUNCTION("""COMPUTED_VALUE"""),"The Best GEO Agencies to Explore in 2026")</f>
        <v>The Best GEO Agencies to Explore in 2026</v>
      </c>
      <c r="C531" s="14" t="str">
        <f>IFERROR(__xludf.DUMMYFUNCTION("""COMPUTED_VALUE"""),"teamai.com")</f>
        <v>teamai.com</v>
      </c>
      <c r="D531" s="15" t="str">
        <f>IFERROR(__xludf.DUMMYFUNCTION("""COMPUTED_VALUE"""),"LISTICLE")</f>
        <v>LISTICLE</v>
      </c>
      <c r="E531" s="15" t="str">
        <f>IFERROR(__xludf.DUMMYFUNCTION("""COMPUTED_VALUE"""),"CORPORATE")</f>
        <v>CORPORATE</v>
      </c>
      <c r="F531" s="15" t="str">
        <f>IFERROR(__xludf.DUMMYFUNCTION("""COMPUTED_VALUE"""),"Listicle")</f>
        <v>Listicle</v>
      </c>
      <c r="G531" s="15" t="b">
        <f>IFERROR(__xludf.DUMMYFUNCTION("""COMPUTED_VALUE"""),FALSE)</f>
        <v>0</v>
      </c>
      <c r="H531" s="15" t="str">
        <f>IFERROR(__xludf.DUMMYFUNCTION("""COMPUTED_VALUE"""),"WebFX, Siege Media, The SEO Works")</f>
        <v>WebFX, Siege Media, The SEO Works</v>
      </c>
      <c r="I531" s="15">
        <f>IFERROR(__xludf.DUMMYFUNCTION("""COMPUTED_VALUE"""),1.0)</f>
        <v>1</v>
      </c>
      <c r="J531" s="15">
        <f>IFERROR(__xludf.DUMMYFUNCTION("""COMPUTED_VALUE"""),0.0)</f>
        <v>0</v>
      </c>
      <c r="K531" s="15">
        <f>IFERROR(__xludf.DUMMYFUNCTION("""COMPUTED_VALUE"""),0.0)</f>
        <v>0</v>
      </c>
    </row>
    <row r="532" ht="15.75" customHeight="1">
      <c r="A532" s="14" t="str">
        <f>IFERROR(__xludf.DUMMYFUNCTION("""COMPUTED_VALUE"""),"https://thebusinessjournal.co.uk/b2b-supplier/best-ai-seo-agencies/")</f>
        <v>https://thebusinessjournal.co.uk/b2b-supplier/best-ai-seo-agencies/</v>
      </c>
      <c r="B532" s="15" t="str">
        <f>IFERROR(__xludf.DUMMYFUNCTION("""COMPUTED_VALUE"""),"Best AI SEO Agencies in 2026 - The Business Journal")</f>
        <v>Best AI SEO Agencies in 2026 - The Business Journal</v>
      </c>
      <c r="C532" s="14" t="str">
        <f>IFERROR(__xludf.DUMMYFUNCTION("""COMPUTED_VALUE"""),"thebusinessjournal.co.uk")</f>
        <v>thebusinessjournal.co.uk</v>
      </c>
      <c r="D532" s="15" t="str">
        <f>IFERROR(__xludf.DUMMYFUNCTION("""COMPUTED_VALUE"""),"LISTICLE")</f>
        <v>LISTICLE</v>
      </c>
      <c r="E532" s="15" t="str">
        <f>IFERROR(__xludf.DUMMYFUNCTION("""COMPUTED_VALUE"""),"EDITORIAL")</f>
        <v>EDITORIAL</v>
      </c>
      <c r="F532" s="15" t="str">
        <f>IFERROR(__xludf.DUMMYFUNCTION("""COMPUTED_VALUE"""),"Listicle")</f>
        <v>Listicle</v>
      </c>
      <c r="G532" s="15" t="b">
        <f>IFERROR(__xludf.DUMMYFUNCTION("""COMPUTED_VALUE"""),FALSE)</f>
        <v>0</v>
      </c>
      <c r="H532" s="15" t="str">
        <f>IFERROR(__xludf.DUMMYFUNCTION("""COMPUTED_VALUE"""),"Impression, Passion Digital, Hallam, The SEO Works, Builtvisible, Measured")</f>
        <v>Impression, Passion Digital, Hallam, The SEO Works, Builtvisible, Measured</v>
      </c>
      <c r="I532" s="15">
        <f>IFERROR(__xludf.DUMMYFUNCTION("""COMPUTED_VALUE"""),1.0)</f>
        <v>1</v>
      </c>
      <c r="J532" s="15">
        <f>IFERROR(__xludf.DUMMYFUNCTION("""COMPUTED_VALUE"""),0.0)</f>
        <v>0</v>
      </c>
      <c r="K532" s="15">
        <f>IFERROR(__xludf.DUMMYFUNCTION("""COMPUTED_VALUE"""),1.0)</f>
        <v>1</v>
      </c>
    </row>
    <row r="533" ht="15.75" customHeight="1">
      <c r="A533" s="14" t="str">
        <f>IFERROR(__xludf.DUMMYFUNCTION("""COMPUTED_VALUE"""),"https://thecmo.com/tools/best-marketing-attribution-software/")</f>
        <v>https://thecmo.com/tools/best-marketing-attribution-software/</v>
      </c>
      <c r="B533" s="15" t="str">
        <f>IFERROR(__xludf.DUMMYFUNCTION("""COMPUTED_VALUE"""),"10 Best Marketing Attribution Software Reviewed For 2026")</f>
        <v>10 Best Marketing Attribution Software Reviewed For 2026</v>
      </c>
      <c r="C533" s="14" t="str">
        <f>IFERROR(__xludf.DUMMYFUNCTION("""COMPUTED_VALUE"""),"thecmo.com")</f>
        <v>thecmo.com</v>
      </c>
      <c r="D533" s="15" t="str">
        <f>IFERROR(__xludf.DUMMYFUNCTION("""COMPUTED_VALUE"""),"LISTICLE")</f>
        <v>LISTICLE</v>
      </c>
      <c r="E533" s="15" t="str">
        <f>IFERROR(__xludf.DUMMYFUNCTION("""COMPUTED_VALUE"""),"OTHER")</f>
        <v>OTHER</v>
      </c>
      <c r="F533" s="15" t="str">
        <f>IFERROR(__xludf.DUMMYFUNCTION("""COMPUTED_VALUE"""),"Listicle")</f>
        <v>Listicle</v>
      </c>
      <c r="G533" s="15" t="b">
        <f>IFERROR(__xludf.DUMMYFUNCTION("""COMPUTED_VALUE"""),FALSE)</f>
        <v>0</v>
      </c>
      <c r="H533" s="15" t="str">
        <f>IFERROR(__xludf.DUMMYFUNCTION("""COMPUTED_VALUE"""),"Triple Whale, Found, Ruler Analytics, Neustar, Push, Huge")</f>
        <v>Triple Whale, Found, Ruler Analytics, Neustar, Push, Huge</v>
      </c>
      <c r="I533" s="15">
        <f>IFERROR(__xludf.DUMMYFUNCTION("""COMPUTED_VALUE"""),1.0)</f>
        <v>1</v>
      </c>
      <c r="J533" s="15">
        <f>IFERROR(__xludf.DUMMYFUNCTION("""COMPUTED_VALUE"""),0.0)</f>
        <v>0</v>
      </c>
      <c r="K533" s="15">
        <f>IFERROR(__xludf.DUMMYFUNCTION("""COMPUTED_VALUE"""),0.0)</f>
        <v>0</v>
      </c>
    </row>
    <row r="534" ht="15.75" customHeight="1">
      <c r="A534" s="14" t="str">
        <f>IFERROR(__xludf.DUMMYFUNCTION("""COMPUTED_VALUE"""),"https://thedigitalelevator.com/blog/best-generative-engine-optimization-geo-agencies/")</f>
        <v>https://thedigitalelevator.com/blog/best-generative-engine-optimization-geo-agencies/</v>
      </c>
      <c r="B534" s="15" t="str">
        <f>IFERROR(__xludf.DUMMYFUNCTION("""COMPUTED_VALUE"""),"The 12 Best Generative Engine Optimization (GEO) Agencies of 2026 | Digital Elevator")</f>
        <v>The 12 Best Generative Engine Optimization (GEO) Agencies of 2026 | Digital Elevator</v>
      </c>
      <c r="C534" s="14" t="str">
        <f>IFERROR(__xludf.DUMMYFUNCTION("""COMPUTED_VALUE"""),"thedigitalelevator.com")</f>
        <v>thedigitalelevator.com</v>
      </c>
      <c r="D534" s="15" t="str">
        <f>IFERROR(__xludf.DUMMYFUNCTION("""COMPUTED_VALUE"""),"LISTICLE")</f>
        <v>LISTICLE</v>
      </c>
      <c r="E534" s="15" t="str">
        <f>IFERROR(__xludf.DUMMYFUNCTION("""COMPUTED_VALUE"""),"CORPORATE")</f>
        <v>CORPORATE</v>
      </c>
      <c r="F534" s="15" t="str">
        <f>IFERROR(__xludf.DUMMYFUNCTION("""COMPUTED_VALUE"""),"Listicle")</f>
        <v>Listicle</v>
      </c>
      <c r="G534" s="15" t="b">
        <f>IFERROR(__xludf.DUMMYFUNCTION("""COMPUTED_VALUE"""),FALSE)</f>
        <v>0</v>
      </c>
      <c r="H534" s="15" t="str">
        <f>IFERROR(__xludf.DUMMYFUNCTION("""COMPUTED_VALUE"""),"Directive Consulting, Siege Media")</f>
        <v>Directive Consulting, Siege Media</v>
      </c>
      <c r="I534" s="15">
        <f>IFERROR(__xludf.DUMMYFUNCTION("""COMPUTED_VALUE"""),1.0)</f>
        <v>1</v>
      </c>
      <c r="J534" s="15">
        <f>IFERROR(__xludf.DUMMYFUNCTION("""COMPUTED_VALUE"""),0.0)</f>
        <v>0</v>
      </c>
      <c r="K534" s="15">
        <f>IFERROR(__xludf.DUMMYFUNCTION("""COMPUTED_VALUE"""),0.0)</f>
        <v>0</v>
      </c>
    </row>
    <row r="535" ht="15.75" customHeight="1">
      <c r="A535" s="14" t="str">
        <f>IFERROR(__xludf.DUMMYFUNCTION("""COMPUTED_VALUE"""),"https://www.thedrum.com/lists/world-creative-rankings/companies/the-most-awarded-agencies-uk-ireland")</f>
        <v>https://www.thedrum.com/lists/world-creative-rankings/companies/the-most-awarded-agencies-uk-ireland</v>
      </c>
      <c r="B535" s="15" t="str">
        <f>IFERROR(__xludf.DUMMYFUNCTION("""COMPUTED_VALUE"""),"The Drum")</f>
        <v>The Drum</v>
      </c>
      <c r="C535" s="14" t="str">
        <f>IFERROR(__xludf.DUMMYFUNCTION("""COMPUTED_VALUE"""),"thedrum.com")</f>
        <v>thedrum.com</v>
      </c>
      <c r="D535" s="15" t="str">
        <f>IFERROR(__xludf.DUMMYFUNCTION("""COMPUTED_VALUE"""),"LISTICLE")</f>
        <v>LISTICLE</v>
      </c>
      <c r="E535" s="15" t="str">
        <f>IFERROR(__xludf.DUMMYFUNCTION("""COMPUTED_VALUE"""),"EDITORIAL")</f>
        <v>EDITORIAL</v>
      </c>
      <c r="F535" s="15" t="str">
        <f>IFERROR(__xludf.DUMMYFUNCTION("""COMPUTED_VALUE"""),"Listicle")</f>
        <v>Listicle</v>
      </c>
      <c r="G535" s="15" t="b">
        <f>IFERROR(__xludf.DUMMYFUNCTION("""COMPUTED_VALUE"""),FALSE)</f>
        <v>0</v>
      </c>
      <c r="H535" s="15" t="str">
        <f>IFERROR(__xludf.DUMMYFUNCTION("""COMPUTED_VALUE"""),"AMV BBDO, Adam&amp;eveDDB, VCCP, Mother London, Saatchi &amp; Saatchi, Ogilvy, BBH London, AKQA, Uncommon Creative Studio, WPP, Lucky Generals, Transmission, Further Group, Propeller, Momentum")</f>
        <v>AMV BBDO, Adam&amp;eveDDB, VCCP, Mother London, Saatchi &amp; Saatchi, Ogilvy, BBH London, AKQA, Uncommon Creative Studio, WPP, Lucky Generals, Transmission, Further Group, Propeller, Momentum</v>
      </c>
      <c r="I535" s="15">
        <f>IFERROR(__xludf.DUMMYFUNCTION("""COMPUTED_VALUE"""),1.0)</f>
        <v>1</v>
      </c>
      <c r="J535" s="15">
        <f>IFERROR(__xludf.DUMMYFUNCTION("""COMPUTED_VALUE"""),0.0)</f>
        <v>0</v>
      </c>
      <c r="K535" s="15">
        <f>IFERROR(__xludf.DUMMYFUNCTION("""COMPUTED_VALUE"""),0.0)</f>
        <v>0</v>
      </c>
    </row>
    <row r="536" ht="15.75" customHeight="1">
      <c r="A536" s="14" t="str">
        <f>IFERROR(__xludf.DUMMYFUNCTION("""COMPUTED_VALUE"""),"https://www.thedrum.com/news/serviceplan-reclaims-emea-agency-top-spot-in-2026-world-creative-rankings")</f>
        <v>https://www.thedrum.com/news/serviceplan-reclaims-emea-agency-top-spot-in-2026-world-creative-rankings</v>
      </c>
      <c r="B536" s="15" t="str">
        <f>IFERROR(__xludf.DUMMYFUNCTION("""COMPUTED_VALUE"""),"Serviceplan reclaims EMEA agency top spot in 2026 World Creative Rankings | The Drum")</f>
        <v>Serviceplan reclaims EMEA agency top spot in 2026 World Creative Rankings | The Drum</v>
      </c>
      <c r="C536" s="14" t="str">
        <f>IFERROR(__xludf.DUMMYFUNCTION("""COMPUTED_VALUE"""),"thedrum.com")</f>
        <v>thedrum.com</v>
      </c>
      <c r="D536" s="15" t="str">
        <f>IFERROR(__xludf.DUMMYFUNCTION("""COMPUTED_VALUE"""),"LISTICLE")</f>
        <v>LISTICLE</v>
      </c>
      <c r="E536" s="15" t="str">
        <f>IFERROR(__xludf.DUMMYFUNCTION("""COMPUTED_VALUE"""),"EDITORIAL")</f>
        <v>EDITORIAL</v>
      </c>
      <c r="F536" s="15" t="str">
        <f>IFERROR(__xludf.DUMMYFUNCTION("""COMPUTED_VALUE"""),"Listicle")</f>
        <v>Listicle</v>
      </c>
      <c r="G536" s="15" t="b">
        <f>IFERROR(__xludf.DUMMYFUNCTION("""COMPUTED_VALUE"""),FALSE)</f>
        <v>0</v>
      </c>
      <c r="H536" s="15" t="str">
        <f>IFERROR(__xludf.DUMMYFUNCTION("""COMPUTED_VALUE"""),"Omnicom, AMV BBDO, WPP")</f>
        <v>Omnicom, AMV BBDO, WPP</v>
      </c>
      <c r="I536" s="15">
        <f>IFERROR(__xludf.DUMMYFUNCTION("""COMPUTED_VALUE"""),1.0)</f>
        <v>1</v>
      </c>
      <c r="J536" s="15">
        <f>IFERROR(__xludf.DUMMYFUNCTION("""COMPUTED_VALUE"""),0.0)</f>
        <v>0</v>
      </c>
      <c r="K536" s="15">
        <f>IFERROR(__xludf.DUMMYFUNCTION("""COMPUTED_VALUE"""),0.0)</f>
        <v>0</v>
      </c>
    </row>
    <row r="537" ht="15.75" customHeight="1">
      <c r="A537" s="14" t="str">
        <f>IFERROR(__xludf.DUMMYFUNCTION("""COMPUTED_VALUE"""),"https://www.thedrum.com/news/world-creative-rankings-the-top-holding-companies-and-best-agency-networks-the")</f>
        <v>https://www.thedrum.com/news/world-creative-rankings-the-top-holding-companies-and-best-agency-networks-the</v>
      </c>
      <c r="B537" s="15" t="str">
        <f>IFERROR(__xludf.DUMMYFUNCTION("""COMPUTED_VALUE"""),"Advertising's most-awarded holding companies and agency networks of 2021 | The Drum")</f>
        <v>Advertising's most-awarded holding companies and agency networks of 2021 | The Drum</v>
      </c>
      <c r="C537" s="14" t="str">
        <f>IFERROR(__xludf.DUMMYFUNCTION("""COMPUTED_VALUE"""),"thedrum.com")</f>
        <v>thedrum.com</v>
      </c>
      <c r="D537" s="15" t="str">
        <f>IFERROR(__xludf.DUMMYFUNCTION("""COMPUTED_VALUE"""),"LISTICLE")</f>
        <v>LISTICLE</v>
      </c>
      <c r="E537" s="15" t="str">
        <f>IFERROR(__xludf.DUMMYFUNCTION("""COMPUTED_VALUE"""),"EDITORIAL")</f>
        <v>EDITORIAL</v>
      </c>
      <c r="F537" s="15" t="str">
        <f>IFERROR(__xludf.DUMMYFUNCTION("""COMPUTED_VALUE"""),"Listicle")</f>
        <v>Listicle</v>
      </c>
      <c r="G537" s="15" t="b">
        <f>IFERROR(__xludf.DUMMYFUNCTION("""COMPUTED_VALUE"""),FALSE)</f>
        <v>0</v>
      </c>
      <c r="H537" s="15" t="str">
        <f>IFERROR(__xludf.DUMMYFUNCTION("""COMPUTED_VALUE"""),"WPP, Omnicom, Publicis Groupe, Dentsu, Ogilvy, AMV BBDO, Saatchi &amp; Saatchi, AKQA")</f>
        <v>WPP, Omnicom, Publicis Groupe, Dentsu, Ogilvy, AMV BBDO, Saatchi &amp; Saatchi, AKQA</v>
      </c>
      <c r="I537" s="15">
        <f>IFERROR(__xludf.DUMMYFUNCTION("""COMPUTED_VALUE"""),1.0)</f>
        <v>1</v>
      </c>
      <c r="J537" s="15">
        <f>IFERROR(__xludf.DUMMYFUNCTION("""COMPUTED_VALUE"""),0.0)</f>
        <v>0</v>
      </c>
      <c r="K537" s="15">
        <f>IFERROR(__xludf.DUMMYFUNCTION("""COMPUTED_VALUE"""),0.0)</f>
        <v>0</v>
      </c>
    </row>
    <row r="538" ht="15.75" customHeight="1">
      <c r="A538" s="14" t="str">
        <f>IFERROR(__xludf.DUMMYFUNCTION("""COMPUTED_VALUE"""),"https://www.thedrum.com/opinion/10-recommended-agencies-you-can-trust-data-services")</f>
        <v>https://www.thedrum.com/opinion/10-recommended-agencies-you-can-trust-data-services</v>
      </c>
      <c r="B538" s="15" t="str">
        <f>IFERROR(__xludf.DUMMYFUNCTION("""COMPUTED_VALUE"""),"10 recommended agencies you can trust for data services | The Drum")</f>
        <v>10 recommended agencies you can trust for data services | The Drum</v>
      </c>
      <c r="C538" s="14" t="str">
        <f>IFERROR(__xludf.DUMMYFUNCTION("""COMPUTED_VALUE"""),"thedrum.com")</f>
        <v>thedrum.com</v>
      </c>
      <c r="D538" s="15" t="str">
        <f>IFERROR(__xludf.DUMMYFUNCTION("""COMPUTED_VALUE"""),"LISTICLE")</f>
        <v>LISTICLE</v>
      </c>
      <c r="E538" s="15" t="str">
        <f>IFERROR(__xludf.DUMMYFUNCTION("""COMPUTED_VALUE"""),"EDITORIAL")</f>
        <v>EDITORIAL</v>
      </c>
      <c r="F538" s="15" t="str">
        <f>IFERROR(__xludf.DUMMYFUNCTION("""COMPUTED_VALUE"""),"Listicle")</f>
        <v>Listicle</v>
      </c>
      <c r="G538" s="15" t="b">
        <f>IFERROR(__xludf.DUMMYFUNCTION("""COMPUTED_VALUE"""),FALSE)</f>
        <v>0</v>
      </c>
      <c r="H538" s="15" t="str">
        <f>IFERROR(__xludf.DUMMYFUNCTION("""COMPUTED_VALUE"""),"Bind Media, Gravity Global, Found")</f>
        <v>Bind Media, Gravity Global, Found</v>
      </c>
      <c r="I538" s="15">
        <f>IFERROR(__xludf.DUMMYFUNCTION("""COMPUTED_VALUE"""),1.0)</f>
        <v>1</v>
      </c>
      <c r="J538" s="15">
        <f>IFERROR(__xludf.DUMMYFUNCTION("""COMPUTED_VALUE"""),0.0)</f>
        <v>0</v>
      </c>
      <c r="K538" s="15">
        <f>IFERROR(__xludf.DUMMYFUNCTION("""COMPUTED_VALUE"""),0.0)</f>
        <v>0</v>
      </c>
    </row>
    <row r="539" ht="15.75" customHeight="1">
      <c r="A539" s="14" t="str">
        <f>IFERROR(__xludf.DUMMYFUNCTION("""COMPUTED_VALUE"""),"https://www.thegrowthsyndicate.com/agencies/chatgpt-ads-agencies-uk")</f>
        <v>https://www.thegrowthsyndicate.com/agencies/chatgpt-ads-agencies-uk</v>
      </c>
      <c r="B539" s="15" t="str">
        <f>IFERROR(__xludf.DUMMYFUNCTION("""COMPUTED_VALUE"""),"Top 11 ChatGPT Ads Agencies in the UK (2026)")</f>
        <v>Top 11 ChatGPT Ads Agencies in the UK (2026)</v>
      </c>
      <c r="C539" s="14" t="str">
        <f>IFERROR(__xludf.DUMMYFUNCTION("""COMPUTED_VALUE"""),"thegrowthsyndicate.com")</f>
        <v>thegrowthsyndicate.com</v>
      </c>
      <c r="D539" s="15" t="str">
        <f>IFERROR(__xludf.DUMMYFUNCTION("""COMPUTED_VALUE"""),"LISTICLE")</f>
        <v>LISTICLE</v>
      </c>
      <c r="E539" s="15" t="str">
        <f>IFERROR(__xludf.DUMMYFUNCTION("""COMPUTED_VALUE"""),"CORPORATE")</f>
        <v>CORPORATE</v>
      </c>
      <c r="F539" s="15" t="str">
        <f>IFERROR(__xludf.DUMMYFUNCTION("""COMPUTED_VALUE"""),"Listicle")</f>
        <v>Listicle</v>
      </c>
      <c r="G539" s="15" t="b">
        <f>IFERROR(__xludf.DUMMYFUNCTION("""COMPUTED_VALUE"""),FALSE)</f>
        <v>0</v>
      </c>
      <c r="H539" s="15" t="str">
        <f>IFERROR(__xludf.DUMMYFUNCTION("""COMPUTED_VALUE"""),"Blue Array, The SEO Works, Found, Passion Digital, Push, Push Group, Screaming Frog, Measured")</f>
        <v>Blue Array, The SEO Works, Found, Passion Digital, Push, Push Group, Screaming Frog, Measured</v>
      </c>
      <c r="I539" s="15">
        <f>IFERROR(__xludf.DUMMYFUNCTION("""COMPUTED_VALUE"""),1.0)</f>
        <v>1</v>
      </c>
      <c r="J539" s="15">
        <f>IFERROR(__xludf.DUMMYFUNCTION("""COMPUTED_VALUE"""),0.0)</f>
        <v>0</v>
      </c>
      <c r="K539" s="15">
        <f>IFERROR(__xludf.DUMMYFUNCTION("""COMPUTED_VALUE"""),0.0)</f>
        <v>0</v>
      </c>
    </row>
    <row r="540" ht="15.75" customHeight="1">
      <c r="A540" s="14" t="str">
        <f>IFERROR(__xludf.DUMMYFUNCTION("""COMPUTED_VALUE"""),"https://www.thekeenfolks.com/blog-article/best-performance-marketing-agencies")</f>
        <v>https://www.thekeenfolks.com/blog-article/best-performance-marketing-agencies</v>
      </c>
      <c r="B540" s="15" t="str">
        <f>IFERROR(__xludf.DUMMYFUNCTION("""COMPUTED_VALUE"""),"The Best Performance Marketing Agencies for Enterprise Growth")</f>
        <v>The Best Performance Marketing Agencies for Enterprise Growth</v>
      </c>
      <c r="C540" s="14" t="str">
        <f>IFERROR(__xludf.DUMMYFUNCTION("""COMPUTED_VALUE"""),"thekeenfolks.com")</f>
        <v>thekeenfolks.com</v>
      </c>
      <c r="D540" s="15" t="str">
        <f>IFERROR(__xludf.DUMMYFUNCTION("""COMPUTED_VALUE"""),"LISTICLE")</f>
        <v>LISTICLE</v>
      </c>
      <c r="E540" s="15" t="str">
        <f>IFERROR(__xludf.DUMMYFUNCTION("""COMPUTED_VALUE"""),"EDITORIAL")</f>
        <v>EDITORIAL</v>
      </c>
      <c r="F540" s="15" t="str">
        <f>IFERROR(__xludf.DUMMYFUNCTION("""COMPUTED_VALUE"""),"Listicle")</f>
        <v>Listicle</v>
      </c>
      <c r="G540" s="15" t="b">
        <f>IFERROR(__xludf.DUMMYFUNCTION("""COMPUTED_VALUE"""),FALSE)</f>
        <v>0</v>
      </c>
      <c r="H540" s="15" t="str">
        <f>IFERROR(__xludf.DUMMYFUNCTION("""COMPUTED_VALUE"""),"Tinuiti, Dept, Croud, Ignite Visibility, Disruptive Advertising, WebFX")</f>
        <v>Tinuiti, Dept, Croud, Ignite Visibility, Disruptive Advertising, WebFX</v>
      </c>
      <c r="I540" s="15">
        <f>IFERROR(__xludf.DUMMYFUNCTION("""COMPUTED_VALUE"""),1.0)</f>
        <v>1</v>
      </c>
      <c r="J540" s="15">
        <f>IFERROR(__xludf.DUMMYFUNCTION("""COMPUTED_VALUE"""),0.0)</f>
        <v>0</v>
      </c>
      <c r="K540" s="15">
        <f>IFERROR(__xludf.DUMMYFUNCTION("""COMPUTED_VALUE"""),1.0)</f>
        <v>1</v>
      </c>
    </row>
    <row r="541" ht="15.75" customHeight="1">
      <c r="A541" s="14" t="str">
        <f>IFERROR(__xludf.DUMMYFUNCTION("""COMPUTED_VALUE"""),"https://www.thelogocreative.co.uk/7-top-branding-agencies-in-the-uk/")</f>
        <v>https://www.thelogocreative.co.uk/7-top-branding-agencies-in-the-uk/</v>
      </c>
      <c r="B541" s="15" t="str">
        <f>IFERROR(__xludf.DUMMYFUNCTION("""COMPUTED_VALUE"""),"7 Top Branding Agencies in the UK")</f>
        <v>7 Top Branding Agencies in the UK</v>
      </c>
      <c r="C541" s="14" t="str">
        <f>IFERROR(__xludf.DUMMYFUNCTION("""COMPUTED_VALUE"""),"thelogocreative.co.uk")</f>
        <v>thelogocreative.co.uk</v>
      </c>
      <c r="D541" s="15" t="str">
        <f>IFERROR(__xludf.DUMMYFUNCTION("""COMPUTED_VALUE"""),"LISTICLE")</f>
        <v>LISTICLE</v>
      </c>
      <c r="E541" s="15" t="str">
        <f>IFERROR(__xludf.DUMMYFUNCTION("""COMPUTED_VALUE"""),"CORPORATE")</f>
        <v>CORPORATE</v>
      </c>
      <c r="F541" s="15" t="str">
        <f>IFERROR(__xludf.DUMMYFUNCTION("""COMPUTED_VALUE"""),"Listicle")</f>
        <v>Listicle</v>
      </c>
      <c r="G541" s="15" t="b">
        <f>IFERROR(__xludf.DUMMYFUNCTION("""COMPUTED_VALUE"""),FALSE)</f>
        <v>0</v>
      </c>
      <c r="H541" s="15" t="str">
        <f>IFERROR(__xludf.DUMMYFUNCTION("""COMPUTED_VALUE"""),"Push")</f>
        <v>Push</v>
      </c>
      <c r="I541" s="15">
        <f>IFERROR(__xludf.DUMMYFUNCTION("""COMPUTED_VALUE"""),1.0)</f>
        <v>1</v>
      </c>
      <c r="J541" s="15">
        <f>IFERROR(__xludf.DUMMYFUNCTION("""COMPUTED_VALUE"""),0.0)</f>
        <v>0</v>
      </c>
      <c r="K541" s="15">
        <f>IFERROR(__xludf.DUMMYFUNCTION("""COMPUTED_VALUE"""),3.0)</f>
        <v>3</v>
      </c>
    </row>
    <row r="542" ht="15.75" customHeight="1">
      <c r="A542" s="14" t="str">
        <f>IFERROR(__xludf.DUMMYFUNCTION("""COMPUTED_VALUE"""),"https://thesocialshepherd.com/blog/top-creative-agencies-us")</f>
        <v>https://thesocialshepherd.com/blog/top-creative-agencies-us</v>
      </c>
      <c r="B542" s="15" t="str">
        <f>IFERROR(__xludf.DUMMYFUNCTION("""COMPUTED_VALUE"""),"The Social Shepherd | Top 17 Creative Agencies in the U.S. (2026)")</f>
        <v>The Social Shepherd | Top 17 Creative Agencies in the U.S. (2026)</v>
      </c>
      <c r="C542" s="14" t="str">
        <f>IFERROR(__xludf.DUMMYFUNCTION("""COMPUTED_VALUE"""),"thesocialshepherd.com")</f>
        <v>thesocialshepherd.com</v>
      </c>
      <c r="D542" s="15" t="str">
        <f>IFERROR(__xludf.DUMMYFUNCTION("""COMPUTED_VALUE"""),"LISTICLE")</f>
        <v>LISTICLE</v>
      </c>
      <c r="E542" s="15" t="str">
        <f>IFERROR(__xludf.DUMMYFUNCTION("""COMPUTED_VALUE"""),"COMPETITOR")</f>
        <v>COMPETITOR</v>
      </c>
      <c r="F542" s="15" t="str">
        <f>IFERROR(__xludf.DUMMYFUNCTION("""COMPUTED_VALUE"""),"Listicle")</f>
        <v>Listicle</v>
      </c>
      <c r="G542" s="15" t="b">
        <f>IFERROR(__xludf.DUMMYFUNCTION("""COMPUTED_VALUE"""),FALSE)</f>
        <v>0</v>
      </c>
      <c r="H542" s="15" t="str">
        <f>IFERROR(__xludf.DUMMYFUNCTION("""COMPUTED_VALUE"""),"The Social Shepherd, inBeat, Push, Dentsu")</f>
        <v>The Social Shepherd, inBeat, Push, Dentsu</v>
      </c>
      <c r="I542" s="15">
        <f>IFERROR(__xludf.DUMMYFUNCTION("""COMPUTED_VALUE"""),1.0)</f>
        <v>1</v>
      </c>
      <c r="J542" s="15">
        <f>IFERROR(__xludf.DUMMYFUNCTION("""COMPUTED_VALUE"""),0.0)</f>
        <v>0</v>
      </c>
      <c r="K542" s="15">
        <f>IFERROR(__xludf.DUMMYFUNCTION("""COMPUTED_VALUE"""),2.0)</f>
        <v>2</v>
      </c>
    </row>
    <row r="543" ht="15.75" customHeight="1">
      <c r="A543" s="14" t="str">
        <f>IFERROR(__xludf.DUMMYFUNCTION("""COMPUTED_VALUE"""),"https://www.thewowcompany.com/most-admired-agencies-list-2025")</f>
        <v>https://www.thewowcompany.com/most-admired-agencies-list-2025</v>
      </c>
      <c r="B543" s="15" t="str">
        <f>IFERROR(__xludf.DUMMYFUNCTION("""COMPUTED_VALUE"""),"Most Admired Agencies List 2025")</f>
        <v>Most Admired Agencies List 2025</v>
      </c>
      <c r="C543" s="14" t="str">
        <f>IFERROR(__xludf.DUMMYFUNCTION("""COMPUTED_VALUE"""),"thewowcompany.com")</f>
        <v>thewowcompany.com</v>
      </c>
      <c r="D543" s="15" t="str">
        <f>IFERROR(__xludf.DUMMYFUNCTION("""COMPUTED_VALUE"""),"LISTICLE")</f>
        <v>LISTICLE</v>
      </c>
      <c r="E543" s="15" t="str">
        <f>IFERROR(__xludf.DUMMYFUNCTION("""COMPUTED_VALUE"""),"CORPORATE")</f>
        <v>CORPORATE</v>
      </c>
      <c r="F543" s="15" t="str">
        <f>IFERROR(__xludf.DUMMYFUNCTION("""COMPUTED_VALUE"""),"Listicle")</f>
        <v>Listicle</v>
      </c>
      <c r="G543" s="15" t="b">
        <f>IFERROR(__xludf.DUMMYFUNCTION("""COMPUTED_VALUE"""),FALSE)</f>
        <v>0</v>
      </c>
      <c r="H543" s="15" t="str">
        <f>IFERROR(__xludf.DUMMYFUNCTION("""COMPUTED_VALUE"""),"Rise at Seven, Journey Further, Born Social, Croud")</f>
        <v>Rise at Seven, Journey Further, Born Social, Croud</v>
      </c>
      <c r="I543" s="15">
        <f>IFERROR(__xludf.DUMMYFUNCTION("""COMPUTED_VALUE"""),1.0)</f>
        <v>1</v>
      </c>
      <c r="J543" s="15">
        <f>IFERROR(__xludf.DUMMYFUNCTION("""COMPUTED_VALUE"""),0.0)</f>
        <v>0</v>
      </c>
      <c r="K543" s="15">
        <f>IFERROR(__xludf.DUMMYFUNCTION("""COMPUTED_VALUE"""),0.0)</f>
        <v>0</v>
      </c>
    </row>
    <row r="544" ht="15.75" customHeight="1">
      <c r="A544" s="14" t="str">
        <f>IFERROR(__xludf.DUMMYFUNCTION("""COMPUTED_VALUE"""),"https://thinkwithalec.com/2025/03/02/best-marketing-platforms-for-tracking-first-party-data/")</f>
        <v>https://thinkwithalec.com/2025/03/02/best-marketing-platforms-for-tracking-first-party-data/</v>
      </c>
      <c r="B544" s="15" t="str">
        <f>IFERROR(__xludf.DUMMYFUNCTION("""COMPUTED_VALUE"""),"Best Marketing Platforms for Tracking First-Party Data – THINK WITH ALEC")</f>
        <v>Best Marketing Platforms for Tracking First-Party Data – THINK WITH ALEC</v>
      </c>
      <c r="C544" s="14" t="str">
        <f>IFERROR(__xludf.DUMMYFUNCTION("""COMPUTED_VALUE"""),"thinkwithalec.com")</f>
        <v>thinkwithalec.com</v>
      </c>
      <c r="D544" s="15" t="str">
        <f>IFERROR(__xludf.DUMMYFUNCTION("""COMPUTED_VALUE"""),"LISTICLE")</f>
        <v>LISTICLE</v>
      </c>
      <c r="E544" s="15" t="str">
        <f>IFERROR(__xludf.DUMMYFUNCTION("""COMPUTED_VALUE"""),"EDITORIAL")</f>
        <v>EDITORIAL</v>
      </c>
      <c r="F544" s="15" t="str">
        <f>IFERROR(__xludf.DUMMYFUNCTION("""COMPUTED_VALUE"""),"Listicle")</f>
        <v>Listicle</v>
      </c>
      <c r="G544" s="15" t="b">
        <f>IFERROR(__xludf.DUMMYFUNCTION("""COMPUTED_VALUE"""),FALSE)</f>
        <v>0</v>
      </c>
      <c r="H544" s="15" t="str">
        <f>IFERROR(__xludf.DUMMYFUNCTION("""COMPUTED_VALUE"""),"Push")</f>
        <v>Push</v>
      </c>
      <c r="I544" s="15">
        <f>IFERROR(__xludf.DUMMYFUNCTION("""COMPUTED_VALUE"""),1.0)</f>
        <v>1</v>
      </c>
      <c r="J544" s="15">
        <f>IFERROR(__xludf.DUMMYFUNCTION("""COMPUTED_VALUE"""),0.0)</f>
        <v>0</v>
      </c>
      <c r="K544" s="15">
        <f>IFERROR(__xludf.DUMMYFUNCTION("""COMPUTED_VALUE"""),0.0)</f>
        <v>0</v>
      </c>
    </row>
    <row r="545" ht="15.75" customHeight="1">
      <c r="A545" s="14" t="str">
        <f>IFERROR(__xludf.DUMMYFUNCTION("""COMPUTED_VALUE"""),"https://www.tofuhq.com/post/best-ai-agents-for-marketing")</f>
        <v>https://www.tofuhq.com/post/best-ai-agents-for-marketing</v>
      </c>
      <c r="B545" s="15" t="str">
        <f>IFERROR(__xludf.DUMMYFUNCTION("""COMPUTED_VALUE"""),"The 7 Best AI Agents for Marketing in 2026")</f>
        <v>The 7 Best AI Agents for Marketing in 2026</v>
      </c>
      <c r="C545" s="14" t="str">
        <f>IFERROR(__xludf.DUMMYFUNCTION("""COMPUTED_VALUE"""),"tofuhq.com")</f>
        <v>tofuhq.com</v>
      </c>
      <c r="D545" s="15" t="str">
        <f>IFERROR(__xludf.DUMMYFUNCTION("""COMPUTED_VALUE"""),"LISTICLE")</f>
        <v>LISTICLE</v>
      </c>
      <c r="E545" s="15" t="str">
        <f>IFERROR(__xludf.DUMMYFUNCTION("""COMPUTED_VALUE"""),"CORPORATE")</f>
        <v>CORPORATE</v>
      </c>
      <c r="F545" s="15" t="str">
        <f>IFERROR(__xludf.DUMMYFUNCTION("""COMPUTED_VALUE"""),"Listicle")</f>
        <v>Listicle</v>
      </c>
      <c r="G545" s="15" t="b">
        <f>IFERROR(__xludf.DUMMYFUNCTION("""COMPUTED_VALUE"""),FALSE)</f>
        <v>0</v>
      </c>
      <c r="H545" s="15" t="str">
        <f>IFERROR(__xludf.DUMMYFUNCTION("""COMPUTED_VALUE"""),"Push, Found")</f>
        <v>Push, Found</v>
      </c>
      <c r="I545" s="15">
        <f>IFERROR(__xludf.DUMMYFUNCTION("""COMPUTED_VALUE"""),1.0)</f>
        <v>1</v>
      </c>
      <c r="J545" s="15">
        <f>IFERROR(__xludf.DUMMYFUNCTION("""COMPUTED_VALUE"""),0.0)</f>
        <v>0</v>
      </c>
      <c r="K545" s="15">
        <f>IFERROR(__xludf.DUMMYFUNCTION("""COMPUTED_VALUE"""),0.0)</f>
        <v>0</v>
      </c>
    </row>
    <row r="546" ht="15.75" customHeight="1">
      <c r="A546" s="14" t="str">
        <f>IFERROR(__xludf.DUMMYFUNCTION("""COMPUTED_VALUE"""),"https://www.topseobrands.com/uk/best-display-advertising-firms-in-uk/page/7")</f>
        <v>https://www.topseobrands.com/uk/best-display-advertising-firms-in-uk/page/7</v>
      </c>
      <c r="B546" s="15" t="str">
        <f>IFERROR(__xludf.DUMMYFUNCTION("""COMPUTED_VALUE"""),"Best Display Advertising Firms in United Kingdom | Top SEO Brands")</f>
        <v>Best Display Advertising Firms in United Kingdom | Top SEO Brands</v>
      </c>
      <c r="C546" s="14" t="str">
        <f>IFERROR(__xludf.DUMMYFUNCTION("""COMPUTED_VALUE"""),"topseobrands.com")</f>
        <v>topseobrands.com</v>
      </c>
      <c r="D546" s="15" t="str">
        <f>IFERROR(__xludf.DUMMYFUNCTION("""COMPUTED_VALUE"""),"LISTICLE")</f>
        <v>LISTICLE</v>
      </c>
      <c r="E546" s="15" t="str">
        <f>IFERROR(__xludf.DUMMYFUNCTION("""COMPUTED_VALUE"""),"REFERENCE")</f>
        <v>REFERENCE</v>
      </c>
      <c r="F546" s="15" t="str">
        <f>IFERROR(__xludf.DUMMYFUNCTION("""COMPUTED_VALUE"""),"Listicle")</f>
        <v>Listicle</v>
      </c>
      <c r="G546" s="15" t="b">
        <f>IFERROR(__xludf.DUMMYFUNCTION("""COMPUTED_VALUE"""),FALSE)</f>
        <v>0</v>
      </c>
      <c r="H546" s="15" t="str">
        <f>IFERROR(__xludf.DUMMYFUNCTION("""COMPUTED_VALUE"""),"Found")</f>
        <v>Found</v>
      </c>
      <c r="I546" s="15">
        <f>IFERROR(__xludf.DUMMYFUNCTION("""COMPUTED_VALUE"""),1.0)</f>
        <v>1</v>
      </c>
      <c r="J546" s="15">
        <f>IFERROR(__xludf.DUMMYFUNCTION("""COMPUTED_VALUE"""),0.0)</f>
        <v>0</v>
      </c>
      <c r="K546" s="15">
        <f>IFERROR(__xludf.DUMMYFUNCTION("""COMPUTED_VALUE"""),0.0)</f>
        <v>0</v>
      </c>
    </row>
    <row r="547" ht="15.75" customHeight="1">
      <c r="A547" s="14" t="str">
        <f>IFERROR(__xludf.DUMMYFUNCTION("""COMPUTED_VALUE"""),"https://toptenaiagents.co.uk/lists/top-10-uk-ai-agencies-sme.html")</f>
        <v>https://toptenaiagents.co.uk/lists/top-10-uk-ai-agencies-sme.html</v>
      </c>
      <c r="B547" s="15" t="str">
        <f>IFERROR(__xludf.DUMMYFUNCTION("""COMPUTED_VALUE"""),"Top 10 AI Agencies for UK SMEs (2026) | Expert Reviews - TopTenAIAgents.co.uk")</f>
        <v>Top 10 AI Agencies for UK SMEs (2026) | Expert Reviews - TopTenAIAgents.co.uk</v>
      </c>
      <c r="C547" s="14" t="str">
        <f>IFERROR(__xludf.DUMMYFUNCTION("""COMPUTED_VALUE"""),"toptenaiagents.co.uk")</f>
        <v>toptenaiagents.co.uk</v>
      </c>
      <c r="D547" s="15" t="str">
        <f>IFERROR(__xludf.DUMMYFUNCTION("""COMPUTED_VALUE"""),"LISTICLE")</f>
        <v>LISTICLE</v>
      </c>
      <c r="E547" s="15" t="str">
        <f>IFERROR(__xludf.DUMMYFUNCTION("""COMPUTED_VALUE"""),"EDITORIAL")</f>
        <v>EDITORIAL</v>
      </c>
      <c r="F547" s="15" t="str">
        <f>IFERROR(__xludf.DUMMYFUNCTION("""COMPUTED_VALUE"""),"Listicle")</f>
        <v>Listicle</v>
      </c>
      <c r="G547" s="15" t="b">
        <f>IFERROR(__xludf.DUMMYFUNCTION("""COMPUTED_VALUE"""),FALSE)</f>
        <v>0</v>
      </c>
      <c r="H547" s="15" t="str">
        <f>IFERROR(__xludf.DUMMYFUNCTION("""COMPUTED_VALUE"""),"Measured")</f>
        <v>Measured</v>
      </c>
      <c r="I547" s="15">
        <f>IFERROR(__xludf.DUMMYFUNCTION("""COMPUTED_VALUE"""),1.0)</f>
        <v>1</v>
      </c>
      <c r="J547" s="15">
        <f>IFERROR(__xludf.DUMMYFUNCTION("""COMPUTED_VALUE"""),0.0)</f>
        <v>0</v>
      </c>
      <c r="K547" s="15">
        <f>IFERROR(__xludf.DUMMYFUNCTION("""COMPUTED_VALUE"""),1.0)</f>
        <v>1</v>
      </c>
    </row>
    <row r="548" ht="15.75" customHeight="1">
      <c r="A548" s="14" t="str">
        <f>IFERROR(__xludf.DUMMYFUNCTION("""COMPUTED_VALUE"""),"https://www.trendygrandad.com/blog/best-youtube-video-production-companies-in-london")</f>
        <v>https://www.trendygrandad.com/blog/best-youtube-video-production-companies-in-london</v>
      </c>
      <c r="B548" s="15" t="str">
        <f>IFERROR(__xludf.DUMMYFUNCTION("""COMPUTED_VALUE"""),"Best Youtube video production companies in London | By a UK London Video Production Company")</f>
        <v>Best Youtube video production companies in London | By a UK London Video Production Company</v>
      </c>
      <c r="C548" s="14" t="str">
        <f>IFERROR(__xludf.DUMMYFUNCTION("""COMPUTED_VALUE"""),"trendygrandad.com")</f>
        <v>trendygrandad.com</v>
      </c>
      <c r="D548" s="15" t="str">
        <f>IFERROR(__xludf.DUMMYFUNCTION("""COMPUTED_VALUE"""),"LISTICLE")</f>
        <v>LISTICLE</v>
      </c>
      <c r="E548" s="15" t="str">
        <f>IFERROR(__xludf.DUMMYFUNCTION("""COMPUTED_VALUE"""),"CORPORATE")</f>
        <v>CORPORATE</v>
      </c>
      <c r="F548" s="15" t="str">
        <f>IFERROR(__xludf.DUMMYFUNCTION("""COMPUTED_VALUE"""),"Listicle")</f>
        <v>Listicle</v>
      </c>
      <c r="G548" s="15" t="b">
        <f>IFERROR(__xludf.DUMMYFUNCTION("""COMPUTED_VALUE"""),FALSE)</f>
        <v>0</v>
      </c>
      <c r="H548" s="15"/>
      <c r="I548" s="15">
        <f>IFERROR(__xludf.DUMMYFUNCTION("""COMPUTED_VALUE"""),1.0)</f>
        <v>1</v>
      </c>
      <c r="J548" s="15">
        <f>IFERROR(__xludf.DUMMYFUNCTION("""COMPUTED_VALUE"""),0.0)</f>
        <v>0</v>
      </c>
      <c r="K548" s="15">
        <f>IFERROR(__xludf.DUMMYFUNCTION("""COMPUTED_VALUE"""),0.0)</f>
        <v>0</v>
      </c>
    </row>
    <row r="549" ht="15.75" customHeight="1">
      <c r="A549" s="14" t="str">
        <f>IFERROR(__xludf.DUMMYFUNCTION("""COMPUTED_VALUE"""),"https://www.trendygrandad.com/blog/top-5-performance-creative-agencies-sept-2024")</f>
        <v>https://www.trendygrandad.com/blog/top-5-performance-creative-agencies-sept-2024</v>
      </c>
      <c r="B549" s="15" t="str">
        <f>IFERROR(__xludf.DUMMYFUNCTION("""COMPUTED_VALUE"""),"Top 5 Performance Creative Agencies | Sept 2024 | By a UK London Video Production Company")</f>
        <v>Top 5 Performance Creative Agencies | Sept 2024 | By a UK London Video Production Company</v>
      </c>
      <c r="C549" s="14" t="str">
        <f>IFERROR(__xludf.DUMMYFUNCTION("""COMPUTED_VALUE"""),"trendygrandad.com")</f>
        <v>trendygrandad.com</v>
      </c>
      <c r="D549" s="15" t="str">
        <f>IFERROR(__xludf.DUMMYFUNCTION("""COMPUTED_VALUE"""),"LISTICLE")</f>
        <v>LISTICLE</v>
      </c>
      <c r="E549" s="15" t="str">
        <f>IFERROR(__xludf.DUMMYFUNCTION("""COMPUTED_VALUE"""),"CORPORATE")</f>
        <v>CORPORATE</v>
      </c>
      <c r="F549" s="15" t="str">
        <f>IFERROR(__xludf.DUMMYFUNCTION("""COMPUTED_VALUE"""),"Listicle")</f>
        <v>Listicle</v>
      </c>
      <c r="G549" s="15" t="b">
        <f>IFERROR(__xludf.DUMMYFUNCTION("""COMPUTED_VALUE"""),FALSE)</f>
        <v>0</v>
      </c>
      <c r="H549" s="15" t="str">
        <f>IFERROR(__xludf.DUMMYFUNCTION("""COMPUTED_VALUE"""),"Triple Whale")</f>
        <v>Triple Whale</v>
      </c>
      <c r="I549" s="15">
        <f>IFERROR(__xludf.DUMMYFUNCTION("""COMPUTED_VALUE"""),1.0)</f>
        <v>1</v>
      </c>
      <c r="J549" s="15">
        <f>IFERROR(__xludf.DUMMYFUNCTION("""COMPUTED_VALUE"""),0.0)</f>
        <v>0</v>
      </c>
      <c r="K549" s="15">
        <f>IFERROR(__xludf.DUMMYFUNCTION("""COMPUTED_VALUE"""),0.0)</f>
        <v>0</v>
      </c>
    </row>
    <row r="550" ht="15.75" customHeight="1">
      <c r="A550" s="14" t="str">
        <f>IFERROR(__xludf.DUMMYFUNCTION("""COMPUTED_VALUE"""),"https://www.tripledart.com/ai-seo/ai-seo-agencies")</f>
        <v>https://www.tripledart.com/ai-seo/ai-seo-agencies</v>
      </c>
      <c r="B550" s="15" t="str">
        <f>IFERROR(__xludf.DUMMYFUNCTION("""COMPUTED_VALUE"""),"Best AI SEO Agencies in 2026")</f>
        <v>Best AI SEO Agencies in 2026</v>
      </c>
      <c r="C550" s="14" t="str">
        <f>IFERROR(__xludf.DUMMYFUNCTION("""COMPUTED_VALUE"""),"tripledart.com")</f>
        <v>tripledart.com</v>
      </c>
      <c r="D550" s="15" t="str">
        <f>IFERROR(__xludf.DUMMYFUNCTION("""COMPUTED_VALUE"""),"LISTICLE")</f>
        <v>LISTICLE</v>
      </c>
      <c r="E550" s="15" t="str">
        <f>IFERROR(__xludf.DUMMYFUNCTION("""COMPUTED_VALUE"""),"OTHER")</f>
        <v>OTHER</v>
      </c>
      <c r="F550" s="15" t="str">
        <f>IFERROR(__xludf.DUMMYFUNCTION("""COMPUTED_VALUE"""),"Listicle")</f>
        <v>Listicle</v>
      </c>
      <c r="G550" s="15" t="b">
        <f>IFERROR(__xludf.DUMMYFUNCTION("""COMPUTED_VALUE"""),FALSE)</f>
        <v>0</v>
      </c>
      <c r="H550" s="15" t="str">
        <f>IFERROR(__xludf.DUMMYFUNCTION("""COMPUTED_VALUE"""),"WebFX, NoGood, Omniscient Digital, Siege Media, Whitehat, Measured")</f>
        <v>WebFX, NoGood, Omniscient Digital, Siege Media, Whitehat, Measured</v>
      </c>
      <c r="I550" s="15">
        <f>IFERROR(__xludf.DUMMYFUNCTION("""COMPUTED_VALUE"""),1.0)</f>
        <v>1</v>
      </c>
      <c r="J550" s="15">
        <f>IFERROR(__xludf.DUMMYFUNCTION("""COMPUTED_VALUE"""),0.0)</f>
        <v>0</v>
      </c>
      <c r="K550" s="15">
        <f>IFERROR(__xludf.DUMMYFUNCTION("""COMPUTED_VALUE"""),1.0)</f>
        <v>1</v>
      </c>
    </row>
    <row r="551" ht="15.75" customHeight="1">
      <c r="A551" s="14" t="str">
        <f>IFERROR(__xludf.DUMMYFUNCTION("""COMPUTED_VALUE"""),"https://www.updigital.co.uk/the-top-5-bristol-ppc-agencies-in-2026/")</f>
        <v>https://www.updigital.co.uk/the-top-5-bristol-ppc-agencies-in-2026/</v>
      </c>
      <c r="B551" s="15" t="str">
        <f>IFERROR(__xludf.DUMMYFUNCTION("""COMPUTED_VALUE"""),"The Top 5 Bristol PPC Agencies in 2026 | Up Digital")</f>
        <v>The Top 5 Bristol PPC Agencies in 2026 | Up Digital</v>
      </c>
      <c r="C551" s="14" t="str">
        <f>IFERROR(__xludf.DUMMYFUNCTION("""COMPUTED_VALUE"""),"updigital.co.uk")</f>
        <v>updigital.co.uk</v>
      </c>
      <c r="D551" s="15" t="str">
        <f>IFERROR(__xludf.DUMMYFUNCTION("""COMPUTED_VALUE"""),"LISTICLE")</f>
        <v>LISTICLE</v>
      </c>
      <c r="E551" s="15" t="str">
        <f>IFERROR(__xludf.DUMMYFUNCTION("""COMPUTED_VALUE"""),"CORPORATE")</f>
        <v>CORPORATE</v>
      </c>
      <c r="F551" s="15" t="str">
        <f>IFERROR(__xludf.DUMMYFUNCTION("""COMPUTED_VALUE"""),"Listicle")</f>
        <v>Listicle</v>
      </c>
      <c r="G551" s="15" t="b">
        <f>IFERROR(__xludf.DUMMYFUNCTION("""COMPUTED_VALUE"""),FALSE)</f>
        <v>0</v>
      </c>
      <c r="H551" s="15" t="str">
        <f>IFERROR(__xludf.DUMMYFUNCTION("""COMPUTED_VALUE"""),"Bind Media")</f>
        <v>Bind Media</v>
      </c>
      <c r="I551" s="15">
        <f>IFERROR(__xludf.DUMMYFUNCTION("""COMPUTED_VALUE"""),1.0)</f>
        <v>1</v>
      </c>
      <c r="J551" s="15">
        <f>IFERROR(__xludf.DUMMYFUNCTION("""COMPUTED_VALUE"""),0.0)</f>
        <v>0</v>
      </c>
      <c r="K551" s="15">
        <f>IFERROR(__xludf.DUMMYFUNCTION("""COMPUTED_VALUE"""),1.0)</f>
        <v>1</v>
      </c>
    </row>
    <row r="552" ht="15.75" customHeight="1">
      <c r="A552" s="14" t="str">
        <f>IFERROR(__xludf.DUMMYFUNCTION("""COMPUTED_VALUE"""),"https://vibebranding.com/blog/best-performance-marketing-agencies/")</f>
        <v>https://vibebranding.com/blog/best-performance-marketing-agencies/</v>
      </c>
      <c r="B552" s="15" t="str">
        <f>IFERROR(__xludf.DUMMYFUNCTION("""COMPUTED_VALUE"""),"Best Performance Marketing Agencies for ROI Growth 2025")</f>
        <v>Best Performance Marketing Agencies for ROI Growth 2025</v>
      </c>
      <c r="C552" s="14" t="str">
        <f>IFERROR(__xludf.DUMMYFUNCTION("""COMPUTED_VALUE"""),"vibebranding.com")</f>
        <v>vibebranding.com</v>
      </c>
      <c r="D552" s="15" t="str">
        <f>IFERROR(__xludf.DUMMYFUNCTION("""COMPUTED_VALUE"""),"LISTICLE")</f>
        <v>LISTICLE</v>
      </c>
      <c r="E552" s="15" t="str">
        <f>IFERROR(__xludf.DUMMYFUNCTION("""COMPUTED_VALUE"""),"CORPORATE")</f>
        <v>CORPORATE</v>
      </c>
      <c r="F552" s="15" t="str">
        <f>IFERROR(__xludf.DUMMYFUNCTION("""COMPUTED_VALUE"""),"Listicle")</f>
        <v>Listicle</v>
      </c>
      <c r="G552" s="15" t="b">
        <f>IFERROR(__xludf.DUMMYFUNCTION("""COMPUTED_VALUE"""),FALSE)</f>
        <v>0</v>
      </c>
      <c r="H552" s="15" t="str">
        <f>IFERROR(__xludf.DUMMYFUNCTION("""COMPUTED_VALUE"""),"Impression, Found, Momentum")</f>
        <v>Impression, Found, Momentum</v>
      </c>
      <c r="I552" s="15">
        <f>IFERROR(__xludf.DUMMYFUNCTION("""COMPUTED_VALUE"""),1.0)</f>
        <v>1</v>
      </c>
      <c r="J552" s="15">
        <f>IFERROR(__xludf.DUMMYFUNCTION("""COMPUTED_VALUE"""),0.0)</f>
        <v>0</v>
      </c>
      <c r="K552" s="15">
        <f>IFERROR(__xludf.DUMMYFUNCTION("""COMPUTED_VALUE"""),0.0)</f>
        <v>0</v>
      </c>
    </row>
    <row r="553" ht="15.75" customHeight="1">
      <c r="A553" s="14" t="str">
        <f>IFERROR(__xludf.DUMMYFUNCTION("""COMPUTED_VALUE"""),"https://virayo.com/blog/b2b-seo-agencies")</f>
        <v>https://virayo.com/blog/b2b-seo-agencies</v>
      </c>
      <c r="B553" s="15" t="str">
        <f>IFERROR(__xludf.DUMMYFUNCTION("""COMPUTED_VALUE"""),"10 Best B2B SEO Agencies for 2026 [By Category]")</f>
        <v>10 Best B2B SEO Agencies for 2026 [By Category]</v>
      </c>
      <c r="C553" s="14" t="str">
        <f>IFERROR(__xludf.DUMMYFUNCTION("""COMPUTED_VALUE"""),"virayo.com")</f>
        <v>virayo.com</v>
      </c>
      <c r="D553" s="15" t="str">
        <f>IFERROR(__xludf.DUMMYFUNCTION("""COMPUTED_VALUE"""),"LISTICLE")</f>
        <v>LISTICLE</v>
      </c>
      <c r="E553" s="15" t="str">
        <f>IFERROR(__xludf.DUMMYFUNCTION("""COMPUTED_VALUE"""),"CORPORATE")</f>
        <v>CORPORATE</v>
      </c>
      <c r="F553" s="15" t="str">
        <f>IFERROR(__xludf.DUMMYFUNCTION("""COMPUTED_VALUE"""),"Listicle")</f>
        <v>Listicle</v>
      </c>
      <c r="G553" s="15" t="b">
        <f>IFERROR(__xludf.DUMMYFUNCTION("""COMPUTED_VALUE"""),FALSE)</f>
        <v>0</v>
      </c>
      <c r="H553" s="15" t="str">
        <f>IFERROR(__xludf.DUMMYFUNCTION("""COMPUTED_VALUE"""),"Siege Media, Directive Consulting, WebFX")</f>
        <v>Siege Media, Directive Consulting, WebFX</v>
      </c>
      <c r="I553" s="15">
        <f>IFERROR(__xludf.DUMMYFUNCTION("""COMPUTED_VALUE"""),1.0)</f>
        <v>1</v>
      </c>
      <c r="J553" s="15">
        <f>IFERROR(__xludf.DUMMYFUNCTION("""COMPUTED_VALUE"""),0.0)</f>
        <v>0</v>
      </c>
      <c r="K553" s="15">
        <f>IFERROR(__xludf.DUMMYFUNCTION("""COMPUTED_VALUE"""),0.0)</f>
        <v>0</v>
      </c>
    </row>
    <row r="554" ht="15.75" customHeight="1">
      <c r="A554" s="14" t="str">
        <f>IFERROR(__xludf.DUMMYFUNCTION("""COMPUTED_VALUE"""),"https://visionone.co.uk/news/top-market-research-companies-in-the-uk-2026/")</f>
        <v>https://visionone.co.uk/news/top-market-research-companies-in-the-uk-2026/</v>
      </c>
      <c r="B554" s="15" t="str">
        <f>IFERROR(__xludf.DUMMYFUNCTION("""COMPUTED_VALUE"""),"Top Market Research Companies In The UK For 2026 VIsion One")</f>
        <v>Top Market Research Companies In The UK For 2026 VIsion One</v>
      </c>
      <c r="C554" s="14" t="str">
        <f>IFERROR(__xludf.DUMMYFUNCTION("""COMPUTED_VALUE"""),"visionone.co.uk")</f>
        <v>visionone.co.uk</v>
      </c>
      <c r="D554" s="15" t="str">
        <f>IFERROR(__xludf.DUMMYFUNCTION("""COMPUTED_VALUE"""),"LISTICLE")</f>
        <v>LISTICLE</v>
      </c>
      <c r="E554" s="15" t="str">
        <f>IFERROR(__xludf.DUMMYFUNCTION("""COMPUTED_VALUE"""),"CORPORATE")</f>
        <v>CORPORATE</v>
      </c>
      <c r="F554" s="15" t="str">
        <f>IFERROR(__xludf.DUMMYFUNCTION("""COMPUTED_VALUE"""),"Listicle")</f>
        <v>Listicle</v>
      </c>
      <c r="G554" s="15" t="b">
        <f>IFERROR(__xludf.DUMMYFUNCTION("""COMPUTED_VALUE"""),FALSE)</f>
        <v>0</v>
      </c>
      <c r="H554" s="15" t="str">
        <f>IFERROR(__xludf.DUMMYFUNCTION("""COMPUTED_VALUE"""),"Kantar, YouGov, Momentum, WPP, Accenture Song, Omnicom, Merkle, Dentsu, Transmission")</f>
        <v>Kantar, YouGov, Momentum, WPP, Accenture Song, Omnicom, Merkle, Dentsu, Transmission</v>
      </c>
      <c r="I554" s="15">
        <f>IFERROR(__xludf.DUMMYFUNCTION("""COMPUTED_VALUE"""),1.0)</f>
        <v>1</v>
      </c>
      <c r="J554" s="15">
        <f>IFERROR(__xludf.DUMMYFUNCTION("""COMPUTED_VALUE"""),0.0)</f>
        <v>0</v>
      </c>
      <c r="K554" s="15">
        <f>IFERROR(__xludf.DUMMYFUNCTION("""COMPUTED_VALUE"""),0.0)</f>
        <v>0</v>
      </c>
    </row>
    <row r="555" ht="15.75" customHeight="1">
      <c r="A555" s="14" t="str">
        <f>IFERROR(__xludf.DUMMYFUNCTION("""COMPUTED_VALUE"""),"https://www.visuosofts.com/blog/top-digital-marketing-agencies-in-the-uk-2026-the-complete-comparison-guide")</f>
        <v>https://www.visuosofts.com/blog/top-digital-marketing-agencies-in-the-uk-2026-the-complete-comparison-guide</v>
      </c>
      <c r="B555" s="15" t="str">
        <f>IFERROR(__xludf.DUMMYFUNCTION("""COMPUTED_VALUE"""),"Top Digital Marketing Agencies in the UK 2026: The Complete Comparison Guide | Visuosofts Blog")</f>
        <v>Top Digital Marketing Agencies in the UK 2026: The Complete Comparison Guide | Visuosofts Blog</v>
      </c>
      <c r="C555" s="14" t="str">
        <f>IFERROR(__xludf.DUMMYFUNCTION("""COMPUTED_VALUE"""),"visuosofts.com")</f>
        <v>visuosofts.com</v>
      </c>
      <c r="D555" s="15" t="str">
        <f>IFERROR(__xludf.DUMMYFUNCTION("""COMPUTED_VALUE"""),"LISTICLE")</f>
        <v>LISTICLE</v>
      </c>
      <c r="E555" s="15" t="str">
        <f>IFERROR(__xludf.DUMMYFUNCTION("""COMPUTED_VALUE"""),"CORPORATE")</f>
        <v>CORPORATE</v>
      </c>
      <c r="F555" s="15" t="str">
        <f>IFERROR(__xludf.DUMMYFUNCTION("""COMPUTED_VALUE"""),"Listicle")</f>
        <v>Listicle</v>
      </c>
      <c r="G555" s="15" t="b">
        <f>IFERROR(__xludf.DUMMYFUNCTION("""COMPUTED_VALUE"""),FALSE)</f>
        <v>0</v>
      </c>
      <c r="H555" s="15" t="str">
        <f>IFERROR(__xludf.DUMMYFUNCTION("""COMPUTED_VALUE"""),"WebFX, Social Chain, Born Social, Passion Digital, Push, ClickSlice, Found")</f>
        <v>WebFX, Social Chain, Born Social, Passion Digital, Push, ClickSlice, Found</v>
      </c>
      <c r="I555" s="15">
        <f>IFERROR(__xludf.DUMMYFUNCTION("""COMPUTED_VALUE"""),1.0)</f>
        <v>1</v>
      </c>
      <c r="J555" s="15">
        <f>IFERROR(__xludf.DUMMYFUNCTION("""COMPUTED_VALUE"""),0.0)</f>
        <v>0</v>
      </c>
      <c r="K555" s="15">
        <f>IFERROR(__xludf.DUMMYFUNCTION("""COMPUTED_VALUE"""),0.0)</f>
        <v>0</v>
      </c>
    </row>
    <row r="556" ht="15.75" customHeight="1">
      <c r="A556" s="14" t="str">
        <f>IFERROR(__xludf.DUMMYFUNCTION("""COMPUTED_VALUE"""),"https://wamdigital.com/blog/top-5-creative-and-web-development-agencies-for-scalable-production-in-2026")</f>
        <v>https://wamdigital.com/blog/top-5-creative-and-web-development-agencies-for-scalable-production-in-2026</v>
      </c>
      <c r="B556" s="15" t="str">
        <f>IFERROR(__xludf.DUMMYFUNCTION("""COMPUTED_VALUE"""),"Top Creative &amp;amp; Web Development Agencies for Scalable Production in 2026")</f>
        <v>Top Creative &amp;amp; Web Development Agencies for Scalable Production in 2026</v>
      </c>
      <c r="C556" s="14" t="str">
        <f>IFERROR(__xludf.DUMMYFUNCTION("""COMPUTED_VALUE"""),"wamdigital.com")</f>
        <v>wamdigital.com</v>
      </c>
      <c r="D556" s="15" t="str">
        <f>IFERROR(__xludf.DUMMYFUNCTION("""COMPUTED_VALUE"""),"LISTICLE")</f>
        <v>LISTICLE</v>
      </c>
      <c r="E556" s="15" t="str">
        <f>IFERROR(__xludf.DUMMYFUNCTION("""COMPUTED_VALUE"""),"CORPORATE")</f>
        <v>CORPORATE</v>
      </c>
      <c r="F556" s="15" t="str">
        <f>IFERROR(__xludf.DUMMYFUNCTION("""COMPUTED_VALUE"""),"Listicle")</f>
        <v>Listicle</v>
      </c>
      <c r="G556" s="15" t="b">
        <f>IFERROR(__xludf.DUMMYFUNCTION("""COMPUTED_VALUE"""),FALSE)</f>
        <v>0</v>
      </c>
      <c r="H556" s="15" t="str">
        <f>IFERROR(__xludf.DUMMYFUNCTION("""COMPUTED_VALUE"""),"Superside, Dept")</f>
        <v>Superside, Dept</v>
      </c>
      <c r="I556" s="15">
        <f>IFERROR(__xludf.DUMMYFUNCTION("""COMPUTED_VALUE"""),1.0)</f>
        <v>1</v>
      </c>
      <c r="J556" s="15">
        <f>IFERROR(__xludf.DUMMYFUNCTION("""COMPUTED_VALUE"""),0.0)</f>
        <v>0</v>
      </c>
      <c r="K556" s="15">
        <f>IFERROR(__xludf.DUMMYFUNCTION("""COMPUTED_VALUE"""),1.0)</f>
        <v>1</v>
      </c>
    </row>
    <row r="557" ht="15.75" customHeight="1">
      <c r="A557" s="14" t="str">
        <f>IFERROR(__xludf.DUMMYFUNCTION("""COMPUTED_VALUE"""),"https://www.weareamnet.com/blog/choosing-the-right-creative-production-agency/")</f>
        <v>https://www.weareamnet.com/blog/choosing-the-right-creative-production-agency/</v>
      </c>
      <c r="B557" s="15" t="str">
        <f>IFERROR(__xludf.DUMMYFUNCTION("""COMPUTED_VALUE"""),"Choosing the Right Creative Production Agency: Key Tips")</f>
        <v>Choosing the Right Creative Production Agency: Key Tips</v>
      </c>
      <c r="C557" s="14" t="str">
        <f>IFERROR(__xludf.DUMMYFUNCTION("""COMPUTED_VALUE"""),"weareamnet.com")</f>
        <v>weareamnet.com</v>
      </c>
      <c r="D557" s="15" t="str">
        <f>IFERROR(__xludf.DUMMYFUNCTION("""COMPUTED_VALUE"""),"LISTICLE")</f>
        <v>LISTICLE</v>
      </c>
      <c r="E557" s="15" t="str">
        <f>IFERROR(__xludf.DUMMYFUNCTION("""COMPUTED_VALUE"""),"CORPORATE")</f>
        <v>CORPORATE</v>
      </c>
      <c r="F557" s="15" t="str">
        <f>IFERROR(__xludf.DUMMYFUNCTION("""COMPUTED_VALUE"""),"Listicle")</f>
        <v>Listicle</v>
      </c>
      <c r="G557" s="15" t="b">
        <f>IFERROR(__xludf.DUMMYFUNCTION("""COMPUTED_VALUE"""),FALSE)</f>
        <v>0</v>
      </c>
      <c r="H557" s="15"/>
      <c r="I557" s="15">
        <f>IFERROR(__xludf.DUMMYFUNCTION("""COMPUTED_VALUE"""),1.0)</f>
        <v>1</v>
      </c>
      <c r="J557" s="15">
        <f>IFERROR(__xludf.DUMMYFUNCTION("""COMPUTED_VALUE"""),0.0)</f>
        <v>0</v>
      </c>
      <c r="K557" s="15">
        <f>IFERROR(__xludf.DUMMYFUNCTION("""COMPUTED_VALUE"""),0.0)</f>
        <v>0</v>
      </c>
    </row>
    <row r="558" ht="15.75" customHeight="1">
      <c r="A558" s="14" t="str">
        <f>IFERROR(__xludf.DUMMYFUNCTION("""COMPUTED_VALUE"""),"https://www.weareqry.com/blog/best-paid-media-agencies")</f>
        <v>https://www.weareqry.com/blog/best-paid-media-agencies</v>
      </c>
      <c r="B558" s="15" t="str">
        <f>IFERROR(__xludf.DUMMYFUNCTION("""COMPUTED_VALUE"""),"Best Paid Media Agencies for 2026 | QRY")</f>
        <v>Best Paid Media Agencies for 2026 | QRY</v>
      </c>
      <c r="C558" s="14" t="str">
        <f>IFERROR(__xludf.DUMMYFUNCTION("""COMPUTED_VALUE"""),"weareqry.com")</f>
        <v>weareqry.com</v>
      </c>
      <c r="D558" s="15" t="str">
        <f>IFERROR(__xludf.DUMMYFUNCTION("""COMPUTED_VALUE"""),"LISTICLE")</f>
        <v>LISTICLE</v>
      </c>
      <c r="E558" s="15" t="str">
        <f>IFERROR(__xludf.DUMMYFUNCTION("""COMPUTED_VALUE"""),"CORPORATE")</f>
        <v>CORPORATE</v>
      </c>
      <c r="F558" s="15" t="str">
        <f>IFERROR(__xludf.DUMMYFUNCTION("""COMPUTED_VALUE"""),"Listicle")</f>
        <v>Listicle</v>
      </c>
      <c r="G558" s="15" t="b">
        <f>IFERROR(__xludf.DUMMYFUNCTION("""COMPUTED_VALUE"""),FALSE)</f>
        <v>0</v>
      </c>
      <c r="H558" s="15" t="str">
        <f>IFERROR(__xludf.DUMMYFUNCTION("""COMPUTED_VALUE"""),"Wpromote, Polaris, Power Digital, WebFX, Single Grain, Omnicom, Disrupt Marketing, Tinuiti")</f>
        <v>Wpromote, Polaris, Power Digital, WebFX, Single Grain, Omnicom, Disrupt Marketing, Tinuiti</v>
      </c>
      <c r="I558" s="15">
        <f>IFERROR(__xludf.DUMMYFUNCTION("""COMPUTED_VALUE"""),1.0)</f>
        <v>1</v>
      </c>
      <c r="J558" s="15">
        <f>IFERROR(__xludf.DUMMYFUNCTION("""COMPUTED_VALUE"""),0.0)</f>
        <v>0</v>
      </c>
      <c r="K558" s="15">
        <f>IFERROR(__xludf.DUMMYFUNCTION("""COMPUTED_VALUE"""),4.0)</f>
        <v>4</v>
      </c>
    </row>
    <row r="559" ht="15.75" customHeight="1">
      <c r="A559" s="14" t="str">
        <f>IFERROR(__xludf.DUMMYFUNCTION("""COMPUTED_VALUE"""),"https://webdesignreviews.co.uk/news/best-web-design-agencies-london/")</f>
        <v>https://webdesignreviews.co.uk/news/best-web-design-agencies-london/</v>
      </c>
      <c r="B559" s="15" t="str">
        <f>IFERROR(__xludf.DUMMYFUNCTION("""COMPUTED_VALUE"""),"15 Best Web Design Agencies in London (2026) — Web Design Reviews")</f>
        <v>15 Best Web Design Agencies in London (2026) — Web Design Reviews</v>
      </c>
      <c r="C559" s="14" t="str">
        <f>IFERROR(__xludf.DUMMYFUNCTION("""COMPUTED_VALUE"""),"webdesignreviews.co.uk")</f>
        <v>webdesignreviews.co.uk</v>
      </c>
      <c r="D559" s="15" t="str">
        <f>IFERROR(__xludf.DUMMYFUNCTION("""COMPUTED_VALUE"""),"LISTICLE")</f>
        <v>LISTICLE</v>
      </c>
      <c r="E559" s="15" t="str">
        <f>IFERROR(__xludf.DUMMYFUNCTION("""COMPUTED_VALUE"""),"REFERENCE")</f>
        <v>REFERENCE</v>
      </c>
      <c r="F559" s="15" t="str">
        <f>IFERROR(__xludf.DUMMYFUNCTION("""COMPUTED_VALUE"""),"Listicle")</f>
        <v>Listicle</v>
      </c>
      <c r="G559" s="15" t="b">
        <f>IFERROR(__xludf.DUMMYFUNCTION("""COMPUTED_VALUE"""),FALSE)</f>
        <v>0</v>
      </c>
      <c r="H559" s="15" t="str">
        <f>IFERROR(__xludf.DUMMYFUNCTION("""COMPUTED_VALUE"""),"AKQA, WPP, Bird Marketing, Ninja Promo")</f>
        <v>AKQA, WPP, Bird Marketing, Ninja Promo</v>
      </c>
      <c r="I559" s="15">
        <f>IFERROR(__xludf.DUMMYFUNCTION("""COMPUTED_VALUE"""),1.0)</f>
        <v>1</v>
      </c>
      <c r="J559" s="15">
        <f>IFERROR(__xludf.DUMMYFUNCTION("""COMPUTED_VALUE"""),0.0)</f>
        <v>0</v>
      </c>
      <c r="K559" s="15">
        <f>IFERROR(__xludf.DUMMYFUNCTION("""COMPUTED_VALUE"""),0.0)</f>
        <v>0</v>
      </c>
    </row>
    <row r="560" ht="15.75" customHeight="1">
      <c r="A560" s="14" t="str">
        <f>IFERROR(__xludf.DUMMYFUNCTION("""COMPUTED_VALUE"""),"https://www.webfx.com/blog/ai/best-geo-agencies/")</f>
        <v>https://www.webfx.com/blog/ai/best-geo-agencies/</v>
      </c>
      <c r="B560" s="15" t="str">
        <f>IFERROR(__xludf.DUMMYFUNCTION("""COMPUTED_VALUE"""),"The Best GEO Agencies for AI Visibility in 2026")</f>
        <v>The Best GEO Agencies for AI Visibility in 2026</v>
      </c>
      <c r="C560" s="14" t="str">
        <f>IFERROR(__xludf.DUMMYFUNCTION("""COMPUTED_VALUE"""),"webfx.com")</f>
        <v>webfx.com</v>
      </c>
      <c r="D560" s="15" t="str">
        <f>IFERROR(__xludf.DUMMYFUNCTION("""COMPUTED_VALUE"""),"LISTICLE")</f>
        <v>LISTICLE</v>
      </c>
      <c r="E560" s="15" t="str">
        <f>IFERROR(__xludf.DUMMYFUNCTION("""COMPUTED_VALUE"""),"COMPETITOR")</f>
        <v>COMPETITOR</v>
      </c>
      <c r="F560" s="15" t="str">
        <f>IFERROR(__xludf.DUMMYFUNCTION("""COMPUTED_VALUE"""),"Listicle")</f>
        <v>Listicle</v>
      </c>
      <c r="G560" s="15" t="b">
        <f>IFERROR(__xludf.DUMMYFUNCTION("""COMPUTED_VALUE"""),FALSE)</f>
        <v>0</v>
      </c>
      <c r="H560" s="15" t="str">
        <f>IFERROR(__xludf.DUMMYFUNCTION("""COMPUTED_VALUE"""),"WebFX, The SEO Works")</f>
        <v>WebFX, The SEO Works</v>
      </c>
      <c r="I560" s="15">
        <f>IFERROR(__xludf.DUMMYFUNCTION("""COMPUTED_VALUE"""),1.0)</f>
        <v>1</v>
      </c>
      <c r="J560" s="15">
        <f>IFERROR(__xludf.DUMMYFUNCTION("""COMPUTED_VALUE"""),0.0)</f>
        <v>0</v>
      </c>
      <c r="K560" s="15">
        <f>IFERROR(__xludf.DUMMYFUNCTION("""COMPUTED_VALUE"""),1.0)</f>
        <v>1</v>
      </c>
    </row>
    <row r="561" ht="15.75" customHeight="1">
      <c r="A561" s="14" t="str">
        <f>IFERROR(__xludf.DUMMYFUNCTION("""COMPUTED_VALUE"""),"https://www.webtonic.io/blog/top-creative-performance-agencies")</f>
        <v>https://www.webtonic.io/blog/top-creative-performance-agencies</v>
      </c>
      <c r="B561" s="15" t="str">
        <f>IFERROR(__xludf.DUMMYFUNCTION("""COMPUTED_VALUE"""),"37 Top Creative Performance Agencies for 2026")</f>
        <v>37 Top Creative Performance Agencies for 2026</v>
      </c>
      <c r="C561" s="14" t="str">
        <f>IFERROR(__xludf.DUMMYFUNCTION("""COMPUTED_VALUE"""),"webtonic.io")</f>
        <v>webtonic.io</v>
      </c>
      <c r="D561" s="15" t="str">
        <f>IFERROR(__xludf.DUMMYFUNCTION("""COMPUTED_VALUE"""),"LISTICLE")</f>
        <v>LISTICLE</v>
      </c>
      <c r="E561" s="15" t="str">
        <f>IFERROR(__xludf.DUMMYFUNCTION("""COMPUTED_VALUE"""),"CORPORATE")</f>
        <v>CORPORATE</v>
      </c>
      <c r="F561" s="15" t="str">
        <f>IFERROR(__xludf.DUMMYFUNCTION("""COMPUTED_VALUE"""),"Listicle")</f>
        <v>Listicle</v>
      </c>
      <c r="G561" s="15" t="b">
        <f>IFERROR(__xludf.DUMMYFUNCTION("""COMPUTED_VALUE"""),FALSE)</f>
        <v>0</v>
      </c>
      <c r="H561" s="15" t="str">
        <f>IFERROR(__xludf.DUMMYFUNCTION("""COMPUTED_VALUE"""),"Tinuiti, Wpromote, WPP, Hawke Media, AKQA, Accenture Song, Superside, Impression")</f>
        <v>Tinuiti, Wpromote, WPP, Hawke Media, AKQA, Accenture Song, Superside, Impression</v>
      </c>
      <c r="I561" s="15">
        <f>IFERROR(__xludf.DUMMYFUNCTION("""COMPUTED_VALUE"""),1.0)</f>
        <v>1</v>
      </c>
      <c r="J561" s="15">
        <f>IFERROR(__xludf.DUMMYFUNCTION("""COMPUTED_VALUE"""),0.0)</f>
        <v>0</v>
      </c>
      <c r="K561" s="15">
        <f>IFERROR(__xludf.DUMMYFUNCTION("""COMPUTED_VALUE"""),4.0)</f>
        <v>4</v>
      </c>
    </row>
    <row r="562" ht="15.75" customHeight="1">
      <c r="A562" s="14" t="str">
        <f>IFERROR(__xludf.DUMMYFUNCTION("""COMPUTED_VALUE"""),"https://whito.co.uk/build/best-uk-resources-ai-search-visibility-aeo/")</f>
        <v>https://whito.co.uk/build/best-uk-resources-ai-search-visibility-aeo/</v>
      </c>
      <c r="B562" s="15" t="str">
        <f>IFERROR(__xludf.DUMMYFUNCTION("""COMPUTED_VALUE"""),"Best UK Resources for AI Search Visibility (AEO/GEO) 2026")</f>
        <v>Best UK Resources for AI Search Visibility (AEO/GEO) 2026</v>
      </c>
      <c r="C562" s="14" t="str">
        <f>IFERROR(__xludf.DUMMYFUNCTION("""COMPUTED_VALUE"""),"whito.co.uk")</f>
        <v>whito.co.uk</v>
      </c>
      <c r="D562" s="15" t="str">
        <f>IFERROR(__xludf.DUMMYFUNCTION("""COMPUTED_VALUE"""),"LISTICLE")</f>
        <v>LISTICLE</v>
      </c>
      <c r="E562" s="15" t="str">
        <f>IFERROR(__xludf.DUMMYFUNCTION("""COMPUTED_VALUE"""),"CORPORATE")</f>
        <v>CORPORATE</v>
      </c>
      <c r="F562" s="15" t="str">
        <f>IFERROR(__xludf.DUMMYFUNCTION("""COMPUTED_VALUE"""),"Listicle")</f>
        <v>Listicle</v>
      </c>
      <c r="G562" s="15" t="b">
        <f>IFERROR(__xludf.DUMMYFUNCTION("""COMPUTED_VALUE"""),FALSE)</f>
        <v>0</v>
      </c>
      <c r="H562" s="15" t="str">
        <f>IFERROR(__xludf.DUMMYFUNCTION("""COMPUTED_VALUE"""),"Found, Tilio, Whitehat, Measured")</f>
        <v>Found, Tilio, Whitehat, Measured</v>
      </c>
      <c r="I562" s="15">
        <f>IFERROR(__xludf.DUMMYFUNCTION("""COMPUTED_VALUE"""),1.0)</f>
        <v>1</v>
      </c>
      <c r="J562" s="15">
        <f>IFERROR(__xludf.DUMMYFUNCTION("""COMPUTED_VALUE"""),0.0)</f>
        <v>0</v>
      </c>
      <c r="K562" s="15">
        <f>IFERROR(__xludf.DUMMYFUNCTION("""COMPUTED_VALUE"""),2.0)</f>
        <v>2</v>
      </c>
    </row>
    <row r="563" ht="15.75" customHeight="1">
      <c r="A563" s="14" t="str">
        <f>IFERROR(__xludf.DUMMYFUNCTION("""COMPUTED_VALUE"""),"https://wifitalents.com/service/ai-adoption/")</f>
        <v>https://wifitalents.com/service/ai-adoption/</v>
      </c>
      <c r="B563" s="15" t="str">
        <f>IFERROR(__xludf.DUMMYFUNCTION("""COMPUTED_VALUE"""),"Top AI Adoption Services (2026)")</f>
        <v>Top AI Adoption Services (2026)</v>
      </c>
      <c r="C563" s="14" t="str">
        <f>IFERROR(__xludf.DUMMYFUNCTION("""COMPUTED_VALUE"""),"wifitalents.com")</f>
        <v>wifitalents.com</v>
      </c>
      <c r="D563" s="15" t="str">
        <f>IFERROR(__xludf.DUMMYFUNCTION("""COMPUTED_VALUE"""),"LISTICLE")</f>
        <v>LISTICLE</v>
      </c>
      <c r="E563" s="15" t="str">
        <f>IFERROR(__xludf.DUMMYFUNCTION("""COMPUTED_VALUE"""),"REFERENCE")</f>
        <v>REFERENCE</v>
      </c>
      <c r="F563" s="15" t="str">
        <f>IFERROR(__xludf.DUMMYFUNCTION("""COMPUTED_VALUE"""),"Listicle")</f>
        <v>Listicle</v>
      </c>
      <c r="G563" s="15" t="b">
        <f>IFERROR(__xludf.DUMMYFUNCTION("""COMPUTED_VALUE"""),FALSE)</f>
        <v>0</v>
      </c>
      <c r="H563" s="15" t="str">
        <f>IFERROR(__xludf.DUMMYFUNCTION("""COMPUTED_VALUE"""),"PwC, Momentum")</f>
        <v>PwC, Momentum</v>
      </c>
      <c r="I563" s="15">
        <f>IFERROR(__xludf.DUMMYFUNCTION("""COMPUTED_VALUE"""),1.0)</f>
        <v>1</v>
      </c>
      <c r="J563" s="15">
        <f>IFERROR(__xludf.DUMMYFUNCTION("""COMPUTED_VALUE"""),0.0)</f>
        <v>0</v>
      </c>
      <c r="K563" s="15">
        <f>IFERROR(__xludf.DUMMYFUNCTION("""COMPUTED_VALUE"""),3.0)</f>
        <v>3</v>
      </c>
    </row>
    <row r="564" ht="15.75" customHeight="1">
      <c r="A564" s="14" t="str">
        <f>IFERROR(__xludf.DUMMYFUNCTION("""COMPUTED_VALUE"""),"https://worldmetrics.org/service/ai-adoption/")</f>
        <v>https://worldmetrics.org/service/ai-adoption/</v>
      </c>
      <c r="B564" s="15" t="str">
        <f>IFERROR(__xludf.DUMMYFUNCTION("""COMPUTED_VALUE"""),"Top 10 Best AI Adoption Services | 2026 Expert Picks")</f>
        <v>Top 10 Best AI Adoption Services | 2026 Expert Picks</v>
      </c>
      <c r="C564" s="14" t="str">
        <f>IFERROR(__xludf.DUMMYFUNCTION("""COMPUTED_VALUE"""),"worldmetrics.org")</f>
        <v>worldmetrics.org</v>
      </c>
      <c r="D564" s="15" t="str">
        <f>IFERROR(__xludf.DUMMYFUNCTION("""COMPUTED_VALUE"""),"LISTICLE")</f>
        <v>LISTICLE</v>
      </c>
      <c r="E564" s="15" t="str">
        <f>IFERROR(__xludf.DUMMYFUNCTION("""COMPUTED_VALUE"""),"REFERENCE")</f>
        <v>REFERENCE</v>
      </c>
      <c r="F564" s="15" t="str">
        <f>IFERROR(__xludf.DUMMYFUNCTION("""COMPUTED_VALUE"""),"Listicle")</f>
        <v>Listicle</v>
      </c>
      <c r="G564" s="15" t="b">
        <f>IFERROR(__xludf.DUMMYFUNCTION("""COMPUTED_VALUE"""),FALSE)</f>
        <v>0</v>
      </c>
      <c r="H564" s="15" t="str">
        <f>IFERROR(__xludf.DUMMYFUNCTION("""COMPUTED_VALUE"""),"PwC, EY, Momentum")</f>
        <v>PwC, EY, Momentum</v>
      </c>
      <c r="I564" s="15">
        <f>IFERROR(__xludf.DUMMYFUNCTION("""COMPUTED_VALUE"""),1.0)</f>
        <v>1</v>
      </c>
      <c r="J564" s="15">
        <f>IFERROR(__xludf.DUMMYFUNCTION("""COMPUTED_VALUE"""),0.0)</f>
        <v>0</v>
      </c>
      <c r="K564" s="15">
        <f>IFERROR(__xludf.DUMMYFUNCTION("""COMPUTED_VALUE"""),0.0)</f>
        <v>0</v>
      </c>
    </row>
    <row r="565" ht="15.75" customHeight="1">
      <c r="A565" s="14" t="str">
        <f>IFERROR(__xludf.DUMMYFUNCTION("""COMPUTED_VALUE"""),"https://worldmetrics.org/service/data-marketing/")</f>
        <v>https://worldmetrics.org/service/data-marketing/</v>
      </c>
      <c r="B565" s="15" t="str">
        <f>IFERROR(__xludf.DUMMYFUNCTION("""COMPUTED_VALUE"""),"Best Data Marketing Services (2026)")</f>
        <v>Best Data Marketing Services (2026)</v>
      </c>
      <c r="C565" s="14" t="str">
        <f>IFERROR(__xludf.DUMMYFUNCTION("""COMPUTED_VALUE"""),"worldmetrics.org")</f>
        <v>worldmetrics.org</v>
      </c>
      <c r="D565" s="15" t="str">
        <f>IFERROR(__xludf.DUMMYFUNCTION("""COMPUTED_VALUE"""),"LISTICLE")</f>
        <v>LISTICLE</v>
      </c>
      <c r="E565" s="15" t="str">
        <f>IFERROR(__xludf.DUMMYFUNCTION("""COMPUTED_VALUE"""),"REFERENCE")</f>
        <v>REFERENCE</v>
      </c>
      <c r="F565" s="15" t="str">
        <f>IFERROR(__xludf.DUMMYFUNCTION("""COMPUTED_VALUE"""),"Listicle")</f>
        <v>Listicle</v>
      </c>
      <c r="G565" s="15" t="b">
        <f>IFERROR(__xludf.DUMMYFUNCTION("""COMPUTED_VALUE"""),FALSE)</f>
        <v>0</v>
      </c>
      <c r="H565" s="15" t="str">
        <f>IFERROR(__xludf.DUMMYFUNCTION("""COMPUTED_VALUE"""),"Merkle, Dentsu, Publicis Groupe, WPP, EY, Kantar")</f>
        <v>Merkle, Dentsu, Publicis Groupe, WPP, EY, Kantar</v>
      </c>
      <c r="I565" s="15">
        <f>IFERROR(__xludf.DUMMYFUNCTION("""COMPUTED_VALUE"""),1.0)</f>
        <v>1</v>
      </c>
      <c r="J565" s="15">
        <f>IFERROR(__xludf.DUMMYFUNCTION("""COMPUTED_VALUE"""),0.0)</f>
        <v>0</v>
      </c>
      <c r="K565" s="15">
        <f>IFERROR(__xludf.DUMMYFUNCTION("""COMPUTED_VALUE"""),2.0)</f>
        <v>2</v>
      </c>
    </row>
    <row r="566" ht="15.75" customHeight="1">
      <c r="A566" s="14" t="str">
        <f>IFERROR(__xludf.DUMMYFUNCTION("""COMPUTED_VALUE"""),"https://xchange.avixa.org/posts/top-hire-ecommerce-developers-in-uk-2026")</f>
        <v>https://xchange.avixa.org/posts/top-hire-ecommerce-developers-in-uk-2026</v>
      </c>
      <c r="B566" s="15" t="str">
        <f>IFERROR(__xludf.DUMMYFUNCTION("""COMPUTED_VALUE"""),"Top Hire Ecommerce Developers in UK (2026) | AVIXA Xchange")</f>
        <v>Top Hire Ecommerce Developers in UK (2026) | AVIXA Xchange</v>
      </c>
      <c r="C566" s="14" t="str">
        <f>IFERROR(__xludf.DUMMYFUNCTION("""COMPUTED_VALUE"""),"avixa.org")</f>
        <v>avixa.org</v>
      </c>
      <c r="D566" s="15" t="str">
        <f>IFERROR(__xludf.DUMMYFUNCTION("""COMPUTED_VALUE"""),"LISTICLE")</f>
        <v>LISTICLE</v>
      </c>
      <c r="E566" s="15" t="str">
        <f>IFERROR(__xludf.DUMMYFUNCTION("""COMPUTED_VALUE"""),"INSTITUTIONAL")</f>
        <v>INSTITUTIONAL</v>
      </c>
      <c r="F566" s="15" t="str">
        <f>IFERROR(__xludf.DUMMYFUNCTION("""COMPUTED_VALUE"""),"Listicle")</f>
        <v>Listicle</v>
      </c>
      <c r="G566" s="15" t="b">
        <f>IFERROR(__xludf.DUMMYFUNCTION("""COMPUTED_VALUE"""),FALSE)</f>
        <v>0</v>
      </c>
      <c r="H566" s="15"/>
      <c r="I566" s="15">
        <f>IFERROR(__xludf.DUMMYFUNCTION("""COMPUTED_VALUE"""),1.0)</f>
        <v>1</v>
      </c>
      <c r="J566" s="15">
        <f>IFERROR(__xludf.DUMMYFUNCTION("""COMPUTED_VALUE"""),0.0)</f>
        <v>0</v>
      </c>
      <c r="K566" s="15">
        <f>IFERROR(__xludf.DUMMYFUNCTION("""COMPUTED_VALUE"""),1.0)</f>
        <v>1</v>
      </c>
    </row>
    <row r="567" ht="15.75" customHeight="1">
      <c r="A567" s="14" t="str">
        <f>IFERROR(__xludf.DUMMYFUNCTION("""COMPUTED_VALUE"""),"https://www.yesoptimist.com/best-geo-agencies/")</f>
        <v>https://www.yesoptimist.com/best-geo-agencies/</v>
      </c>
      <c r="B567" s="15" t="str">
        <f>IFERROR(__xludf.DUMMYFUNCTION("""COMPUTED_VALUE"""),"The 7 Best GEO Agencies Driving Real Revenue from AI in 2026 | Optimist")</f>
        <v>The 7 Best GEO Agencies Driving Real Revenue from AI in 2026 | Optimist</v>
      </c>
      <c r="C567" s="14" t="str">
        <f>IFERROR(__xludf.DUMMYFUNCTION("""COMPUTED_VALUE"""),"yesoptimist.com")</f>
        <v>yesoptimist.com</v>
      </c>
      <c r="D567" s="15" t="str">
        <f>IFERROR(__xludf.DUMMYFUNCTION("""COMPUTED_VALUE"""),"LISTICLE")</f>
        <v>LISTICLE</v>
      </c>
      <c r="E567" s="15" t="str">
        <f>IFERROR(__xludf.DUMMYFUNCTION("""COMPUTED_VALUE"""),"EDITORIAL")</f>
        <v>EDITORIAL</v>
      </c>
      <c r="F567" s="15" t="str">
        <f>IFERROR(__xludf.DUMMYFUNCTION("""COMPUTED_VALUE"""),"Listicle")</f>
        <v>Listicle</v>
      </c>
      <c r="G567" s="15" t="b">
        <f>IFERROR(__xludf.DUMMYFUNCTION("""COMPUTED_VALUE"""),FALSE)</f>
        <v>0</v>
      </c>
      <c r="H567" s="15" t="str">
        <f>IFERROR(__xludf.DUMMYFUNCTION("""COMPUTED_VALUE"""),"Found, Measured, Siege Media, Omniscient Digital")</f>
        <v>Found, Measured, Siege Media, Omniscient Digital</v>
      </c>
      <c r="I567" s="15">
        <f>IFERROR(__xludf.DUMMYFUNCTION("""COMPUTED_VALUE"""),1.0)</f>
        <v>1</v>
      </c>
      <c r="J567" s="15">
        <f>IFERROR(__xludf.DUMMYFUNCTION("""COMPUTED_VALUE"""),0.0)</f>
        <v>0</v>
      </c>
      <c r="K567" s="15">
        <f>IFERROR(__xludf.DUMMYFUNCTION("""COMPUTED_VALUE"""),1.0)</f>
        <v>1</v>
      </c>
    </row>
    <row r="568" ht="15.75" customHeight="1">
      <c r="A568" s="14" t="str">
        <f>IFERROR(__xludf.DUMMYFUNCTION("""COMPUTED_VALUE"""),"https://www.youtube.com/watch?v=OR58Odpst7Q")</f>
        <v>https://www.youtube.com/watch?v=OR58Odpst7Q</v>
      </c>
      <c r="B568" s="15" t="str">
        <f>IFERROR(__xludf.DUMMYFUNCTION("""COMPUTED_VALUE"""),"Top 12 Digital Marketing Agencies to Hire in 2026")</f>
        <v>Top 12 Digital Marketing Agencies to Hire in 2026</v>
      </c>
      <c r="C568" s="14" t="str">
        <f>IFERROR(__xludf.DUMMYFUNCTION("""COMPUTED_VALUE"""),"youtube.com")</f>
        <v>youtube.com</v>
      </c>
      <c r="D568" s="15" t="str">
        <f>IFERROR(__xludf.DUMMYFUNCTION("""COMPUTED_VALUE"""),"LISTICLE")</f>
        <v>LISTICLE</v>
      </c>
      <c r="E568" s="15" t="str">
        <f>IFERROR(__xludf.DUMMYFUNCTION("""COMPUTED_VALUE"""),"UGC")</f>
        <v>UGC</v>
      </c>
      <c r="F568" s="15" t="str">
        <f>IFERROR(__xludf.DUMMYFUNCTION("""COMPUTED_VALUE"""),"Listicle")</f>
        <v>Listicle</v>
      </c>
      <c r="G568" s="15" t="b">
        <f>IFERROR(__xludf.DUMMYFUNCTION("""COMPUTED_VALUE"""),FALSE)</f>
        <v>0</v>
      </c>
      <c r="H568" s="15" t="str">
        <f>IFERROR(__xludf.DUMMYFUNCTION("""COMPUTED_VALUE"""),"Disruptive Advertising")</f>
        <v>Disruptive Advertising</v>
      </c>
      <c r="I568" s="15">
        <f>IFERROR(__xludf.DUMMYFUNCTION("""COMPUTED_VALUE"""),1.0)</f>
        <v>1</v>
      </c>
      <c r="J568" s="15">
        <f>IFERROR(__xludf.DUMMYFUNCTION("""COMPUTED_VALUE"""),0.0)</f>
        <v>0</v>
      </c>
      <c r="K568" s="15">
        <f>IFERROR(__xludf.DUMMYFUNCTION("""COMPUTED_VALUE"""),1.0)</f>
        <v>1</v>
      </c>
    </row>
    <row r="569" ht="15.75" customHeight="1">
      <c r="A569" s="14" t="str">
        <f>IFERROR(__xludf.DUMMYFUNCTION("""COMPUTED_VALUE"""),"https://www.youtube.com/watch?v=wfXrhCjh9mA")</f>
        <v>https://www.youtube.com/watch?v=wfXrhCjh9mA</v>
      </c>
      <c r="B569" s="15" t="str">
        <f>IFERROR(__xludf.DUMMYFUNCTION("""COMPUTED_VALUE"""),"Top AI SEO Agencies in the UK now ‑ 3i SEO")</f>
        <v>Top AI SEO Agencies in the UK now ‑ 3i SEO</v>
      </c>
      <c r="C569" s="14" t="str">
        <f>IFERROR(__xludf.DUMMYFUNCTION("""COMPUTED_VALUE"""),"youtube.com")</f>
        <v>youtube.com</v>
      </c>
      <c r="D569" s="15" t="str">
        <f>IFERROR(__xludf.DUMMYFUNCTION("""COMPUTED_VALUE"""),"LISTICLE")</f>
        <v>LISTICLE</v>
      </c>
      <c r="E569" s="15" t="str">
        <f>IFERROR(__xludf.DUMMYFUNCTION("""COMPUTED_VALUE"""),"UGC")</f>
        <v>UGC</v>
      </c>
      <c r="F569" s="15" t="str">
        <f>IFERROR(__xludf.DUMMYFUNCTION("""COMPUTED_VALUE"""),"Listicle")</f>
        <v>Listicle</v>
      </c>
      <c r="G569" s="15" t="b">
        <f>IFERROR(__xludf.DUMMYFUNCTION("""COMPUTED_VALUE"""),FALSE)</f>
        <v>0</v>
      </c>
      <c r="H569" s="15" t="str">
        <f>IFERROR(__xludf.DUMMYFUNCTION("""COMPUTED_VALUE"""),"Rank4AI, ClickSlice, Found, Varn")</f>
        <v>Rank4AI, ClickSlice, Found, Varn</v>
      </c>
      <c r="I569" s="15">
        <f>IFERROR(__xludf.DUMMYFUNCTION("""COMPUTED_VALUE"""),1.0)</f>
        <v>1</v>
      </c>
      <c r="J569" s="15">
        <f>IFERROR(__xludf.DUMMYFUNCTION("""COMPUTED_VALUE"""),0.0)</f>
        <v>0</v>
      </c>
      <c r="K569" s="15">
        <f>IFERROR(__xludf.DUMMYFUNCTION("""COMPUTED_VALUE"""),1.0)</f>
        <v>1</v>
      </c>
    </row>
    <row r="570" ht="15.75" customHeight="1">
      <c r="A570" s="14" t="str">
        <f>IFERROR(__xludf.DUMMYFUNCTION("""COMPUTED_VALUE"""),"https://zipdo.co/service/creative-advertising/")</f>
        <v>https://zipdo.co/service/creative-advertising/</v>
      </c>
      <c r="B570" s="15" t="str">
        <f>IFERROR(__xludf.DUMMYFUNCTION("""COMPUTED_VALUE"""),"Top 10 Best Creative Advertising Services | Tested in 2026")</f>
        <v>Top 10 Best Creative Advertising Services | Tested in 2026</v>
      </c>
      <c r="C570" s="14" t="str">
        <f>IFERROR(__xludf.DUMMYFUNCTION("""COMPUTED_VALUE"""),"zipdo.co")</f>
        <v>zipdo.co</v>
      </c>
      <c r="D570" s="15" t="str">
        <f>IFERROR(__xludf.DUMMYFUNCTION("""COMPUTED_VALUE"""),"LISTICLE")</f>
        <v>LISTICLE</v>
      </c>
      <c r="E570" s="15" t="str">
        <f>IFERROR(__xludf.DUMMYFUNCTION("""COMPUTED_VALUE"""),"REFERENCE")</f>
        <v>REFERENCE</v>
      </c>
      <c r="F570" s="15" t="str">
        <f>IFERROR(__xludf.DUMMYFUNCTION("""COMPUTED_VALUE"""),"Listicle")</f>
        <v>Listicle</v>
      </c>
      <c r="G570" s="15" t="b">
        <f>IFERROR(__xludf.DUMMYFUNCTION("""COMPUTED_VALUE"""),FALSE)</f>
        <v>0</v>
      </c>
      <c r="H570" s="15" t="str">
        <f>IFERROR(__xludf.DUMMYFUNCTION("""COMPUTED_VALUE"""),"WPP, Ogilvy, Publicis Groupe, GA Agency, AKQA")</f>
        <v>WPP, Ogilvy, Publicis Groupe, GA Agency, AKQA</v>
      </c>
      <c r="I570" s="15">
        <f>IFERROR(__xludf.DUMMYFUNCTION("""COMPUTED_VALUE"""),1.0)</f>
        <v>1</v>
      </c>
      <c r="J570" s="15">
        <f>IFERROR(__xludf.DUMMYFUNCTION("""COMPUTED_VALUE"""),0.0)</f>
        <v>0</v>
      </c>
      <c r="K570" s="15">
        <f>IFERROR(__xludf.DUMMYFUNCTION("""COMPUTED_VALUE"""),0.0)</f>
        <v>0</v>
      </c>
    </row>
    <row r="571" ht="15.75" customHeight="1">
      <c r="A571" s="14" t="str">
        <f>IFERROR(__xludf.DUMMYFUNCTION("""COMPUTED_VALUE"""),"https://zipdo.co/service/customer-data-platform/")</f>
        <v>https://zipdo.co/service/customer-data-platform/</v>
      </c>
      <c r="B571" s="15" t="str">
        <f>IFERROR(__xludf.DUMMYFUNCTION("""COMPUTED_VALUE"""),"Best Customer Data Platform Services (2026)")</f>
        <v>Best Customer Data Platform Services (2026)</v>
      </c>
      <c r="C571" s="14" t="str">
        <f>IFERROR(__xludf.DUMMYFUNCTION("""COMPUTED_VALUE"""),"zipdo.co")</f>
        <v>zipdo.co</v>
      </c>
      <c r="D571" s="15" t="str">
        <f>IFERROR(__xludf.DUMMYFUNCTION("""COMPUTED_VALUE"""),"LISTICLE")</f>
        <v>LISTICLE</v>
      </c>
      <c r="E571" s="15" t="str">
        <f>IFERROR(__xludf.DUMMYFUNCTION("""COMPUTED_VALUE"""),"REFERENCE")</f>
        <v>REFERENCE</v>
      </c>
      <c r="F571" s="15" t="str">
        <f>IFERROR(__xludf.DUMMYFUNCTION("""COMPUTED_VALUE"""),"Listicle")</f>
        <v>Listicle</v>
      </c>
      <c r="G571" s="15" t="b">
        <f>IFERROR(__xludf.DUMMYFUNCTION("""COMPUTED_VALUE"""),FALSE)</f>
        <v>0</v>
      </c>
      <c r="H571" s="15" t="str">
        <f>IFERROR(__xludf.DUMMYFUNCTION("""COMPUTED_VALUE"""),"PwC, WPP, Publicis Groupe")</f>
        <v>PwC, WPP, Publicis Groupe</v>
      </c>
      <c r="I571" s="15">
        <f>IFERROR(__xludf.DUMMYFUNCTION("""COMPUTED_VALUE"""),1.0)</f>
        <v>1</v>
      </c>
      <c r="J571" s="15">
        <f>IFERROR(__xludf.DUMMYFUNCTION("""COMPUTED_VALUE"""),0.0)</f>
        <v>0</v>
      </c>
      <c r="K571" s="15">
        <f>IFERROR(__xludf.DUMMYFUNCTION("""COMPUTED_VALUE"""),0.0)</f>
        <v>0</v>
      </c>
    </row>
    <row r="572" ht="15.75" customHeight="1">
      <c r="A572" s="14" t="str">
        <f>IFERROR(__xludf.DUMMYFUNCTION("""COMPUTED_VALUE"""),"https://zipdo.co/service/first-party-data/")</f>
        <v>https://zipdo.co/service/first-party-data/</v>
      </c>
      <c r="B572" s="15" t="str">
        <f>IFERROR(__xludf.DUMMYFUNCTION("""COMPUTED_VALUE"""),"First Party Data Services: Best Picks (2026)")</f>
        <v>First Party Data Services: Best Picks (2026)</v>
      </c>
      <c r="C572" s="14" t="str">
        <f>IFERROR(__xludf.DUMMYFUNCTION("""COMPUTED_VALUE"""),"zipdo.co")</f>
        <v>zipdo.co</v>
      </c>
      <c r="D572" s="15" t="str">
        <f>IFERROR(__xludf.DUMMYFUNCTION("""COMPUTED_VALUE"""),"LISTICLE")</f>
        <v>LISTICLE</v>
      </c>
      <c r="E572" s="15" t="str">
        <f>IFERROR(__xludf.DUMMYFUNCTION("""COMPUTED_VALUE"""),"REFERENCE")</f>
        <v>REFERENCE</v>
      </c>
      <c r="F572" s="15" t="str">
        <f>IFERROR(__xludf.DUMMYFUNCTION("""COMPUTED_VALUE"""),"Listicle")</f>
        <v>Listicle</v>
      </c>
      <c r="G572" s="15" t="b">
        <f>IFERROR(__xludf.DUMMYFUNCTION("""COMPUTED_VALUE"""),FALSE)</f>
        <v>0</v>
      </c>
      <c r="H572" s="15" t="str">
        <f>IFERROR(__xludf.DUMMYFUNCTION("""COMPUTED_VALUE"""),"Merkle, Dentsu, Publicis Groupe, PwC, EY")</f>
        <v>Merkle, Dentsu, Publicis Groupe, PwC, EY</v>
      </c>
      <c r="I572" s="15">
        <f>IFERROR(__xludf.DUMMYFUNCTION("""COMPUTED_VALUE"""),1.0)</f>
        <v>1</v>
      </c>
      <c r="J572" s="15">
        <f>IFERROR(__xludf.DUMMYFUNCTION("""COMPUTED_VALUE"""),0.0)</f>
        <v>0</v>
      </c>
      <c r="K572" s="15">
        <f>IFERROR(__xludf.DUMMYFUNCTION("""COMPUTED_VALUE"""),4.0)</f>
        <v>4</v>
      </c>
    </row>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A6"/>
    <hyperlink r:id="rId8" location=":~:text=Rank,within%20one%20agile%20operating%20system." ref="A7"/>
    <hyperlink r:id="rId9" ref="A8"/>
    <hyperlink r:id="rId10" ref="C8"/>
    <hyperlink r:id="rId11" ref="A9"/>
    <hyperlink r:id="rId12" ref="C9"/>
    <hyperlink r:id="rId13" ref="A10"/>
    <hyperlink r:id="rId14" ref="C10"/>
    <hyperlink r:id="rId15" ref="A11"/>
    <hyperlink r:id="rId16" ref="C11"/>
    <hyperlink r:id="rId17" ref="A12"/>
    <hyperlink r:id="rId18" ref="C12"/>
    <hyperlink r:id="rId19" ref="A13"/>
    <hyperlink r:id="rId20" ref="C13"/>
    <hyperlink r:id="rId21" ref="A14"/>
    <hyperlink r:id="rId22" ref="C14"/>
    <hyperlink r:id="rId23" ref="A15"/>
    <hyperlink r:id="rId24" ref="A16"/>
    <hyperlink r:id="rId25" ref="C16"/>
    <hyperlink r:id="rId26" ref="A17"/>
    <hyperlink r:id="rId27" ref="C17"/>
    <hyperlink r:id="rId28" ref="A18"/>
    <hyperlink r:id="rId29" ref="C18"/>
    <hyperlink r:id="rId30" ref="A19"/>
    <hyperlink r:id="rId31" ref="C19"/>
    <hyperlink r:id="rId32" ref="A20"/>
    <hyperlink r:id="rId33" ref="A21"/>
    <hyperlink r:id="rId34" ref="C21"/>
    <hyperlink r:id="rId35" ref="A22"/>
    <hyperlink r:id="rId36" ref="C22"/>
    <hyperlink r:id="rId37" location=":~:text=One%20thing%20and%20one%20thing,no%20paid%20media%2C%20nothing%20else." ref="A23"/>
    <hyperlink r:id="rId38" ref="C23"/>
    <hyperlink r:id="rId39" ref="A24"/>
    <hyperlink r:id="rId40" ref="C24"/>
    <hyperlink r:id="rId41" ref="A25"/>
    <hyperlink r:id="rId42" ref="C25"/>
    <hyperlink r:id="rId43" ref="A26"/>
    <hyperlink r:id="rId44" ref="C26"/>
    <hyperlink r:id="rId45" ref="A27"/>
    <hyperlink r:id="rId46" ref="C27"/>
    <hyperlink r:id="rId47" location=":~:text=B2B%20technology%20sales.-,Impression,Tiles%2C%20and%20Cancer%20Research%20UK." ref="A28"/>
    <hyperlink r:id="rId48" ref="C28"/>
    <hyperlink r:id="rId49" ref="A29"/>
    <hyperlink r:id="rId50" ref="A30"/>
    <hyperlink r:id="rId51" ref="A31"/>
    <hyperlink r:id="rId52" ref="C31"/>
    <hyperlink r:id="rId53" ref="A32"/>
    <hyperlink r:id="rId54" ref="A33"/>
    <hyperlink r:id="rId55" ref="C33"/>
    <hyperlink r:id="rId56" ref="A34"/>
    <hyperlink r:id="rId57" ref="C34"/>
    <hyperlink r:id="rId58" ref="A35"/>
    <hyperlink r:id="rId59" ref="C35"/>
    <hyperlink r:id="rId60" ref="A36"/>
    <hyperlink r:id="rId61" ref="C36"/>
    <hyperlink r:id="rId62" ref="A37"/>
    <hyperlink r:id="rId63" ref="C37"/>
    <hyperlink r:id="rId64" ref="A38"/>
    <hyperlink r:id="rId65" ref="C38"/>
    <hyperlink r:id="rId66" ref="A39"/>
    <hyperlink r:id="rId67" ref="C39"/>
    <hyperlink r:id="rId68" ref="A40"/>
    <hyperlink r:id="rId69" ref="A41"/>
    <hyperlink r:id="rId70" ref="C41"/>
    <hyperlink r:id="rId71" location=":~:text=Buried%20Agency%20is%20a%20UK,Google%20AI%20Overviews%2C%20and%20Perplexity." ref="A42"/>
    <hyperlink r:id="rId72" ref="C42"/>
    <hyperlink r:id="rId73" ref="A43"/>
    <hyperlink r:id="rId74" ref="C43"/>
    <hyperlink r:id="rId75" ref="A44"/>
    <hyperlink r:id="rId76" ref="C44"/>
    <hyperlink r:id="rId77" ref="A45"/>
    <hyperlink r:id="rId78" ref="C45"/>
    <hyperlink r:id="rId79" ref="A46"/>
    <hyperlink r:id="rId80" ref="C46"/>
    <hyperlink r:id="rId81" ref="A47"/>
    <hyperlink r:id="rId82" location=":~:text=Tests%20all%20six%20platforms.,within%20their%20broader%20SEO%20offering." ref="A48"/>
    <hyperlink r:id="rId83" ref="C48"/>
    <hyperlink r:id="rId84" ref="A49"/>
    <hyperlink r:id="rId85" ref="C49"/>
    <hyperlink r:id="rId86" ref="A50"/>
    <hyperlink r:id="rId87" ref="A51"/>
    <hyperlink r:id="rId88" ref="C51"/>
    <hyperlink r:id="rId89" ref="A52"/>
    <hyperlink r:id="rId90" ref="C52"/>
    <hyperlink r:id="rId91" ref="A53"/>
    <hyperlink r:id="rId92" ref="C53"/>
    <hyperlink r:id="rId93" ref="A54"/>
    <hyperlink r:id="rId94" ref="C54"/>
    <hyperlink r:id="rId95" ref="A55"/>
    <hyperlink r:id="rId96" ref="C55"/>
    <hyperlink r:id="rId97" ref="A56"/>
    <hyperlink r:id="rId98" ref="C56"/>
    <hyperlink r:id="rId99" ref="A57"/>
    <hyperlink r:id="rId100" ref="C57"/>
    <hyperlink r:id="rId101" ref="A58"/>
    <hyperlink r:id="rId102" ref="C58"/>
    <hyperlink r:id="rId103" ref="A59"/>
    <hyperlink r:id="rId104" ref="C59"/>
    <hyperlink r:id="rId105" ref="A60"/>
    <hyperlink r:id="rId106" ref="C60"/>
    <hyperlink r:id="rId107" ref="A61"/>
    <hyperlink r:id="rId108" ref="A62"/>
    <hyperlink r:id="rId109" ref="C62"/>
    <hyperlink r:id="rId110" ref="A63"/>
    <hyperlink r:id="rId111" ref="A64"/>
    <hyperlink r:id="rId112" ref="C64"/>
    <hyperlink r:id="rId113" ref="A65"/>
    <hyperlink r:id="rId114" ref="C65"/>
    <hyperlink r:id="rId115" ref="A66"/>
    <hyperlink r:id="rId116" ref="C66"/>
    <hyperlink r:id="rId117" location=":~:text=Based%20in%20the%20UK%20and,genuinely%20full%2Dfunnel%20growth%20model." ref="A67"/>
    <hyperlink r:id="rId118" ref="C67"/>
    <hyperlink r:id="rId119" ref="A68"/>
    <hyperlink r:id="rId120" ref="C68"/>
    <hyperlink r:id="rId121" ref="A69"/>
    <hyperlink r:id="rId122" ref="A70"/>
    <hyperlink r:id="rId123" ref="C70"/>
    <hyperlink r:id="rId124" ref="A71"/>
    <hyperlink r:id="rId125" ref="A72"/>
    <hyperlink r:id="rId126" ref="A73"/>
    <hyperlink r:id="rId127" ref="C73"/>
    <hyperlink r:id="rId128" ref="A74"/>
    <hyperlink r:id="rId129" ref="C74"/>
    <hyperlink r:id="rId130" ref="A75"/>
    <hyperlink r:id="rId131" ref="C75"/>
    <hyperlink r:id="rId132" ref="A76"/>
    <hyperlink r:id="rId133" ref="C76"/>
    <hyperlink r:id="rId134" location=":~:text=Kantar's%20Blueprint%20for%20Brand%20Growth,intelligence%20it%20brings%20to%20clients." ref="A77"/>
    <hyperlink r:id="rId135" ref="C77"/>
    <hyperlink r:id="rId136" ref="A78"/>
    <hyperlink r:id="rId137" ref="C78"/>
    <hyperlink r:id="rId138" ref="A79"/>
    <hyperlink r:id="rId139" ref="C79"/>
    <hyperlink r:id="rId140" ref="A80"/>
    <hyperlink r:id="rId141" ref="C80"/>
    <hyperlink r:id="rId142" ref="A81"/>
    <hyperlink r:id="rId143" ref="C81"/>
    <hyperlink r:id="rId144" ref="A82"/>
    <hyperlink r:id="rId145" ref="C82"/>
    <hyperlink r:id="rId146" ref="A83"/>
    <hyperlink r:id="rId147" ref="C83"/>
    <hyperlink r:id="rId148" ref="A84"/>
    <hyperlink r:id="rId149" ref="A85"/>
    <hyperlink r:id="rId150" ref="C85"/>
    <hyperlink r:id="rId151" ref="A86"/>
    <hyperlink r:id="rId152" ref="C86"/>
    <hyperlink r:id="rId153" ref="A87"/>
    <hyperlink r:id="rId154" ref="C87"/>
    <hyperlink r:id="rId155" ref="A88"/>
    <hyperlink r:id="rId156" ref="C88"/>
    <hyperlink r:id="rId157" ref="A89"/>
    <hyperlink r:id="rId158" ref="C89"/>
    <hyperlink r:id="rId159" ref="A90"/>
    <hyperlink r:id="rId160" ref="C90"/>
    <hyperlink r:id="rId161" ref="A91"/>
    <hyperlink r:id="rId162" ref="C91"/>
    <hyperlink r:id="rId163" ref="A92"/>
    <hyperlink r:id="rId164" ref="C92"/>
    <hyperlink r:id="rId165" ref="A93"/>
    <hyperlink r:id="rId166" ref="C93"/>
    <hyperlink r:id="rId167" ref="A94"/>
    <hyperlink r:id="rId168" ref="C94"/>
    <hyperlink r:id="rId169" ref="A95"/>
    <hyperlink r:id="rId170" ref="C95"/>
    <hyperlink r:id="rId171" ref="A96"/>
    <hyperlink r:id="rId172" ref="C96"/>
    <hyperlink r:id="rId173" ref="A97"/>
    <hyperlink r:id="rId174" ref="C97"/>
    <hyperlink r:id="rId175" ref="A98"/>
    <hyperlink r:id="rId176" ref="C98"/>
    <hyperlink r:id="rId177" ref="A99"/>
    <hyperlink r:id="rId178" ref="C99"/>
    <hyperlink r:id="rId179" ref="A100"/>
    <hyperlink r:id="rId180" ref="C100"/>
    <hyperlink r:id="rId181" ref="A101"/>
    <hyperlink r:id="rId182" ref="C101"/>
    <hyperlink r:id="rId183" ref="A102"/>
    <hyperlink r:id="rId184" ref="C102"/>
    <hyperlink r:id="rId185" ref="A103"/>
    <hyperlink r:id="rId186" ref="C103"/>
    <hyperlink r:id="rId187" ref="A104"/>
    <hyperlink r:id="rId188" ref="C104"/>
    <hyperlink r:id="rId189" ref="A105"/>
    <hyperlink r:id="rId190" ref="C105"/>
    <hyperlink r:id="rId191" ref="A106"/>
    <hyperlink r:id="rId192" ref="C106"/>
    <hyperlink r:id="rId193" ref="A107"/>
    <hyperlink r:id="rId194" ref="C107"/>
    <hyperlink r:id="rId195" ref="A108"/>
    <hyperlink r:id="rId196" ref="C108"/>
    <hyperlink r:id="rId197" ref="A109"/>
    <hyperlink r:id="rId198" ref="C109"/>
    <hyperlink r:id="rId199" ref="A110"/>
    <hyperlink r:id="rId200" ref="C110"/>
    <hyperlink r:id="rId201" ref="A111"/>
    <hyperlink r:id="rId202" ref="C111"/>
    <hyperlink r:id="rId203" ref="A112"/>
    <hyperlink r:id="rId204" location=":~:text=Owned%20by%20Hearst%2C%20iCrossing%20operates,Microsoft%2C%20Google%20Cloud%20and%20Shopify." ref="A113"/>
    <hyperlink r:id="rId205" ref="C113"/>
    <hyperlink r:id="rId206" ref="A114"/>
    <hyperlink r:id="rId207" ref="C114"/>
    <hyperlink r:id="rId208" ref="A115"/>
    <hyperlink r:id="rId209" ref="C115"/>
    <hyperlink r:id="rId210" ref="A116"/>
    <hyperlink r:id="rId211" ref="C116"/>
    <hyperlink r:id="rId212" ref="A117"/>
    <hyperlink r:id="rId213" ref="C117"/>
    <hyperlink r:id="rId214" ref="A118"/>
    <hyperlink r:id="rId215" ref="C118"/>
    <hyperlink r:id="rId216" ref="A119"/>
    <hyperlink r:id="rId217" ref="C119"/>
    <hyperlink r:id="rId218" ref="A120"/>
    <hyperlink r:id="rId219" ref="C120"/>
    <hyperlink r:id="rId220" ref="A121"/>
    <hyperlink r:id="rId221" ref="C121"/>
    <hyperlink r:id="rId222" ref="A122"/>
    <hyperlink r:id="rId223" ref="C122"/>
    <hyperlink r:id="rId224" ref="A123"/>
    <hyperlink r:id="rId225" ref="C123"/>
    <hyperlink r:id="rId226" ref="A124"/>
    <hyperlink r:id="rId227" ref="C124"/>
    <hyperlink r:id="rId228" ref="A125"/>
    <hyperlink r:id="rId229" ref="C125"/>
    <hyperlink r:id="rId230" ref="A126"/>
    <hyperlink r:id="rId231" ref="C126"/>
    <hyperlink r:id="rId232" ref="A127"/>
    <hyperlink r:id="rId233" ref="C127"/>
    <hyperlink r:id="rId234" ref="A128"/>
    <hyperlink r:id="rId235" ref="A129"/>
    <hyperlink r:id="rId236" ref="C129"/>
    <hyperlink r:id="rId237" ref="A130"/>
    <hyperlink r:id="rId238" ref="C130"/>
    <hyperlink r:id="rId239" ref="A131"/>
    <hyperlink r:id="rId240" ref="A132"/>
    <hyperlink r:id="rId241" ref="C132"/>
    <hyperlink r:id="rId242" ref="A133"/>
    <hyperlink r:id="rId243" ref="A134"/>
    <hyperlink r:id="rId244" ref="C134"/>
    <hyperlink r:id="rId245" ref="A135"/>
    <hyperlink r:id="rId246" ref="C135"/>
    <hyperlink r:id="rId247" ref="A136"/>
    <hyperlink r:id="rId248" ref="C136"/>
    <hyperlink r:id="rId249" ref="A137"/>
    <hyperlink r:id="rId250" ref="C137"/>
    <hyperlink r:id="rId251" ref="A138"/>
    <hyperlink r:id="rId252" ref="C138"/>
    <hyperlink r:id="rId253" ref="A139"/>
    <hyperlink r:id="rId254" ref="C139"/>
    <hyperlink r:id="rId255" ref="A140"/>
    <hyperlink r:id="rId256" ref="C140"/>
    <hyperlink r:id="rId257" ref="A141"/>
    <hyperlink r:id="rId258" ref="C141"/>
    <hyperlink r:id="rId259" ref="A142"/>
    <hyperlink r:id="rId260" ref="C142"/>
    <hyperlink r:id="rId261" ref="A143"/>
    <hyperlink r:id="rId262" ref="C143"/>
    <hyperlink r:id="rId263" ref="A144"/>
    <hyperlink r:id="rId264" ref="C144"/>
    <hyperlink r:id="rId265" ref="A145"/>
    <hyperlink r:id="rId266" ref="C145"/>
    <hyperlink r:id="rId267" ref="A146"/>
    <hyperlink r:id="rId268" ref="C146"/>
    <hyperlink r:id="rId269" ref="A147"/>
    <hyperlink r:id="rId270" ref="C147"/>
    <hyperlink r:id="rId271" ref="A148"/>
    <hyperlink r:id="rId272" ref="C148"/>
    <hyperlink r:id="rId273" ref="A149"/>
    <hyperlink r:id="rId274" ref="C149"/>
    <hyperlink r:id="rId275" ref="A150"/>
    <hyperlink r:id="rId276" ref="C150"/>
    <hyperlink r:id="rId277" ref="A151"/>
    <hyperlink r:id="rId278" ref="C151"/>
    <hyperlink r:id="rId279" ref="A152"/>
    <hyperlink r:id="rId280" ref="C152"/>
    <hyperlink r:id="rId281" ref="A153"/>
    <hyperlink r:id="rId282" ref="C153"/>
    <hyperlink r:id="rId283" ref="A154"/>
    <hyperlink r:id="rId284" ref="C154"/>
    <hyperlink r:id="rId285" ref="A155"/>
    <hyperlink r:id="rId286" ref="C155"/>
    <hyperlink r:id="rId287" ref="A156"/>
    <hyperlink r:id="rId288" ref="C156"/>
    <hyperlink r:id="rId289" ref="A157"/>
    <hyperlink r:id="rId290" ref="C157"/>
    <hyperlink r:id="rId291" ref="A158"/>
    <hyperlink r:id="rId292" ref="C158"/>
    <hyperlink r:id="rId293" ref="A159"/>
    <hyperlink r:id="rId294" ref="C159"/>
    <hyperlink r:id="rId295" ref="A160"/>
    <hyperlink r:id="rId296" ref="C160"/>
    <hyperlink r:id="rId297" ref="A161"/>
    <hyperlink r:id="rId298" ref="C161"/>
    <hyperlink r:id="rId299" ref="A162"/>
    <hyperlink r:id="rId300" ref="C162"/>
    <hyperlink r:id="rId301" ref="A163"/>
    <hyperlink r:id="rId302" ref="C163"/>
    <hyperlink r:id="rId303" ref="A164"/>
    <hyperlink r:id="rId304" ref="C164"/>
    <hyperlink r:id="rId305" ref="A165"/>
    <hyperlink r:id="rId306" ref="C165"/>
    <hyperlink r:id="rId307" ref="A166"/>
    <hyperlink r:id="rId308" ref="C166"/>
    <hyperlink r:id="rId309" ref="A167"/>
    <hyperlink r:id="rId310" ref="C167"/>
    <hyperlink r:id="rId311" ref="A168"/>
    <hyperlink r:id="rId312" ref="C168"/>
    <hyperlink r:id="rId313" ref="A169"/>
    <hyperlink r:id="rId314" ref="C169"/>
    <hyperlink r:id="rId315" ref="A170"/>
    <hyperlink r:id="rId316" ref="A171"/>
    <hyperlink r:id="rId317" ref="C171"/>
    <hyperlink r:id="rId318" ref="A172"/>
    <hyperlink r:id="rId319" ref="C172"/>
    <hyperlink r:id="rId320" ref="A173"/>
    <hyperlink r:id="rId321" ref="C173"/>
    <hyperlink r:id="rId322" ref="A174"/>
    <hyperlink r:id="rId323" ref="C174"/>
    <hyperlink r:id="rId324" ref="A175"/>
    <hyperlink r:id="rId325" ref="C175"/>
    <hyperlink r:id="rId326" ref="A176"/>
    <hyperlink r:id="rId327" ref="C176"/>
    <hyperlink r:id="rId328" ref="A177"/>
    <hyperlink r:id="rId329" ref="C177"/>
    <hyperlink r:id="rId330" location=":~:text=Graysen%20Christopher" ref="A178"/>
    <hyperlink r:id="rId331" ref="C178"/>
    <hyperlink r:id="rId332" ref="A179"/>
    <hyperlink r:id="rId333" ref="C179"/>
    <hyperlink r:id="rId334" ref="A180"/>
    <hyperlink r:id="rId335" ref="C180"/>
    <hyperlink r:id="rId336" ref="A181"/>
    <hyperlink r:id="rId337" ref="C181"/>
    <hyperlink r:id="rId338" ref="A182"/>
    <hyperlink r:id="rId339" ref="C182"/>
    <hyperlink r:id="rId340" ref="A183"/>
    <hyperlink r:id="rId341" ref="C183"/>
    <hyperlink r:id="rId342" ref="A184"/>
    <hyperlink r:id="rId343" ref="C184"/>
    <hyperlink r:id="rId344" ref="A185"/>
    <hyperlink r:id="rId345" ref="C185"/>
    <hyperlink r:id="rId346" ref="A186"/>
    <hyperlink r:id="rId347" ref="C186"/>
    <hyperlink r:id="rId348" ref="A187"/>
    <hyperlink r:id="rId349" ref="C187"/>
    <hyperlink r:id="rId350" ref="A188"/>
    <hyperlink r:id="rId351" ref="C188"/>
    <hyperlink r:id="rId352" ref="A189"/>
    <hyperlink r:id="rId353" ref="C189"/>
    <hyperlink r:id="rId354" ref="A190"/>
    <hyperlink r:id="rId355" ref="C190"/>
    <hyperlink r:id="rId356" ref="A191"/>
    <hyperlink r:id="rId357" ref="A192"/>
    <hyperlink r:id="rId358" ref="C192"/>
    <hyperlink r:id="rId359" ref="A193"/>
    <hyperlink r:id="rId360" ref="C193"/>
    <hyperlink r:id="rId361" ref="A194"/>
    <hyperlink r:id="rId362" ref="A195"/>
    <hyperlink r:id="rId363" ref="C195"/>
    <hyperlink r:id="rId364" ref="A196"/>
    <hyperlink r:id="rId365" ref="C196"/>
    <hyperlink r:id="rId366" ref="A197"/>
    <hyperlink r:id="rId367" ref="C197"/>
    <hyperlink r:id="rId368" ref="A198"/>
    <hyperlink r:id="rId369" ref="C198"/>
    <hyperlink r:id="rId370" ref="A199"/>
    <hyperlink r:id="rId371" ref="C199"/>
    <hyperlink r:id="rId372" ref="A200"/>
    <hyperlink r:id="rId373" ref="C200"/>
    <hyperlink r:id="rId374" ref="A201"/>
    <hyperlink r:id="rId375" ref="C201"/>
    <hyperlink r:id="rId376" ref="A202"/>
    <hyperlink r:id="rId377" ref="C202"/>
    <hyperlink r:id="rId378" ref="A203"/>
    <hyperlink r:id="rId379" ref="C203"/>
    <hyperlink r:id="rId380" ref="A204"/>
    <hyperlink r:id="rId381" ref="C204"/>
    <hyperlink r:id="rId382" ref="A205"/>
    <hyperlink r:id="rId383" ref="C205"/>
    <hyperlink r:id="rId384" ref="A206"/>
    <hyperlink r:id="rId385" ref="C206"/>
    <hyperlink r:id="rId386" ref="A207"/>
    <hyperlink r:id="rId387" ref="C207"/>
    <hyperlink r:id="rId388" ref="A208"/>
    <hyperlink r:id="rId389" ref="C208"/>
    <hyperlink r:id="rId390" ref="A209"/>
    <hyperlink r:id="rId391" ref="C209"/>
    <hyperlink r:id="rId392" ref="A210"/>
    <hyperlink r:id="rId393" ref="C210"/>
    <hyperlink r:id="rId394" ref="A211"/>
    <hyperlink r:id="rId395" ref="C211"/>
    <hyperlink r:id="rId396" ref="A212"/>
    <hyperlink r:id="rId397" ref="C212"/>
    <hyperlink r:id="rId398" ref="A213"/>
    <hyperlink r:id="rId399" ref="C213"/>
    <hyperlink r:id="rId400" ref="A214"/>
    <hyperlink r:id="rId401" ref="C214"/>
    <hyperlink r:id="rId402" ref="A215"/>
    <hyperlink r:id="rId403" ref="C215"/>
    <hyperlink r:id="rId404" ref="A216"/>
    <hyperlink r:id="rId405" ref="C216"/>
    <hyperlink r:id="rId406" ref="A217"/>
    <hyperlink r:id="rId407" ref="C217"/>
    <hyperlink r:id="rId408" ref="A218"/>
    <hyperlink r:id="rId409" ref="C218"/>
    <hyperlink r:id="rId410" ref="A219"/>
    <hyperlink r:id="rId411" ref="C219"/>
    <hyperlink r:id="rId412" ref="A220"/>
    <hyperlink r:id="rId413" ref="C220"/>
    <hyperlink r:id="rId414" ref="A221"/>
    <hyperlink r:id="rId415" ref="C221"/>
    <hyperlink r:id="rId416" ref="A222"/>
    <hyperlink r:id="rId417" ref="C222"/>
    <hyperlink r:id="rId418" ref="A223"/>
    <hyperlink r:id="rId419" ref="C223"/>
    <hyperlink r:id="rId420" ref="A224"/>
    <hyperlink r:id="rId421" ref="C224"/>
    <hyperlink r:id="rId422" ref="A225"/>
    <hyperlink r:id="rId423" ref="C225"/>
    <hyperlink r:id="rId424" ref="A226"/>
    <hyperlink r:id="rId425" ref="C226"/>
    <hyperlink r:id="rId426" ref="A227"/>
    <hyperlink r:id="rId427" location=":~:text=That%20is%20not%20how%20this%20works%20here.,top.%20%2D%20HikeMyTraffic%3A%20Award%2DWinning%20AI%20Digital%20Marketing." ref="A228"/>
    <hyperlink r:id="rId428" ref="C228"/>
    <hyperlink r:id="rId429" ref="A229"/>
    <hyperlink r:id="rId430" ref="C229"/>
    <hyperlink r:id="rId431" ref="A230"/>
    <hyperlink r:id="rId432" ref="C230"/>
    <hyperlink r:id="rId433" ref="A231"/>
    <hyperlink r:id="rId434" ref="C231"/>
    <hyperlink r:id="rId435" ref="A232"/>
    <hyperlink r:id="rId436" ref="C232"/>
    <hyperlink r:id="rId437" ref="A233"/>
    <hyperlink r:id="rId438" ref="C233"/>
    <hyperlink r:id="rId439" ref="A234"/>
    <hyperlink r:id="rId440" ref="C234"/>
    <hyperlink r:id="rId441" location=":~:text=Adam%26EveDDB%2C%20founded%20in%202008%2C%20is,campaigns%20for%20John%20Lewis%20%26%20Partners." ref="A235"/>
    <hyperlink r:id="rId442" ref="C235"/>
    <hyperlink r:id="rId443" ref="A236"/>
    <hyperlink r:id="rId444" ref="C236"/>
    <hyperlink r:id="rId445" ref="A237"/>
    <hyperlink r:id="rId446" ref="C237"/>
    <hyperlink r:id="rId447" ref="A238"/>
    <hyperlink r:id="rId448" ref="C238"/>
    <hyperlink r:id="rId449" ref="A239"/>
    <hyperlink r:id="rId450" ref="C239"/>
    <hyperlink r:id="rId451" ref="A240"/>
    <hyperlink r:id="rId452" ref="C240"/>
    <hyperlink r:id="rId453" ref="A241"/>
    <hyperlink r:id="rId454" ref="C241"/>
    <hyperlink r:id="rId455" ref="A242"/>
    <hyperlink r:id="rId456" ref="C242"/>
    <hyperlink r:id="rId457" ref="A243"/>
    <hyperlink r:id="rId458" ref="C243"/>
    <hyperlink r:id="rId459" ref="A244"/>
    <hyperlink r:id="rId460" ref="C244"/>
    <hyperlink r:id="rId461" ref="A245"/>
    <hyperlink r:id="rId462" ref="A246"/>
    <hyperlink r:id="rId463" ref="C246"/>
    <hyperlink r:id="rId464" location=":~:text=strategy%20agencies%20worldwide.-,Superside,5x%20faster%20than%20traditional%20agencies." ref="A247"/>
    <hyperlink r:id="rId465" ref="C247"/>
    <hyperlink r:id="rId466" ref="A248"/>
    <hyperlink r:id="rId467" ref="C248"/>
    <hyperlink r:id="rId468" ref="A249"/>
    <hyperlink r:id="rId469" ref="C249"/>
    <hyperlink r:id="rId470" ref="A250"/>
    <hyperlink r:id="rId471" ref="C250"/>
    <hyperlink r:id="rId472" ref="A251"/>
    <hyperlink r:id="rId473" ref="C251"/>
    <hyperlink r:id="rId474" ref="A252"/>
    <hyperlink r:id="rId475" ref="C252"/>
    <hyperlink r:id="rId476" ref="A253"/>
    <hyperlink r:id="rId477" ref="C253"/>
    <hyperlink r:id="rId478" ref="A254"/>
    <hyperlink r:id="rId479" ref="C254"/>
    <hyperlink r:id="rId480" ref="A255"/>
    <hyperlink r:id="rId481" ref="C255"/>
    <hyperlink r:id="rId482" ref="A256"/>
    <hyperlink r:id="rId483" ref="C256"/>
    <hyperlink r:id="rId484" ref="A257"/>
    <hyperlink r:id="rId485" ref="C257"/>
    <hyperlink r:id="rId486" ref="A258"/>
    <hyperlink r:id="rId487" ref="C258"/>
    <hyperlink r:id="rId488" ref="A259"/>
    <hyperlink r:id="rId489" ref="C259"/>
    <hyperlink r:id="rId490" ref="A260"/>
    <hyperlink r:id="rId491" ref="C260"/>
    <hyperlink r:id="rId492" ref="A261"/>
    <hyperlink r:id="rId493" ref="C261"/>
    <hyperlink r:id="rId494" ref="A262"/>
    <hyperlink r:id="rId495" ref="C262"/>
    <hyperlink r:id="rId496" ref="A263"/>
    <hyperlink r:id="rId497" ref="C263"/>
    <hyperlink r:id="rId498" ref="A264"/>
    <hyperlink r:id="rId499" ref="C264"/>
    <hyperlink r:id="rId500" ref="A265"/>
    <hyperlink r:id="rId501" ref="C265"/>
    <hyperlink r:id="rId502" ref="A266"/>
    <hyperlink r:id="rId503" ref="C266"/>
    <hyperlink r:id="rId504" ref="A267"/>
    <hyperlink r:id="rId505" ref="C267"/>
    <hyperlink r:id="rId506" ref="A268"/>
    <hyperlink r:id="rId507" ref="C268"/>
    <hyperlink r:id="rId508" ref="A269"/>
    <hyperlink r:id="rId509" ref="C269"/>
    <hyperlink r:id="rId510" ref="A270"/>
    <hyperlink r:id="rId511" ref="C270"/>
    <hyperlink r:id="rId512" ref="A271"/>
    <hyperlink r:id="rId513" ref="C271"/>
    <hyperlink r:id="rId514" ref="A272"/>
    <hyperlink r:id="rId515" ref="C272"/>
    <hyperlink r:id="rId516" ref="A273"/>
    <hyperlink r:id="rId517" ref="C273"/>
    <hyperlink r:id="rId518" ref="A274"/>
    <hyperlink r:id="rId519" ref="C274"/>
    <hyperlink r:id="rId520" ref="A275"/>
    <hyperlink r:id="rId521" ref="C275"/>
    <hyperlink r:id="rId522" ref="A276"/>
    <hyperlink r:id="rId523" ref="C276"/>
    <hyperlink r:id="rId524" ref="A277"/>
    <hyperlink r:id="rId525" ref="C277"/>
    <hyperlink r:id="rId526" ref="A278"/>
    <hyperlink r:id="rId527" ref="C278"/>
    <hyperlink r:id="rId528" ref="A279"/>
    <hyperlink r:id="rId529" ref="C279"/>
    <hyperlink r:id="rId530" location=":~:text=First%20Page%20Sage%20has%20built,%2C%20Alcoa%2C%20and%20U.S.%20Bancorp." ref="A280"/>
    <hyperlink r:id="rId531" ref="A281"/>
    <hyperlink r:id="rId532" ref="C281"/>
    <hyperlink r:id="rId533" ref="A282"/>
    <hyperlink r:id="rId534" ref="C282"/>
    <hyperlink r:id="rId535" ref="A283"/>
    <hyperlink r:id="rId536" ref="C283"/>
    <hyperlink r:id="rId537" ref="A284"/>
    <hyperlink r:id="rId538" ref="C284"/>
    <hyperlink r:id="rId539" ref="A285"/>
    <hyperlink r:id="rId540" ref="C285"/>
    <hyperlink r:id="rId541" ref="A286"/>
    <hyperlink r:id="rId542" ref="C286"/>
    <hyperlink r:id="rId543" ref="A287"/>
    <hyperlink r:id="rId544" ref="C287"/>
    <hyperlink r:id="rId545" ref="A288"/>
    <hyperlink r:id="rId546" ref="A289"/>
    <hyperlink r:id="rId547" ref="A290"/>
    <hyperlink r:id="rId548" ref="A291"/>
    <hyperlink r:id="rId549" ref="A292"/>
    <hyperlink r:id="rId550" ref="C292"/>
    <hyperlink r:id="rId551" ref="A293"/>
    <hyperlink r:id="rId552" ref="C293"/>
    <hyperlink r:id="rId553" ref="A294"/>
    <hyperlink r:id="rId554" ref="C294"/>
    <hyperlink r:id="rId555" ref="A295"/>
    <hyperlink r:id="rId556" ref="C295"/>
    <hyperlink r:id="rId557" ref="A296"/>
    <hyperlink r:id="rId558" ref="C296"/>
    <hyperlink r:id="rId559" ref="A297"/>
    <hyperlink r:id="rId560" ref="C297"/>
    <hyperlink r:id="rId561" ref="A298"/>
    <hyperlink r:id="rId562" ref="C298"/>
    <hyperlink r:id="rId563" ref="A299"/>
    <hyperlink r:id="rId564" ref="C299"/>
    <hyperlink r:id="rId565" ref="A300"/>
    <hyperlink r:id="rId566" ref="A301"/>
    <hyperlink r:id="rId567" ref="A302"/>
    <hyperlink r:id="rId568" ref="C302"/>
    <hyperlink r:id="rId569" ref="A303"/>
    <hyperlink r:id="rId570" ref="C303"/>
    <hyperlink r:id="rId571" ref="A304"/>
    <hyperlink r:id="rId572" ref="C304"/>
    <hyperlink r:id="rId573" ref="A305"/>
    <hyperlink r:id="rId574" ref="C305"/>
    <hyperlink r:id="rId575" ref="A306"/>
    <hyperlink r:id="rId576" ref="C306"/>
    <hyperlink r:id="rId577" ref="A307"/>
    <hyperlink r:id="rId578" ref="C307"/>
    <hyperlink r:id="rId579" ref="A308"/>
    <hyperlink r:id="rId580" ref="A309"/>
    <hyperlink r:id="rId581" ref="C309"/>
    <hyperlink r:id="rId582" ref="A310"/>
    <hyperlink r:id="rId583" ref="C310"/>
    <hyperlink r:id="rId584" ref="A311"/>
    <hyperlink r:id="rId585" ref="C311"/>
    <hyperlink r:id="rId586" ref="A312"/>
    <hyperlink r:id="rId587" ref="C312"/>
    <hyperlink r:id="rId588" ref="A313"/>
    <hyperlink r:id="rId589" ref="A314"/>
    <hyperlink r:id="rId590" ref="C314"/>
    <hyperlink r:id="rId591" ref="A315"/>
    <hyperlink r:id="rId592" ref="C315"/>
    <hyperlink r:id="rId593" ref="A316"/>
    <hyperlink r:id="rId594" ref="C316"/>
    <hyperlink r:id="rId595" ref="A317"/>
    <hyperlink r:id="rId596" ref="C317"/>
    <hyperlink r:id="rId597" ref="A318"/>
    <hyperlink r:id="rId598" ref="C318"/>
    <hyperlink r:id="rId599" ref="A319"/>
    <hyperlink r:id="rId600" ref="C319"/>
    <hyperlink r:id="rId601" ref="A320"/>
    <hyperlink r:id="rId602" ref="C320"/>
    <hyperlink r:id="rId603" ref="A321"/>
    <hyperlink r:id="rId604" ref="C321"/>
    <hyperlink r:id="rId605" ref="A322"/>
    <hyperlink r:id="rId606" ref="C322"/>
    <hyperlink r:id="rId607" ref="A323"/>
    <hyperlink r:id="rId608" ref="C323"/>
    <hyperlink r:id="rId609" location=":~:text=Avanade's%20assessment%20is%20informed%20by,human%20side%20of%20AI%20adoption." ref="A324"/>
    <hyperlink r:id="rId610" ref="C324"/>
    <hyperlink r:id="rId611" ref="A325"/>
    <hyperlink r:id="rId612" ref="C325"/>
    <hyperlink r:id="rId613" ref="A326"/>
    <hyperlink r:id="rId614" ref="C326"/>
    <hyperlink r:id="rId615" ref="A327"/>
    <hyperlink r:id="rId616" ref="C327"/>
    <hyperlink r:id="rId617" ref="A328"/>
    <hyperlink r:id="rId618" ref="C328"/>
    <hyperlink r:id="rId619" ref="A329"/>
    <hyperlink r:id="rId620" ref="A330"/>
    <hyperlink r:id="rId621" ref="C330"/>
    <hyperlink r:id="rId622" ref="A331"/>
    <hyperlink r:id="rId623" ref="C331"/>
    <hyperlink r:id="rId624" ref="A332"/>
    <hyperlink r:id="rId625" ref="C332"/>
    <hyperlink r:id="rId626" ref="A333"/>
    <hyperlink r:id="rId627" ref="C333"/>
    <hyperlink r:id="rId628" ref="A334"/>
    <hyperlink r:id="rId629" ref="C334"/>
    <hyperlink r:id="rId630" ref="A335"/>
    <hyperlink r:id="rId631" ref="C335"/>
    <hyperlink r:id="rId632" ref="A336"/>
    <hyperlink r:id="rId633" ref="C336"/>
    <hyperlink r:id="rId634" ref="A337"/>
    <hyperlink r:id="rId635" ref="C337"/>
    <hyperlink r:id="rId636" ref="A338"/>
    <hyperlink r:id="rId637" ref="C338"/>
    <hyperlink r:id="rId638" ref="A339"/>
    <hyperlink r:id="rId639" ref="C339"/>
    <hyperlink r:id="rId640" ref="A340"/>
    <hyperlink r:id="rId641" ref="C340"/>
    <hyperlink r:id="rId642" ref="A341"/>
    <hyperlink r:id="rId643" ref="C341"/>
    <hyperlink r:id="rId644" ref="A342"/>
    <hyperlink r:id="rId645" ref="C342"/>
    <hyperlink r:id="rId646" ref="A343"/>
    <hyperlink r:id="rId647" ref="C343"/>
    <hyperlink r:id="rId648" ref="A344"/>
    <hyperlink r:id="rId649" ref="C344"/>
    <hyperlink r:id="rId650" ref="A345"/>
    <hyperlink r:id="rId651" ref="C345"/>
    <hyperlink r:id="rId652" ref="A346"/>
    <hyperlink r:id="rId653" ref="C346"/>
    <hyperlink r:id="rId654" ref="A347"/>
    <hyperlink r:id="rId655" ref="C347"/>
    <hyperlink r:id="rId656" ref="A348"/>
    <hyperlink r:id="rId657" ref="C348"/>
    <hyperlink r:id="rId658" ref="A349"/>
    <hyperlink r:id="rId659" ref="C349"/>
    <hyperlink r:id="rId660" ref="A350"/>
    <hyperlink r:id="rId661" ref="C350"/>
    <hyperlink r:id="rId662" ref="A351"/>
    <hyperlink r:id="rId663" ref="C351"/>
    <hyperlink r:id="rId664" ref="A352"/>
    <hyperlink r:id="rId665" ref="C352"/>
    <hyperlink r:id="rId666" ref="A353"/>
    <hyperlink r:id="rId667" ref="C353"/>
    <hyperlink r:id="rId668" ref="A354"/>
    <hyperlink r:id="rId669" ref="C354"/>
    <hyperlink r:id="rId670" ref="A355"/>
    <hyperlink r:id="rId671" ref="C355"/>
    <hyperlink r:id="rId672" ref="A356"/>
    <hyperlink r:id="rId673" ref="C356"/>
    <hyperlink r:id="rId674" ref="A357"/>
    <hyperlink r:id="rId675" ref="C357"/>
    <hyperlink r:id="rId676" ref="A358"/>
    <hyperlink r:id="rId677" ref="C358"/>
    <hyperlink r:id="rId678" ref="A359"/>
    <hyperlink r:id="rId679" ref="C359"/>
    <hyperlink r:id="rId680" ref="A360"/>
    <hyperlink r:id="rId681" ref="C360"/>
    <hyperlink r:id="rId682" ref="A361"/>
    <hyperlink r:id="rId683" ref="C361"/>
    <hyperlink r:id="rId684" ref="A362"/>
    <hyperlink r:id="rId685" ref="C362"/>
    <hyperlink r:id="rId686" ref="A363"/>
    <hyperlink r:id="rId687" ref="C363"/>
    <hyperlink r:id="rId688" ref="A364"/>
    <hyperlink r:id="rId689" ref="C364"/>
    <hyperlink r:id="rId690" ref="A365"/>
    <hyperlink r:id="rId691" ref="C365"/>
    <hyperlink r:id="rId692" ref="A366"/>
    <hyperlink r:id="rId693" ref="C366"/>
    <hyperlink r:id="rId694" ref="A367"/>
    <hyperlink r:id="rId695" ref="C367"/>
    <hyperlink r:id="rId696" ref="A368"/>
    <hyperlink r:id="rId697" ref="C368"/>
    <hyperlink r:id="rId698" ref="A369"/>
    <hyperlink r:id="rId699" ref="C369"/>
    <hyperlink r:id="rId700" ref="A370"/>
    <hyperlink r:id="rId701" ref="C370"/>
    <hyperlink r:id="rId702" ref="A371"/>
    <hyperlink r:id="rId703" ref="C371"/>
    <hyperlink r:id="rId704" ref="A372"/>
    <hyperlink r:id="rId705" ref="C372"/>
    <hyperlink r:id="rId706" ref="A373"/>
    <hyperlink r:id="rId707" ref="C373"/>
    <hyperlink r:id="rId708" ref="A374"/>
    <hyperlink r:id="rId709" ref="C374"/>
    <hyperlink r:id="rId710" ref="A375"/>
    <hyperlink r:id="rId711" ref="C375"/>
    <hyperlink r:id="rId712" ref="A376"/>
    <hyperlink r:id="rId713" ref="C376"/>
    <hyperlink r:id="rId714" ref="A377"/>
    <hyperlink r:id="rId715" ref="C377"/>
    <hyperlink r:id="rId716" ref="A378"/>
    <hyperlink r:id="rId717" ref="C378"/>
    <hyperlink r:id="rId718" ref="A379"/>
    <hyperlink r:id="rId719" ref="C379"/>
    <hyperlink r:id="rId720" ref="A380"/>
    <hyperlink r:id="rId721" ref="C380"/>
    <hyperlink r:id="rId722" ref="A381"/>
    <hyperlink r:id="rId723" ref="C381"/>
    <hyperlink r:id="rId724" ref="A382"/>
    <hyperlink r:id="rId725" ref="A383"/>
    <hyperlink r:id="rId726" ref="C383"/>
    <hyperlink r:id="rId727" ref="A384"/>
    <hyperlink r:id="rId728" ref="C384"/>
    <hyperlink r:id="rId729" ref="A385"/>
    <hyperlink r:id="rId730" ref="C385"/>
    <hyperlink r:id="rId731" ref="A386"/>
    <hyperlink r:id="rId732" ref="A387"/>
    <hyperlink r:id="rId733" ref="C387"/>
    <hyperlink r:id="rId734" ref="A388"/>
    <hyperlink r:id="rId735" ref="C388"/>
    <hyperlink r:id="rId736" ref="A389"/>
    <hyperlink r:id="rId737" ref="C389"/>
    <hyperlink r:id="rId738" ref="A390"/>
    <hyperlink r:id="rId739" ref="C390"/>
    <hyperlink r:id="rId740" ref="A391"/>
    <hyperlink r:id="rId741" ref="C391"/>
    <hyperlink r:id="rId742" ref="A392"/>
    <hyperlink r:id="rId743" ref="A393"/>
    <hyperlink r:id="rId744" ref="C393"/>
    <hyperlink r:id="rId745" ref="A394"/>
    <hyperlink r:id="rId746" ref="C394"/>
    <hyperlink r:id="rId747" ref="A395"/>
    <hyperlink r:id="rId748" ref="C395"/>
    <hyperlink r:id="rId749" ref="A396"/>
    <hyperlink r:id="rId750" ref="C396"/>
    <hyperlink r:id="rId751" ref="A397"/>
    <hyperlink r:id="rId752" ref="C397"/>
    <hyperlink r:id="rId753" ref="A398"/>
    <hyperlink r:id="rId754" ref="C398"/>
    <hyperlink r:id="rId755" ref="A399"/>
    <hyperlink r:id="rId756" ref="C399"/>
    <hyperlink r:id="rId757" ref="A400"/>
    <hyperlink r:id="rId758" ref="C400"/>
    <hyperlink r:id="rId759" ref="A401"/>
    <hyperlink r:id="rId760" ref="C401"/>
    <hyperlink r:id="rId761" ref="A402"/>
    <hyperlink r:id="rId762" ref="C402"/>
    <hyperlink r:id="rId763" ref="A403"/>
    <hyperlink r:id="rId764" ref="C403"/>
    <hyperlink r:id="rId765" ref="A404"/>
    <hyperlink r:id="rId766" ref="C404"/>
    <hyperlink r:id="rId767" ref="A405"/>
    <hyperlink r:id="rId768" ref="C405"/>
    <hyperlink r:id="rId769" ref="A406"/>
    <hyperlink r:id="rId770" ref="C406"/>
    <hyperlink r:id="rId771" ref="A407"/>
    <hyperlink r:id="rId772" ref="C407"/>
    <hyperlink r:id="rId773" ref="A408"/>
    <hyperlink r:id="rId774" ref="C408"/>
    <hyperlink r:id="rId775" ref="A409"/>
    <hyperlink r:id="rId776" ref="C409"/>
    <hyperlink r:id="rId777" ref="A410"/>
    <hyperlink r:id="rId778" ref="C410"/>
    <hyperlink r:id="rId779" ref="A411"/>
    <hyperlink r:id="rId780" ref="C411"/>
    <hyperlink r:id="rId781" ref="A412"/>
    <hyperlink r:id="rId782" ref="C412"/>
    <hyperlink r:id="rId783" ref="A413"/>
    <hyperlink r:id="rId784" ref="C413"/>
    <hyperlink r:id="rId785" ref="A414"/>
    <hyperlink r:id="rId786" ref="C414"/>
    <hyperlink r:id="rId787" ref="A415"/>
    <hyperlink r:id="rId788" ref="C415"/>
    <hyperlink r:id="rId789" ref="A416"/>
    <hyperlink r:id="rId790" ref="A417"/>
    <hyperlink r:id="rId791" ref="C417"/>
    <hyperlink r:id="rId792" ref="A418"/>
    <hyperlink r:id="rId793" ref="C418"/>
    <hyperlink r:id="rId794" ref="A419"/>
    <hyperlink r:id="rId795" ref="C419"/>
    <hyperlink r:id="rId796" ref="A420"/>
    <hyperlink r:id="rId797" ref="C420"/>
    <hyperlink r:id="rId798" ref="A421"/>
    <hyperlink r:id="rId799" ref="C421"/>
    <hyperlink r:id="rId800" ref="A422"/>
    <hyperlink r:id="rId801" ref="C422"/>
    <hyperlink r:id="rId802" ref="A423"/>
    <hyperlink r:id="rId803" ref="C423"/>
    <hyperlink r:id="rId804" ref="A424"/>
    <hyperlink r:id="rId805" ref="C424"/>
    <hyperlink r:id="rId806" ref="A425"/>
    <hyperlink r:id="rId807" ref="C425"/>
    <hyperlink r:id="rId808" ref="A426"/>
    <hyperlink r:id="rId809" ref="C426"/>
    <hyperlink r:id="rId810" ref="A427"/>
    <hyperlink r:id="rId811" ref="C427"/>
    <hyperlink r:id="rId812" ref="A428"/>
    <hyperlink r:id="rId813" ref="C428"/>
    <hyperlink r:id="rId814" ref="A429"/>
    <hyperlink r:id="rId815" ref="C429"/>
    <hyperlink r:id="rId816" ref="A430"/>
    <hyperlink r:id="rId817" ref="C430"/>
    <hyperlink r:id="rId818" ref="A431"/>
    <hyperlink r:id="rId819" ref="C431"/>
    <hyperlink r:id="rId820" ref="A432"/>
    <hyperlink r:id="rId821" ref="C432"/>
    <hyperlink r:id="rId822" ref="A433"/>
    <hyperlink r:id="rId823" ref="C433"/>
    <hyperlink r:id="rId824" ref="A434"/>
    <hyperlink r:id="rId825" ref="C434"/>
    <hyperlink r:id="rId826" ref="A435"/>
    <hyperlink r:id="rId827" ref="C435"/>
    <hyperlink r:id="rId828" ref="A436"/>
    <hyperlink r:id="rId829" ref="C436"/>
    <hyperlink r:id="rId830" ref="A437"/>
    <hyperlink r:id="rId831" ref="C437"/>
    <hyperlink r:id="rId832" ref="A438"/>
    <hyperlink r:id="rId833" ref="C438"/>
    <hyperlink r:id="rId834" ref="A439"/>
    <hyperlink r:id="rId835" ref="C439"/>
    <hyperlink r:id="rId836" ref="A440"/>
    <hyperlink r:id="rId837" ref="C440"/>
    <hyperlink r:id="rId838" ref="A441"/>
    <hyperlink r:id="rId839" ref="C441"/>
    <hyperlink r:id="rId840" ref="A442"/>
    <hyperlink r:id="rId841" ref="A443"/>
    <hyperlink r:id="rId842" ref="A444"/>
    <hyperlink r:id="rId843" ref="A445"/>
    <hyperlink r:id="rId844" ref="A446"/>
    <hyperlink r:id="rId845" ref="C446"/>
    <hyperlink r:id="rId846" ref="A447"/>
    <hyperlink r:id="rId847" ref="C447"/>
    <hyperlink r:id="rId848" ref="A448"/>
    <hyperlink r:id="rId849" ref="C448"/>
    <hyperlink r:id="rId850" ref="A449"/>
    <hyperlink r:id="rId851" ref="C449"/>
    <hyperlink r:id="rId852" ref="A450"/>
    <hyperlink r:id="rId853" ref="C450"/>
    <hyperlink r:id="rId854" ref="A451"/>
    <hyperlink r:id="rId855" ref="C451"/>
    <hyperlink r:id="rId856" ref="A452"/>
    <hyperlink r:id="rId857" ref="C452"/>
    <hyperlink r:id="rId858" ref="A453"/>
    <hyperlink r:id="rId859" ref="C453"/>
    <hyperlink r:id="rId860" ref="A454"/>
    <hyperlink r:id="rId861" ref="C454"/>
    <hyperlink r:id="rId862" ref="A455"/>
    <hyperlink r:id="rId863" ref="C455"/>
    <hyperlink r:id="rId864" ref="A456"/>
    <hyperlink r:id="rId865" ref="C456"/>
    <hyperlink r:id="rId866" ref="A457"/>
    <hyperlink r:id="rId867" ref="C457"/>
    <hyperlink r:id="rId868" ref="A458"/>
    <hyperlink r:id="rId869" ref="C458"/>
    <hyperlink r:id="rId870" ref="A459"/>
    <hyperlink r:id="rId871" ref="C459"/>
    <hyperlink r:id="rId872" ref="A460"/>
    <hyperlink r:id="rId873" ref="C460"/>
    <hyperlink r:id="rId874" ref="A461"/>
    <hyperlink r:id="rId875" ref="C461"/>
    <hyperlink r:id="rId876" ref="A462"/>
    <hyperlink r:id="rId877" ref="C462"/>
    <hyperlink r:id="rId878" ref="A463"/>
    <hyperlink r:id="rId879" ref="C463"/>
    <hyperlink r:id="rId880" ref="A464"/>
    <hyperlink r:id="rId881" ref="C464"/>
    <hyperlink r:id="rId882" ref="A465"/>
    <hyperlink r:id="rId883" ref="C465"/>
    <hyperlink r:id="rId884" ref="A466"/>
    <hyperlink r:id="rId885" ref="C466"/>
    <hyperlink r:id="rId886" ref="A467"/>
    <hyperlink r:id="rId887" ref="C467"/>
    <hyperlink r:id="rId888" ref="A468"/>
    <hyperlink r:id="rId889" ref="C468"/>
    <hyperlink r:id="rId890" ref="A469"/>
    <hyperlink r:id="rId891" ref="C469"/>
    <hyperlink r:id="rId892" ref="A470"/>
    <hyperlink r:id="rId893" ref="A471"/>
    <hyperlink r:id="rId894" ref="A472"/>
    <hyperlink r:id="rId895" ref="A473"/>
    <hyperlink r:id="rId896" ref="A474"/>
    <hyperlink r:id="rId897" ref="A475"/>
    <hyperlink r:id="rId898" ref="C475"/>
    <hyperlink r:id="rId899" ref="A476"/>
    <hyperlink r:id="rId900" ref="C476"/>
    <hyperlink r:id="rId901" ref="A477"/>
    <hyperlink r:id="rId902" ref="C477"/>
    <hyperlink r:id="rId903" ref="A478"/>
    <hyperlink r:id="rId904" ref="C478"/>
    <hyperlink r:id="rId905" ref="A479"/>
    <hyperlink r:id="rId906" ref="C479"/>
    <hyperlink r:id="rId907" ref="A480"/>
    <hyperlink r:id="rId908" ref="C480"/>
    <hyperlink r:id="rId909" ref="A481"/>
    <hyperlink r:id="rId910" ref="C481"/>
    <hyperlink r:id="rId911" ref="A482"/>
    <hyperlink r:id="rId912" ref="C482"/>
    <hyperlink r:id="rId913" ref="A483"/>
    <hyperlink r:id="rId914" ref="C483"/>
    <hyperlink r:id="rId915" ref="A484"/>
    <hyperlink r:id="rId916" ref="C484"/>
    <hyperlink r:id="rId917" ref="A485"/>
    <hyperlink r:id="rId918" ref="C485"/>
    <hyperlink r:id="rId919" location=":~:text=Brainlabs%20focuses%20on%20scientific%20marketing,rely%20on%20modeling%20and%20testing." ref="A486"/>
    <hyperlink r:id="rId920" ref="A487"/>
    <hyperlink r:id="rId921" ref="C487"/>
    <hyperlink r:id="rId922" ref="A488"/>
    <hyperlink r:id="rId923" ref="C488"/>
    <hyperlink r:id="rId924" ref="A489"/>
    <hyperlink r:id="rId925" ref="C489"/>
    <hyperlink r:id="rId926" ref="A490"/>
    <hyperlink r:id="rId927" ref="C490"/>
    <hyperlink r:id="rId928" ref="A491"/>
    <hyperlink r:id="rId929" ref="C491"/>
    <hyperlink r:id="rId930" ref="A492"/>
    <hyperlink r:id="rId931" ref="A493"/>
    <hyperlink r:id="rId932" ref="A494"/>
    <hyperlink r:id="rId933" ref="A495"/>
    <hyperlink r:id="rId934" ref="C495"/>
    <hyperlink r:id="rId935" ref="A496"/>
    <hyperlink r:id="rId936" ref="C496"/>
    <hyperlink r:id="rId937" ref="A497"/>
    <hyperlink r:id="rId938" ref="C497"/>
    <hyperlink r:id="rId939" ref="A498"/>
    <hyperlink r:id="rId940" ref="A499"/>
    <hyperlink r:id="rId941" ref="C499"/>
    <hyperlink r:id="rId942" ref="A500"/>
    <hyperlink r:id="rId943" ref="C500"/>
    <hyperlink r:id="rId944" ref="A501"/>
    <hyperlink r:id="rId945" ref="C501"/>
    <hyperlink r:id="rId946" ref="A502"/>
    <hyperlink r:id="rId947" ref="C502"/>
    <hyperlink r:id="rId948" ref="A503"/>
    <hyperlink r:id="rId949" ref="C503"/>
    <hyperlink r:id="rId950" ref="A504"/>
    <hyperlink r:id="rId951" ref="C504"/>
    <hyperlink r:id="rId952" ref="A505"/>
    <hyperlink r:id="rId953" ref="C505"/>
    <hyperlink r:id="rId954" ref="A506"/>
    <hyperlink r:id="rId955" ref="C506"/>
    <hyperlink r:id="rId956" location=":~:text=PMG%20Advertising%20Agency%20is%20a,%2C%20affiliate%20marketing%2C%20and%20SEO." ref="A507"/>
    <hyperlink r:id="rId957" ref="C507"/>
    <hyperlink r:id="rId958" ref="A508"/>
    <hyperlink r:id="rId959" ref="C508"/>
    <hyperlink r:id="rId960" ref="A509"/>
    <hyperlink r:id="rId961" ref="C509"/>
    <hyperlink r:id="rId962" ref="A510"/>
    <hyperlink r:id="rId963" ref="C510"/>
    <hyperlink r:id="rId964" ref="A511"/>
    <hyperlink r:id="rId965" ref="C511"/>
    <hyperlink r:id="rId966" ref="A512"/>
    <hyperlink r:id="rId967" ref="C512"/>
    <hyperlink r:id="rId968" location=":~:text=B2B%20SaaS%20technical%20SEO%2C%20AI%20search%2C%20LLMO%2C,the%20UK%20market%20for%20enterprise%2Dscale%20SaaS%20organisations." ref="A513"/>
    <hyperlink r:id="rId969" ref="C513"/>
    <hyperlink r:id="rId970" ref="A514"/>
    <hyperlink r:id="rId971" ref="C514"/>
    <hyperlink r:id="rId972" ref="A515"/>
    <hyperlink r:id="rId973" ref="C515"/>
    <hyperlink r:id="rId974" ref="A516"/>
    <hyperlink r:id="rId975" ref="C516"/>
    <hyperlink r:id="rId976" ref="A517"/>
    <hyperlink r:id="rId977" ref="C517"/>
    <hyperlink r:id="rId978" ref="A518"/>
    <hyperlink r:id="rId979" ref="C518"/>
    <hyperlink r:id="rId980" ref="A519"/>
    <hyperlink r:id="rId981" ref="C519"/>
    <hyperlink r:id="rId982" ref="A520"/>
    <hyperlink r:id="rId983" ref="C520"/>
    <hyperlink r:id="rId984" ref="A521"/>
    <hyperlink r:id="rId985" ref="C521"/>
    <hyperlink r:id="rId986" ref="A522"/>
    <hyperlink r:id="rId987" ref="C522"/>
    <hyperlink r:id="rId988" ref="A523"/>
    <hyperlink r:id="rId989" ref="C523"/>
    <hyperlink r:id="rId990" ref="A524"/>
    <hyperlink r:id="rId991" ref="C524"/>
    <hyperlink r:id="rId992" ref="A525"/>
    <hyperlink r:id="rId993" ref="C525"/>
    <hyperlink r:id="rId994" ref="A526"/>
    <hyperlink r:id="rId995" ref="C526"/>
    <hyperlink r:id="rId996" ref="A527"/>
    <hyperlink r:id="rId997" ref="C527"/>
    <hyperlink r:id="rId998" ref="A528"/>
    <hyperlink r:id="rId999" ref="C528"/>
    <hyperlink r:id="rId1000" ref="A529"/>
    <hyperlink r:id="rId1001" ref="C529"/>
    <hyperlink r:id="rId1002" ref="A530"/>
    <hyperlink r:id="rId1003" ref="C530"/>
    <hyperlink r:id="rId1004" ref="A531"/>
    <hyperlink r:id="rId1005" ref="C531"/>
    <hyperlink r:id="rId1006" ref="A532"/>
    <hyperlink r:id="rId1007" ref="C532"/>
    <hyperlink r:id="rId1008" ref="A533"/>
    <hyperlink r:id="rId1009" ref="C533"/>
    <hyperlink r:id="rId1010" ref="A534"/>
    <hyperlink r:id="rId1011" ref="C534"/>
    <hyperlink r:id="rId1012" ref="A535"/>
    <hyperlink r:id="rId1013" ref="C535"/>
    <hyperlink r:id="rId1014" ref="A536"/>
    <hyperlink r:id="rId1015" ref="C536"/>
    <hyperlink r:id="rId1016" ref="A537"/>
    <hyperlink r:id="rId1017" ref="C537"/>
    <hyperlink r:id="rId1018" ref="A538"/>
    <hyperlink r:id="rId1019" ref="C538"/>
    <hyperlink r:id="rId1020" ref="A539"/>
    <hyperlink r:id="rId1021" ref="C539"/>
    <hyperlink r:id="rId1022" ref="A540"/>
    <hyperlink r:id="rId1023" ref="C540"/>
    <hyperlink r:id="rId1024" ref="A541"/>
    <hyperlink r:id="rId1025" ref="C541"/>
    <hyperlink r:id="rId1026" ref="A542"/>
    <hyperlink r:id="rId1027" ref="C542"/>
    <hyperlink r:id="rId1028" ref="A543"/>
    <hyperlink r:id="rId1029" ref="C543"/>
    <hyperlink r:id="rId1030" ref="A544"/>
    <hyperlink r:id="rId1031" ref="C544"/>
    <hyperlink r:id="rId1032" ref="A545"/>
    <hyperlink r:id="rId1033" ref="C545"/>
    <hyperlink r:id="rId1034" ref="A546"/>
    <hyperlink r:id="rId1035" ref="C546"/>
    <hyperlink r:id="rId1036" ref="A547"/>
    <hyperlink r:id="rId1037" ref="C547"/>
    <hyperlink r:id="rId1038" ref="A548"/>
    <hyperlink r:id="rId1039" ref="C548"/>
    <hyperlink r:id="rId1040" ref="A549"/>
    <hyperlink r:id="rId1041" ref="C549"/>
    <hyperlink r:id="rId1042" ref="A550"/>
    <hyperlink r:id="rId1043" ref="C550"/>
    <hyperlink r:id="rId1044" ref="A551"/>
    <hyperlink r:id="rId1045" ref="C551"/>
    <hyperlink r:id="rId1046" ref="A552"/>
    <hyperlink r:id="rId1047" ref="C552"/>
    <hyperlink r:id="rId1048" ref="A553"/>
    <hyperlink r:id="rId1049" ref="C553"/>
    <hyperlink r:id="rId1050" ref="A554"/>
    <hyperlink r:id="rId1051" ref="C554"/>
    <hyperlink r:id="rId1052" ref="A555"/>
    <hyperlink r:id="rId1053" ref="C555"/>
    <hyperlink r:id="rId1054" ref="A556"/>
    <hyperlink r:id="rId1055" ref="C556"/>
    <hyperlink r:id="rId1056" ref="A557"/>
    <hyperlink r:id="rId1057" ref="C557"/>
    <hyperlink r:id="rId1058" ref="A558"/>
    <hyperlink r:id="rId1059" ref="C558"/>
    <hyperlink r:id="rId1060" ref="A559"/>
    <hyperlink r:id="rId1061" ref="C559"/>
    <hyperlink r:id="rId1062" ref="A560"/>
    <hyperlink r:id="rId1063" ref="C560"/>
    <hyperlink r:id="rId1064" ref="A561"/>
    <hyperlink r:id="rId1065" ref="C561"/>
    <hyperlink r:id="rId1066" ref="A562"/>
    <hyperlink r:id="rId1067" ref="C562"/>
    <hyperlink r:id="rId1068" ref="A563"/>
    <hyperlink r:id="rId1069" ref="C563"/>
    <hyperlink r:id="rId1070" ref="A564"/>
    <hyperlink r:id="rId1071" ref="C564"/>
    <hyperlink r:id="rId1072" ref="A565"/>
    <hyperlink r:id="rId1073" ref="C565"/>
    <hyperlink r:id="rId1074" ref="A566"/>
    <hyperlink r:id="rId1075" ref="C566"/>
    <hyperlink r:id="rId1076" ref="A567"/>
    <hyperlink r:id="rId1077" ref="C567"/>
    <hyperlink r:id="rId1078" ref="A568"/>
    <hyperlink r:id="rId1079" ref="C568"/>
    <hyperlink r:id="rId1080" ref="A569"/>
    <hyperlink r:id="rId1081" ref="C569"/>
    <hyperlink r:id="rId1082" ref="A570"/>
    <hyperlink r:id="rId1083" ref="C570"/>
    <hyperlink r:id="rId1084" ref="A571"/>
    <hyperlink r:id="rId1085" ref="C571"/>
    <hyperlink r:id="rId1086" ref="A572"/>
    <hyperlink r:id="rId1087" ref="C572"/>
  </hyperlinks>
  <drawing r:id="rId1088"/>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All'!D2:D1000)))=""other""
  ),
  """"
)"),"https://www.polarisagency.com/marketing-insights/best-geo-services-uk/#:~:text=POLARIS%20earns%20the%20top%20position,broad%2Dbased%20organic%20search%20practice.&amp;text=POLARIS%20offers%20AI%20Search%20and,citation%20building%20through%20digital%20PR.")</f>
        <v>https://www.polarisagency.com/marketing-insights/best-geo-services-uk/#:~:text=POLARIS%20earns%20the%20top%20position,broad%2Dbased%20organic%20search%20practice.&amp;text=POLARIS%20offers%20AI%20Search%20and,citation%20building%20through%20digital%20PR.</v>
      </c>
      <c r="B2" s="15" t="str">
        <f>IFERROR(__xludf.DUMMYFUNCTION("""COMPUTED_VALUE"""),"The 10 Best GEO Agencies in the UK | Agency Reviews")</f>
        <v>The 10 Best GEO Agencies in the UK | Agency Reviews</v>
      </c>
      <c r="C2" s="14" t="str">
        <f>IFERROR(__xludf.DUMMYFUNCTION("""COMPUTED_VALUE"""),"polarisagency.com")</f>
        <v>polarisagency.com</v>
      </c>
      <c r="D2" s="15" t="str">
        <f>IFERROR(__xludf.DUMMYFUNCTION("""COMPUTED_VALUE"""),"OTHER")</f>
        <v>OTHER</v>
      </c>
      <c r="E2" s="15" t="str">
        <f>IFERROR(__xludf.DUMMYFUNCTION("""COMPUTED_VALUE"""),"COMPETITOR")</f>
        <v>COMPETITOR</v>
      </c>
      <c r="F2" s="15" t="str">
        <f>IFERROR(__xludf.DUMMYFUNCTION("""COMPUTED_VALUE"""),"Other")</f>
        <v>Other</v>
      </c>
      <c r="G2" s="15" t="b">
        <f>IFERROR(__xludf.DUMMYFUNCTION("""COMPUTED_VALUE"""),FALSE)</f>
        <v>0</v>
      </c>
      <c r="H2" s="15" t="str">
        <f>IFERROR(__xludf.DUMMYFUNCTION("""COMPUTED_VALUE"""),"Polaris, Passion Digital, Found, Blue Array, Siege Media, Charle Agency, The SEO Works, Directive Consulting")</f>
        <v>Polaris, Passion Digital, Found, Blue Array, Siege Media, Charle Agency, The SEO Works, Directive Consulting</v>
      </c>
      <c r="I2" s="15">
        <f>IFERROR(__xludf.DUMMYFUNCTION("""COMPUTED_VALUE"""),67.0)</f>
        <v>67</v>
      </c>
      <c r="J2" s="15">
        <f>IFERROR(__xludf.DUMMYFUNCTION("""COMPUTED_VALUE"""),0.07)</f>
        <v>0.07</v>
      </c>
      <c r="K2" s="15">
        <f>IFERROR(__xludf.DUMMYFUNCTION("""COMPUTED_VALUE"""),0.91)</f>
        <v>0.91</v>
      </c>
    </row>
    <row r="3" ht="15.75" customHeight="1">
      <c r="A3" s="14" t="str">
        <f>IFERROR(__xludf.DUMMYFUNCTION("""COMPUTED_VALUE"""),"https://www.geniecrawl.com/top-50-geo-and-ai-marketing-agencies-in-the-uk-2026-rankings/")</f>
        <v>https://www.geniecrawl.com/top-50-geo-and-ai-marketing-agencies-in-the-uk-2026-rankings/</v>
      </c>
      <c r="B3" s="15" t="str">
        <f>IFERROR(__xludf.DUMMYFUNCTION("""COMPUTED_VALUE"""),"UK’s Leading GEO &amp; AI Marketing Agencies for 2026")</f>
        <v>UK’s Leading GEO &amp; AI Marketing Agencies for 2026</v>
      </c>
      <c r="C3" s="14" t="str">
        <f>IFERROR(__xludf.DUMMYFUNCTION("""COMPUTED_VALUE"""),"geniecrawl.com")</f>
        <v>geniecrawl.com</v>
      </c>
      <c r="D3" s="15" t="str">
        <f>IFERROR(__xludf.DUMMYFUNCTION("""COMPUTED_VALUE"""),"OTHER")</f>
        <v>OTHER</v>
      </c>
      <c r="E3" s="15" t="str">
        <f>IFERROR(__xludf.DUMMYFUNCTION("""COMPUTED_VALUE"""),"OTHER")</f>
        <v>OTHER</v>
      </c>
      <c r="F3" s="15" t="str">
        <f>IFERROR(__xludf.DUMMYFUNCTION("""COMPUTED_VALUE"""),"Other")</f>
        <v>Other</v>
      </c>
      <c r="G3" s="15" t="b">
        <f>IFERROR(__xludf.DUMMYFUNCTION("""COMPUTED_VALUE"""),FALSE)</f>
        <v>0</v>
      </c>
      <c r="H3" s="15" t="str">
        <f>IFERROR(__xludf.DUMMYFUNCTION("""COMPUTED_VALUE"""),"Genie Crawl, ClickSlice, The SEO Works, Hallam, Bird Marketing, Push, Push Group, Propeller, Passion Digital, ROAST, Click Intelligence, Croud, Whitehat, Varn, Polaris, Koozai, Found, Blue Array, Impression, Rise at Seven, Havas Market UK, The Good Market"&amp;"er, LOCALiQ")</f>
        <v>Genie Crawl, ClickSlice, The SEO Works, Hallam, Bird Marketing, Push, Push Group, Propeller, Passion Digital, ROAST, Click Intelligence, Croud, Whitehat, Varn, Polaris, Koozai, Found, Blue Array, Impression, Rise at Seven, Havas Market UK, The Good Marketer, LOCALiQ</v>
      </c>
      <c r="I3" s="15">
        <f>IFERROR(__xludf.DUMMYFUNCTION("""COMPUTED_VALUE"""),42.0)</f>
        <v>42</v>
      </c>
      <c r="J3" s="15">
        <f>IFERROR(__xludf.DUMMYFUNCTION("""COMPUTED_VALUE"""),0.04)</f>
        <v>0.04</v>
      </c>
      <c r="K3" s="15">
        <f>IFERROR(__xludf.DUMMYFUNCTION("""COMPUTED_VALUE"""),0.76)</f>
        <v>0.76</v>
      </c>
    </row>
    <row r="4" ht="15.75" customHeight="1">
      <c r="A4" s="14" t="str">
        <f>IFERROR(__xludf.DUMMYFUNCTION("""COMPUTED_VALUE"""),"https://open.partners/open-partners-insights/uk-marketing-agencies-that-work-with-google/#:~:text=Each%20one%20has%20demonstrated%20excellence,TikTok%20Agency%20Partner")</f>
        <v>https://open.partners/open-partners-insights/uk-marketing-agencies-that-work-with-google/#:~:text=Each%20one%20has%20demonstrated%20excellence,TikTok%20Agency%20Partner</v>
      </c>
      <c r="B4" s="15" t="str">
        <f>IFERROR(__xludf.DUMMYFUNCTION("""COMPUTED_VALUE"""),"10 UK marketing agencies that work with Google | Open Partners")</f>
        <v>10 UK marketing agencies that work with Google | Open Partners</v>
      </c>
      <c r="C4" s="15" t="str">
        <f>IFERROR(__xludf.DUMMYFUNCTION("""COMPUTED_VALUE"""),"open.partners")</f>
        <v>open.partners</v>
      </c>
      <c r="D4" s="15" t="str">
        <f>IFERROR(__xludf.DUMMYFUNCTION("""COMPUTED_VALUE"""),"OTHER")</f>
        <v>OTHER</v>
      </c>
      <c r="E4" s="15" t="str">
        <f>IFERROR(__xludf.DUMMYFUNCTION("""COMPUTED_VALUE"""),"COMPETITOR")</f>
        <v>COMPETITOR</v>
      </c>
      <c r="F4" s="15" t="str">
        <f>IFERROR(__xludf.DUMMYFUNCTION("""COMPUTED_VALUE"""),"Other")</f>
        <v>Other</v>
      </c>
      <c r="G4" s="15"/>
      <c r="H4" s="15" t="str">
        <f>IFERROR(__xludf.DUMMYFUNCTION("""COMPUTED_VALUE"""),"Unknown")</f>
        <v>Unknown</v>
      </c>
      <c r="I4" s="15">
        <f>IFERROR(__xludf.DUMMYFUNCTION("""COMPUTED_VALUE"""),38.0)</f>
        <v>38</v>
      </c>
      <c r="J4" s="15">
        <f>IFERROR(__xludf.DUMMYFUNCTION("""COMPUTED_VALUE"""),0.04)</f>
        <v>0.04</v>
      </c>
      <c r="K4" s="15">
        <f>IFERROR(__xludf.DUMMYFUNCTION("""COMPUTED_VALUE"""),2.71)</f>
        <v>2.71</v>
      </c>
    </row>
    <row r="5" ht="15.75" customHeight="1">
      <c r="A5" s="14" t="str">
        <f>IFERROR(__xludf.DUMMYFUNCTION("""COMPUTED_VALUE"""),"https://www.consultico.co.uk/articles/best-ppc-agencies-uk#:~:text=Its%20track%20record%20spans%20large,automation%20depth%20and%20consistent%20results.")</f>
        <v>https://www.consultico.co.uk/articles/best-ppc-agencies-uk#:~:text=Its%20track%20record%20spans%20large,automation%20depth%20and%20consistent%20results.</v>
      </c>
      <c r="B5" s="15" t="str">
        <f>IFERROR(__xludf.DUMMYFUNCTION("""COMPUTED_VALUE"""),"Best PPC Agencies in the UK (2026): 7 Top Companies Compared | Consultico")</f>
        <v>Best PPC Agencies in the UK (2026): 7 Top Companies Compared | Consultico</v>
      </c>
      <c r="C5" s="14" t="str">
        <f>IFERROR(__xludf.DUMMYFUNCTION("""COMPUTED_VALUE"""),"consultico.co.uk")</f>
        <v>consultico.co.uk</v>
      </c>
      <c r="D5" s="15" t="str">
        <f>IFERROR(__xludf.DUMMYFUNCTION("""COMPUTED_VALUE"""),"OTHER")</f>
        <v>OTHER</v>
      </c>
      <c r="E5" s="15" t="str">
        <f>IFERROR(__xludf.DUMMYFUNCTION("""COMPUTED_VALUE"""),"CORPORATE")</f>
        <v>CORPORATE</v>
      </c>
      <c r="F5" s="15" t="str">
        <f>IFERROR(__xludf.DUMMYFUNCTION("""COMPUTED_VALUE"""),"Other")</f>
        <v>Other</v>
      </c>
      <c r="G5" s="15" t="b">
        <f>IFERROR(__xludf.DUMMYFUNCTION("""COMPUTED_VALUE"""),FALSE)</f>
        <v>0</v>
      </c>
      <c r="H5" s="15" t="str">
        <f>IFERROR(__xludf.DUMMYFUNCTION("""COMPUTED_VALUE"""),"Jellyfish, Croud, Push, Push Group")</f>
        <v>Jellyfish, Croud, Push, Push Group</v>
      </c>
      <c r="I5" s="15">
        <f>IFERROR(__xludf.DUMMYFUNCTION("""COMPUTED_VALUE"""),34.0)</f>
        <v>34</v>
      </c>
      <c r="J5" s="15">
        <f>IFERROR(__xludf.DUMMYFUNCTION("""COMPUTED_VALUE"""),0.03)</f>
        <v>0.03</v>
      </c>
      <c r="K5" s="15">
        <f>IFERROR(__xludf.DUMMYFUNCTION("""COMPUTED_VALUE"""),1.03)</f>
        <v>1.03</v>
      </c>
    </row>
    <row r="6" ht="15.75" customHeight="1">
      <c r="A6" s="14" t="str">
        <f>IFERROR(__xludf.DUMMYFUNCTION("""COMPUTED_VALUE"""),"https://www.havasmarket.co.uk/google-marketing-platform/#:~:text=Google%20Marketing%20Platform%20Partner%20Agency,and%20measure%20in%20one%20place.")</f>
        <v>https://www.havasmarket.co.uk/google-marketing-platform/#:~:text=Google%20Marketing%20Platform%20Partner%20Agency,and%20measure%20in%20one%20place.</v>
      </c>
      <c r="B6" s="15" t="str">
        <f>IFERROR(__xludf.DUMMYFUNCTION("""COMPUTED_VALUE"""),"Google Marketing Platform Partner Agency | Havas Market UK")</f>
        <v>Google Marketing Platform Partner Agency | Havas Market UK</v>
      </c>
      <c r="C6" s="14" t="str">
        <f>IFERROR(__xludf.DUMMYFUNCTION("""COMPUTED_VALUE"""),"havasmarket.co.uk")</f>
        <v>havasmarket.co.uk</v>
      </c>
      <c r="D6" s="15" t="str">
        <f>IFERROR(__xludf.DUMMYFUNCTION("""COMPUTED_VALUE"""),"OTHER")</f>
        <v>OTHER</v>
      </c>
      <c r="E6" s="15" t="str">
        <f>IFERROR(__xludf.DUMMYFUNCTION("""COMPUTED_VALUE"""),"COMPETITOR")</f>
        <v>COMPETITOR</v>
      </c>
      <c r="F6" s="15" t="str">
        <f>IFERROR(__xludf.DUMMYFUNCTION("""COMPUTED_VALUE"""),"Other")</f>
        <v>Other</v>
      </c>
      <c r="G6" s="15" t="b">
        <f>IFERROR(__xludf.DUMMYFUNCTION("""COMPUTED_VALUE"""),FALSE)</f>
        <v>0</v>
      </c>
      <c r="H6" s="15" t="str">
        <f>IFERROR(__xludf.DUMMYFUNCTION("""COMPUTED_VALUE"""),"Havas Market UK")</f>
        <v>Havas Market UK</v>
      </c>
      <c r="I6" s="15">
        <f>IFERROR(__xludf.DUMMYFUNCTION("""COMPUTED_VALUE"""),33.0)</f>
        <v>33</v>
      </c>
      <c r="J6" s="15">
        <f>IFERROR(__xludf.DUMMYFUNCTION("""COMPUTED_VALUE"""),0.03)</f>
        <v>0.03</v>
      </c>
      <c r="K6" s="15">
        <f>IFERROR(__xludf.DUMMYFUNCTION("""COMPUTED_VALUE"""),1.3)</f>
        <v>1.3</v>
      </c>
    </row>
    <row r="7" ht="15.75" customHeight="1">
      <c r="A7" s="14" t="str">
        <f>IFERROR(__xludf.DUMMYFUNCTION("""COMPUTED_VALUE"""),"https://www.found.co.uk/blog/best-aio-ai-optimisation-agencies/")</f>
        <v>https://www.found.co.uk/blog/best-aio-ai-optimisation-agencies/</v>
      </c>
      <c r="B7" s="15" t="str">
        <f>IFERROR(__xludf.DUMMYFUNCTION("""COMPUTED_VALUE"""),"Best AIO (AI Optimisation) Agencies in the UK \| Found")</f>
        <v>Best AIO (AI Optimisation) Agencies in the UK \| Found</v>
      </c>
      <c r="C7" s="14" t="str">
        <f>IFERROR(__xludf.DUMMYFUNCTION("""COMPUTED_VALUE"""),"found.co.uk")</f>
        <v>found.co.uk</v>
      </c>
      <c r="D7" s="15" t="str">
        <f>IFERROR(__xludf.DUMMYFUNCTION("""COMPUTED_VALUE"""),"OTHER")</f>
        <v>OTHER</v>
      </c>
      <c r="E7" s="15" t="str">
        <f>IFERROR(__xludf.DUMMYFUNCTION("""COMPUTED_VALUE"""),"CORPORATE")</f>
        <v>CORPORATE</v>
      </c>
      <c r="F7" s="15" t="str">
        <f>IFERROR(__xludf.DUMMYFUNCTION("""COMPUTED_VALUE"""),"Other")</f>
        <v>Other</v>
      </c>
      <c r="G7" s="15" t="b">
        <f>IFERROR(__xludf.DUMMYFUNCTION("""COMPUTED_VALUE"""),FALSE)</f>
        <v>0</v>
      </c>
      <c r="H7" s="15" t="str">
        <f>IFERROR(__xludf.DUMMYFUNCTION("""COMPUTED_VALUE"""),"Found, Dept, Rise at Seven, Jellyfish, ROAST, Koozai")</f>
        <v>Found, Dept, Rise at Seven, Jellyfish, ROAST, Koozai</v>
      </c>
      <c r="I7" s="15">
        <f>IFERROR(__xludf.DUMMYFUNCTION("""COMPUTED_VALUE"""),26.0)</f>
        <v>26</v>
      </c>
      <c r="J7" s="15">
        <f>IFERROR(__xludf.DUMMYFUNCTION("""COMPUTED_VALUE"""),0.03)</f>
        <v>0.03</v>
      </c>
      <c r="K7" s="15">
        <f>IFERROR(__xludf.DUMMYFUNCTION("""COMPUTED_VALUE"""),1.27)</f>
        <v>1.27</v>
      </c>
    </row>
    <row r="8" ht="15.75" customHeight="1">
      <c r="A8" s="14" t="str">
        <f>IFERROR(__xludf.DUMMYFUNCTION("""COMPUTED_VALUE"""),"https://agencies.semrush.com/list/display-advertising/united-kingdom/enterprise-business/")</f>
        <v>https://agencies.semrush.com/list/display-advertising/united-kingdom/enterprise-business/</v>
      </c>
      <c r="B8" s="15" t="str">
        <f>IFERROR(__xludf.DUMMYFUNCTION("""COMPUTED_VALUE"""),"Best Display Ads Agencies for Enterprise Business in United Kingdom 2026 | Semrush")</f>
        <v>Best Display Ads Agencies for Enterprise Business in United Kingdom 2026 | Semrush</v>
      </c>
      <c r="C8" s="14" t="str">
        <f>IFERROR(__xludf.DUMMYFUNCTION("""COMPUTED_VALUE"""),"semrush.com")</f>
        <v>semrush.com</v>
      </c>
      <c r="D8" s="15" t="str">
        <f>IFERROR(__xludf.DUMMYFUNCTION("""COMPUTED_VALUE"""),"OTHER")</f>
        <v>OTHER</v>
      </c>
      <c r="E8" s="15" t="str">
        <f>IFERROR(__xludf.DUMMYFUNCTION("""COMPUTED_VALUE"""),"CORPORATE")</f>
        <v>CORPORATE</v>
      </c>
      <c r="F8" s="15" t="str">
        <f>IFERROR(__xludf.DUMMYFUNCTION("""COMPUTED_VALUE"""),"Other")</f>
        <v>Other</v>
      </c>
      <c r="G8" s="15" t="b">
        <f>IFERROR(__xludf.DUMMYFUNCTION("""COMPUTED_VALUE"""),FALSE)</f>
        <v>0</v>
      </c>
      <c r="H8" s="15" t="str">
        <f>IFERROR(__xludf.DUMMYFUNCTION("""COMPUTED_VALUE"""),"Found, Soap Media, GA Agency, The SEO Works, ROAST")</f>
        <v>Found, Soap Media, GA Agency, The SEO Works, ROAST</v>
      </c>
      <c r="I8" s="15">
        <f>IFERROR(__xludf.DUMMYFUNCTION("""COMPUTED_VALUE"""),23.0)</f>
        <v>23</v>
      </c>
      <c r="J8" s="15">
        <f>IFERROR(__xludf.DUMMYFUNCTION("""COMPUTED_VALUE"""),0.02)</f>
        <v>0.02</v>
      </c>
      <c r="K8" s="15">
        <f>IFERROR(__xludf.DUMMYFUNCTION("""COMPUTED_VALUE"""),0.0)</f>
        <v>0</v>
      </c>
    </row>
    <row r="9" ht="15.75" customHeight="1">
      <c r="A9" s="14" t="str">
        <f>IFERROR(__xludf.DUMMYFUNCTION("""COMPUTED_VALUE"""),"https://clutch.co/agencies/ppc/display/uk")</f>
        <v>https://clutch.co/agencies/ppc/display/uk</v>
      </c>
      <c r="B9" s="15" t="str">
        <f>IFERROR(__xludf.DUMMYFUNCTION("""COMPUTED_VALUE"""),"Top Display Advertising Services in the United Kingdom - Jul 2026 Rankings \| Clutch.co")</f>
        <v>Top Display Advertising Services in the United Kingdom - Jul 2026 Rankings \| Clutch.co</v>
      </c>
      <c r="C9" s="14" t="str">
        <f>IFERROR(__xludf.DUMMYFUNCTION("""COMPUTED_VALUE"""),"clutch.co")</f>
        <v>clutch.co</v>
      </c>
      <c r="D9" s="15" t="str">
        <f>IFERROR(__xludf.DUMMYFUNCTION("""COMPUTED_VALUE"""),"OTHER")</f>
        <v>OTHER</v>
      </c>
      <c r="E9" s="15" t="str">
        <f>IFERROR(__xludf.DUMMYFUNCTION("""COMPUTED_VALUE"""),"CORPORATE")</f>
        <v>CORPORATE</v>
      </c>
      <c r="F9" s="15" t="str">
        <f>IFERROR(__xludf.DUMMYFUNCTION("""COMPUTED_VALUE"""),"Other")</f>
        <v>Other</v>
      </c>
      <c r="G9" s="15" t="b">
        <f>IFERROR(__xludf.DUMMYFUNCTION("""COMPUTED_VALUE"""),FALSE)</f>
        <v>0</v>
      </c>
      <c r="H9" s="15" t="str">
        <f>IFERROR(__xludf.DUMMYFUNCTION("""COMPUTED_VALUE"""),"Ninja Promo, Soap Media, The SEO Works, GA Agency, Bind Media, Found")</f>
        <v>Ninja Promo, Soap Media, The SEO Works, GA Agency, Bind Media, Found</v>
      </c>
      <c r="I9" s="15">
        <f>IFERROR(__xludf.DUMMYFUNCTION("""COMPUTED_VALUE"""),22.0)</f>
        <v>22</v>
      </c>
      <c r="J9" s="15">
        <f>IFERROR(__xludf.DUMMYFUNCTION("""COMPUTED_VALUE"""),0.02)</f>
        <v>0.02</v>
      </c>
      <c r="K9" s="15">
        <f>IFERROR(__xludf.DUMMYFUNCTION("""COMPUTED_VALUE"""),1.36)</f>
        <v>1.36</v>
      </c>
    </row>
    <row r="10" ht="15.75" customHeight="1">
      <c r="A10" s="14" t="str">
        <f>IFERROR(__xludf.DUMMYFUNCTION("""COMPUTED_VALUE"""),"https://support.google.com/analytics/answer/7237700?hl=en")</f>
        <v>https://support.google.com/analytics/answer/7237700?hl=en</v>
      </c>
      <c r="B10" s="15" t="str">
        <f>IFERROR(__xludf.DUMMYFUNCTION("""COMPUTED_VALUE"""),"Google Marketing Platform Partners - Analytics Help")</f>
        <v>Google Marketing Platform Partners - Analytics Help</v>
      </c>
      <c r="C10" s="14" t="str">
        <f>IFERROR(__xludf.DUMMYFUNCTION("""COMPUTED_VALUE"""),"google.com")</f>
        <v>google.com</v>
      </c>
      <c r="D10" s="15" t="str">
        <f>IFERROR(__xludf.DUMMYFUNCTION("""COMPUTED_VALUE"""),"OTHER")</f>
        <v>OTHER</v>
      </c>
      <c r="E10" s="15" t="str">
        <f>IFERROR(__xludf.DUMMYFUNCTION("""COMPUTED_VALUE"""),"OTHER")</f>
        <v>OTHER</v>
      </c>
      <c r="F10" s="15" t="str">
        <f>IFERROR(__xludf.DUMMYFUNCTION("""COMPUTED_VALUE"""),"Other")</f>
        <v>Other</v>
      </c>
      <c r="G10" s="15" t="b">
        <f>IFERROR(__xludf.DUMMYFUNCTION("""COMPUTED_VALUE"""),FALSE)</f>
        <v>0</v>
      </c>
      <c r="H10" s="15"/>
      <c r="I10" s="15">
        <f>IFERROR(__xludf.DUMMYFUNCTION("""COMPUTED_VALUE"""),21.0)</f>
        <v>21</v>
      </c>
      <c r="J10" s="15">
        <f>IFERROR(__xludf.DUMMYFUNCTION("""COMPUTED_VALUE"""),0.02)</f>
        <v>0.02</v>
      </c>
      <c r="K10" s="15">
        <f>IFERROR(__xludf.DUMMYFUNCTION("""COMPUTED_VALUE"""),1.81)</f>
        <v>1.81</v>
      </c>
    </row>
    <row r="11" ht="15.75" customHeight="1">
      <c r="A11" s="14" t="str">
        <f>IFERROR(__xludf.DUMMYFUNCTION("""COMPUTED_VALUE"""),"https://thesocialshepherd.com/blog/top-digital-marketing-agencies-uk#:~:text=They%20believe%20that%20weaving%20stories,Gripped")</f>
        <v>https://thesocialshepherd.com/blog/top-digital-marketing-agencies-uk#:~:text=They%20believe%20that%20weaving%20stories,Gripped</v>
      </c>
      <c r="B11" s="15" t="str">
        <f>IFERROR(__xludf.DUMMYFUNCTION("""COMPUTED_VALUE"""),"The Social Shepherd | Top 17 Digital Marketing Agencies In The UK…")</f>
        <v>The Social Shepherd | Top 17 Digital Marketing Agencies In The UK…</v>
      </c>
      <c r="C11" s="14" t="str">
        <f>IFERROR(__xludf.DUMMYFUNCTION("""COMPUTED_VALUE"""),"thesocialshepherd.com")</f>
        <v>thesocialshepherd.com</v>
      </c>
      <c r="D11" s="15" t="str">
        <f>IFERROR(__xludf.DUMMYFUNCTION("""COMPUTED_VALUE"""),"OTHER")</f>
        <v>OTHER</v>
      </c>
      <c r="E11" s="15" t="str">
        <f>IFERROR(__xludf.DUMMYFUNCTION("""COMPUTED_VALUE"""),"COMPETITOR")</f>
        <v>COMPETITOR</v>
      </c>
      <c r="F11" s="15" t="str">
        <f>IFERROR(__xludf.DUMMYFUNCTION("""COMPUTED_VALUE"""),"Other")</f>
        <v>Other</v>
      </c>
      <c r="G11" s="15" t="b">
        <f>IFERROR(__xludf.DUMMYFUNCTION("""COMPUTED_VALUE"""),FALSE)</f>
        <v>0</v>
      </c>
      <c r="H11" s="15" t="str">
        <f>IFERROR(__xludf.DUMMYFUNCTION("""COMPUTED_VALUE"""),"The Social Shepherd, Gripped, Found, The Good Marketer, Impression, We Are Social, Saatchi &amp; Saatchi, Huge, BBH London")</f>
        <v>The Social Shepherd, Gripped, Found, The Good Marketer, Impression, We Are Social, Saatchi &amp; Saatchi, Huge, BBH London</v>
      </c>
      <c r="I11" s="15">
        <f>IFERROR(__xludf.DUMMYFUNCTION("""COMPUTED_VALUE"""),17.0)</f>
        <v>17</v>
      </c>
      <c r="J11" s="15">
        <f>IFERROR(__xludf.DUMMYFUNCTION("""COMPUTED_VALUE"""),0.02)</f>
        <v>0.02</v>
      </c>
      <c r="K11" s="15">
        <f>IFERROR(__xludf.DUMMYFUNCTION("""COMPUTED_VALUE"""),2.76)</f>
        <v>2.76</v>
      </c>
    </row>
    <row r="12" ht="15.75" customHeight="1">
      <c r="A12" s="14" t="str">
        <f>IFERROR(__xludf.DUMMYFUNCTION("""COMPUTED_VALUE"""),"https://marketingplatform.google.com/about/partners/?hl=uk")</f>
        <v>https://marketingplatform.google.com/about/partners/?hl=uk</v>
      </c>
      <c r="B12" s="15"/>
      <c r="C12" s="14" t="str">
        <f>IFERROR(__xludf.DUMMYFUNCTION("""COMPUTED_VALUE"""),"google.com")</f>
        <v>google.com</v>
      </c>
      <c r="D12" s="15" t="str">
        <f>IFERROR(__xludf.DUMMYFUNCTION("""COMPUTED_VALUE"""),"OTHER")</f>
        <v>OTHER</v>
      </c>
      <c r="E12" s="15" t="str">
        <f>IFERROR(__xludf.DUMMYFUNCTION("""COMPUTED_VALUE"""),"OTHER")</f>
        <v>OTHER</v>
      </c>
      <c r="F12" s="15" t="str">
        <f>IFERROR(__xludf.DUMMYFUNCTION("""COMPUTED_VALUE"""),"Other")</f>
        <v>Other</v>
      </c>
      <c r="G12" s="15"/>
      <c r="H12" s="15" t="str">
        <f>IFERROR(__xludf.DUMMYFUNCTION("""COMPUTED_VALUE"""),"Unknown")</f>
        <v>Unknown</v>
      </c>
      <c r="I12" s="15">
        <f>IFERROR(__xludf.DUMMYFUNCTION("""COMPUTED_VALUE"""),16.0)</f>
        <v>16</v>
      </c>
      <c r="J12" s="15">
        <f>IFERROR(__xludf.DUMMYFUNCTION("""COMPUTED_VALUE"""),0.02)</f>
        <v>0.02</v>
      </c>
      <c r="K12" s="15">
        <f>IFERROR(__xludf.DUMMYFUNCTION("""COMPUTED_VALUE"""),2.44)</f>
        <v>2.44</v>
      </c>
    </row>
    <row r="13" ht="15.75" customHeight="1">
      <c r="A13" s="14" t="str">
        <f>IFERROR(__xludf.DUMMYFUNCTION("""COMPUTED_VALUE"""),"https://www.polarisagency.com/us/marketing-insights/best-geo-services-uk/")</f>
        <v>https://www.polarisagency.com/us/marketing-insights/best-geo-services-uk/</v>
      </c>
      <c r="B13" s="15" t="str">
        <f>IFERROR(__xludf.DUMMYFUNCTION("""COMPUTED_VALUE"""),"The 10 Best GEO Agencies in the UK | Agency Reviews")</f>
        <v>The 10 Best GEO Agencies in the UK | Agency Reviews</v>
      </c>
      <c r="C13" s="14" t="str">
        <f>IFERROR(__xludf.DUMMYFUNCTION("""COMPUTED_VALUE"""),"polarisagency.com")</f>
        <v>polarisagency.com</v>
      </c>
      <c r="D13" s="15" t="str">
        <f>IFERROR(__xludf.DUMMYFUNCTION("""COMPUTED_VALUE"""),"OTHER")</f>
        <v>OTHER</v>
      </c>
      <c r="E13" s="15" t="str">
        <f>IFERROR(__xludf.DUMMYFUNCTION("""COMPUTED_VALUE"""),"COMPETITOR")</f>
        <v>COMPETITOR</v>
      </c>
      <c r="F13" s="15" t="str">
        <f>IFERROR(__xludf.DUMMYFUNCTION("""COMPUTED_VALUE"""),"Other")</f>
        <v>Other</v>
      </c>
      <c r="G13" s="15" t="b">
        <f>IFERROR(__xludf.DUMMYFUNCTION("""COMPUTED_VALUE"""),FALSE)</f>
        <v>0</v>
      </c>
      <c r="H13" s="15" t="str">
        <f>IFERROR(__xludf.DUMMYFUNCTION("""COMPUTED_VALUE"""),"Polaris, Passion Digital, Found, Blue Array, Siege Media, Charle Agency, The SEO Works, Directive Consulting")</f>
        <v>Polaris, Passion Digital, Found, Blue Array, Siege Media, Charle Agency, The SEO Works, Directive Consulting</v>
      </c>
      <c r="I13" s="15">
        <f>IFERROR(__xludf.DUMMYFUNCTION("""COMPUTED_VALUE"""),16.0)</f>
        <v>16</v>
      </c>
      <c r="J13" s="15">
        <f>IFERROR(__xludf.DUMMYFUNCTION("""COMPUTED_VALUE"""),0.02)</f>
        <v>0.02</v>
      </c>
      <c r="K13" s="15">
        <f>IFERROR(__xludf.DUMMYFUNCTION("""COMPUTED_VALUE"""),0.75)</f>
        <v>0.75</v>
      </c>
    </row>
    <row r="14" ht="15.75" customHeight="1">
      <c r="A14" s="14" t="str">
        <f>IFERROR(__xludf.DUMMYFUNCTION("""COMPUTED_VALUE"""),"https://partnersdirectory.withgoogle.com/intl/en-GB/")</f>
        <v>https://partnersdirectory.withgoogle.com/intl/en-GB/</v>
      </c>
      <c r="B14" s="15" t="str">
        <f>IFERROR(__xludf.DUMMYFUNCTION("""COMPUTED_VALUE"""),"Google Partners directory – Find a Partner for business growth")</f>
        <v>Google Partners directory – Find a Partner for business growth</v>
      </c>
      <c r="C14" s="14" t="str">
        <f>IFERROR(__xludf.DUMMYFUNCTION("""COMPUTED_VALUE"""),"withgoogle.com")</f>
        <v>withgoogle.com</v>
      </c>
      <c r="D14" s="15" t="str">
        <f>IFERROR(__xludf.DUMMYFUNCTION("""COMPUTED_VALUE"""),"OTHER")</f>
        <v>OTHER</v>
      </c>
      <c r="E14" s="15" t="str">
        <f>IFERROR(__xludf.DUMMYFUNCTION("""COMPUTED_VALUE"""),"CORPORATE")</f>
        <v>CORPORATE</v>
      </c>
      <c r="F14" s="15" t="str">
        <f>IFERROR(__xludf.DUMMYFUNCTION("""COMPUTED_VALUE"""),"Other")</f>
        <v>Other</v>
      </c>
      <c r="G14" s="15" t="b">
        <f>IFERROR(__xludf.DUMMYFUNCTION("""COMPUTED_VALUE"""),FALSE)</f>
        <v>0</v>
      </c>
      <c r="H14" s="15" t="str">
        <f>IFERROR(__xludf.DUMMYFUNCTION("""COMPUTED_VALUE"""),"Acadia")</f>
        <v>Acadia</v>
      </c>
      <c r="I14" s="15">
        <f>IFERROR(__xludf.DUMMYFUNCTION("""COMPUTED_VALUE"""),15.0)</f>
        <v>15</v>
      </c>
      <c r="J14" s="15">
        <f>IFERROR(__xludf.DUMMYFUNCTION("""COMPUTED_VALUE"""),0.01)</f>
        <v>0.01</v>
      </c>
      <c r="K14" s="15">
        <f>IFERROR(__xludf.DUMMYFUNCTION("""COMPUTED_VALUE"""),0.27)</f>
        <v>0.27</v>
      </c>
    </row>
    <row r="15" ht="15.75" customHeight="1">
      <c r="A15" s="14" t="str">
        <f>IFERROR(__xludf.DUMMYFUNCTION("""COMPUTED_VALUE"""),"https://agencies.semrush.com/list/display-advertising/united-kingdom/small-business/")</f>
        <v>https://agencies.semrush.com/list/display-advertising/united-kingdom/small-business/</v>
      </c>
      <c r="B15" s="15" t="str">
        <f>IFERROR(__xludf.DUMMYFUNCTION("""COMPUTED_VALUE"""),"Best Display Ads Agencies for Small Business in United Kingdom 2026 | Semrush")</f>
        <v>Best Display Ads Agencies for Small Business in United Kingdom 2026 | Semrush</v>
      </c>
      <c r="C15" s="14" t="str">
        <f>IFERROR(__xludf.DUMMYFUNCTION("""COMPUTED_VALUE"""),"semrush.com")</f>
        <v>semrush.com</v>
      </c>
      <c r="D15" s="15" t="str">
        <f>IFERROR(__xludf.DUMMYFUNCTION("""COMPUTED_VALUE"""),"OTHER")</f>
        <v>OTHER</v>
      </c>
      <c r="E15" s="15" t="str">
        <f>IFERROR(__xludf.DUMMYFUNCTION("""COMPUTED_VALUE"""),"CORPORATE")</f>
        <v>CORPORATE</v>
      </c>
      <c r="F15" s="15" t="str">
        <f>IFERROR(__xludf.DUMMYFUNCTION("""COMPUTED_VALUE"""),"Other")</f>
        <v>Other</v>
      </c>
      <c r="G15" s="15" t="b">
        <f>IFERROR(__xludf.DUMMYFUNCTION("""COMPUTED_VALUE"""),FALSE)</f>
        <v>0</v>
      </c>
      <c r="H15" s="15" t="str">
        <f>IFERROR(__xludf.DUMMYFUNCTION("""COMPUTED_VALUE"""),"Found, Soap Media, The SEO Works")</f>
        <v>Found, Soap Media, The SEO Works</v>
      </c>
      <c r="I15" s="15">
        <f>IFERROR(__xludf.DUMMYFUNCTION("""COMPUTED_VALUE"""),13.0)</f>
        <v>13</v>
      </c>
      <c r="J15" s="15">
        <f>IFERROR(__xludf.DUMMYFUNCTION("""COMPUTED_VALUE"""),0.01)</f>
        <v>0.01</v>
      </c>
      <c r="K15" s="15">
        <f>IFERROR(__xludf.DUMMYFUNCTION("""COMPUTED_VALUE"""),0.0)</f>
        <v>0</v>
      </c>
    </row>
    <row r="16" ht="15.75" customHeight="1">
      <c r="A16" s="14" t="str">
        <f>IFERROR(__xludf.DUMMYFUNCTION("""COMPUTED_VALUE"""),"https://aargroup.co.uk/services-for-marketers/platform-readiness/#:~:text=Prepare%20your%20marketing%20for%20the,tools%3A%20they%20need%20strong%20foundations.")</f>
        <v>https://aargroup.co.uk/services-for-marketers/platform-readiness/#:~:text=Prepare%20your%20marketing%20for%20the,tools%3A%20they%20need%20strong%20foundations.</v>
      </c>
      <c r="B16" s="15" t="str">
        <f>IFERROR(__xludf.DUMMYFUNCTION("""COMPUTED_VALUE"""),"Marketing Technology &amp;amp; AI Strategy Consultancy | AAR")</f>
        <v>Marketing Technology &amp;amp; AI Strategy Consultancy | AAR</v>
      </c>
      <c r="C16" s="14" t="str">
        <f>IFERROR(__xludf.DUMMYFUNCTION("""COMPUTED_VALUE"""),"aargroup.co.uk")</f>
        <v>aargroup.co.uk</v>
      </c>
      <c r="D16" s="15" t="str">
        <f>IFERROR(__xludf.DUMMYFUNCTION("""COMPUTED_VALUE"""),"OTHER")</f>
        <v>OTHER</v>
      </c>
      <c r="E16" s="15" t="str">
        <f>IFERROR(__xludf.DUMMYFUNCTION("""COMPUTED_VALUE"""),"CORPORATE")</f>
        <v>CORPORATE</v>
      </c>
      <c r="F16" s="15" t="str">
        <f>IFERROR(__xludf.DUMMYFUNCTION("""COMPUTED_VALUE"""),"Other")</f>
        <v>Other</v>
      </c>
      <c r="G16" s="15" t="b">
        <f>IFERROR(__xludf.DUMMYFUNCTION("""COMPUTED_VALUE"""),FALSE)</f>
        <v>0</v>
      </c>
      <c r="H16" s="15" t="str">
        <f>IFERROR(__xludf.DUMMYFUNCTION("""COMPUTED_VALUE"""),"AAR Group")</f>
        <v>AAR Group</v>
      </c>
      <c r="I16" s="15">
        <f>IFERROR(__xludf.DUMMYFUNCTION("""COMPUTED_VALUE"""),11.0)</f>
        <v>11</v>
      </c>
      <c r="J16" s="15">
        <f>IFERROR(__xludf.DUMMYFUNCTION("""COMPUTED_VALUE"""),0.01)</f>
        <v>0.01</v>
      </c>
      <c r="K16" s="15">
        <f>IFERROR(__xludf.DUMMYFUNCTION("""COMPUTED_VALUE"""),2.0)</f>
        <v>2</v>
      </c>
    </row>
    <row r="17" ht="15.75" customHeight="1">
      <c r="A17" s="14" t="str">
        <f>IFERROR(__xludf.DUMMYFUNCTION("""COMPUTED_VALUE"""),"https://www.google.co.uk/intl/en-GB/ads/publisher/partners/find-a-partner/")</f>
        <v>https://www.google.co.uk/intl/en-GB/ads/publisher/partners/find-a-partner/</v>
      </c>
      <c r="B17" s="15"/>
      <c r="C17" s="14" t="str">
        <f>IFERROR(__xludf.DUMMYFUNCTION("""COMPUTED_VALUE"""),"google.co.uk")</f>
        <v>google.co.uk</v>
      </c>
      <c r="D17" s="15" t="str">
        <f>IFERROR(__xludf.DUMMYFUNCTION("""COMPUTED_VALUE"""),"OTHER")</f>
        <v>OTHER</v>
      </c>
      <c r="E17" s="15" t="str">
        <f>IFERROR(__xludf.DUMMYFUNCTION("""COMPUTED_VALUE"""),"CORPORATE")</f>
        <v>CORPORATE</v>
      </c>
      <c r="F17" s="15" t="str">
        <f>IFERROR(__xludf.DUMMYFUNCTION("""COMPUTED_VALUE"""),"Other")</f>
        <v>Other</v>
      </c>
      <c r="G17" s="15"/>
      <c r="H17" s="15" t="str">
        <f>IFERROR(__xludf.DUMMYFUNCTION("""COMPUTED_VALUE"""),"Unknown")</f>
        <v>Unknown</v>
      </c>
      <c r="I17" s="15">
        <f>IFERROR(__xludf.DUMMYFUNCTION("""COMPUTED_VALUE"""),10.0)</f>
        <v>10</v>
      </c>
      <c r="J17" s="15">
        <f>IFERROR(__xludf.DUMMYFUNCTION("""COMPUTED_VALUE"""),0.01)</f>
        <v>0.01</v>
      </c>
      <c r="K17" s="15">
        <f>IFERROR(__xludf.DUMMYFUNCTION("""COMPUTED_VALUE"""),0.3)</f>
        <v>0.3</v>
      </c>
    </row>
    <row r="18" ht="15.75" customHeight="1">
      <c r="A18" s="14" t="str">
        <f>IFERROR(__xludf.DUMMYFUNCTION("""COMPUTED_VALUE"""),"https://whitehat-seo.co.uk/blog/digital-marketing-agency-london#:~:text=Yes%E2%80%94this%20is%20Whitehat's%20core,needed%20for%20confident%20board%20conversations.")</f>
        <v>https://whitehat-seo.co.uk/blog/digital-marketing-agency-london#:~:text=Yes%E2%80%94this%20is%20Whitehat's%20core,needed%20for%20confident%20board%20conversations.</v>
      </c>
      <c r="B18" s="15" t="str">
        <f>IFERROR(__xludf.DUMMYFUNCTION("""COMPUTED_VALUE"""),"Digital Marketing Agency London That Proves ROI | Whitehat")</f>
        <v>Digital Marketing Agency London That Proves ROI | Whitehat</v>
      </c>
      <c r="C18" s="14" t="str">
        <f>IFERROR(__xludf.DUMMYFUNCTION("""COMPUTED_VALUE"""),"whitehat-seo.co.uk")</f>
        <v>whitehat-seo.co.uk</v>
      </c>
      <c r="D18" s="15" t="str">
        <f>IFERROR(__xludf.DUMMYFUNCTION("""COMPUTED_VALUE"""),"OTHER")</f>
        <v>OTHER</v>
      </c>
      <c r="E18" s="15" t="str">
        <f>IFERROR(__xludf.DUMMYFUNCTION("""COMPUTED_VALUE"""),"COMPETITOR")</f>
        <v>COMPETITOR</v>
      </c>
      <c r="F18" s="15" t="str">
        <f>IFERROR(__xludf.DUMMYFUNCTION("""COMPUTED_VALUE"""),"Other")</f>
        <v>Other</v>
      </c>
      <c r="G18" s="15" t="b">
        <f>IFERROR(__xludf.DUMMYFUNCTION("""COMPUTED_VALUE"""),FALSE)</f>
        <v>0</v>
      </c>
      <c r="H18" s="15" t="str">
        <f>IFERROR(__xludf.DUMMYFUNCTION("""COMPUTED_VALUE"""),"Whitehat, Found, LOCALiQ")</f>
        <v>Whitehat, Found, LOCALiQ</v>
      </c>
      <c r="I18" s="15">
        <f>IFERROR(__xludf.DUMMYFUNCTION("""COMPUTED_VALUE"""),10.0)</f>
        <v>10</v>
      </c>
      <c r="J18" s="15">
        <f>IFERROR(__xludf.DUMMYFUNCTION("""COMPUTED_VALUE"""),0.01)</f>
        <v>0.01</v>
      </c>
      <c r="K18" s="15">
        <f>IFERROR(__xludf.DUMMYFUNCTION("""COMPUTED_VALUE"""),1.1)</f>
        <v>1.1</v>
      </c>
    </row>
    <row r="19" ht="15.75" customHeight="1">
      <c r="A19" s="14" t="str">
        <f>IFERROR(__xludf.DUMMYFUNCTION("""COMPUTED_VALUE"""),"https://hallam.agency/about-us/google-premier-partner-agency/#:~:text=Google%20Premier%20Partner%20Agency%20%7C%20Hallam,the%20world's%20best%20media%20agencies.&amp;text=We%20use%20exclusive%20technologies%2C%20data,media%20strategies%20for%20your%20brand.")</f>
        <v>https://hallam.agency/about-us/google-premier-partner-agency/#:~:text=Google%20Premier%20Partner%20Agency%20%7C%20Hallam,the%20world's%20best%20media%20agencies.&amp;text=We%20use%20exclusive%20technologies%2C%20data,media%20strategies%20for%20your%20brand.</v>
      </c>
      <c r="B19" s="15" t="str">
        <f>IFERROR(__xludf.DUMMYFUNCTION("""COMPUTED_VALUE"""),"Google Premier Partner Agency | Hallam")</f>
        <v>Google Premier Partner Agency | Hallam</v>
      </c>
      <c r="C19" s="15" t="str">
        <f>IFERROR(__xludf.DUMMYFUNCTION("""COMPUTED_VALUE"""),"hallam.agency")</f>
        <v>hallam.agency</v>
      </c>
      <c r="D19" s="15" t="str">
        <f>IFERROR(__xludf.DUMMYFUNCTION("""COMPUTED_VALUE"""),"OTHER")</f>
        <v>OTHER</v>
      </c>
      <c r="E19" s="15" t="str">
        <f>IFERROR(__xludf.DUMMYFUNCTION("""COMPUTED_VALUE"""),"COMPETITOR")</f>
        <v>COMPETITOR</v>
      </c>
      <c r="F19" s="15" t="str">
        <f>IFERROR(__xludf.DUMMYFUNCTION("""COMPUTED_VALUE"""),"Other")</f>
        <v>Other</v>
      </c>
      <c r="G19" s="15" t="b">
        <f>IFERROR(__xludf.DUMMYFUNCTION("""COMPUTED_VALUE"""),FALSE)</f>
        <v>0</v>
      </c>
      <c r="H19" s="15" t="str">
        <f>IFERROR(__xludf.DUMMYFUNCTION("""COMPUTED_VALUE"""),"Hallam")</f>
        <v>Hallam</v>
      </c>
      <c r="I19" s="15">
        <f>IFERROR(__xludf.DUMMYFUNCTION("""COMPUTED_VALUE"""),9.0)</f>
        <v>9</v>
      </c>
      <c r="J19" s="15">
        <f>IFERROR(__xludf.DUMMYFUNCTION("""COMPUTED_VALUE"""),0.01)</f>
        <v>0.01</v>
      </c>
      <c r="K19" s="15">
        <f>IFERROR(__xludf.DUMMYFUNCTION("""COMPUTED_VALUE"""),1.56)</f>
        <v>1.56</v>
      </c>
    </row>
    <row r="20" ht="15.75" customHeight="1">
      <c r="A20" s="14" t="str">
        <f>IFERROR(__xludf.DUMMYFUNCTION("""COMPUTED_VALUE"""),"https://thegoodmarketer.co.uk/what-we-do/display-advertising/#:~:text=Perfect%20For%20Brands%20With%20Strong,help%20of%20Google%20Display%20Ads.")</f>
        <v>https://thegoodmarketer.co.uk/what-we-do/display-advertising/#:~:text=Perfect%20For%20Brands%20With%20Strong,help%20of%20Google%20Display%20Ads.</v>
      </c>
      <c r="B20" s="15" t="str">
        <f>IFERROR(__xludf.DUMMYFUNCTION("""COMPUTED_VALUE"""),"Display Advertising Agency London | The Good Marketer")</f>
        <v>Display Advertising Agency London | The Good Marketer</v>
      </c>
      <c r="C20" s="14" t="str">
        <f>IFERROR(__xludf.DUMMYFUNCTION("""COMPUTED_VALUE"""),"thegoodmarketer.co.uk")</f>
        <v>thegoodmarketer.co.uk</v>
      </c>
      <c r="D20" s="15" t="str">
        <f>IFERROR(__xludf.DUMMYFUNCTION("""COMPUTED_VALUE"""),"OTHER")</f>
        <v>OTHER</v>
      </c>
      <c r="E20" s="15" t="str">
        <f>IFERROR(__xludf.DUMMYFUNCTION("""COMPUTED_VALUE"""),"COMPETITOR")</f>
        <v>COMPETITOR</v>
      </c>
      <c r="F20" s="15" t="str">
        <f>IFERROR(__xludf.DUMMYFUNCTION("""COMPUTED_VALUE"""),"Other")</f>
        <v>Other</v>
      </c>
      <c r="G20" s="15" t="b">
        <f>IFERROR(__xludf.DUMMYFUNCTION("""COMPUTED_VALUE"""),FALSE)</f>
        <v>0</v>
      </c>
      <c r="H20" s="15" t="str">
        <f>IFERROR(__xludf.DUMMYFUNCTION("""COMPUTED_VALUE"""),"The Good Marketer, Found, Momentum, Huge")</f>
        <v>The Good Marketer, Found, Momentum, Huge</v>
      </c>
      <c r="I20" s="15">
        <f>IFERROR(__xludf.DUMMYFUNCTION("""COMPUTED_VALUE"""),9.0)</f>
        <v>9</v>
      </c>
      <c r="J20" s="15">
        <f>IFERROR(__xludf.DUMMYFUNCTION("""COMPUTED_VALUE"""),0.01)</f>
        <v>0.01</v>
      </c>
      <c r="K20" s="15">
        <f>IFERROR(__xludf.DUMMYFUNCTION("""COMPUTED_VALUE"""),1.33)</f>
        <v>1.33</v>
      </c>
    </row>
    <row r="21" ht="15.75" customHeight="1">
      <c r="A21" s="14" t="str">
        <f>IFERROR(__xludf.DUMMYFUNCTION("""COMPUTED_VALUE"""),"https://aether-agency.co.uk/insights/incrementality-testing-marketing-guide-uk-2026")</f>
        <v>https://aether-agency.co.uk/insights/incrementality-testing-marketing-guide-uk-2026</v>
      </c>
      <c r="B21" s="15"/>
      <c r="C21" s="14" t="str">
        <f>IFERROR(__xludf.DUMMYFUNCTION("""COMPUTED_VALUE"""),"aether-agency.co.uk")</f>
        <v>aether-agency.co.uk</v>
      </c>
      <c r="D21" s="15" t="str">
        <f>IFERROR(__xludf.DUMMYFUNCTION("""COMPUTED_VALUE"""),"OTHER")</f>
        <v>OTHER</v>
      </c>
      <c r="E21" s="15" t="str">
        <f>IFERROR(__xludf.DUMMYFUNCTION("""COMPUTED_VALUE"""),"CORPORATE")</f>
        <v>CORPORATE</v>
      </c>
      <c r="F21" s="15" t="str">
        <f>IFERROR(__xludf.DUMMYFUNCTION("""COMPUTED_VALUE"""),"Other")</f>
        <v>Other</v>
      </c>
      <c r="G21" s="15"/>
      <c r="H21" s="15" t="str">
        <f>IFERROR(__xludf.DUMMYFUNCTION("""COMPUTED_VALUE"""),"Unknown")</f>
        <v>Unknown</v>
      </c>
      <c r="I21" s="15">
        <f>IFERROR(__xludf.DUMMYFUNCTION("""COMPUTED_VALUE"""),8.0)</f>
        <v>8</v>
      </c>
      <c r="J21" s="15">
        <f>IFERROR(__xludf.DUMMYFUNCTION("""COMPUTED_VALUE"""),0.01)</f>
        <v>0.01</v>
      </c>
      <c r="K21" s="15">
        <f>IFERROR(__xludf.DUMMYFUNCTION("""COMPUTED_VALUE"""),1.0)</f>
        <v>1</v>
      </c>
    </row>
    <row r="22" ht="15.75" customHeight="1">
      <c r="A22" s="14" t="str">
        <f>IFERROR(__xludf.DUMMYFUNCTION("""COMPUTED_VALUE"""),"https://agencies.semrush.com/list/display-advertising/united-kingdom/mid-business/")</f>
        <v>https://agencies.semrush.com/list/display-advertising/united-kingdom/mid-business/</v>
      </c>
      <c r="B22" s="15" t="str">
        <f>IFERROR(__xludf.DUMMYFUNCTION("""COMPUTED_VALUE"""),"Best Display Ads Agencies for Mid Business in United Kingdom 2026 | Semrush")</f>
        <v>Best Display Ads Agencies for Mid Business in United Kingdom 2026 | Semrush</v>
      </c>
      <c r="C22" s="14" t="str">
        <f>IFERROR(__xludf.DUMMYFUNCTION("""COMPUTED_VALUE"""),"semrush.com")</f>
        <v>semrush.com</v>
      </c>
      <c r="D22" s="15" t="str">
        <f>IFERROR(__xludf.DUMMYFUNCTION("""COMPUTED_VALUE"""),"OTHER")</f>
        <v>OTHER</v>
      </c>
      <c r="E22" s="15" t="str">
        <f>IFERROR(__xludf.DUMMYFUNCTION("""COMPUTED_VALUE"""),"CORPORATE")</f>
        <v>CORPORATE</v>
      </c>
      <c r="F22" s="15" t="str">
        <f>IFERROR(__xludf.DUMMYFUNCTION("""COMPUTED_VALUE"""),"Other")</f>
        <v>Other</v>
      </c>
      <c r="G22" s="15" t="b">
        <f>IFERROR(__xludf.DUMMYFUNCTION("""COMPUTED_VALUE"""),FALSE)</f>
        <v>0</v>
      </c>
      <c r="H22" s="15" t="str">
        <f>IFERROR(__xludf.DUMMYFUNCTION("""COMPUTED_VALUE"""),"Found, Passion Digital, Soap Media, The SEO Works")</f>
        <v>Found, Passion Digital, Soap Media, The SEO Works</v>
      </c>
      <c r="I22" s="15">
        <f>IFERROR(__xludf.DUMMYFUNCTION("""COMPUTED_VALUE"""),8.0)</f>
        <v>8</v>
      </c>
      <c r="J22" s="15">
        <f>IFERROR(__xludf.DUMMYFUNCTION("""COMPUTED_VALUE"""),0.01)</f>
        <v>0.01</v>
      </c>
      <c r="K22" s="15">
        <f>IFERROR(__xludf.DUMMYFUNCTION("""COMPUTED_VALUE"""),0.63)</f>
        <v>0.63</v>
      </c>
    </row>
    <row r="23" ht="15.75" customHeight="1">
      <c r="A23" s="14" t="str">
        <f>IFERROR(__xludf.DUMMYFUNCTION("""COMPUTED_VALUE"""),"https://www.found.co.uk/services/seo/ai-seo/geo-seo/#:~:text=Powered%20by%20our%20Everysearch%E2%84%A2,strategy%20to%20keep%20you%20ahead.")</f>
        <v>https://www.found.co.uk/services/seo/ai-seo/geo-seo/#:~:text=Powered%20by%20our%20Everysearch%E2%84%A2,strategy%20to%20keep%20you%20ahead.</v>
      </c>
      <c r="B23" s="15" t="str">
        <f>IFERROR(__xludf.DUMMYFUNCTION("""COMPUTED_VALUE"""),"GEO Agency \| GEO SEO for Every Searchable Platform \| Found")</f>
        <v>GEO Agency \| GEO SEO for Every Searchable Platform \| Found</v>
      </c>
      <c r="C23" s="14" t="str">
        <f>IFERROR(__xludf.DUMMYFUNCTION("""COMPUTED_VALUE"""),"found.co.uk")</f>
        <v>found.co.uk</v>
      </c>
      <c r="D23" s="15" t="str">
        <f>IFERROR(__xludf.DUMMYFUNCTION("""COMPUTED_VALUE"""),"OTHER")</f>
        <v>OTHER</v>
      </c>
      <c r="E23" s="15" t="str">
        <f>IFERROR(__xludf.DUMMYFUNCTION("""COMPUTED_VALUE"""),"CORPORATE")</f>
        <v>CORPORATE</v>
      </c>
      <c r="F23" s="15" t="str">
        <f>IFERROR(__xludf.DUMMYFUNCTION("""COMPUTED_VALUE"""),"Other")</f>
        <v>Other</v>
      </c>
      <c r="G23" s="15" t="b">
        <f>IFERROR(__xludf.DUMMYFUNCTION("""COMPUTED_VALUE"""),FALSE)</f>
        <v>0</v>
      </c>
      <c r="H23" s="15" t="str">
        <f>IFERROR(__xludf.DUMMYFUNCTION("""COMPUTED_VALUE"""),"Found")</f>
        <v>Found</v>
      </c>
      <c r="I23" s="15">
        <f>IFERROR(__xludf.DUMMYFUNCTION("""COMPUTED_VALUE"""),8.0)</f>
        <v>8</v>
      </c>
      <c r="J23" s="15">
        <f>IFERROR(__xludf.DUMMYFUNCTION("""COMPUTED_VALUE"""),0.01)</f>
        <v>0.01</v>
      </c>
      <c r="K23" s="15">
        <f>IFERROR(__xludf.DUMMYFUNCTION("""COMPUTED_VALUE"""),1.5)</f>
        <v>1.5</v>
      </c>
    </row>
    <row r="24" ht="15.75" customHeight="1">
      <c r="A24" s="14" t="str">
        <f>IFERROR(__xludf.DUMMYFUNCTION("""COMPUTED_VALUE"""),"https://marketingplatform.google.com/about/partners/find-a-partner?category=206")</f>
        <v>https://marketingplatform.google.com/about/partners/find-a-partner?category=206</v>
      </c>
      <c r="B24" s="15"/>
      <c r="C24" s="14" t="str">
        <f>IFERROR(__xludf.DUMMYFUNCTION("""COMPUTED_VALUE"""),"google.com")</f>
        <v>google.com</v>
      </c>
      <c r="D24" s="15" t="str">
        <f>IFERROR(__xludf.DUMMYFUNCTION("""COMPUTED_VALUE"""),"OTHER")</f>
        <v>OTHER</v>
      </c>
      <c r="E24" s="15" t="str">
        <f>IFERROR(__xludf.DUMMYFUNCTION("""COMPUTED_VALUE"""),"OTHER")</f>
        <v>OTHER</v>
      </c>
      <c r="F24" s="15" t="str">
        <f>IFERROR(__xludf.DUMMYFUNCTION("""COMPUTED_VALUE"""),"Other")</f>
        <v>Other</v>
      </c>
      <c r="G24" s="15"/>
      <c r="H24" s="15" t="str">
        <f>IFERROR(__xludf.DUMMYFUNCTION("""COMPUTED_VALUE"""),"Unknown")</f>
        <v>Unknown</v>
      </c>
      <c r="I24" s="15">
        <f>IFERROR(__xludf.DUMMYFUNCTION("""COMPUTED_VALUE"""),8.0)</f>
        <v>8</v>
      </c>
      <c r="J24" s="15">
        <f>IFERROR(__xludf.DUMMYFUNCTION("""COMPUTED_VALUE"""),0.01)</f>
        <v>0.01</v>
      </c>
      <c r="K24" s="15">
        <f>IFERROR(__xludf.DUMMYFUNCTION("""COMPUTED_VALUE"""),2.13)</f>
        <v>2.13</v>
      </c>
    </row>
    <row r="25" ht="15.75" customHeight="1">
      <c r="A25" s="14" t="str">
        <f>IFERROR(__xludf.DUMMYFUNCTION("""COMPUTED_VALUE"""),"https://www.rank4ai.co.uk/research/rankings/#:~:text=Leading%20Generative%20Engine%20Optimisation%20agencies,AI%20Search%20Specialist%20Landscape%202026")</f>
        <v>https://www.rank4ai.co.uk/research/rankings/#:~:text=Leading%20Generative%20Engine%20Optimisation%20agencies,AI%20Search%20Specialist%20Landscape%202026</v>
      </c>
      <c r="B25" s="15" t="str">
        <f>IFERROR(__xludf.DUMMYFUNCTION("""COMPUTED_VALUE"""),"AI Search Agency Rankings UK | Rank4AI")</f>
        <v>AI Search Agency Rankings UK | Rank4AI</v>
      </c>
      <c r="C25" s="14" t="str">
        <f>IFERROR(__xludf.DUMMYFUNCTION("""COMPUTED_VALUE"""),"rank4ai.co.uk")</f>
        <v>rank4ai.co.uk</v>
      </c>
      <c r="D25" s="15" t="str">
        <f>IFERROR(__xludf.DUMMYFUNCTION("""COMPUTED_VALUE"""),"OTHER")</f>
        <v>OTHER</v>
      </c>
      <c r="E25" s="15" t="str">
        <f>IFERROR(__xludf.DUMMYFUNCTION("""COMPUTED_VALUE"""),"COMPETITOR")</f>
        <v>COMPETITOR</v>
      </c>
      <c r="F25" s="15" t="str">
        <f>IFERROR(__xludf.DUMMYFUNCTION("""COMPUTED_VALUE"""),"Other")</f>
        <v>Other</v>
      </c>
      <c r="G25" s="15" t="b">
        <f>IFERROR(__xludf.DUMMYFUNCTION("""COMPUTED_VALUE"""),FALSE)</f>
        <v>0</v>
      </c>
      <c r="H25" s="15" t="str">
        <f>IFERROR(__xludf.DUMMYFUNCTION("""COMPUTED_VALUE"""),"Rank4AI")</f>
        <v>Rank4AI</v>
      </c>
      <c r="I25" s="15">
        <f>IFERROR(__xludf.DUMMYFUNCTION("""COMPUTED_VALUE"""),8.0)</f>
        <v>8</v>
      </c>
      <c r="J25" s="15">
        <f>IFERROR(__xludf.DUMMYFUNCTION("""COMPUTED_VALUE"""),0.01)</f>
        <v>0.01</v>
      </c>
      <c r="K25" s="15">
        <f>IFERROR(__xludf.DUMMYFUNCTION("""COMPUTED_VALUE"""),0.88)</f>
        <v>0.88</v>
      </c>
    </row>
    <row r="26" ht="15.75" customHeight="1">
      <c r="A26" s="14" t="str">
        <f>IFERROR(__xludf.DUMMYFUNCTION("""COMPUTED_VALUE"""),"https://support.google.com/tagmanager/answer/7237700?hl=en-GB")</f>
        <v>https://support.google.com/tagmanager/answer/7237700?hl=en-GB</v>
      </c>
      <c r="B26" s="15" t="str">
        <f>IFERROR(__xludf.DUMMYFUNCTION("""COMPUTED_VALUE"""),"Google Marketing Platform Partners - Tag Manager Help")</f>
        <v>Google Marketing Platform Partners - Tag Manager Help</v>
      </c>
      <c r="C26" s="14" t="str">
        <f>IFERROR(__xludf.DUMMYFUNCTION("""COMPUTED_VALUE"""),"google.com")</f>
        <v>google.com</v>
      </c>
      <c r="D26" s="15" t="str">
        <f>IFERROR(__xludf.DUMMYFUNCTION("""COMPUTED_VALUE"""),"OTHER")</f>
        <v>OTHER</v>
      </c>
      <c r="E26" s="15" t="str">
        <f>IFERROR(__xludf.DUMMYFUNCTION("""COMPUTED_VALUE"""),"OTHER")</f>
        <v>OTHER</v>
      </c>
      <c r="F26" s="15" t="str">
        <f>IFERROR(__xludf.DUMMYFUNCTION("""COMPUTED_VALUE"""),"Other")</f>
        <v>Other</v>
      </c>
      <c r="G26" s="15" t="b">
        <f>IFERROR(__xludf.DUMMYFUNCTION("""COMPUTED_VALUE"""),FALSE)</f>
        <v>0</v>
      </c>
      <c r="H26" s="15"/>
      <c r="I26" s="15">
        <f>IFERROR(__xludf.DUMMYFUNCTION("""COMPUTED_VALUE"""),8.0)</f>
        <v>8</v>
      </c>
      <c r="J26" s="15">
        <f>IFERROR(__xludf.DUMMYFUNCTION("""COMPUTED_VALUE"""),0.01)</f>
        <v>0.01</v>
      </c>
      <c r="K26" s="15">
        <f>IFERROR(__xludf.DUMMYFUNCTION("""COMPUTED_VALUE"""),0.5)</f>
        <v>0.5</v>
      </c>
    </row>
    <row r="27" ht="15.75" customHeight="1">
      <c r="A27" s="14" t="str">
        <f>IFERROR(__xludf.DUMMYFUNCTION("""COMPUTED_VALUE"""),"https://www.google.co.uk/intl/en/ads/publisher/partners/work-with-a-partner/")</f>
        <v>https://www.google.co.uk/intl/en/ads/publisher/partners/work-with-a-partner/</v>
      </c>
      <c r="B27" s="15"/>
      <c r="C27" s="14" t="str">
        <f>IFERROR(__xludf.DUMMYFUNCTION("""COMPUTED_VALUE"""),"google.co.uk")</f>
        <v>google.co.uk</v>
      </c>
      <c r="D27" s="15" t="str">
        <f>IFERROR(__xludf.DUMMYFUNCTION("""COMPUTED_VALUE"""),"OTHER")</f>
        <v>OTHER</v>
      </c>
      <c r="E27" s="15" t="str">
        <f>IFERROR(__xludf.DUMMYFUNCTION("""COMPUTED_VALUE"""),"CORPORATE")</f>
        <v>CORPORATE</v>
      </c>
      <c r="F27" s="15" t="str">
        <f>IFERROR(__xludf.DUMMYFUNCTION("""COMPUTED_VALUE"""),"Other")</f>
        <v>Other</v>
      </c>
      <c r="G27" s="15"/>
      <c r="H27" s="15" t="str">
        <f>IFERROR(__xludf.DUMMYFUNCTION("""COMPUTED_VALUE"""),"Unknown")</f>
        <v>Unknown</v>
      </c>
      <c r="I27" s="15">
        <f>IFERROR(__xludf.DUMMYFUNCTION("""COMPUTED_VALUE"""),7.0)</f>
        <v>7</v>
      </c>
      <c r="J27" s="15">
        <f>IFERROR(__xludf.DUMMYFUNCTION("""COMPUTED_VALUE"""),0.01)</f>
        <v>0.01</v>
      </c>
      <c r="K27" s="15">
        <f>IFERROR(__xludf.DUMMYFUNCTION("""COMPUTED_VALUE"""),0.0)</f>
        <v>0</v>
      </c>
    </row>
    <row r="28" ht="15.75" customHeight="1">
      <c r="A28" s="14" t="str">
        <f>IFERROR(__xludf.DUMMYFUNCTION("""COMPUTED_VALUE"""),"https://www.wmtips.com/technologies/marketing-attribution/country/gb/")</f>
        <v>https://www.wmtips.com/technologies/marketing-attribution/country/gb/</v>
      </c>
      <c r="B28" s="15" t="str">
        <f>IFERROR(__xludf.DUMMYFUNCTION("""COMPUTED_VALUE"""),"Bot check")</f>
        <v>Bot check</v>
      </c>
      <c r="C28" s="14" t="str">
        <f>IFERROR(__xludf.DUMMYFUNCTION("""COMPUTED_VALUE"""),"wmtips.com")</f>
        <v>wmtips.com</v>
      </c>
      <c r="D28" s="15" t="str">
        <f>IFERROR(__xludf.DUMMYFUNCTION("""COMPUTED_VALUE"""),"OTHER")</f>
        <v>OTHER</v>
      </c>
      <c r="E28" s="15" t="str">
        <f>IFERROR(__xludf.DUMMYFUNCTION("""COMPUTED_VALUE"""),"REFERENCE")</f>
        <v>REFERENCE</v>
      </c>
      <c r="F28" s="15" t="str">
        <f>IFERROR(__xludf.DUMMYFUNCTION("""COMPUTED_VALUE"""),"Other")</f>
        <v>Other</v>
      </c>
      <c r="G28" s="15" t="b">
        <f>IFERROR(__xludf.DUMMYFUNCTION("""COMPUTED_VALUE"""),FALSE)</f>
        <v>0</v>
      </c>
      <c r="H28" s="15"/>
      <c r="I28" s="15">
        <f>IFERROR(__xludf.DUMMYFUNCTION("""COMPUTED_VALUE"""),7.0)</f>
        <v>7</v>
      </c>
      <c r="J28" s="15">
        <f>IFERROR(__xludf.DUMMYFUNCTION("""COMPUTED_VALUE"""),0.01)</f>
        <v>0.01</v>
      </c>
      <c r="K28" s="15">
        <f>IFERROR(__xludf.DUMMYFUNCTION("""COMPUTED_VALUE"""),0.0)</f>
        <v>0</v>
      </c>
    </row>
    <row r="29" ht="15.75" customHeight="1">
      <c r="A29" s="14" t="str">
        <f>IFERROR(__xludf.DUMMYFUNCTION("""COMPUTED_VALUE"""),"https://www.google.com/partners")</f>
        <v>https://www.google.com/partners</v>
      </c>
      <c r="B29" s="15"/>
      <c r="C29" s="14" t="str">
        <f>IFERROR(__xludf.DUMMYFUNCTION("""COMPUTED_VALUE"""),"google.com")</f>
        <v>google.com</v>
      </c>
      <c r="D29" s="15" t="str">
        <f>IFERROR(__xludf.DUMMYFUNCTION("""COMPUTED_VALUE"""),"OTHER")</f>
        <v>OTHER</v>
      </c>
      <c r="E29" s="15" t="str">
        <f>IFERROR(__xludf.DUMMYFUNCTION("""COMPUTED_VALUE"""),"OTHER")</f>
        <v>OTHER</v>
      </c>
      <c r="F29" s="15" t="str">
        <f>IFERROR(__xludf.DUMMYFUNCTION("""COMPUTED_VALUE"""),"Other")</f>
        <v>Other</v>
      </c>
      <c r="G29" s="15"/>
      <c r="H29" s="15" t="str">
        <f>IFERROR(__xludf.DUMMYFUNCTION("""COMPUTED_VALUE"""),"Unknown")</f>
        <v>Unknown</v>
      </c>
      <c r="I29" s="15">
        <f>IFERROR(__xludf.DUMMYFUNCTION("""COMPUTED_VALUE"""),5.0)</f>
        <v>5</v>
      </c>
      <c r="J29" s="15">
        <f>IFERROR(__xludf.DUMMYFUNCTION("""COMPUTED_VALUE"""),0.0)</f>
        <v>0</v>
      </c>
      <c r="K29" s="15">
        <f>IFERROR(__xludf.DUMMYFUNCTION("""COMPUTED_VALUE"""),0.0)</f>
        <v>0</v>
      </c>
    </row>
    <row r="30" ht="15.75" customHeight="1">
      <c r="A30" s="14" t="str">
        <f>IFERROR(__xludf.DUMMYFUNCTION("""COMPUTED_VALUE"""),"https://www.journeyfurther.com/en-gb/solutions/marketing-science#:~:text=Diagnose,Focus%20where%20it%20matters")</f>
        <v>https://www.journeyfurther.com/en-gb/solutions/marketing-science#:~:text=Diagnose,Focus%20where%20it%20matters</v>
      </c>
      <c r="B30" s="15" t="str">
        <f>IFERROR(__xludf.DUMMYFUNCTION("""COMPUTED_VALUE"""),"Marketing Science | Journey Further UK")</f>
        <v>Marketing Science | Journey Further UK</v>
      </c>
      <c r="C30" s="14" t="str">
        <f>IFERROR(__xludf.DUMMYFUNCTION("""COMPUTED_VALUE"""),"journeyfurther.com")</f>
        <v>journeyfurther.com</v>
      </c>
      <c r="D30" s="15" t="str">
        <f>IFERROR(__xludf.DUMMYFUNCTION("""COMPUTED_VALUE"""),"OTHER")</f>
        <v>OTHER</v>
      </c>
      <c r="E30" s="15" t="str">
        <f>IFERROR(__xludf.DUMMYFUNCTION("""COMPUTED_VALUE"""),"COMPETITOR")</f>
        <v>COMPETITOR</v>
      </c>
      <c r="F30" s="15" t="str">
        <f>IFERROR(__xludf.DUMMYFUNCTION("""COMPUTED_VALUE"""),"Other")</f>
        <v>Other</v>
      </c>
      <c r="G30" s="15" t="b">
        <f>IFERROR(__xludf.DUMMYFUNCTION("""COMPUTED_VALUE"""),FALSE)</f>
        <v>0</v>
      </c>
      <c r="H30" s="15" t="str">
        <f>IFERROR(__xludf.DUMMYFUNCTION("""COMPUTED_VALUE"""),"Momentum, Kantar, YouGov, Journey Further, Found")</f>
        <v>Momentum, Kantar, YouGov, Journey Further, Found</v>
      </c>
      <c r="I30" s="15">
        <f>IFERROR(__xludf.DUMMYFUNCTION("""COMPUTED_VALUE"""),5.0)</f>
        <v>5</v>
      </c>
      <c r="J30" s="15">
        <f>IFERROR(__xludf.DUMMYFUNCTION("""COMPUTED_VALUE"""),0.0)</f>
        <v>0</v>
      </c>
      <c r="K30" s="15">
        <f>IFERROR(__xludf.DUMMYFUNCTION("""COMPUTED_VALUE"""),1.6)</f>
        <v>1.6</v>
      </c>
    </row>
    <row r="31" ht="15.75" customHeight="1">
      <c r="A31" s="14" t="str">
        <f>IFERROR(__xludf.DUMMYFUNCTION("""COMPUTED_VALUE"""),"https://prod-dentsu-website-afd-ep-dcdpenekezfnd0hn.a02.azurefd.net/uk/en/marketing-effectiveness")</f>
        <v>https://prod-dentsu-website-afd-ep-dcdpenekezfnd0hn.a02.azurefd.net/uk/en/marketing-effectiveness</v>
      </c>
      <c r="B31" s="15" t="str">
        <f>IFERROR(__xludf.DUMMYFUNCTION("""COMPUTED_VALUE"""),"dentsu")</f>
        <v>dentsu</v>
      </c>
      <c r="C31" s="14" t="str">
        <f>IFERROR(__xludf.DUMMYFUNCTION("""COMPUTED_VALUE"""),"azurefd.net")</f>
        <v>azurefd.net</v>
      </c>
      <c r="D31" s="15" t="str">
        <f>IFERROR(__xludf.DUMMYFUNCTION("""COMPUTED_VALUE"""),"OTHER")</f>
        <v>OTHER</v>
      </c>
      <c r="E31" s="15" t="str">
        <f>IFERROR(__xludf.DUMMYFUNCTION("""COMPUTED_VALUE"""),"CORPORATE")</f>
        <v>CORPORATE</v>
      </c>
      <c r="F31" s="15" t="str">
        <f>IFERROR(__xludf.DUMMYFUNCTION("""COMPUTED_VALUE"""),"Other")</f>
        <v>Other</v>
      </c>
      <c r="G31" s="15" t="b">
        <f>IFERROR(__xludf.DUMMYFUNCTION("""COMPUTED_VALUE"""),FALSE)</f>
        <v>0</v>
      </c>
      <c r="H31" s="15" t="str">
        <f>IFERROR(__xludf.DUMMYFUNCTION("""COMPUTED_VALUE"""),"Dentsu, Measured")</f>
        <v>Dentsu, Measured</v>
      </c>
      <c r="I31" s="15">
        <f>IFERROR(__xludf.DUMMYFUNCTION("""COMPUTED_VALUE"""),5.0)</f>
        <v>5</v>
      </c>
      <c r="J31" s="15">
        <f>IFERROR(__xludf.DUMMYFUNCTION("""COMPUTED_VALUE"""),0.0)</f>
        <v>0</v>
      </c>
      <c r="K31" s="15">
        <f>IFERROR(__xludf.DUMMYFUNCTION("""COMPUTED_VALUE"""),0.0)</f>
        <v>0</v>
      </c>
    </row>
    <row r="32" ht="15.75" customHeight="1">
      <c r="A32" s="14" t="str">
        <f>IFERROR(__xludf.DUMMYFUNCTION("""COMPUTED_VALUE"""),"https://www.topseobrands.com/uk/london/best-display-advertising-firms")</f>
        <v>https://www.topseobrands.com/uk/london/best-display-advertising-firms</v>
      </c>
      <c r="B32" s="15" t="str">
        <f>IFERROR(__xludf.DUMMYFUNCTION("""COMPUTED_VALUE"""),"Best Display Advertising Firms in London | Top SEO Brands")</f>
        <v>Best Display Advertising Firms in London | Top SEO Brands</v>
      </c>
      <c r="C32" s="14" t="str">
        <f>IFERROR(__xludf.DUMMYFUNCTION("""COMPUTED_VALUE"""),"topseobrands.com")</f>
        <v>topseobrands.com</v>
      </c>
      <c r="D32" s="15" t="str">
        <f>IFERROR(__xludf.DUMMYFUNCTION("""COMPUTED_VALUE"""),"OTHER")</f>
        <v>OTHER</v>
      </c>
      <c r="E32" s="15" t="str">
        <f>IFERROR(__xludf.DUMMYFUNCTION("""COMPUTED_VALUE"""),"REFERENCE")</f>
        <v>REFERENCE</v>
      </c>
      <c r="F32" s="15" t="str">
        <f>IFERROR(__xludf.DUMMYFUNCTION("""COMPUTED_VALUE"""),"Other")</f>
        <v>Other</v>
      </c>
      <c r="G32" s="15" t="b">
        <f>IFERROR(__xludf.DUMMYFUNCTION("""COMPUTED_VALUE"""),FALSE)</f>
        <v>0</v>
      </c>
      <c r="H32" s="15" t="str">
        <f>IFERROR(__xludf.DUMMYFUNCTION("""COMPUTED_VALUE"""),"Found")</f>
        <v>Found</v>
      </c>
      <c r="I32" s="15">
        <f>IFERROR(__xludf.DUMMYFUNCTION("""COMPUTED_VALUE"""),5.0)</f>
        <v>5</v>
      </c>
      <c r="J32" s="15">
        <f>IFERROR(__xludf.DUMMYFUNCTION("""COMPUTED_VALUE"""),0.0)</f>
        <v>0</v>
      </c>
      <c r="K32" s="15">
        <f>IFERROR(__xludf.DUMMYFUNCTION("""COMPUTED_VALUE"""),0.0)</f>
        <v>0</v>
      </c>
    </row>
    <row r="33" ht="15.75" customHeight="1">
      <c r="A33" s="14" t="str">
        <f>IFERROR(__xludf.DUMMYFUNCTION("""COMPUTED_VALUE"""),"https://business.google.com/en-all/support/work-with-a-partner/?hl=uk")</f>
        <v>https://business.google.com/en-all/support/work-with-a-partner/?hl=uk</v>
      </c>
      <c r="B33" s="15"/>
      <c r="C33" s="14" t="str">
        <f>IFERROR(__xludf.DUMMYFUNCTION("""COMPUTED_VALUE"""),"google.com")</f>
        <v>google.com</v>
      </c>
      <c r="D33" s="15" t="str">
        <f>IFERROR(__xludf.DUMMYFUNCTION("""COMPUTED_VALUE"""),"OTHER")</f>
        <v>OTHER</v>
      </c>
      <c r="E33" s="15" t="str">
        <f>IFERROR(__xludf.DUMMYFUNCTION("""COMPUTED_VALUE"""),"OTHER")</f>
        <v>OTHER</v>
      </c>
      <c r="F33" s="15" t="str">
        <f>IFERROR(__xludf.DUMMYFUNCTION("""COMPUTED_VALUE"""),"Other")</f>
        <v>Other</v>
      </c>
      <c r="G33" s="15"/>
      <c r="H33" s="15" t="str">
        <f>IFERROR(__xludf.DUMMYFUNCTION("""COMPUTED_VALUE"""),"Unknown")</f>
        <v>Unknown</v>
      </c>
      <c r="I33" s="15">
        <f>IFERROR(__xludf.DUMMYFUNCTION("""COMPUTED_VALUE"""),4.0)</f>
        <v>4</v>
      </c>
      <c r="J33" s="15">
        <f>IFERROR(__xludf.DUMMYFUNCTION("""COMPUTED_VALUE"""),0.0)</f>
        <v>0</v>
      </c>
      <c r="K33" s="15">
        <f>IFERROR(__xludf.DUMMYFUNCTION("""COMPUTED_VALUE"""),0.0)</f>
        <v>0</v>
      </c>
    </row>
    <row r="34" ht="15.75" customHeight="1">
      <c r="A34" s="14" t="str">
        <f>IFERROR(__xludf.DUMMYFUNCTION("""COMPUTED_VALUE"""),"https://www.google.co.uk/intl/en-GB/ads/publisher/partners/")</f>
        <v>https://www.google.co.uk/intl/en-GB/ads/publisher/partners/</v>
      </c>
      <c r="B34" s="15"/>
      <c r="C34" s="14" t="str">
        <f>IFERROR(__xludf.DUMMYFUNCTION("""COMPUTED_VALUE"""),"google.co.uk")</f>
        <v>google.co.uk</v>
      </c>
      <c r="D34" s="15" t="str">
        <f>IFERROR(__xludf.DUMMYFUNCTION("""COMPUTED_VALUE"""),"OTHER")</f>
        <v>OTHER</v>
      </c>
      <c r="E34" s="15" t="str">
        <f>IFERROR(__xludf.DUMMYFUNCTION("""COMPUTED_VALUE"""),"CORPORATE")</f>
        <v>CORPORATE</v>
      </c>
      <c r="F34" s="15" t="str">
        <f>IFERROR(__xludf.DUMMYFUNCTION("""COMPUTED_VALUE"""),"Other")</f>
        <v>Other</v>
      </c>
      <c r="G34" s="15"/>
      <c r="H34" s="15" t="str">
        <f>IFERROR(__xludf.DUMMYFUNCTION("""COMPUTED_VALUE"""),"Unknown")</f>
        <v>Unknown</v>
      </c>
      <c r="I34" s="15">
        <f>IFERROR(__xludf.DUMMYFUNCTION("""COMPUTED_VALUE"""),4.0)</f>
        <v>4</v>
      </c>
      <c r="J34" s="15">
        <f>IFERROR(__xludf.DUMMYFUNCTION("""COMPUTED_VALUE"""),0.0)</f>
        <v>0</v>
      </c>
      <c r="K34" s="15">
        <f>IFERROR(__xludf.DUMMYFUNCTION("""COMPUTED_VALUE"""),0.0)</f>
        <v>0</v>
      </c>
    </row>
    <row r="35" ht="15.75" customHeight="1">
      <c r="A35" s="14" t="str">
        <f>IFERROR(__xludf.DUMMYFUNCTION("""COMPUTED_VALUE"""),"https://marketingplatform.google.com/intl/en_uk/about/support/")</f>
        <v>https://marketingplatform.google.com/intl/en_uk/about/support/</v>
      </c>
      <c r="B35" s="15" t="str">
        <f>IFERROR(__xludf.DUMMYFUNCTION("""COMPUTED_VALUE"""),"Services and Support – Google Marketing Platform")</f>
        <v>Services and Support – Google Marketing Platform</v>
      </c>
      <c r="C35" s="14" t="str">
        <f>IFERROR(__xludf.DUMMYFUNCTION("""COMPUTED_VALUE"""),"google.com")</f>
        <v>google.com</v>
      </c>
      <c r="D35" s="15" t="str">
        <f>IFERROR(__xludf.DUMMYFUNCTION("""COMPUTED_VALUE"""),"OTHER")</f>
        <v>OTHER</v>
      </c>
      <c r="E35" s="15" t="str">
        <f>IFERROR(__xludf.DUMMYFUNCTION("""COMPUTED_VALUE"""),"OTHER")</f>
        <v>OTHER</v>
      </c>
      <c r="F35" s="15" t="str">
        <f>IFERROR(__xludf.DUMMYFUNCTION("""COMPUTED_VALUE"""),"Other")</f>
        <v>Other</v>
      </c>
      <c r="G35" s="15" t="b">
        <f>IFERROR(__xludf.DUMMYFUNCTION("""COMPUTED_VALUE"""),FALSE)</f>
        <v>0</v>
      </c>
      <c r="H35" s="15"/>
      <c r="I35" s="15">
        <f>IFERROR(__xludf.DUMMYFUNCTION("""COMPUTED_VALUE"""),4.0)</f>
        <v>4</v>
      </c>
      <c r="J35" s="15">
        <f>IFERROR(__xludf.DUMMYFUNCTION("""COMPUTED_VALUE"""),0.0)</f>
        <v>0</v>
      </c>
      <c r="K35" s="15">
        <f>IFERROR(__xludf.DUMMYFUNCTION("""COMPUTED_VALUE"""),0.0)</f>
        <v>0</v>
      </c>
    </row>
    <row r="36" ht="15.75" customHeight="1">
      <c r="A36" s="14" t="str">
        <f>IFERROR(__xludf.DUMMYFUNCTION("""COMPUTED_VALUE"""),"https://www.deptagency.com/en-uki/partner/google/")</f>
        <v>https://www.deptagency.com/en-uki/partner/google/</v>
      </c>
      <c r="B36" s="15" t="str">
        <f>IFERROR(__xludf.DUMMYFUNCTION("""COMPUTED_VALUE"""),"Google Premier Partner | Reseller | GMP &amp;amp; GCP - DEPT®")</f>
        <v>Google Premier Partner | Reseller | GMP &amp;amp; GCP - DEPT®</v>
      </c>
      <c r="C36" s="14" t="str">
        <f>IFERROR(__xludf.DUMMYFUNCTION("""COMPUTED_VALUE"""),"deptagency.com")</f>
        <v>deptagency.com</v>
      </c>
      <c r="D36" s="15" t="str">
        <f>IFERROR(__xludf.DUMMYFUNCTION("""COMPUTED_VALUE"""),"OTHER")</f>
        <v>OTHER</v>
      </c>
      <c r="E36" s="15" t="str">
        <f>IFERROR(__xludf.DUMMYFUNCTION("""COMPUTED_VALUE"""),"COMPETITOR")</f>
        <v>COMPETITOR</v>
      </c>
      <c r="F36" s="15" t="str">
        <f>IFERROR(__xludf.DUMMYFUNCTION("""COMPUTED_VALUE"""),"Other")</f>
        <v>Other</v>
      </c>
      <c r="G36" s="15" t="b">
        <f>IFERROR(__xludf.DUMMYFUNCTION("""COMPUTED_VALUE"""),FALSE)</f>
        <v>0</v>
      </c>
      <c r="H36" s="15" t="str">
        <f>IFERROR(__xludf.DUMMYFUNCTION("""COMPUTED_VALUE"""),"Dept")</f>
        <v>Dept</v>
      </c>
      <c r="I36" s="15">
        <f>IFERROR(__xludf.DUMMYFUNCTION("""COMPUTED_VALUE"""),3.0)</f>
        <v>3</v>
      </c>
      <c r="J36" s="15">
        <f>IFERROR(__xludf.DUMMYFUNCTION("""COMPUTED_VALUE"""),0.0)</f>
        <v>0</v>
      </c>
      <c r="K36" s="15">
        <f>IFERROR(__xludf.DUMMYFUNCTION("""COMPUTED_VALUE"""),1.33)</f>
        <v>1.33</v>
      </c>
    </row>
    <row r="37" ht="15.75" customHeight="1">
      <c r="A37" s="14" t="str">
        <f>IFERROR(__xludf.DUMMYFUNCTION("""COMPUTED_VALUE"""),"https://www.found.co.uk/services/paid-media/display/#:~:text=Showcase%20your%20brand%20with%20Found's,buyers%20and%20building%20brand%20loyalty.")</f>
        <v>https://www.found.co.uk/services/paid-media/display/#:~:text=Showcase%20your%20brand%20with%20Found's,buyers%20and%20building%20brand%20loyalty.</v>
      </c>
      <c r="B37" s="15" t="str">
        <f>IFERROR(__xludf.DUMMYFUNCTION("""COMPUTED_VALUE"""),"Display Advertising Agency London \| Display Marketing Services \| Found")</f>
        <v>Display Advertising Agency London \| Display Marketing Services \| Found</v>
      </c>
      <c r="C37" s="14" t="str">
        <f>IFERROR(__xludf.DUMMYFUNCTION("""COMPUTED_VALUE"""),"found.co.uk")</f>
        <v>found.co.uk</v>
      </c>
      <c r="D37" s="15" t="str">
        <f>IFERROR(__xludf.DUMMYFUNCTION("""COMPUTED_VALUE"""),"OTHER")</f>
        <v>OTHER</v>
      </c>
      <c r="E37" s="15" t="str">
        <f>IFERROR(__xludf.DUMMYFUNCTION("""COMPUTED_VALUE"""),"CORPORATE")</f>
        <v>CORPORATE</v>
      </c>
      <c r="F37" s="15" t="str">
        <f>IFERROR(__xludf.DUMMYFUNCTION("""COMPUTED_VALUE"""),"Other")</f>
        <v>Other</v>
      </c>
      <c r="G37" s="15" t="b">
        <f>IFERROR(__xludf.DUMMYFUNCTION("""COMPUTED_VALUE"""),FALSE)</f>
        <v>0</v>
      </c>
      <c r="H37" s="15" t="str">
        <f>IFERROR(__xludf.DUMMYFUNCTION("""COMPUTED_VALUE"""),"Found, Impression")</f>
        <v>Found, Impression</v>
      </c>
      <c r="I37" s="15">
        <f>IFERROR(__xludf.DUMMYFUNCTION("""COMPUTED_VALUE"""),3.0)</f>
        <v>3</v>
      </c>
      <c r="J37" s="15">
        <f>IFERROR(__xludf.DUMMYFUNCTION("""COMPUTED_VALUE"""),0.0)</f>
        <v>0</v>
      </c>
      <c r="K37" s="15">
        <f>IFERROR(__xludf.DUMMYFUNCTION("""COMPUTED_VALUE"""),1.33)</f>
        <v>1.33</v>
      </c>
    </row>
    <row r="38" ht="15.75" customHeight="1">
      <c r="A38" s="14" t="str">
        <f>IFERROR(__xludf.DUMMYFUNCTION("""COMPUTED_VALUE"""),"https://global.com/outdoor/#:~:text=With%20an%20extensive%20and%20diverse,in%20prime%20locations%20and%20more.")</f>
        <v>https://global.com/outdoor/#:~:text=With%20an%20extensive%20and%20diverse,in%20prime%20locations%20and%20more.</v>
      </c>
      <c r="B38" s="15" t="str">
        <f>IFERROR(__xludf.DUMMYFUNCTION("""COMPUTED_VALUE"""),"Outdoor Advertising | Bus | Billboard | Retail | Global")</f>
        <v>Outdoor Advertising | Bus | Billboard | Retail | Global</v>
      </c>
      <c r="C38" s="14" t="str">
        <f>IFERROR(__xludf.DUMMYFUNCTION("""COMPUTED_VALUE"""),"global.com")</f>
        <v>global.com</v>
      </c>
      <c r="D38" s="15" t="str">
        <f>IFERROR(__xludf.DUMMYFUNCTION("""COMPUTED_VALUE"""),"OTHER")</f>
        <v>OTHER</v>
      </c>
      <c r="E38" s="15" t="str">
        <f>IFERROR(__xludf.DUMMYFUNCTION("""COMPUTED_VALUE"""),"OTHER")</f>
        <v>OTHER</v>
      </c>
      <c r="F38" s="15" t="str">
        <f>IFERROR(__xludf.DUMMYFUNCTION("""COMPUTED_VALUE"""),"Other")</f>
        <v>Other</v>
      </c>
      <c r="G38" s="15"/>
      <c r="H38" s="15" t="str">
        <f>IFERROR(__xludf.DUMMYFUNCTION("""COMPUTED_VALUE"""),"Unknown")</f>
        <v>Unknown</v>
      </c>
      <c r="I38" s="15">
        <f>IFERROR(__xludf.DUMMYFUNCTION("""COMPUTED_VALUE"""),3.0)</f>
        <v>3</v>
      </c>
      <c r="J38" s="15">
        <f>IFERROR(__xludf.DUMMYFUNCTION("""COMPUTED_VALUE"""),0.0)</f>
        <v>0</v>
      </c>
      <c r="K38" s="15">
        <f>IFERROR(__xludf.DUMMYFUNCTION("""COMPUTED_VALUE"""),1.33)</f>
        <v>1.33</v>
      </c>
    </row>
    <row r="39" ht="15.75" customHeight="1">
      <c r="A39" s="14" t="str">
        <f>IFERROR(__xludf.DUMMYFUNCTION("""COMPUTED_VALUE"""),"https://www.goodfirms.co/directory/country/top-digital-marketing-companies/gb?sort_by=rating")</f>
        <v>https://www.goodfirms.co/directory/country/top-digital-marketing-companies/gb?sort_by=rating</v>
      </c>
      <c r="B39" s="15" t="str">
        <f>IFERROR(__xludf.DUMMYFUNCTION("""COMPUTED_VALUE"""),"Top Digital Marketing Agencies in UK - 2026 Reviews | Goodfirms")</f>
        <v>Top Digital Marketing Agencies in UK - 2026 Reviews | Goodfirms</v>
      </c>
      <c r="C39" s="14" t="str">
        <f>IFERROR(__xludf.DUMMYFUNCTION("""COMPUTED_VALUE"""),"goodfirms.co")</f>
        <v>goodfirms.co</v>
      </c>
      <c r="D39" s="15" t="str">
        <f>IFERROR(__xludf.DUMMYFUNCTION("""COMPUTED_VALUE"""),"OTHER")</f>
        <v>OTHER</v>
      </c>
      <c r="E39" s="15" t="str">
        <f>IFERROR(__xludf.DUMMYFUNCTION("""COMPUTED_VALUE"""),"UGC")</f>
        <v>UGC</v>
      </c>
      <c r="F39" s="15" t="str">
        <f>IFERROR(__xludf.DUMMYFUNCTION("""COMPUTED_VALUE"""),"Other")</f>
        <v>Other</v>
      </c>
      <c r="G39" s="15" t="b">
        <f>IFERROR(__xludf.DUMMYFUNCTION("""COMPUTED_VALUE"""),FALSE)</f>
        <v>0</v>
      </c>
      <c r="H39" s="15" t="str">
        <f>IFERROR(__xludf.DUMMYFUNCTION("""COMPUTED_VALUE"""),"Bird Marketing, Found")</f>
        <v>Bird Marketing, Found</v>
      </c>
      <c r="I39" s="15">
        <f>IFERROR(__xludf.DUMMYFUNCTION("""COMPUTED_VALUE"""),3.0)</f>
        <v>3</v>
      </c>
      <c r="J39" s="15">
        <f>IFERROR(__xludf.DUMMYFUNCTION("""COMPUTED_VALUE"""),0.0)</f>
        <v>0</v>
      </c>
      <c r="K39" s="15">
        <f>IFERROR(__xludf.DUMMYFUNCTION("""COMPUTED_VALUE"""),0.0)</f>
        <v>0</v>
      </c>
    </row>
    <row r="40" ht="15.75" customHeight="1">
      <c r="A40" s="14" t="str">
        <f>IFERROR(__xludf.DUMMYFUNCTION("""COMPUTED_VALUE"""),"https://www.margen.net/margen-ranked-uk-number-one-ai-seo-agency-2026/")</f>
        <v>https://www.margen.net/margen-ranked-uk-number-one-ai-seo-agency-2026/</v>
      </c>
      <c r="B40" s="15" t="str">
        <f>IFERROR(__xludf.DUMMYFUNCTION("""COMPUTED_VALUE"""),"MarGen Ranked the UK&amp;#39;s #1 AI SEO Agency for 2026 | MarGen")</f>
        <v>MarGen Ranked the UK&amp;#39;s #1 AI SEO Agency for 2026 | MarGen</v>
      </c>
      <c r="C40" s="14" t="str">
        <f>IFERROR(__xludf.DUMMYFUNCTION("""COMPUTED_VALUE"""),"margen.net")</f>
        <v>margen.net</v>
      </c>
      <c r="D40" s="15" t="str">
        <f>IFERROR(__xludf.DUMMYFUNCTION("""COMPUTED_VALUE"""),"OTHER")</f>
        <v>OTHER</v>
      </c>
      <c r="E40" s="15" t="str">
        <f>IFERROR(__xludf.DUMMYFUNCTION("""COMPUTED_VALUE"""),"CORPORATE")</f>
        <v>CORPORATE</v>
      </c>
      <c r="F40" s="15" t="str">
        <f>IFERROR(__xludf.DUMMYFUNCTION("""COMPUTED_VALUE"""),"Other")</f>
        <v>Other</v>
      </c>
      <c r="G40" s="15" t="b">
        <f>IFERROR(__xludf.DUMMYFUNCTION("""COMPUTED_VALUE"""),FALSE)</f>
        <v>0</v>
      </c>
      <c r="H40" s="15" t="str">
        <f>IFERROR(__xludf.DUMMYFUNCTION("""COMPUTED_VALUE"""),"The SEO Works, Blue Array, Rise at Seven, Found")</f>
        <v>The SEO Works, Blue Array, Rise at Seven, Found</v>
      </c>
      <c r="I40" s="15">
        <f>IFERROR(__xludf.DUMMYFUNCTION("""COMPUTED_VALUE"""),3.0)</f>
        <v>3</v>
      </c>
      <c r="J40" s="15">
        <f>IFERROR(__xludf.DUMMYFUNCTION("""COMPUTED_VALUE"""),0.0)</f>
        <v>0</v>
      </c>
      <c r="K40" s="15">
        <f>IFERROR(__xludf.DUMMYFUNCTION("""COMPUTED_VALUE"""),0.67)</f>
        <v>0.67</v>
      </c>
    </row>
    <row r="41" ht="15.75" customHeight="1">
      <c r="A41" s="14" t="str">
        <f>IFERROR(__xludf.DUMMYFUNCTION("""COMPUTED_VALUE"""),"https://marketingplatform.google.com/intl/en_uk/about/contact-us/")</f>
        <v>https://marketingplatform.google.com/intl/en_uk/about/contact-us/</v>
      </c>
      <c r="B41" s="15"/>
      <c r="C41" s="14" t="str">
        <f>IFERROR(__xludf.DUMMYFUNCTION("""COMPUTED_VALUE"""),"google.com")</f>
        <v>google.com</v>
      </c>
      <c r="D41" s="15" t="str">
        <f>IFERROR(__xludf.DUMMYFUNCTION("""COMPUTED_VALUE"""),"OTHER")</f>
        <v>OTHER</v>
      </c>
      <c r="E41" s="15" t="str">
        <f>IFERROR(__xludf.DUMMYFUNCTION("""COMPUTED_VALUE"""),"OTHER")</f>
        <v>OTHER</v>
      </c>
      <c r="F41" s="15" t="str">
        <f>IFERROR(__xludf.DUMMYFUNCTION("""COMPUTED_VALUE"""),"Other")</f>
        <v>Other</v>
      </c>
      <c r="G41" s="15"/>
      <c r="H41" s="15" t="str">
        <f>IFERROR(__xludf.DUMMYFUNCTION("""COMPUTED_VALUE"""),"Unknown")</f>
        <v>Unknown</v>
      </c>
      <c r="I41" s="15">
        <f>IFERROR(__xludf.DUMMYFUNCTION("""COMPUTED_VALUE"""),3.0)</f>
        <v>3</v>
      </c>
      <c r="J41" s="15">
        <f>IFERROR(__xludf.DUMMYFUNCTION("""COMPUTED_VALUE"""),0.0)</f>
        <v>0</v>
      </c>
      <c r="K41" s="15">
        <f>IFERROR(__xludf.DUMMYFUNCTION("""COMPUTED_VALUE"""),0.0)</f>
        <v>0</v>
      </c>
    </row>
    <row r="42" ht="15.75" customHeight="1">
      <c r="A42" s="14" t="str">
        <f>IFERROR(__xludf.DUMMYFUNCTION("""COMPUTED_VALUE"""),"https://neuraladx.com/best-ai-search-optimisation-agency-saas-companies-uk/")</f>
        <v>https://neuraladx.com/best-ai-search-optimisation-agency-saas-companies-uk/</v>
      </c>
      <c r="B42" s="15" t="str">
        <f>IFERROR(__xludf.DUMMYFUNCTION("""COMPUTED_VALUE"""),"Best AI Search Optimisation Agency for SaaS Companies UK")</f>
        <v>Best AI Search Optimisation Agency for SaaS Companies UK</v>
      </c>
      <c r="C42" s="14" t="str">
        <f>IFERROR(__xludf.DUMMYFUNCTION("""COMPUTED_VALUE"""),"neuraladx.com")</f>
        <v>neuraladx.com</v>
      </c>
      <c r="D42" s="15" t="str">
        <f>IFERROR(__xludf.DUMMYFUNCTION("""COMPUTED_VALUE"""),"OTHER")</f>
        <v>OTHER</v>
      </c>
      <c r="E42" s="15" t="str">
        <f>IFERROR(__xludf.DUMMYFUNCTION("""COMPUTED_VALUE"""),"UGC")</f>
        <v>UGC</v>
      </c>
      <c r="F42" s="15" t="str">
        <f>IFERROR(__xludf.DUMMYFUNCTION("""COMPUTED_VALUE"""),"Other")</f>
        <v>Other</v>
      </c>
      <c r="G42" s="15" t="b">
        <f>IFERROR(__xludf.DUMMYFUNCTION("""COMPUTED_VALUE"""),FALSE)</f>
        <v>0</v>
      </c>
      <c r="H42" s="15" t="str">
        <f>IFERROR(__xludf.DUMMYFUNCTION("""COMPUTED_VALUE"""),"Measured, QuantumBlack, Found, Siege Media")</f>
        <v>Measured, QuantumBlack, Found, Siege Media</v>
      </c>
      <c r="I42" s="15">
        <f>IFERROR(__xludf.DUMMYFUNCTION("""COMPUTED_VALUE"""),3.0)</f>
        <v>3</v>
      </c>
      <c r="J42" s="15">
        <f>IFERROR(__xludf.DUMMYFUNCTION("""COMPUTED_VALUE"""),0.0)</f>
        <v>0</v>
      </c>
      <c r="K42" s="15">
        <f>IFERROR(__xludf.DUMMYFUNCTION("""COMPUTED_VALUE"""),1.0)</f>
        <v>1</v>
      </c>
    </row>
    <row r="43" ht="15.75" customHeight="1">
      <c r="A43" s="14" t="str">
        <f>IFERROR(__xludf.DUMMYFUNCTION("""COMPUTED_VALUE"""),"https://seocompare.co.uk/ai-search-agencies-uk/")</f>
        <v>https://seocompare.co.uk/ai-search-agencies-uk/</v>
      </c>
      <c r="B43" s="15" t="str">
        <f>IFERROR(__xludf.DUMMYFUNCTION("""COMPUTED_VALUE"""),"19 Best AI SEO Agencies UK | SEOCompare")</f>
        <v>19 Best AI SEO Agencies UK | SEOCompare</v>
      </c>
      <c r="C43" s="14" t="str">
        <f>IFERROR(__xludf.DUMMYFUNCTION("""COMPUTED_VALUE"""),"seocompare.co.uk")</f>
        <v>seocompare.co.uk</v>
      </c>
      <c r="D43" s="15" t="str">
        <f>IFERROR(__xludf.DUMMYFUNCTION("""COMPUTED_VALUE"""),"OTHER")</f>
        <v>OTHER</v>
      </c>
      <c r="E43" s="15" t="str">
        <f>IFERROR(__xludf.DUMMYFUNCTION("""COMPUTED_VALUE"""),"EDITORIAL")</f>
        <v>EDITORIAL</v>
      </c>
      <c r="F43" s="15" t="str">
        <f>IFERROR(__xludf.DUMMYFUNCTION("""COMPUTED_VALUE"""),"Other")</f>
        <v>Other</v>
      </c>
      <c r="G43" s="15" t="b">
        <f>IFERROR(__xludf.DUMMYFUNCTION("""COMPUTED_VALUE"""),FALSE)</f>
        <v>0</v>
      </c>
      <c r="H43" s="15" t="str">
        <f>IFERROR(__xludf.DUMMYFUNCTION("""COMPUTED_VALUE"""),"Rank4AI, ClickSlice, Propeller, Screaming Frog, Blue Array, Passion Digital, Impression, Builtvisible")</f>
        <v>Rank4AI, ClickSlice, Propeller, Screaming Frog, Blue Array, Passion Digital, Impression, Builtvisible</v>
      </c>
      <c r="I43" s="15">
        <f>IFERROR(__xludf.DUMMYFUNCTION("""COMPUTED_VALUE"""),3.0)</f>
        <v>3</v>
      </c>
      <c r="J43" s="15">
        <f>IFERROR(__xludf.DUMMYFUNCTION("""COMPUTED_VALUE"""),0.0)</f>
        <v>0</v>
      </c>
      <c r="K43" s="15">
        <f>IFERROR(__xludf.DUMMYFUNCTION("""COMPUTED_VALUE"""),0.0)</f>
        <v>0</v>
      </c>
    </row>
    <row r="44" ht="15.75" customHeight="1">
      <c r="A44" s="14" t="str">
        <f>IFERROR(__xludf.DUMMYFUNCTION("""COMPUTED_VALUE"""),"https://support.google.com/tagmanager/answer/7237700?hl=en")</f>
        <v>https://support.google.com/tagmanager/answer/7237700?hl=en</v>
      </c>
      <c r="B44" s="15" t="str">
        <f>IFERROR(__xludf.DUMMYFUNCTION("""COMPUTED_VALUE"""),"Google Marketing Platform Partners - Tag Manager Help")</f>
        <v>Google Marketing Platform Partners - Tag Manager Help</v>
      </c>
      <c r="C44" s="14" t="str">
        <f>IFERROR(__xludf.DUMMYFUNCTION("""COMPUTED_VALUE"""),"google.com")</f>
        <v>google.com</v>
      </c>
      <c r="D44" s="15" t="str">
        <f>IFERROR(__xludf.DUMMYFUNCTION("""COMPUTED_VALUE"""),"OTHER")</f>
        <v>OTHER</v>
      </c>
      <c r="E44" s="15" t="str">
        <f>IFERROR(__xludf.DUMMYFUNCTION("""COMPUTED_VALUE"""),"OTHER")</f>
        <v>OTHER</v>
      </c>
      <c r="F44" s="15" t="str">
        <f>IFERROR(__xludf.DUMMYFUNCTION("""COMPUTED_VALUE"""),"Other")</f>
        <v>Other</v>
      </c>
      <c r="G44" s="15" t="b">
        <f>IFERROR(__xludf.DUMMYFUNCTION("""COMPUTED_VALUE"""),FALSE)</f>
        <v>0</v>
      </c>
      <c r="H44" s="15"/>
      <c r="I44" s="15">
        <f>IFERROR(__xludf.DUMMYFUNCTION("""COMPUTED_VALUE"""),3.0)</f>
        <v>3</v>
      </c>
      <c r="J44" s="15">
        <f>IFERROR(__xludf.DUMMYFUNCTION("""COMPUTED_VALUE"""),0.0)</f>
        <v>0</v>
      </c>
      <c r="K44" s="15">
        <f>IFERROR(__xludf.DUMMYFUNCTION("""COMPUTED_VALUE"""),0.33)</f>
        <v>0.33</v>
      </c>
    </row>
    <row r="45" ht="15.75" customHeight="1">
      <c r="A45" s="14" t="str">
        <f>IFERROR(__xludf.DUMMYFUNCTION("""COMPUTED_VALUE"""),"https://top-branding-agency.co.uk/creative/")</f>
        <v>https://top-branding-agency.co.uk/creative/</v>
      </c>
      <c r="B45" s="15"/>
      <c r="C45" s="14" t="str">
        <f>IFERROR(__xludf.DUMMYFUNCTION("""COMPUTED_VALUE"""),"top-branding-agency.co.uk")</f>
        <v>top-branding-agency.co.uk</v>
      </c>
      <c r="D45" s="15" t="str">
        <f>IFERROR(__xludf.DUMMYFUNCTION("""COMPUTED_VALUE"""),"OTHER")</f>
        <v>OTHER</v>
      </c>
      <c r="E45" s="15" t="str">
        <f>IFERROR(__xludf.DUMMYFUNCTION("""COMPUTED_VALUE"""),"CORPORATE")</f>
        <v>CORPORATE</v>
      </c>
      <c r="F45" s="15" t="str">
        <f>IFERROR(__xludf.DUMMYFUNCTION("""COMPUTED_VALUE"""),"Other")</f>
        <v>Other</v>
      </c>
      <c r="G45" s="15"/>
      <c r="H45" s="15" t="str">
        <f>IFERROR(__xludf.DUMMYFUNCTION("""COMPUTED_VALUE"""),"Unknown")</f>
        <v>Unknown</v>
      </c>
      <c r="I45" s="15">
        <f>IFERROR(__xludf.DUMMYFUNCTION("""COMPUTED_VALUE"""),3.0)</f>
        <v>3</v>
      </c>
      <c r="J45" s="15">
        <f>IFERROR(__xludf.DUMMYFUNCTION("""COMPUTED_VALUE"""),0.0)</f>
        <v>0</v>
      </c>
      <c r="K45" s="15">
        <f>IFERROR(__xludf.DUMMYFUNCTION("""COMPUTED_VALUE"""),0.0)</f>
        <v>0</v>
      </c>
    </row>
    <row r="46" ht="15.75" customHeight="1">
      <c r="A46" s="14" t="str">
        <f>IFERROR(__xludf.DUMMYFUNCTION("""COMPUTED_VALUE"""),"https://www.10seos.com/gb/display-advertising-companies-in-uk")</f>
        <v>https://www.10seos.com/gb/display-advertising-companies-in-uk</v>
      </c>
      <c r="B46" s="15" t="str">
        <f>IFERROR(__xludf.DUMMYFUNCTION("""COMPUTED_VALUE"""),"Top 10 Display Advertising Companies For Best Services. UK | July 2026")</f>
        <v>Top 10 Display Advertising Companies For Best Services. UK | July 2026</v>
      </c>
      <c r="C46" s="14" t="str">
        <f>IFERROR(__xludf.DUMMYFUNCTION("""COMPUTED_VALUE"""),"10seos.com")</f>
        <v>10seos.com</v>
      </c>
      <c r="D46" s="15" t="str">
        <f>IFERROR(__xludf.DUMMYFUNCTION("""COMPUTED_VALUE"""),"OTHER")</f>
        <v>OTHER</v>
      </c>
      <c r="E46" s="15" t="str">
        <f>IFERROR(__xludf.DUMMYFUNCTION("""COMPUTED_VALUE"""),"REFERENCE")</f>
        <v>REFERENCE</v>
      </c>
      <c r="F46" s="15" t="str">
        <f>IFERROR(__xludf.DUMMYFUNCTION("""COMPUTED_VALUE"""),"Other")</f>
        <v>Other</v>
      </c>
      <c r="G46" s="15" t="b">
        <f>IFERROR(__xludf.DUMMYFUNCTION("""COMPUTED_VALUE"""),FALSE)</f>
        <v>0</v>
      </c>
      <c r="H46" s="15" t="str">
        <f>IFERROR(__xludf.DUMMYFUNCTION("""COMPUTED_VALUE"""),"The SEO Works")</f>
        <v>The SEO Works</v>
      </c>
      <c r="I46" s="15">
        <f>IFERROR(__xludf.DUMMYFUNCTION("""COMPUTED_VALUE"""),2.0)</f>
        <v>2</v>
      </c>
      <c r="J46" s="15">
        <f>IFERROR(__xludf.DUMMYFUNCTION("""COMPUTED_VALUE"""),0.0)</f>
        <v>0</v>
      </c>
      <c r="K46" s="15">
        <f>IFERROR(__xludf.DUMMYFUNCTION("""COMPUTED_VALUE"""),0.0)</f>
        <v>0</v>
      </c>
    </row>
    <row r="47" ht="15.75" customHeight="1">
      <c r="A47" s="14" t="str">
        <f>IFERROR(__xludf.DUMMYFUNCTION("""COMPUTED_VALUE"""),"https://croud.com/en-gb/services/audience-suite/measurement/#:~:text=The%20MAMM%20framework%20assesses%20everything,Unified%20Measurement")</f>
        <v>https://croud.com/en-gb/services/audience-suite/measurement/#:~:text=The%20MAMM%20framework%20assesses%20everything,Unified%20Measurement</v>
      </c>
      <c r="B47" s="15" t="str">
        <f>IFERROR(__xludf.DUMMYFUNCTION("""COMPUTED_VALUE"""),"Measurement | Croud UK")</f>
        <v>Measurement | Croud UK</v>
      </c>
      <c r="C47" s="14" t="str">
        <f>IFERROR(__xludf.DUMMYFUNCTION("""COMPUTED_VALUE"""),"croud.com")</f>
        <v>croud.com</v>
      </c>
      <c r="D47" s="15" t="str">
        <f>IFERROR(__xludf.DUMMYFUNCTION("""COMPUTED_VALUE"""),"OTHER")</f>
        <v>OTHER</v>
      </c>
      <c r="E47" s="15" t="str">
        <f>IFERROR(__xludf.DUMMYFUNCTION("""COMPUTED_VALUE"""),"COMPETITOR")</f>
        <v>COMPETITOR</v>
      </c>
      <c r="F47" s="15" t="str">
        <f>IFERROR(__xludf.DUMMYFUNCTION("""COMPUTED_VALUE"""),"Other")</f>
        <v>Other</v>
      </c>
      <c r="G47" s="15" t="b">
        <f>IFERROR(__xludf.DUMMYFUNCTION("""COMPUTED_VALUE"""),FALSE)</f>
        <v>0</v>
      </c>
      <c r="H47" s="15" t="str">
        <f>IFERROR(__xludf.DUMMYFUNCTION("""COMPUTED_VALUE"""),"Croud")</f>
        <v>Croud</v>
      </c>
      <c r="I47" s="15">
        <f>IFERROR(__xludf.DUMMYFUNCTION("""COMPUTED_VALUE"""),2.0)</f>
        <v>2</v>
      </c>
      <c r="J47" s="15">
        <f>IFERROR(__xludf.DUMMYFUNCTION("""COMPUTED_VALUE"""),0.0)</f>
        <v>0</v>
      </c>
      <c r="K47" s="15">
        <f>IFERROR(__xludf.DUMMYFUNCTION("""COMPUTED_VALUE"""),2.0)</f>
        <v>2</v>
      </c>
    </row>
    <row r="48" ht="15.75" customHeight="1">
      <c r="A48" s="14" t="str">
        <f>IFERROR(__xludf.DUMMYFUNCTION("""COMPUTED_VALUE"""),"https://ebiquity.com/#:~:text=Most%20global.%20We%20are%20a%20community%20of,local%20relevancy.%20Learn%20more%20about%20our%20people.")</f>
        <v>https://ebiquity.com/#:~:text=Most%20global.%20We%20are%20a%20community%20of,local%20relevancy.%20Learn%20more%20about%20our%20people.</v>
      </c>
      <c r="B48" s="15" t="str">
        <f>IFERROR(__xludf.DUMMYFUNCTION("""COMPUTED_VALUE"""),"Ebiquity - The Independent Authority in Marketing Effectiveness")</f>
        <v>Ebiquity - The Independent Authority in Marketing Effectiveness</v>
      </c>
      <c r="C48" s="14" t="str">
        <f>IFERROR(__xludf.DUMMYFUNCTION("""COMPUTED_VALUE"""),"ebiquity.com")</f>
        <v>ebiquity.com</v>
      </c>
      <c r="D48" s="15" t="str">
        <f>IFERROR(__xludf.DUMMYFUNCTION("""COMPUTED_VALUE"""),"OTHER")</f>
        <v>OTHER</v>
      </c>
      <c r="E48" s="15" t="str">
        <f>IFERROR(__xludf.DUMMYFUNCTION("""COMPUTED_VALUE"""),"COMPETITOR")</f>
        <v>COMPETITOR</v>
      </c>
      <c r="F48" s="15" t="str">
        <f>IFERROR(__xludf.DUMMYFUNCTION("""COMPUTED_VALUE"""),"Other")</f>
        <v>Other</v>
      </c>
      <c r="G48" s="15"/>
      <c r="H48" s="15" t="str">
        <f>IFERROR(__xludf.DUMMYFUNCTION("""COMPUTED_VALUE"""),"Unknown")</f>
        <v>Unknown</v>
      </c>
      <c r="I48" s="15">
        <f>IFERROR(__xludf.DUMMYFUNCTION("""COMPUTED_VALUE"""),2.0)</f>
        <v>2</v>
      </c>
      <c r="J48" s="15">
        <f>IFERROR(__xludf.DUMMYFUNCTION("""COMPUTED_VALUE"""),0.0)</f>
        <v>0</v>
      </c>
      <c r="K48" s="15">
        <f>IFERROR(__xludf.DUMMYFUNCTION("""COMPUTED_VALUE"""),1.0)</f>
        <v>1</v>
      </c>
    </row>
    <row r="49" ht="15.75" customHeight="1">
      <c r="A49" s="14" t="str">
        <f>IFERROR(__xludf.DUMMYFUNCTION("""COMPUTED_VALUE"""),"https://itprofiles.com/services/ppc/uk")</f>
        <v>https://itprofiles.com/services/ppc/uk</v>
      </c>
      <c r="B49" s="15" t="str">
        <f>IFERROR(__xludf.DUMMYFUNCTION("""COMPUTED_VALUE"""),"Top 100+ PPC Companies in United Kingdom - Jul 2026 Rankings | ITProfiles")</f>
        <v>Top 100+ PPC Companies in United Kingdom - Jul 2026 Rankings | ITProfiles</v>
      </c>
      <c r="C49" s="14" t="str">
        <f>IFERROR(__xludf.DUMMYFUNCTION("""COMPUTED_VALUE"""),"itprofiles.com")</f>
        <v>itprofiles.com</v>
      </c>
      <c r="D49" s="15" t="str">
        <f>IFERROR(__xludf.DUMMYFUNCTION("""COMPUTED_VALUE"""),"OTHER")</f>
        <v>OTHER</v>
      </c>
      <c r="E49" s="15" t="str">
        <f>IFERROR(__xludf.DUMMYFUNCTION("""COMPUTED_VALUE"""),"REFERENCE")</f>
        <v>REFERENCE</v>
      </c>
      <c r="F49" s="15" t="str">
        <f>IFERROR(__xludf.DUMMYFUNCTION("""COMPUTED_VALUE"""),"Other")</f>
        <v>Other</v>
      </c>
      <c r="G49" s="15" t="b">
        <f>IFERROR(__xludf.DUMMYFUNCTION("""COMPUTED_VALUE"""),FALSE)</f>
        <v>0</v>
      </c>
      <c r="H49" s="15" t="str">
        <f>IFERROR(__xludf.DUMMYFUNCTION("""COMPUTED_VALUE"""),"The SEO Works, Soap Media, Found")</f>
        <v>The SEO Works, Soap Media, Found</v>
      </c>
      <c r="I49" s="15">
        <f>IFERROR(__xludf.DUMMYFUNCTION("""COMPUTED_VALUE"""),2.0)</f>
        <v>2</v>
      </c>
      <c r="J49" s="15">
        <f>IFERROR(__xludf.DUMMYFUNCTION("""COMPUTED_VALUE"""),0.0)</f>
        <v>0</v>
      </c>
      <c r="K49" s="15">
        <f>IFERROR(__xludf.DUMMYFUNCTION("""COMPUTED_VALUE"""),0.0)</f>
        <v>0</v>
      </c>
    </row>
    <row r="50" ht="15.75" customHeight="1">
      <c r="A50" s="14" t="str">
        <f>IFERROR(__xludf.DUMMYFUNCTION("""COMPUTED_VALUE"""),"https://marketingplatform.google.com/about/partners/find-a-partner")</f>
        <v>https://marketingplatform.google.com/about/partners/find-a-partner</v>
      </c>
      <c r="B50" s="15"/>
      <c r="C50" s="14" t="str">
        <f>IFERROR(__xludf.DUMMYFUNCTION("""COMPUTED_VALUE"""),"google.com")</f>
        <v>google.com</v>
      </c>
      <c r="D50" s="15" t="str">
        <f>IFERROR(__xludf.DUMMYFUNCTION("""COMPUTED_VALUE"""),"OTHER")</f>
        <v>OTHER</v>
      </c>
      <c r="E50" s="15" t="str">
        <f>IFERROR(__xludf.DUMMYFUNCTION("""COMPUTED_VALUE"""),"OTHER")</f>
        <v>OTHER</v>
      </c>
      <c r="F50" s="15" t="str">
        <f>IFERROR(__xludf.DUMMYFUNCTION("""COMPUTED_VALUE"""),"Other")</f>
        <v>Other</v>
      </c>
      <c r="G50" s="15"/>
      <c r="H50" s="15" t="str">
        <f>IFERROR(__xludf.DUMMYFUNCTION("""COMPUTED_VALUE"""),"Unknown")</f>
        <v>Unknown</v>
      </c>
      <c r="I50" s="15">
        <f>IFERROR(__xludf.DUMMYFUNCTION("""COMPUTED_VALUE"""),2.0)</f>
        <v>2</v>
      </c>
      <c r="J50" s="15">
        <f>IFERROR(__xludf.DUMMYFUNCTION("""COMPUTED_VALUE"""),0.0)</f>
        <v>0</v>
      </c>
      <c r="K50" s="15">
        <f>IFERROR(__xludf.DUMMYFUNCTION("""COMPUTED_VALUE"""),0.0)</f>
        <v>0</v>
      </c>
    </row>
    <row r="51" ht="15.75" customHeight="1">
      <c r="A51" s="14" t="str">
        <f>IFERROR(__xludf.DUMMYFUNCTION("""COMPUTED_VALUE"""),"https://marketingplatform.google.com/intl/en_uk/about/optimize/")</f>
        <v>https://marketingplatform.google.com/intl/en_uk/about/optimize/</v>
      </c>
      <c r="B51" s="15"/>
      <c r="C51" s="14" t="str">
        <f>IFERROR(__xludf.DUMMYFUNCTION("""COMPUTED_VALUE"""),"google.com")</f>
        <v>google.com</v>
      </c>
      <c r="D51" s="15" t="str">
        <f>IFERROR(__xludf.DUMMYFUNCTION("""COMPUTED_VALUE"""),"OTHER")</f>
        <v>OTHER</v>
      </c>
      <c r="E51" s="15" t="str">
        <f>IFERROR(__xludf.DUMMYFUNCTION("""COMPUTED_VALUE"""),"OTHER")</f>
        <v>OTHER</v>
      </c>
      <c r="F51" s="15" t="str">
        <f>IFERROR(__xludf.DUMMYFUNCTION("""COMPUTED_VALUE"""),"Other")</f>
        <v>Other</v>
      </c>
      <c r="G51" s="15"/>
      <c r="H51" s="15" t="str">
        <f>IFERROR(__xludf.DUMMYFUNCTION("""COMPUTED_VALUE"""),"Unknown")</f>
        <v>Unknown</v>
      </c>
      <c r="I51" s="15">
        <f>IFERROR(__xludf.DUMMYFUNCTION("""COMPUTED_VALUE"""),2.0)</f>
        <v>2</v>
      </c>
      <c r="J51" s="15">
        <f>IFERROR(__xludf.DUMMYFUNCTION("""COMPUTED_VALUE"""),0.0)</f>
        <v>0</v>
      </c>
      <c r="K51" s="15">
        <f>IFERROR(__xludf.DUMMYFUNCTION("""COMPUTED_VALUE"""),0.0)</f>
        <v>0</v>
      </c>
    </row>
    <row r="52" ht="15.75" customHeight="1">
      <c r="A52" s="14" t="str">
        <f>IFERROR(__xludf.DUMMYFUNCTION("""COMPUTED_VALUE"""),"https://www.moreaboutadvertising.com/2025/03/saatchi-saatchi-tops-uk-billings-table-publicis-is-top-group/")</f>
        <v>https://www.moreaboutadvertising.com/2025/03/saatchi-saatchi-tops-uk-billings-table-publicis-is-top-group/</v>
      </c>
      <c r="B52" s="15" t="str">
        <f>IFERROR(__xludf.DUMMYFUNCTION("""COMPUTED_VALUE"""),"Saatchi &amp; Saatchi tops UK billings table, Publicis is top group - More About Advertising")</f>
        <v>Saatchi &amp; Saatchi tops UK billings table, Publicis is top group - More About Advertising</v>
      </c>
      <c r="C52" s="14" t="str">
        <f>IFERROR(__xludf.DUMMYFUNCTION("""COMPUTED_VALUE"""),"moreaboutadvertising.com")</f>
        <v>moreaboutadvertising.com</v>
      </c>
      <c r="D52" s="15" t="str">
        <f>IFERROR(__xludf.DUMMYFUNCTION("""COMPUTED_VALUE"""),"OTHER")</f>
        <v>OTHER</v>
      </c>
      <c r="E52" s="15" t="str">
        <f>IFERROR(__xludf.DUMMYFUNCTION("""COMPUTED_VALUE"""),"OTHER")</f>
        <v>OTHER</v>
      </c>
      <c r="F52" s="15" t="str">
        <f>IFERROR(__xludf.DUMMYFUNCTION("""COMPUTED_VALUE"""),"Other")</f>
        <v>Other</v>
      </c>
      <c r="G52" s="15" t="b">
        <f>IFERROR(__xludf.DUMMYFUNCTION("""COMPUTED_VALUE"""),FALSE)</f>
        <v>0</v>
      </c>
      <c r="H52" s="15" t="str">
        <f>IFERROR(__xludf.DUMMYFUNCTION("""COMPUTED_VALUE"""),"Nielsen, Saatchi &amp; Saatchi, VCCP, BBH London, Publicis Groupe, WPP, Ogilvy, Omnicom, Adam&amp;eveDDB, AMV BBDO, Lucky Generals")</f>
        <v>Nielsen, Saatchi &amp; Saatchi, VCCP, BBH London, Publicis Groupe, WPP, Ogilvy, Omnicom, Adam&amp;eveDDB, AMV BBDO, Lucky Generals</v>
      </c>
      <c r="I52" s="15">
        <f>IFERROR(__xludf.DUMMYFUNCTION("""COMPUTED_VALUE"""),2.0)</f>
        <v>2</v>
      </c>
      <c r="J52" s="15">
        <f>IFERROR(__xludf.DUMMYFUNCTION("""COMPUTED_VALUE"""),0.0)</f>
        <v>0</v>
      </c>
      <c r="K52" s="15">
        <f>IFERROR(__xludf.DUMMYFUNCTION("""COMPUTED_VALUE"""),0.0)</f>
        <v>0</v>
      </c>
    </row>
    <row r="53" ht="15.75" customHeight="1">
      <c r="A53" s="14" t="str">
        <f>IFERROR(__xludf.DUMMYFUNCTION("""COMPUTED_VALUE"""),"https://neuraladx.com/best-ai-search-optimisation-agency-property-companies-uk/")</f>
        <v>https://neuraladx.com/best-ai-search-optimisation-agency-property-companies-uk/</v>
      </c>
      <c r="B53" s="15" t="str">
        <f>IFERROR(__xludf.DUMMYFUNCTION("""COMPUTED_VALUE"""),"Best AI Search Optimisation Agency for Property Companies UK")</f>
        <v>Best AI Search Optimisation Agency for Property Companies UK</v>
      </c>
      <c r="C53" s="14" t="str">
        <f>IFERROR(__xludf.DUMMYFUNCTION("""COMPUTED_VALUE"""),"neuraladx.com")</f>
        <v>neuraladx.com</v>
      </c>
      <c r="D53" s="15" t="str">
        <f>IFERROR(__xludf.DUMMYFUNCTION("""COMPUTED_VALUE"""),"OTHER")</f>
        <v>OTHER</v>
      </c>
      <c r="E53" s="15" t="str">
        <f>IFERROR(__xludf.DUMMYFUNCTION("""COMPUTED_VALUE"""),"UGC")</f>
        <v>UGC</v>
      </c>
      <c r="F53" s="15" t="str">
        <f>IFERROR(__xludf.DUMMYFUNCTION("""COMPUTED_VALUE"""),"Other")</f>
        <v>Other</v>
      </c>
      <c r="G53" s="15" t="b">
        <f>IFERROR(__xludf.DUMMYFUNCTION("""COMPUTED_VALUE"""),FALSE)</f>
        <v>0</v>
      </c>
      <c r="H53" s="15" t="str">
        <f>IFERROR(__xludf.DUMMYFUNCTION("""COMPUTED_VALUE"""),"PwC, Siege Media, Found, Deloitte Digital")</f>
        <v>PwC, Siege Media, Found, Deloitte Digital</v>
      </c>
      <c r="I53" s="15">
        <f>IFERROR(__xludf.DUMMYFUNCTION("""COMPUTED_VALUE"""),2.0)</f>
        <v>2</v>
      </c>
      <c r="J53" s="15">
        <f>IFERROR(__xludf.DUMMYFUNCTION("""COMPUTED_VALUE"""),0.0)</f>
        <v>0</v>
      </c>
      <c r="K53" s="15">
        <f>IFERROR(__xludf.DUMMYFUNCTION("""COMPUTED_VALUE"""),1.0)</f>
        <v>1</v>
      </c>
    </row>
    <row r="54" ht="15.75" customHeight="1">
      <c r="A54" s="14" t="str">
        <f>IFERROR(__xludf.DUMMYFUNCTION("""COMPUTED_VALUE"""),"https://www.rezaid.co.uk/top-7-display-advertising-agencies-2025/")</f>
        <v>https://www.rezaid.co.uk/top-7-display-advertising-agencies-2025/</v>
      </c>
      <c r="B54" s="15"/>
      <c r="C54" s="14" t="str">
        <f>IFERROR(__xludf.DUMMYFUNCTION("""COMPUTED_VALUE"""),"rezaid.co.uk")</f>
        <v>rezaid.co.uk</v>
      </c>
      <c r="D54" s="15" t="str">
        <f>IFERROR(__xludf.DUMMYFUNCTION("""COMPUTED_VALUE"""),"OTHER")</f>
        <v>OTHER</v>
      </c>
      <c r="E54" s="15" t="str">
        <f>IFERROR(__xludf.DUMMYFUNCTION("""COMPUTED_VALUE"""),"CORPORATE")</f>
        <v>CORPORATE</v>
      </c>
      <c r="F54" s="15" t="str">
        <f>IFERROR(__xludf.DUMMYFUNCTION("""COMPUTED_VALUE"""),"Other")</f>
        <v>Other</v>
      </c>
      <c r="G54" s="15"/>
      <c r="H54" s="15" t="str">
        <f>IFERROR(__xludf.DUMMYFUNCTION("""COMPUTED_VALUE"""),"Unknown")</f>
        <v>Unknown</v>
      </c>
      <c r="I54" s="15">
        <f>IFERROR(__xludf.DUMMYFUNCTION("""COMPUTED_VALUE"""),2.0)</f>
        <v>2</v>
      </c>
      <c r="J54" s="15">
        <f>IFERROR(__xludf.DUMMYFUNCTION("""COMPUTED_VALUE"""),0.0)</f>
        <v>0</v>
      </c>
      <c r="K54" s="15">
        <f>IFERROR(__xludf.DUMMYFUNCTION("""COMPUTED_VALUE"""),0.0)</f>
        <v>0</v>
      </c>
    </row>
    <row r="55" ht="15.75" customHeight="1">
      <c r="A55" s="14" t="str">
        <f>IFERROR(__xludf.DUMMYFUNCTION("""COMPUTED_VALUE"""),"https://techbehemoths.com/companies/google-marketing-platform/united-kingdom")</f>
        <v>https://techbehemoths.com/companies/google-marketing-platform/united-kingdom</v>
      </c>
      <c r="B55" s="15" t="str">
        <f>IFERROR(__xludf.DUMMYFUNCTION("""COMPUTED_VALUE"""),"Top 20+ Google Marketing Platform Companies in United Kingdom (2026) - TechBehemoths")</f>
        <v>Top 20+ Google Marketing Platform Companies in United Kingdom (2026) - TechBehemoths</v>
      </c>
      <c r="C55" s="14" t="str">
        <f>IFERROR(__xludf.DUMMYFUNCTION("""COMPUTED_VALUE"""),"techbehemoths.com")</f>
        <v>techbehemoths.com</v>
      </c>
      <c r="D55" s="15" t="str">
        <f>IFERROR(__xludf.DUMMYFUNCTION("""COMPUTED_VALUE"""),"OTHER")</f>
        <v>OTHER</v>
      </c>
      <c r="E55" s="15" t="str">
        <f>IFERROR(__xludf.DUMMYFUNCTION("""COMPUTED_VALUE"""),"REFERENCE")</f>
        <v>REFERENCE</v>
      </c>
      <c r="F55" s="15" t="str">
        <f>IFERROR(__xludf.DUMMYFUNCTION("""COMPUTED_VALUE"""),"Other")</f>
        <v>Other</v>
      </c>
      <c r="G55" s="15" t="b">
        <f>IFERROR(__xludf.DUMMYFUNCTION("""COMPUTED_VALUE"""),FALSE)</f>
        <v>0</v>
      </c>
      <c r="H55" s="15" t="str">
        <f>IFERROR(__xludf.DUMMYFUNCTION("""COMPUTED_VALUE"""),"Found")</f>
        <v>Found</v>
      </c>
      <c r="I55" s="15">
        <f>IFERROR(__xludf.DUMMYFUNCTION("""COMPUTED_VALUE"""),2.0)</f>
        <v>2</v>
      </c>
      <c r="J55" s="15">
        <f>IFERROR(__xludf.DUMMYFUNCTION("""COMPUTED_VALUE"""),0.0)</f>
        <v>0</v>
      </c>
      <c r="K55" s="15">
        <f>IFERROR(__xludf.DUMMYFUNCTION("""COMPUTED_VALUE"""),1.0)</f>
        <v>1</v>
      </c>
    </row>
    <row r="56" ht="15.75" customHeight="1">
      <c r="A56" s="14" t="str">
        <f>IFERROR(__xludf.DUMMYFUNCTION("""COMPUTED_VALUE"""),"https://www.zendikt.com/top-10-marketing-attribution-software/united-kingdom")</f>
        <v>https://www.zendikt.com/top-10-marketing-attribution-software/united-kingdom</v>
      </c>
      <c r="B56" s="15"/>
      <c r="C56" s="14" t="str">
        <f>IFERROR(__xludf.DUMMYFUNCTION("""COMPUTED_VALUE"""),"zendikt.com")</f>
        <v>zendikt.com</v>
      </c>
      <c r="D56" s="15" t="str">
        <f>IFERROR(__xludf.DUMMYFUNCTION("""COMPUTED_VALUE"""),"OTHER")</f>
        <v>OTHER</v>
      </c>
      <c r="E56" s="15" t="str">
        <f>IFERROR(__xludf.DUMMYFUNCTION("""COMPUTED_VALUE"""),"CORPORATE")</f>
        <v>CORPORATE</v>
      </c>
      <c r="F56" s="15" t="str">
        <f>IFERROR(__xludf.DUMMYFUNCTION("""COMPUTED_VALUE"""),"Other")</f>
        <v>Other</v>
      </c>
      <c r="G56" s="15"/>
      <c r="H56" s="15" t="str">
        <f>IFERROR(__xludf.DUMMYFUNCTION("""COMPUTED_VALUE"""),"Unknown")</f>
        <v>Unknown</v>
      </c>
      <c r="I56" s="15">
        <f>IFERROR(__xludf.DUMMYFUNCTION("""COMPUTED_VALUE"""),2.0)</f>
        <v>2</v>
      </c>
      <c r="J56" s="15">
        <f>IFERROR(__xludf.DUMMYFUNCTION("""COMPUTED_VALUE"""),0.0)</f>
        <v>0</v>
      </c>
      <c r="K56" s="15">
        <f>IFERROR(__xludf.DUMMYFUNCTION("""COMPUTED_VALUE"""),0.0)</f>
        <v>0</v>
      </c>
    </row>
    <row r="57" ht="15.75" customHeight="1">
      <c r="A57" s="14" t="str">
        <f>IFERROR(__xludf.DUMMYFUNCTION("""COMPUTED_VALUE"""),"https://www.21digital.agency/blog/were-a-google-premier-partner-for-2026/")</f>
        <v>https://www.21digital.agency/blog/were-a-google-premier-partner-for-2026/</v>
      </c>
      <c r="B57" s="15" t="str">
        <f>IFERROR(__xludf.DUMMYFUNCTION("""COMPUTED_VALUE"""),"We’re A Google Premier Partner For 2026 | 21Digital")</f>
        <v>We’re A Google Premier Partner For 2026 | 21Digital</v>
      </c>
      <c r="C57" s="15" t="str">
        <f>IFERROR(__xludf.DUMMYFUNCTION("""COMPUTED_VALUE"""),"21digital.agency")</f>
        <v>21digital.agency</v>
      </c>
      <c r="D57" s="15" t="str">
        <f>IFERROR(__xludf.DUMMYFUNCTION("""COMPUTED_VALUE"""),"OTHER")</f>
        <v>OTHER</v>
      </c>
      <c r="E57" s="15" t="str">
        <f>IFERROR(__xludf.DUMMYFUNCTION("""COMPUTED_VALUE"""),"CORPORATE")</f>
        <v>CORPORATE</v>
      </c>
      <c r="F57" s="15" t="str">
        <f>IFERROR(__xludf.DUMMYFUNCTION("""COMPUTED_VALUE"""),"Other")</f>
        <v>Other</v>
      </c>
      <c r="G57" s="15" t="b">
        <f>IFERROR(__xludf.DUMMYFUNCTION("""COMPUTED_VALUE"""),FALSE)</f>
        <v>0</v>
      </c>
      <c r="H57" s="15" t="str">
        <f>IFERROR(__xludf.DUMMYFUNCTION("""COMPUTED_VALUE"""),"Push")</f>
        <v>Push</v>
      </c>
      <c r="I57" s="15">
        <f>IFERROR(__xludf.DUMMYFUNCTION("""COMPUTED_VALUE"""),1.0)</f>
        <v>1</v>
      </c>
      <c r="J57" s="15">
        <f>IFERROR(__xludf.DUMMYFUNCTION("""COMPUTED_VALUE"""),0.0)</f>
        <v>0</v>
      </c>
      <c r="K57" s="15">
        <f>IFERROR(__xludf.DUMMYFUNCTION("""COMPUTED_VALUE"""),0.0)</f>
        <v>0</v>
      </c>
    </row>
    <row r="58" ht="15.75" customHeight="1">
      <c r="A58" s="14" t="str">
        <f>IFERROR(__xludf.DUMMYFUNCTION("""COMPUTED_VALUE"""),"https://94n.digital/best-paid-media-agency-for-shopify-brands-uk/")</f>
        <v>https://94n.digital/best-paid-media-agency-for-shopify-brands-uk/</v>
      </c>
      <c r="B58" s="15"/>
      <c r="C58" s="15" t="str">
        <f>IFERROR(__xludf.DUMMYFUNCTION("""COMPUTED_VALUE"""),"94n.digital")</f>
        <v>94n.digital</v>
      </c>
      <c r="D58" s="15" t="str">
        <f>IFERROR(__xludf.DUMMYFUNCTION("""COMPUTED_VALUE"""),"OTHER")</f>
        <v>OTHER</v>
      </c>
      <c r="E58" s="15" t="str">
        <f>IFERROR(__xludf.DUMMYFUNCTION("""COMPUTED_VALUE"""),"CORPORATE")</f>
        <v>CORPORATE</v>
      </c>
      <c r="F58" s="15" t="str">
        <f>IFERROR(__xludf.DUMMYFUNCTION("""COMPUTED_VALUE"""),"Other")</f>
        <v>Other</v>
      </c>
      <c r="G58" s="15"/>
      <c r="H58" s="15" t="str">
        <f>IFERROR(__xludf.DUMMYFUNCTION("""COMPUTED_VALUE"""),"Unknown")</f>
        <v>Unknown</v>
      </c>
      <c r="I58" s="15">
        <f>IFERROR(__xludf.DUMMYFUNCTION("""COMPUTED_VALUE"""),1.0)</f>
        <v>1</v>
      </c>
      <c r="J58" s="15">
        <f>IFERROR(__xludf.DUMMYFUNCTION("""COMPUTED_VALUE"""),0.0)</f>
        <v>0</v>
      </c>
      <c r="K58" s="15">
        <f>IFERROR(__xludf.DUMMYFUNCTION("""COMPUTED_VALUE"""),2.0)</f>
        <v>2</v>
      </c>
    </row>
    <row r="59" ht="15.75" customHeight="1">
      <c r="A59" s="14" t="str">
        <f>IFERROR(__xludf.DUMMYFUNCTION("""COMPUTED_VALUE"""),"https://www.aatechlab.co.uk/blog")</f>
        <v>https://www.aatechlab.co.uk/blog</v>
      </c>
      <c r="B59" s="15" t="str">
        <f>IFERROR(__xludf.DUMMYFUNCTION("""COMPUTED_VALUE"""),"Digital Marketing Blog | Local SEO, Google Ads &amp;amp; Growth Tips | AA Tech Lab")</f>
        <v>Digital Marketing Blog | Local SEO, Google Ads &amp;amp; Growth Tips | AA Tech Lab</v>
      </c>
      <c r="C59" s="14" t="str">
        <f>IFERROR(__xludf.DUMMYFUNCTION("""COMPUTED_VALUE"""),"aatechlab.co.uk")</f>
        <v>aatechlab.co.uk</v>
      </c>
      <c r="D59" s="15" t="str">
        <f>IFERROR(__xludf.DUMMYFUNCTION("""COMPUTED_VALUE"""),"OTHER")</f>
        <v>OTHER</v>
      </c>
      <c r="E59" s="15" t="str">
        <f>IFERROR(__xludf.DUMMYFUNCTION("""COMPUTED_VALUE"""),"CORPORATE")</f>
        <v>CORPORATE</v>
      </c>
      <c r="F59" s="15" t="str">
        <f>IFERROR(__xludf.DUMMYFUNCTION("""COMPUTED_VALUE"""),"Other")</f>
        <v>Other</v>
      </c>
      <c r="G59" s="15" t="b">
        <f>IFERROR(__xludf.DUMMYFUNCTION("""COMPUTED_VALUE"""),FALSE)</f>
        <v>0</v>
      </c>
      <c r="H59" s="15"/>
      <c r="I59" s="15">
        <f>IFERROR(__xludf.DUMMYFUNCTION("""COMPUTED_VALUE"""),1.0)</f>
        <v>1</v>
      </c>
      <c r="J59" s="15">
        <f>IFERROR(__xludf.DUMMYFUNCTION("""COMPUTED_VALUE"""),0.0)</f>
        <v>0</v>
      </c>
      <c r="K59" s="15">
        <f>IFERROR(__xludf.DUMMYFUNCTION("""COMPUTED_VALUE"""),1.0)</f>
        <v>1</v>
      </c>
    </row>
    <row r="60" ht="15.75" customHeight="1">
      <c r="A60" s="14" t="str">
        <f>IFERROR(__xludf.DUMMYFUNCTION("""COMPUTED_VALUE"""),"https://ads.google.com/home/resources/advanced/agency-directory/")</f>
        <v>https://ads.google.com/home/resources/advanced/agency-directory/</v>
      </c>
      <c r="B60" s="15" t="str">
        <f>IFERROR(__xludf.DUMMYFUNCTION("""COMPUTED_VALUE"""),"Find a trusted Google App campaigns creative agency")</f>
        <v>Find a trusted Google App campaigns creative agency</v>
      </c>
      <c r="C60" s="14" t="str">
        <f>IFERROR(__xludf.DUMMYFUNCTION("""COMPUTED_VALUE"""),"google.com")</f>
        <v>google.com</v>
      </c>
      <c r="D60" s="15" t="str">
        <f>IFERROR(__xludf.DUMMYFUNCTION("""COMPUTED_VALUE"""),"OTHER")</f>
        <v>OTHER</v>
      </c>
      <c r="E60" s="15" t="str">
        <f>IFERROR(__xludf.DUMMYFUNCTION("""COMPUTED_VALUE"""),"OTHER")</f>
        <v>OTHER</v>
      </c>
      <c r="F60" s="15" t="str">
        <f>IFERROR(__xludf.DUMMYFUNCTION("""COMPUTED_VALUE"""),"Other")</f>
        <v>Other</v>
      </c>
      <c r="G60" s="15" t="b">
        <f>IFERROR(__xludf.DUMMYFUNCTION("""COMPUTED_VALUE"""),FALSE)</f>
        <v>0</v>
      </c>
      <c r="H60" s="15"/>
      <c r="I60" s="15">
        <f>IFERROR(__xludf.DUMMYFUNCTION("""COMPUTED_VALUE"""),1.0)</f>
        <v>1</v>
      </c>
      <c r="J60" s="15">
        <f>IFERROR(__xludf.DUMMYFUNCTION("""COMPUTED_VALUE"""),0.0)</f>
        <v>0</v>
      </c>
      <c r="K60" s="15">
        <f>IFERROR(__xludf.DUMMYFUNCTION("""COMPUTED_VALUE"""),0.0)</f>
        <v>0</v>
      </c>
    </row>
    <row r="61" ht="15.75" customHeight="1">
      <c r="A61" s="14" t="str">
        <f>IFERROR(__xludf.DUMMYFUNCTION("""COMPUTED_VALUE"""),"https://apps.digicatapult.org.uk/ai-adoption-toolkit/#:~:text=AI%20Adoption%20Toolkit%20%2D%20Digital%20Catapult")</f>
        <v>https://apps.digicatapult.org.uk/ai-adoption-toolkit/#:~:text=AI%20Adoption%20Toolkit%20%2D%20Digital%20Catapult</v>
      </c>
      <c r="B61" s="15" t="str">
        <f>IFERROR(__xludf.DUMMYFUNCTION("""COMPUTED_VALUE"""),"AI Adoption Toolkit - Digital Catapult")</f>
        <v>AI Adoption Toolkit - Digital Catapult</v>
      </c>
      <c r="C61" s="14" t="str">
        <f>IFERROR(__xludf.DUMMYFUNCTION("""COMPUTED_VALUE"""),"digicatapult.org.uk")</f>
        <v>digicatapult.org.uk</v>
      </c>
      <c r="D61" s="15" t="str">
        <f>IFERROR(__xludf.DUMMYFUNCTION("""COMPUTED_VALUE"""),"OTHER")</f>
        <v>OTHER</v>
      </c>
      <c r="E61" s="15" t="str">
        <f>IFERROR(__xludf.DUMMYFUNCTION("""COMPUTED_VALUE"""),"INSTITUTIONAL")</f>
        <v>INSTITUTIONAL</v>
      </c>
      <c r="F61" s="15" t="str">
        <f>IFERROR(__xludf.DUMMYFUNCTION("""COMPUTED_VALUE"""),"Other")</f>
        <v>Other</v>
      </c>
      <c r="G61" s="15" t="b">
        <f>IFERROR(__xludf.DUMMYFUNCTION("""COMPUTED_VALUE"""),FALSE)</f>
        <v>0</v>
      </c>
      <c r="H61" s="15"/>
      <c r="I61" s="15">
        <f>IFERROR(__xludf.DUMMYFUNCTION("""COMPUTED_VALUE"""),1.0)</f>
        <v>1</v>
      </c>
      <c r="J61" s="15">
        <f>IFERROR(__xludf.DUMMYFUNCTION("""COMPUTED_VALUE"""),0.0)</f>
        <v>0</v>
      </c>
      <c r="K61" s="15">
        <f>IFERROR(__xludf.DUMMYFUNCTION("""COMPUTED_VALUE"""),1.0)</f>
        <v>1</v>
      </c>
    </row>
    <row r="62" ht="15.75" customHeight="1">
      <c r="A62" s="14" t="str">
        <f>IFERROR(__xludf.DUMMYFUNCTION("""COMPUTED_VALUE"""),"https://www.benchmarketing.org/performance-marketing-agency/london")</f>
        <v>https://www.benchmarketing.org/performance-marketing-agency/london</v>
      </c>
      <c r="B62" s="15" t="str">
        <f>IFERROR(__xludf.DUMMYFUNCTION("""COMPUTED_VALUE"""),"Performance Marketing Agencies in London | Benchmarketing")</f>
        <v>Performance Marketing Agencies in London | Benchmarketing</v>
      </c>
      <c r="C62" s="14" t="str">
        <f>IFERROR(__xludf.DUMMYFUNCTION("""COMPUTED_VALUE"""),"benchmarketing.org")</f>
        <v>benchmarketing.org</v>
      </c>
      <c r="D62" s="15" t="str">
        <f>IFERROR(__xludf.DUMMYFUNCTION("""COMPUTED_VALUE"""),"OTHER")</f>
        <v>OTHER</v>
      </c>
      <c r="E62" s="15" t="str">
        <f>IFERROR(__xludf.DUMMYFUNCTION("""COMPUTED_VALUE"""),"CORPORATE")</f>
        <v>CORPORATE</v>
      </c>
      <c r="F62" s="15" t="str">
        <f>IFERROR(__xludf.DUMMYFUNCTION("""COMPUTED_VALUE"""),"Other")</f>
        <v>Other</v>
      </c>
      <c r="G62" s="15" t="b">
        <f>IFERROR(__xludf.DUMMYFUNCTION("""COMPUTED_VALUE"""),FALSE)</f>
        <v>0</v>
      </c>
      <c r="H62" s="15" t="str">
        <f>IFERROR(__xludf.DUMMYFUNCTION("""COMPUTED_VALUE"""),"Croud, Builtvisible, Favoured")</f>
        <v>Croud, Builtvisible, Favoured</v>
      </c>
      <c r="I62" s="15">
        <f>IFERROR(__xludf.DUMMYFUNCTION("""COMPUTED_VALUE"""),1.0)</f>
        <v>1</v>
      </c>
      <c r="J62" s="15">
        <f>IFERROR(__xludf.DUMMYFUNCTION("""COMPUTED_VALUE"""),0.0)</f>
        <v>0</v>
      </c>
      <c r="K62" s="15">
        <f>IFERROR(__xludf.DUMMYFUNCTION("""COMPUTED_VALUE"""),0.0)</f>
        <v>0</v>
      </c>
    </row>
    <row r="63" ht="15.75" customHeight="1">
      <c r="A63" s="14" t="str">
        <f>IFERROR(__xludf.DUMMYFUNCTION("""COMPUTED_VALUE"""),"https://www.bestadsontv.com/rankings.php?category=All&amp;country=United_Kingdom&amp;period=2025&amp;role=agency")</f>
        <v>https://www.bestadsontv.com/rankings.php?category=All&amp;country=United_Kingdom&amp;period=2025&amp;role=agency</v>
      </c>
      <c r="B63" s="15"/>
      <c r="C63" s="14" t="str">
        <f>IFERROR(__xludf.DUMMYFUNCTION("""COMPUTED_VALUE"""),"bestadsontv.com")</f>
        <v>bestadsontv.com</v>
      </c>
      <c r="D63" s="15" t="str">
        <f>IFERROR(__xludf.DUMMYFUNCTION("""COMPUTED_VALUE"""),"OTHER")</f>
        <v>OTHER</v>
      </c>
      <c r="E63" s="15" t="str">
        <f>IFERROR(__xludf.DUMMYFUNCTION("""COMPUTED_VALUE"""),"EDITORIAL")</f>
        <v>EDITORIAL</v>
      </c>
      <c r="F63" s="15" t="str">
        <f>IFERROR(__xludf.DUMMYFUNCTION("""COMPUTED_VALUE"""),"Other")</f>
        <v>Other</v>
      </c>
      <c r="G63" s="15"/>
      <c r="H63" s="15" t="str">
        <f>IFERROR(__xludf.DUMMYFUNCTION("""COMPUTED_VALUE"""),"Unknown")</f>
        <v>Unknown</v>
      </c>
      <c r="I63" s="15">
        <f>IFERROR(__xludf.DUMMYFUNCTION("""COMPUTED_VALUE"""),1.0)</f>
        <v>1</v>
      </c>
      <c r="J63" s="15">
        <f>IFERROR(__xludf.DUMMYFUNCTION("""COMPUTED_VALUE"""),0.0)</f>
        <v>0</v>
      </c>
      <c r="K63" s="15">
        <f>IFERROR(__xludf.DUMMYFUNCTION("""COMPUTED_VALUE"""),0.0)</f>
        <v>0</v>
      </c>
    </row>
    <row r="64" ht="15.75" customHeight="1">
      <c r="A64" s="14" t="str">
        <f>IFERROR(__xludf.DUMMYFUNCTION("""COMPUTED_VALUE"""),"https://www.brainlabsdigital.com/navigating-ga4-attribution-shifts-and-elevating-paid-search-performance/")</f>
        <v>https://www.brainlabsdigital.com/navigating-ga4-attribution-shifts-and-elevating-paid-search-performance/</v>
      </c>
      <c r="B64" s="15" t="str">
        <f>IFERROR(__xludf.DUMMYFUNCTION("""COMPUTED_VALUE"""),"Navigating GA4 Attribution Shifts and Elevating Paid Search Performance")</f>
        <v>Navigating GA4 Attribution Shifts and Elevating Paid Search Performance</v>
      </c>
      <c r="C64" s="14" t="str">
        <f>IFERROR(__xludf.DUMMYFUNCTION("""COMPUTED_VALUE"""),"brainlabsdigital.com")</f>
        <v>brainlabsdigital.com</v>
      </c>
      <c r="D64" s="15" t="str">
        <f>IFERROR(__xludf.DUMMYFUNCTION("""COMPUTED_VALUE"""),"OTHER")</f>
        <v>OTHER</v>
      </c>
      <c r="E64" s="15" t="str">
        <f>IFERROR(__xludf.DUMMYFUNCTION("""COMPUTED_VALUE"""),"COMPETITOR")</f>
        <v>COMPETITOR</v>
      </c>
      <c r="F64" s="15" t="str">
        <f>IFERROR(__xludf.DUMMYFUNCTION("""COMPUTED_VALUE"""),"Other")</f>
        <v>Other</v>
      </c>
      <c r="G64" s="15" t="b">
        <f>IFERROR(__xludf.DUMMYFUNCTION("""COMPUTED_VALUE"""),FALSE)</f>
        <v>0</v>
      </c>
      <c r="H64" s="15" t="str">
        <f>IFERROR(__xludf.DUMMYFUNCTION("""COMPUTED_VALUE"""),"Brainlabs, Impression")</f>
        <v>Brainlabs, Impression</v>
      </c>
      <c r="I64" s="15">
        <f>IFERROR(__xludf.DUMMYFUNCTION("""COMPUTED_VALUE"""),1.0)</f>
        <v>1</v>
      </c>
      <c r="J64" s="15">
        <f>IFERROR(__xludf.DUMMYFUNCTION("""COMPUTED_VALUE"""),0.0)</f>
        <v>0</v>
      </c>
      <c r="K64" s="15">
        <f>IFERROR(__xludf.DUMMYFUNCTION("""COMPUTED_VALUE"""),1.0)</f>
        <v>1</v>
      </c>
    </row>
    <row r="65" ht="15.75" customHeight="1">
      <c r="A65" s="14" t="str">
        <f>IFERROR(__xludf.DUMMYFUNCTION("""COMPUTED_VALUE"""),"https://www.cgi.com/uk/en-gb/geospatial-services")</f>
        <v>https://www.cgi.com/uk/en-gb/geospatial-services</v>
      </c>
      <c r="B65" s="15" t="str">
        <f>IFERROR(__xludf.DUMMYFUNCTION("""COMPUTED_VALUE"""),"Geospatial Services | CGI UK")</f>
        <v>Geospatial Services | CGI UK</v>
      </c>
      <c r="C65" s="14" t="str">
        <f>IFERROR(__xludf.DUMMYFUNCTION("""COMPUTED_VALUE"""),"cgi.com")</f>
        <v>cgi.com</v>
      </c>
      <c r="D65" s="15" t="str">
        <f>IFERROR(__xludf.DUMMYFUNCTION("""COMPUTED_VALUE"""),"OTHER")</f>
        <v>OTHER</v>
      </c>
      <c r="E65" s="15" t="str">
        <f>IFERROR(__xludf.DUMMYFUNCTION("""COMPUTED_VALUE"""),"CORPORATE")</f>
        <v>CORPORATE</v>
      </c>
      <c r="F65" s="15" t="str">
        <f>IFERROR(__xludf.DUMMYFUNCTION("""COMPUTED_VALUE"""),"Other")</f>
        <v>Other</v>
      </c>
      <c r="G65" s="15" t="b">
        <f>IFERROR(__xludf.DUMMYFUNCTION("""COMPUTED_VALUE"""),FALSE)</f>
        <v>0</v>
      </c>
      <c r="H65" s="15"/>
      <c r="I65" s="15">
        <f>IFERROR(__xludf.DUMMYFUNCTION("""COMPUTED_VALUE"""),1.0)</f>
        <v>1</v>
      </c>
      <c r="J65" s="15">
        <f>IFERROR(__xludf.DUMMYFUNCTION("""COMPUTED_VALUE"""),0.0)</f>
        <v>0</v>
      </c>
      <c r="K65" s="15">
        <f>IFERROR(__xludf.DUMMYFUNCTION("""COMPUTED_VALUE"""),1.0)</f>
        <v>1</v>
      </c>
    </row>
    <row r="66" ht="15.75" customHeight="1">
      <c r="A66" s="14" t="str">
        <f>IFERROR(__xludf.DUMMYFUNCTION("""COMPUTED_VALUE"""),"https://clutch.co/agencies/programmatic/uk/england/manchester")</f>
        <v>https://clutch.co/agencies/programmatic/uk/england/manchester</v>
      </c>
      <c r="B66" s="15" t="str">
        <f>IFERROR(__xludf.DUMMYFUNCTION("""COMPUTED_VALUE"""),"Top Programmatic Advertising Companies in Manchester - Jul 2026 Rankings \| Clutch.co")</f>
        <v>Top Programmatic Advertising Companies in Manchester - Jul 2026 Rankings \| Clutch.co</v>
      </c>
      <c r="C66" s="14" t="str">
        <f>IFERROR(__xludf.DUMMYFUNCTION("""COMPUTED_VALUE"""),"clutch.co")</f>
        <v>clutch.co</v>
      </c>
      <c r="D66" s="15" t="str">
        <f>IFERROR(__xludf.DUMMYFUNCTION("""COMPUTED_VALUE"""),"OTHER")</f>
        <v>OTHER</v>
      </c>
      <c r="E66" s="15" t="str">
        <f>IFERROR(__xludf.DUMMYFUNCTION("""COMPUTED_VALUE"""),"CORPORATE")</f>
        <v>CORPORATE</v>
      </c>
      <c r="F66" s="15" t="str">
        <f>IFERROR(__xludf.DUMMYFUNCTION("""COMPUTED_VALUE"""),"Other")</f>
        <v>Other</v>
      </c>
      <c r="G66" s="15" t="b">
        <f>IFERROR(__xludf.DUMMYFUNCTION("""COMPUTED_VALUE"""),FALSE)</f>
        <v>0</v>
      </c>
      <c r="H66" s="15" t="str">
        <f>IFERROR(__xludf.DUMMYFUNCTION("""COMPUTED_VALUE"""),"M3.agency, The SEO Works")</f>
        <v>M3.agency, The SEO Works</v>
      </c>
      <c r="I66" s="15">
        <f>IFERROR(__xludf.DUMMYFUNCTION("""COMPUTED_VALUE"""),1.0)</f>
        <v>1</v>
      </c>
      <c r="J66" s="15">
        <f>IFERROR(__xludf.DUMMYFUNCTION("""COMPUTED_VALUE"""),0.0)</f>
        <v>0</v>
      </c>
      <c r="K66" s="15">
        <f>IFERROR(__xludf.DUMMYFUNCTION("""COMPUTED_VALUE"""),0.0)</f>
        <v>0</v>
      </c>
    </row>
    <row r="67" ht="15.75" customHeight="1">
      <c r="A67" s="14" t="str">
        <f>IFERROR(__xludf.DUMMYFUNCTION("""COMPUTED_VALUE"""),"https://www.comparisonshoppingpartners.withgoogle.com/find_a_partner/")</f>
        <v>https://www.comparisonshoppingpartners.withgoogle.com/find_a_partner/</v>
      </c>
      <c r="B67" s="15"/>
      <c r="C67" s="14" t="str">
        <f>IFERROR(__xludf.DUMMYFUNCTION("""COMPUTED_VALUE"""),"withgoogle.com")</f>
        <v>withgoogle.com</v>
      </c>
      <c r="D67" s="15" t="str">
        <f>IFERROR(__xludf.DUMMYFUNCTION("""COMPUTED_VALUE"""),"OTHER")</f>
        <v>OTHER</v>
      </c>
      <c r="E67" s="15" t="str">
        <f>IFERROR(__xludf.DUMMYFUNCTION("""COMPUTED_VALUE"""),"CORPORATE")</f>
        <v>CORPORATE</v>
      </c>
      <c r="F67" s="15" t="str">
        <f>IFERROR(__xludf.DUMMYFUNCTION("""COMPUTED_VALUE"""),"Other")</f>
        <v>Other</v>
      </c>
      <c r="G67" s="15"/>
      <c r="H67" s="15" t="str">
        <f>IFERROR(__xludf.DUMMYFUNCTION("""COMPUTED_VALUE"""),"Unknown")</f>
        <v>Unknown</v>
      </c>
      <c r="I67" s="15">
        <f>IFERROR(__xludf.DUMMYFUNCTION("""COMPUTED_VALUE"""),1.0)</f>
        <v>1</v>
      </c>
      <c r="J67" s="15">
        <f>IFERROR(__xludf.DUMMYFUNCTION("""COMPUTED_VALUE"""),0.0)</f>
        <v>0</v>
      </c>
      <c r="K67" s="15">
        <f>IFERROR(__xludf.DUMMYFUNCTION("""COMPUTED_VALUE"""),0.0)</f>
        <v>0</v>
      </c>
    </row>
    <row r="68" ht="15.75" customHeight="1">
      <c r="A68" s="14" t="str">
        <f>IFERROR(__xludf.DUMMYFUNCTION("""COMPUTED_VALUE"""),"https://www.consultancy.uk/rankings/top-consulting-firms-in-the-uk-by-area-of-expertise/marketing#:~:text=Simon%2DKucher%20is%20a%20global,Publicis%20Sapient")</f>
        <v>https://www.consultancy.uk/rankings/top-consulting-firms-in-the-uk-by-area-of-expertise/marketing#:~:text=Simon%2DKucher%20is%20a%20global,Publicis%20Sapient</v>
      </c>
      <c r="B68" s="15" t="str">
        <f>IFERROR(__xludf.DUMMYFUNCTION("""COMPUTED_VALUE"""),"Top Marketing consulting firms in the UK")</f>
        <v>Top Marketing consulting firms in the UK</v>
      </c>
      <c r="C68" s="14" t="str">
        <f>IFERROR(__xludf.DUMMYFUNCTION("""COMPUTED_VALUE"""),"consultancy.uk")</f>
        <v>consultancy.uk</v>
      </c>
      <c r="D68" s="15" t="str">
        <f>IFERROR(__xludf.DUMMYFUNCTION("""COMPUTED_VALUE"""),"OTHER")</f>
        <v>OTHER</v>
      </c>
      <c r="E68" s="15" t="str">
        <f>IFERROR(__xludf.DUMMYFUNCTION("""COMPUTED_VALUE"""),"REFERENCE")</f>
        <v>REFERENCE</v>
      </c>
      <c r="F68" s="15" t="str">
        <f>IFERROR(__xludf.DUMMYFUNCTION("""COMPUTED_VALUE"""),"Other")</f>
        <v>Other</v>
      </c>
      <c r="G68" s="15" t="b">
        <f>IFERROR(__xludf.DUMMYFUNCTION("""COMPUTED_VALUE"""),FALSE)</f>
        <v>0</v>
      </c>
      <c r="H68" s="15" t="str">
        <f>IFERROR(__xludf.DUMMYFUNCTION("""COMPUTED_VALUE"""),"EY, Ogilvy, Kantar, PwC, McKinsey &amp; Company, Merkle, Artefact, Ekimetrics")</f>
        <v>EY, Ogilvy, Kantar, PwC, McKinsey &amp; Company, Merkle, Artefact, Ekimetrics</v>
      </c>
      <c r="I68" s="15">
        <f>IFERROR(__xludf.DUMMYFUNCTION("""COMPUTED_VALUE"""),1.0)</f>
        <v>1</v>
      </c>
      <c r="J68" s="15">
        <f>IFERROR(__xludf.DUMMYFUNCTION("""COMPUTED_VALUE"""),0.0)</f>
        <v>0</v>
      </c>
      <c r="K68" s="15">
        <f>IFERROR(__xludf.DUMMYFUNCTION("""COMPUTED_VALUE"""),1.0)</f>
        <v>1</v>
      </c>
    </row>
    <row r="69" ht="15.75" customHeight="1">
      <c r="A69" s="14" t="str">
        <f>IFERROR(__xludf.DUMMYFUNCTION("""COMPUTED_VALUE"""),"https://corbieredigital.co.uk/ppc-services/")</f>
        <v>https://corbieredigital.co.uk/ppc-services/</v>
      </c>
      <c r="B69" s="15" t="str">
        <f>IFERROR(__xludf.DUMMYFUNCTION("""COMPUTED_VALUE"""),"PPC Service | Corbiere Digital")</f>
        <v>PPC Service | Corbiere Digital</v>
      </c>
      <c r="C69" s="14" t="str">
        <f>IFERROR(__xludf.DUMMYFUNCTION("""COMPUTED_VALUE"""),"corbieredigital.co.uk")</f>
        <v>corbieredigital.co.uk</v>
      </c>
      <c r="D69" s="15" t="str">
        <f>IFERROR(__xludf.DUMMYFUNCTION("""COMPUTED_VALUE"""),"OTHER")</f>
        <v>OTHER</v>
      </c>
      <c r="E69" s="15" t="str">
        <f>IFERROR(__xludf.DUMMYFUNCTION("""COMPUTED_VALUE"""),"CORPORATE")</f>
        <v>CORPORATE</v>
      </c>
      <c r="F69" s="15" t="str">
        <f>IFERROR(__xludf.DUMMYFUNCTION("""COMPUTED_VALUE"""),"Other")</f>
        <v>Other</v>
      </c>
      <c r="G69" s="15" t="b">
        <f>IFERROR(__xludf.DUMMYFUNCTION("""COMPUTED_VALUE"""),FALSE)</f>
        <v>0</v>
      </c>
      <c r="H69" s="15"/>
      <c r="I69" s="15">
        <f>IFERROR(__xludf.DUMMYFUNCTION("""COMPUTED_VALUE"""),1.0)</f>
        <v>1</v>
      </c>
      <c r="J69" s="15">
        <f>IFERROR(__xludf.DUMMYFUNCTION("""COMPUTED_VALUE"""),0.0)</f>
        <v>0</v>
      </c>
      <c r="K69" s="15">
        <f>IFERROR(__xludf.DUMMYFUNCTION("""COMPUTED_VALUE"""),0.0)</f>
        <v>0</v>
      </c>
    </row>
    <row r="70" ht="15.75" customHeight="1">
      <c r="A70" s="14" t="str">
        <f>IFERROR(__xludf.DUMMYFUNCTION("""COMPUTED_VALUE"""),"https://createscale.com/production")</f>
        <v>https://createscale.com/production</v>
      </c>
      <c r="B70" s="15"/>
      <c r="C70" s="14" t="str">
        <f>IFERROR(__xludf.DUMMYFUNCTION("""COMPUTED_VALUE"""),"createscale.com")</f>
        <v>createscale.com</v>
      </c>
      <c r="D70" s="15" t="str">
        <f>IFERROR(__xludf.DUMMYFUNCTION("""COMPUTED_VALUE"""),"OTHER")</f>
        <v>OTHER</v>
      </c>
      <c r="E70" s="15" t="str">
        <f>IFERROR(__xludf.DUMMYFUNCTION("""COMPUTED_VALUE"""),"CORPORATE")</f>
        <v>CORPORATE</v>
      </c>
      <c r="F70" s="15" t="str">
        <f>IFERROR(__xludf.DUMMYFUNCTION("""COMPUTED_VALUE"""),"Other")</f>
        <v>Other</v>
      </c>
      <c r="G70" s="15"/>
      <c r="H70" s="15" t="str">
        <f>IFERROR(__xludf.DUMMYFUNCTION("""COMPUTED_VALUE"""),"Unknown")</f>
        <v>Unknown</v>
      </c>
      <c r="I70" s="15">
        <f>IFERROR(__xludf.DUMMYFUNCTION("""COMPUTED_VALUE"""),1.0)</f>
        <v>1</v>
      </c>
      <c r="J70" s="15">
        <f>IFERROR(__xludf.DUMMYFUNCTION("""COMPUTED_VALUE"""),0.0)</f>
        <v>0</v>
      </c>
      <c r="K70" s="15">
        <f>IFERROR(__xludf.DUMMYFUNCTION("""COMPUTED_VALUE"""),0.0)</f>
        <v>0</v>
      </c>
    </row>
    <row r="71" ht="15.75" customHeight="1">
      <c r="A71" s="14" t="str">
        <f>IFERROR(__xludf.DUMMYFUNCTION("""COMPUTED_VALUE"""),"https://cw.semrush.com/agencies/list/analytics-data-science/united-kingdom")</f>
        <v>https://cw.semrush.com/agencies/list/analytics-data-science/united-kingdom</v>
      </c>
      <c r="B71" s="15"/>
      <c r="C71" s="14" t="str">
        <f>IFERROR(__xludf.DUMMYFUNCTION("""COMPUTED_VALUE"""),"semrush.com")</f>
        <v>semrush.com</v>
      </c>
      <c r="D71" s="15" t="str">
        <f>IFERROR(__xludf.DUMMYFUNCTION("""COMPUTED_VALUE"""),"OTHER")</f>
        <v>OTHER</v>
      </c>
      <c r="E71" s="15" t="str">
        <f>IFERROR(__xludf.DUMMYFUNCTION("""COMPUTED_VALUE"""),"OTHER")</f>
        <v>OTHER</v>
      </c>
      <c r="F71" s="15" t="str">
        <f>IFERROR(__xludf.DUMMYFUNCTION("""COMPUTED_VALUE"""),"Other")</f>
        <v>Other</v>
      </c>
      <c r="G71" s="15"/>
      <c r="H71" s="15" t="str">
        <f>IFERROR(__xludf.DUMMYFUNCTION("""COMPUTED_VALUE"""),"Unknown")</f>
        <v>Unknown</v>
      </c>
      <c r="I71" s="15">
        <f>IFERROR(__xludf.DUMMYFUNCTION("""COMPUTED_VALUE"""),1.0)</f>
        <v>1</v>
      </c>
      <c r="J71" s="15">
        <f>IFERROR(__xludf.DUMMYFUNCTION("""COMPUTED_VALUE"""),0.0)</f>
        <v>0</v>
      </c>
      <c r="K71" s="15">
        <f>IFERROR(__xludf.DUMMYFUNCTION("""COMPUTED_VALUE"""),0.0)</f>
        <v>0</v>
      </c>
    </row>
    <row r="72" ht="15.75" customHeight="1">
      <c r="A72" s="14" t="str">
        <f>IFERROR(__xludf.DUMMYFUNCTION("""COMPUTED_VALUE"""),"https://dedote.co.uk/social-media-agency-london/paid-social")</f>
        <v>https://dedote.co.uk/social-media-agency-london/paid-social</v>
      </c>
      <c r="B72" s="15"/>
      <c r="C72" s="14" t="str">
        <f>IFERROR(__xludf.DUMMYFUNCTION("""COMPUTED_VALUE"""),"dedote.co.uk")</f>
        <v>dedote.co.uk</v>
      </c>
      <c r="D72" s="15" t="str">
        <f>IFERROR(__xludf.DUMMYFUNCTION("""COMPUTED_VALUE"""),"OTHER")</f>
        <v>OTHER</v>
      </c>
      <c r="E72" s="15" t="str">
        <f>IFERROR(__xludf.DUMMYFUNCTION("""COMPUTED_VALUE"""),"CORPORATE")</f>
        <v>CORPORATE</v>
      </c>
      <c r="F72" s="15" t="str">
        <f>IFERROR(__xludf.DUMMYFUNCTION("""COMPUTED_VALUE"""),"Other")</f>
        <v>Other</v>
      </c>
      <c r="G72" s="15"/>
      <c r="H72" s="15" t="str">
        <f>IFERROR(__xludf.DUMMYFUNCTION("""COMPUTED_VALUE"""),"Unknown")</f>
        <v>Unknown</v>
      </c>
      <c r="I72" s="15">
        <f>IFERROR(__xludf.DUMMYFUNCTION("""COMPUTED_VALUE"""),1.0)</f>
        <v>1</v>
      </c>
      <c r="J72" s="15">
        <f>IFERROR(__xludf.DUMMYFUNCTION("""COMPUTED_VALUE"""),0.0)</f>
        <v>0</v>
      </c>
      <c r="K72" s="15">
        <f>IFERROR(__xludf.DUMMYFUNCTION("""COMPUTED_VALUE"""),0.0)</f>
        <v>0</v>
      </c>
    </row>
    <row r="73" ht="15.75" customHeight="1">
      <c r="A73" s="14" t="str">
        <f>IFERROR(__xludf.DUMMYFUNCTION("""COMPUTED_VALUE"""),"https://www.deducive.com/marketing-attribution#:~:text=Executive%2Dready%20readout%20that%20translates%20performance%20into%20business,clickstream%2Fserver%2Dside%20when%20needed).%203)%20Model%20%26%20validate.")</f>
        <v>https://www.deducive.com/marketing-attribution#:~:text=Executive%2Dready%20readout%20that%20translates%20performance%20into%20business,clickstream%2Fserver%2Dside%20when%20needed).%203)%20Model%20%26%20validate.</v>
      </c>
      <c r="B73" s="15" t="str">
        <f>IFERROR(__xludf.DUMMYFUNCTION("""COMPUTED_VALUE"""),"Marketing Attribution Services — Deducive")</f>
        <v>Marketing Attribution Services — Deducive</v>
      </c>
      <c r="C73" s="14" t="str">
        <f>IFERROR(__xludf.DUMMYFUNCTION("""COMPUTED_VALUE"""),"deducive.com")</f>
        <v>deducive.com</v>
      </c>
      <c r="D73" s="15" t="str">
        <f>IFERROR(__xludf.DUMMYFUNCTION("""COMPUTED_VALUE"""),"OTHER")</f>
        <v>OTHER</v>
      </c>
      <c r="E73" s="15" t="str">
        <f>IFERROR(__xludf.DUMMYFUNCTION("""COMPUTED_VALUE"""),"CORPORATE")</f>
        <v>CORPORATE</v>
      </c>
      <c r="F73" s="15" t="str">
        <f>IFERROR(__xludf.DUMMYFUNCTION("""COMPUTED_VALUE"""),"Other")</f>
        <v>Other</v>
      </c>
      <c r="G73" s="15" t="b">
        <f>IFERROR(__xludf.DUMMYFUNCTION("""COMPUTED_VALUE"""),FALSE)</f>
        <v>0</v>
      </c>
      <c r="H73" s="15"/>
      <c r="I73" s="15">
        <f>IFERROR(__xludf.DUMMYFUNCTION("""COMPUTED_VALUE"""),1.0)</f>
        <v>1</v>
      </c>
      <c r="J73" s="15">
        <f>IFERROR(__xludf.DUMMYFUNCTION("""COMPUTED_VALUE"""),0.0)</f>
        <v>0</v>
      </c>
      <c r="K73" s="15">
        <f>IFERROR(__xludf.DUMMYFUNCTION("""COMPUTED_VALUE"""),3.0)</f>
        <v>3</v>
      </c>
    </row>
    <row r="74" ht="15.75" customHeight="1">
      <c r="A74" s="14" t="str">
        <f>IFERROR(__xludf.DUMMYFUNCTION("""COMPUTED_VALUE"""),"https://www.deptagency.com/en-uki/partner/google-marketing-platform/")</f>
        <v>https://www.deptagency.com/en-uki/partner/google-marketing-platform/</v>
      </c>
      <c r="B74" s="15" t="str">
        <f>IFERROR(__xludf.DUMMYFUNCTION("""COMPUTED_VALUE"""),"GMP Agency Partner | Reseller | Google Premier Partner - DEPT®")</f>
        <v>GMP Agency Partner | Reseller | Google Premier Partner - DEPT®</v>
      </c>
      <c r="C74" s="14" t="str">
        <f>IFERROR(__xludf.DUMMYFUNCTION("""COMPUTED_VALUE"""),"deptagency.com")</f>
        <v>deptagency.com</v>
      </c>
      <c r="D74" s="15" t="str">
        <f>IFERROR(__xludf.DUMMYFUNCTION("""COMPUTED_VALUE"""),"OTHER")</f>
        <v>OTHER</v>
      </c>
      <c r="E74" s="15" t="str">
        <f>IFERROR(__xludf.DUMMYFUNCTION("""COMPUTED_VALUE"""),"COMPETITOR")</f>
        <v>COMPETITOR</v>
      </c>
      <c r="F74" s="15" t="str">
        <f>IFERROR(__xludf.DUMMYFUNCTION("""COMPUTED_VALUE"""),"Other")</f>
        <v>Other</v>
      </c>
      <c r="G74" s="15" t="b">
        <f>IFERROR(__xludf.DUMMYFUNCTION("""COMPUTED_VALUE"""),FALSE)</f>
        <v>0</v>
      </c>
      <c r="H74" s="15" t="str">
        <f>IFERROR(__xludf.DUMMYFUNCTION("""COMPUTED_VALUE"""),"Dept, Push")</f>
        <v>Dept, Push</v>
      </c>
      <c r="I74" s="15">
        <f>IFERROR(__xludf.DUMMYFUNCTION("""COMPUTED_VALUE"""),1.0)</f>
        <v>1</v>
      </c>
      <c r="J74" s="15">
        <f>IFERROR(__xludf.DUMMYFUNCTION("""COMPUTED_VALUE"""),0.0)</f>
        <v>0</v>
      </c>
      <c r="K74" s="15">
        <f>IFERROR(__xludf.DUMMYFUNCTION("""COMPUTED_VALUE"""),2.0)</f>
        <v>2</v>
      </c>
    </row>
    <row r="75" ht="15.75" customHeight="1">
      <c r="A75" s="14" t="str">
        <f>IFERROR(__xludf.DUMMYFUNCTION("""COMPUTED_VALUE"""),"https://digitalmarketingcompanyinlondon.com/top-8-display-advertising-agencies-in-london/")</f>
        <v>https://digitalmarketingcompanyinlondon.com/top-8-display-advertising-agencies-in-london/</v>
      </c>
      <c r="B75" s="15" t="str">
        <f>IFERROR(__xludf.DUMMYFUNCTION("""COMPUTED_VALUE"""),"Top 8 Display Advertising Agencies in London – Digital Marketing Company in London")</f>
        <v>Top 8 Display Advertising Agencies in London – Digital Marketing Company in London</v>
      </c>
      <c r="C75" s="14" t="str">
        <f>IFERROR(__xludf.DUMMYFUNCTION("""COMPUTED_VALUE"""),"digitalmarketingcompanyinlondon.com")</f>
        <v>digitalmarketingcompanyinlondon.com</v>
      </c>
      <c r="D75" s="15" t="str">
        <f>IFERROR(__xludf.DUMMYFUNCTION("""COMPUTED_VALUE"""),"OTHER")</f>
        <v>OTHER</v>
      </c>
      <c r="E75" s="15" t="str">
        <f>IFERROR(__xludf.DUMMYFUNCTION("""COMPUTED_VALUE"""),"CORPORATE")</f>
        <v>CORPORATE</v>
      </c>
      <c r="F75" s="15" t="str">
        <f>IFERROR(__xludf.DUMMYFUNCTION("""COMPUTED_VALUE"""),"Other")</f>
        <v>Other</v>
      </c>
      <c r="G75" s="15" t="b">
        <f>IFERROR(__xludf.DUMMYFUNCTION("""COMPUTED_VALUE"""),FALSE)</f>
        <v>0</v>
      </c>
      <c r="H75" s="15" t="str">
        <f>IFERROR(__xludf.DUMMYFUNCTION("""COMPUTED_VALUE"""),"Found, ROAST, Croud, Passion Digital, The Good Marketer, Jellyfish, Impression, Hallam")</f>
        <v>Found, ROAST, Croud, Passion Digital, The Good Marketer, Jellyfish, Impression, Hallam</v>
      </c>
      <c r="I75" s="15">
        <f>IFERROR(__xludf.DUMMYFUNCTION("""COMPUTED_VALUE"""),1.0)</f>
        <v>1</v>
      </c>
      <c r="J75" s="15">
        <f>IFERROR(__xludf.DUMMYFUNCTION("""COMPUTED_VALUE"""),0.0)</f>
        <v>0</v>
      </c>
      <c r="K75" s="15">
        <f>IFERROR(__xludf.DUMMYFUNCTION("""COMPUTED_VALUE"""),6.0)</f>
        <v>6</v>
      </c>
    </row>
    <row r="76" ht="15.75" customHeight="1">
      <c r="A76" s="14" t="str">
        <f>IFERROR(__xludf.DUMMYFUNCTION("""COMPUTED_VALUE"""),"https://ensun.io/search/geospatial-data/united-kingdom")</f>
        <v>https://ensun.io/search/geospatial-data/united-kingdom</v>
      </c>
      <c r="B76" s="15" t="str">
        <f>IFERROR(__xludf.DUMMYFUNCTION("""COMPUTED_VALUE"""),"Top 100 Geospatial Data Companies in United Kingdom (2026) \| ensun")</f>
        <v>Top 100 Geospatial Data Companies in United Kingdom (2026) \| ensun</v>
      </c>
      <c r="C76" s="14" t="str">
        <f>IFERROR(__xludf.DUMMYFUNCTION("""COMPUTED_VALUE"""),"ensun.io")</f>
        <v>ensun.io</v>
      </c>
      <c r="D76" s="15" t="str">
        <f>IFERROR(__xludf.DUMMYFUNCTION("""COMPUTED_VALUE"""),"OTHER")</f>
        <v>OTHER</v>
      </c>
      <c r="E76" s="15" t="str">
        <f>IFERROR(__xludf.DUMMYFUNCTION("""COMPUTED_VALUE"""),"OTHER")</f>
        <v>OTHER</v>
      </c>
      <c r="F76" s="15" t="str">
        <f>IFERROR(__xludf.DUMMYFUNCTION("""COMPUTED_VALUE"""),"Other")</f>
        <v>Other</v>
      </c>
      <c r="G76" s="15" t="b">
        <f>IFERROR(__xludf.DUMMYFUNCTION("""COMPUTED_VALUE"""),FALSE)</f>
        <v>0</v>
      </c>
      <c r="H76" s="15"/>
      <c r="I76" s="15">
        <f>IFERROR(__xludf.DUMMYFUNCTION("""COMPUTED_VALUE"""),1.0)</f>
        <v>1</v>
      </c>
      <c r="J76" s="15">
        <f>IFERROR(__xludf.DUMMYFUNCTION("""COMPUTED_VALUE"""),0.0)</f>
        <v>0</v>
      </c>
      <c r="K76" s="15">
        <f>IFERROR(__xludf.DUMMYFUNCTION("""COMPUTED_VALUE"""),1.0)</f>
        <v>1</v>
      </c>
    </row>
    <row r="77" ht="15.75" customHeight="1">
      <c r="A77" s="14" t="str">
        <f>IFERROR(__xludf.DUMMYFUNCTION("""COMPUTED_VALUE"""),"https://www.f6s.com/software/category/first-party-data-activation")</f>
        <v>https://www.f6s.com/software/category/first-party-data-activation</v>
      </c>
      <c r="B77" s="15" t="str">
        <f>IFERROR(__xludf.DUMMYFUNCTION("""COMPUTED_VALUE"""),"Best First-Party Data Activation Software • March 2026 \| F6S")</f>
        <v>Best First-Party Data Activation Software • March 2026 \| F6S</v>
      </c>
      <c r="C77" s="14" t="str">
        <f>IFERROR(__xludf.DUMMYFUNCTION("""COMPUTED_VALUE"""),"f6s.com")</f>
        <v>f6s.com</v>
      </c>
      <c r="D77" s="15" t="str">
        <f>IFERROR(__xludf.DUMMYFUNCTION("""COMPUTED_VALUE"""),"OTHER")</f>
        <v>OTHER</v>
      </c>
      <c r="E77" s="15" t="str">
        <f>IFERROR(__xludf.DUMMYFUNCTION("""COMPUTED_VALUE"""),"UGC")</f>
        <v>UGC</v>
      </c>
      <c r="F77" s="15" t="str">
        <f>IFERROR(__xludf.DUMMYFUNCTION("""COMPUTED_VALUE"""),"Other")</f>
        <v>Other</v>
      </c>
      <c r="G77" s="15" t="b">
        <f>IFERROR(__xludf.DUMMYFUNCTION("""COMPUTED_VALUE"""),FALSE)</f>
        <v>0</v>
      </c>
      <c r="H77" s="15" t="str">
        <f>IFERROR(__xludf.DUMMYFUNCTION("""COMPUTED_VALUE"""),"Push")</f>
        <v>Push</v>
      </c>
      <c r="I77" s="15">
        <f>IFERROR(__xludf.DUMMYFUNCTION("""COMPUTED_VALUE"""),1.0)</f>
        <v>1</v>
      </c>
      <c r="J77" s="15">
        <f>IFERROR(__xludf.DUMMYFUNCTION("""COMPUTED_VALUE"""),0.0)</f>
        <v>0</v>
      </c>
      <c r="K77" s="15">
        <f>IFERROR(__xludf.DUMMYFUNCTION("""COMPUTED_VALUE"""),0.0)</f>
        <v>0</v>
      </c>
    </row>
    <row r="78" ht="15.75" customHeight="1">
      <c r="A78" s="14" t="str">
        <f>IFERROR(__xludf.DUMMYFUNCTION("""COMPUTED_VALUE"""),"https://www.forrester.com/report/the-forrester-wave-tm-customer-data-strategy-and-activation-services-q2-2022/RES177490")</f>
        <v>https://www.forrester.com/report/the-forrester-wave-tm-customer-data-strategy-and-activation-services-q2-2022/RES177490</v>
      </c>
      <c r="B78" s="15" t="str">
        <f>IFERROR(__xludf.DUMMYFUNCTION("""COMPUTED_VALUE"""),"The Forrester Wave™: Customer Data Strategy And Activation Services, Q2 2022 | Forrester")</f>
        <v>The Forrester Wave™: Customer Data Strategy And Activation Services, Q2 2022 | Forrester</v>
      </c>
      <c r="C78" s="14" t="str">
        <f>IFERROR(__xludf.DUMMYFUNCTION("""COMPUTED_VALUE"""),"forrester.com")</f>
        <v>forrester.com</v>
      </c>
      <c r="D78" s="15" t="str">
        <f>IFERROR(__xludf.DUMMYFUNCTION("""COMPUTED_VALUE"""),"OTHER")</f>
        <v>OTHER</v>
      </c>
      <c r="E78" s="15" t="str">
        <f>IFERROR(__xludf.DUMMYFUNCTION("""COMPUTED_VALUE"""),"CORPORATE")</f>
        <v>CORPORATE</v>
      </c>
      <c r="F78" s="15" t="str">
        <f>IFERROR(__xludf.DUMMYFUNCTION("""COMPUTED_VALUE"""),"Other")</f>
        <v>Other</v>
      </c>
      <c r="G78" s="15" t="b">
        <f>IFERROR(__xludf.DUMMYFUNCTION("""COMPUTED_VALUE"""),FALSE)</f>
        <v>0</v>
      </c>
      <c r="H78" s="15"/>
      <c r="I78" s="15">
        <f>IFERROR(__xludf.DUMMYFUNCTION("""COMPUTED_VALUE"""),1.0)</f>
        <v>1</v>
      </c>
      <c r="J78" s="15">
        <f>IFERROR(__xludf.DUMMYFUNCTION("""COMPUTED_VALUE"""),0.0)</f>
        <v>0</v>
      </c>
      <c r="K78" s="15">
        <f>IFERROR(__xludf.DUMMYFUNCTION("""COMPUTED_VALUE"""),3.0)</f>
        <v>3</v>
      </c>
    </row>
    <row r="79" ht="15.75" customHeight="1">
      <c r="A79" s="14" t="str">
        <f>IFERROR(__xludf.DUMMYFUNCTION("""COMPUTED_VALUE"""),"https://www.geniecrawl.com/top-50-seo-agencies-in-the-uk-2026-rankings/")</f>
        <v>https://www.geniecrawl.com/top-50-seo-agencies-in-the-uk-2026-rankings/</v>
      </c>
      <c r="B79" s="15" t="str">
        <f>IFERROR(__xludf.DUMMYFUNCTION("""COMPUTED_VALUE"""),"Top 50 Search Engine Optimisation (SEO) Agencies in the UK (2026 Rankings)")</f>
        <v>Top 50 Search Engine Optimisation (SEO) Agencies in the UK (2026 Rankings)</v>
      </c>
      <c r="C79" s="14" t="str">
        <f>IFERROR(__xludf.DUMMYFUNCTION("""COMPUTED_VALUE"""),"geniecrawl.com")</f>
        <v>geniecrawl.com</v>
      </c>
      <c r="D79" s="15" t="str">
        <f>IFERROR(__xludf.DUMMYFUNCTION("""COMPUTED_VALUE"""),"OTHER")</f>
        <v>OTHER</v>
      </c>
      <c r="E79" s="15" t="str">
        <f>IFERROR(__xludf.DUMMYFUNCTION("""COMPUTED_VALUE"""),"OTHER")</f>
        <v>OTHER</v>
      </c>
      <c r="F79" s="15" t="str">
        <f>IFERROR(__xludf.DUMMYFUNCTION("""COMPUTED_VALUE"""),"Other")</f>
        <v>Other</v>
      </c>
      <c r="G79" s="15" t="b">
        <f>IFERROR(__xludf.DUMMYFUNCTION("""COMPUTED_VALUE"""),FALSE)</f>
        <v>0</v>
      </c>
      <c r="H79" s="15" t="str">
        <f>IFERROR(__xludf.DUMMYFUNCTION("""COMPUTED_VALUE"""),"Genie Crawl, ClickSlice, The SEO Works, Bird Marketing, Found, Passion Digital, Momentum, The Good Marketer, LOCALiQ, Hallam, Push, Push Group, Propeller")</f>
        <v>Genie Crawl, ClickSlice, The SEO Works, Bird Marketing, Found, Passion Digital, Momentum, The Good Marketer, LOCALiQ, Hallam, Push, Push Group, Propeller</v>
      </c>
      <c r="I79" s="15">
        <f>IFERROR(__xludf.DUMMYFUNCTION("""COMPUTED_VALUE"""),1.0)</f>
        <v>1</v>
      </c>
      <c r="J79" s="15">
        <f>IFERROR(__xludf.DUMMYFUNCTION("""COMPUTED_VALUE"""),0.0)</f>
        <v>0</v>
      </c>
      <c r="K79" s="15">
        <f>IFERROR(__xludf.DUMMYFUNCTION("""COMPUTED_VALUE"""),0.0)</f>
        <v>0</v>
      </c>
    </row>
    <row r="80" ht="15.75" customHeight="1">
      <c r="A80" s="14" t="str">
        <f>IFERROR(__xludf.DUMMYFUNCTION("""COMPUTED_VALUE"""),"https://www.goodfirms.co/directory/city/top-digital-marketing-companies/advertising-ppc/london?sort_by=reviews")</f>
        <v>https://www.goodfirms.co/directory/city/top-digital-marketing-companies/advertising-ppc/london?sort_by=reviews</v>
      </c>
      <c r="B80" s="15" t="str">
        <f>IFERROR(__xludf.DUMMYFUNCTION("""COMPUTED_VALUE"""),"Top PPC Agencies in London - 2026 Reviews | Goodfirms")</f>
        <v>Top PPC Agencies in London - 2026 Reviews | Goodfirms</v>
      </c>
      <c r="C80" s="14" t="str">
        <f>IFERROR(__xludf.DUMMYFUNCTION("""COMPUTED_VALUE"""),"goodfirms.co")</f>
        <v>goodfirms.co</v>
      </c>
      <c r="D80" s="15" t="str">
        <f>IFERROR(__xludf.DUMMYFUNCTION("""COMPUTED_VALUE"""),"OTHER")</f>
        <v>OTHER</v>
      </c>
      <c r="E80" s="15" t="str">
        <f>IFERROR(__xludf.DUMMYFUNCTION("""COMPUTED_VALUE"""),"UGC")</f>
        <v>UGC</v>
      </c>
      <c r="F80" s="15" t="str">
        <f>IFERROR(__xludf.DUMMYFUNCTION("""COMPUTED_VALUE"""),"Other")</f>
        <v>Other</v>
      </c>
      <c r="G80" s="15" t="b">
        <f>IFERROR(__xludf.DUMMYFUNCTION("""COMPUTED_VALUE"""),FALSE)</f>
        <v>0</v>
      </c>
      <c r="H80" s="15" t="str">
        <f>IFERROR(__xludf.DUMMYFUNCTION("""COMPUTED_VALUE"""),"Bird Marketing, WebFX, Found")</f>
        <v>Bird Marketing, WebFX, Found</v>
      </c>
      <c r="I80" s="15">
        <f>IFERROR(__xludf.DUMMYFUNCTION("""COMPUTED_VALUE"""),1.0)</f>
        <v>1</v>
      </c>
      <c r="J80" s="15">
        <f>IFERROR(__xludf.DUMMYFUNCTION("""COMPUTED_VALUE"""),0.0)</f>
        <v>0</v>
      </c>
      <c r="K80" s="15">
        <f>IFERROR(__xludf.DUMMYFUNCTION("""COMPUTED_VALUE"""),0.0)</f>
        <v>0</v>
      </c>
    </row>
    <row r="81" ht="15.75" customHeight="1">
      <c r="A81" s="14" t="str">
        <f>IFERROR(__xludf.DUMMYFUNCTION("""COMPUTED_VALUE"""),"https://www.goodfirms.co/directory/country/top-digital-marketing-companies/advertising-ppc/uk?sort_by=matrix")</f>
        <v>https://www.goodfirms.co/directory/country/top-digital-marketing-companies/advertising-ppc/uk?sort_by=matrix</v>
      </c>
      <c r="B81" s="15" t="str">
        <f>IFERROR(__xludf.DUMMYFUNCTION("""COMPUTED_VALUE"""),"Top PPC Agencies in the UK - 2026 Reviews | Goodfirms")</f>
        <v>Top PPC Agencies in the UK - 2026 Reviews | Goodfirms</v>
      </c>
      <c r="C81" s="14" t="str">
        <f>IFERROR(__xludf.DUMMYFUNCTION("""COMPUTED_VALUE"""),"goodfirms.co")</f>
        <v>goodfirms.co</v>
      </c>
      <c r="D81" s="15" t="str">
        <f>IFERROR(__xludf.DUMMYFUNCTION("""COMPUTED_VALUE"""),"OTHER")</f>
        <v>OTHER</v>
      </c>
      <c r="E81" s="15" t="str">
        <f>IFERROR(__xludf.DUMMYFUNCTION("""COMPUTED_VALUE"""),"UGC")</f>
        <v>UGC</v>
      </c>
      <c r="F81" s="15" t="str">
        <f>IFERROR(__xludf.DUMMYFUNCTION("""COMPUTED_VALUE"""),"Other")</f>
        <v>Other</v>
      </c>
      <c r="G81" s="15" t="b">
        <f>IFERROR(__xludf.DUMMYFUNCTION("""COMPUTED_VALUE"""),FALSE)</f>
        <v>0</v>
      </c>
      <c r="H81" s="15" t="str">
        <f>IFERROR(__xludf.DUMMYFUNCTION("""COMPUTED_VALUE"""),"Bird Marketing, WebFX, The SEO Works, Found")</f>
        <v>Bird Marketing, WebFX, The SEO Works, Found</v>
      </c>
      <c r="I81" s="15">
        <f>IFERROR(__xludf.DUMMYFUNCTION("""COMPUTED_VALUE"""),1.0)</f>
        <v>1</v>
      </c>
      <c r="J81" s="15">
        <f>IFERROR(__xludf.DUMMYFUNCTION("""COMPUTED_VALUE"""),0.0)</f>
        <v>0</v>
      </c>
      <c r="K81" s="15">
        <f>IFERROR(__xludf.DUMMYFUNCTION("""COMPUTED_VALUE"""),0.0)</f>
        <v>0</v>
      </c>
    </row>
    <row r="82" ht="15.75" customHeight="1">
      <c r="A82" s="14" t="str">
        <f>IFERROR(__xludf.DUMMYFUNCTION("""COMPUTED_VALUE"""),"https://www.goodfirms.co/directory/country/top-digital-marketing-companies/gb?hss_channel=fbp-687194624745812utm_content%3D126613956&amp;page=2")</f>
        <v>https://www.goodfirms.co/directory/country/top-digital-marketing-companies/gb?hss_channel=fbp-687194624745812utm_content%3D126613956&amp;page=2</v>
      </c>
      <c r="B82" s="15" t="str">
        <f>IFERROR(__xludf.DUMMYFUNCTION("""COMPUTED_VALUE"""),"Top Digital Marketing Agencies in UK - 2026 Reviews | Goodfirms")</f>
        <v>Top Digital Marketing Agencies in UK - 2026 Reviews | Goodfirms</v>
      </c>
      <c r="C82" s="14" t="str">
        <f>IFERROR(__xludf.DUMMYFUNCTION("""COMPUTED_VALUE"""),"goodfirms.co")</f>
        <v>goodfirms.co</v>
      </c>
      <c r="D82" s="15" t="str">
        <f>IFERROR(__xludf.DUMMYFUNCTION("""COMPUTED_VALUE"""),"OTHER")</f>
        <v>OTHER</v>
      </c>
      <c r="E82" s="15" t="str">
        <f>IFERROR(__xludf.DUMMYFUNCTION("""COMPUTED_VALUE"""),"UGC")</f>
        <v>UGC</v>
      </c>
      <c r="F82" s="15" t="str">
        <f>IFERROR(__xludf.DUMMYFUNCTION("""COMPUTED_VALUE"""),"Other")</f>
        <v>Other</v>
      </c>
      <c r="G82" s="15" t="b">
        <f>IFERROR(__xludf.DUMMYFUNCTION("""COMPUTED_VALUE"""),FALSE)</f>
        <v>0</v>
      </c>
      <c r="H82" s="15" t="str">
        <f>IFERROR(__xludf.DUMMYFUNCTION("""COMPUTED_VALUE"""),"Whitehat, Found, Bird Marketing")</f>
        <v>Whitehat, Found, Bird Marketing</v>
      </c>
      <c r="I82" s="15">
        <f>IFERROR(__xludf.DUMMYFUNCTION("""COMPUTED_VALUE"""),1.0)</f>
        <v>1</v>
      </c>
      <c r="J82" s="15">
        <f>IFERROR(__xludf.DUMMYFUNCTION("""COMPUTED_VALUE"""),0.0)</f>
        <v>0</v>
      </c>
      <c r="K82" s="15">
        <f>IFERROR(__xludf.DUMMYFUNCTION("""COMPUTED_VALUE"""),0.0)</f>
        <v>0</v>
      </c>
    </row>
    <row r="83" ht="15.75" customHeight="1">
      <c r="A83" s="14" t="str">
        <f>IFERROR(__xludf.DUMMYFUNCTION("""COMPUTED_VALUE"""),"https://www.goodfirms.co/directory/country/top-digital-marketing-companies/media-planning-buying/uk")</f>
        <v>https://www.goodfirms.co/directory/country/top-digital-marketing-companies/media-planning-buying/uk</v>
      </c>
      <c r="B83" s="15" t="str">
        <f>IFERROR(__xludf.DUMMYFUNCTION("""COMPUTED_VALUE"""),"Top Media Buying Agencies in the United Kingdom - 2026 Reviews | Goodfirms")</f>
        <v>Top Media Buying Agencies in the United Kingdom - 2026 Reviews | Goodfirms</v>
      </c>
      <c r="C83" s="14" t="str">
        <f>IFERROR(__xludf.DUMMYFUNCTION("""COMPUTED_VALUE"""),"goodfirms.co")</f>
        <v>goodfirms.co</v>
      </c>
      <c r="D83" s="15" t="str">
        <f>IFERROR(__xludf.DUMMYFUNCTION("""COMPUTED_VALUE"""),"OTHER")</f>
        <v>OTHER</v>
      </c>
      <c r="E83" s="15" t="str">
        <f>IFERROR(__xludf.DUMMYFUNCTION("""COMPUTED_VALUE"""),"UGC")</f>
        <v>UGC</v>
      </c>
      <c r="F83" s="15" t="str">
        <f>IFERROR(__xludf.DUMMYFUNCTION("""COMPUTED_VALUE"""),"Other")</f>
        <v>Other</v>
      </c>
      <c r="G83" s="15" t="b">
        <f>IFERROR(__xludf.DUMMYFUNCTION("""COMPUTED_VALUE"""),FALSE)</f>
        <v>0</v>
      </c>
      <c r="H83" s="15" t="str">
        <f>IFERROR(__xludf.DUMMYFUNCTION("""COMPUTED_VALUE"""),"WebFX, VCCP, Favoured, Omnicom, Found, Bird Marketing")</f>
        <v>WebFX, VCCP, Favoured, Omnicom, Found, Bird Marketing</v>
      </c>
      <c r="I83" s="15">
        <f>IFERROR(__xludf.DUMMYFUNCTION("""COMPUTED_VALUE"""),1.0)</f>
        <v>1</v>
      </c>
      <c r="J83" s="15">
        <f>IFERROR(__xludf.DUMMYFUNCTION("""COMPUTED_VALUE"""),0.0)</f>
        <v>0</v>
      </c>
      <c r="K83" s="15">
        <f>IFERROR(__xludf.DUMMYFUNCTION("""COMPUTED_VALUE"""),0.0)</f>
        <v>0</v>
      </c>
    </row>
    <row r="84" ht="15.75" customHeight="1">
      <c r="A84" s="14" t="str">
        <f>IFERROR(__xludf.DUMMYFUNCTION("""COMPUTED_VALUE"""),"https://google.assemblyglobal.com/licensing#:~:text=Own%20Your%20Tech.,Access%20Advanced%20Features.")</f>
        <v>https://google.assemblyglobal.com/licensing#:~:text=Own%20Your%20Tech.,Access%20Advanced%20Features.</v>
      </c>
      <c r="B84" s="15" t="str">
        <f>IFERROR(__xludf.DUMMYFUNCTION("""COMPUTED_VALUE"""),"Assembly | Your Google Sales Partner for Expert Marketing &amp;amp; Advertising")</f>
        <v>Assembly | Your Google Sales Partner for Expert Marketing &amp;amp; Advertising</v>
      </c>
      <c r="C84" s="14" t="str">
        <f>IFERROR(__xludf.DUMMYFUNCTION("""COMPUTED_VALUE"""),"assemblyglobal.com")</f>
        <v>assemblyglobal.com</v>
      </c>
      <c r="D84" s="15" t="str">
        <f>IFERROR(__xludf.DUMMYFUNCTION("""COMPUTED_VALUE"""),"OTHER")</f>
        <v>OTHER</v>
      </c>
      <c r="E84" s="15" t="str">
        <f>IFERROR(__xludf.DUMMYFUNCTION("""COMPUTED_VALUE"""),"CORPORATE")</f>
        <v>CORPORATE</v>
      </c>
      <c r="F84" s="15" t="str">
        <f>IFERROR(__xludf.DUMMYFUNCTION("""COMPUTED_VALUE"""),"Other")</f>
        <v>Other</v>
      </c>
      <c r="G84" s="15" t="b">
        <f>IFERROR(__xludf.DUMMYFUNCTION("""COMPUTED_VALUE"""),FALSE)</f>
        <v>0</v>
      </c>
      <c r="H84" s="15"/>
      <c r="I84" s="15">
        <f>IFERROR(__xludf.DUMMYFUNCTION("""COMPUTED_VALUE"""),1.0)</f>
        <v>1</v>
      </c>
      <c r="J84" s="15">
        <f>IFERROR(__xludf.DUMMYFUNCTION("""COMPUTED_VALUE"""),0.0)</f>
        <v>0</v>
      </c>
      <c r="K84" s="15">
        <f>IFERROR(__xludf.DUMMYFUNCTION("""COMPUTED_VALUE"""),1.0)</f>
        <v>1</v>
      </c>
    </row>
    <row r="85" ht="15.75" customHeight="1">
      <c r="A85" s="14" t="str">
        <f>IFERROR(__xludf.DUMMYFUNCTION("""COMPUTED_VALUE"""),"https://www.google.co.uk/partners/agency?id=6371674378")</f>
        <v>https://www.google.co.uk/partners/agency?id=6371674378</v>
      </c>
      <c r="B85" s="15"/>
      <c r="C85" s="14" t="str">
        <f>IFERROR(__xludf.DUMMYFUNCTION("""COMPUTED_VALUE"""),"google.co.uk")</f>
        <v>google.co.uk</v>
      </c>
      <c r="D85" s="15" t="str">
        <f>IFERROR(__xludf.DUMMYFUNCTION("""COMPUTED_VALUE"""),"OTHER")</f>
        <v>OTHER</v>
      </c>
      <c r="E85" s="15" t="str">
        <f>IFERROR(__xludf.DUMMYFUNCTION("""COMPUTED_VALUE"""),"OTHER")</f>
        <v>OTHER</v>
      </c>
      <c r="F85" s="15" t="str">
        <f>IFERROR(__xludf.DUMMYFUNCTION("""COMPUTED_VALUE"""),"Other")</f>
        <v>Other</v>
      </c>
      <c r="G85" s="15"/>
      <c r="H85" s="15" t="str">
        <f>IFERROR(__xludf.DUMMYFUNCTION("""COMPUTED_VALUE"""),"Unknown")</f>
        <v>Unknown</v>
      </c>
      <c r="I85" s="15">
        <f>IFERROR(__xludf.DUMMYFUNCTION("""COMPUTED_VALUE"""),1.0)</f>
        <v>1</v>
      </c>
      <c r="J85" s="15">
        <f>IFERROR(__xludf.DUMMYFUNCTION("""COMPUTED_VALUE"""),0.0)</f>
        <v>0</v>
      </c>
      <c r="K85" s="15">
        <f>IFERROR(__xludf.DUMMYFUNCTION("""COMPUTED_VALUE"""),0.0)</f>
        <v>0</v>
      </c>
    </row>
    <row r="86" ht="15.75" customHeight="1">
      <c r="A86" s="14" t="str">
        <f>IFERROR(__xludf.DUMMYFUNCTION("""COMPUTED_VALUE"""),"https://www.google.com/searchviewer/10?svid=CAwSGxIZCgNwdnESEkNnc3ZaeTh4ZEd4ZmJEWXhlURgK")</f>
        <v>https://www.google.com/searchviewer/10?svid=CAwSGxIZCgNwdnESEkNnc3ZaeTh4ZEd4ZmJEWXhlURgK</v>
      </c>
      <c r="B86" s="15"/>
      <c r="C86" s="14" t="str">
        <f>IFERROR(__xludf.DUMMYFUNCTION("""COMPUTED_VALUE"""),"google.com")</f>
        <v>google.com</v>
      </c>
      <c r="D86" s="15" t="str">
        <f>IFERROR(__xludf.DUMMYFUNCTION("""COMPUTED_VALUE"""),"OTHER")</f>
        <v>OTHER</v>
      </c>
      <c r="E86" s="15" t="str">
        <f>IFERROR(__xludf.DUMMYFUNCTION("""COMPUTED_VALUE"""),"OTHER")</f>
        <v>OTHER</v>
      </c>
      <c r="F86" s="15" t="str">
        <f>IFERROR(__xludf.DUMMYFUNCTION("""COMPUTED_VALUE"""),"Other")</f>
        <v>Other</v>
      </c>
      <c r="G86" s="15"/>
      <c r="H86" s="15" t="str">
        <f>IFERROR(__xludf.DUMMYFUNCTION("""COMPUTED_VALUE"""),"Unknown")</f>
        <v>Unknown</v>
      </c>
      <c r="I86" s="15">
        <f>IFERROR(__xludf.DUMMYFUNCTION("""COMPUTED_VALUE"""),1.0)</f>
        <v>1</v>
      </c>
      <c r="J86" s="15">
        <f>IFERROR(__xludf.DUMMYFUNCTION("""COMPUTED_VALUE"""),0.0)</f>
        <v>0</v>
      </c>
      <c r="K86" s="15">
        <f>IFERROR(__xludf.DUMMYFUNCTION("""COMPUTED_VALUE"""),0.0)</f>
        <v>0</v>
      </c>
    </row>
    <row r="87" ht="15.75" customHeight="1">
      <c r="A87" s="14" t="str">
        <f>IFERROR(__xludf.DUMMYFUNCTION("""COMPUTED_VALUE"""),"https://www.google.com/searchviewer/10?svid=CAwSGxIZCgNwdnESEkNnc3ZaeTh4ZEdONGVqbG9OZxgK")</f>
        <v>https://www.google.com/searchviewer/10?svid=CAwSGxIZCgNwdnESEkNnc3ZaeTh4ZEdONGVqbG9OZxgK</v>
      </c>
      <c r="B87" s="15"/>
      <c r="C87" s="14" t="str">
        <f>IFERROR(__xludf.DUMMYFUNCTION("""COMPUTED_VALUE"""),"google.com")</f>
        <v>google.com</v>
      </c>
      <c r="D87" s="15" t="str">
        <f>IFERROR(__xludf.DUMMYFUNCTION("""COMPUTED_VALUE"""),"OTHER")</f>
        <v>OTHER</v>
      </c>
      <c r="E87" s="15" t="str">
        <f>IFERROR(__xludf.DUMMYFUNCTION("""COMPUTED_VALUE"""),"OTHER")</f>
        <v>OTHER</v>
      </c>
      <c r="F87" s="15" t="str">
        <f>IFERROR(__xludf.DUMMYFUNCTION("""COMPUTED_VALUE"""),"Other")</f>
        <v>Other</v>
      </c>
      <c r="G87" s="15"/>
      <c r="H87" s="15" t="str">
        <f>IFERROR(__xludf.DUMMYFUNCTION("""COMPUTED_VALUE"""),"Unknown")</f>
        <v>Unknown</v>
      </c>
      <c r="I87" s="15">
        <f>IFERROR(__xludf.DUMMYFUNCTION("""COMPUTED_VALUE"""),1.0)</f>
        <v>1</v>
      </c>
      <c r="J87" s="15">
        <f>IFERROR(__xludf.DUMMYFUNCTION("""COMPUTED_VALUE"""),0.0)</f>
        <v>0</v>
      </c>
      <c r="K87" s="15">
        <f>IFERROR(__xludf.DUMMYFUNCTION("""COMPUTED_VALUE"""),1.0)</f>
        <v>1</v>
      </c>
    </row>
    <row r="88" ht="15.75" customHeight="1">
      <c r="A88" s="14" t="str">
        <f>IFERROR(__xludf.DUMMYFUNCTION("""COMPUTED_VALUE"""),"https://www.google.com/searchviewer/10?svid=CAwSGxIZCgNwdnESEkNnc3ZaeTh4ZEdRMFpEQnpPQRgK")</f>
        <v>https://www.google.com/searchviewer/10?svid=CAwSGxIZCgNwdnESEkNnc3ZaeTh4ZEdRMFpEQnpPQRgK</v>
      </c>
      <c r="B88" s="15"/>
      <c r="C88" s="14" t="str">
        <f>IFERROR(__xludf.DUMMYFUNCTION("""COMPUTED_VALUE"""),"google.com")</f>
        <v>google.com</v>
      </c>
      <c r="D88" s="15" t="str">
        <f>IFERROR(__xludf.DUMMYFUNCTION("""COMPUTED_VALUE"""),"OTHER")</f>
        <v>OTHER</v>
      </c>
      <c r="E88" s="15" t="str">
        <f>IFERROR(__xludf.DUMMYFUNCTION("""COMPUTED_VALUE"""),"OTHER")</f>
        <v>OTHER</v>
      </c>
      <c r="F88" s="15" t="str">
        <f>IFERROR(__xludf.DUMMYFUNCTION("""COMPUTED_VALUE"""),"Other")</f>
        <v>Other</v>
      </c>
      <c r="G88" s="15"/>
      <c r="H88" s="15" t="str">
        <f>IFERROR(__xludf.DUMMYFUNCTION("""COMPUTED_VALUE"""),"Unknown")</f>
        <v>Unknown</v>
      </c>
      <c r="I88" s="15">
        <f>IFERROR(__xludf.DUMMYFUNCTION("""COMPUTED_VALUE"""),1.0)</f>
        <v>1</v>
      </c>
      <c r="J88" s="15">
        <f>IFERROR(__xludf.DUMMYFUNCTION("""COMPUTED_VALUE"""),0.0)</f>
        <v>0</v>
      </c>
      <c r="K88" s="15">
        <f>IFERROR(__xludf.DUMMYFUNCTION("""COMPUTED_VALUE"""),0.0)</f>
        <v>0</v>
      </c>
    </row>
    <row r="89" ht="15.75" customHeight="1">
      <c r="A89" s="14" t="str">
        <f>IFERROR(__xludf.DUMMYFUNCTION("""COMPUTED_VALUE"""),"https://www.google.com/searchviewer/10?svid=CAwSGxIZCgNwdnESEkNnc3ZaeTh4ZEdSNVgyWjNOZxgK")</f>
        <v>https://www.google.com/searchviewer/10?svid=CAwSGxIZCgNwdnESEkNnc3ZaeTh4ZEdSNVgyWjNOZxgK</v>
      </c>
      <c r="B89" s="15"/>
      <c r="C89" s="14" t="str">
        <f>IFERROR(__xludf.DUMMYFUNCTION("""COMPUTED_VALUE"""),"google.com")</f>
        <v>google.com</v>
      </c>
      <c r="D89" s="15" t="str">
        <f>IFERROR(__xludf.DUMMYFUNCTION("""COMPUTED_VALUE"""),"OTHER")</f>
        <v>OTHER</v>
      </c>
      <c r="E89" s="15" t="str">
        <f>IFERROR(__xludf.DUMMYFUNCTION("""COMPUTED_VALUE"""),"OTHER")</f>
        <v>OTHER</v>
      </c>
      <c r="F89" s="15" t="str">
        <f>IFERROR(__xludf.DUMMYFUNCTION("""COMPUTED_VALUE"""),"Other")</f>
        <v>Other</v>
      </c>
      <c r="G89" s="15"/>
      <c r="H89" s="15" t="str">
        <f>IFERROR(__xludf.DUMMYFUNCTION("""COMPUTED_VALUE"""),"Unknown")</f>
        <v>Unknown</v>
      </c>
      <c r="I89" s="15">
        <f>IFERROR(__xludf.DUMMYFUNCTION("""COMPUTED_VALUE"""),1.0)</f>
        <v>1</v>
      </c>
      <c r="J89" s="15">
        <f>IFERROR(__xludf.DUMMYFUNCTION("""COMPUTED_VALUE"""),0.0)</f>
        <v>0</v>
      </c>
      <c r="K89" s="15">
        <f>IFERROR(__xludf.DUMMYFUNCTION("""COMPUTED_VALUE"""),0.0)</f>
        <v>0</v>
      </c>
    </row>
    <row r="90" ht="15.75" customHeight="1">
      <c r="A90" s="14" t="str">
        <f>IFERROR(__xludf.DUMMYFUNCTION("""COMPUTED_VALUE"""),"https://www.google.com/searchviewer/10?svid=CAwSGxIZCgNwdnESEkNnc3ZaeTh4ZEdjMWVqTXpaQRgK")</f>
        <v>https://www.google.com/searchviewer/10?svid=CAwSGxIZCgNwdnESEkNnc3ZaeTh4ZEdjMWVqTXpaQRgK</v>
      </c>
      <c r="B90" s="15"/>
      <c r="C90" s="14" t="str">
        <f>IFERROR(__xludf.DUMMYFUNCTION("""COMPUTED_VALUE"""),"google.com")</f>
        <v>google.com</v>
      </c>
      <c r="D90" s="15" t="str">
        <f>IFERROR(__xludf.DUMMYFUNCTION("""COMPUTED_VALUE"""),"OTHER")</f>
        <v>OTHER</v>
      </c>
      <c r="E90" s="15" t="str">
        <f>IFERROR(__xludf.DUMMYFUNCTION("""COMPUTED_VALUE"""),"OTHER")</f>
        <v>OTHER</v>
      </c>
      <c r="F90" s="15" t="str">
        <f>IFERROR(__xludf.DUMMYFUNCTION("""COMPUTED_VALUE"""),"Other")</f>
        <v>Other</v>
      </c>
      <c r="G90" s="15"/>
      <c r="H90" s="15" t="str">
        <f>IFERROR(__xludf.DUMMYFUNCTION("""COMPUTED_VALUE"""),"Unknown")</f>
        <v>Unknown</v>
      </c>
      <c r="I90" s="15">
        <f>IFERROR(__xludf.DUMMYFUNCTION("""COMPUTED_VALUE"""),1.0)</f>
        <v>1</v>
      </c>
      <c r="J90" s="15">
        <f>IFERROR(__xludf.DUMMYFUNCTION("""COMPUTED_VALUE"""),0.0)</f>
        <v>0</v>
      </c>
      <c r="K90" s="15">
        <f>IFERROR(__xludf.DUMMYFUNCTION("""COMPUTED_VALUE"""),0.0)</f>
        <v>0</v>
      </c>
    </row>
    <row r="91" ht="15.75" customHeight="1">
      <c r="A91" s="14" t="str">
        <f>IFERROR(__xludf.DUMMYFUNCTION("""COMPUTED_VALUE"""),"https://www.google.com/searchviewer/10?svid=CAwSGxIZCgNwdnESEkNnc3ZaeTh4ZEdka2MyMXhiQRgK")</f>
        <v>https://www.google.com/searchviewer/10?svid=CAwSGxIZCgNwdnESEkNnc3ZaeTh4ZEdka2MyMXhiQRgK</v>
      </c>
      <c r="B91" s="15"/>
      <c r="C91" s="14" t="str">
        <f>IFERROR(__xludf.DUMMYFUNCTION("""COMPUTED_VALUE"""),"google.com")</f>
        <v>google.com</v>
      </c>
      <c r="D91" s="15" t="str">
        <f>IFERROR(__xludf.DUMMYFUNCTION("""COMPUTED_VALUE"""),"OTHER")</f>
        <v>OTHER</v>
      </c>
      <c r="E91" s="15" t="str">
        <f>IFERROR(__xludf.DUMMYFUNCTION("""COMPUTED_VALUE"""),"OTHER")</f>
        <v>OTHER</v>
      </c>
      <c r="F91" s="15" t="str">
        <f>IFERROR(__xludf.DUMMYFUNCTION("""COMPUTED_VALUE"""),"Other")</f>
        <v>Other</v>
      </c>
      <c r="G91" s="15"/>
      <c r="H91" s="15" t="str">
        <f>IFERROR(__xludf.DUMMYFUNCTION("""COMPUTED_VALUE"""),"Unknown")</f>
        <v>Unknown</v>
      </c>
      <c r="I91" s="15">
        <f>IFERROR(__xludf.DUMMYFUNCTION("""COMPUTED_VALUE"""),1.0)</f>
        <v>1</v>
      </c>
      <c r="J91" s="15">
        <f>IFERROR(__xludf.DUMMYFUNCTION("""COMPUTED_VALUE"""),0.0)</f>
        <v>0</v>
      </c>
      <c r="K91" s="15">
        <f>IFERROR(__xludf.DUMMYFUNCTION("""COMPUTED_VALUE"""),0.0)</f>
        <v>0</v>
      </c>
    </row>
    <row r="92" ht="15.75" customHeight="1">
      <c r="A92" s="14" t="str">
        <f>IFERROR(__xludf.DUMMYFUNCTION("""COMPUTED_VALUE"""),"https://www.google.com/searchviewer/10?svid=CAwSGxIZCgNwdnESEkNnc3ZaeTh4ZEdvemEydHFhQRgK")</f>
        <v>https://www.google.com/searchviewer/10?svid=CAwSGxIZCgNwdnESEkNnc3ZaeTh4ZEdvemEydHFhQRgK</v>
      </c>
      <c r="B92" s="15"/>
      <c r="C92" s="14" t="str">
        <f>IFERROR(__xludf.DUMMYFUNCTION("""COMPUTED_VALUE"""),"google.com")</f>
        <v>google.com</v>
      </c>
      <c r="D92" s="15" t="str">
        <f>IFERROR(__xludf.DUMMYFUNCTION("""COMPUTED_VALUE"""),"OTHER")</f>
        <v>OTHER</v>
      </c>
      <c r="E92" s="15" t="str">
        <f>IFERROR(__xludf.DUMMYFUNCTION("""COMPUTED_VALUE"""),"OTHER")</f>
        <v>OTHER</v>
      </c>
      <c r="F92" s="15" t="str">
        <f>IFERROR(__xludf.DUMMYFUNCTION("""COMPUTED_VALUE"""),"Other")</f>
        <v>Other</v>
      </c>
      <c r="G92" s="15"/>
      <c r="H92" s="15" t="str">
        <f>IFERROR(__xludf.DUMMYFUNCTION("""COMPUTED_VALUE"""),"Unknown")</f>
        <v>Unknown</v>
      </c>
      <c r="I92" s="15">
        <f>IFERROR(__xludf.DUMMYFUNCTION("""COMPUTED_VALUE"""),1.0)</f>
        <v>1</v>
      </c>
      <c r="J92" s="15">
        <f>IFERROR(__xludf.DUMMYFUNCTION("""COMPUTED_VALUE"""),0.0)</f>
        <v>0</v>
      </c>
      <c r="K92" s="15">
        <f>IFERROR(__xludf.DUMMYFUNCTION("""COMPUTED_VALUE"""),0.0)</f>
        <v>0</v>
      </c>
    </row>
    <row r="93" ht="15.75" customHeight="1">
      <c r="A93" s="14" t="str">
        <f>IFERROR(__xludf.DUMMYFUNCTION("""COMPUTED_VALUE"""),"https://www.google.com/searchviewer/10?svid=CAwSGxIZCgNwdnESEkNnc3ZaeTh4ZGpnek1HeHFadxgK")</f>
        <v>https://www.google.com/searchviewer/10?svid=CAwSGxIZCgNwdnESEkNnc3ZaeTh4ZGpnek1HeHFadxgK</v>
      </c>
      <c r="B93" s="15"/>
      <c r="C93" s="14" t="str">
        <f>IFERROR(__xludf.DUMMYFUNCTION("""COMPUTED_VALUE"""),"google.com")</f>
        <v>google.com</v>
      </c>
      <c r="D93" s="15" t="str">
        <f>IFERROR(__xludf.DUMMYFUNCTION("""COMPUTED_VALUE"""),"OTHER")</f>
        <v>OTHER</v>
      </c>
      <c r="E93" s="15" t="str">
        <f>IFERROR(__xludf.DUMMYFUNCTION("""COMPUTED_VALUE"""),"OTHER")</f>
        <v>OTHER</v>
      </c>
      <c r="F93" s="15" t="str">
        <f>IFERROR(__xludf.DUMMYFUNCTION("""COMPUTED_VALUE"""),"Other")</f>
        <v>Other</v>
      </c>
      <c r="G93" s="15"/>
      <c r="H93" s="15" t="str">
        <f>IFERROR(__xludf.DUMMYFUNCTION("""COMPUTED_VALUE"""),"Unknown")</f>
        <v>Unknown</v>
      </c>
      <c r="I93" s="15">
        <f>IFERROR(__xludf.DUMMYFUNCTION("""COMPUTED_VALUE"""),1.0)</f>
        <v>1</v>
      </c>
      <c r="J93" s="15">
        <f>IFERROR(__xludf.DUMMYFUNCTION("""COMPUTED_VALUE"""),0.0)</f>
        <v>0</v>
      </c>
      <c r="K93" s="15">
        <f>IFERROR(__xludf.DUMMYFUNCTION("""COMPUTED_VALUE"""),0.0)</f>
        <v>0</v>
      </c>
    </row>
    <row r="94" ht="15.75" customHeight="1">
      <c r="A94" s="14" t="str">
        <f>IFERROR(__xludf.DUMMYFUNCTION("""COMPUTED_VALUE"""),"https://www.google.com/searchviewer/10?svid=CAwSHBIaCgNwdnESE0Nnd3ZaeTh4TVRObWN6TTROWFEYCg")</f>
        <v>https://www.google.com/searchviewer/10?svid=CAwSHBIaCgNwdnESE0Nnd3ZaeTh4TVRObWN6TTROWFEYCg</v>
      </c>
      <c r="B94" s="15"/>
      <c r="C94" s="14" t="str">
        <f>IFERROR(__xludf.DUMMYFUNCTION("""COMPUTED_VALUE"""),"google.com")</f>
        <v>google.com</v>
      </c>
      <c r="D94" s="15" t="str">
        <f>IFERROR(__xludf.DUMMYFUNCTION("""COMPUTED_VALUE"""),"OTHER")</f>
        <v>OTHER</v>
      </c>
      <c r="E94" s="15" t="str">
        <f>IFERROR(__xludf.DUMMYFUNCTION("""COMPUTED_VALUE"""),"OTHER")</f>
        <v>OTHER</v>
      </c>
      <c r="F94" s="15" t="str">
        <f>IFERROR(__xludf.DUMMYFUNCTION("""COMPUTED_VALUE"""),"Other")</f>
        <v>Other</v>
      </c>
      <c r="G94" s="15"/>
      <c r="H94" s="15" t="str">
        <f>IFERROR(__xludf.DUMMYFUNCTION("""COMPUTED_VALUE"""),"Unknown")</f>
        <v>Unknown</v>
      </c>
      <c r="I94" s="15">
        <f>IFERROR(__xludf.DUMMYFUNCTION("""COMPUTED_VALUE"""),1.0)</f>
        <v>1</v>
      </c>
      <c r="J94" s="15">
        <f>IFERROR(__xludf.DUMMYFUNCTION("""COMPUTED_VALUE"""),0.0)</f>
        <v>0</v>
      </c>
      <c r="K94" s="15">
        <f>IFERROR(__xludf.DUMMYFUNCTION("""COMPUTED_VALUE"""),0.0)</f>
        <v>0</v>
      </c>
    </row>
    <row r="95" ht="15.75" customHeight="1">
      <c r="A95" s="14" t="str">
        <f>IFERROR(__xludf.DUMMYFUNCTION("""COMPUTED_VALUE"""),"https://www.google.com/searchviewer/10?svid=CAwSHBIaCgNwdnESE0Nnd3ZaeTh4TW0wNU9ERnJOM2sYCg")</f>
        <v>https://www.google.com/searchviewer/10?svid=CAwSHBIaCgNwdnESE0Nnd3ZaeTh4TW0wNU9ERnJOM2sYCg</v>
      </c>
      <c r="B95" s="15"/>
      <c r="C95" s="14" t="str">
        <f>IFERROR(__xludf.DUMMYFUNCTION("""COMPUTED_VALUE"""),"google.com")</f>
        <v>google.com</v>
      </c>
      <c r="D95" s="15" t="str">
        <f>IFERROR(__xludf.DUMMYFUNCTION("""COMPUTED_VALUE"""),"OTHER")</f>
        <v>OTHER</v>
      </c>
      <c r="E95" s="15" t="str">
        <f>IFERROR(__xludf.DUMMYFUNCTION("""COMPUTED_VALUE"""),"OTHER")</f>
        <v>OTHER</v>
      </c>
      <c r="F95" s="15" t="str">
        <f>IFERROR(__xludf.DUMMYFUNCTION("""COMPUTED_VALUE"""),"Other")</f>
        <v>Other</v>
      </c>
      <c r="G95" s="15"/>
      <c r="H95" s="15" t="str">
        <f>IFERROR(__xludf.DUMMYFUNCTION("""COMPUTED_VALUE"""),"Unknown")</f>
        <v>Unknown</v>
      </c>
      <c r="I95" s="15">
        <f>IFERROR(__xludf.DUMMYFUNCTION("""COMPUTED_VALUE"""),1.0)</f>
        <v>1</v>
      </c>
      <c r="J95" s="15">
        <f>IFERROR(__xludf.DUMMYFUNCTION("""COMPUTED_VALUE"""),0.0)</f>
        <v>0</v>
      </c>
      <c r="K95" s="15">
        <f>IFERROR(__xludf.DUMMYFUNCTION("""COMPUTED_VALUE"""),0.0)</f>
        <v>0</v>
      </c>
    </row>
    <row r="96" ht="15.75" customHeight="1">
      <c r="A96" s="14" t="str">
        <f>IFERROR(__xludf.DUMMYFUNCTION("""COMPUTED_VALUE"""),"https://www.google.com/searchviewer/10?svid=CAwSHBIaCgNwdnESE0Nnd3ZaeTh4TW0xc01ubDNkMkkYCg")</f>
        <v>https://www.google.com/searchviewer/10?svid=CAwSHBIaCgNwdnESE0Nnd3ZaeTh4TW0xc01ubDNkMkkYCg</v>
      </c>
      <c r="B96" s="15"/>
      <c r="C96" s="14" t="str">
        <f>IFERROR(__xludf.DUMMYFUNCTION("""COMPUTED_VALUE"""),"google.com")</f>
        <v>google.com</v>
      </c>
      <c r="D96" s="15" t="str">
        <f>IFERROR(__xludf.DUMMYFUNCTION("""COMPUTED_VALUE"""),"OTHER")</f>
        <v>OTHER</v>
      </c>
      <c r="E96" s="15" t="str">
        <f>IFERROR(__xludf.DUMMYFUNCTION("""COMPUTED_VALUE"""),"OTHER")</f>
        <v>OTHER</v>
      </c>
      <c r="F96" s="15" t="str">
        <f>IFERROR(__xludf.DUMMYFUNCTION("""COMPUTED_VALUE"""),"Other")</f>
        <v>Other</v>
      </c>
      <c r="G96" s="15"/>
      <c r="H96" s="15" t="str">
        <f>IFERROR(__xludf.DUMMYFUNCTION("""COMPUTED_VALUE"""),"Unknown")</f>
        <v>Unknown</v>
      </c>
      <c r="I96" s="15">
        <f>IFERROR(__xludf.DUMMYFUNCTION("""COMPUTED_VALUE"""),1.0)</f>
        <v>1</v>
      </c>
      <c r="J96" s="15">
        <f>IFERROR(__xludf.DUMMYFUNCTION("""COMPUTED_VALUE"""),0.0)</f>
        <v>0</v>
      </c>
      <c r="K96" s="15">
        <f>IFERROR(__xludf.DUMMYFUNCTION("""COMPUTED_VALUE"""),0.0)</f>
        <v>0</v>
      </c>
    </row>
    <row r="97" ht="15.75" customHeight="1">
      <c r="A97" s="14" t="str">
        <f>IFERROR(__xludf.DUMMYFUNCTION("""COMPUTED_VALUE"""),"https://www.google.com/searchviewer/10?svid=CAwSHBIaCgNwdnESE0Nnd3ZaeTh4TW1Od01qTnNNV2cYCg")</f>
        <v>https://www.google.com/searchviewer/10?svid=CAwSHBIaCgNwdnESE0Nnd3ZaeTh4TW1Od01qTnNNV2cYCg</v>
      </c>
      <c r="B97" s="15"/>
      <c r="C97" s="14" t="str">
        <f>IFERROR(__xludf.DUMMYFUNCTION("""COMPUTED_VALUE"""),"google.com")</f>
        <v>google.com</v>
      </c>
      <c r="D97" s="15" t="str">
        <f>IFERROR(__xludf.DUMMYFUNCTION("""COMPUTED_VALUE"""),"OTHER")</f>
        <v>OTHER</v>
      </c>
      <c r="E97" s="15" t="str">
        <f>IFERROR(__xludf.DUMMYFUNCTION("""COMPUTED_VALUE"""),"OTHER")</f>
        <v>OTHER</v>
      </c>
      <c r="F97" s="15" t="str">
        <f>IFERROR(__xludf.DUMMYFUNCTION("""COMPUTED_VALUE"""),"Other")</f>
        <v>Other</v>
      </c>
      <c r="G97" s="15"/>
      <c r="H97" s="15" t="str">
        <f>IFERROR(__xludf.DUMMYFUNCTION("""COMPUTED_VALUE"""),"Unknown")</f>
        <v>Unknown</v>
      </c>
      <c r="I97" s="15">
        <f>IFERROR(__xludf.DUMMYFUNCTION("""COMPUTED_VALUE"""),1.0)</f>
        <v>1</v>
      </c>
      <c r="J97" s="15">
        <f>IFERROR(__xludf.DUMMYFUNCTION("""COMPUTED_VALUE"""),0.0)</f>
        <v>0</v>
      </c>
      <c r="K97" s="15">
        <f>IFERROR(__xludf.DUMMYFUNCTION("""COMPUTED_VALUE"""),0.0)</f>
        <v>0</v>
      </c>
    </row>
    <row r="98" ht="15.75" customHeight="1">
      <c r="A98" s="14" t="str">
        <f>IFERROR(__xludf.DUMMYFUNCTION("""COMPUTED_VALUE"""),"https://www.google.com/searchviewer/10?svid=CAwSHBIaCgNwdnESE0Nnd3ZaeTh4Y0hSMmRtb3dZMkkYCg")</f>
        <v>https://www.google.com/searchviewer/10?svid=CAwSHBIaCgNwdnESE0Nnd3ZaeTh4Y0hSMmRtb3dZMkkYCg</v>
      </c>
      <c r="B98" s="15"/>
      <c r="C98" s="14" t="str">
        <f>IFERROR(__xludf.DUMMYFUNCTION("""COMPUTED_VALUE"""),"google.com")</f>
        <v>google.com</v>
      </c>
      <c r="D98" s="15" t="str">
        <f>IFERROR(__xludf.DUMMYFUNCTION("""COMPUTED_VALUE"""),"OTHER")</f>
        <v>OTHER</v>
      </c>
      <c r="E98" s="15" t="str">
        <f>IFERROR(__xludf.DUMMYFUNCTION("""COMPUTED_VALUE"""),"OTHER")</f>
        <v>OTHER</v>
      </c>
      <c r="F98" s="15" t="str">
        <f>IFERROR(__xludf.DUMMYFUNCTION("""COMPUTED_VALUE"""),"Other")</f>
        <v>Other</v>
      </c>
      <c r="G98" s="15"/>
      <c r="H98" s="15" t="str">
        <f>IFERROR(__xludf.DUMMYFUNCTION("""COMPUTED_VALUE"""),"Unknown")</f>
        <v>Unknown</v>
      </c>
      <c r="I98" s="15">
        <f>IFERROR(__xludf.DUMMYFUNCTION("""COMPUTED_VALUE"""),1.0)</f>
        <v>1</v>
      </c>
      <c r="J98" s="15">
        <f>IFERROR(__xludf.DUMMYFUNCTION("""COMPUTED_VALUE"""),0.0)</f>
        <v>0</v>
      </c>
      <c r="K98" s="15">
        <f>IFERROR(__xludf.DUMMYFUNCTION("""COMPUTED_VALUE"""),0.0)</f>
        <v>0</v>
      </c>
    </row>
    <row r="99" ht="15.75" customHeight="1">
      <c r="A99" s="14" t="str">
        <f>IFERROR(__xludf.DUMMYFUNCTION("""COMPUTED_VALUE"""),"https://www.google.com/searchviewer/10?svid=CAwSHBIaCgNwdnESE0Nnd3ZaeTh4Y1RacVkyMDFlVFUYCg")</f>
        <v>https://www.google.com/searchviewer/10?svid=CAwSHBIaCgNwdnESE0Nnd3ZaeTh4Y1RacVkyMDFlVFUYCg</v>
      </c>
      <c r="B99" s="15"/>
      <c r="C99" s="14" t="str">
        <f>IFERROR(__xludf.DUMMYFUNCTION("""COMPUTED_VALUE"""),"google.com")</f>
        <v>google.com</v>
      </c>
      <c r="D99" s="15" t="str">
        <f>IFERROR(__xludf.DUMMYFUNCTION("""COMPUTED_VALUE"""),"OTHER")</f>
        <v>OTHER</v>
      </c>
      <c r="E99" s="15" t="str">
        <f>IFERROR(__xludf.DUMMYFUNCTION("""COMPUTED_VALUE"""),"OTHER")</f>
        <v>OTHER</v>
      </c>
      <c r="F99" s="15" t="str">
        <f>IFERROR(__xludf.DUMMYFUNCTION("""COMPUTED_VALUE"""),"Other")</f>
        <v>Other</v>
      </c>
      <c r="G99" s="15"/>
      <c r="H99" s="15" t="str">
        <f>IFERROR(__xludf.DUMMYFUNCTION("""COMPUTED_VALUE"""),"Unknown")</f>
        <v>Unknown</v>
      </c>
      <c r="I99" s="15">
        <f>IFERROR(__xludf.DUMMYFUNCTION("""COMPUTED_VALUE"""),1.0)</f>
        <v>1</v>
      </c>
      <c r="J99" s="15">
        <f>IFERROR(__xludf.DUMMYFUNCTION("""COMPUTED_VALUE"""),0.0)</f>
        <v>0</v>
      </c>
      <c r="K99" s="15">
        <f>IFERROR(__xludf.DUMMYFUNCTION("""COMPUTED_VALUE"""),0.0)</f>
        <v>0</v>
      </c>
    </row>
    <row r="100" ht="15.75" customHeight="1">
      <c r="A100" s="14" t="str">
        <f>IFERROR(__xludf.DUMMYFUNCTION("""COMPUTED_VALUE"""),"https://www.google.com/searchviewer/10?svid=CAwSHBIaCgNwdnESE0Nnd3ZaeTh4YW1kdE1XWjVjMjQYCg")</f>
        <v>https://www.google.com/searchviewer/10?svid=CAwSHBIaCgNwdnESE0Nnd3ZaeTh4YW1kdE1XWjVjMjQYCg</v>
      </c>
      <c r="B100" s="15"/>
      <c r="C100" s="14" t="str">
        <f>IFERROR(__xludf.DUMMYFUNCTION("""COMPUTED_VALUE"""),"google.com")</f>
        <v>google.com</v>
      </c>
      <c r="D100" s="15" t="str">
        <f>IFERROR(__xludf.DUMMYFUNCTION("""COMPUTED_VALUE"""),"OTHER")</f>
        <v>OTHER</v>
      </c>
      <c r="E100" s="15" t="str">
        <f>IFERROR(__xludf.DUMMYFUNCTION("""COMPUTED_VALUE"""),"OTHER")</f>
        <v>OTHER</v>
      </c>
      <c r="F100" s="15" t="str">
        <f>IFERROR(__xludf.DUMMYFUNCTION("""COMPUTED_VALUE"""),"Other")</f>
        <v>Other</v>
      </c>
      <c r="G100" s="15"/>
      <c r="H100" s="15" t="str">
        <f>IFERROR(__xludf.DUMMYFUNCTION("""COMPUTED_VALUE"""),"Unknown")</f>
        <v>Unknown</v>
      </c>
      <c r="I100" s="15">
        <f>IFERROR(__xludf.DUMMYFUNCTION("""COMPUTED_VALUE"""),1.0)</f>
        <v>1</v>
      </c>
      <c r="J100" s="15">
        <f>IFERROR(__xludf.DUMMYFUNCTION("""COMPUTED_VALUE"""),0.0)</f>
        <v>0</v>
      </c>
      <c r="K100" s="15">
        <f>IFERROR(__xludf.DUMMYFUNCTION("""COMPUTED_VALUE"""),0.0)</f>
        <v>0</v>
      </c>
    </row>
    <row r="101" ht="15.75" customHeight="1">
      <c r="A101" s="14" t="str">
        <f>IFERROR(__xludf.DUMMYFUNCTION("""COMPUTED_VALUE"""),"https://www.google.com/searchviewer/10?svid=CAwSHRIbCgNwdnESFENnMHZaeTh4TVc1aWFtUjVORGR1GAo")</f>
        <v>https://www.google.com/searchviewer/10?svid=CAwSHRIbCgNwdnESFENnMHZaeTh4TVc1aWFtUjVORGR1GAo</v>
      </c>
      <c r="B101" s="15"/>
      <c r="C101" s="14" t="str">
        <f>IFERROR(__xludf.DUMMYFUNCTION("""COMPUTED_VALUE"""),"google.com")</f>
        <v>google.com</v>
      </c>
      <c r="D101" s="15" t="str">
        <f>IFERROR(__xludf.DUMMYFUNCTION("""COMPUTED_VALUE"""),"OTHER")</f>
        <v>OTHER</v>
      </c>
      <c r="E101" s="15" t="str">
        <f>IFERROR(__xludf.DUMMYFUNCTION("""COMPUTED_VALUE"""),"OTHER")</f>
        <v>OTHER</v>
      </c>
      <c r="F101" s="15" t="str">
        <f>IFERROR(__xludf.DUMMYFUNCTION("""COMPUTED_VALUE"""),"Other")</f>
        <v>Other</v>
      </c>
      <c r="G101" s="15"/>
      <c r="H101" s="15" t="str">
        <f>IFERROR(__xludf.DUMMYFUNCTION("""COMPUTED_VALUE"""),"Unknown")</f>
        <v>Unknown</v>
      </c>
      <c r="I101" s="15">
        <f>IFERROR(__xludf.DUMMYFUNCTION("""COMPUTED_VALUE"""),1.0)</f>
        <v>1</v>
      </c>
      <c r="J101" s="15">
        <f>IFERROR(__xludf.DUMMYFUNCTION("""COMPUTED_VALUE"""),0.0)</f>
        <v>0</v>
      </c>
      <c r="K101" s="15">
        <f>IFERROR(__xludf.DUMMYFUNCTION("""COMPUTED_VALUE"""),0.0)</f>
        <v>0</v>
      </c>
    </row>
    <row r="102" ht="15.75" customHeight="1">
      <c r="A102" s="14" t="str">
        <f>IFERROR(__xludf.DUMMYFUNCTION("""COMPUTED_VALUE"""),"https://www.google.com/searchviewer/10?svid=CAwSHRIbCgNwdnESFENnMHZaeTh4TVdJMlkzQjRNbUl6GAo")</f>
        <v>https://www.google.com/searchviewer/10?svid=CAwSHRIbCgNwdnESFENnMHZaeTh4TVdJMlkzQjRNbUl6GAo</v>
      </c>
      <c r="B102" s="15"/>
      <c r="C102" s="14" t="str">
        <f>IFERROR(__xludf.DUMMYFUNCTION("""COMPUTED_VALUE"""),"google.com")</f>
        <v>google.com</v>
      </c>
      <c r="D102" s="15" t="str">
        <f>IFERROR(__xludf.DUMMYFUNCTION("""COMPUTED_VALUE"""),"OTHER")</f>
        <v>OTHER</v>
      </c>
      <c r="E102" s="15" t="str">
        <f>IFERROR(__xludf.DUMMYFUNCTION("""COMPUTED_VALUE"""),"OTHER")</f>
        <v>OTHER</v>
      </c>
      <c r="F102" s="15" t="str">
        <f>IFERROR(__xludf.DUMMYFUNCTION("""COMPUTED_VALUE"""),"Other")</f>
        <v>Other</v>
      </c>
      <c r="G102" s="15"/>
      <c r="H102" s="15" t="str">
        <f>IFERROR(__xludf.DUMMYFUNCTION("""COMPUTED_VALUE"""),"Unknown")</f>
        <v>Unknown</v>
      </c>
      <c r="I102" s="15">
        <f>IFERROR(__xludf.DUMMYFUNCTION("""COMPUTED_VALUE"""),1.0)</f>
        <v>1</v>
      </c>
      <c r="J102" s="15">
        <f>IFERROR(__xludf.DUMMYFUNCTION("""COMPUTED_VALUE"""),0.0)</f>
        <v>0</v>
      </c>
      <c r="K102" s="15">
        <f>IFERROR(__xludf.DUMMYFUNCTION("""COMPUTED_VALUE"""),0.0)</f>
        <v>0</v>
      </c>
    </row>
    <row r="103" ht="15.75" customHeight="1">
      <c r="A103" s="14" t="str">
        <f>IFERROR(__xludf.DUMMYFUNCTION("""COMPUTED_VALUE"""),"https://www.google.com/searchviewer/10?svid=CAwSHRIbCgNwdnESFENnMHZaeTh4TVdKM1p6bGZjbUkwGAo")</f>
        <v>https://www.google.com/searchviewer/10?svid=CAwSHRIbCgNwdnESFENnMHZaeTh4TVdKM1p6bGZjbUkwGAo</v>
      </c>
      <c r="B103" s="15"/>
      <c r="C103" s="14" t="str">
        <f>IFERROR(__xludf.DUMMYFUNCTION("""COMPUTED_VALUE"""),"google.com")</f>
        <v>google.com</v>
      </c>
      <c r="D103" s="15" t="str">
        <f>IFERROR(__xludf.DUMMYFUNCTION("""COMPUTED_VALUE"""),"OTHER")</f>
        <v>OTHER</v>
      </c>
      <c r="E103" s="15" t="str">
        <f>IFERROR(__xludf.DUMMYFUNCTION("""COMPUTED_VALUE"""),"OTHER")</f>
        <v>OTHER</v>
      </c>
      <c r="F103" s="15" t="str">
        <f>IFERROR(__xludf.DUMMYFUNCTION("""COMPUTED_VALUE"""),"Other")</f>
        <v>Other</v>
      </c>
      <c r="G103" s="15"/>
      <c r="H103" s="15" t="str">
        <f>IFERROR(__xludf.DUMMYFUNCTION("""COMPUTED_VALUE"""),"Unknown")</f>
        <v>Unknown</v>
      </c>
      <c r="I103" s="15">
        <f>IFERROR(__xludf.DUMMYFUNCTION("""COMPUTED_VALUE"""),1.0)</f>
        <v>1</v>
      </c>
      <c r="J103" s="15">
        <f>IFERROR(__xludf.DUMMYFUNCTION("""COMPUTED_VALUE"""),0.0)</f>
        <v>0</v>
      </c>
      <c r="K103" s="15">
        <f>IFERROR(__xludf.DUMMYFUNCTION("""COMPUTED_VALUE"""),0.0)</f>
        <v>0</v>
      </c>
    </row>
    <row r="104" ht="15.75" customHeight="1">
      <c r="A104" s="14" t="str">
        <f>IFERROR(__xludf.DUMMYFUNCTION("""COMPUTED_VALUE"""),"https://www.google.com/searchviewer/10?svid=CAwSHRIbCgNwdnESFENnMHZaeTh4TVdKMGJUbHdYM1JzGAo")</f>
        <v>https://www.google.com/searchviewer/10?svid=CAwSHRIbCgNwdnESFENnMHZaeTh4TVdKMGJUbHdYM1JzGAo</v>
      </c>
      <c r="B104" s="15"/>
      <c r="C104" s="14" t="str">
        <f>IFERROR(__xludf.DUMMYFUNCTION("""COMPUTED_VALUE"""),"google.com")</f>
        <v>google.com</v>
      </c>
      <c r="D104" s="15" t="str">
        <f>IFERROR(__xludf.DUMMYFUNCTION("""COMPUTED_VALUE"""),"OTHER")</f>
        <v>OTHER</v>
      </c>
      <c r="E104" s="15" t="str">
        <f>IFERROR(__xludf.DUMMYFUNCTION("""COMPUTED_VALUE"""),"OTHER")</f>
        <v>OTHER</v>
      </c>
      <c r="F104" s="15" t="str">
        <f>IFERROR(__xludf.DUMMYFUNCTION("""COMPUTED_VALUE"""),"Other")</f>
        <v>Other</v>
      </c>
      <c r="G104" s="15"/>
      <c r="H104" s="15" t="str">
        <f>IFERROR(__xludf.DUMMYFUNCTION("""COMPUTED_VALUE"""),"Unknown")</f>
        <v>Unknown</v>
      </c>
      <c r="I104" s="15">
        <f>IFERROR(__xludf.DUMMYFUNCTION("""COMPUTED_VALUE"""),1.0)</f>
        <v>1</v>
      </c>
      <c r="J104" s="15">
        <f>IFERROR(__xludf.DUMMYFUNCTION("""COMPUTED_VALUE"""),0.0)</f>
        <v>0</v>
      </c>
      <c r="K104" s="15">
        <f>IFERROR(__xludf.DUMMYFUNCTION("""COMPUTED_VALUE"""),0.0)</f>
        <v>0</v>
      </c>
    </row>
    <row r="105" ht="15.75" customHeight="1">
      <c r="A105" s="14" t="str">
        <f>IFERROR(__xludf.DUMMYFUNCTION("""COMPUTED_VALUE"""),"https://www.google.com/searchviewer/10?svid=CAwSHRIbCgNwdnESFENnMHZaeTh4TVdKaWRESnFkRFp6GAo")</f>
        <v>https://www.google.com/searchviewer/10?svid=CAwSHRIbCgNwdnESFENnMHZaeTh4TVdKaWRESnFkRFp6GAo</v>
      </c>
      <c r="B105" s="15"/>
      <c r="C105" s="14" t="str">
        <f>IFERROR(__xludf.DUMMYFUNCTION("""COMPUTED_VALUE"""),"google.com")</f>
        <v>google.com</v>
      </c>
      <c r="D105" s="15" t="str">
        <f>IFERROR(__xludf.DUMMYFUNCTION("""COMPUTED_VALUE"""),"OTHER")</f>
        <v>OTHER</v>
      </c>
      <c r="E105" s="15" t="str">
        <f>IFERROR(__xludf.DUMMYFUNCTION("""COMPUTED_VALUE"""),"OTHER")</f>
        <v>OTHER</v>
      </c>
      <c r="F105" s="15" t="str">
        <f>IFERROR(__xludf.DUMMYFUNCTION("""COMPUTED_VALUE"""),"Other")</f>
        <v>Other</v>
      </c>
      <c r="G105" s="15"/>
      <c r="H105" s="15" t="str">
        <f>IFERROR(__xludf.DUMMYFUNCTION("""COMPUTED_VALUE"""),"Unknown")</f>
        <v>Unknown</v>
      </c>
      <c r="I105" s="15">
        <f>IFERROR(__xludf.DUMMYFUNCTION("""COMPUTED_VALUE"""),1.0)</f>
        <v>1</v>
      </c>
      <c r="J105" s="15">
        <f>IFERROR(__xludf.DUMMYFUNCTION("""COMPUTED_VALUE"""),0.0)</f>
        <v>0</v>
      </c>
      <c r="K105" s="15">
        <f>IFERROR(__xludf.DUMMYFUNCTION("""COMPUTED_VALUE"""),0.0)</f>
        <v>0</v>
      </c>
    </row>
    <row r="106" ht="15.75" customHeight="1">
      <c r="A106" s="14" t="str">
        <f>IFERROR(__xludf.DUMMYFUNCTION("""COMPUTED_VALUE"""),"https://www.google.com/searchviewer/10?svid=CAwSHRIbCgNwdnESFENnMHZaeTh4TVdNMFltZDBNekZ1GAo")</f>
        <v>https://www.google.com/searchviewer/10?svid=CAwSHRIbCgNwdnESFENnMHZaeTh4TVdNMFltZDBNekZ1GAo</v>
      </c>
      <c r="B106" s="15"/>
      <c r="C106" s="14" t="str">
        <f>IFERROR(__xludf.DUMMYFUNCTION("""COMPUTED_VALUE"""),"google.com")</f>
        <v>google.com</v>
      </c>
      <c r="D106" s="15" t="str">
        <f>IFERROR(__xludf.DUMMYFUNCTION("""COMPUTED_VALUE"""),"OTHER")</f>
        <v>OTHER</v>
      </c>
      <c r="E106" s="15" t="str">
        <f>IFERROR(__xludf.DUMMYFUNCTION("""COMPUTED_VALUE"""),"OTHER")</f>
        <v>OTHER</v>
      </c>
      <c r="F106" s="15" t="str">
        <f>IFERROR(__xludf.DUMMYFUNCTION("""COMPUTED_VALUE"""),"Other")</f>
        <v>Other</v>
      </c>
      <c r="G106" s="15"/>
      <c r="H106" s="15" t="str">
        <f>IFERROR(__xludf.DUMMYFUNCTION("""COMPUTED_VALUE"""),"Unknown")</f>
        <v>Unknown</v>
      </c>
      <c r="I106" s="15">
        <f>IFERROR(__xludf.DUMMYFUNCTION("""COMPUTED_VALUE"""),1.0)</f>
        <v>1</v>
      </c>
      <c r="J106" s="15">
        <f>IFERROR(__xludf.DUMMYFUNCTION("""COMPUTED_VALUE"""),0.0)</f>
        <v>0</v>
      </c>
      <c r="K106" s="15">
        <f>IFERROR(__xludf.DUMMYFUNCTION("""COMPUTED_VALUE"""),0.0)</f>
        <v>0</v>
      </c>
    </row>
    <row r="107" ht="15.75" customHeight="1">
      <c r="A107" s="14" t="str">
        <f>IFERROR(__xludf.DUMMYFUNCTION("""COMPUTED_VALUE"""),"https://www.google.com/searchviewer/10?svid=CAwSHRIbCgNwdnESFENnMHZaeTh4TVdNMU5IWm1aMlF5GAo")</f>
        <v>https://www.google.com/searchviewer/10?svid=CAwSHRIbCgNwdnESFENnMHZaeTh4TVdNMU5IWm1aMlF5GAo</v>
      </c>
      <c r="B107" s="15"/>
      <c r="C107" s="14" t="str">
        <f>IFERROR(__xludf.DUMMYFUNCTION("""COMPUTED_VALUE"""),"google.com")</f>
        <v>google.com</v>
      </c>
      <c r="D107" s="15" t="str">
        <f>IFERROR(__xludf.DUMMYFUNCTION("""COMPUTED_VALUE"""),"OTHER")</f>
        <v>OTHER</v>
      </c>
      <c r="E107" s="15" t="str">
        <f>IFERROR(__xludf.DUMMYFUNCTION("""COMPUTED_VALUE"""),"OTHER")</f>
        <v>OTHER</v>
      </c>
      <c r="F107" s="15" t="str">
        <f>IFERROR(__xludf.DUMMYFUNCTION("""COMPUTED_VALUE"""),"Other")</f>
        <v>Other</v>
      </c>
      <c r="G107" s="15"/>
      <c r="H107" s="15" t="str">
        <f>IFERROR(__xludf.DUMMYFUNCTION("""COMPUTED_VALUE"""),"Unknown")</f>
        <v>Unknown</v>
      </c>
      <c r="I107" s="15">
        <f>IFERROR(__xludf.DUMMYFUNCTION("""COMPUTED_VALUE"""),1.0)</f>
        <v>1</v>
      </c>
      <c r="J107" s="15">
        <f>IFERROR(__xludf.DUMMYFUNCTION("""COMPUTED_VALUE"""),0.0)</f>
        <v>0</v>
      </c>
      <c r="K107" s="15">
        <f>IFERROR(__xludf.DUMMYFUNCTION("""COMPUTED_VALUE"""),0.0)</f>
        <v>0</v>
      </c>
    </row>
    <row r="108" ht="15.75" customHeight="1">
      <c r="A108" s="14" t="str">
        <f>IFERROR(__xludf.DUMMYFUNCTION("""COMPUTED_VALUE"""),"https://www.google.com/searchviewer/10?svid=CAwSHRIbCgNwdnESFENnMHZaeTh4TVdOek0zcHNjblp5GAo")</f>
        <v>https://www.google.com/searchviewer/10?svid=CAwSHRIbCgNwdnESFENnMHZaeTh4TVdOek0zcHNjblp5GAo</v>
      </c>
      <c r="B108" s="15"/>
      <c r="C108" s="14" t="str">
        <f>IFERROR(__xludf.DUMMYFUNCTION("""COMPUTED_VALUE"""),"google.com")</f>
        <v>google.com</v>
      </c>
      <c r="D108" s="15" t="str">
        <f>IFERROR(__xludf.DUMMYFUNCTION("""COMPUTED_VALUE"""),"OTHER")</f>
        <v>OTHER</v>
      </c>
      <c r="E108" s="15" t="str">
        <f>IFERROR(__xludf.DUMMYFUNCTION("""COMPUTED_VALUE"""),"OTHER")</f>
        <v>OTHER</v>
      </c>
      <c r="F108" s="15" t="str">
        <f>IFERROR(__xludf.DUMMYFUNCTION("""COMPUTED_VALUE"""),"Other")</f>
        <v>Other</v>
      </c>
      <c r="G108" s="15"/>
      <c r="H108" s="15" t="str">
        <f>IFERROR(__xludf.DUMMYFUNCTION("""COMPUTED_VALUE"""),"Unknown")</f>
        <v>Unknown</v>
      </c>
      <c r="I108" s="15">
        <f>IFERROR(__xludf.DUMMYFUNCTION("""COMPUTED_VALUE"""),1.0)</f>
        <v>1</v>
      </c>
      <c r="J108" s="15">
        <f>IFERROR(__xludf.DUMMYFUNCTION("""COMPUTED_VALUE"""),0.0)</f>
        <v>0</v>
      </c>
      <c r="K108" s="15">
        <f>IFERROR(__xludf.DUMMYFUNCTION("""COMPUTED_VALUE"""),1.0)</f>
        <v>1</v>
      </c>
    </row>
    <row r="109" ht="15.75" customHeight="1">
      <c r="A109" s="14" t="str">
        <f>IFERROR(__xludf.DUMMYFUNCTION("""COMPUTED_VALUE"""),"https://www.google.com/searchviewer/10?svid=CAwSHRIbCgNwdnESFENnMHZaeTh4TVdZNGFITjZhM1J0GAo")</f>
        <v>https://www.google.com/searchviewer/10?svid=CAwSHRIbCgNwdnESFENnMHZaeTh4TVdZNGFITjZhM1J0GAo</v>
      </c>
      <c r="B109" s="15"/>
      <c r="C109" s="14" t="str">
        <f>IFERROR(__xludf.DUMMYFUNCTION("""COMPUTED_VALUE"""),"google.com")</f>
        <v>google.com</v>
      </c>
      <c r="D109" s="15" t="str">
        <f>IFERROR(__xludf.DUMMYFUNCTION("""COMPUTED_VALUE"""),"OTHER")</f>
        <v>OTHER</v>
      </c>
      <c r="E109" s="15" t="str">
        <f>IFERROR(__xludf.DUMMYFUNCTION("""COMPUTED_VALUE"""),"OTHER")</f>
        <v>OTHER</v>
      </c>
      <c r="F109" s="15" t="str">
        <f>IFERROR(__xludf.DUMMYFUNCTION("""COMPUTED_VALUE"""),"Other")</f>
        <v>Other</v>
      </c>
      <c r="G109" s="15"/>
      <c r="H109" s="15" t="str">
        <f>IFERROR(__xludf.DUMMYFUNCTION("""COMPUTED_VALUE"""),"Unknown")</f>
        <v>Unknown</v>
      </c>
      <c r="I109" s="15">
        <f>IFERROR(__xludf.DUMMYFUNCTION("""COMPUTED_VALUE"""),1.0)</f>
        <v>1</v>
      </c>
      <c r="J109" s="15">
        <f>IFERROR(__xludf.DUMMYFUNCTION("""COMPUTED_VALUE"""),0.0)</f>
        <v>0</v>
      </c>
      <c r="K109" s="15">
        <f>IFERROR(__xludf.DUMMYFUNCTION("""COMPUTED_VALUE"""),0.0)</f>
        <v>0</v>
      </c>
    </row>
    <row r="110" ht="15.75" customHeight="1">
      <c r="A110" s="14" t="str">
        <f>IFERROR(__xludf.DUMMYFUNCTION("""COMPUTED_VALUE"""),"https://www.google.com/searchviewer/10?svid=CAwSHRIbCgNwdnESFENnMHZaeTh4TVdZd05ESnpjMTlrGAo")</f>
        <v>https://www.google.com/searchviewer/10?svid=CAwSHRIbCgNwdnESFENnMHZaeTh4TVdZd05ESnpjMTlrGAo</v>
      </c>
      <c r="B110" s="15"/>
      <c r="C110" s="14" t="str">
        <f>IFERROR(__xludf.DUMMYFUNCTION("""COMPUTED_VALUE"""),"google.com")</f>
        <v>google.com</v>
      </c>
      <c r="D110" s="15" t="str">
        <f>IFERROR(__xludf.DUMMYFUNCTION("""COMPUTED_VALUE"""),"OTHER")</f>
        <v>OTHER</v>
      </c>
      <c r="E110" s="15" t="str">
        <f>IFERROR(__xludf.DUMMYFUNCTION("""COMPUTED_VALUE"""),"OTHER")</f>
        <v>OTHER</v>
      </c>
      <c r="F110" s="15" t="str">
        <f>IFERROR(__xludf.DUMMYFUNCTION("""COMPUTED_VALUE"""),"Other")</f>
        <v>Other</v>
      </c>
      <c r="G110" s="15"/>
      <c r="H110" s="15" t="str">
        <f>IFERROR(__xludf.DUMMYFUNCTION("""COMPUTED_VALUE"""),"Unknown")</f>
        <v>Unknown</v>
      </c>
      <c r="I110" s="15">
        <f>IFERROR(__xludf.DUMMYFUNCTION("""COMPUTED_VALUE"""),1.0)</f>
        <v>1</v>
      </c>
      <c r="J110" s="15">
        <f>IFERROR(__xludf.DUMMYFUNCTION("""COMPUTED_VALUE"""),0.0)</f>
        <v>0</v>
      </c>
      <c r="K110" s="15">
        <f>IFERROR(__xludf.DUMMYFUNCTION("""COMPUTED_VALUE"""),1.0)</f>
        <v>1</v>
      </c>
    </row>
    <row r="111" ht="15.75" customHeight="1">
      <c r="A111" s="14" t="str">
        <f>IFERROR(__xludf.DUMMYFUNCTION("""COMPUTED_VALUE"""),"https://www.google.com/searchviewer/10?svid=CAwSHRIbCgNwdnESFENnMHZaeTh4TVdkMFp6bHhhbmRuGAo")</f>
        <v>https://www.google.com/searchviewer/10?svid=CAwSHRIbCgNwdnESFENnMHZaeTh4TVdkMFp6bHhhbmRuGAo</v>
      </c>
      <c r="B111" s="15"/>
      <c r="C111" s="14" t="str">
        <f>IFERROR(__xludf.DUMMYFUNCTION("""COMPUTED_VALUE"""),"google.com")</f>
        <v>google.com</v>
      </c>
      <c r="D111" s="15" t="str">
        <f>IFERROR(__xludf.DUMMYFUNCTION("""COMPUTED_VALUE"""),"OTHER")</f>
        <v>OTHER</v>
      </c>
      <c r="E111" s="15" t="str">
        <f>IFERROR(__xludf.DUMMYFUNCTION("""COMPUTED_VALUE"""),"OTHER")</f>
        <v>OTHER</v>
      </c>
      <c r="F111" s="15" t="str">
        <f>IFERROR(__xludf.DUMMYFUNCTION("""COMPUTED_VALUE"""),"Other")</f>
        <v>Other</v>
      </c>
      <c r="G111" s="15"/>
      <c r="H111" s="15" t="str">
        <f>IFERROR(__xludf.DUMMYFUNCTION("""COMPUTED_VALUE"""),"Unknown")</f>
        <v>Unknown</v>
      </c>
      <c r="I111" s="15">
        <f>IFERROR(__xludf.DUMMYFUNCTION("""COMPUTED_VALUE"""),1.0)</f>
        <v>1</v>
      </c>
      <c r="J111" s="15">
        <f>IFERROR(__xludf.DUMMYFUNCTION("""COMPUTED_VALUE"""),0.0)</f>
        <v>0</v>
      </c>
      <c r="K111" s="15">
        <f>IFERROR(__xludf.DUMMYFUNCTION("""COMPUTED_VALUE"""),0.0)</f>
        <v>0</v>
      </c>
    </row>
    <row r="112" ht="15.75" customHeight="1">
      <c r="A112" s="14" t="str">
        <f>IFERROR(__xludf.DUMMYFUNCTION("""COMPUTED_VALUE"""),"https://www.google.com/searchviewer/10?svid=CAwSHRIbCgNwdnESFENnMHZaeTh4TVdneE9HZHRjak53GAo")</f>
        <v>https://www.google.com/searchviewer/10?svid=CAwSHRIbCgNwdnESFENnMHZaeTh4TVdneE9HZHRjak53GAo</v>
      </c>
      <c r="B112" s="15"/>
      <c r="C112" s="14" t="str">
        <f>IFERROR(__xludf.DUMMYFUNCTION("""COMPUTED_VALUE"""),"google.com")</f>
        <v>google.com</v>
      </c>
      <c r="D112" s="15" t="str">
        <f>IFERROR(__xludf.DUMMYFUNCTION("""COMPUTED_VALUE"""),"OTHER")</f>
        <v>OTHER</v>
      </c>
      <c r="E112" s="15" t="str">
        <f>IFERROR(__xludf.DUMMYFUNCTION("""COMPUTED_VALUE"""),"OTHER")</f>
        <v>OTHER</v>
      </c>
      <c r="F112" s="15" t="str">
        <f>IFERROR(__xludf.DUMMYFUNCTION("""COMPUTED_VALUE"""),"Other")</f>
        <v>Other</v>
      </c>
      <c r="G112" s="15"/>
      <c r="H112" s="15" t="str">
        <f>IFERROR(__xludf.DUMMYFUNCTION("""COMPUTED_VALUE"""),"Unknown")</f>
        <v>Unknown</v>
      </c>
      <c r="I112" s="15">
        <f>IFERROR(__xludf.DUMMYFUNCTION("""COMPUTED_VALUE"""),1.0)</f>
        <v>1</v>
      </c>
      <c r="J112" s="15">
        <f>IFERROR(__xludf.DUMMYFUNCTION("""COMPUTED_VALUE"""),0.0)</f>
        <v>0</v>
      </c>
      <c r="K112" s="15">
        <f>IFERROR(__xludf.DUMMYFUNCTION("""COMPUTED_VALUE"""),1.0)</f>
        <v>1</v>
      </c>
    </row>
    <row r="113" ht="15.75" customHeight="1">
      <c r="A113" s="14" t="str">
        <f>IFERROR(__xludf.DUMMYFUNCTION("""COMPUTED_VALUE"""),"https://www.google.com/searchviewer/10?svid=CAwSHRIbCgNwdnESFENnMHZaeTh4TVdnelluUjJkekJ0GAo")</f>
        <v>https://www.google.com/searchviewer/10?svid=CAwSHRIbCgNwdnESFENnMHZaeTh4TVdnelluUjJkekJ0GAo</v>
      </c>
      <c r="B113" s="15"/>
      <c r="C113" s="14" t="str">
        <f>IFERROR(__xludf.DUMMYFUNCTION("""COMPUTED_VALUE"""),"google.com")</f>
        <v>google.com</v>
      </c>
      <c r="D113" s="15" t="str">
        <f>IFERROR(__xludf.DUMMYFUNCTION("""COMPUTED_VALUE"""),"OTHER")</f>
        <v>OTHER</v>
      </c>
      <c r="E113" s="15" t="str">
        <f>IFERROR(__xludf.DUMMYFUNCTION("""COMPUTED_VALUE"""),"OTHER")</f>
        <v>OTHER</v>
      </c>
      <c r="F113" s="15" t="str">
        <f>IFERROR(__xludf.DUMMYFUNCTION("""COMPUTED_VALUE"""),"Other")</f>
        <v>Other</v>
      </c>
      <c r="G113" s="15"/>
      <c r="H113" s="15" t="str">
        <f>IFERROR(__xludf.DUMMYFUNCTION("""COMPUTED_VALUE"""),"Unknown")</f>
        <v>Unknown</v>
      </c>
      <c r="I113" s="15">
        <f>IFERROR(__xludf.DUMMYFUNCTION("""COMPUTED_VALUE"""),1.0)</f>
        <v>1</v>
      </c>
      <c r="J113" s="15">
        <f>IFERROR(__xludf.DUMMYFUNCTION("""COMPUTED_VALUE"""),0.0)</f>
        <v>0</v>
      </c>
      <c r="K113" s="15">
        <f>IFERROR(__xludf.DUMMYFUNCTION("""COMPUTED_VALUE"""),0.0)</f>
        <v>0</v>
      </c>
    </row>
    <row r="114" ht="15.75" customHeight="1">
      <c r="A114" s="14" t="str">
        <f>IFERROR(__xludf.DUMMYFUNCTION("""COMPUTED_VALUE"""),"https://www.google.com/searchviewer/10?svid=CAwSHRIbCgNwdnESFENnMHZaeTh4TVdoMGVuTTBObmt3GAo")</f>
        <v>https://www.google.com/searchviewer/10?svid=CAwSHRIbCgNwdnESFENnMHZaeTh4TVdoMGVuTTBObmt3GAo</v>
      </c>
      <c r="B114" s="15"/>
      <c r="C114" s="14" t="str">
        <f>IFERROR(__xludf.DUMMYFUNCTION("""COMPUTED_VALUE"""),"google.com")</f>
        <v>google.com</v>
      </c>
      <c r="D114" s="15" t="str">
        <f>IFERROR(__xludf.DUMMYFUNCTION("""COMPUTED_VALUE"""),"OTHER")</f>
        <v>OTHER</v>
      </c>
      <c r="E114" s="15" t="str">
        <f>IFERROR(__xludf.DUMMYFUNCTION("""COMPUTED_VALUE"""),"OTHER")</f>
        <v>OTHER</v>
      </c>
      <c r="F114" s="15" t="str">
        <f>IFERROR(__xludf.DUMMYFUNCTION("""COMPUTED_VALUE"""),"Other")</f>
        <v>Other</v>
      </c>
      <c r="G114" s="15"/>
      <c r="H114" s="15" t="str">
        <f>IFERROR(__xludf.DUMMYFUNCTION("""COMPUTED_VALUE"""),"Unknown")</f>
        <v>Unknown</v>
      </c>
      <c r="I114" s="15">
        <f>IFERROR(__xludf.DUMMYFUNCTION("""COMPUTED_VALUE"""),1.0)</f>
        <v>1</v>
      </c>
      <c r="J114" s="15">
        <f>IFERROR(__xludf.DUMMYFUNCTION("""COMPUTED_VALUE"""),0.0)</f>
        <v>0</v>
      </c>
      <c r="K114" s="15">
        <f>IFERROR(__xludf.DUMMYFUNCTION("""COMPUTED_VALUE"""),0.0)</f>
        <v>0</v>
      </c>
    </row>
    <row r="115" ht="15.75" customHeight="1">
      <c r="A115" s="14" t="str">
        <f>IFERROR(__xludf.DUMMYFUNCTION("""COMPUTED_VALUE"""),"https://www.google.com/searchviewer/10?svid=CAwSHRIbCgNwdnESFENnMHZaeTh4TVdoa05uZDZkRFJuGAo")</f>
        <v>https://www.google.com/searchviewer/10?svid=CAwSHRIbCgNwdnESFENnMHZaeTh4TVdoa05uZDZkRFJuGAo</v>
      </c>
      <c r="B115" s="15"/>
      <c r="C115" s="14" t="str">
        <f>IFERROR(__xludf.DUMMYFUNCTION("""COMPUTED_VALUE"""),"google.com")</f>
        <v>google.com</v>
      </c>
      <c r="D115" s="15" t="str">
        <f>IFERROR(__xludf.DUMMYFUNCTION("""COMPUTED_VALUE"""),"OTHER")</f>
        <v>OTHER</v>
      </c>
      <c r="E115" s="15" t="str">
        <f>IFERROR(__xludf.DUMMYFUNCTION("""COMPUTED_VALUE"""),"OTHER")</f>
        <v>OTHER</v>
      </c>
      <c r="F115" s="15" t="str">
        <f>IFERROR(__xludf.DUMMYFUNCTION("""COMPUTED_VALUE"""),"Other")</f>
        <v>Other</v>
      </c>
      <c r="G115" s="15"/>
      <c r="H115" s="15" t="str">
        <f>IFERROR(__xludf.DUMMYFUNCTION("""COMPUTED_VALUE"""),"Unknown")</f>
        <v>Unknown</v>
      </c>
      <c r="I115" s="15">
        <f>IFERROR(__xludf.DUMMYFUNCTION("""COMPUTED_VALUE"""),1.0)</f>
        <v>1</v>
      </c>
      <c r="J115" s="15">
        <f>IFERROR(__xludf.DUMMYFUNCTION("""COMPUTED_VALUE"""),0.0)</f>
        <v>0</v>
      </c>
      <c r="K115" s="15">
        <f>IFERROR(__xludf.DUMMYFUNCTION("""COMPUTED_VALUE"""),0.0)</f>
        <v>0</v>
      </c>
    </row>
    <row r="116" ht="15.75" customHeight="1">
      <c r="A116" s="14" t="str">
        <f>IFERROR(__xludf.DUMMYFUNCTION("""COMPUTED_VALUE"""),"https://www.google.com/searchviewer/10?svid=CAwSHRIbCgNwdnESFENnMHZaeTh4TVdveWMyMXVPVEprGAo")</f>
        <v>https://www.google.com/searchviewer/10?svid=CAwSHRIbCgNwdnESFENnMHZaeTh4TVdveWMyMXVPVEprGAo</v>
      </c>
      <c r="B116" s="15"/>
      <c r="C116" s="14" t="str">
        <f>IFERROR(__xludf.DUMMYFUNCTION("""COMPUTED_VALUE"""),"google.com")</f>
        <v>google.com</v>
      </c>
      <c r="D116" s="15" t="str">
        <f>IFERROR(__xludf.DUMMYFUNCTION("""COMPUTED_VALUE"""),"OTHER")</f>
        <v>OTHER</v>
      </c>
      <c r="E116" s="15" t="str">
        <f>IFERROR(__xludf.DUMMYFUNCTION("""COMPUTED_VALUE"""),"OTHER")</f>
        <v>OTHER</v>
      </c>
      <c r="F116" s="15" t="str">
        <f>IFERROR(__xludf.DUMMYFUNCTION("""COMPUTED_VALUE"""),"Other")</f>
        <v>Other</v>
      </c>
      <c r="G116" s="15"/>
      <c r="H116" s="15" t="str">
        <f>IFERROR(__xludf.DUMMYFUNCTION("""COMPUTED_VALUE"""),"Unknown")</f>
        <v>Unknown</v>
      </c>
      <c r="I116" s="15">
        <f>IFERROR(__xludf.DUMMYFUNCTION("""COMPUTED_VALUE"""),1.0)</f>
        <v>1</v>
      </c>
      <c r="J116" s="15">
        <f>IFERROR(__xludf.DUMMYFUNCTION("""COMPUTED_VALUE"""),0.0)</f>
        <v>0</v>
      </c>
      <c r="K116" s="15">
        <f>IFERROR(__xludf.DUMMYFUNCTION("""COMPUTED_VALUE"""),0.0)</f>
        <v>0</v>
      </c>
    </row>
    <row r="117" ht="15.75" customHeight="1">
      <c r="A117" s="14" t="str">
        <f>IFERROR(__xludf.DUMMYFUNCTION("""COMPUTED_VALUE"""),"https://www.google.com/searchviewer/10?svid=CAwSHRIbCgNwdnESFENnMHZaeTh4TVdzd05qZG9lRGx1GAo")</f>
        <v>https://www.google.com/searchviewer/10?svid=CAwSHRIbCgNwdnESFENnMHZaeTh4TVdzd05qZG9lRGx1GAo</v>
      </c>
      <c r="B117" s="15"/>
      <c r="C117" s="14" t="str">
        <f>IFERROR(__xludf.DUMMYFUNCTION("""COMPUTED_VALUE"""),"google.com")</f>
        <v>google.com</v>
      </c>
      <c r="D117" s="15" t="str">
        <f>IFERROR(__xludf.DUMMYFUNCTION("""COMPUTED_VALUE"""),"OTHER")</f>
        <v>OTHER</v>
      </c>
      <c r="E117" s="15" t="str">
        <f>IFERROR(__xludf.DUMMYFUNCTION("""COMPUTED_VALUE"""),"OTHER")</f>
        <v>OTHER</v>
      </c>
      <c r="F117" s="15" t="str">
        <f>IFERROR(__xludf.DUMMYFUNCTION("""COMPUTED_VALUE"""),"Other")</f>
        <v>Other</v>
      </c>
      <c r="G117" s="15"/>
      <c r="H117" s="15" t="str">
        <f>IFERROR(__xludf.DUMMYFUNCTION("""COMPUTED_VALUE"""),"Unknown")</f>
        <v>Unknown</v>
      </c>
      <c r="I117" s="15">
        <f>IFERROR(__xludf.DUMMYFUNCTION("""COMPUTED_VALUE"""),1.0)</f>
        <v>1</v>
      </c>
      <c r="J117" s="15">
        <f>IFERROR(__xludf.DUMMYFUNCTION("""COMPUTED_VALUE"""),0.0)</f>
        <v>0</v>
      </c>
      <c r="K117" s="15">
        <f>IFERROR(__xludf.DUMMYFUNCTION("""COMPUTED_VALUE"""),0.0)</f>
        <v>0</v>
      </c>
    </row>
    <row r="118" ht="15.75" customHeight="1">
      <c r="A118" s="14" t="str">
        <f>IFERROR(__xludf.DUMMYFUNCTION("""COMPUTED_VALUE"""),"https://www.google.com/searchviewer/10?svid=CAwSHRIbCgNwdnESFENnMHZaeTh4TVhGaWRqVnRNSEZzGAo")</f>
        <v>https://www.google.com/searchviewer/10?svid=CAwSHRIbCgNwdnESFENnMHZaeTh4TVhGaWRqVnRNSEZzGAo</v>
      </c>
      <c r="B118" s="15"/>
      <c r="C118" s="14" t="str">
        <f>IFERROR(__xludf.DUMMYFUNCTION("""COMPUTED_VALUE"""),"google.com")</f>
        <v>google.com</v>
      </c>
      <c r="D118" s="15" t="str">
        <f>IFERROR(__xludf.DUMMYFUNCTION("""COMPUTED_VALUE"""),"OTHER")</f>
        <v>OTHER</v>
      </c>
      <c r="E118" s="15" t="str">
        <f>IFERROR(__xludf.DUMMYFUNCTION("""COMPUTED_VALUE"""),"OTHER")</f>
        <v>OTHER</v>
      </c>
      <c r="F118" s="15" t="str">
        <f>IFERROR(__xludf.DUMMYFUNCTION("""COMPUTED_VALUE"""),"Other")</f>
        <v>Other</v>
      </c>
      <c r="G118" s="15"/>
      <c r="H118" s="15" t="str">
        <f>IFERROR(__xludf.DUMMYFUNCTION("""COMPUTED_VALUE"""),"Unknown")</f>
        <v>Unknown</v>
      </c>
      <c r="I118" s="15">
        <f>IFERROR(__xludf.DUMMYFUNCTION("""COMPUTED_VALUE"""),1.0)</f>
        <v>1</v>
      </c>
      <c r="J118" s="15">
        <f>IFERROR(__xludf.DUMMYFUNCTION("""COMPUTED_VALUE"""),0.0)</f>
        <v>0</v>
      </c>
      <c r="K118" s="15">
        <f>IFERROR(__xludf.DUMMYFUNCTION("""COMPUTED_VALUE"""),0.0)</f>
        <v>0</v>
      </c>
    </row>
    <row r="119" ht="15.75" customHeight="1">
      <c r="A119" s="14" t="str">
        <f>IFERROR(__xludf.DUMMYFUNCTION("""COMPUTED_VALUE"""),"https://www.google.com/searchviewer/10?svid=CAwSHRIbCgNwdnESFENnMHZaeTh4TVhGbk1EQnJNV0pqGAo")</f>
        <v>https://www.google.com/searchviewer/10?svid=CAwSHRIbCgNwdnESFENnMHZaeTh4TVhGbk1EQnJNV0pqGAo</v>
      </c>
      <c r="B119" s="15"/>
      <c r="C119" s="14" t="str">
        <f>IFERROR(__xludf.DUMMYFUNCTION("""COMPUTED_VALUE"""),"google.com")</f>
        <v>google.com</v>
      </c>
      <c r="D119" s="15" t="str">
        <f>IFERROR(__xludf.DUMMYFUNCTION("""COMPUTED_VALUE"""),"OTHER")</f>
        <v>OTHER</v>
      </c>
      <c r="E119" s="15" t="str">
        <f>IFERROR(__xludf.DUMMYFUNCTION("""COMPUTED_VALUE"""),"OTHER")</f>
        <v>OTHER</v>
      </c>
      <c r="F119" s="15" t="str">
        <f>IFERROR(__xludf.DUMMYFUNCTION("""COMPUTED_VALUE"""),"Other")</f>
        <v>Other</v>
      </c>
      <c r="G119" s="15"/>
      <c r="H119" s="15" t="str">
        <f>IFERROR(__xludf.DUMMYFUNCTION("""COMPUTED_VALUE"""),"Unknown")</f>
        <v>Unknown</v>
      </c>
      <c r="I119" s="15">
        <f>IFERROR(__xludf.DUMMYFUNCTION("""COMPUTED_VALUE"""),1.0)</f>
        <v>1</v>
      </c>
      <c r="J119" s="15">
        <f>IFERROR(__xludf.DUMMYFUNCTION("""COMPUTED_VALUE"""),0.0)</f>
        <v>0</v>
      </c>
      <c r="K119" s="15">
        <f>IFERROR(__xludf.DUMMYFUNCTION("""COMPUTED_VALUE"""),0.0)</f>
        <v>0</v>
      </c>
    </row>
    <row r="120" ht="15.75" customHeight="1">
      <c r="A120" s="14" t="str">
        <f>IFERROR(__xludf.DUMMYFUNCTION("""COMPUTED_VALUE"""),"https://www.google.com/searchviewer/10?svid=CAwSHRIbCgNwdnESFENnMHZaeTh4TVhNM1puYzNjRE56GAo")</f>
        <v>https://www.google.com/searchviewer/10?svid=CAwSHRIbCgNwdnESFENnMHZaeTh4TVhNM1puYzNjRE56GAo</v>
      </c>
      <c r="B120" s="15"/>
      <c r="C120" s="14" t="str">
        <f>IFERROR(__xludf.DUMMYFUNCTION("""COMPUTED_VALUE"""),"google.com")</f>
        <v>google.com</v>
      </c>
      <c r="D120" s="15" t="str">
        <f>IFERROR(__xludf.DUMMYFUNCTION("""COMPUTED_VALUE"""),"OTHER")</f>
        <v>OTHER</v>
      </c>
      <c r="E120" s="15" t="str">
        <f>IFERROR(__xludf.DUMMYFUNCTION("""COMPUTED_VALUE"""),"OTHER")</f>
        <v>OTHER</v>
      </c>
      <c r="F120" s="15" t="str">
        <f>IFERROR(__xludf.DUMMYFUNCTION("""COMPUTED_VALUE"""),"Other")</f>
        <v>Other</v>
      </c>
      <c r="G120" s="15"/>
      <c r="H120" s="15" t="str">
        <f>IFERROR(__xludf.DUMMYFUNCTION("""COMPUTED_VALUE"""),"Unknown")</f>
        <v>Unknown</v>
      </c>
      <c r="I120" s="15">
        <f>IFERROR(__xludf.DUMMYFUNCTION("""COMPUTED_VALUE"""),1.0)</f>
        <v>1</v>
      </c>
      <c r="J120" s="15">
        <f>IFERROR(__xludf.DUMMYFUNCTION("""COMPUTED_VALUE"""),0.0)</f>
        <v>0</v>
      </c>
      <c r="K120" s="15">
        <f>IFERROR(__xludf.DUMMYFUNCTION("""COMPUTED_VALUE"""),0.0)</f>
        <v>0</v>
      </c>
    </row>
    <row r="121" ht="15.75" customHeight="1">
      <c r="A121" s="14" t="str">
        <f>IFERROR(__xludf.DUMMYFUNCTION("""COMPUTED_VALUE"""),"https://www.google.com/searchviewer/10?svid=CAwSHRIbCgNwdnESFENnMHZaeTh4TVhONVl6RnFlR2RzGAo")</f>
        <v>https://www.google.com/searchviewer/10?svid=CAwSHRIbCgNwdnESFENnMHZaeTh4TVhONVl6RnFlR2RzGAo</v>
      </c>
      <c r="B121" s="15"/>
      <c r="C121" s="14" t="str">
        <f>IFERROR(__xludf.DUMMYFUNCTION("""COMPUTED_VALUE"""),"google.com")</f>
        <v>google.com</v>
      </c>
      <c r="D121" s="15" t="str">
        <f>IFERROR(__xludf.DUMMYFUNCTION("""COMPUTED_VALUE"""),"OTHER")</f>
        <v>OTHER</v>
      </c>
      <c r="E121" s="15" t="str">
        <f>IFERROR(__xludf.DUMMYFUNCTION("""COMPUTED_VALUE"""),"OTHER")</f>
        <v>OTHER</v>
      </c>
      <c r="F121" s="15" t="str">
        <f>IFERROR(__xludf.DUMMYFUNCTION("""COMPUTED_VALUE"""),"Other")</f>
        <v>Other</v>
      </c>
      <c r="G121" s="15"/>
      <c r="H121" s="15" t="str">
        <f>IFERROR(__xludf.DUMMYFUNCTION("""COMPUTED_VALUE"""),"Unknown")</f>
        <v>Unknown</v>
      </c>
      <c r="I121" s="15">
        <f>IFERROR(__xludf.DUMMYFUNCTION("""COMPUTED_VALUE"""),1.0)</f>
        <v>1</v>
      </c>
      <c r="J121" s="15">
        <f>IFERROR(__xludf.DUMMYFUNCTION("""COMPUTED_VALUE"""),0.0)</f>
        <v>0</v>
      </c>
      <c r="K121" s="15">
        <f>IFERROR(__xludf.DUMMYFUNCTION("""COMPUTED_VALUE"""),0.0)</f>
        <v>0</v>
      </c>
    </row>
    <row r="122" ht="15.75" customHeight="1">
      <c r="A122" s="14" t="str">
        <f>IFERROR(__xludf.DUMMYFUNCTION("""COMPUTED_VALUE"""),"https://www.google.com/searchviewer/10?svid=CAwSHRIbCgNwdnESFENnMHZaeTh4TVhScVp6aHRjM0o2GAo")</f>
        <v>https://www.google.com/searchviewer/10?svid=CAwSHRIbCgNwdnESFENnMHZaeTh4TVhScVp6aHRjM0o2GAo</v>
      </c>
      <c r="B122" s="15"/>
      <c r="C122" s="14" t="str">
        <f>IFERROR(__xludf.DUMMYFUNCTION("""COMPUTED_VALUE"""),"google.com")</f>
        <v>google.com</v>
      </c>
      <c r="D122" s="15" t="str">
        <f>IFERROR(__xludf.DUMMYFUNCTION("""COMPUTED_VALUE"""),"OTHER")</f>
        <v>OTHER</v>
      </c>
      <c r="E122" s="15" t="str">
        <f>IFERROR(__xludf.DUMMYFUNCTION("""COMPUTED_VALUE"""),"OTHER")</f>
        <v>OTHER</v>
      </c>
      <c r="F122" s="15" t="str">
        <f>IFERROR(__xludf.DUMMYFUNCTION("""COMPUTED_VALUE"""),"Other")</f>
        <v>Other</v>
      </c>
      <c r="G122" s="15"/>
      <c r="H122" s="15" t="str">
        <f>IFERROR(__xludf.DUMMYFUNCTION("""COMPUTED_VALUE"""),"Unknown")</f>
        <v>Unknown</v>
      </c>
      <c r="I122" s="15">
        <f>IFERROR(__xludf.DUMMYFUNCTION("""COMPUTED_VALUE"""),1.0)</f>
        <v>1</v>
      </c>
      <c r="J122" s="15">
        <f>IFERROR(__xludf.DUMMYFUNCTION("""COMPUTED_VALUE"""),0.0)</f>
        <v>0</v>
      </c>
      <c r="K122" s="15">
        <f>IFERROR(__xludf.DUMMYFUNCTION("""COMPUTED_VALUE"""),0.0)</f>
        <v>0</v>
      </c>
    </row>
    <row r="123" ht="15.75" customHeight="1">
      <c r="A123" s="14" t="str">
        <f>IFERROR(__xludf.DUMMYFUNCTION("""COMPUTED_VALUE"""),"https://www.google.com/searchviewer/10?svid=CAwSHRIbCgNwdnESFENnMHZaeTh4TVhaa05teDNjVGQzGAo")</f>
        <v>https://www.google.com/searchviewer/10?svid=CAwSHRIbCgNwdnESFENnMHZaeTh4TVhaa05teDNjVGQzGAo</v>
      </c>
      <c r="B123" s="15"/>
      <c r="C123" s="14" t="str">
        <f>IFERROR(__xludf.DUMMYFUNCTION("""COMPUTED_VALUE"""),"google.com")</f>
        <v>google.com</v>
      </c>
      <c r="D123" s="15" t="str">
        <f>IFERROR(__xludf.DUMMYFUNCTION("""COMPUTED_VALUE"""),"OTHER")</f>
        <v>OTHER</v>
      </c>
      <c r="E123" s="15" t="str">
        <f>IFERROR(__xludf.DUMMYFUNCTION("""COMPUTED_VALUE"""),"OTHER")</f>
        <v>OTHER</v>
      </c>
      <c r="F123" s="15" t="str">
        <f>IFERROR(__xludf.DUMMYFUNCTION("""COMPUTED_VALUE"""),"Other")</f>
        <v>Other</v>
      </c>
      <c r="G123" s="15"/>
      <c r="H123" s="15" t="str">
        <f>IFERROR(__xludf.DUMMYFUNCTION("""COMPUTED_VALUE"""),"Unknown")</f>
        <v>Unknown</v>
      </c>
      <c r="I123" s="15">
        <f>IFERROR(__xludf.DUMMYFUNCTION("""COMPUTED_VALUE"""),1.0)</f>
        <v>1</v>
      </c>
      <c r="J123" s="15">
        <f>IFERROR(__xludf.DUMMYFUNCTION("""COMPUTED_VALUE"""),0.0)</f>
        <v>0</v>
      </c>
      <c r="K123" s="15">
        <f>IFERROR(__xludf.DUMMYFUNCTION("""COMPUTED_VALUE"""),0.0)</f>
        <v>0</v>
      </c>
    </row>
    <row r="124" ht="15.75" customHeight="1">
      <c r="A124" s="14" t="str">
        <f>IFERROR(__xludf.DUMMYFUNCTION("""COMPUTED_VALUE"""),"https://www.google.com/searchviewer/10?svid=CAwSHRIbCgNwdnESFENnMHZaeTh4TVhkM2VqSnpjMmh3GAo")</f>
        <v>https://www.google.com/searchviewer/10?svid=CAwSHRIbCgNwdnESFENnMHZaeTh4TVhkM2VqSnpjMmh3GAo</v>
      </c>
      <c r="B124" s="15"/>
      <c r="C124" s="14" t="str">
        <f>IFERROR(__xludf.DUMMYFUNCTION("""COMPUTED_VALUE"""),"google.com")</f>
        <v>google.com</v>
      </c>
      <c r="D124" s="15" t="str">
        <f>IFERROR(__xludf.DUMMYFUNCTION("""COMPUTED_VALUE"""),"OTHER")</f>
        <v>OTHER</v>
      </c>
      <c r="E124" s="15" t="str">
        <f>IFERROR(__xludf.DUMMYFUNCTION("""COMPUTED_VALUE"""),"OTHER")</f>
        <v>OTHER</v>
      </c>
      <c r="F124" s="15" t="str">
        <f>IFERROR(__xludf.DUMMYFUNCTION("""COMPUTED_VALUE"""),"Other")</f>
        <v>Other</v>
      </c>
      <c r="G124" s="15"/>
      <c r="H124" s="15" t="str">
        <f>IFERROR(__xludf.DUMMYFUNCTION("""COMPUTED_VALUE"""),"Unknown")</f>
        <v>Unknown</v>
      </c>
      <c r="I124" s="15">
        <f>IFERROR(__xludf.DUMMYFUNCTION("""COMPUTED_VALUE"""),1.0)</f>
        <v>1</v>
      </c>
      <c r="J124" s="15">
        <f>IFERROR(__xludf.DUMMYFUNCTION("""COMPUTED_VALUE"""),0.0)</f>
        <v>0</v>
      </c>
      <c r="K124" s="15">
        <f>IFERROR(__xludf.DUMMYFUNCTION("""COMPUTED_VALUE"""),0.0)</f>
        <v>0</v>
      </c>
    </row>
    <row r="125" ht="15.75" customHeight="1">
      <c r="A125" s="14" t="str">
        <f>IFERROR(__xludf.DUMMYFUNCTION("""COMPUTED_VALUE"""),"https://www.google.com/searchviewer/10?svid=CAwSHRIbCgNwdnESFENnMHZaeTh4TVhkcU5XUndiVEUxGAo")</f>
        <v>https://www.google.com/searchviewer/10?svid=CAwSHRIbCgNwdnESFENnMHZaeTh4TVhkcU5XUndiVEUxGAo</v>
      </c>
      <c r="B125" s="15"/>
      <c r="C125" s="14" t="str">
        <f>IFERROR(__xludf.DUMMYFUNCTION("""COMPUTED_VALUE"""),"google.com")</f>
        <v>google.com</v>
      </c>
      <c r="D125" s="15" t="str">
        <f>IFERROR(__xludf.DUMMYFUNCTION("""COMPUTED_VALUE"""),"OTHER")</f>
        <v>OTHER</v>
      </c>
      <c r="E125" s="15" t="str">
        <f>IFERROR(__xludf.DUMMYFUNCTION("""COMPUTED_VALUE"""),"OTHER")</f>
        <v>OTHER</v>
      </c>
      <c r="F125" s="15" t="str">
        <f>IFERROR(__xludf.DUMMYFUNCTION("""COMPUTED_VALUE"""),"Other")</f>
        <v>Other</v>
      </c>
      <c r="G125" s="15"/>
      <c r="H125" s="15" t="str">
        <f>IFERROR(__xludf.DUMMYFUNCTION("""COMPUTED_VALUE"""),"Unknown")</f>
        <v>Unknown</v>
      </c>
      <c r="I125" s="15">
        <f>IFERROR(__xludf.DUMMYFUNCTION("""COMPUTED_VALUE"""),1.0)</f>
        <v>1</v>
      </c>
      <c r="J125" s="15">
        <f>IFERROR(__xludf.DUMMYFUNCTION("""COMPUTED_VALUE"""),0.0)</f>
        <v>0</v>
      </c>
      <c r="K125" s="15">
        <f>IFERROR(__xludf.DUMMYFUNCTION("""COMPUTED_VALUE"""),0.0)</f>
        <v>0</v>
      </c>
    </row>
    <row r="126" ht="15.75" customHeight="1">
      <c r="A126" s="14" t="str">
        <f>IFERROR(__xludf.DUMMYFUNCTION("""COMPUTED_VALUE"""),"https://hallam.agency/contact/")</f>
        <v>https://hallam.agency/contact/</v>
      </c>
      <c r="B126" s="15" t="str">
        <f>IFERROR(__xludf.DUMMYFUNCTION("""COMPUTED_VALUE"""),"Get in touch | Hallam")</f>
        <v>Get in touch | Hallam</v>
      </c>
      <c r="C126" s="15" t="str">
        <f>IFERROR(__xludf.DUMMYFUNCTION("""COMPUTED_VALUE"""),"hallam.agency")</f>
        <v>hallam.agency</v>
      </c>
      <c r="D126" s="15" t="str">
        <f>IFERROR(__xludf.DUMMYFUNCTION("""COMPUTED_VALUE"""),"OTHER")</f>
        <v>OTHER</v>
      </c>
      <c r="E126" s="15" t="str">
        <f>IFERROR(__xludf.DUMMYFUNCTION("""COMPUTED_VALUE"""),"COMPETITOR")</f>
        <v>COMPETITOR</v>
      </c>
      <c r="F126" s="15" t="str">
        <f>IFERROR(__xludf.DUMMYFUNCTION("""COMPUTED_VALUE"""),"Other")</f>
        <v>Other</v>
      </c>
      <c r="G126" s="15" t="b">
        <f>IFERROR(__xludf.DUMMYFUNCTION("""COMPUTED_VALUE"""),FALSE)</f>
        <v>0</v>
      </c>
      <c r="H126" s="15" t="str">
        <f>IFERROR(__xludf.DUMMYFUNCTION("""COMPUTED_VALUE"""),"Hallam")</f>
        <v>Hallam</v>
      </c>
      <c r="I126" s="15">
        <f>IFERROR(__xludf.DUMMYFUNCTION("""COMPUTED_VALUE"""),1.0)</f>
        <v>1</v>
      </c>
      <c r="J126" s="15">
        <f>IFERROR(__xludf.DUMMYFUNCTION("""COMPUTED_VALUE"""),0.0)</f>
        <v>0</v>
      </c>
      <c r="K126" s="15">
        <f>IFERROR(__xludf.DUMMYFUNCTION("""COMPUTED_VALUE"""),1.0)</f>
        <v>1</v>
      </c>
    </row>
    <row r="127" ht="15.75" customHeight="1">
      <c r="A127" s="14" t="str">
        <f>IFERROR(__xludf.DUMMYFUNCTION("""COMPUTED_VALUE"""),"https://www.happyhourproductions.co.uk/insights/top-tv-advertising-agencies-uk")</f>
        <v>https://www.happyhourproductions.co.uk/insights/top-tv-advertising-agencies-uk</v>
      </c>
      <c r="B127" s="15" t="str">
        <f>IFERROR(__xludf.DUMMYFUNCTION("""COMPUTED_VALUE"""),"Top 8 TV Advertising Agencies in the UK (2026) | Happy Hour Productions")</f>
        <v>Top 8 TV Advertising Agencies in the UK (2026) | Happy Hour Productions</v>
      </c>
      <c r="C127" s="14" t="str">
        <f>IFERROR(__xludf.DUMMYFUNCTION("""COMPUTED_VALUE"""),"happyhourproductions.co.uk")</f>
        <v>happyhourproductions.co.uk</v>
      </c>
      <c r="D127" s="15" t="str">
        <f>IFERROR(__xludf.DUMMYFUNCTION("""COMPUTED_VALUE"""),"OTHER")</f>
        <v>OTHER</v>
      </c>
      <c r="E127" s="15" t="str">
        <f>IFERROR(__xludf.DUMMYFUNCTION("""COMPUTED_VALUE"""),"CORPORATE")</f>
        <v>CORPORATE</v>
      </c>
      <c r="F127" s="15" t="str">
        <f>IFERROR(__xludf.DUMMYFUNCTION("""COMPUTED_VALUE"""),"Other")</f>
        <v>Other</v>
      </c>
      <c r="G127" s="15" t="b">
        <f>IFERROR(__xludf.DUMMYFUNCTION("""COMPUTED_VALUE"""),FALSE)</f>
        <v>0</v>
      </c>
      <c r="H127" s="15" t="str">
        <f>IFERROR(__xludf.DUMMYFUNCTION("""COMPUTED_VALUE"""),"Saatchi &amp; Saatchi, VCCP, BBH London, Mother London, AMV BBDO, Adam&amp;eveDDB, Found")</f>
        <v>Saatchi &amp; Saatchi, VCCP, BBH London, Mother London, AMV BBDO, Adam&amp;eveDDB, Found</v>
      </c>
      <c r="I127" s="15">
        <f>IFERROR(__xludf.DUMMYFUNCTION("""COMPUTED_VALUE"""),1.0)</f>
        <v>1</v>
      </c>
      <c r="J127" s="15">
        <f>IFERROR(__xludf.DUMMYFUNCTION("""COMPUTED_VALUE"""),0.0)</f>
        <v>0</v>
      </c>
      <c r="K127" s="15">
        <f>IFERROR(__xludf.DUMMYFUNCTION("""COMPUTED_VALUE"""),1.0)</f>
        <v>1</v>
      </c>
    </row>
    <row r="128" ht="15.75" customHeight="1">
      <c r="A128" s="14" t="str">
        <f>IFERROR(__xludf.DUMMYFUNCTION("""COMPUTED_VALUE"""),"https://www.havasmarket.co.uk/ad-technology-resale-partner/google-marketing-platform-sales-partner/")</f>
        <v>https://www.havasmarket.co.uk/ad-technology-resale-partner/google-marketing-platform-sales-partner/</v>
      </c>
      <c r="B128" s="15" t="str">
        <f>IFERROR(__xludf.DUMMYFUNCTION("""COMPUTED_VALUE"""),"Google Marketing Platform Sales Partner | Havas Market")</f>
        <v>Google Marketing Platform Sales Partner | Havas Market</v>
      </c>
      <c r="C128" s="14" t="str">
        <f>IFERROR(__xludf.DUMMYFUNCTION("""COMPUTED_VALUE"""),"havasmarket.co.uk")</f>
        <v>havasmarket.co.uk</v>
      </c>
      <c r="D128" s="15" t="str">
        <f>IFERROR(__xludf.DUMMYFUNCTION("""COMPUTED_VALUE"""),"OTHER")</f>
        <v>OTHER</v>
      </c>
      <c r="E128" s="15" t="str">
        <f>IFERROR(__xludf.DUMMYFUNCTION("""COMPUTED_VALUE"""),"COMPETITOR")</f>
        <v>COMPETITOR</v>
      </c>
      <c r="F128" s="15" t="str">
        <f>IFERROR(__xludf.DUMMYFUNCTION("""COMPUTED_VALUE"""),"Other")</f>
        <v>Other</v>
      </c>
      <c r="G128" s="15" t="b">
        <f>IFERROR(__xludf.DUMMYFUNCTION("""COMPUTED_VALUE"""),FALSE)</f>
        <v>0</v>
      </c>
      <c r="H128" s="15" t="str">
        <f>IFERROR(__xludf.DUMMYFUNCTION("""COMPUTED_VALUE"""),"Havas Market UK")</f>
        <v>Havas Market UK</v>
      </c>
      <c r="I128" s="15">
        <f>IFERROR(__xludf.DUMMYFUNCTION("""COMPUTED_VALUE"""),1.0)</f>
        <v>1</v>
      </c>
      <c r="J128" s="15">
        <f>IFERROR(__xludf.DUMMYFUNCTION("""COMPUTED_VALUE"""),0.0)</f>
        <v>0</v>
      </c>
      <c r="K128" s="15">
        <f>IFERROR(__xludf.DUMMYFUNCTION("""COMPUTED_VALUE"""),0.0)</f>
        <v>0</v>
      </c>
    </row>
    <row r="129" ht="15.75" customHeight="1">
      <c r="A129" s="14" t="str">
        <f>IFERROR(__xludf.DUMMYFUNCTION("""COMPUTED_VALUE"""),"https://helium42.com/blog/ai-consultancy-uk")</f>
        <v>https://helium42.com/blog/ai-consultancy-uk</v>
      </c>
      <c r="B129" s="15" t="str">
        <f>IFERROR(__xludf.DUMMYFUNCTION("""COMPUTED_VALUE"""),"AI Consultancy UK: Complete Guide to AI Services, Pricing, and Providers")</f>
        <v>AI Consultancy UK: Complete Guide to AI Services, Pricing, and Providers</v>
      </c>
      <c r="C129" s="14" t="str">
        <f>IFERROR(__xludf.DUMMYFUNCTION("""COMPUTED_VALUE"""),"helium42.com")</f>
        <v>helium42.com</v>
      </c>
      <c r="D129" s="15" t="str">
        <f>IFERROR(__xludf.DUMMYFUNCTION("""COMPUTED_VALUE"""),"OTHER")</f>
        <v>OTHER</v>
      </c>
      <c r="E129" s="15" t="str">
        <f>IFERROR(__xludf.DUMMYFUNCTION("""COMPUTED_VALUE"""),"CORPORATE")</f>
        <v>CORPORATE</v>
      </c>
      <c r="F129" s="15" t="str">
        <f>IFERROR(__xludf.DUMMYFUNCTION("""COMPUTED_VALUE"""),"Other")</f>
        <v>Other</v>
      </c>
      <c r="G129" s="15" t="b">
        <f>IFERROR(__xludf.DUMMYFUNCTION("""COMPUTED_VALUE"""),FALSE)</f>
        <v>0</v>
      </c>
      <c r="H129" s="15" t="str">
        <f>IFERROR(__xludf.DUMMYFUNCTION("""COMPUTED_VALUE"""),"Found, Momentum")</f>
        <v>Found, Momentum</v>
      </c>
      <c r="I129" s="15">
        <f>IFERROR(__xludf.DUMMYFUNCTION("""COMPUTED_VALUE"""),1.0)</f>
        <v>1</v>
      </c>
      <c r="J129" s="15">
        <f>IFERROR(__xludf.DUMMYFUNCTION("""COMPUTED_VALUE"""),0.0)</f>
        <v>0</v>
      </c>
      <c r="K129" s="15">
        <f>IFERROR(__xludf.DUMMYFUNCTION("""COMPUTED_VALUE"""),0.0)</f>
        <v>0</v>
      </c>
    </row>
    <row r="130" ht="15.75" customHeight="1">
      <c r="A130" s="14" t="str">
        <f>IFERROR(__xludf.DUMMYFUNCTION("""COMPUTED_VALUE"""),"https://ink-digital.co.uk/services/paid-media/display-advertising/")</f>
        <v>https://ink-digital.co.uk/services/paid-media/display-advertising/</v>
      </c>
      <c r="B130" s="15" t="str">
        <f>IFERROR(__xludf.DUMMYFUNCTION("""COMPUTED_VALUE"""),"Display Adverting Agency | Ink Digital")</f>
        <v>Display Adverting Agency | Ink Digital</v>
      </c>
      <c r="C130" s="14" t="str">
        <f>IFERROR(__xludf.DUMMYFUNCTION("""COMPUTED_VALUE"""),"ink-digital.co.uk")</f>
        <v>ink-digital.co.uk</v>
      </c>
      <c r="D130" s="15" t="str">
        <f>IFERROR(__xludf.DUMMYFUNCTION("""COMPUTED_VALUE"""),"OTHER")</f>
        <v>OTHER</v>
      </c>
      <c r="E130" s="15" t="str">
        <f>IFERROR(__xludf.DUMMYFUNCTION("""COMPUTED_VALUE"""),"CORPORATE")</f>
        <v>CORPORATE</v>
      </c>
      <c r="F130" s="15" t="str">
        <f>IFERROR(__xludf.DUMMYFUNCTION("""COMPUTED_VALUE"""),"Other")</f>
        <v>Other</v>
      </c>
      <c r="G130" s="15" t="b">
        <f>IFERROR(__xludf.DUMMYFUNCTION("""COMPUTED_VALUE"""),FALSE)</f>
        <v>0</v>
      </c>
      <c r="H130" s="15" t="str">
        <f>IFERROR(__xludf.DUMMYFUNCTION("""COMPUTED_VALUE"""),"Huge")</f>
        <v>Huge</v>
      </c>
      <c r="I130" s="15">
        <f>IFERROR(__xludf.DUMMYFUNCTION("""COMPUTED_VALUE"""),1.0)</f>
        <v>1</v>
      </c>
      <c r="J130" s="15">
        <f>IFERROR(__xludf.DUMMYFUNCTION("""COMPUTED_VALUE"""),0.0)</f>
        <v>0</v>
      </c>
      <c r="K130" s="15">
        <f>IFERROR(__xludf.DUMMYFUNCTION("""COMPUTED_VALUE"""),1.0)</f>
        <v>1</v>
      </c>
    </row>
    <row r="131" ht="15.75" customHeight="1">
      <c r="A131" s="14" t="str">
        <f>IFERROR(__xludf.DUMMYFUNCTION("""COMPUTED_VALUE"""),"https://www.jellyfish.com/en-gb/expertise/data/advanced-analytics-modeling/")</f>
        <v>https://www.jellyfish.com/en-gb/expertise/data/advanced-analytics-modeling/</v>
      </c>
      <c r="B131" s="15"/>
      <c r="C131" s="14" t="str">
        <f>IFERROR(__xludf.DUMMYFUNCTION("""COMPUTED_VALUE"""),"jellyfish.com")</f>
        <v>jellyfish.com</v>
      </c>
      <c r="D131" s="15" t="str">
        <f>IFERROR(__xludf.DUMMYFUNCTION("""COMPUTED_VALUE"""),"OTHER")</f>
        <v>OTHER</v>
      </c>
      <c r="E131" s="15" t="str">
        <f>IFERROR(__xludf.DUMMYFUNCTION("""COMPUTED_VALUE"""),"COMPETITOR")</f>
        <v>COMPETITOR</v>
      </c>
      <c r="F131" s="15" t="str">
        <f>IFERROR(__xludf.DUMMYFUNCTION("""COMPUTED_VALUE"""),"Other")</f>
        <v>Other</v>
      </c>
      <c r="G131" s="15"/>
      <c r="H131" s="15" t="str">
        <f>IFERROR(__xludf.DUMMYFUNCTION("""COMPUTED_VALUE"""),"Unknown")</f>
        <v>Unknown</v>
      </c>
      <c r="I131" s="15">
        <f>IFERROR(__xludf.DUMMYFUNCTION("""COMPUTED_VALUE"""),1.0)</f>
        <v>1</v>
      </c>
      <c r="J131" s="15">
        <f>IFERROR(__xludf.DUMMYFUNCTION("""COMPUTED_VALUE"""),0.0)</f>
        <v>0</v>
      </c>
      <c r="K131" s="15">
        <f>IFERROR(__xludf.DUMMYFUNCTION("""COMPUTED_VALUE"""),0.0)</f>
        <v>0</v>
      </c>
    </row>
    <row r="132" ht="15.75" customHeight="1">
      <c r="A132" s="14" t="str">
        <f>IFERROR(__xludf.DUMMYFUNCTION("""COMPUTED_VALUE"""),"https://www.journeyfurther.com/en-gb/solutions#:~:text=We%20reveal%20how%20your%20audience,Discovery%20is%20no%20longer%20linear.")</f>
        <v>https://www.journeyfurther.com/en-gb/solutions#:~:text=We%20reveal%20how%20your%20audience,Discovery%20is%20no%20longer%20linear.</v>
      </c>
      <c r="B132" s="15" t="str">
        <f>IFERROR(__xludf.DUMMYFUNCTION("""COMPUTED_VALUE"""),"The Discovery System | Journey Further UK")</f>
        <v>The Discovery System | Journey Further UK</v>
      </c>
      <c r="C132" s="14" t="str">
        <f>IFERROR(__xludf.DUMMYFUNCTION("""COMPUTED_VALUE"""),"journeyfurther.com")</f>
        <v>journeyfurther.com</v>
      </c>
      <c r="D132" s="15" t="str">
        <f>IFERROR(__xludf.DUMMYFUNCTION("""COMPUTED_VALUE"""),"OTHER")</f>
        <v>OTHER</v>
      </c>
      <c r="E132" s="15" t="str">
        <f>IFERROR(__xludf.DUMMYFUNCTION("""COMPUTED_VALUE"""),"COMPETITOR")</f>
        <v>COMPETITOR</v>
      </c>
      <c r="F132" s="15" t="str">
        <f>IFERROR(__xludf.DUMMYFUNCTION("""COMPUTED_VALUE"""),"Other")</f>
        <v>Other</v>
      </c>
      <c r="G132" s="15" t="b">
        <f>IFERROR(__xludf.DUMMYFUNCTION("""COMPUTED_VALUE"""),FALSE)</f>
        <v>0</v>
      </c>
      <c r="H132" s="15" t="str">
        <f>IFERROR(__xludf.DUMMYFUNCTION("""COMPUTED_VALUE"""),"Found, Momentum, Impression, Journey Further")</f>
        <v>Found, Momentum, Impression, Journey Further</v>
      </c>
      <c r="I132" s="15">
        <f>IFERROR(__xludf.DUMMYFUNCTION("""COMPUTED_VALUE"""),1.0)</f>
        <v>1</v>
      </c>
      <c r="J132" s="15">
        <f>IFERROR(__xludf.DUMMYFUNCTION("""COMPUTED_VALUE"""),0.0)</f>
        <v>0</v>
      </c>
      <c r="K132" s="15">
        <f>IFERROR(__xludf.DUMMYFUNCTION("""COMPUTED_VALUE"""),1.0)</f>
        <v>1</v>
      </c>
    </row>
    <row r="133" ht="15.75" customHeight="1">
      <c r="A133" s="14" t="str">
        <f>IFERROR(__xludf.DUMMYFUNCTION("""COMPUTED_VALUE"""),"https://learn-ai.io/articles/ai-readiness-for-uk-smes")</f>
        <v>https://learn-ai.io/articles/ai-readiness-for-uk-smes</v>
      </c>
      <c r="B133" s="15" t="str">
        <f>IFERROR(__xludf.DUMMYFUNCTION("""COMPUTED_VALUE"""),"AI Readiness for UK SMEs: A Self-Assessment Framework | Learn AI")</f>
        <v>AI Readiness for UK SMEs: A Self-Assessment Framework | Learn AI</v>
      </c>
      <c r="C133" s="14" t="str">
        <f>IFERROR(__xludf.DUMMYFUNCTION("""COMPUTED_VALUE"""),"learn-ai.io")</f>
        <v>learn-ai.io</v>
      </c>
      <c r="D133" s="15" t="str">
        <f>IFERROR(__xludf.DUMMYFUNCTION("""COMPUTED_VALUE"""),"OTHER")</f>
        <v>OTHER</v>
      </c>
      <c r="E133" s="15" t="str">
        <f>IFERROR(__xludf.DUMMYFUNCTION("""COMPUTED_VALUE"""),"CORPORATE")</f>
        <v>CORPORATE</v>
      </c>
      <c r="F133" s="15" t="str">
        <f>IFERROR(__xludf.DUMMYFUNCTION("""COMPUTED_VALUE"""),"Other")</f>
        <v>Other</v>
      </c>
      <c r="G133" s="15" t="b">
        <f>IFERROR(__xludf.DUMMYFUNCTION("""COMPUTED_VALUE"""),FALSE)</f>
        <v>0</v>
      </c>
      <c r="H133" s="15" t="str">
        <f>IFERROR(__xludf.DUMMYFUNCTION("""COMPUTED_VALUE"""),"Momentum")</f>
        <v>Momentum</v>
      </c>
      <c r="I133" s="15">
        <f>IFERROR(__xludf.DUMMYFUNCTION("""COMPUTED_VALUE"""),1.0)</f>
        <v>1</v>
      </c>
      <c r="J133" s="15">
        <f>IFERROR(__xludf.DUMMYFUNCTION("""COMPUTED_VALUE"""),0.0)</f>
        <v>0</v>
      </c>
      <c r="K133" s="15">
        <f>IFERROR(__xludf.DUMMYFUNCTION("""COMPUTED_VALUE"""),0.0)</f>
        <v>0</v>
      </c>
    </row>
    <row r="134" ht="15.75" customHeight="1">
      <c r="A134" s="14" t="str">
        <f>IFERROR(__xludf.DUMMYFUNCTION("""COMPUTED_VALUE"""),"https://www.lynchpin.com/about-us/")</f>
        <v>https://www.lynchpin.com/about-us/</v>
      </c>
      <c r="B134" s="15" t="str">
        <f>IFERROR(__xludf.DUMMYFUNCTION("""COMPUTED_VALUE"""),"About Us - Lynchpin - Independent analytics consultancy")</f>
        <v>About Us - Lynchpin - Independent analytics consultancy</v>
      </c>
      <c r="C134" s="14" t="str">
        <f>IFERROR(__xludf.DUMMYFUNCTION("""COMPUTED_VALUE"""),"lynchpin.com")</f>
        <v>lynchpin.com</v>
      </c>
      <c r="D134" s="15" t="str">
        <f>IFERROR(__xludf.DUMMYFUNCTION("""COMPUTED_VALUE"""),"OTHER")</f>
        <v>OTHER</v>
      </c>
      <c r="E134" s="15" t="str">
        <f>IFERROR(__xludf.DUMMYFUNCTION("""COMPUTED_VALUE"""),"CORPORATE")</f>
        <v>CORPORATE</v>
      </c>
      <c r="F134" s="15" t="str">
        <f>IFERROR(__xludf.DUMMYFUNCTION("""COMPUTED_VALUE"""),"Other")</f>
        <v>Other</v>
      </c>
      <c r="G134" s="15" t="b">
        <f>IFERROR(__xludf.DUMMYFUNCTION("""COMPUTED_VALUE"""),FALSE)</f>
        <v>0</v>
      </c>
      <c r="H134" s="15"/>
      <c r="I134" s="15">
        <f>IFERROR(__xludf.DUMMYFUNCTION("""COMPUTED_VALUE"""),1.0)</f>
        <v>1</v>
      </c>
      <c r="J134" s="15">
        <f>IFERROR(__xludf.DUMMYFUNCTION("""COMPUTED_VALUE"""),0.0)</f>
        <v>0</v>
      </c>
      <c r="K134" s="15">
        <f>IFERROR(__xludf.DUMMYFUNCTION("""COMPUTED_VALUE"""),1.0)</f>
        <v>1</v>
      </c>
    </row>
    <row r="135" ht="15.75" customHeight="1">
      <c r="A135" s="14" t="str">
        <f>IFERROR(__xludf.DUMMYFUNCTION("""COMPUTED_VALUE"""),"https://www.marketingiq.co.uk/about-simon-foster-mmm-consultant/")</f>
        <v>https://www.marketingiq.co.uk/about-simon-foster-mmm-consultant/</v>
      </c>
      <c r="B135" s="15" t="str">
        <f>IFERROR(__xludf.DUMMYFUNCTION("""COMPUTED_VALUE"""),"Simon Foster MMM consultant")</f>
        <v>Simon Foster MMM consultant</v>
      </c>
      <c r="C135" s="14" t="str">
        <f>IFERROR(__xludf.DUMMYFUNCTION("""COMPUTED_VALUE"""),"marketingiq.co.uk")</f>
        <v>marketingiq.co.uk</v>
      </c>
      <c r="D135" s="15" t="str">
        <f>IFERROR(__xludf.DUMMYFUNCTION("""COMPUTED_VALUE"""),"OTHER")</f>
        <v>OTHER</v>
      </c>
      <c r="E135" s="15" t="str">
        <f>IFERROR(__xludf.DUMMYFUNCTION("""COMPUTED_VALUE"""),"CORPORATE")</f>
        <v>CORPORATE</v>
      </c>
      <c r="F135" s="15" t="str">
        <f>IFERROR(__xludf.DUMMYFUNCTION("""COMPUTED_VALUE"""),"Other")</f>
        <v>Other</v>
      </c>
      <c r="G135" s="15" t="b">
        <f>IFERROR(__xludf.DUMMYFUNCTION("""COMPUTED_VALUE"""),FALSE)</f>
        <v>0</v>
      </c>
      <c r="H135" s="15" t="str">
        <f>IFERROR(__xludf.DUMMYFUNCTION("""COMPUTED_VALUE"""),"WPP, Omnicom")</f>
        <v>WPP, Omnicom</v>
      </c>
      <c r="I135" s="15">
        <f>IFERROR(__xludf.DUMMYFUNCTION("""COMPUTED_VALUE"""),1.0)</f>
        <v>1</v>
      </c>
      <c r="J135" s="15">
        <f>IFERROR(__xludf.DUMMYFUNCTION("""COMPUTED_VALUE"""),0.0)</f>
        <v>0</v>
      </c>
      <c r="K135" s="15">
        <f>IFERROR(__xludf.DUMMYFUNCTION("""COMPUTED_VALUE"""),1.0)</f>
        <v>1</v>
      </c>
    </row>
    <row r="136" ht="15.75" customHeight="1">
      <c r="A136" s="14" t="str">
        <f>IFERROR(__xludf.DUMMYFUNCTION("""COMPUTED_VALUE"""),"https://marketingplatform.google.com/about/partners/find-a-partner?category=206&amp;geo=united+kingdom&amp;q=&amp;region=EU")</f>
        <v>https://marketingplatform.google.com/about/partners/find-a-partner?category=206&amp;geo=united+kingdom&amp;q=&amp;region=EU</v>
      </c>
      <c r="B136" s="15"/>
      <c r="C136" s="14" t="str">
        <f>IFERROR(__xludf.DUMMYFUNCTION("""COMPUTED_VALUE"""),"google.com")</f>
        <v>google.com</v>
      </c>
      <c r="D136" s="15" t="str">
        <f>IFERROR(__xludf.DUMMYFUNCTION("""COMPUTED_VALUE"""),"OTHER")</f>
        <v>OTHER</v>
      </c>
      <c r="E136" s="15" t="str">
        <f>IFERROR(__xludf.DUMMYFUNCTION("""COMPUTED_VALUE"""),"OTHER")</f>
        <v>OTHER</v>
      </c>
      <c r="F136" s="15" t="str">
        <f>IFERROR(__xludf.DUMMYFUNCTION("""COMPUTED_VALUE"""),"Other")</f>
        <v>Other</v>
      </c>
      <c r="G136" s="15"/>
      <c r="H136" s="15" t="str">
        <f>IFERROR(__xludf.DUMMYFUNCTION("""COMPUTED_VALUE"""),"Unknown")</f>
        <v>Unknown</v>
      </c>
      <c r="I136" s="15">
        <f>IFERROR(__xludf.DUMMYFUNCTION("""COMPUTED_VALUE"""),1.0)</f>
        <v>1</v>
      </c>
      <c r="J136" s="15">
        <f>IFERROR(__xludf.DUMMYFUNCTION("""COMPUTED_VALUE"""),0.0)</f>
        <v>0</v>
      </c>
      <c r="K136" s="15">
        <f>IFERROR(__xludf.DUMMYFUNCTION("""COMPUTED_VALUE"""),3.0)</f>
        <v>3</v>
      </c>
    </row>
    <row r="137" ht="15.75" customHeight="1">
      <c r="A137" s="14" t="str">
        <f>IFERROR(__xludf.DUMMYFUNCTION("""COMPUTED_VALUE"""),"https://mass-analytics.com/mmm-solutions/mmm-consultancy/#:~:text=We%20work%20side%2Dby%2Dside%20with%20your%20teams%20to,into%20action%20and%20action%20into%20measurable%20growth.")</f>
        <v>https://mass-analytics.com/mmm-solutions/mmm-consultancy/#:~:text=We%20work%20side%2Dby%2Dside%20with%20your%20teams%20to,into%20action%20and%20action%20into%20measurable%20growth.</v>
      </c>
      <c r="B137" s="15" t="str">
        <f>IFERROR(__xludf.DUMMYFUNCTION("""COMPUTED_VALUE"""),"Marketing Mix Modeling Consultancy Services | MASS Analytics")</f>
        <v>Marketing Mix Modeling Consultancy Services | MASS Analytics</v>
      </c>
      <c r="C137" s="14" t="str">
        <f>IFERROR(__xludf.DUMMYFUNCTION("""COMPUTED_VALUE"""),"mass-analytics.com")</f>
        <v>mass-analytics.com</v>
      </c>
      <c r="D137" s="15" t="str">
        <f>IFERROR(__xludf.DUMMYFUNCTION("""COMPUTED_VALUE"""),"OTHER")</f>
        <v>OTHER</v>
      </c>
      <c r="E137" s="15" t="str">
        <f>IFERROR(__xludf.DUMMYFUNCTION("""COMPUTED_VALUE"""),"CORPORATE")</f>
        <v>CORPORATE</v>
      </c>
      <c r="F137" s="15" t="str">
        <f>IFERROR(__xludf.DUMMYFUNCTION("""COMPUTED_VALUE"""),"Other")</f>
        <v>Other</v>
      </c>
      <c r="G137" s="15" t="b">
        <f>IFERROR(__xludf.DUMMYFUNCTION("""COMPUTED_VALUE"""),FALSE)</f>
        <v>0</v>
      </c>
      <c r="H137" s="15"/>
      <c r="I137" s="15">
        <f>IFERROR(__xludf.DUMMYFUNCTION("""COMPUTED_VALUE"""),1.0)</f>
        <v>1</v>
      </c>
      <c r="J137" s="15">
        <f>IFERROR(__xludf.DUMMYFUNCTION("""COMPUTED_VALUE"""),0.0)</f>
        <v>0</v>
      </c>
      <c r="K137" s="15">
        <f>IFERROR(__xludf.DUMMYFUNCTION("""COMPUTED_VALUE"""),2.0)</f>
        <v>2</v>
      </c>
    </row>
    <row r="138" ht="15.75" customHeight="1">
      <c r="A138" s="14" t="str">
        <f>IFERROR(__xludf.DUMMYFUNCTION("""COMPUTED_VALUE"""),"https://www.measured.com/faq/top-11-best-media-mix-modeling-companies-software-for-2026/#:~:text=Rating%3A%20(4.1%2F5%20G2%2C%204.0%2F5%20Capterra)%20Best%20For%3A,Sources%20*%20ScanmarQED.%20*%20G2%20ScanmarQED%20Reviews.")</f>
        <v>https://www.measured.com/faq/top-11-best-media-mix-modeling-companies-software-for-2026/#:~:text=Rating%3A%20(4.1%2F5%20G2%2C%204.0%2F5%20Capterra)%20Best%20For%3A,Sources%20*%20ScanmarQED.%20*%20G2%20ScanmarQED%20Reviews.</v>
      </c>
      <c r="B138" s="15" t="str">
        <f>IFERROR(__xludf.DUMMYFUNCTION("""COMPUTED_VALUE"""),"Top 11 Best Media Mix Modeling Companies &amp;amp; Software for 2026 | Measured®")</f>
        <v>Top 11 Best Media Mix Modeling Companies &amp;amp; Software for 2026 | Measured®</v>
      </c>
      <c r="C138" s="14" t="str">
        <f>IFERROR(__xludf.DUMMYFUNCTION("""COMPUTED_VALUE"""),"measured.com")</f>
        <v>measured.com</v>
      </c>
      <c r="D138" s="15" t="str">
        <f>IFERROR(__xludf.DUMMYFUNCTION("""COMPUTED_VALUE"""),"OTHER")</f>
        <v>OTHER</v>
      </c>
      <c r="E138" s="15" t="str">
        <f>IFERROR(__xludf.DUMMYFUNCTION("""COMPUTED_VALUE"""),"COMPETITOR")</f>
        <v>COMPETITOR</v>
      </c>
      <c r="F138" s="15" t="str">
        <f>IFERROR(__xludf.DUMMYFUNCTION("""COMPUTED_VALUE"""),"Other")</f>
        <v>Other</v>
      </c>
      <c r="G138" s="15" t="b">
        <f>IFERROR(__xludf.DUMMYFUNCTION("""COMPUTED_VALUE"""),FALSE)</f>
        <v>0</v>
      </c>
      <c r="H138" s="15" t="str">
        <f>IFERROR(__xludf.DUMMYFUNCTION("""COMPUTED_VALUE"""),"Measured, Nielsen, Analytic Partners, Kantar, Neustar, Gain Theory, WPP, Recast, Haus, Rockerbox")</f>
        <v>Measured, Nielsen, Analytic Partners, Kantar, Neustar, Gain Theory, WPP, Recast, Haus, Rockerbox</v>
      </c>
      <c r="I138" s="15">
        <f>IFERROR(__xludf.DUMMYFUNCTION("""COMPUTED_VALUE"""),1.0)</f>
        <v>1</v>
      </c>
      <c r="J138" s="15">
        <f>IFERROR(__xludf.DUMMYFUNCTION("""COMPUTED_VALUE"""),0.0)</f>
        <v>0</v>
      </c>
      <c r="K138" s="15">
        <f>IFERROR(__xludf.DUMMYFUNCTION("""COMPUTED_VALUE"""),2.0)</f>
        <v>2</v>
      </c>
    </row>
    <row r="139" ht="15.75" customHeight="1">
      <c r="A139" s="14" t="str">
        <f>IFERROR(__xludf.DUMMYFUNCTION("""COMPUTED_VALUE"""),"https://mooreks.co.uk/annual-survey/")</f>
        <v>https://mooreks.co.uk/annual-survey/</v>
      </c>
      <c r="B139" s="15" t="str">
        <f>IFERROR(__xludf.DUMMYFUNCTION("""COMPUTED_VALUE"""),"Moore Kingston Smith's Annual Survey – Moore Kingston Smith")</f>
        <v>Moore Kingston Smith's Annual Survey – Moore Kingston Smith</v>
      </c>
      <c r="C139" s="14" t="str">
        <f>IFERROR(__xludf.DUMMYFUNCTION("""COMPUTED_VALUE"""),"mooreks.co.uk")</f>
        <v>mooreks.co.uk</v>
      </c>
      <c r="D139" s="15" t="str">
        <f>IFERROR(__xludf.DUMMYFUNCTION("""COMPUTED_VALUE"""),"OTHER")</f>
        <v>OTHER</v>
      </c>
      <c r="E139" s="15" t="str">
        <f>IFERROR(__xludf.DUMMYFUNCTION("""COMPUTED_VALUE"""),"CORPORATE")</f>
        <v>CORPORATE</v>
      </c>
      <c r="F139" s="15" t="str">
        <f>IFERROR(__xludf.DUMMYFUNCTION("""COMPUTED_VALUE"""),"Other")</f>
        <v>Other</v>
      </c>
      <c r="G139" s="15" t="b">
        <f>IFERROR(__xludf.DUMMYFUNCTION("""COMPUTED_VALUE"""),FALSE)</f>
        <v>0</v>
      </c>
      <c r="H139" s="15"/>
      <c r="I139" s="15">
        <f>IFERROR(__xludf.DUMMYFUNCTION("""COMPUTED_VALUE"""),1.0)</f>
        <v>1</v>
      </c>
      <c r="J139" s="15">
        <f>IFERROR(__xludf.DUMMYFUNCTION("""COMPUTED_VALUE"""),0.0)</f>
        <v>0</v>
      </c>
      <c r="K139" s="15">
        <f>IFERROR(__xludf.DUMMYFUNCTION("""COMPUTED_VALUE"""),0.0)</f>
        <v>0</v>
      </c>
    </row>
    <row r="140" ht="15.75" customHeight="1">
      <c r="A140" s="14" t="str">
        <f>IFERROR(__xludf.DUMMYFUNCTION("""COMPUTED_VALUE"""),"https://netpeak.co.uk/about/")</f>
        <v>https://netpeak.co.uk/about/</v>
      </c>
      <c r="B140" s="15" t="str">
        <f>IFERROR(__xludf.DUMMYFUNCTION("""COMPUTED_VALUE"""),"About Netpeak Agency UK | Since 2006")</f>
        <v>About Netpeak Agency UK | Since 2006</v>
      </c>
      <c r="C140" s="14" t="str">
        <f>IFERROR(__xludf.DUMMYFUNCTION("""COMPUTED_VALUE"""),"netpeak.co.uk")</f>
        <v>netpeak.co.uk</v>
      </c>
      <c r="D140" s="15" t="str">
        <f>IFERROR(__xludf.DUMMYFUNCTION("""COMPUTED_VALUE"""),"OTHER")</f>
        <v>OTHER</v>
      </c>
      <c r="E140" s="15" t="str">
        <f>IFERROR(__xludf.DUMMYFUNCTION("""COMPUTED_VALUE"""),"CORPORATE")</f>
        <v>CORPORATE</v>
      </c>
      <c r="F140" s="15" t="str">
        <f>IFERROR(__xludf.DUMMYFUNCTION("""COMPUTED_VALUE"""),"Other")</f>
        <v>Other</v>
      </c>
      <c r="G140" s="15" t="b">
        <f>IFERROR(__xludf.DUMMYFUNCTION("""COMPUTED_VALUE"""),FALSE)</f>
        <v>0</v>
      </c>
      <c r="H140" s="15"/>
      <c r="I140" s="15">
        <f>IFERROR(__xludf.DUMMYFUNCTION("""COMPUTED_VALUE"""),1.0)</f>
        <v>1</v>
      </c>
      <c r="J140" s="15">
        <f>IFERROR(__xludf.DUMMYFUNCTION("""COMPUTED_VALUE"""),0.0)</f>
        <v>0</v>
      </c>
      <c r="K140" s="15">
        <f>IFERROR(__xludf.DUMMYFUNCTION("""COMPUTED_VALUE"""),1.0)</f>
        <v>1</v>
      </c>
    </row>
    <row r="141" ht="15.75" customHeight="1">
      <c r="A141" s="14" t="str">
        <f>IFERROR(__xludf.DUMMYFUNCTION("""COMPUTED_VALUE"""),"https://www.oneclub.org/awards/theoneshow/-agency/Droga5%20%5Bs%5D%20London/2025")</f>
        <v>https://www.oneclub.org/awards/theoneshow/-agency/Droga5%20%5Bs%5D%20London/2025</v>
      </c>
      <c r="B141" s="15"/>
      <c r="C141" s="14" t="str">
        <f>IFERROR(__xludf.DUMMYFUNCTION("""COMPUTED_VALUE"""),"oneclub.org")</f>
        <v>oneclub.org</v>
      </c>
      <c r="D141" s="15" t="str">
        <f>IFERROR(__xludf.DUMMYFUNCTION("""COMPUTED_VALUE"""),"OTHER")</f>
        <v>OTHER</v>
      </c>
      <c r="E141" s="15" t="str">
        <f>IFERROR(__xludf.DUMMYFUNCTION("""COMPUTED_VALUE"""),"OTHER")</f>
        <v>OTHER</v>
      </c>
      <c r="F141" s="15" t="str">
        <f>IFERROR(__xludf.DUMMYFUNCTION("""COMPUTED_VALUE"""),"Other")</f>
        <v>Other</v>
      </c>
      <c r="G141" s="15"/>
      <c r="H141" s="15" t="str">
        <f>IFERROR(__xludf.DUMMYFUNCTION("""COMPUTED_VALUE"""),"Unknown")</f>
        <v>Unknown</v>
      </c>
      <c r="I141" s="15">
        <f>IFERROR(__xludf.DUMMYFUNCTION("""COMPUTED_VALUE"""),1.0)</f>
        <v>1</v>
      </c>
      <c r="J141" s="15">
        <f>IFERROR(__xludf.DUMMYFUNCTION("""COMPUTED_VALUE"""),0.0)</f>
        <v>0</v>
      </c>
      <c r="K141" s="15">
        <f>IFERROR(__xludf.DUMMYFUNCTION("""COMPUTED_VALUE"""),0.0)</f>
        <v>0</v>
      </c>
    </row>
    <row r="142" ht="15.75" customHeight="1">
      <c r="A142" s="14" t="str">
        <f>IFERROR(__xludf.DUMMYFUNCTION("""COMPUTED_VALUE"""),"https://partnersdirectory.withgoogle.com/?_gl=1*1tz1h94*_ga*MTQ1NTE5OTU1NC4xNzQ3MTI3Mjk4*_ga_BXYLHC2HPB*czE3NDgzNDMwODckbzEkZzEkdDE3NDgzNDQ1MDgkajU0JGwwJGgwJGRDSkJuSnJEdU9naGhxWFM4MnVXYzJiQ3NUVnNSQ2tpMWZR&amp;authuser=0&amp;premier=true&amp;subid=uk-en-awhp-g-aw-m-pa"&amp;"r-w-hero-bgc%21o2")</f>
        <v>https://partnersdirectory.withgoogle.com/?_gl=1*1tz1h94*_ga*MTQ1NTE5OTU1NC4xNzQ3MTI3Mjk4*_ga_BXYLHC2HPB*czE3NDgzNDMwODckbzEkZzEkdDE3NDgzNDQ1MDgkajU0JGwwJGgwJGRDSkJuSnJEdU9naGhxWFM4MnVXYzJiQ3NUVnNSQ2tpMWZR&amp;authuser=0&amp;premier=true&amp;subid=uk-en-awhp-g-aw-m-par-w-hero-bgc%21o2</v>
      </c>
      <c r="B142" s="15"/>
      <c r="C142" s="14" t="str">
        <f>IFERROR(__xludf.DUMMYFUNCTION("""COMPUTED_VALUE"""),"withgoogle.com")</f>
        <v>withgoogle.com</v>
      </c>
      <c r="D142" s="15" t="str">
        <f>IFERROR(__xludf.DUMMYFUNCTION("""COMPUTED_VALUE"""),"OTHER")</f>
        <v>OTHER</v>
      </c>
      <c r="E142" s="15" t="str">
        <f>IFERROR(__xludf.DUMMYFUNCTION("""COMPUTED_VALUE"""),"OTHER")</f>
        <v>OTHER</v>
      </c>
      <c r="F142" s="15" t="str">
        <f>IFERROR(__xludf.DUMMYFUNCTION("""COMPUTED_VALUE"""),"Other")</f>
        <v>Other</v>
      </c>
      <c r="G142" s="15"/>
      <c r="H142" s="15" t="str">
        <f>IFERROR(__xludf.DUMMYFUNCTION("""COMPUTED_VALUE"""),"Unknown")</f>
        <v>Unknown</v>
      </c>
      <c r="I142" s="15">
        <f>IFERROR(__xludf.DUMMYFUNCTION("""COMPUTED_VALUE"""),1.0)</f>
        <v>1</v>
      </c>
      <c r="J142" s="15">
        <f>IFERROR(__xludf.DUMMYFUNCTION("""COMPUTED_VALUE"""),0.0)</f>
        <v>0</v>
      </c>
      <c r="K142" s="15">
        <f>IFERROR(__xludf.DUMMYFUNCTION("""COMPUTED_VALUE"""),0.0)</f>
        <v>0</v>
      </c>
    </row>
    <row r="143" ht="15.75" customHeight="1">
      <c r="A143" s="14" t="str">
        <f>IFERROR(__xludf.DUMMYFUNCTION("""COMPUTED_VALUE"""),"https://partnersdirectory.withgoogle.com/?authuser=0&amp;gad_source=1&amp;gclsrc=aw.ds&amp;premier=true&amp;subid=gb-en-ha-aw-sk-c-bau%21o3%7ECj0KCQjw99e4BhDiARIsAISE7P_AKK8sUW0wxb3wRcAycqgV_kOr1CAvwurP2Zh74h49W64Fdq6R2BkaAhBkEALw_wcB%7E169785216468%7Ekwd-6084504794%7E19"&amp;"691765913%7E698238993598")</f>
        <v>https://partnersdirectory.withgoogle.com/?authuser=0&amp;gad_source=1&amp;gclsrc=aw.ds&amp;premier=true&amp;subid=gb-en-ha-aw-sk-c-bau%21o3%7ECj0KCQjw99e4BhDiARIsAISE7P_AKK8sUW0wxb3wRcAycqgV_kOr1CAvwurP2Zh74h49W64Fdq6R2BkaAhBkEALw_wcB%7E169785216468%7Ekwd-6084504794%7E19691765913%7E698238993598</v>
      </c>
      <c r="B143" s="15"/>
      <c r="C143" s="14" t="str">
        <f>IFERROR(__xludf.DUMMYFUNCTION("""COMPUTED_VALUE"""),"withgoogle.com")</f>
        <v>withgoogle.com</v>
      </c>
      <c r="D143" s="15" t="str">
        <f>IFERROR(__xludf.DUMMYFUNCTION("""COMPUTED_VALUE"""),"OTHER")</f>
        <v>OTHER</v>
      </c>
      <c r="E143" s="15" t="str">
        <f>IFERROR(__xludf.DUMMYFUNCTION("""COMPUTED_VALUE"""),"CORPORATE")</f>
        <v>CORPORATE</v>
      </c>
      <c r="F143" s="15" t="str">
        <f>IFERROR(__xludf.DUMMYFUNCTION("""COMPUTED_VALUE"""),"Other")</f>
        <v>Other</v>
      </c>
      <c r="G143" s="15"/>
      <c r="H143" s="15" t="str">
        <f>IFERROR(__xludf.DUMMYFUNCTION("""COMPUTED_VALUE"""),"Unknown")</f>
        <v>Unknown</v>
      </c>
      <c r="I143" s="15">
        <f>IFERROR(__xludf.DUMMYFUNCTION("""COMPUTED_VALUE"""),1.0)</f>
        <v>1</v>
      </c>
      <c r="J143" s="15">
        <f>IFERROR(__xludf.DUMMYFUNCTION("""COMPUTED_VALUE"""),0.0)</f>
        <v>0</v>
      </c>
      <c r="K143" s="15">
        <f>IFERROR(__xludf.DUMMYFUNCTION("""COMPUTED_VALUE"""),0.0)</f>
        <v>0</v>
      </c>
    </row>
    <row r="144" ht="15.75" customHeight="1">
      <c r="A144" s="14" t="str">
        <f>IFERROR(__xludf.DUMMYFUNCTION("""COMPUTED_VALUE"""),"https://partnersdirectory.withgoogle.com/?authuser=0&amp;gad_source=1&amp;mcsubid=gb-en-max-mc-pr-c-max%21o3&amp;premier=true&amp;subid=uk-en-awhp-g-aw-m-par-w-hero-bgc%21o2")</f>
        <v>https://partnersdirectory.withgoogle.com/?authuser=0&amp;gad_source=1&amp;mcsubid=gb-en-max-mc-pr-c-max%21o3&amp;premier=true&amp;subid=uk-en-awhp-g-aw-m-par-w-hero-bgc%21o2</v>
      </c>
      <c r="B144" s="15"/>
      <c r="C144" s="14" t="str">
        <f>IFERROR(__xludf.DUMMYFUNCTION("""COMPUTED_VALUE"""),"withgoogle.com")</f>
        <v>withgoogle.com</v>
      </c>
      <c r="D144" s="15" t="str">
        <f>IFERROR(__xludf.DUMMYFUNCTION("""COMPUTED_VALUE"""),"OTHER")</f>
        <v>OTHER</v>
      </c>
      <c r="E144" s="15" t="str">
        <f>IFERROR(__xludf.DUMMYFUNCTION("""COMPUTED_VALUE"""),"CORPORATE")</f>
        <v>CORPORATE</v>
      </c>
      <c r="F144" s="15" t="str">
        <f>IFERROR(__xludf.DUMMYFUNCTION("""COMPUTED_VALUE"""),"Other")</f>
        <v>Other</v>
      </c>
      <c r="G144" s="15"/>
      <c r="H144" s="15" t="str">
        <f>IFERROR(__xludf.DUMMYFUNCTION("""COMPUTED_VALUE"""),"Unknown")</f>
        <v>Unknown</v>
      </c>
      <c r="I144" s="15">
        <f>IFERROR(__xludf.DUMMYFUNCTION("""COMPUTED_VALUE"""),1.0)</f>
        <v>1</v>
      </c>
      <c r="J144" s="15">
        <f>IFERROR(__xludf.DUMMYFUNCTION("""COMPUTED_VALUE"""),0.0)</f>
        <v>0</v>
      </c>
      <c r="K144" s="15">
        <f>IFERROR(__xludf.DUMMYFUNCTION("""COMPUTED_VALUE"""),0.0)</f>
        <v>0</v>
      </c>
    </row>
    <row r="145" ht="15.75" customHeight="1">
      <c r="A145" s="14" t="str">
        <f>IFERROR(__xludf.DUMMYFUNCTION("""COMPUTED_VALUE"""),"https://pitchsite.io/tools/uk-agency-benchmarks")</f>
        <v>https://pitchsite.io/tools/uk-agency-benchmarks</v>
      </c>
      <c r="B145" s="15" t="str">
        <f>IFERROR(__xludf.DUMMYFUNCTION("""COMPUTED_VALUE"""),"UK Agency Financial Benchmarks, Profit Margins, Revenue &amp;amp; Survival Rates | Pitchsite | Pitchsite")</f>
        <v>UK Agency Financial Benchmarks, Profit Margins, Revenue &amp;amp; Survival Rates | Pitchsite | Pitchsite</v>
      </c>
      <c r="C145" s="14" t="str">
        <f>IFERROR(__xludf.DUMMYFUNCTION("""COMPUTED_VALUE"""),"pitchsite.io")</f>
        <v>pitchsite.io</v>
      </c>
      <c r="D145" s="15" t="str">
        <f>IFERROR(__xludf.DUMMYFUNCTION("""COMPUTED_VALUE"""),"OTHER")</f>
        <v>OTHER</v>
      </c>
      <c r="E145" s="15" t="str">
        <f>IFERROR(__xludf.DUMMYFUNCTION("""COMPUTED_VALUE"""),"CORPORATE")</f>
        <v>CORPORATE</v>
      </c>
      <c r="F145" s="15" t="str">
        <f>IFERROR(__xludf.DUMMYFUNCTION("""COMPUTED_VALUE"""),"Other")</f>
        <v>Other</v>
      </c>
      <c r="G145" s="15" t="b">
        <f>IFERROR(__xludf.DUMMYFUNCTION("""COMPUTED_VALUE"""),FALSE)</f>
        <v>0</v>
      </c>
      <c r="H145" s="15"/>
      <c r="I145" s="15">
        <f>IFERROR(__xludf.DUMMYFUNCTION("""COMPUTED_VALUE"""),1.0)</f>
        <v>1</v>
      </c>
      <c r="J145" s="15">
        <f>IFERROR(__xludf.DUMMYFUNCTION("""COMPUTED_VALUE"""),0.0)</f>
        <v>0</v>
      </c>
      <c r="K145" s="15">
        <f>IFERROR(__xludf.DUMMYFUNCTION("""COMPUTED_VALUE"""),0.0)</f>
        <v>0</v>
      </c>
    </row>
    <row r="146" ht="15.75" customHeight="1">
      <c r="A146" s="14" t="str">
        <f>IFERROR(__xludf.DUMMYFUNCTION("""COMPUTED_VALUE"""),"https://pressat.co.uk/releases/london-agency-launches-ai-marketing-tool-for-smes-built-by-a-marketer-priced-from-19-a-month-ae1361779b0a2aeaed5797f786c22cad/")</f>
        <v>https://pressat.co.uk/releases/london-agency-launches-ai-marketing-tool-for-smes-built-by-a-marketer-priced-from-19-a-month-ae1361779b0a2aeaed5797f786c22cad/</v>
      </c>
      <c r="B146" s="15" t="str">
        <f>IFERROR(__xludf.DUMMYFUNCTION("""COMPUTED_VALUE"""),"London Agency Launches AI Marketing Tool for SMEs, Built by a Marketer, Priced From £19 a Month | Pressat")</f>
        <v>London Agency Launches AI Marketing Tool for SMEs, Built by a Marketer, Priced From £19 a Month | Pressat</v>
      </c>
      <c r="C146" s="14" t="str">
        <f>IFERROR(__xludf.DUMMYFUNCTION("""COMPUTED_VALUE"""),"pressat.co.uk")</f>
        <v>pressat.co.uk</v>
      </c>
      <c r="D146" s="15" t="str">
        <f>IFERROR(__xludf.DUMMYFUNCTION("""COMPUTED_VALUE"""),"OTHER")</f>
        <v>OTHER</v>
      </c>
      <c r="E146" s="15" t="str">
        <f>IFERROR(__xludf.DUMMYFUNCTION("""COMPUTED_VALUE"""),"CORPORATE")</f>
        <v>CORPORATE</v>
      </c>
      <c r="F146" s="15" t="str">
        <f>IFERROR(__xludf.DUMMYFUNCTION("""COMPUTED_VALUE"""),"Other")</f>
        <v>Other</v>
      </c>
      <c r="G146" s="15" t="b">
        <f>IFERROR(__xludf.DUMMYFUNCTION("""COMPUTED_VALUE"""),FALSE)</f>
        <v>0</v>
      </c>
      <c r="H146" s="15" t="str">
        <f>IFERROR(__xludf.DUMMYFUNCTION("""COMPUTED_VALUE"""),"Found")</f>
        <v>Found</v>
      </c>
      <c r="I146" s="15">
        <f>IFERROR(__xludf.DUMMYFUNCTION("""COMPUTED_VALUE"""),1.0)</f>
        <v>1</v>
      </c>
      <c r="J146" s="15">
        <f>IFERROR(__xludf.DUMMYFUNCTION("""COMPUTED_VALUE"""),0.0)</f>
        <v>0</v>
      </c>
      <c r="K146" s="15">
        <f>IFERROR(__xludf.DUMMYFUNCTION("""COMPUTED_VALUE"""),1.0)</f>
        <v>1</v>
      </c>
    </row>
    <row r="147" ht="15.75" customHeight="1">
      <c r="A147" s="14" t="str">
        <f>IFERROR(__xludf.DUMMYFUNCTION("""COMPUTED_VALUE"""),"https://www.prolificnorth.co.uk/news/hsl-completes-competitive-pitch-process-for-7-figure-media-account/")</f>
        <v>https://www.prolificnorth.co.uk/news/hsl-completes-competitive-pitch-process-for-7-figure-media-account/</v>
      </c>
      <c r="B147" s="15" t="str">
        <f>IFERROR(__xludf.DUMMYFUNCTION("""COMPUTED_VALUE"""),"HSL completes competitive pitch process for 7-figure media account - Prolific North")</f>
        <v>HSL completes competitive pitch process for 7-figure media account - Prolific North</v>
      </c>
      <c r="C147" s="14" t="str">
        <f>IFERROR(__xludf.DUMMYFUNCTION("""COMPUTED_VALUE"""),"prolificnorth.co.uk")</f>
        <v>prolificnorth.co.uk</v>
      </c>
      <c r="D147" s="15" t="str">
        <f>IFERROR(__xludf.DUMMYFUNCTION("""COMPUTED_VALUE"""),"OTHER")</f>
        <v>OTHER</v>
      </c>
      <c r="E147" s="15" t="str">
        <f>IFERROR(__xludf.DUMMYFUNCTION("""COMPUTED_VALUE"""),"EDITORIAL")</f>
        <v>EDITORIAL</v>
      </c>
      <c r="F147" s="15" t="str">
        <f>IFERROR(__xludf.DUMMYFUNCTION("""COMPUTED_VALUE"""),"Other")</f>
        <v>Other</v>
      </c>
      <c r="G147" s="15" t="b">
        <f>IFERROR(__xludf.DUMMYFUNCTION("""COMPUTED_VALUE"""),FALSE)</f>
        <v>0</v>
      </c>
      <c r="H147" s="15" t="str">
        <f>IFERROR(__xludf.DUMMYFUNCTION("""COMPUTED_VALUE"""),"Journey Further")</f>
        <v>Journey Further</v>
      </c>
      <c r="I147" s="15">
        <f>IFERROR(__xludf.DUMMYFUNCTION("""COMPUTED_VALUE"""),1.0)</f>
        <v>1</v>
      </c>
      <c r="J147" s="15">
        <f>IFERROR(__xludf.DUMMYFUNCTION("""COMPUTED_VALUE"""),0.0)</f>
        <v>0</v>
      </c>
      <c r="K147" s="15">
        <f>IFERROR(__xludf.DUMMYFUNCTION("""COMPUTED_VALUE"""),1.0)</f>
        <v>1</v>
      </c>
    </row>
    <row r="148" ht="15.75" customHeight="1">
      <c r="A148" s="14" t="str">
        <f>IFERROR(__xludf.DUMMYFUNCTION("""COMPUTED_VALUE"""),"https://proove.dacgroup.com/en-gb/services/measurement-optimization/incrementality/")</f>
        <v>https://proove.dacgroup.com/en-gb/services/measurement-optimization/incrementality/</v>
      </c>
      <c r="B148" s="15" t="str">
        <f>IFERROR(__xludf.DUMMYFUNCTION("""COMPUTED_VALUE"""),"Incrementality Testing | Proove by DAC")</f>
        <v>Incrementality Testing | Proove by DAC</v>
      </c>
      <c r="C148" s="14" t="str">
        <f>IFERROR(__xludf.DUMMYFUNCTION("""COMPUTED_VALUE"""),"dacgroup.com")</f>
        <v>dacgroup.com</v>
      </c>
      <c r="D148" s="15" t="str">
        <f>IFERROR(__xludf.DUMMYFUNCTION("""COMPUTED_VALUE"""),"OTHER")</f>
        <v>OTHER</v>
      </c>
      <c r="E148" s="15" t="str">
        <f>IFERROR(__xludf.DUMMYFUNCTION("""COMPUTED_VALUE"""),"CORPORATE")</f>
        <v>CORPORATE</v>
      </c>
      <c r="F148" s="15" t="str">
        <f>IFERROR(__xludf.DUMMYFUNCTION("""COMPUTED_VALUE"""),"Other")</f>
        <v>Other</v>
      </c>
      <c r="G148" s="15" t="b">
        <f>IFERROR(__xludf.DUMMYFUNCTION("""COMPUTED_VALUE"""),FALSE)</f>
        <v>0</v>
      </c>
      <c r="H148" s="15"/>
      <c r="I148" s="15">
        <f>IFERROR(__xludf.DUMMYFUNCTION("""COMPUTED_VALUE"""),1.0)</f>
        <v>1</v>
      </c>
      <c r="J148" s="15">
        <f>IFERROR(__xludf.DUMMYFUNCTION("""COMPUTED_VALUE"""),0.0)</f>
        <v>0</v>
      </c>
      <c r="K148" s="15">
        <f>IFERROR(__xludf.DUMMYFUNCTION("""COMPUTED_VALUE"""),0.0)</f>
        <v>0</v>
      </c>
    </row>
    <row r="149" ht="15.75" customHeight="1">
      <c r="A149" s="14" t="str">
        <f>IFERROR(__xludf.DUMMYFUNCTION("""COMPUTED_VALUE"""),"https://www.pushgroup.co.uk/ai-marketing-adoption-old")</f>
        <v>https://www.pushgroup.co.uk/ai-marketing-adoption-old</v>
      </c>
      <c r="B149" s="15" t="str">
        <f>IFERROR(__xludf.DUMMYFUNCTION("""COMPUTED_VALUE"""),"Ai Marketing Agency")</f>
        <v>Ai Marketing Agency</v>
      </c>
      <c r="C149" s="14" t="str">
        <f>IFERROR(__xludf.DUMMYFUNCTION("""COMPUTED_VALUE"""),"pushgroup.co.uk")</f>
        <v>pushgroup.co.uk</v>
      </c>
      <c r="D149" s="15" t="str">
        <f>IFERROR(__xludf.DUMMYFUNCTION("""COMPUTED_VALUE"""),"OTHER")</f>
        <v>OTHER</v>
      </c>
      <c r="E149" s="15" t="str">
        <f>IFERROR(__xludf.DUMMYFUNCTION("""COMPUTED_VALUE"""),"COMPETITOR")</f>
        <v>COMPETITOR</v>
      </c>
      <c r="F149" s="15" t="str">
        <f>IFERROR(__xludf.DUMMYFUNCTION("""COMPUTED_VALUE"""),"Other")</f>
        <v>Other</v>
      </c>
      <c r="G149" s="15" t="b">
        <f>IFERROR(__xludf.DUMMYFUNCTION("""COMPUTED_VALUE"""),FALSE)</f>
        <v>0</v>
      </c>
      <c r="H149" s="15" t="str">
        <f>IFERROR(__xludf.DUMMYFUNCTION("""COMPUTED_VALUE"""),"Push, Push Group")</f>
        <v>Push, Push Group</v>
      </c>
      <c r="I149" s="15">
        <f>IFERROR(__xludf.DUMMYFUNCTION("""COMPUTED_VALUE"""),1.0)</f>
        <v>1</v>
      </c>
      <c r="J149" s="15">
        <f>IFERROR(__xludf.DUMMYFUNCTION("""COMPUTED_VALUE"""),0.0)</f>
        <v>0</v>
      </c>
      <c r="K149" s="15">
        <f>IFERROR(__xludf.DUMMYFUNCTION("""COMPUTED_VALUE"""),0.0)</f>
        <v>0</v>
      </c>
    </row>
    <row r="150" ht="15.75" customHeight="1">
      <c r="A150" s="14" t="str">
        <f>IFERROR(__xludf.DUMMYFUNCTION("""COMPUTED_VALUE"""),"https://www.redcowmedia.co.uk/about-us/google-partners/")</f>
        <v>https://www.redcowmedia.co.uk/about-us/google-partners/</v>
      </c>
      <c r="B150" s="15" t="str">
        <f>IFERROR(__xludf.DUMMYFUNCTION("""COMPUTED_VALUE"""),"Google Partner Agency UK | Google Certified Agency Manchester | Red Cow Media")</f>
        <v>Google Partner Agency UK | Google Certified Agency Manchester | Red Cow Media</v>
      </c>
      <c r="C150" s="14" t="str">
        <f>IFERROR(__xludf.DUMMYFUNCTION("""COMPUTED_VALUE"""),"redcowmedia.co.uk")</f>
        <v>redcowmedia.co.uk</v>
      </c>
      <c r="D150" s="15" t="str">
        <f>IFERROR(__xludf.DUMMYFUNCTION("""COMPUTED_VALUE"""),"OTHER")</f>
        <v>OTHER</v>
      </c>
      <c r="E150" s="15" t="str">
        <f>IFERROR(__xludf.DUMMYFUNCTION("""COMPUTED_VALUE"""),"CORPORATE")</f>
        <v>CORPORATE</v>
      </c>
      <c r="F150" s="15" t="str">
        <f>IFERROR(__xludf.DUMMYFUNCTION("""COMPUTED_VALUE"""),"Other")</f>
        <v>Other</v>
      </c>
      <c r="G150" s="15" t="b">
        <f>IFERROR(__xludf.DUMMYFUNCTION("""COMPUTED_VALUE"""),FALSE)</f>
        <v>0</v>
      </c>
      <c r="H150" s="15"/>
      <c r="I150" s="15">
        <f>IFERROR(__xludf.DUMMYFUNCTION("""COMPUTED_VALUE"""),1.0)</f>
        <v>1</v>
      </c>
      <c r="J150" s="15">
        <f>IFERROR(__xludf.DUMMYFUNCTION("""COMPUTED_VALUE"""),0.0)</f>
        <v>0</v>
      </c>
      <c r="K150" s="15">
        <f>IFERROR(__xludf.DUMMYFUNCTION("""COMPUTED_VALUE"""),0.0)</f>
        <v>0</v>
      </c>
    </row>
    <row r="151" ht="15.75" customHeight="1">
      <c r="A151" s="14" t="str">
        <f>IFERROR(__xludf.DUMMYFUNCTION("""COMPUTED_VALUE"""),"https://www.scanmarqed.com/marketing-mix-modeling#:~:text=Fully%20serviced%2C%20cooperative%2C%20or%20fully%20in%2Dhouse%2C%20the,certified%20and%20GDPR%20compliant.%20Connect%20your%20tools.")</f>
        <v>https://www.scanmarqed.com/marketing-mix-modeling#:~:text=Fully%20serviced%2C%20cooperative%2C%20or%20fully%20in%2Dhouse%2C%20the,certified%20and%20GDPR%20compliant.%20Connect%20your%20tools.</v>
      </c>
      <c r="B151" s="15" t="str">
        <f>IFERROR(__xludf.DUMMYFUNCTION("""COMPUTED_VALUE"""),"Marketing mix modeling and planning: build better media mix models")</f>
        <v>Marketing mix modeling and planning: build better media mix models</v>
      </c>
      <c r="C151" s="14" t="str">
        <f>IFERROR(__xludf.DUMMYFUNCTION("""COMPUTED_VALUE"""),"scanmarqed.com")</f>
        <v>scanmarqed.com</v>
      </c>
      <c r="D151" s="15" t="str">
        <f>IFERROR(__xludf.DUMMYFUNCTION("""COMPUTED_VALUE"""),"OTHER")</f>
        <v>OTHER</v>
      </c>
      <c r="E151" s="15" t="str">
        <f>IFERROR(__xludf.DUMMYFUNCTION("""COMPUTED_VALUE"""),"OTHER")</f>
        <v>OTHER</v>
      </c>
      <c r="F151" s="15" t="str">
        <f>IFERROR(__xludf.DUMMYFUNCTION("""COMPUTED_VALUE"""),"Other")</f>
        <v>Other</v>
      </c>
      <c r="G151" s="15" t="b">
        <f>IFERROR(__xludf.DUMMYFUNCTION("""COMPUTED_VALUE"""),FALSE)</f>
        <v>0</v>
      </c>
      <c r="H151" s="15" t="str">
        <f>IFERROR(__xludf.DUMMYFUNCTION("""COMPUTED_VALUE"""),"WPP")</f>
        <v>WPP</v>
      </c>
      <c r="I151" s="15">
        <f>IFERROR(__xludf.DUMMYFUNCTION("""COMPUTED_VALUE"""),1.0)</f>
        <v>1</v>
      </c>
      <c r="J151" s="15">
        <f>IFERROR(__xludf.DUMMYFUNCTION("""COMPUTED_VALUE"""),0.0)</f>
        <v>0</v>
      </c>
      <c r="K151" s="15">
        <f>IFERROR(__xludf.DUMMYFUNCTION("""COMPUTED_VALUE"""),2.0)</f>
        <v>2</v>
      </c>
    </row>
    <row r="152" ht="15.75" customHeight="1">
      <c r="A152" s="14" t="str">
        <f>IFERROR(__xludf.DUMMYFUNCTION("""COMPUTED_VALUE"""),"https://scopicstudios.com/blog/first-party-data-adoption-statistics-every-marketer-must-know/")</f>
        <v>https://scopicstudios.com/blog/first-party-data-adoption-statistics-every-marketer-must-know/</v>
      </c>
      <c r="B152" s="15" t="str">
        <f>IFERROR(__xludf.DUMMYFUNCTION("""COMPUTED_VALUE"""),"First-Party Data Strategies: Key Stats for Marketers in 2026")</f>
        <v>First-Party Data Strategies: Key Stats for Marketers in 2026</v>
      </c>
      <c r="C152" s="14" t="str">
        <f>IFERROR(__xludf.DUMMYFUNCTION("""COMPUTED_VALUE"""),"scopicstudios.com")</f>
        <v>scopicstudios.com</v>
      </c>
      <c r="D152" s="15" t="str">
        <f>IFERROR(__xludf.DUMMYFUNCTION("""COMPUTED_VALUE"""),"OTHER")</f>
        <v>OTHER</v>
      </c>
      <c r="E152" s="15" t="str">
        <f>IFERROR(__xludf.DUMMYFUNCTION("""COMPUTED_VALUE"""),"CORPORATE")</f>
        <v>CORPORATE</v>
      </c>
      <c r="F152" s="15" t="str">
        <f>IFERROR(__xludf.DUMMYFUNCTION("""COMPUTED_VALUE"""),"Other")</f>
        <v>Other</v>
      </c>
      <c r="G152" s="15" t="b">
        <f>IFERROR(__xludf.DUMMYFUNCTION("""COMPUTED_VALUE"""),FALSE)</f>
        <v>0</v>
      </c>
      <c r="H152" s="15" t="str">
        <f>IFERROR(__xludf.DUMMYFUNCTION("""COMPUTED_VALUE"""),"Epsilon, NoGood, Found")</f>
        <v>Epsilon, NoGood, Found</v>
      </c>
      <c r="I152" s="15">
        <f>IFERROR(__xludf.DUMMYFUNCTION("""COMPUTED_VALUE"""),1.0)</f>
        <v>1</v>
      </c>
      <c r="J152" s="15">
        <f>IFERROR(__xludf.DUMMYFUNCTION("""COMPUTED_VALUE"""),0.0)</f>
        <v>0</v>
      </c>
      <c r="K152" s="15">
        <f>IFERROR(__xludf.DUMMYFUNCTION("""COMPUTED_VALUE"""),0.0)</f>
        <v>0</v>
      </c>
    </row>
    <row r="153" ht="15.75" customHeight="1">
      <c r="A153" s="14" t="str">
        <f>IFERROR(__xludf.DUMMYFUNCTION("""COMPUTED_VALUE"""),"https://www.semfirms.com/uk/london/display-advertising-firms")</f>
        <v>https://www.semfirms.com/uk/london/display-advertising-firms</v>
      </c>
      <c r="B153" s="15" t="str">
        <f>IFERROR(__xludf.DUMMYFUNCTION("""COMPUTED_VALUE"""),"Top Display Advertising Firms in London, United Kingdom | SEM Firms")</f>
        <v>Top Display Advertising Firms in London, United Kingdom | SEM Firms</v>
      </c>
      <c r="C153" s="14" t="str">
        <f>IFERROR(__xludf.DUMMYFUNCTION("""COMPUTED_VALUE"""),"semfirms.com")</f>
        <v>semfirms.com</v>
      </c>
      <c r="D153" s="15" t="str">
        <f>IFERROR(__xludf.DUMMYFUNCTION("""COMPUTED_VALUE"""),"OTHER")</f>
        <v>OTHER</v>
      </c>
      <c r="E153" s="15" t="str">
        <f>IFERROR(__xludf.DUMMYFUNCTION("""COMPUTED_VALUE"""),"REFERENCE")</f>
        <v>REFERENCE</v>
      </c>
      <c r="F153" s="15" t="str">
        <f>IFERROR(__xludf.DUMMYFUNCTION("""COMPUTED_VALUE"""),"Other")</f>
        <v>Other</v>
      </c>
      <c r="G153" s="15" t="b">
        <f>IFERROR(__xludf.DUMMYFUNCTION("""COMPUTED_VALUE"""),FALSE)</f>
        <v>0</v>
      </c>
      <c r="H153" s="15" t="str">
        <f>IFERROR(__xludf.DUMMYFUNCTION("""COMPUTED_VALUE"""),"Bird Marketing")</f>
        <v>Bird Marketing</v>
      </c>
      <c r="I153" s="15">
        <f>IFERROR(__xludf.DUMMYFUNCTION("""COMPUTED_VALUE"""),1.0)</f>
        <v>1</v>
      </c>
      <c r="J153" s="15">
        <f>IFERROR(__xludf.DUMMYFUNCTION("""COMPUTED_VALUE"""),0.0)</f>
        <v>0</v>
      </c>
      <c r="K153" s="15">
        <f>IFERROR(__xludf.DUMMYFUNCTION("""COMPUTED_VALUE"""),0.0)</f>
        <v>0</v>
      </c>
    </row>
    <row r="154" ht="15.75" customHeight="1">
      <c r="A154" s="14" t="str">
        <f>IFERROR(__xludf.DUMMYFUNCTION("""COMPUTED_VALUE"""),"https://www.sortlist.co.uk/s/paid-media/united-kingdom-gb?page=4")</f>
        <v>https://www.sortlist.co.uk/s/paid-media/united-kingdom-gb?page=4</v>
      </c>
      <c r="B154" s="15"/>
      <c r="C154" s="14" t="str">
        <f>IFERROR(__xludf.DUMMYFUNCTION("""COMPUTED_VALUE"""),"sortlist.co.uk")</f>
        <v>sortlist.co.uk</v>
      </c>
      <c r="D154" s="15" t="str">
        <f>IFERROR(__xludf.DUMMYFUNCTION("""COMPUTED_VALUE"""),"OTHER")</f>
        <v>OTHER</v>
      </c>
      <c r="E154" s="15" t="str">
        <f>IFERROR(__xludf.DUMMYFUNCTION("""COMPUTED_VALUE"""),"OTHER")</f>
        <v>OTHER</v>
      </c>
      <c r="F154" s="15" t="str">
        <f>IFERROR(__xludf.DUMMYFUNCTION("""COMPUTED_VALUE"""),"Other")</f>
        <v>Other</v>
      </c>
      <c r="G154" s="15"/>
      <c r="H154" s="15" t="str">
        <f>IFERROR(__xludf.DUMMYFUNCTION("""COMPUTED_VALUE"""),"Unknown")</f>
        <v>Unknown</v>
      </c>
      <c r="I154" s="15">
        <f>IFERROR(__xludf.DUMMYFUNCTION("""COMPUTED_VALUE"""),1.0)</f>
        <v>1</v>
      </c>
      <c r="J154" s="15">
        <f>IFERROR(__xludf.DUMMYFUNCTION("""COMPUTED_VALUE"""),0.0)</f>
        <v>0</v>
      </c>
      <c r="K154" s="15">
        <f>IFERROR(__xludf.DUMMYFUNCTION("""COMPUTED_VALUE"""),0.0)</f>
        <v>0</v>
      </c>
    </row>
    <row r="155" ht="15.75" customHeight="1">
      <c r="A155" s="14" t="str">
        <f>IFERROR(__xludf.DUMMYFUNCTION("""COMPUTED_VALUE"""),"https://staging.lynchpin.com/services/digital-analytics/")</f>
        <v>https://staging.lynchpin.com/services/digital-analytics/</v>
      </c>
      <c r="B155" s="15"/>
      <c r="C155" s="14" t="str">
        <f>IFERROR(__xludf.DUMMYFUNCTION("""COMPUTED_VALUE"""),"lynchpin.com")</f>
        <v>lynchpin.com</v>
      </c>
      <c r="D155" s="15" t="str">
        <f>IFERROR(__xludf.DUMMYFUNCTION("""COMPUTED_VALUE"""),"OTHER")</f>
        <v>OTHER</v>
      </c>
      <c r="E155" s="15" t="str">
        <f>IFERROR(__xludf.DUMMYFUNCTION("""COMPUTED_VALUE"""),"OTHER")</f>
        <v>OTHER</v>
      </c>
      <c r="F155" s="15" t="str">
        <f>IFERROR(__xludf.DUMMYFUNCTION("""COMPUTED_VALUE"""),"Other")</f>
        <v>Other</v>
      </c>
      <c r="G155" s="15"/>
      <c r="H155" s="15" t="str">
        <f>IFERROR(__xludf.DUMMYFUNCTION("""COMPUTED_VALUE"""),"Unknown")</f>
        <v>Unknown</v>
      </c>
      <c r="I155" s="15">
        <f>IFERROR(__xludf.DUMMYFUNCTION("""COMPUTED_VALUE"""),1.0)</f>
        <v>1</v>
      </c>
      <c r="J155" s="15">
        <f>IFERROR(__xludf.DUMMYFUNCTION("""COMPUTED_VALUE"""),0.0)</f>
        <v>0</v>
      </c>
      <c r="K155" s="15">
        <f>IFERROR(__xludf.DUMMYFUNCTION("""COMPUTED_VALUE"""),1.0)</f>
        <v>1</v>
      </c>
    </row>
    <row r="156" ht="15.75" customHeight="1">
      <c r="A156" s="14" t="str">
        <f>IFERROR(__xludf.DUMMYFUNCTION("""COMPUTED_VALUE"""),"https://support.google.com/analytics/answer/7237700?hl=en-AU")</f>
        <v>https://support.google.com/analytics/answer/7237700?hl=en-AU</v>
      </c>
      <c r="B156" s="15" t="str">
        <f>IFERROR(__xludf.DUMMYFUNCTION("""COMPUTED_VALUE"""),"Google Marketing Platform Partners - Analytics Help")</f>
        <v>Google Marketing Platform Partners - Analytics Help</v>
      </c>
      <c r="C156" s="14" t="str">
        <f>IFERROR(__xludf.DUMMYFUNCTION("""COMPUTED_VALUE"""),"google.com")</f>
        <v>google.com</v>
      </c>
      <c r="D156" s="15" t="str">
        <f>IFERROR(__xludf.DUMMYFUNCTION("""COMPUTED_VALUE"""),"OTHER")</f>
        <v>OTHER</v>
      </c>
      <c r="E156" s="15" t="str">
        <f>IFERROR(__xludf.DUMMYFUNCTION("""COMPUTED_VALUE"""),"OTHER")</f>
        <v>OTHER</v>
      </c>
      <c r="F156" s="15" t="str">
        <f>IFERROR(__xludf.DUMMYFUNCTION("""COMPUTED_VALUE"""),"Other")</f>
        <v>Other</v>
      </c>
      <c r="G156" s="15" t="b">
        <f>IFERROR(__xludf.DUMMYFUNCTION("""COMPUTED_VALUE"""),FALSE)</f>
        <v>0</v>
      </c>
      <c r="H156" s="15"/>
      <c r="I156" s="15">
        <f>IFERROR(__xludf.DUMMYFUNCTION("""COMPUTED_VALUE"""),1.0)</f>
        <v>1</v>
      </c>
      <c r="J156" s="15">
        <f>IFERROR(__xludf.DUMMYFUNCTION("""COMPUTED_VALUE"""),0.0)</f>
        <v>0</v>
      </c>
      <c r="K156" s="15">
        <f>IFERROR(__xludf.DUMMYFUNCTION("""COMPUTED_VALUE"""),0.0)</f>
        <v>0</v>
      </c>
    </row>
    <row r="157" ht="15.75" customHeight="1">
      <c r="A157" s="14" t="str">
        <f>IFERROR(__xludf.DUMMYFUNCTION("""COMPUTED_VALUE"""),"https://support.google.com/analytics/answer/7237700?hl=en-uk")</f>
        <v>https://support.google.com/analytics/answer/7237700?hl=en-uk</v>
      </c>
      <c r="B157" s="15"/>
      <c r="C157" s="14" t="str">
        <f>IFERROR(__xludf.DUMMYFUNCTION("""COMPUTED_VALUE"""),"google.com")</f>
        <v>google.com</v>
      </c>
      <c r="D157" s="15" t="str">
        <f>IFERROR(__xludf.DUMMYFUNCTION("""COMPUTED_VALUE"""),"OTHER")</f>
        <v>OTHER</v>
      </c>
      <c r="E157" s="15" t="str">
        <f>IFERROR(__xludf.DUMMYFUNCTION("""COMPUTED_VALUE"""),"OTHER")</f>
        <v>OTHER</v>
      </c>
      <c r="F157" s="15" t="str">
        <f>IFERROR(__xludf.DUMMYFUNCTION("""COMPUTED_VALUE"""),"Other")</f>
        <v>Other</v>
      </c>
      <c r="G157" s="15"/>
      <c r="H157" s="15" t="str">
        <f>IFERROR(__xludf.DUMMYFUNCTION("""COMPUTED_VALUE"""),"Unknown")</f>
        <v>Unknown</v>
      </c>
      <c r="I157" s="15">
        <f>IFERROR(__xludf.DUMMYFUNCTION("""COMPUTED_VALUE"""),1.0)</f>
        <v>1</v>
      </c>
      <c r="J157" s="15">
        <f>IFERROR(__xludf.DUMMYFUNCTION("""COMPUTED_VALUE"""),0.0)</f>
        <v>0</v>
      </c>
      <c r="K157" s="15">
        <f>IFERROR(__xludf.DUMMYFUNCTION("""COMPUTED_VALUE"""),0.0)</f>
        <v>0</v>
      </c>
    </row>
    <row r="158" ht="15.75" customHeight="1">
      <c r="A158" s="14" t="str">
        <f>IFERROR(__xludf.DUMMYFUNCTION("""COMPUTED_VALUE"""),"https://support.google.com/tagmanager/answer/7237700?hl=en-au")</f>
        <v>https://support.google.com/tagmanager/answer/7237700?hl=en-au</v>
      </c>
      <c r="B158" s="15" t="str">
        <f>IFERROR(__xludf.DUMMYFUNCTION("""COMPUTED_VALUE"""),"Google Marketing Platform Partners - Tag Manager Help")</f>
        <v>Google Marketing Platform Partners - Tag Manager Help</v>
      </c>
      <c r="C158" s="14" t="str">
        <f>IFERROR(__xludf.DUMMYFUNCTION("""COMPUTED_VALUE"""),"google.com")</f>
        <v>google.com</v>
      </c>
      <c r="D158" s="15" t="str">
        <f>IFERROR(__xludf.DUMMYFUNCTION("""COMPUTED_VALUE"""),"OTHER")</f>
        <v>OTHER</v>
      </c>
      <c r="E158" s="15" t="str">
        <f>IFERROR(__xludf.DUMMYFUNCTION("""COMPUTED_VALUE"""),"OTHER")</f>
        <v>OTHER</v>
      </c>
      <c r="F158" s="15" t="str">
        <f>IFERROR(__xludf.DUMMYFUNCTION("""COMPUTED_VALUE"""),"Other")</f>
        <v>Other</v>
      </c>
      <c r="G158" s="15" t="b">
        <f>IFERROR(__xludf.DUMMYFUNCTION("""COMPUTED_VALUE"""),FALSE)</f>
        <v>0</v>
      </c>
      <c r="H158" s="15"/>
      <c r="I158" s="15">
        <f>IFERROR(__xludf.DUMMYFUNCTION("""COMPUTED_VALUE"""),1.0)</f>
        <v>1</v>
      </c>
      <c r="J158" s="15">
        <f>IFERROR(__xludf.DUMMYFUNCTION("""COMPUTED_VALUE"""),0.0)</f>
        <v>0</v>
      </c>
      <c r="K158" s="15">
        <f>IFERROR(__xludf.DUMMYFUNCTION("""COMPUTED_VALUE"""),0.0)</f>
        <v>0</v>
      </c>
    </row>
    <row r="159" ht="15.75" customHeight="1">
      <c r="A159" s="14" t="str">
        <f>IFERROR(__xludf.DUMMYFUNCTION("""COMPUTED_VALUE"""),"https://www.thedrum.com/news/end-era-creatives-reflect-adameveddb-s-best-john-lewis-ads")</f>
        <v>https://www.thedrum.com/news/end-era-creatives-reflect-adameveddb-s-best-john-lewis-ads</v>
      </c>
      <c r="B159" s="15" t="str">
        <f>IFERROR(__xludf.DUMMYFUNCTION("""COMPUTED_VALUE"""),"End of an era: creatives reflect on Adam&amp;EveDDB’s best John Lewis ads \| The Drum")</f>
        <v>End of an era: creatives reflect on Adam&amp;EveDDB’s best John Lewis ads \| The Drum</v>
      </c>
      <c r="C159" s="14" t="str">
        <f>IFERROR(__xludf.DUMMYFUNCTION("""COMPUTED_VALUE"""),"thedrum.com")</f>
        <v>thedrum.com</v>
      </c>
      <c r="D159" s="15" t="str">
        <f>IFERROR(__xludf.DUMMYFUNCTION("""COMPUTED_VALUE"""),"OTHER")</f>
        <v>OTHER</v>
      </c>
      <c r="E159" s="15" t="str">
        <f>IFERROR(__xludf.DUMMYFUNCTION("""COMPUTED_VALUE"""),"EDITORIAL")</f>
        <v>EDITORIAL</v>
      </c>
      <c r="F159" s="15" t="str">
        <f>IFERROR(__xludf.DUMMYFUNCTION("""COMPUTED_VALUE"""),"Other")</f>
        <v>Other</v>
      </c>
      <c r="G159" s="15" t="b">
        <f>IFERROR(__xludf.DUMMYFUNCTION("""COMPUTED_VALUE"""),FALSE)</f>
        <v>0</v>
      </c>
      <c r="H159" s="15" t="str">
        <f>IFERROR(__xludf.DUMMYFUNCTION("""COMPUTED_VALUE"""),"Adam&amp;eveDDB, Ogilvy, AMV BBDO, We Are Social, Kantar")</f>
        <v>Adam&amp;eveDDB, Ogilvy, AMV BBDO, We Are Social, Kantar</v>
      </c>
      <c r="I159" s="15">
        <f>IFERROR(__xludf.DUMMYFUNCTION("""COMPUTED_VALUE"""),1.0)</f>
        <v>1</v>
      </c>
      <c r="J159" s="15">
        <f>IFERROR(__xludf.DUMMYFUNCTION("""COMPUTED_VALUE"""),0.0)</f>
        <v>0</v>
      </c>
      <c r="K159" s="15">
        <f>IFERROR(__xludf.DUMMYFUNCTION("""COMPUTED_VALUE"""),0.0)</f>
        <v>0</v>
      </c>
    </row>
    <row r="160" ht="15.75" customHeight="1">
      <c r="A160" s="14" t="str">
        <f>IFERROR(__xludf.DUMMYFUNCTION("""COMPUTED_VALUE"""),"https://www.thedrum.com/profile/jaywing/article/jaywing-bolsters-senior-team-with-two-new-hires")</f>
        <v>https://www.thedrum.com/profile/jaywing/article/jaywing-bolsters-senior-team-with-two-new-hires</v>
      </c>
      <c r="B160" s="15" t="str">
        <f>IFERROR(__xludf.DUMMYFUNCTION("""COMPUTED_VALUE"""),"Jaywing bolsters senior team with two new hires \| The Drum")</f>
        <v>Jaywing bolsters senior team with two new hires \| The Drum</v>
      </c>
      <c r="C160" s="14" t="str">
        <f>IFERROR(__xludf.DUMMYFUNCTION("""COMPUTED_VALUE"""),"thedrum.com")</f>
        <v>thedrum.com</v>
      </c>
      <c r="D160" s="15" t="str">
        <f>IFERROR(__xludf.DUMMYFUNCTION("""COMPUTED_VALUE"""),"OTHER")</f>
        <v>OTHER</v>
      </c>
      <c r="E160" s="15" t="str">
        <f>IFERROR(__xludf.DUMMYFUNCTION("""COMPUTED_VALUE"""),"EDITORIAL")</f>
        <v>EDITORIAL</v>
      </c>
      <c r="F160" s="15" t="str">
        <f>IFERROR(__xludf.DUMMYFUNCTION("""COMPUTED_VALUE"""),"Other")</f>
        <v>Other</v>
      </c>
      <c r="G160" s="15" t="b">
        <f>IFERROR(__xludf.DUMMYFUNCTION("""COMPUTED_VALUE"""),FALSE)</f>
        <v>0</v>
      </c>
      <c r="H160" s="15"/>
      <c r="I160" s="15">
        <f>IFERROR(__xludf.DUMMYFUNCTION("""COMPUTED_VALUE"""),1.0)</f>
        <v>1</v>
      </c>
      <c r="J160" s="15">
        <f>IFERROR(__xludf.DUMMYFUNCTION("""COMPUTED_VALUE"""),0.0)</f>
        <v>0</v>
      </c>
      <c r="K160" s="15">
        <f>IFERROR(__xludf.DUMMYFUNCTION("""COMPUTED_VALUE"""),0.0)</f>
        <v>0</v>
      </c>
    </row>
    <row r="161" ht="15.75" customHeight="1">
      <c r="A161" s="14" t="str">
        <f>IFERROR(__xludf.DUMMYFUNCTION("""COMPUTED_VALUE"""),"https://themanifest.com/programmatic/agencies/uk?page=1")</f>
        <v>https://themanifest.com/programmatic/agencies/uk?page=1</v>
      </c>
      <c r="B161" s="15" t="str">
        <f>IFERROR(__xludf.DUMMYFUNCTION("""COMPUTED_VALUE"""),"The Best Programmatic Advertising Companies in United Kingdom - Jun 2026 \| The Manifest")</f>
        <v>The Best Programmatic Advertising Companies in United Kingdom - Jun 2026 \| The Manifest</v>
      </c>
      <c r="C161" s="14" t="str">
        <f>IFERROR(__xludf.DUMMYFUNCTION("""COMPUTED_VALUE"""),"themanifest.com")</f>
        <v>themanifest.com</v>
      </c>
      <c r="D161" s="15" t="str">
        <f>IFERROR(__xludf.DUMMYFUNCTION("""COMPUTED_VALUE"""),"OTHER")</f>
        <v>OTHER</v>
      </c>
      <c r="E161" s="15" t="str">
        <f>IFERROR(__xludf.DUMMYFUNCTION("""COMPUTED_VALUE"""),"REFERENCE")</f>
        <v>REFERENCE</v>
      </c>
      <c r="F161" s="15" t="str">
        <f>IFERROR(__xludf.DUMMYFUNCTION("""COMPUTED_VALUE"""),"Other")</f>
        <v>Other</v>
      </c>
      <c r="G161" s="15" t="b">
        <f>IFERROR(__xludf.DUMMYFUNCTION("""COMPUTED_VALUE"""),FALSE)</f>
        <v>0</v>
      </c>
      <c r="H161" s="15"/>
      <c r="I161" s="15">
        <f>IFERROR(__xludf.DUMMYFUNCTION("""COMPUTED_VALUE"""),1.0)</f>
        <v>1</v>
      </c>
      <c r="J161" s="15">
        <f>IFERROR(__xludf.DUMMYFUNCTION("""COMPUTED_VALUE"""),0.0)</f>
        <v>0</v>
      </c>
      <c r="K161" s="15">
        <f>IFERROR(__xludf.DUMMYFUNCTION("""COMPUTED_VALUE"""),0.0)</f>
        <v>0</v>
      </c>
    </row>
    <row r="162" ht="15.75" customHeight="1">
      <c r="A162" s="14" t="str">
        <f>IFERROR(__xludf.DUMMYFUNCTION("""COMPUTED_VALUE"""),"https://toptenaiagents.co.uk/lists/top-10-uk-ai-agencies-midsize.html#:~:text=Mesh%2DAI-,Decentralising%20Data%20for%20Enterprise%20Agility,of%20AI%20failure%3A%20data%20inaccessibility.")</f>
        <v>https://toptenaiagents.co.uk/lists/top-10-uk-ai-agencies-midsize.html#:~:text=Mesh%2DAI-,Decentralising%20Data%20for%20Enterprise%20Agility,of%20AI%20failure%3A%20data%20inaccessibility.</v>
      </c>
      <c r="B162" s="15" t="str">
        <f>IFERROR(__xludf.DUMMYFUNCTION("""COMPUTED_VALUE"""),"Top 10 UK AI Agencies for Mid-Size Businesses (2026) | Expert Reviews - TopTenAIAgents.co.uk")</f>
        <v>Top 10 UK AI Agencies for Mid-Size Businesses (2026) | Expert Reviews - TopTenAIAgents.co.uk</v>
      </c>
      <c r="C162" s="14" t="str">
        <f>IFERROR(__xludf.DUMMYFUNCTION("""COMPUTED_VALUE"""),"toptenaiagents.co.uk")</f>
        <v>toptenaiagents.co.uk</v>
      </c>
      <c r="D162" s="15" t="str">
        <f>IFERROR(__xludf.DUMMYFUNCTION("""COMPUTED_VALUE"""),"OTHER")</f>
        <v>OTHER</v>
      </c>
      <c r="E162" s="15" t="str">
        <f>IFERROR(__xludf.DUMMYFUNCTION("""COMPUTED_VALUE"""),"EDITORIAL")</f>
        <v>EDITORIAL</v>
      </c>
      <c r="F162" s="15" t="str">
        <f>IFERROR(__xludf.DUMMYFUNCTION("""COMPUTED_VALUE"""),"Other")</f>
        <v>Other</v>
      </c>
      <c r="G162" s="15" t="b">
        <f>IFERROR(__xludf.DUMMYFUNCTION("""COMPUTED_VALUE"""),FALSE)</f>
        <v>0</v>
      </c>
      <c r="H162" s="15"/>
      <c r="I162" s="15">
        <f>IFERROR(__xludf.DUMMYFUNCTION("""COMPUTED_VALUE"""),1.0)</f>
        <v>1</v>
      </c>
      <c r="J162" s="15">
        <f>IFERROR(__xludf.DUMMYFUNCTION("""COMPUTED_VALUE"""),0.0)</f>
        <v>0</v>
      </c>
      <c r="K162" s="15">
        <f>IFERROR(__xludf.DUMMYFUNCTION("""COMPUTED_VALUE"""),2.0)</f>
        <v>2</v>
      </c>
    </row>
    <row r="163" ht="15.75" customHeight="1">
      <c r="A163" s="14" t="str">
        <f>IFERROR(__xludf.DUMMYFUNCTION("""COMPUTED_VALUE"""),"https://uk.linkedin.com/in/digantika-mitra")</f>
        <v>https://uk.linkedin.com/in/digantika-mitra</v>
      </c>
      <c r="B163" s="15"/>
      <c r="C163" s="14" t="str">
        <f>IFERROR(__xludf.DUMMYFUNCTION("""COMPUTED_VALUE"""),"linkedin.com")</f>
        <v>linkedin.com</v>
      </c>
      <c r="D163" s="15" t="str">
        <f>IFERROR(__xludf.DUMMYFUNCTION("""COMPUTED_VALUE"""),"OTHER")</f>
        <v>OTHER</v>
      </c>
      <c r="E163" s="15" t="str">
        <f>IFERROR(__xludf.DUMMYFUNCTION("""COMPUTED_VALUE"""),"OTHER")</f>
        <v>OTHER</v>
      </c>
      <c r="F163" s="15" t="str">
        <f>IFERROR(__xludf.DUMMYFUNCTION("""COMPUTED_VALUE"""),"Other")</f>
        <v>Other</v>
      </c>
      <c r="G163" s="15"/>
      <c r="H163" s="15" t="str">
        <f>IFERROR(__xludf.DUMMYFUNCTION("""COMPUTED_VALUE"""),"Unknown")</f>
        <v>Unknown</v>
      </c>
      <c r="I163" s="15">
        <f>IFERROR(__xludf.DUMMYFUNCTION("""COMPUTED_VALUE"""),1.0)</f>
        <v>1</v>
      </c>
      <c r="J163" s="15">
        <f>IFERROR(__xludf.DUMMYFUNCTION("""COMPUTED_VALUE"""),0.0)</f>
        <v>0</v>
      </c>
      <c r="K163" s="15">
        <f>IFERROR(__xludf.DUMMYFUNCTION("""COMPUTED_VALUE"""),1.0)</f>
        <v>1</v>
      </c>
    </row>
    <row r="164" ht="15.75" customHeight="1">
      <c r="A164" s="14" t="str">
        <f>IFERROR(__xludf.DUMMYFUNCTION("""COMPUTED_VALUE"""),"https://uk.trustpilot.com/categories/topography_company")</f>
        <v>https://uk.trustpilot.com/categories/topography_company</v>
      </c>
      <c r="B164" s="15"/>
      <c r="C164" s="14" t="str">
        <f>IFERROR(__xludf.DUMMYFUNCTION("""COMPUTED_VALUE"""),"trustpilot.com")</f>
        <v>trustpilot.com</v>
      </c>
      <c r="D164" s="15" t="str">
        <f>IFERROR(__xludf.DUMMYFUNCTION("""COMPUTED_VALUE"""),"OTHER")</f>
        <v>OTHER</v>
      </c>
      <c r="E164" s="15" t="str">
        <f>IFERROR(__xludf.DUMMYFUNCTION("""COMPUTED_VALUE"""),"OTHER")</f>
        <v>OTHER</v>
      </c>
      <c r="F164" s="15" t="str">
        <f>IFERROR(__xludf.DUMMYFUNCTION("""COMPUTED_VALUE"""),"Other")</f>
        <v>Other</v>
      </c>
      <c r="G164" s="15"/>
      <c r="H164" s="15" t="str">
        <f>IFERROR(__xludf.DUMMYFUNCTION("""COMPUTED_VALUE"""),"Unknown")</f>
        <v>Unknown</v>
      </c>
      <c r="I164" s="15">
        <f>IFERROR(__xludf.DUMMYFUNCTION("""COMPUTED_VALUE"""),1.0)</f>
        <v>1</v>
      </c>
      <c r="J164" s="15">
        <f>IFERROR(__xludf.DUMMYFUNCTION("""COMPUTED_VALUE"""),0.0)</f>
        <v>0</v>
      </c>
      <c r="K164" s="15">
        <f>IFERROR(__xludf.DUMMYFUNCTION("""COMPUTED_VALUE"""),0.0)</f>
        <v>0</v>
      </c>
    </row>
    <row r="165" ht="15.75" customHeight="1">
      <c r="A165" s="14" t="str">
        <f>IFERROR(__xludf.DUMMYFUNCTION("""COMPUTED_VALUE"""),"https://upscale-digital.com/blog/how-much-should-companies-invest-in-marketing/")</f>
        <v>https://upscale-digital.com/blog/how-much-should-companies-invest-in-marketing/</v>
      </c>
      <c r="B165" s="15" t="str">
        <f>IFERROR(__xludf.DUMMYFUNCTION("""COMPUTED_VALUE"""),"How much should companies invest in marketing? - Upscale Digital")</f>
        <v>How much should companies invest in marketing? - Upscale Digital</v>
      </c>
      <c r="C165" s="14" t="str">
        <f>IFERROR(__xludf.DUMMYFUNCTION("""COMPUTED_VALUE"""),"upscale-digital.com")</f>
        <v>upscale-digital.com</v>
      </c>
      <c r="D165" s="15" t="str">
        <f>IFERROR(__xludf.DUMMYFUNCTION("""COMPUTED_VALUE"""),"OTHER")</f>
        <v>OTHER</v>
      </c>
      <c r="E165" s="15" t="str">
        <f>IFERROR(__xludf.DUMMYFUNCTION("""COMPUTED_VALUE"""),"CORPORATE")</f>
        <v>CORPORATE</v>
      </c>
      <c r="F165" s="15" t="str">
        <f>IFERROR(__xludf.DUMMYFUNCTION("""COMPUTED_VALUE"""),"Other")</f>
        <v>Other</v>
      </c>
      <c r="G165" s="15" t="b">
        <f>IFERROR(__xludf.DUMMYFUNCTION("""COMPUTED_VALUE"""),FALSE)</f>
        <v>0</v>
      </c>
      <c r="H165" s="15" t="str">
        <f>IFERROR(__xludf.DUMMYFUNCTION("""COMPUTED_VALUE"""),"Kantar, Measured")</f>
        <v>Kantar, Measured</v>
      </c>
      <c r="I165" s="15">
        <f>IFERROR(__xludf.DUMMYFUNCTION("""COMPUTED_VALUE"""),1.0)</f>
        <v>1</v>
      </c>
      <c r="J165" s="15">
        <f>IFERROR(__xludf.DUMMYFUNCTION("""COMPUTED_VALUE"""),0.0)</f>
        <v>0</v>
      </c>
      <c r="K165" s="15">
        <f>IFERROR(__xludf.DUMMYFUNCTION("""COMPUTED_VALUE"""),1.0)</f>
        <v>1</v>
      </c>
    </row>
    <row r="166" ht="15.75" customHeight="1">
      <c r="A166" s="14" t="str">
        <f>IFERROR(__xludf.DUMMYFUNCTION("""COMPUTED_VALUE"""),"https://www.vayro.co.uk/ai-consulting/tunbridge-wells")</f>
        <v>https://www.vayro.co.uk/ai-consulting/tunbridge-wells</v>
      </c>
      <c r="B166" s="15" t="str">
        <f>IFERROR(__xludf.DUMMYFUNCTION("""COMPUTED_VALUE"""),"AI Consulting Tunbridge Wells \| VAYRO \| AI Management")</f>
        <v>AI Consulting Tunbridge Wells \| VAYRO \| AI Management</v>
      </c>
      <c r="C166" s="14" t="str">
        <f>IFERROR(__xludf.DUMMYFUNCTION("""COMPUTED_VALUE"""),"vayro.co.uk")</f>
        <v>vayro.co.uk</v>
      </c>
      <c r="D166" s="15" t="str">
        <f>IFERROR(__xludf.DUMMYFUNCTION("""COMPUTED_VALUE"""),"OTHER")</f>
        <v>OTHER</v>
      </c>
      <c r="E166" s="15" t="str">
        <f>IFERROR(__xludf.DUMMYFUNCTION("""COMPUTED_VALUE"""),"CORPORATE")</f>
        <v>CORPORATE</v>
      </c>
      <c r="F166" s="15" t="str">
        <f>IFERROR(__xludf.DUMMYFUNCTION("""COMPUTED_VALUE"""),"Other")</f>
        <v>Other</v>
      </c>
      <c r="G166" s="15" t="b">
        <f>IFERROR(__xludf.DUMMYFUNCTION("""COMPUTED_VALUE"""),FALSE)</f>
        <v>0</v>
      </c>
      <c r="H166" s="15"/>
      <c r="I166" s="15">
        <f>IFERROR(__xludf.DUMMYFUNCTION("""COMPUTED_VALUE"""),1.0)</f>
        <v>1</v>
      </c>
      <c r="J166" s="15">
        <f>IFERROR(__xludf.DUMMYFUNCTION("""COMPUTED_VALUE"""),0.0)</f>
        <v>0</v>
      </c>
      <c r="K166" s="15">
        <f>IFERROR(__xludf.DUMMYFUNCTION("""COMPUTED_VALUE"""),0.0)</f>
        <v>0</v>
      </c>
    </row>
    <row r="167" ht="15.75" customHeight="1">
      <c r="A167" s="14" t="str">
        <f>IFERROR(__xludf.DUMMYFUNCTION("""COMPUTED_VALUE"""),"https://www.vedaai.co.uk/services/ai-adoption#:~:text=Veda%20is%20the%20AI%20consulting,first%20AI%2C%20done%20with%20care.")</f>
        <v>https://www.vedaai.co.uk/services/ai-adoption#:~:text=Veda%20is%20the%20AI%20consulting,first%20AI%2C%20done%20with%20care.</v>
      </c>
      <c r="B167" s="15" t="str">
        <f>IFERROR(__xludf.DUMMYFUNCTION("""COMPUTED_VALUE"""),"AI Consulting &amp;amp; Adoption for Growing Businesses | Veda AI")</f>
        <v>AI Consulting &amp;amp; Adoption for Growing Businesses | Veda AI</v>
      </c>
      <c r="C167" s="14" t="str">
        <f>IFERROR(__xludf.DUMMYFUNCTION("""COMPUTED_VALUE"""),"vedaai.co.uk")</f>
        <v>vedaai.co.uk</v>
      </c>
      <c r="D167" s="15" t="str">
        <f>IFERROR(__xludf.DUMMYFUNCTION("""COMPUTED_VALUE"""),"OTHER")</f>
        <v>OTHER</v>
      </c>
      <c r="E167" s="15" t="str">
        <f>IFERROR(__xludf.DUMMYFUNCTION("""COMPUTED_VALUE"""),"CORPORATE")</f>
        <v>CORPORATE</v>
      </c>
      <c r="F167" s="15" t="str">
        <f>IFERROR(__xludf.DUMMYFUNCTION("""COMPUTED_VALUE"""),"Other")</f>
        <v>Other</v>
      </c>
      <c r="G167" s="15" t="b">
        <f>IFERROR(__xludf.DUMMYFUNCTION("""COMPUTED_VALUE"""),FALSE)</f>
        <v>0</v>
      </c>
      <c r="H167" s="15"/>
      <c r="I167" s="15">
        <f>IFERROR(__xludf.DUMMYFUNCTION("""COMPUTED_VALUE"""),1.0)</f>
        <v>1</v>
      </c>
      <c r="J167" s="15">
        <f>IFERROR(__xludf.DUMMYFUNCTION("""COMPUTED_VALUE"""),0.0)</f>
        <v>0</v>
      </c>
      <c r="K167" s="15">
        <f>IFERROR(__xludf.DUMMYFUNCTION("""COMPUTED_VALUE"""),1.0)</f>
        <v>1</v>
      </c>
    </row>
    <row r="168" ht="15.75" customHeight="1">
      <c r="A168" s="14" t="str">
        <f>IFERROR(__xludf.DUMMYFUNCTION("""COMPUTED_VALUE"""),"https://we-discover.com/services/analysis-and-modelling/#:~:text=To%20evolve%20your%20data%20we,to%20best%20fulfil%20your%20objectives.")</f>
        <v>https://we-discover.com/services/analysis-and-modelling/#:~:text=To%20evolve%20your%20data%20we,to%20best%20fulfil%20your%20objectives.</v>
      </c>
      <c r="B168" s="15" t="str">
        <f>IFERROR(__xludf.DUMMYFUNCTION("""COMPUTED_VALUE"""),"Advanced Analysis and Modelling Services | WeDiscover")</f>
        <v>Advanced Analysis and Modelling Services | WeDiscover</v>
      </c>
      <c r="C168" s="14" t="str">
        <f>IFERROR(__xludf.DUMMYFUNCTION("""COMPUTED_VALUE"""),"we-discover.com")</f>
        <v>we-discover.com</v>
      </c>
      <c r="D168" s="15" t="str">
        <f>IFERROR(__xludf.DUMMYFUNCTION("""COMPUTED_VALUE"""),"OTHER")</f>
        <v>OTHER</v>
      </c>
      <c r="E168" s="15" t="str">
        <f>IFERROR(__xludf.DUMMYFUNCTION("""COMPUTED_VALUE"""),"COMPETITOR")</f>
        <v>COMPETITOR</v>
      </c>
      <c r="F168" s="15" t="str">
        <f>IFERROR(__xludf.DUMMYFUNCTION("""COMPUTED_VALUE"""),"Other")</f>
        <v>Other</v>
      </c>
      <c r="G168" s="15" t="b">
        <f>IFERROR(__xludf.DUMMYFUNCTION("""COMPUTED_VALUE"""),FALSE)</f>
        <v>0</v>
      </c>
      <c r="H168" s="15" t="str">
        <f>IFERROR(__xludf.DUMMYFUNCTION("""COMPUTED_VALUE"""),"weDiscover")</f>
        <v>weDiscover</v>
      </c>
      <c r="I168" s="15">
        <f>IFERROR(__xludf.DUMMYFUNCTION("""COMPUTED_VALUE"""),1.0)</f>
        <v>1</v>
      </c>
      <c r="J168" s="15">
        <f>IFERROR(__xludf.DUMMYFUNCTION("""COMPUTED_VALUE"""),0.0)</f>
        <v>0</v>
      </c>
      <c r="K168" s="15">
        <f>IFERROR(__xludf.DUMMYFUNCTION("""COMPUTED_VALUE"""),2.0)</f>
        <v>2</v>
      </c>
    </row>
    <row r="169" ht="15.75" customHeight="1">
      <c r="A169" s="14" t="str">
        <f>IFERROR(__xludf.DUMMYFUNCTION("""COMPUTED_VALUE"""),"http://www.web-in-a-click.com/index-296.html")</f>
        <v>http://www.web-in-a-click.com/index-296.html</v>
      </c>
      <c r="B169" s="15" t="str">
        <f>IFERROR(__xludf.DUMMYFUNCTION("""COMPUTED_VALUE"""),"10 Best AI Marketing Agencies in the UK for 2026")</f>
        <v>10 Best AI Marketing Agencies in the UK for 2026</v>
      </c>
      <c r="C169" s="14" t="str">
        <f>IFERROR(__xludf.DUMMYFUNCTION("""COMPUTED_VALUE"""),"web-in-a-click.com")</f>
        <v>web-in-a-click.com</v>
      </c>
      <c r="D169" s="15" t="str">
        <f>IFERROR(__xludf.DUMMYFUNCTION("""COMPUTED_VALUE"""),"OTHER")</f>
        <v>OTHER</v>
      </c>
      <c r="E169" s="15" t="str">
        <f>IFERROR(__xludf.DUMMYFUNCTION("""COMPUTED_VALUE"""),"CORPORATE")</f>
        <v>CORPORATE</v>
      </c>
      <c r="F169" s="15" t="str">
        <f>IFERROR(__xludf.DUMMYFUNCTION("""COMPUTED_VALUE"""),"Other")</f>
        <v>Other</v>
      </c>
      <c r="G169" s="15" t="b">
        <f>IFERROR(__xludf.DUMMYFUNCTION("""COMPUTED_VALUE"""),FALSE)</f>
        <v>0</v>
      </c>
      <c r="H169" s="15" t="str">
        <f>IFERROR(__xludf.DUMMYFUNCTION("""COMPUTED_VALUE"""),"Hallam, Favoured, Propeller, Disrupt Marketing")</f>
        <v>Hallam, Favoured, Propeller, Disrupt Marketing</v>
      </c>
      <c r="I169" s="15">
        <f>IFERROR(__xludf.DUMMYFUNCTION("""COMPUTED_VALUE"""),1.0)</f>
        <v>1</v>
      </c>
      <c r="J169" s="15">
        <f>IFERROR(__xludf.DUMMYFUNCTION("""COMPUTED_VALUE"""),0.0)</f>
        <v>0</v>
      </c>
      <c r="K169" s="15">
        <f>IFERROR(__xludf.DUMMYFUNCTION("""COMPUTED_VALUE"""),0.0)</f>
        <v>0</v>
      </c>
    </row>
    <row r="170" ht="15.75" customHeight="1">
      <c r="A170" s="14" t="str">
        <f>IFERROR(__xludf.DUMMYFUNCTION("""COMPUTED_VALUE"""),"https://www.youtube.com/watch?v=XGLA7lE-TLo#:~:text=In%20this%20video%2C%20I'll%20show%20you%20the,Known%20for%20clear%20results%20and%20honest%20reporting.")</f>
        <v>https://www.youtube.com/watch?v=XGLA7lE-TLo#:~:text=In%20this%20video%2C%20I'll%20show%20you%20the,Known%20for%20clear%20results%20and%20honest%20reporting.</v>
      </c>
      <c r="B170" s="15" t="str">
        <f>IFERROR(__xludf.DUMMYFUNCTION("""COMPUTED_VALUE"""),"15 Best AI-Powered Digital Marketing Companies in UK | Turn Your Small Business Into a Brand")</f>
        <v>15 Best AI-Powered Digital Marketing Companies in UK | Turn Your Small Business Into a Brand</v>
      </c>
      <c r="C170" s="14" t="str">
        <f>IFERROR(__xludf.DUMMYFUNCTION("""COMPUTED_VALUE"""),"youtube.com")</f>
        <v>youtube.com</v>
      </c>
      <c r="D170" s="15" t="str">
        <f>IFERROR(__xludf.DUMMYFUNCTION("""COMPUTED_VALUE"""),"OTHER")</f>
        <v>OTHER</v>
      </c>
      <c r="E170" s="15" t="str">
        <f>IFERROR(__xludf.DUMMYFUNCTION("""COMPUTED_VALUE"""),"UGC")</f>
        <v>UGC</v>
      </c>
      <c r="F170" s="15" t="str">
        <f>IFERROR(__xludf.DUMMYFUNCTION("""COMPUTED_VALUE"""),"Other")</f>
        <v>Other</v>
      </c>
      <c r="G170" s="15" t="b">
        <f>IFERROR(__xludf.DUMMYFUNCTION("""COMPUTED_VALUE"""),FALSE)</f>
        <v>0</v>
      </c>
      <c r="H170" s="15" t="str">
        <f>IFERROR(__xludf.DUMMYFUNCTION("""COMPUTED_VALUE"""),"The Good Marketer, Propeller, Soap Media")</f>
        <v>The Good Marketer, Propeller, Soap Media</v>
      </c>
      <c r="I170" s="15">
        <f>IFERROR(__xludf.DUMMYFUNCTION("""COMPUTED_VALUE"""),1.0)</f>
        <v>1</v>
      </c>
      <c r="J170" s="15">
        <f>IFERROR(__xludf.DUMMYFUNCTION("""COMPUTED_VALUE"""),0.0)</f>
        <v>0</v>
      </c>
      <c r="K170" s="15">
        <f>IFERROR(__xludf.DUMMYFUNCTION("""COMPUTED_VALUE"""),1.0)</f>
        <v>1</v>
      </c>
    </row>
    <row r="171" ht="15.75" customHeight="1">
      <c r="A171" s="14" t="str">
        <f>IFERROR(__xludf.DUMMYFUNCTION("""COMPUTED_VALUE"""),"https://www.youtube.com/watch?v=qnrNaTO7nCs")</f>
        <v>https://www.youtube.com/watch?v=qnrNaTO7nCs</v>
      </c>
      <c r="B171" s="15" t="str">
        <f>IFERROR(__xludf.DUMMYFUNCTION("""COMPUTED_VALUE"""),"Marketing Attribution at Lynchpin")</f>
        <v>Marketing Attribution at Lynchpin</v>
      </c>
      <c r="C171" s="14" t="str">
        <f>IFERROR(__xludf.DUMMYFUNCTION("""COMPUTED_VALUE"""),"youtube.com")</f>
        <v>youtube.com</v>
      </c>
      <c r="D171" s="15" t="str">
        <f>IFERROR(__xludf.DUMMYFUNCTION("""COMPUTED_VALUE"""),"OTHER")</f>
        <v>OTHER</v>
      </c>
      <c r="E171" s="15" t="str">
        <f>IFERROR(__xludf.DUMMYFUNCTION("""COMPUTED_VALUE"""),"UGC")</f>
        <v>UGC</v>
      </c>
      <c r="F171" s="15" t="str">
        <f>IFERROR(__xludf.DUMMYFUNCTION("""COMPUTED_VALUE"""),"Other")</f>
        <v>Other</v>
      </c>
      <c r="G171" s="15" t="b">
        <f>IFERROR(__xludf.DUMMYFUNCTION("""COMPUTED_VALUE"""),FALSE)</f>
        <v>0</v>
      </c>
      <c r="H171" s="15"/>
      <c r="I171" s="15">
        <f>IFERROR(__xludf.DUMMYFUNCTION("""COMPUTED_VALUE"""),1.0)</f>
        <v>1</v>
      </c>
      <c r="J171" s="15">
        <f>IFERROR(__xludf.DUMMYFUNCTION("""COMPUTED_VALUE"""),0.0)</f>
        <v>0</v>
      </c>
      <c r="K171" s="15">
        <f>IFERROR(__xludf.DUMMYFUNCTION("""COMPUTED_VALUE"""),1.0)</f>
        <v>1</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location=":~:text=Each%20one%20has%20demonstrated%20excellence,TikTok%20Agency%20Partner" ref="A4"/>
    <hyperlink r:id="rId5" location=":~:text=Its%20track%20record%20spans%20large,automation%20depth%20and%20consistent%20results." ref="A5"/>
    <hyperlink r:id="rId6" ref="C5"/>
    <hyperlink r:id="rId7" location=":~:text=Google%20Marketing%20Platform%20Partner%20Agency,and%20measure%20in%20one%20place." ref="A6"/>
    <hyperlink r:id="rId8" ref="C6"/>
    <hyperlink r:id="rId9" ref="A7"/>
    <hyperlink r:id="rId10" ref="C7"/>
    <hyperlink r:id="rId11" ref="A8"/>
    <hyperlink r:id="rId12" ref="C8"/>
    <hyperlink r:id="rId13" ref="A9"/>
    <hyperlink r:id="rId14" ref="C9"/>
    <hyperlink r:id="rId15" ref="A10"/>
    <hyperlink r:id="rId16" ref="C10"/>
    <hyperlink r:id="rId17" location=":~:text=They%20believe%20that%20weaving%20stories,Gripped" ref="A11"/>
    <hyperlink r:id="rId18" ref="C11"/>
    <hyperlink r:id="rId19" ref="A12"/>
    <hyperlink r:id="rId20" ref="C12"/>
    <hyperlink r:id="rId21" ref="A13"/>
    <hyperlink r:id="rId22" ref="C13"/>
    <hyperlink r:id="rId23" ref="A14"/>
    <hyperlink r:id="rId24" ref="C14"/>
    <hyperlink r:id="rId25" ref="A15"/>
    <hyperlink r:id="rId26" ref="C15"/>
    <hyperlink r:id="rId27" location=":~:text=Prepare%20your%20marketing%20for%20the,tools%3A%20they%20need%20strong%20foundations." ref="A16"/>
    <hyperlink r:id="rId28" ref="C16"/>
    <hyperlink r:id="rId29" ref="A17"/>
    <hyperlink r:id="rId30" ref="C17"/>
    <hyperlink r:id="rId31" location=":~:text=Yes%E2%80%94this%20is%20Whitehat's%20core,needed%20for%20confident%20board%20conversations." ref="A18"/>
    <hyperlink r:id="rId32" ref="C18"/>
    <hyperlink r:id="rId33" location=":~:text=Google%20Premier%20Partner%20Agency%20%7C%20Hallam,the%20world's%20best%20media%20agencies.&amp;text=We%20use%20exclusive%20technologies%2C%20data,media%20strategies%20for%20your%20brand." ref="A19"/>
    <hyperlink r:id="rId34" location=":~:text=Perfect%20For%20Brands%20With%20Strong,help%20of%20Google%20Display%20Ads." ref="A20"/>
    <hyperlink r:id="rId35" ref="C20"/>
    <hyperlink r:id="rId36" ref="A21"/>
    <hyperlink r:id="rId37" ref="C21"/>
    <hyperlink r:id="rId38" ref="A22"/>
    <hyperlink r:id="rId39" ref="C22"/>
    <hyperlink r:id="rId40" location=":~:text=Powered%20by%20our%20Everysearch%E2%84%A2,strategy%20to%20keep%20you%20ahead." ref="A23"/>
    <hyperlink r:id="rId41" ref="C23"/>
    <hyperlink r:id="rId42" ref="A24"/>
    <hyperlink r:id="rId43" ref="C24"/>
    <hyperlink r:id="rId44" location=":~:text=Leading%20Generative%20Engine%20Optimisation%20agencies,AI%20Search%20Specialist%20Landscape%202026" ref="A25"/>
    <hyperlink r:id="rId45" ref="C25"/>
    <hyperlink r:id="rId46" ref="A26"/>
    <hyperlink r:id="rId47" ref="C26"/>
    <hyperlink r:id="rId48" ref="A27"/>
    <hyperlink r:id="rId49" ref="C27"/>
    <hyperlink r:id="rId50" ref="A28"/>
    <hyperlink r:id="rId51" ref="C28"/>
    <hyperlink r:id="rId52" ref="A29"/>
    <hyperlink r:id="rId53" ref="C29"/>
    <hyperlink r:id="rId54" location=":~:text=Diagnose,Focus%20where%20it%20matters" ref="A30"/>
    <hyperlink r:id="rId55" ref="C30"/>
    <hyperlink r:id="rId56" ref="A31"/>
    <hyperlink r:id="rId57" ref="C31"/>
    <hyperlink r:id="rId58" ref="A32"/>
    <hyperlink r:id="rId59" ref="C32"/>
    <hyperlink r:id="rId60" ref="A33"/>
    <hyperlink r:id="rId61" ref="C33"/>
    <hyperlink r:id="rId62" ref="A34"/>
    <hyperlink r:id="rId63" ref="C34"/>
    <hyperlink r:id="rId64" ref="A35"/>
    <hyperlink r:id="rId65" ref="C35"/>
    <hyperlink r:id="rId66" ref="A36"/>
    <hyperlink r:id="rId67" ref="C36"/>
    <hyperlink r:id="rId68" location=":~:text=Showcase%20your%20brand%20with%20Found's,buyers%20and%20building%20brand%20loyalty." ref="A37"/>
    <hyperlink r:id="rId69" ref="C37"/>
    <hyperlink r:id="rId70" location=":~:text=With%20an%20extensive%20and%20diverse,in%20prime%20locations%20and%20more." ref="A38"/>
    <hyperlink r:id="rId71" ref="C38"/>
    <hyperlink r:id="rId72" ref="A39"/>
    <hyperlink r:id="rId73" ref="C39"/>
    <hyperlink r:id="rId74" ref="A40"/>
    <hyperlink r:id="rId75" ref="C40"/>
    <hyperlink r:id="rId76" ref="A41"/>
    <hyperlink r:id="rId77" ref="C41"/>
    <hyperlink r:id="rId78" ref="A42"/>
    <hyperlink r:id="rId79" ref="C42"/>
    <hyperlink r:id="rId80" ref="A43"/>
    <hyperlink r:id="rId81" ref="C43"/>
    <hyperlink r:id="rId82" ref="A44"/>
    <hyperlink r:id="rId83" ref="C44"/>
    <hyperlink r:id="rId84" ref="A45"/>
    <hyperlink r:id="rId85" ref="C45"/>
    <hyperlink r:id="rId86" ref="A46"/>
    <hyperlink r:id="rId87" ref="C46"/>
    <hyperlink r:id="rId88" location=":~:text=The%20MAMM%20framework%20assesses%20everything,Unified%20Measurement" ref="A47"/>
    <hyperlink r:id="rId89" ref="C47"/>
    <hyperlink r:id="rId90" location=":~:text=Most%20global.%20We%20are%20a%20community%20of,local%20relevancy.%20Learn%20more%20about%20our%20people." ref="A48"/>
    <hyperlink r:id="rId91" ref="C48"/>
    <hyperlink r:id="rId92" ref="A49"/>
    <hyperlink r:id="rId93" ref="C49"/>
    <hyperlink r:id="rId94" ref="A50"/>
    <hyperlink r:id="rId95" ref="C50"/>
    <hyperlink r:id="rId96" ref="A51"/>
    <hyperlink r:id="rId97" ref="C51"/>
    <hyperlink r:id="rId98" ref="A52"/>
    <hyperlink r:id="rId99" ref="C52"/>
    <hyperlink r:id="rId100" ref="A53"/>
    <hyperlink r:id="rId101" ref="C53"/>
    <hyperlink r:id="rId102" ref="A54"/>
    <hyperlink r:id="rId103" ref="C54"/>
    <hyperlink r:id="rId104" ref="A55"/>
    <hyperlink r:id="rId105" ref="C55"/>
    <hyperlink r:id="rId106" ref="A56"/>
    <hyperlink r:id="rId107" ref="C56"/>
    <hyperlink r:id="rId108" ref="A57"/>
    <hyperlink r:id="rId109" ref="A58"/>
    <hyperlink r:id="rId110" ref="A59"/>
    <hyperlink r:id="rId111" ref="C59"/>
    <hyperlink r:id="rId112" ref="A60"/>
    <hyperlink r:id="rId113" ref="C60"/>
    <hyperlink r:id="rId114" location=":~:text=AI%20Adoption%20Toolkit%20%2D%20Digital%20Catapult" ref="A61"/>
    <hyperlink r:id="rId115" ref="C61"/>
    <hyperlink r:id="rId116" ref="A62"/>
    <hyperlink r:id="rId117" ref="C62"/>
    <hyperlink r:id="rId118" ref="A63"/>
    <hyperlink r:id="rId119" ref="C63"/>
    <hyperlink r:id="rId120" ref="A64"/>
    <hyperlink r:id="rId121" ref="C64"/>
    <hyperlink r:id="rId122" ref="A65"/>
    <hyperlink r:id="rId123" ref="C65"/>
    <hyperlink r:id="rId124" ref="A66"/>
    <hyperlink r:id="rId125" ref="C66"/>
    <hyperlink r:id="rId126" ref="A67"/>
    <hyperlink r:id="rId127" ref="C67"/>
    <hyperlink r:id="rId128" location=":~:text=Simon%2DKucher%20is%20a%20global,Publicis%20Sapient" ref="A68"/>
    <hyperlink r:id="rId129" ref="C68"/>
    <hyperlink r:id="rId130" ref="A69"/>
    <hyperlink r:id="rId131" ref="C69"/>
    <hyperlink r:id="rId132" ref="A70"/>
    <hyperlink r:id="rId133" ref="C70"/>
    <hyperlink r:id="rId134" ref="A71"/>
    <hyperlink r:id="rId135" ref="C71"/>
    <hyperlink r:id="rId136" ref="A72"/>
    <hyperlink r:id="rId137" ref="C72"/>
    <hyperlink r:id="rId138" location=":~:text=Executive%2Dready%20readout%20that%20translates%20performance%20into%20business,clickstream%2Fserver%2Dside%20when%20needed).%203)%20Model%20%26%20validate." ref="A73"/>
    <hyperlink r:id="rId139" ref="C73"/>
    <hyperlink r:id="rId140" ref="A74"/>
    <hyperlink r:id="rId141" ref="C74"/>
    <hyperlink r:id="rId142" ref="A75"/>
    <hyperlink r:id="rId143" ref="C75"/>
    <hyperlink r:id="rId144" ref="A76"/>
    <hyperlink r:id="rId145" ref="C76"/>
    <hyperlink r:id="rId146" ref="A77"/>
    <hyperlink r:id="rId147" ref="C77"/>
    <hyperlink r:id="rId148" ref="A78"/>
    <hyperlink r:id="rId149" ref="C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location=":~:text=Own%20Your%20Tech.,Access%20Advanced%20Features." ref="A84"/>
    <hyperlink r:id="rId161" ref="C84"/>
    <hyperlink r:id="rId162"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C98"/>
    <hyperlink r:id="rId190" ref="A99"/>
    <hyperlink r:id="rId191" ref="C99"/>
    <hyperlink r:id="rId192" ref="A100"/>
    <hyperlink r:id="rId193" ref="C100"/>
    <hyperlink r:id="rId194" ref="A101"/>
    <hyperlink r:id="rId195" ref="C101"/>
    <hyperlink r:id="rId196" ref="A102"/>
    <hyperlink r:id="rId197" ref="C102"/>
    <hyperlink r:id="rId198" ref="A103"/>
    <hyperlink r:id="rId199" ref="C103"/>
    <hyperlink r:id="rId200" ref="A104"/>
    <hyperlink r:id="rId201" ref="C104"/>
    <hyperlink r:id="rId202" ref="A105"/>
    <hyperlink r:id="rId203" ref="C105"/>
    <hyperlink r:id="rId204" ref="A106"/>
    <hyperlink r:id="rId205" ref="C106"/>
    <hyperlink r:id="rId206" ref="A107"/>
    <hyperlink r:id="rId207" ref="C107"/>
    <hyperlink r:id="rId208" ref="A108"/>
    <hyperlink r:id="rId209" ref="C108"/>
    <hyperlink r:id="rId210" ref="A109"/>
    <hyperlink r:id="rId211" ref="C109"/>
    <hyperlink r:id="rId212" ref="A110"/>
    <hyperlink r:id="rId213" ref="C110"/>
    <hyperlink r:id="rId214" ref="A111"/>
    <hyperlink r:id="rId215" ref="C111"/>
    <hyperlink r:id="rId216" ref="A112"/>
    <hyperlink r:id="rId217" ref="C112"/>
    <hyperlink r:id="rId218" ref="A113"/>
    <hyperlink r:id="rId219" ref="C113"/>
    <hyperlink r:id="rId220" ref="A114"/>
    <hyperlink r:id="rId221" ref="C114"/>
    <hyperlink r:id="rId222" ref="A115"/>
    <hyperlink r:id="rId223" ref="C115"/>
    <hyperlink r:id="rId224" ref="A116"/>
    <hyperlink r:id="rId225" ref="C116"/>
    <hyperlink r:id="rId226" ref="A117"/>
    <hyperlink r:id="rId227" ref="C117"/>
    <hyperlink r:id="rId228" ref="A118"/>
    <hyperlink r:id="rId229" ref="C118"/>
    <hyperlink r:id="rId230" ref="A119"/>
    <hyperlink r:id="rId231" ref="C119"/>
    <hyperlink r:id="rId232" ref="A120"/>
    <hyperlink r:id="rId233" ref="C120"/>
    <hyperlink r:id="rId234" ref="A121"/>
    <hyperlink r:id="rId235" ref="C121"/>
    <hyperlink r:id="rId236" ref="A122"/>
    <hyperlink r:id="rId237" ref="C122"/>
    <hyperlink r:id="rId238" ref="A123"/>
    <hyperlink r:id="rId239" ref="C123"/>
    <hyperlink r:id="rId240" ref="A124"/>
    <hyperlink r:id="rId241" ref="C124"/>
    <hyperlink r:id="rId242" ref="A125"/>
    <hyperlink r:id="rId243" ref="C125"/>
    <hyperlink r:id="rId244" ref="A126"/>
    <hyperlink r:id="rId245" ref="A127"/>
    <hyperlink r:id="rId246" ref="C127"/>
    <hyperlink r:id="rId247" ref="A128"/>
    <hyperlink r:id="rId248" ref="C128"/>
    <hyperlink r:id="rId249" ref="A129"/>
    <hyperlink r:id="rId250" ref="C129"/>
    <hyperlink r:id="rId251" ref="A130"/>
    <hyperlink r:id="rId252" ref="C130"/>
    <hyperlink r:id="rId253" ref="A131"/>
    <hyperlink r:id="rId254" ref="C131"/>
    <hyperlink r:id="rId255" location=":~:text=We%20reveal%20how%20your%20audience,Discovery%20is%20no%20longer%20linear." ref="A132"/>
    <hyperlink r:id="rId256" ref="C132"/>
    <hyperlink r:id="rId257" ref="A133"/>
    <hyperlink r:id="rId258" ref="C133"/>
    <hyperlink r:id="rId259" ref="A134"/>
    <hyperlink r:id="rId260" ref="C134"/>
    <hyperlink r:id="rId261" ref="A135"/>
    <hyperlink r:id="rId262" ref="C135"/>
    <hyperlink r:id="rId263" ref="A136"/>
    <hyperlink r:id="rId264" ref="C136"/>
    <hyperlink r:id="rId265" location=":~:text=We%20work%20side%2Dby%2Dside%20with%20your%20teams%20to,into%20action%20and%20action%20into%20measurable%20growth." ref="A137"/>
    <hyperlink r:id="rId266" ref="C137"/>
    <hyperlink r:id="rId267" location=":~:text=Rating%3A%20(4.1%2F5%20G2%2C%204.0%2F5%20Capterra)%20Best%20For%3A,Sources%20*%20ScanmarQED.%20*%20G2%20ScanmarQED%20Reviews." ref="A138"/>
    <hyperlink r:id="rId268" ref="C138"/>
    <hyperlink r:id="rId269" ref="A139"/>
    <hyperlink r:id="rId270" ref="C139"/>
    <hyperlink r:id="rId271" ref="A140"/>
    <hyperlink r:id="rId272" ref="C140"/>
    <hyperlink r:id="rId273" ref="A141"/>
    <hyperlink r:id="rId274" ref="C141"/>
    <hyperlink r:id="rId275" ref="A142"/>
    <hyperlink r:id="rId276" ref="C142"/>
    <hyperlink r:id="rId277" ref="A143"/>
    <hyperlink r:id="rId278" ref="C143"/>
    <hyperlink r:id="rId279" ref="A144"/>
    <hyperlink r:id="rId280" ref="C144"/>
    <hyperlink r:id="rId281" ref="A145"/>
    <hyperlink r:id="rId282" ref="C145"/>
    <hyperlink r:id="rId283" ref="A146"/>
    <hyperlink r:id="rId284" ref="C146"/>
    <hyperlink r:id="rId285" ref="A147"/>
    <hyperlink r:id="rId286" ref="C147"/>
    <hyperlink r:id="rId287" ref="A148"/>
    <hyperlink r:id="rId288" ref="C148"/>
    <hyperlink r:id="rId289" ref="A149"/>
    <hyperlink r:id="rId290" ref="C149"/>
    <hyperlink r:id="rId291" ref="A150"/>
    <hyperlink r:id="rId292" ref="C150"/>
    <hyperlink r:id="rId293" location=":~:text=Fully%20serviced%2C%20cooperative%2C%20or%20fully%20in%2Dhouse%2C%20the,certified%20and%20GDPR%20compliant.%20Connect%20your%20tools." ref="A151"/>
    <hyperlink r:id="rId294" ref="C151"/>
    <hyperlink r:id="rId295" ref="A152"/>
    <hyperlink r:id="rId296" ref="C152"/>
    <hyperlink r:id="rId297" ref="A153"/>
    <hyperlink r:id="rId298" ref="C153"/>
    <hyperlink r:id="rId299" ref="A154"/>
    <hyperlink r:id="rId300" ref="C154"/>
    <hyperlink r:id="rId301" ref="A155"/>
    <hyperlink r:id="rId302" ref="C155"/>
    <hyperlink r:id="rId303" ref="A156"/>
    <hyperlink r:id="rId304" ref="C156"/>
    <hyperlink r:id="rId305" ref="A157"/>
    <hyperlink r:id="rId306" ref="C157"/>
    <hyperlink r:id="rId307" ref="A158"/>
    <hyperlink r:id="rId308" ref="C158"/>
    <hyperlink r:id="rId309" ref="A159"/>
    <hyperlink r:id="rId310" ref="C159"/>
    <hyperlink r:id="rId311" ref="A160"/>
    <hyperlink r:id="rId312" ref="C160"/>
    <hyperlink r:id="rId313" ref="A161"/>
    <hyperlink r:id="rId314" ref="C161"/>
    <hyperlink r:id="rId315" location=":~:text=Mesh%2DAI-,Decentralising%20Data%20for%20Enterprise%20Agility,of%20AI%20failure%3A%20data%20inaccessibility." ref="A162"/>
    <hyperlink r:id="rId316" ref="C162"/>
    <hyperlink r:id="rId317" ref="A163"/>
    <hyperlink r:id="rId318" ref="C163"/>
    <hyperlink r:id="rId319" ref="A164"/>
    <hyperlink r:id="rId320" ref="C164"/>
    <hyperlink r:id="rId321" ref="A165"/>
    <hyperlink r:id="rId322" ref="C165"/>
    <hyperlink r:id="rId323" ref="A166"/>
    <hyperlink r:id="rId324" ref="C166"/>
    <hyperlink r:id="rId325" location=":~:text=Veda%20is%20the%20AI%20consulting,first%20AI%2C%20done%20with%20care." ref="A167"/>
    <hyperlink r:id="rId326" ref="C167"/>
    <hyperlink r:id="rId327" location=":~:text=To%20evolve%20your%20data%20we,to%20best%20fulfil%20your%20objectives." ref="A168"/>
    <hyperlink r:id="rId328" ref="C168"/>
    <hyperlink r:id="rId329" ref="A169"/>
    <hyperlink r:id="rId330" ref="C169"/>
    <hyperlink r:id="rId331" location=":~:text=In%20this%20video%2C%20I'll%20show%20you%20the,Known%20for%20clear%20results%20and%20honest%20reporting." ref="A170"/>
    <hyperlink r:id="rId332" ref="C170"/>
    <hyperlink r:id="rId333" ref="A171"/>
    <hyperlink r:id="rId334" ref="C171"/>
  </hyperlinks>
  <drawing r:id="rId335"/>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All'!D2:D1000)))=""product_page""
  ),
  """"
)"),"https://www.polarisagency.com/marketing-insights/best-aeo-agencies-uk/")</f>
        <v>https://www.polarisagency.com/marketing-insights/best-aeo-agencies-uk/</v>
      </c>
      <c r="B2" s="15" t="str">
        <f>IFERROR(__xludf.DUMMYFUNCTION("""COMPUTED_VALUE"""),"The Top 8 AEO Agencies for Businesses in the UK")</f>
        <v>The Top 8 AEO Agencies for Businesses in the UK</v>
      </c>
      <c r="C2" s="14" t="str">
        <f>IFERROR(__xludf.DUMMYFUNCTION("""COMPUTED_VALUE"""),"polarisagency.com")</f>
        <v>polarisagency.com</v>
      </c>
      <c r="D2" s="15" t="str">
        <f>IFERROR(__xludf.DUMMYFUNCTION("""COMPUTED_VALUE"""),"PRODUCT_PAGE")</f>
        <v>PRODUCT_PAGE</v>
      </c>
      <c r="E2" s="15" t="str">
        <f>IFERROR(__xludf.DUMMYFUNCTION("""COMPUTED_VALUE"""),"COMPETITOR")</f>
        <v>COMPETITOR</v>
      </c>
      <c r="F2" s="15" t="str">
        <f>IFERROR(__xludf.DUMMYFUNCTION("""COMPUTED_VALUE"""),"Product Page")</f>
        <v>Product Page</v>
      </c>
      <c r="G2" s="15" t="b">
        <f>IFERROR(__xludf.DUMMYFUNCTION("""COMPUTED_VALUE"""),FALSE)</f>
        <v>0</v>
      </c>
      <c r="H2" s="15" t="str">
        <f>IFERROR(__xludf.DUMMYFUNCTION("""COMPUTED_VALUE"""),"Polaris, Push, Push Group, The SEO Works, Digital Landscope, Builtvisible, ClickSlice, Measured")</f>
        <v>Polaris, Push, Push Group, The SEO Works, Digital Landscope, Builtvisible, ClickSlice, Measured</v>
      </c>
      <c r="I2" s="15">
        <f>IFERROR(__xludf.DUMMYFUNCTION("""COMPUTED_VALUE"""),53.0)</f>
        <v>53</v>
      </c>
      <c r="J2" s="15">
        <f>IFERROR(__xludf.DUMMYFUNCTION("""COMPUTED_VALUE"""),0.05)</f>
        <v>0.05</v>
      </c>
      <c r="K2" s="15">
        <f>IFERROR(__xludf.DUMMYFUNCTION("""COMPUTED_VALUE"""),1.94)</f>
        <v>1.94</v>
      </c>
    </row>
    <row r="3" ht="15.75" customHeight="1">
      <c r="A3" s="14" t="str">
        <f>IFERROR(__xludf.DUMMYFUNCTION("""COMPUTED_VALUE"""),"https://localiq.co.uk/digital-marketing-services/display-advertising#:~:text=Whether%20you're%20looking%20to,Media%20Group%20local%20news%20sites.")</f>
        <v>https://localiq.co.uk/digital-marketing-services/display-advertising#:~:text=Whether%20you're%20looking%20to,Media%20Group%20local%20news%20sites.</v>
      </c>
      <c r="B3" s="15" t="str">
        <f>IFERROR(__xludf.DUMMYFUNCTION("""COMPUTED_VALUE"""),"#1 Display Advertising Agency [UK Businesses] | LOCALiQ UK")</f>
        <v>#1 Display Advertising Agency [UK Businesses] | LOCALiQ UK</v>
      </c>
      <c r="C3" s="14" t="str">
        <f>IFERROR(__xludf.DUMMYFUNCTION("""COMPUTED_VALUE"""),"localiq.co.uk")</f>
        <v>localiq.co.uk</v>
      </c>
      <c r="D3" s="15" t="str">
        <f>IFERROR(__xludf.DUMMYFUNCTION("""COMPUTED_VALUE"""),"PRODUCT_PAGE")</f>
        <v>PRODUCT_PAGE</v>
      </c>
      <c r="E3" s="15" t="str">
        <f>IFERROR(__xludf.DUMMYFUNCTION("""COMPUTED_VALUE"""),"CORPORATE")</f>
        <v>CORPORATE</v>
      </c>
      <c r="F3" s="15" t="str">
        <f>IFERROR(__xludf.DUMMYFUNCTION("""COMPUTED_VALUE"""),"Product Page")</f>
        <v>Product Page</v>
      </c>
      <c r="G3" s="15" t="b">
        <f>IFERROR(__xludf.DUMMYFUNCTION("""COMPUTED_VALUE"""),FALSE)</f>
        <v>0</v>
      </c>
      <c r="H3" s="15" t="str">
        <f>IFERROR(__xludf.DUMMYFUNCTION("""COMPUTED_VALUE"""),"LOCALiQ, Impression, Found, Huge")</f>
        <v>LOCALiQ, Impression, Found, Huge</v>
      </c>
      <c r="I3" s="15">
        <f>IFERROR(__xludf.DUMMYFUNCTION("""COMPUTED_VALUE"""),39.0)</f>
        <v>39</v>
      </c>
      <c r="J3" s="15">
        <f>IFERROR(__xludf.DUMMYFUNCTION("""COMPUTED_VALUE"""),0.04)</f>
        <v>0.04</v>
      </c>
      <c r="K3" s="15">
        <f>IFERROR(__xludf.DUMMYFUNCTION("""COMPUTED_VALUE"""),0.9)</f>
        <v>0.9</v>
      </c>
    </row>
    <row r="4" ht="15.75" customHeight="1">
      <c r="A4" s="14" t="str">
        <f>IFERROR(__xludf.DUMMYFUNCTION("""COMPUTED_VALUE"""),"https://www.dentsu.com/uk/en/marketing-effectiveness")</f>
        <v>https://www.dentsu.com/uk/en/marketing-effectiveness</v>
      </c>
      <c r="B4" s="15" t="str">
        <f>IFERROR(__xludf.DUMMYFUNCTION("""COMPUTED_VALUE"""),"dentsu")</f>
        <v>dentsu</v>
      </c>
      <c r="C4" s="14" t="str">
        <f>IFERROR(__xludf.DUMMYFUNCTION("""COMPUTED_VALUE"""),"dentsu.com")</f>
        <v>dentsu.com</v>
      </c>
      <c r="D4" s="15" t="str">
        <f>IFERROR(__xludf.DUMMYFUNCTION("""COMPUTED_VALUE"""),"PRODUCT_PAGE")</f>
        <v>PRODUCT_PAGE</v>
      </c>
      <c r="E4" s="15" t="str">
        <f>IFERROR(__xludf.DUMMYFUNCTION("""COMPUTED_VALUE"""),"COMPETITOR")</f>
        <v>COMPETITOR</v>
      </c>
      <c r="F4" s="15" t="str">
        <f>IFERROR(__xludf.DUMMYFUNCTION("""COMPUTED_VALUE"""),"Product Page")</f>
        <v>Product Page</v>
      </c>
      <c r="G4" s="15" t="b">
        <f>IFERROR(__xludf.DUMMYFUNCTION("""COMPUTED_VALUE"""),FALSE)</f>
        <v>0</v>
      </c>
      <c r="H4" s="15" t="str">
        <f>IFERROR(__xludf.DUMMYFUNCTION("""COMPUTED_VALUE"""),"Dentsu, Measured")</f>
        <v>Dentsu, Measured</v>
      </c>
      <c r="I4" s="15">
        <f>IFERROR(__xludf.DUMMYFUNCTION("""COMPUTED_VALUE"""),29.0)</f>
        <v>29</v>
      </c>
      <c r="J4" s="15">
        <f>IFERROR(__xludf.DUMMYFUNCTION("""COMPUTED_VALUE"""),0.03)</f>
        <v>0.03</v>
      </c>
      <c r="K4" s="15">
        <f>IFERROR(__xludf.DUMMYFUNCTION("""COMPUTED_VALUE"""),1.45)</f>
        <v>1.45</v>
      </c>
    </row>
    <row r="5" ht="15.75" customHeight="1">
      <c r="A5" s="14" t="str">
        <f>IFERROR(__xludf.DUMMYFUNCTION("""COMPUTED_VALUE"""),"https://disruptmarketing.co/paid-social/")</f>
        <v>https://disruptmarketing.co/paid-social/</v>
      </c>
      <c r="B5" s="15" t="str">
        <f>IFERROR(__xludf.DUMMYFUNCTION("""COMPUTED_VALUE"""),"Paid Social Agency London, UK | Paid Social Ad Services | Disrupt")</f>
        <v>Paid Social Agency London, UK | Paid Social Ad Services | Disrupt</v>
      </c>
      <c r="C5" s="14" t="str">
        <f>IFERROR(__xludf.DUMMYFUNCTION("""COMPUTED_VALUE"""),"disruptmarketing.co")</f>
        <v>disruptmarketing.co</v>
      </c>
      <c r="D5" s="15" t="str">
        <f>IFERROR(__xludf.DUMMYFUNCTION("""COMPUTED_VALUE"""),"PRODUCT_PAGE")</f>
        <v>PRODUCT_PAGE</v>
      </c>
      <c r="E5" s="15" t="str">
        <f>IFERROR(__xludf.DUMMYFUNCTION("""COMPUTED_VALUE"""),"COMPETITOR")</f>
        <v>COMPETITOR</v>
      </c>
      <c r="F5" s="15" t="str">
        <f>IFERROR(__xludf.DUMMYFUNCTION("""COMPUTED_VALUE"""),"Product Page")</f>
        <v>Product Page</v>
      </c>
      <c r="G5" s="15" t="b">
        <f>IFERROR(__xludf.DUMMYFUNCTION("""COMPUTED_VALUE"""),FALSE)</f>
        <v>0</v>
      </c>
      <c r="H5" s="15" t="str">
        <f>IFERROR(__xludf.DUMMYFUNCTION("""COMPUTED_VALUE"""),"Disrupt Marketing, Found")</f>
        <v>Disrupt Marketing, Found</v>
      </c>
      <c r="I5" s="15">
        <f>IFERROR(__xludf.DUMMYFUNCTION("""COMPUTED_VALUE"""),26.0)</f>
        <v>26</v>
      </c>
      <c r="J5" s="15">
        <f>IFERROR(__xludf.DUMMYFUNCTION("""COMPUTED_VALUE"""),0.03)</f>
        <v>0.03</v>
      </c>
      <c r="K5" s="15">
        <f>IFERROR(__xludf.DUMMYFUNCTION("""COMPUTED_VALUE"""),0.92)</f>
        <v>0.92</v>
      </c>
    </row>
    <row r="6" ht="15.75" customHeight="1">
      <c r="A6" s="14" t="str">
        <f>IFERROR(__xludf.DUMMYFUNCTION("""COMPUTED_VALUE"""),"https://www.found.co.uk/services/seo/ai-seo/aeo/")</f>
        <v>https://www.found.co.uk/services/seo/ai-seo/aeo/</v>
      </c>
      <c r="B6" s="15" t="str">
        <f>IFERROR(__xludf.DUMMYFUNCTION("""COMPUTED_VALUE"""),"AEO Agency \| Answer Engine Optimisation (AEO) SEO Agency \| Found")</f>
        <v>AEO Agency \| Answer Engine Optimisation (AEO) SEO Agency \| Found</v>
      </c>
      <c r="C6" s="14" t="str">
        <f>IFERROR(__xludf.DUMMYFUNCTION("""COMPUTED_VALUE"""),"found.co.uk")</f>
        <v>found.co.uk</v>
      </c>
      <c r="D6" s="15" t="str">
        <f>IFERROR(__xludf.DUMMYFUNCTION("""COMPUTED_VALUE"""),"PRODUCT_PAGE")</f>
        <v>PRODUCT_PAGE</v>
      </c>
      <c r="E6" s="15" t="str">
        <f>IFERROR(__xludf.DUMMYFUNCTION("""COMPUTED_VALUE"""),"CORPORATE")</f>
        <v>CORPORATE</v>
      </c>
      <c r="F6" s="15" t="str">
        <f>IFERROR(__xludf.DUMMYFUNCTION("""COMPUTED_VALUE"""),"Product Page")</f>
        <v>Product Page</v>
      </c>
      <c r="G6" s="15" t="b">
        <f>IFERROR(__xludf.DUMMYFUNCTION("""COMPUTED_VALUE"""),FALSE)</f>
        <v>0</v>
      </c>
      <c r="H6" s="15" t="str">
        <f>IFERROR(__xludf.DUMMYFUNCTION("""COMPUTED_VALUE"""),"Found")</f>
        <v>Found</v>
      </c>
      <c r="I6" s="15">
        <f>IFERROR(__xludf.DUMMYFUNCTION("""COMPUTED_VALUE"""),20.0)</f>
        <v>20</v>
      </c>
      <c r="J6" s="15">
        <f>IFERROR(__xludf.DUMMYFUNCTION("""COMPUTED_VALUE"""),0.02)</f>
        <v>0.02</v>
      </c>
      <c r="K6" s="15">
        <f>IFERROR(__xludf.DUMMYFUNCTION("""COMPUTED_VALUE"""),0.75)</f>
        <v>0.75</v>
      </c>
    </row>
    <row r="7" ht="15.75" customHeight="1">
      <c r="A7" s="14" t="str">
        <f>IFERROR(__xludf.DUMMYFUNCTION("""COMPUTED_VALUE"""),"https://whitehat-seo.co.uk/ai-consultancy-and-implementation#:~:text=This%20gap%20is%20where%20specialist,revenue%2C%20not%20just%20productivity%20metrics.")</f>
        <v>https://whitehat-seo.co.uk/ai-consultancy-and-implementation#:~:text=This%20gap%20is%20where%20specialist,revenue%2C%20not%20just%20productivity%20metrics.</v>
      </c>
      <c r="B7" s="15" t="str">
        <f>IFERROR(__xludf.DUMMYFUNCTION("""COMPUTED_VALUE"""),"AI Consultancy &amp;amp; Implementation Services UK | Whitehat")</f>
        <v>AI Consultancy &amp;amp; Implementation Services UK | Whitehat</v>
      </c>
      <c r="C7" s="14" t="str">
        <f>IFERROR(__xludf.DUMMYFUNCTION("""COMPUTED_VALUE"""),"whitehat-seo.co.uk")</f>
        <v>whitehat-seo.co.uk</v>
      </c>
      <c r="D7" s="15" t="str">
        <f>IFERROR(__xludf.DUMMYFUNCTION("""COMPUTED_VALUE"""),"PRODUCT_PAGE")</f>
        <v>PRODUCT_PAGE</v>
      </c>
      <c r="E7" s="15" t="str">
        <f>IFERROR(__xludf.DUMMYFUNCTION("""COMPUTED_VALUE"""),"COMPETITOR")</f>
        <v>COMPETITOR</v>
      </c>
      <c r="F7" s="15" t="str">
        <f>IFERROR(__xludf.DUMMYFUNCTION("""COMPUTED_VALUE"""),"Product Page")</f>
        <v>Product Page</v>
      </c>
      <c r="G7" s="15" t="b">
        <f>IFERROR(__xludf.DUMMYFUNCTION("""COMPUTED_VALUE"""),FALSE)</f>
        <v>0</v>
      </c>
      <c r="H7" s="15" t="str">
        <f>IFERROR(__xludf.DUMMYFUNCTION("""COMPUTED_VALUE"""),"Whitehat, Found, PwC, Measured")</f>
        <v>Whitehat, Found, PwC, Measured</v>
      </c>
      <c r="I7" s="15">
        <f>IFERROR(__xludf.DUMMYFUNCTION("""COMPUTED_VALUE"""),17.0)</f>
        <v>17</v>
      </c>
      <c r="J7" s="15">
        <f>IFERROR(__xludf.DUMMYFUNCTION("""COMPUTED_VALUE"""),0.02)</f>
        <v>0.02</v>
      </c>
      <c r="K7" s="15">
        <f>IFERROR(__xludf.DUMMYFUNCTION("""COMPUTED_VALUE"""),1.82)</f>
        <v>1.82</v>
      </c>
    </row>
    <row r="8" ht="15.75" customHeight="1">
      <c r="A8" s="14" t="str">
        <f>IFERROR(__xludf.DUMMYFUNCTION("""COMPUTED_VALUE"""),"https://www.found.co.uk/services/seo/ai-seo/")</f>
        <v>https://www.found.co.uk/services/seo/ai-seo/</v>
      </c>
      <c r="B8" s="15" t="str">
        <f>IFERROR(__xludf.DUMMYFUNCTION("""COMPUTED_VALUE"""),"​AI SEO Agency \| Smart AI Search Services London, UK \| Found")</f>
        <v>​AI SEO Agency \| Smart AI Search Services London, UK \| Found</v>
      </c>
      <c r="C8" s="14" t="str">
        <f>IFERROR(__xludf.DUMMYFUNCTION("""COMPUTED_VALUE"""),"found.co.uk")</f>
        <v>found.co.uk</v>
      </c>
      <c r="D8" s="15" t="str">
        <f>IFERROR(__xludf.DUMMYFUNCTION("""COMPUTED_VALUE"""),"PRODUCT_PAGE")</f>
        <v>PRODUCT_PAGE</v>
      </c>
      <c r="E8" s="15" t="str">
        <f>IFERROR(__xludf.DUMMYFUNCTION("""COMPUTED_VALUE"""),"CORPORATE")</f>
        <v>CORPORATE</v>
      </c>
      <c r="F8" s="15" t="str">
        <f>IFERROR(__xludf.DUMMYFUNCTION("""COMPUTED_VALUE"""),"Product Page")</f>
        <v>Product Page</v>
      </c>
      <c r="G8" s="15" t="b">
        <f>IFERROR(__xludf.DUMMYFUNCTION("""COMPUTED_VALUE"""),FALSE)</f>
        <v>0</v>
      </c>
      <c r="H8" s="15" t="str">
        <f>IFERROR(__xludf.DUMMYFUNCTION("""COMPUTED_VALUE"""),"Found, Favoured, Disrupt Marketing")</f>
        <v>Found, Favoured, Disrupt Marketing</v>
      </c>
      <c r="I8" s="15">
        <f>IFERROR(__xludf.DUMMYFUNCTION("""COMPUTED_VALUE"""),16.0)</f>
        <v>16</v>
      </c>
      <c r="J8" s="15">
        <f>IFERROR(__xludf.DUMMYFUNCTION("""COMPUTED_VALUE"""),0.02)</f>
        <v>0.02</v>
      </c>
      <c r="K8" s="15">
        <f>IFERROR(__xludf.DUMMYFUNCTION("""COMPUTED_VALUE"""),1.19)</f>
        <v>1.19</v>
      </c>
    </row>
    <row r="9" ht="15.75" customHeight="1">
      <c r="A9" s="14" t="str">
        <f>IFERROR(__xludf.DUMMYFUNCTION("""COMPUTED_VALUE"""),"https://www.panovistamarketing.com/blog/best-ai-seo-agencies-uk#:~:text=1.,is%20not%20the%20same%20thing.")</f>
        <v>https://www.panovistamarketing.com/blog/best-ai-seo-agencies-uk#:~:text=1.,is%20not%20the%20same%20thing.</v>
      </c>
      <c r="B9" s="15" t="str">
        <f>IFERROR(__xludf.DUMMYFUNCTION("""COMPUTED_VALUE"""),"Best AI SEO Agencies UK 2026 | How to Choose Wisely")</f>
        <v>Best AI SEO Agencies UK 2026 | How to Choose Wisely</v>
      </c>
      <c r="C9" s="14" t="str">
        <f>IFERROR(__xludf.DUMMYFUNCTION("""COMPUTED_VALUE"""),"panovistamarketing.com")</f>
        <v>panovistamarketing.com</v>
      </c>
      <c r="D9" s="15" t="str">
        <f>IFERROR(__xludf.DUMMYFUNCTION("""COMPUTED_VALUE"""),"PRODUCT_PAGE")</f>
        <v>PRODUCT_PAGE</v>
      </c>
      <c r="E9" s="15" t="str">
        <f>IFERROR(__xludf.DUMMYFUNCTION("""COMPUTED_VALUE"""),"CORPORATE")</f>
        <v>CORPORATE</v>
      </c>
      <c r="F9" s="15" t="str">
        <f>IFERROR(__xludf.DUMMYFUNCTION("""COMPUTED_VALUE"""),"Product Page")</f>
        <v>Product Page</v>
      </c>
      <c r="G9" s="15" t="b">
        <f>IFERROR(__xludf.DUMMYFUNCTION("""COMPUTED_VALUE"""),FALSE)</f>
        <v>0</v>
      </c>
      <c r="H9" s="15" t="str">
        <f>IFERROR(__xludf.DUMMYFUNCTION("""COMPUTED_VALUE"""),"Panovista Marketing, Found")</f>
        <v>Panovista Marketing, Found</v>
      </c>
      <c r="I9" s="15">
        <f>IFERROR(__xludf.DUMMYFUNCTION("""COMPUTED_VALUE"""),16.0)</f>
        <v>16</v>
      </c>
      <c r="J9" s="15">
        <f>IFERROR(__xludf.DUMMYFUNCTION("""COMPUTED_VALUE"""),0.02)</f>
        <v>0.02</v>
      </c>
      <c r="K9" s="15">
        <f>IFERROR(__xludf.DUMMYFUNCTION("""COMPUTED_VALUE"""),1.19)</f>
        <v>1.19</v>
      </c>
    </row>
    <row r="10" ht="15.75" customHeight="1">
      <c r="A10" s="14" t="str">
        <f>IFERROR(__xludf.DUMMYFUNCTION("""COMPUTED_VALUE"""),"https://www.found.co.uk/services/data/analytics/")</f>
        <v>https://www.found.co.uk/services/data/analytics/</v>
      </c>
      <c r="B10" s="15" t="str">
        <f>IFERROR(__xludf.DUMMYFUNCTION("""COMPUTED_VALUE"""),"Data Analytics Agency, London \| Data Analytics Services \| Found")</f>
        <v>Data Analytics Agency, London \| Data Analytics Services \| Found</v>
      </c>
      <c r="C10" s="14" t="str">
        <f>IFERROR(__xludf.DUMMYFUNCTION("""COMPUTED_VALUE"""),"found.co.uk")</f>
        <v>found.co.uk</v>
      </c>
      <c r="D10" s="15" t="str">
        <f>IFERROR(__xludf.DUMMYFUNCTION("""COMPUTED_VALUE"""),"PRODUCT_PAGE")</f>
        <v>PRODUCT_PAGE</v>
      </c>
      <c r="E10" s="15" t="str">
        <f>IFERROR(__xludf.DUMMYFUNCTION("""COMPUTED_VALUE"""),"CORPORATE")</f>
        <v>CORPORATE</v>
      </c>
      <c r="F10" s="15" t="str">
        <f>IFERROR(__xludf.DUMMYFUNCTION("""COMPUTED_VALUE"""),"Product Page")</f>
        <v>Product Page</v>
      </c>
      <c r="G10" s="15" t="b">
        <f>IFERROR(__xludf.DUMMYFUNCTION("""COMPUTED_VALUE"""),FALSE)</f>
        <v>0</v>
      </c>
      <c r="H10" s="15" t="str">
        <f>IFERROR(__xludf.DUMMYFUNCTION("""COMPUTED_VALUE"""),"Found, Huge")</f>
        <v>Found, Huge</v>
      </c>
      <c r="I10" s="15">
        <f>IFERROR(__xludf.DUMMYFUNCTION("""COMPUTED_VALUE"""),13.0)</f>
        <v>13</v>
      </c>
      <c r="J10" s="15">
        <f>IFERROR(__xludf.DUMMYFUNCTION("""COMPUTED_VALUE"""),0.01)</f>
        <v>0.01</v>
      </c>
      <c r="K10" s="15">
        <f>IFERROR(__xludf.DUMMYFUNCTION("""COMPUTED_VALUE"""),1.15)</f>
        <v>1.15</v>
      </c>
    </row>
    <row r="11" ht="15.75" customHeight="1">
      <c r="A11" s="14" t="str">
        <f>IFERROR(__xludf.DUMMYFUNCTION("""COMPUTED_VALUE"""),"https://www.kinase.co.uk/measurement-1")</f>
        <v>https://www.kinase.co.uk/measurement-1</v>
      </c>
      <c r="B11" s="15" t="str">
        <f>IFERROR(__xludf.DUMMYFUNCTION("""COMPUTED_VALUE"""),"Kinase Digital Marketing | Paid Search Agency London")</f>
        <v>Kinase Digital Marketing | Paid Search Agency London</v>
      </c>
      <c r="C11" s="14" t="str">
        <f>IFERROR(__xludf.DUMMYFUNCTION("""COMPUTED_VALUE"""),"kinase.co.uk")</f>
        <v>kinase.co.uk</v>
      </c>
      <c r="D11" s="15" t="str">
        <f>IFERROR(__xludf.DUMMYFUNCTION("""COMPUTED_VALUE"""),"PRODUCT_PAGE")</f>
        <v>PRODUCT_PAGE</v>
      </c>
      <c r="E11" s="15" t="str">
        <f>IFERROR(__xludf.DUMMYFUNCTION("""COMPUTED_VALUE"""),"CORPORATE")</f>
        <v>CORPORATE</v>
      </c>
      <c r="F11" s="15" t="str">
        <f>IFERROR(__xludf.DUMMYFUNCTION("""COMPUTED_VALUE"""),"Product Page")</f>
        <v>Product Page</v>
      </c>
      <c r="G11" s="15" t="b">
        <f>IFERROR(__xludf.DUMMYFUNCTION("""COMPUTED_VALUE"""),FALSE)</f>
        <v>0</v>
      </c>
      <c r="H11" s="15"/>
      <c r="I11" s="15">
        <f>IFERROR(__xludf.DUMMYFUNCTION("""COMPUTED_VALUE"""),13.0)</f>
        <v>13</v>
      </c>
      <c r="J11" s="15">
        <f>IFERROR(__xludf.DUMMYFUNCTION("""COMPUTED_VALUE"""),0.01)</f>
        <v>0.01</v>
      </c>
      <c r="K11" s="15">
        <f>IFERROR(__xludf.DUMMYFUNCTION("""COMPUTED_VALUE"""),1.08)</f>
        <v>1.08</v>
      </c>
    </row>
    <row r="12" ht="15.75" customHeight="1">
      <c r="A12" s="14" t="str">
        <f>IFERROR(__xludf.DUMMYFUNCTION("""COMPUTED_VALUE"""),"https://www.lynchpin.com/services/marketing-attribution/")</f>
        <v>https://www.lynchpin.com/services/marketing-attribution/</v>
      </c>
      <c r="B12" s="15" t="str">
        <f>IFERROR(__xludf.DUMMYFUNCTION("""COMPUTED_VALUE"""),"Marketing Attribution - Lynchpin - Independent analytics consultancy")</f>
        <v>Marketing Attribution - Lynchpin - Independent analytics consultancy</v>
      </c>
      <c r="C12" s="14" t="str">
        <f>IFERROR(__xludf.DUMMYFUNCTION("""COMPUTED_VALUE"""),"lynchpin.com")</f>
        <v>lynchpin.com</v>
      </c>
      <c r="D12" s="15" t="str">
        <f>IFERROR(__xludf.DUMMYFUNCTION("""COMPUTED_VALUE"""),"PRODUCT_PAGE")</f>
        <v>PRODUCT_PAGE</v>
      </c>
      <c r="E12" s="15" t="str">
        <f>IFERROR(__xludf.DUMMYFUNCTION("""COMPUTED_VALUE"""),"CORPORATE")</f>
        <v>CORPORATE</v>
      </c>
      <c r="F12" s="15" t="str">
        <f>IFERROR(__xludf.DUMMYFUNCTION("""COMPUTED_VALUE"""),"Product Page")</f>
        <v>Product Page</v>
      </c>
      <c r="G12" s="15" t="b">
        <f>IFERROR(__xludf.DUMMYFUNCTION("""COMPUTED_VALUE"""),FALSE)</f>
        <v>0</v>
      </c>
      <c r="H12" s="15"/>
      <c r="I12" s="15">
        <f>IFERROR(__xludf.DUMMYFUNCTION("""COMPUTED_VALUE"""),11.0)</f>
        <v>11</v>
      </c>
      <c r="J12" s="15">
        <f>IFERROR(__xludf.DUMMYFUNCTION("""COMPUTED_VALUE"""),0.01)</f>
        <v>0.01</v>
      </c>
      <c r="K12" s="15">
        <f>IFERROR(__xludf.DUMMYFUNCTION("""COMPUTED_VALUE"""),1.18)</f>
        <v>1.18</v>
      </c>
    </row>
    <row r="13" ht="15.75" customHeight="1">
      <c r="A13" s="14" t="str">
        <f>IFERROR(__xludf.DUMMYFUNCTION("""COMPUTED_VALUE"""),"https://netpeak.co.uk/services/marketing-analytics/")</f>
        <v>https://netpeak.co.uk/services/marketing-analytics/</v>
      </c>
      <c r="B13" s="15" t="str">
        <f>IFERROR(__xludf.DUMMYFUNCTION("""COMPUTED_VALUE"""),"▷ Marketing BI Analytics Services — Netpeak Agency UK")</f>
        <v>▷ Marketing BI Analytics Services — Netpeak Agency UK</v>
      </c>
      <c r="C13" s="14" t="str">
        <f>IFERROR(__xludf.DUMMYFUNCTION("""COMPUTED_VALUE"""),"netpeak.co.uk")</f>
        <v>netpeak.co.uk</v>
      </c>
      <c r="D13" s="15" t="str">
        <f>IFERROR(__xludf.DUMMYFUNCTION("""COMPUTED_VALUE"""),"PRODUCT_PAGE")</f>
        <v>PRODUCT_PAGE</v>
      </c>
      <c r="E13" s="15" t="str">
        <f>IFERROR(__xludf.DUMMYFUNCTION("""COMPUTED_VALUE"""),"CORPORATE")</f>
        <v>CORPORATE</v>
      </c>
      <c r="F13" s="15" t="str">
        <f>IFERROR(__xludf.DUMMYFUNCTION("""COMPUTED_VALUE"""),"Product Page")</f>
        <v>Product Page</v>
      </c>
      <c r="G13" s="15" t="b">
        <f>IFERROR(__xludf.DUMMYFUNCTION("""COMPUTED_VALUE"""),FALSE)</f>
        <v>0</v>
      </c>
      <c r="H13" s="15"/>
      <c r="I13" s="15">
        <f>IFERROR(__xludf.DUMMYFUNCTION("""COMPUTED_VALUE"""),11.0)</f>
        <v>11</v>
      </c>
      <c r="J13" s="15">
        <f>IFERROR(__xludf.DUMMYFUNCTION("""COMPUTED_VALUE"""),0.01)</f>
        <v>0.01</v>
      </c>
      <c r="K13" s="15">
        <f>IFERROR(__xludf.DUMMYFUNCTION("""COMPUTED_VALUE"""),0.82)</f>
        <v>0.82</v>
      </c>
    </row>
    <row r="14" ht="15.75" customHeight="1">
      <c r="A14" s="14" t="str">
        <f>IFERROR(__xludf.DUMMYFUNCTION("""COMPUTED_VALUE"""),"https://aargroup.co.uk/services-for-marketers/platform-readiness/genai-readiness-assessment/")</f>
        <v>https://aargroup.co.uk/services-for-marketers/platform-readiness/genai-readiness-assessment/</v>
      </c>
      <c r="B14" s="15" t="str">
        <f>IFERROR(__xludf.DUMMYFUNCTION("""COMPUTED_VALUE"""),"Generative AI Readiness Assessment Consulting | AAR")</f>
        <v>Generative AI Readiness Assessment Consulting | AAR</v>
      </c>
      <c r="C14" s="14" t="str">
        <f>IFERROR(__xludf.DUMMYFUNCTION("""COMPUTED_VALUE"""),"aargroup.co.uk")</f>
        <v>aargroup.co.uk</v>
      </c>
      <c r="D14" s="15" t="str">
        <f>IFERROR(__xludf.DUMMYFUNCTION("""COMPUTED_VALUE"""),"PRODUCT_PAGE")</f>
        <v>PRODUCT_PAGE</v>
      </c>
      <c r="E14" s="15" t="str">
        <f>IFERROR(__xludf.DUMMYFUNCTION("""COMPUTED_VALUE"""),"CORPORATE")</f>
        <v>CORPORATE</v>
      </c>
      <c r="F14" s="15" t="str">
        <f>IFERROR(__xludf.DUMMYFUNCTION("""COMPUTED_VALUE"""),"Product Page")</f>
        <v>Product Page</v>
      </c>
      <c r="G14" s="15" t="b">
        <f>IFERROR(__xludf.DUMMYFUNCTION("""COMPUTED_VALUE"""),FALSE)</f>
        <v>0</v>
      </c>
      <c r="H14" s="15" t="str">
        <f>IFERROR(__xludf.DUMMYFUNCTION("""COMPUTED_VALUE"""),"AAR Group")</f>
        <v>AAR Group</v>
      </c>
      <c r="I14" s="15">
        <f>IFERROR(__xludf.DUMMYFUNCTION("""COMPUTED_VALUE"""),10.0)</f>
        <v>10</v>
      </c>
      <c r="J14" s="15">
        <f>IFERROR(__xludf.DUMMYFUNCTION("""COMPUTED_VALUE"""),0.01)</f>
        <v>0.01</v>
      </c>
      <c r="K14" s="15">
        <f>IFERROR(__xludf.DUMMYFUNCTION("""COMPUTED_VALUE"""),2.5)</f>
        <v>2.5</v>
      </c>
    </row>
    <row r="15" ht="15.75" customHeight="1">
      <c r="A15" s="14" t="str">
        <f>IFERROR(__xludf.DUMMYFUNCTION("""COMPUTED_VALUE"""),"https://arytech.com/uk/services/ai-consulting-services/")</f>
        <v>https://arytech.com/uk/services/ai-consulting-services/</v>
      </c>
      <c r="B15" s="15" t="str">
        <f>IFERROR(__xludf.DUMMYFUNCTION("""COMPUTED_VALUE"""),"AI Consulting Company In UK - AI Consulting Services UK")</f>
        <v>AI Consulting Company In UK - AI Consulting Services UK</v>
      </c>
      <c r="C15" s="14" t="str">
        <f>IFERROR(__xludf.DUMMYFUNCTION("""COMPUTED_VALUE"""),"arytech.com")</f>
        <v>arytech.com</v>
      </c>
      <c r="D15" s="15" t="str">
        <f>IFERROR(__xludf.DUMMYFUNCTION("""COMPUTED_VALUE"""),"PRODUCT_PAGE")</f>
        <v>PRODUCT_PAGE</v>
      </c>
      <c r="E15" s="15" t="str">
        <f>IFERROR(__xludf.DUMMYFUNCTION("""COMPUTED_VALUE"""),"CORPORATE")</f>
        <v>CORPORATE</v>
      </c>
      <c r="F15" s="15" t="str">
        <f>IFERROR(__xludf.DUMMYFUNCTION("""COMPUTED_VALUE"""),"Product Page")</f>
        <v>Product Page</v>
      </c>
      <c r="G15" s="15" t="b">
        <f>IFERROR(__xludf.DUMMYFUNCTION("""COMPUTED_VALUE"""),FALSE)</f>
        <v>0</v>
      </c>
      <c r="H15" s="15"/>
      <c r="I15" s="15">
        <f>IFERROR(__xludf.DUMMYFUNCTION("""COMPUTED_VALUE"""),10.0)</f>
        <v>10</v>
      </c>
      <c r="J15" s="15">
        <f>IFERROR(__xludf.DUMMYFUNCTION("""COMPUTED_VALUE"""),0.01)</f>
        <v>0.01</v>
      </c>
      <c r="K15" s="15">
        <f>IFERROR(__xludf.DUMMYFUNCTION("""COMPUTED_VALUE"""),0.1)</f>
        <v>0.1</v>
      </c>
    </row>
    <row r="16" ht="15.75" customHeight="1">
      <c r="A16" s="14" t="str">
        <f>IFERROR(__xludf.DUMMYFUNCTION("""COMPUTED_VALUE"""),"https://www.haus.io/use-cases/incrementality")</f>
        <v>https://www.haus.io/use-cases/incrementality</v>
      </c>
      <c r="B16" s="15" t="str">
        <f>IFERROR(__xludf.DUMMYFUNCTION("""COMPUTED_VALUE"""),"Haus Incrementality Testing")</f>
        <v>Haus Incrementality Testing</v>
      </c>
      <c r="C16" s="14" t="str">
        <f>IFERROR(__xludf.DUMMYFUNCTION("""COMPUTED_VALUE"""),"haus.io")</f>
        <v>haus.io</v>
      </c>
      <c r="D16" s="15" t="str">
        <f>IFERROR(__xludf.DUMMYFUNCTION("""COMPUTED_VALUE"""),"PRODUCT_PAGE")</f>
        <v>PRODUCT_PAGE</v>
      </c>
      <c r="E16" s="15" t="str">
        <f>IFERROR(__xludf.DUMMYFUNCTION("""COMPUTED_VALUE"""),"CORPORATE")</f>
        <v>CORPORATE</v>
      </c>
      <c r="F16" s="15" t="str">
        <f>IFERROR(__xludf.DUMMYFUNCTION("""COMPUTED_VALUE"""),"Product Page")</f>
        <v>Product Page</v>
      </c>
      <c r="G16" s="15" t="b">
        <f>IFERROR(__xludf.DUMMYFUNCTION("""COMPUTED_VALUE"""),FALSE)</f>
        <v>0</v>
      </c>
      <c r="H16" s="15" t="str">
        <f>IFERROR(__xludf.DUMMYFUNCTION("""COMPUTED_VALUE"""),"Found, Haus, Momentum")</f>
        <v>Found, Haus, Momentum</v>
      </c>
      <c r="I16" s="15">
        <f>IFERROR(__xludf.DUMMYFUNCTION("""COMPUTED_VALUE"""),10.0)</f>
        <v>10</v>
      </c>
      <c r="J16" s="15">
        <f>IFERROR(__xludf.DUMMYFUNCTION("""COMPUTED_VALUE"""),0.01)</f>
        <v>0.01</v>
      </c>
      <c r="K16" s="15">
        <f>IFERROR(__xludf.DUMMYFUNCTION("""COMPUTED_VALUE"""),0.1)</f>
        <v>0.1</v>
      </c>
    </row>
    <row r="17" ht="15.75" customHeight="1">
      <c r="A17" s="14" t="str">
        <f>IFERROR(__xludf.DUMMYFUNCTION("""COMPUTED_VALUE"""),"https://www.onelinkmedia.co.uk/strategy/attribution/")</f>
        <v>https://www.onelinkmedia.co.uk/strategy/attribution/</v>
      </c>
      <c r="B17" s="15" t="str">
        <f>IFERROR(__xludf.DUMMYFUNCTION("""COMPUTED_VALUE"""),"Data Attribution Agency London | Onelink")</f>
        <v>Data Attribution Agency London | Onelink</v>
      </c>
      <c r="C17" s="14" t="str">
        <f>IFERROR(__xludf.DUMMYFUNCTION("""COMPUTED_VALUE"""),"onelinkmedia.co.uk")</f>
        <v>onelinkmedia.co.uk</v>
      </c>
      <c r="D17" s="15" t="str">
        <f>IFERROR(__xludf.DUMMYFUNCTION("""COMPUTED_VALUE"""),"PRODUCT_PAGE")</f>
        <v>PRODUCT_PAGE</v>
      </c>
      <c r="E17" s="15" t="str">
        <f>IFERROR(__xludf.DUMMYFUNCTION("""COMPUTED_VALUE"""),"CORPORATE")</f>
        <v>CORPORATE</v>
      </c>
      <c r="F17" s="15" t="str">
        <f>IFERROR(__xludf.DUMMYFUNCTION("""COMPUTED_VALUE"""),"Product Page")</f>
        <v>Product Page</v>
      </c>
      <c r="G17" s="15" t="b">
        <f>IFERROR(__xludf.DUMMYFUNCTION("""COMPUTED_VALUE"""),FALSE)</f>
        <v>0</v>
      </c>
      <c r="H17" s="15"/>
      <c r="I17" s="15">
        <f>IFERROR(__xludf.DUMMYFUNCTION("""COMPUTED_VALUE"""),10.0)</f>
        <v>10</v>
      </c>
      <c r="J17" s="15">
        <f>IFERROR(__xludf.DUMMYFUNCTION("""COMPUTED_VALUE"""),0.01)</f>
        <v>0.01</v>
      </c>
      <c r="K17" s="15">
        <f>IFERROR(__xludf.DUMMYFUNCTION("""COMPUTED_VALUE"""),0.3)</f>
        <v>0.3</v>
      </c>
    </row>
    <row r="18" ht="15.75" customHeight="1">
      <c r="A18" s="14" t="str">
        <f>IFERROR(__xludf.DUMMYFUNCTION("""COMPUTED_VALUE"""),"https://getrecast.com/experimentation/")</f>
        <v>https://getrecast.com/experimentation/</v>
      </c>
      <c r="B18" s="15" t="str">
        <f>IFERROR(__xludf.DUMMYFUNCTION("""COMPUTED_VALUE"""),"Experimentation - Recast")</f>
        <v>Experimentation - Recast</v>
      </c>
      <c r="C18" s="14" t="str">
        <f>IFERROR(__xludf.DUMMYFUNCTION("""COMPUTED_VALUE"""),"getrecast.com")</f>
        <v>getrecast.com</v>
      </c>
      <c r="D18" s="15" t="str">
        <f>IFERROR(__xludf.DUMMYFUNCTION("""COMPUTED_VALUE"""),"PRODUCT_PAGE")</f>
        <v>PRODUCT_PAGE</v>
      </c>
      <c r="E18" s="15" t="str">
        <f>IFERROR(__xludf.DUMMYFUNCTION("""COMPUTED_VALUE"""),"CORPORATE")</f>
        <v>CORPORATE</v>
      </c>
      <c r="F18" s="15" t="str">
        <f>IFERROR(__xludf.DUMMYFUNCTION("""COMPUTED_VALUE"""),"Product Page")</f>
        <v>Product Page</v>
      </c>
      <c r="G18" s="15" t="b">
        <f>IFERROR(__xludf.DUMMYFUNCTION("""COMPUTED_VALUE"""),FALSE)</f>
        <v>0</v>
      </c>
      <c r="H18" s="15" t="str">
        <f>IFERROR(__xludf.DUMMYFUNCTION("""COMPUTED_VALUE"""),"Recast")</f>
        <v>Recast</v>
      </c>
      <c r="I18" s="15">
        <f>IFERROR(__xludf.DUMMYFUNCTION("""COMPUTED_VALUE"""),8.0)</f>
        <v>8</v>
      </c>
      <c r="J18" s="15">
        <f>IFERROR(__xludf.DUMMYFUNCTION("""COMPUTED_VALUE"""),0.01)</f>
        <v>0.01</v>
      </c>
      <c r="K18" s="15">
        <f>IFERROR(__xludf.DUMMYFUNCTION("""COMPUTED_VALUE"""),0.88)</f>
        <v>0.88</v>
      </c>
    </row>
    <row r="19" ht="15.75" customHeight="1">
      <c r="A19" s="14" t="str">
        <f>IFERROR(__xludf.DUMMYFUNCTION("""COMPUTED_VALUE"""),"https://www.havasmarket.co.uk/data-science-analytics/")</f>
        <v>https://www.havasmarket.co.uk/data-science-analytics/</v>
      </c>
      <c r="B19" s="15" t="str">
        <f>IFERROR(__xludf.DUMMYFUNCTION("""COMPUTED_VALUE"""),"Data Science &amp;amp; Analytics Agency | Havas Market UK")</f>
        <v>Data Science &amp;amp; Analytics Agency | Havas Market UK</v>
      </c>
      <c r="C19" s="14" t="str">
        <f>IFERROR(__xludf.DUMMYFUNCTION("""COMPUTED_VALUE"""),"havasmarket.co.uk")</f>
        <v>havasmarket.co.uk</v>
      </c>
      <c r="D19" s="15" t="str">
        <f>IFERROR(__xludf.DUMMYFUNCTION("""COMPUTED_VALUE"""),"PRODUCT_PAGE")</f>
        <v>PRODUCT_PAGE</v>
      </c>
      <c r="E19" s="15" t="str">
        <f>IFERROR(__xludf.DUMMYFUNCTION("""COMPUTED_VALUE"""),"COMPETITOR")</f>
        <v>COMPETITOR</v>
      </c>
      <c r="F19" s="15" t="str">
        <f>IFERROR(__xludf.DUMMYFUNCTION("""COMPUTED_VALUE"""),"Product Page")</f>
        <v>Product Page</v>
      </c>
      <c r="G19" s="15" t="b">
        <f>IFERROR(__xludf.DUMMYFUNCTION("""COMPUTED_VALUE"""),FALSE)</f>
        <v>0</v>
      </c>
      <c r="H19" s="15" t="str">
        <f>IFERROR(__xludf.DUMMYFUNCTION("""COMPUTED_VALUE"""),"Havas Market UK")</f>
        <v>Havas Market UK</v>
      </c>
      <c r="I19" s="15">
        <f>IFERROR(__xludf.DUMMYFUNCTION("""COMPUTED_VALUE"""),8.0)</f>
        <v>8</v>
      </c>
      <c r="J19" s="15">
        <f>IFERROR(__xludf.DUMMYFUNCTION("""COMPUTED_VALUE"""),0.01)</f>
        <v>0.01</v>
      </c>
      <c r="K19" s="15">
        <f>IFERROR(__xludf.DUMMYFUNCTION("""COMPUTED_VALUE"""),1.5)</f>
        <v>1.5</v>
      </c>
    </row>
    <row r="20" ht="15.75" customHeight="1">
      <c r="A20" s="14" t="str">
        <f>IFERROR(__xludf.DUMMYFUNCTION("""COMPUTED_VALUE"""),"https://www.hotwireglobal.co.uk/our-services/ai-consulting-tech/")</f>
        <v>https://www.hotwireglobal.co.uk/our-services/ai-consulting-tech/</v>
      </c>
      <c r="B20" s="15" t="str">
        <f>IFERROR(__xludf.DUMMYFUNCTION("""COMPUTED_VALUE"""),"AI Consulting &amp;amp; Tech | Hotwire UK")</f>
        <v>AI Consulting &amp;amp; Tech | Hotwire UK</v>
      </c>
      <c r="C20" s="14" t="str">
        <f>IFERROR(__xludf.DUMMYFUNCTION("""COMPUTED_VALUE"""),"hotwireglobal.co.uk")</f>
        <v>hotwireglobal.co.uk</v>
      </c>
      <c r="D20" s="15" t="str">
        <f>IFERROR(__xludf.DUMMYFUNCTION("""COMPUTED_VALUE"""),"PRODUCT_PAGE")</f>
        <v>PRODUCT_PAGE</v>
      </c>
      <c r="E20" s="15" t="str">
        <f>IFERROR(__xludf.DUMMYFUNCTION("""COMPUTED_VALUE"""),"CORPORATE")</f>
        <v>CORPORATE</v>
      </c>
      <c r="F20" s="15" t="str">
        <f>IFERROR(__xludf.DUMMYFUNCTION("""COMPUTED_VALUE"""),"Product Page")</f>
        <v>Product Page</v>
      </c>
      <c r="G20" s="15" t="b">
        <f>IFERROR(__xludf.DUMMYFUNCTION("""COMPUTED_VALUE"""),FALSE)</f>
        <v>0</v>
      </c>
      <c r="H20" s="15"/>
      <c r="I20" s="15">
        <f>IFERROR(__xludf.DUMMYFUNCTION("""COMPUTED_VALUE"""),8.0)</f>
        <v>8</v>
      </c>
      <c r="J20" s="15">
        <f>IFERROR(__xludf.DUMMYFUNCTION("""COMPUTED_VALUE"""),0.01)</f>
        <v>0.01</v>
      </c>
      <c r="K20" s="15">
        <f>IFERROR(__xludf.DUMMYFUNCTION("""COMPUTED_VALUE"""),1.0)</f>
        <v>1</v>
      </c>
    </row>
    <row r="21" ht="15.75" customHeight="1">
      <c r="A21" s="14" t="str">
        <f>IFERROR(__xludf.DUMMYFUNCTION("""COMPUTED_VALUE"""),"https://openkit.co.uk/ai-services/ai-consulting")</f>
        <v>https://openkit.co.uk/ai-services/ai-consulting</v>
      </c>
      <c r="B21" s="15" t="str">
        <f>IFERROR(__xludf.DUMMYFUNCTION("""COMPUTED_VALUE"""),"AI Consulting for UK SMEs | ISO 27001 | OpenKit")</f>
        <v>AI Consulting for UK SMEs | ISO 27001 | OpenKit</v>
      </c>
      <c r="C21" s="14" t="str">
        <f>IFERROR(__xludf.DUMMYFUNCTION("""COMPUTED_VALUE"""),"openkit.co.uk")</f>
        <v>openkit.co.uk</v>
      </c>
      <c r="D21" s="15" t="str">
        <f>IFERROR(__xludf.DUMMYFUNCTION("""COMPUTED_VALUE"""),"PRODUCT_PAGE")</f>
        <v>PRODUCT_PAGE</v>
      </c>
      <c r="E21" s="15" t="str">
        <f>IFERROR(__xludf.DUMMYFUNCTION("""COMPUTED_VALUE"""),"CORPORATE")</f>
        <v>CORPORATE</v>
      </c>
      <c r="F21" s="15" t="str">
        <f>IFERROR(__xludf.DUMMYFUNCTION("""COMPUTED_VALUE"""),"Product Page")</f>
        <v>Product Page</v>
      </c>
      <c r="G21" s="15" t="b">
        <f>IFERROR(__xludf.DUMMYFUNCTION("""COMPUTED_VALUE"""),FALSE)</f>
        <v>0</v>
      </c>
      <c r="H21" s="15"/>
      <c r="I21" s="15">
        <f>IFERROR(__xludf.DUMMYFUNCTION("""COMPUTED_VALUE"""),8.0)</f>
        <v>8</v>
      </c>
      <c r="J21" s="15">
        <f>IFERROR(__xludf.DUMMYFUNCTION("""COMPUTED_VALUE"""),0.01)</f>
        <v>0.01</v>
      </c>
      <c r="K21" s="15">
        <f>IFERROR(__xludf.DUMMYFUNCTION("""COMPUTED_VALUE"""),1.13)</f>
        <v>1.13</v>
      </c>
    </row>
    <row r="22" ht="15.75" customHeight="1">
      <c r="A22" s="14" t="str">
        <f>IFERROR(__xludf.DUMMYFUNCTION("""COMPUTED_VALUE"""),"https://s360digital.com/capabilities/data/incrementality-testing/")</f>
        <v>https://s360digital.com/capabilities/data/incrementality-testing/</v>
      </c>
      <c r="B22" s="15" t="str">
        <f>IFERROR(__xludf.DUMMYFUNCTION("""COMPUTED_VALUE"""),"Prove marketing impact with Incrementality Testing | s360")</f>
        <v>Prove marketing impact with Incrementality Testing | s360</v>
      </c>
      <c r="C22" s="14" t="str">
        <f>IFERROR(__xludf.DUMMYFUNCTION("""COMPUTED_VALUE"""),"s360digital.com")</f>
        <v>s360digital.com</v>
      </c>
      <c r="D22" s="15" t="str">
        <f>IFERROR(__xludf.DUMMYFUNCTION("""COMPUTED_VALUE"""),"PRODUCT_PAGE")</f>
        <v>PRODUCT_PAGE</v>
      </c>
      <c r="E22" s="15" t="str">
        <f>IFERROR(__xludf.DUMMYFUNCTION("""COMPUTED_VALUE"""),"CORPORATE")</f>
        <v>CORPORATE</v>
      </c>
      <c r="F22" s="15" t="str">
        <f>IFERROR(__xludf.DUMMYFUNCTION("""COMPUTED_VALUE"""),"Product Page")</f>
        <v>Product Page</v>
      </c>
      <c r="G22" s="15" t="b">
        <f>IFERROR(__xludf.DUMMYFUNCTION("""COMPUTED_VALUE"""),FALSE)</f>
        <v>0</v>
      </c>
      <c r="H22" s="15" t="str">
        <f>IFERROR(__xludf.DUMMYFUNCTION("""COMPUTED_VALUE"""),"Measured, Screaming Frog")</f>
        <v>Measured, Screaming Frog</v>
      </c>
      <c r="I22" s="15">
        <f>IFERROR(__xludf.DUMMYFUNCTION("""COMPUTED_VALUE"""),8.0)</f>
        <v>8</v>
      </c>
      <c r="J22" s="15">
        <f>IFERROR(__xludf.DUMMYFUNCTION("""COMPUTED_VALUE"""),0.01)</f>
        <v>0.01</v>
      </c>
      <c r="K22" s="15">
        <f>IFERROR(__xludf.DUMMYFUNCTION("""COMPUTED_VALUE"""),1.13)</f>
        <v>1.13</v>
      </c>
    </row>
    <row r="23" ht="15.75" customHeight="1">
      <c r="A23" s="14" t="str">
        <f>IFERROR(__xludf.DUMMYFUNCTION("""COMPUTED_VALUE"""),"https://salocin-group.com/our-services/ai-consulting-services/")</f>
        <v>https://salocin-group.com/our-services/ai-consulting-services/</v>
      </c>
      <c r="B23" s="15" t="str">
        <f>IFERROR(__xludf.DUMMYFUNCTION("""COMPUTED_VALUE"""),"AI consulting services and AI enablement \| Salocin Group")</f>
        <v>AI consulting services and AI enablement \| Salocin Group</v>
      </c>
      <c r="C23" s="14" t="str">
        <f>IFERROR(__xludf.DUMMYFUNCTION("""COMPUTED_VALUE"""),"salocin-group.com")</f>
        <v>salocin-group.com</v>
      </c>
      <c r="D23" s="15" t="str">
        <f>IFERROR(__xludf.DUMMYFUNCTION("""COMPUTED_VALUE"""),"PRODUCT_PAGE")</f>
        <v>PRODUCT_PAGE</v>
      </c>
      <c r="E23" s="15" t="str">
        <f>IFERROR(__xludf.DUMMYFUNCTION("""COMPUTED_VALUE"""),"CORPORATE")</f>
        <v>CORPORATE</v>
      </c>
      <c r="F23" s="15" t="str">
        <f>IFERROR(__xludf.DUMMYFUNCTION("""COMPUTED_VALUE"""),"Product Page")</f>
        <v>Product Page</v>
      </c>
      <c r="G23" s="15" t="b">
        <f>IFERROR(__xludf.DUMMYFUNCTION("""COMPUTED_VALUE"""),FALSE)</f>
        <v>0</v>
      </c>
      <c r="H23" s="15" t="str">
        <f>IFERROR(__xludf.DUMMYFUNCTION("""COMPUTED_VALUE"""),"Transmission")</f>
        <v>Transmission</v>
      </c>
      <c r="I23" s="15">
        <f>IFERROR(__xludf.DUMMYFUNCTION("""COMPUTED_VALUE"""),8.0)</f>
        <v>8</v>
      </c>
      <c r="J23" s="15">
        <f>IFERROR(__xludf.DUMMYFUNCTION("""COMPUTED_VALUE"""),0.01)</f>
        <v>0.01</v>
      </c>
      <c r="K23" s="15">
        <f>IFERROR(__xludf.DUMMYFUNCTION("""COMPUTED_VALUE"""),1.13)</f>
        <v>1.13</v>
      </c>
    </row>
    <row r="24" ht="15.75" customHeight="1">
      <c r="A24" s="14" t="str">
        <f>IFERROR(__xludf.DUMMYFUNCTION("""COMPUTED_VALUE"""),"https://www.dentsu.com/uk/en/marketing-effectiveness/our-capabilities")</f>
        <v>https://www.dentsu.com/uk/en/marketing-effectiveness/our-capabilities</v>
      </c>
      <c r="B24" s="15" t="str">
        <f>IFERROR(__xludf.DUMMYFUNCTION("""COMPUTED_VALUE"""),"dentsu")</f>
        <v>dentsu</v>
      </c>
      <c r="C24" s="14" t="str">
        <f>IFERROR(__xludf.DUMMYFUNCTION("""COMPUTED_VALUE"""),"dentsu.com")</f>
        <v>dentsu.com</v>
      </c>
      <c r="D24" s="15" t="str">
        <f>IFERROR(__xludf.DUMMYFUNCTION("""COMPUTED_VALUE"""),"PRODUCT_PAGE")</f>
        <v>PRODUCT_PAGE</v>
      </c>
      <c r="E24" s="15" t="str">
        <f>IFERROR(__xludf.DUMMYFUNCTION("""COMPUTED_VALUE"""),"COMPETITOR")</f>
        <v>COMPETITOR</v>
      </c>
      <c r="F24" s="15" t="str">
        <f>IFERROR(__xludf.DUMMYFUNCTION("""COMPUTED_VALUE"""),"Product Page")</f>
        <v>Product Page</v>
      </c>
      <c r="G24" s="15" t="b">
        <f>IFERROR(__xludf.DUMMYFUNCTION("""COMPUTED_VALUE"""),FALSE)</f>
        <v>0</v>
      </c>
      <c r="H24" s="15" t="str">
        <f>IFERROR(__xludf.DUMMYFUNCTION("""COMPUTED_VALUE"""),"Dentsu, Found")</f>
        <v>Dentsu, Found</v>
      </c>
      <c r="I24" s="15">
        <f>IFERROR(__xludf.DUMMYFUNCTION("""COMPUTED_VALUE"""),7.0)</f>
        <v>7</v>
      </c>
      <c r="J24" s="15">
        <f>IFERROR(__xludf.DUMMYFUNCTION("""COMPUTED_VALUE"""),0.01)</f>
        <v>0.01</v>
      </c>
      <c r="K24" s="15">
        <f>IFERROR(__xludf.DUMMYFUNCTION("""COMPUTED_VALUE"""),0.29)</f>
        <v>0.29</v>
      </c>
    </row>
    <row r="25" ht="15.75" customHeight="1">
      <c r="A25" s="14" t="str">
        <f>IFERROR(__xludf.DUMMYFUNCTION("""COMPUTED_VALUE"""),"https://www.idhlagency.com/digital-marketing/measurement-attribution")</f>
        <v>https://www.idhlagency.com/digital-marketing/measurement-attribution</v>
      </c>
      <c r="B25" s="15" t="str">
        <f>IFERROR(__xludf.DUMMYFUNCTION("""COMPUTED_VALUE"""),"Marketing Attribution Services | Marketing Attribution Agency | IDHL")</f>
        <v>Marketing Attribution Services | Marketing Attribution Agency | IDHL</v>
      </c>
      <c r="C25" s="14" t="str">
        <f>IFERROR(__xludf.DUMMYFUNCTION("""COMPUTED_VALUE"""),"idhlagency.com")</f>
        <v>idhlagency.com</v>
      </c>
      <c r="D25" s="15" t="str">
        <f>IFERROR(__xludf.DUMMYFUNCTION("""COMPUTED_VALUE"""),"PRODUCT_PAGE")</f>
        <v>PRODUCT_PAGE</v>
      </c>
      <c r="E25" s="15" t="str">
        <f>IFERROR(__xludf.DUMMYFUNCTION("""COMPUTED_VALUE"""),"CORPORATE")</f>
        <v>CORPORATE</v>
      </c>
      <c r="F25" s="15" t="str">
        <f>IFERROR(__xludf.DUMMYFUNCTION("""COMPUTED_VALUE"""),"Product Page")</f>
        <v>Product Page</v>
      </c>
      <c r="G25" s="15" t="b">
        <f>IFERROR(__xludf.DUMMYFUNCTION("""COMPUTED_VALUE"""),FALSE)</f>
        <v>0</v>
      </c>
      <c r="H25" s="15" t="str">
        <f>IFERROR(__xludf.DUMMYFUNCTION("""COMPUTED_VALUE"""),"IDHL")</f>
        <v>IDHL</v>
      </c>
      <c r="I25" s="15">
        <f>IFERROR(__xludf.DUMMYFUNCTION("""COMPUTED_VALUE"""),7.0)</f>
        <v>7</v>
      </c>
      <c r="J25" s="15">
        <f>IFERROR(__xludf.DUMMYFUNCTION("""COMPUTED_VALUE"""),0.01)</f>
        <v>0.01</v>
      </c>
      <c r="K25" s="15">
        <f>IFERROR(__xludf.DUMMYFUNCTION("""COMPUTED_VALUE"""),1.29)</f>
        <v>1.29</v>
      </c>
    </row>
    <row r="26" ht="15.75" customHeight="1">
      <c r="A26" s="14" t="str">
        <f>IFERROR(__xludf.DUMMYFUNCTION("""COMPUTED_VALUE"""),"https://www.ey.com/en_uk/services/consulting/ai-adoption")</f>
        <v>https://www.ey.com/en_uk/services/consulting/ai-adoption</v>
      </c>
      <c r="B26" s="15" t="str">
        <f>IFERROR(__xludf.DUMMYFUNCTION("""COMPUTED_VALUE"""),"AI Adoption | EY - UK")</f>
        <v>AI Adoption | EY - UK</v>
      </c>
      <c r="C26" s="14" t="str">
        <f>IFERROR(__xludf.DUMMYFUNCTION("""COMPUTED_VALUE"""),"ey.com")</f>
        <v>ey.com</v>
      </c>
      <c r="D26" s="15" t="str">
        <f>IFERROR(__xludf.DUMMYFUNCTION("""COMPUTED_VALUE"""),"PRODUCT_PAGE")</f>
        <v>PRODUCT_PAGE</v>
      </c>
      <c r="E26" s="15" t="str">
        <f>IFERROR(__xludf.DUMMYFUNCTION("""COMPUTED_VALUE"""),"COMPETITOR")</f>
        <v>COMPETITOR</v>
      </c>
      <c r="F26" s="15" t="str">
        <f>IFERROR(__xludf.DUMMYFUNCTION("""COMPUTED_VALUE"""),"Product Page")</f>
        <v>Product Page</v>
      </c>
      <c r="G26" s="15" t="b">
        <f>IFERROR(__xludf.DUMMYFUNCTION("""COMPUTED_VALUE"""),FALSE)</f>
        <v>0</v>
      </c>
      <c r="H26" s="15" t="str">
        <f>IFERROR(__xludf.DUMMYFUNCTION("""COMPUTED_VALUE"""),"EY, Found, Momentum")</f>
        <v>EY, Found, Momentum</v>
      </c>
      <c r="I26" s="15">
        <f>IFERROR(__xludf.DUMMYFUNCTION("""COMPUTED_VALUE"""),6.0)</f>
        <v>6</v>
      </c>
      <c r="J26" s="15">
        <f>IFERROR(__xludf.DUMMYFUNCTION("""COMPUTED_VALUE"""),0.01)</f>
        <v>0.01</v>
      </c>
      <c r="K26" s="15">
        <f>IFERROR(__xludf.DUMMYFUNCTION("""COMPUTED_VALUE"""),1.67)</f>
        <v>1.67</v>
      </c>
    </row>
    <row r="27" ht="15.75" customHeight="1">
      <c r="A27" s="14" t="str">
        <f>IFERROR(__xludf.DUMMYFUNCTION("""COMPUTED_VALUE"""),"https://www.impressiondigital.com/media-solutions/measurement/")</f>
        <v>https://www.impressiondigital.com/media-solutions/measurement/</v>
      </c>
      <c r="B27" s="15" t="str">
        <f>IFERROR(__xludf.DUMMYFUNCTION("""COMPUTED_VALUE"""),"Marketing Mix Modelling Company | Ad Effectiveness Consultancy")</f>
        <v>Marketing Mix Modelling Company | Ad Effectiveness Consultancy</v>
      </c>
      <c r="C27" s="14" t="str">
        <f>IFERROR(__xludf.DUMMYFUNCTION("""COMPUTED_VALUE"""),"impressiondigital.com")</f>
        <v>impressiondigital.com</v>
      </c>
      <c r="D27" s="15" t="str">
        <f>IFERROR(__xludf.DUMMYFUNCTION("""COMPUTED_VALUE"""),"PRODUCT_PAGE")</f>
        <v>PRODUCT_PAGE</v>
      </c>
      <c r="E27" s="15" t="str">
        <f>IFERROR(__xludf.DUMMYFUNCTION("""COMPUTED_VALUE"""),"COMPETITOR")</f>
        <v>COMPETITOR</v>
      </c>
      <c r="F27" s="15" t="str">
        <f>IFERROR(__xludf.DUMMYFUNCTION("""COMPUTED_VALUE"""),"Product Page")</f>
        <v>Product Page</v>
      </c>
      <c r="G27" s="15" t="b">
        <f>IFERROR(__xludf.DUMMYFUNCTION("""COMPUTED_VALUE"""),FALSE)</f>
        <v>0</v>
      </c>
      <c r="H27" s="15" t="str">
        <f>IFERROR(__xludf.DUMMYFUNCTION("""COMPUTED_VALUE"""),"Impression")</f>
        <v>Impression</v>
      </c>
      <c r="I27" s="15">
        <f>IFERROR(__xludf.DUMMYFUNCTION("""COMPUTED_VALUE"""),6.0)</f>
        <v>6</v>
      </c>
      <c r="J27" s="15">
        <f>IFERROR(__xludf.DUMMYFUNCTION("""COMPUTED_VALUE"""),0.01)</f>
        <v>0.01</v>
      </c>
      <c r="K27" s="15">
        <f>IFERROR(__xludf.DUMMYFUNCTION("""COMPUTED_VALUE"""),2.17)</f>
        <v>2.17</v>
      </c>
    </row>
    <row r="28" ht="15.75" customHeight="1">
      <c r="A28" s="14" t="str">
        <f>IFERROR(__xludf.DUMMYFUNCTION("""COMPUTED_VALUE"""),"https://kinesso.co.uk/services/data-tech/gmp-sales-partner/")</f>
        <v>https://kinesso.co.uk/services/data-tech/gmp-sales-partner/</v>
      </c>
      <c r="B28" s="15" t="str">
        <f>IFERROR(__xludf.DUMMYFUNCTION("""COMPUTED_VALUE"""),"GMP Partner - KINESSO UK &amp;amp; IE")</f>
        <v>GMP Partner - KINESSO UK &amp;amp; IE</v>
      </c>
      <c r="C28" s="14" t="str">
        <f>IFERROR(__xludf.DUMMYFUNCTION("""COMPUTED_VALUE"""),"kinesso.co.uk")</f>
        <v>kinesso.co.uk</v>
      </c>
      <c r="D28" s="15" t="str">
        <f>IFERROR(__xludf.DUMMYFUNCTION("""COMPUTED_VALUE"""),"PRODUCT_PAGE")</f>
        <v>PRODUCT_PAGE</v>
      </c>
      <c r="E28" s="15" t="str">
        <f>IFERROR(__xludf.DUMMYFUNCTION("""COMPUTED_VALUE"""),"CORPORATE")</f>
        <v>CORPORATE</v>
      </c>
      <c r="F28" s="15" t="str">
        <f>IFERROR(__xludf.DUMMYFUNCTION("""COMPUTED_VALUE"""),"Product Page")</f>
        <v>Product Page</v>
      </c>
      <c r="G28" s="15" t="b">
        <f>IFERROR(__xludf.DUMMYFUNCTION("""COMPUTED_VALUE"""),FALSE)</f>
        <v>0</v>
      </c>
      <c r="H28" s="15"/>
      <c r="I28" s="15">
        <f>IFERROR(__xludf.DUMMYFUNCTION("""COMPUTED_VALUE"""),6.0)</f>
        <v>6</v>
      </c>
      <c r="J28" s="15">
        <f>IFERROR(__xludf.DUMMYFUNCTION("""COMPUTED_VALUE"""),0.01)</f>
        <v>0.01</v>
      </c>
      <c r="K28" s="15">
        <f>IFERROR(__xludf.DUMMYFUNCTION("""COMPUTED_VALUE"""),0.83)</f>
        <v>0.83</v>
      </c>
    </row>
    <row r="29" ht="15.75" customHeight="1">
      <c r="A29" s="14" t="str">
        <f>IFERROR(__xludf.DUMMYFUNCTION("""COMPUTED_VALUE"""),"https://www.kingsbury.io/advisory")</f>
        <v>https://www.kingsbury.io/advisory</v>
      </c>
      <c r="B29" s="15" t="str">
        <f>IFERROR(__xludf.DUMMYFUNCTION("""COMPUTED_VALUE"""),"AI Advisory Services | Strategy to Production | Kingsbury")</f>
        <v>AI Advisory Services | Strategy to Production | Kingsbury</v>
      </c>
      <c r="C29" s="14" t="str">
        <f>IFERROR(__xludf.DUMMYFUNCTION("""COMPUTED_VALUE"""),"kingsbury.io")</f>
        <v>kingsbury.io</v>
      </c>
      <c r="D29" s="15" t="str">
        <f>IFERROR(__xludf.DUMMYFUNCTION("""COMPUTED_VALUE"""),"PRODUCT_PAGE")</f>
        <v>PRODUCT_PAGE</v>
      </c>
      <c r="E29" s="15" t="str">
        <f>IFERROR(__xludf.DUMMYFUNCTION("""COMPUTED_VALUE"""),"CORPORATE")</f>
        <v>CORPORATE</v>
      </c>
      <c r="F29" s="15" t="str">
        <f>IFERROR(__xludf.DUMMYFUNCTION("""COMPUTED_VALUE"""),"Product Page")</f>
        <v>Product Page</v>
      </c>
      <c r="G29" s="15" t="b">
        <f>IFERROR(__xludf.DUMMYFUNCTION("""COMPUTED_VALUE"""),FALSE)</f>
        <v>0</v>
      </c>
      <c r="H29" s="15"/>
      <c r="I29" s="15">
        <f>IFERROR(__xludf.DUMMYFUNCTION("""COMPUTED_VALUE"""),6.0)</f>
        <v>6</v>
      </c>
      <c r="J29" s="15">
        <f>IFERROR(__xludf.DUMMYFUNCTION("""COMPUTED_VALUE"""),0.01)</f>
        <v>0.01</v>
      </c>
      <c r="K29" s="15">
        <f>IFERROR(__xludf.DUMMYFUNCTION("""COMPUTED_VALUE"""),0.83)</f>
        <v>0.83</v>
      </c>
    </row>
    <row r="30" ht="15.75" customHeight="1">
      <c r="A30" s="14" t="str">
        <f>IFERROR(__xludf.DUMMYFUNCTION("""COMPUTED_VALUE"""),"https://liftlab.com/platform/incrementality-testing-engine/")</f>
        <v>https://liftlab.com/platform/incrementality-testing-engine/</v>
      </c>
      <c r="B30" s="15" t="str">
        <f>IFERROR(__xludf.DUMMYFUNCTION("""COMPUTED_VALUE"""),"Incrementality Testing &amp;amp; GEO Experimentation Platform | LiftLab")</f>
        <v>Incrementality Testing &amp;amp; GEO Experimentation Platform | LiftLab</v>
      </c>
      <c r="C30" s="14" t="str">
        <f>IFERROR(__xludf.DUMMYFUNCTION("""COMPUTED_VALUE"""),"liftlab.com")</f>
        <v>liftlab.com</v>
      </c>
      <c r="D30" s="15" t="str">
        <f>IFERROR(__xludf.DUMMYFUNCTION("""COMPUTED_VALUE"""),"PRODUCT_PAGE")</f>
        <v>PRODUCT_PAGE</v>
      </c>
      <c r="E30" s="15" t="str">
        <f>IFERROR(__xludf.DUMMYFUNCTION("""COMPUTED_VALUE"""),"CORPORATE")</f>
        <v>CORPORATE</v>
      </c>
      <c r="F30" s="15" t="str">
        <f>IFERROR(__xludf.DUMMYFUNCTION("""COMPUTED_VALUE"""),"Product Page")</f>
        <v>Product Page</v>
      </c>
      <c r="G30" s="15" t="b">
        <f>IFERROR(__xludf.DUMMYFUNCTION("""COMPUTED_VALUE"""),FALSE)</f>
        <v>0</v>
      </c>
      <c r="H30" s="15"/>
      <c r="I30" s="15">
        <f>IFERROR(__xludf.DUMMYFUNCTION("""COMPUTED_VALUE"""),6.0)</f>
        <v>6</v>
      </c>
      <c r="J30" s="15">
        <f>IFERROR(__xludf.DUMMYFUNCTION("""COMPUTED_VALUE"""),0.01)</f>
        <v>0.01</v>
      </c>
      <c r="K30" s="15">
        <f>IFERROR(__xludf.DUMMYFUNCTION("""COMPUTED_VALUE"""),1.17)</f>
        <v>1.17</v>
      </c>
    </row>
    <row r="31" ht="15.75" customHeight="1">
      <c r="A31" s="14" t="str">
        <f>IFERROR(__xludf.DUMMYFUNCTION("""COMPUTED_VALUE"""),"https://liftlab.com/solutions/incrementality-testing/")</f>
        <v>https://liftlab.com/solutions/incrementality-testing/</v>
      </c>
      <c r="B31" s="15" t="str">
        <f>IFERROR(__xludf.DUMMYFUNCTION("""COMPUTED_VALUE"""),"Incrementality Testing &amp;amp; MMM Calibration | LiftLab")</f>
        <v>Incrementality Testing &amp;amp; MMM Calibration | LiftLab</v>
      </c>
      <c r="C31" s="14" t="str">
        <f>IFERROR(__xludf.DUMMYFUNCTION("""COMPUTED_VALUE"""),"liftlab.com")</f>
        <v>liftlab.com</v>
      </c>
      <c r="D31" s="15" t="str">
        <f>IFERROR(__xludf.DUMMYFUNCTION("""COMPUTED_VALUE"""),"PRODUCT_PAGE")</f>
        <v>PRODUCT_PAGE</v>
      </c>
      <c r="E31" s="15" t="str">
        <f>IFERROR(__xludf.DUMMYFUNCTION("""COMPUTED_VALUE"""),"CORPORATE")</f>
        <v>CORPORATE</v>
      </c>
      <c r="F31" s="15" t="str">
        <f>IFERROR(__xludf.DUMMYFUNCTION("""COMPUTED_VALUE"""),"Product Page")</f>
        <v>Product Page</v>
      </c>
      <c r="G31" s="15" t="b">
        <f>IFERROR(__xludf.DUMMYFUNCTION("""COMPUTED_VALUE"""),FALSE)</f>
        <v>0</v>
      </c>
      <c r="H31" s="15"/>
      <c r="I31" s="15">
        <f>IFERROR(__xludf.DUMMYFUNCTION("""COMPUTED_VALUE"""),6.0)</f>
        <v>6</v>
      </c>
      <c r="J31" s="15">
        <f>IFERROR(__xludf.DUMMYFUNCTION("""COMPUTED_VALUE"""),0.01)</f>
        <v>0.01</v>
      </c>
      <c r="K31" s="15">
        <f>IFERROR(__xludf.DUMMYFUNCTION("""COMPUTED_VALUE"""),0.83)</f>
        <v>0.83</v>
      </c>
    </row>
    <row r="32" ht="15.75" customHeight="1">
      <c r="A32" s="14" t="str">
        <f>IFERROR(__xludf.DUMMYFUNCTION("""COMPUTED_VALUE"""),"https://www.protiviti.com/uk-en/artificial-intelligence-services")</f>
        <v>https://www.protiviti.com/uk-en/artificial-intelligence-services</v>
      </c>
      <c r="B32" s="15" t="str">
        <f>IFERROR(__xludf.DUMMYFUNCTION("""COMPUTED_VALUE"""),"Artificial Intelligence (AI) Consulting Services | Protiviti UK")</f>
        <v>Artificial Intelligence (AI) Consulting Services | Protiviti UK</v>
      </c>
      <c r="C32" s="14" t="str">
        <f>IFERROR(__xludf.DUMMYFUNCTION("""COMPUTED_VALUE"""),"protiviti.com")</f>
        <v>protiviti.com</v>
      </c>
      <c r="D32" s="15" t="str">
        <f>IFERROR(__xludf.DUMMYFUNCTION("""COMPUTED_VALUE"""),"PRODUCT_PAGE")</f>
        <v>PRODUCT_PAGE</v>
      </c>
      <c r="E32" s="15" t="str">
        <f>IFERROR(__xludf.DUMMYFUNCTION("""COMPUTED_VALUE"""),"CORPORATE")</f>
        <v>CORPORATE</v>
      </c>
      <c r="F32" s="15" t="str">
        <f>IFERROR(__xludf.DUMMYFUNCTION("""COMPUTED_VALUE"""),"Product Page")</f>
        <v>Product Page</v>
      </c>
      <c r="G32" s="15" t="b">
        <f>IFERROR(__xludf.DUMMYFUNCTION("""COMPUTED_VALUE"""),FALSE)</f>
        <v>0</v>
      </c>
      <c r="H32" s="15" t="str">
        <f>IFERROR(__xludf.DUMMYFUNCTION("""COMPUTED_VALUE"""),"Found")</f>
        <v>Found</v>
      </c>
      <c r="I32" s="15">
        <f>IFERROR(__xludf.DUMMYFUNCTION("""COMPUTED_VALUE"""),6.0)</f>
        <v>6</v>
      </c>
      <c r="J32" s="15">
        <f>IFERROR(__xludf.DUMMYFUNCTION("""COMPUTED_VALUE"""),0.01)</f>
        <v>0.01</v>
      </c>
      <c r="K32" s="15">
        <f>IFERROR(__xludf.DUMMYFUNCTION("""COMPUTED_VALUE"""),0.33)</f>
        <v>0.33</v>
      </c>
    </row>
    <row r="33" ht="15.75" customHeight="1">
      <c r="A33" s="14" t="str">
        <f>IFERROR(__xludf.DUMMYFUNCTION("""COMPUTED_VALUE"""),"https://visarc.uk/services/digital-marketing-agency/display-advertising-agency/")</f>
        <v>https://visarc.uk/services/digital-marketing-agency/display-advertising-agency/</v>
      </c>
      <c r="B33" s="15" t="str">
        <f>IFERROR(__xludf.DUMMYFUNCTION("""COMPUTED_VALUE"""),"Display Advertising Agency UK, Remarketing Specialist | Visarc")</f>
        <v>Display Advertising Agency UK, Remarketing Specialist | Visarc</v>
      </c>
      <c r="C33" s="14" t="str">
        <f>IFERROR(__xludf.DUMMYFUNCTION("""COMPUTED_VALUE"""),"visarc.uk")</f>
        <v>visarc.uk</v>
      </c>
      <c r="D33" s="15" t="str">
        <f>IFERROR(__xludf.DUMMYFUNCTION("""COMPUTED_VALUE"""),"PRODUCT_PAGE")</f>
        <v>PRODUCT_PAGE</v>
      </c>
      <c r="E33" s="15" t="str">
        <f>IFERROR(__xludf.DUMMYFUNCTION("""COMPUTED_VALUE"""),"CORPORATE")</f>
        <v>CORPORATE</v>
      </c>
      <c r="F33" s="15" t="str">
        <f>IFERROR(__xludf.DUMMYFUNCTION("""COMPUTED_VALUE"""),"Product Page")</f>
        <v>Product Page</v>
      </c>
      <c r="G33" s="15" t="b">
        <f>IFERROR(__xludf.DUMMYFUNCTION("""COMPUTED_VALUE"""),FALSE)</f>
        <v>0</v>
      </c>
      <c r="H33" s="15" t="str">
        <f>IFERROR(__xludf.DUMMYFUNCTION("""COMPUTED_VALUE"""),"Huge")</f>
        <v>Huge</v>
      </c>
      <c r="I33" s="15">
        <f>IFERROR(__xludf.DUMMYFUNCTION("""COMPUTED_VALUE"""),6.0)</f>
        <v>6</v>
      </c>
      <c r="J33" s="15">
        <f>IFERROR(__xludf.DUMMYFUNCTION("""COMPUTED_VALUE"""),0.01)</f>
        <v>0.01</v>
      </c>
      <c r="K33" s="15">
        <f>IFERROR(__xludf.DUMMYFUNCTION("""COMPUTED_VALUE"""),1.67)</f>
        <v>1.67</v>
      </c>
    </row>
    <row r="34" ht="15.75" customHeight="1">
      <c r="A34" s="14" t="str">
        <f>IFERROR(__xludf.DUMMYFUNCTION("""COMPUTED_VALUE"""),"https://bestwebdevelopers.co.uk/display-advertising/")</f>
        <v>https://bestwebdevelopers.co.uk/display-advertising/</v>
      </c>
      <c r="B34" s="15" t="str">
        <f>IFERROR(__xludf.DUMMYFUNCTION("""COMPUTED_VALUE"""),"The Best Display Advertising Agencies in UK")</f>
        <v>The Best Display Advertising Agencies in UK</v>
      </c>
      <c r="C34" s="14" t="str">
        <f>IFERROR(__xludf.DUMMYFUNCTION("""COMPUTED_VALUE"""),"bestwebdevelopers.co.uk")</f>
        <v>bestwebdevelopers.co.uk</v>
      </c>
      <c r="D34" s="15" t="str">
        <f>IFERROR(__xludf.DUMMYFUNCTION("""COMPUTED_VALUE"""),"PRODUCT_PAGE")</f>
        <v>PRODUCT_PAGE</v>
      </c>
      <c r="E34" s="15" t="str">
        <f>IFERROR(__xludf.DUMMYFUNCTION("""COMPUTED_VALUE"""),"CORPORATE")</f>
        <v>CORPORATE</v>
      </c>
      <c r="F34" s="15" t="str">
        <f>IFERROR(__xludf.DUMMYFUNCTION("""COMPUTED_VALUE"""),"Product Page")</f>
        <v>Product Page</v>
      </c>
      <c r="G34" s="15" t="b">
        <f>IFERROR(__xludf.DUMMYFUNCTION("""COMPUTED_VALUE"""),FALSE)</f>
        <v>0</v>
      </c>
      <c r="H34" s="15" t="str">
        <f>IFERROR(__xludf.DUMMYFUNCTION("""COMPUTED_VALUE"""),"Push")</f>
        <v>Push</v>
      </c>
      <c r="I34" s="15">
        <f>IFERROR(__xludf.DUMMYFUNCTION("""COMPUTED_VALUE"""),5.0)</f>
        <v>5</v>
      </c>
      <c r="J34" s="15">
        <f>IFERROR(__xludf.DUMMYFUNCTION("""COMPUTED_VALUE"""),0.0)</f>
        <v>0</v>
      </c>
      <c r="K34" s="15">
        <f>IFERROR(__xludf.DUMMYFUNCTION("""COMPUTED_VALUE"""),0.2)</f>
        <v>0.2</v>
      </c>
    </row>
    <row r="35" ht="15.75" customHeight="1">
      <c r="A35" s="14" t="str">
        <f>IFERROR(__xludf.DUMMYFUNCTION("""COMPUTED_VALUE"""),"https://fusepointinsights.com/service/incrementality-experiments/")</f>
        <v>https://fusepointinsights.com/service/incrementality-experiments/</v>
      </c>
      <c r="B35" s="15" t="str">
        <f>IFERROR(__xludf.DUMMYFUNCTION("""COMPUTED_VALUE"""),"Incrementality Experiments for Marketing Measurement | fusepoint")</f>
        <v>Incrementality Experiments for Marketing Measurement | fusepoint</v>
      </c>
      <c r="C35" s="14" t="str">
        <f>IFERROR(__xludf.DUMMYFUNCTION("""COMPUTED_VALUE"""),"fusepointinsights.com")</f>
        <v>fusepointinsights.com</v>
      </c>
      <c r="D35" s="15" t="str">
        <f>IFERROR(__xludf.DUMMYFUNCTION("""COMPUTED_VALUE"""),"PRODUCT_PAGE")</f>
        <v>PRODUCT_PAGE</v>
      </c>
      <c r="E35" s="15" t="str">
        <f>IFERROR(__xludf.DUMMYFUNCTION("""COMPUTED_VALUE"""),"CORPORATE")</f>
        <v>CORPORATE</v>
      </c>
      <c r="F35" s="15" t="str">
        <f>IFERROR(__xludf.DUMMYFUNCTION("""COMPUTED_VALUE"""),"Product Page")</f>
        <v>Product Page</v>
      </c>
      <c r="G35" s="15" t="b">
        <f>IFERROR(__xludf.DUMMYFUNCTION("""COMPUTED_VALUE"""),FALSE)</f>
        <v>0</v>
      </c>
      <c r="H35" s="15" t="str">
        <f>IFERROR(__xludf.DUMMYFUNCTION("""COMPUTED_VALUE"""),"Power Digital")</f>
        <v>Power Digital</v>
      </c>
      <c r="I35" s="15">
        <f>IFERROR(__xludf.DUMMYFUNCTION("""COMPUTED_VALUE"""),5.0)</f>
        <v>5</v>
      </c>
      <c r="J35" s="15">
        <f>IFERROR(__xludf.DUMMYFUNCTION("""COMPUTED_VALUE"""),0.0)</f>
        <v>0</v>
      </c>
      <c r="K35" s="15">
        <f>IFERROR(__xludf.DUMMYFUNCTION("""COMPUTED_VALUE"""),1.2)</f>
        <v>1.2</v>
      </c>
    </row>
    <row r="36" ht="15.75" customHeight="1">
      <c r="A36" s="14" t="str">
        <f>IFERROR(__xludf.DUMMYFUNCTION("""COMPUTED_VALUE"""),"https://marketingplatform.google.com/intl/en_uk/about/")</f>
        <v>https://marketingplatform.google.com/intl/en_uk/about/</v>
      </c>
      <c r="B36" s="15" t="str">
        <f>IFERROR(__xludf.DUMMYFUNCTION("""COMPUTED_VALUE"""),"Google Marketing Platform – Unified Advertising and Analytics")</f>
        <v>Google Marketing Platform – Unified Advertising and Analytics</v>
      </c>
      <c r="C36" s="14" t="str">
        <f>IFERROR(__xludf.DUMMYFUNCTION("""COMPUTED_VALUE"""),"google.com")</f>
        <v>google.com</v>
      </c>
      <c r="D36" s="15" t="str">
        <f>IFERROR(__xludf.DUMMYFUNCTION("""COMPUTED_VALUE"""),"PRODUCT_PAGE")</f>
        <v>PRODUCT_PAGE</v>
      </c>
      <c r="E36" s="15" t="str">
        <f>IFERROR(__xludf.DUMMYFUNCTION("""COMPUTED_VALUE"""),"OTHER")</f>
        <v>OTHER</v>
      </c>
      <c r="F36" s="15" t="str">
        <f>IFERROR(__xludf.DUMMYFUNCTION("""COMPUTED_VALUE"""),"Product Page")</f>
        <v>Product Page</v>
      </c>
      <c r="G36" s="15" t="b">
        <f>IFERROR(__xludf.DUMMYFUNCTION("""COMPUTED_VALUE"""),FALSE)</f>
        <v>0</v>
      </c>
      <c r="H36" s="15"/>
      <c r="I36" s="15">
        <f>IFERROR(__xludf.DUMMYFUNCTION("""COMPUTED_VALUE"""),5.0)</f>
        <v>5</v>
      </c>
      <c r="J36" s="15">
        <f>IFERROR(__xludf.DUMMYFUNCTION("""COMPUTED_VALUE"""),0.0)</f>
        <v>0</v>
      </c>
      <c r="K36" s="15">
        <f>IFERROR(__xludf.DUMMYFUNCTION("""COMPUTED_VALUE"""),0.0)</f>
        <v>0</v>
      </c>
    </row>
    <row r="37" ht="15.75" customHeight="1">
      <c r="A37" s="14" t="str">
        <f>IFERROR(__xludf.DUMMYFUNCTION("""COMPUTED_VALUE"""),"https://www.richclicks.co.uk/services/ai-adoption")</f>
        <v>https://www.richclicks.co.uk/services/ai-adoption</v>
      </c>
      <c r="B37" s="15" t="str">
        <f>IFERROR(__xludf.DUMMYFUNCTION("""COMPUTED_VALUE"""),"AI Consulting &amp;amp; Adoption for Businesses | Richclicks")</f>
        <v>AI Consulting &amp;amp; Adoption for Businesses | Richclicks</v>
      </c>
      <c r="C37" s="14" t="str">
        <f>IFERROR(__xludf.DUMMYFUNCTION("""COMPUTED_VALUE"""),"richclicks.co.uk")</f>
        <v>richclicks.co.uk</v>
      </c>
      <c r="D37" s="15" t="str">
        <f>IFERROR(__xludf.DUMMYFUNCTION("""COMPUTED_VALUE"""),"PRODUCT_PAGE")</f>
        <v>PRODUCT_PAGE</v>
      </c>
      <c r="E37" s="15" t="str">
        <f>IFERROR(__xludf.DUMMYFUNCTION("""COMPUTED_VALUE"""),"CORPORATE")</f>
        <v>CORPORATE</v>
      </c>
      <c r="F37" s="15" t="str">
        <f>IFERROR(__xludf.DUMMYFUNCTION("""COMPUTED_VALUE"""),"Product Page")</f>
        <v>Product Page</v>
      </c>
      <c r="G37" s="15" t="b">
        <f>IFERROR(__xludf.DUMMYFUNCTION("""COMPUTED_VALUE"""),FALSE)</f>
        <v>0</v>
      </c>
      <c r="H37" s="15"/>
      <c r="I37" s="15">
        <f>IFERROR(__xludf.DUMMYFUNCTION("""COMPUTED_VALUE"""),5.0)</f>
        <v>5</v>
      </c>
      <c r="J37" s="15">
        <f>IFERROR(__xludf.DUMMYFUNCTION("""COMPUTED_VALUE"""),0.0)</f>
        <v>0</v>
      </c>
      <c r="K37" s="15">
        <f>IFERROR(__xludf.DUMMYFUNCTION("""COMPUTED_VALUE"""),1.4)</f>
        <v>1.4</v>
      </c>
    </row>
    <row r="38" ht="15.75" customHeight="1">
      <c r="A38" s="14" t="str">
        <f>IFERROR(__xludf.DUMMYFUNCTION("""COMPUTED_VALUE"""),"https://submerge.digital/measurement/marketing-attribution-agency/")</f>
        <v>https://submerge.digital/measurement/marketing-attribution-agency/</v>
      </c>
      <c r="B38" s="15" t="str">
        <f>IFERROR(__xludf.DUMMYFUNCTION("""COMPUTED_VALUE"""),"Marketing Attribution Agency - Powering Insights - Submerge")</f>
        <v>Marketing Attribution Agency - Powering Insights - Submerge</v>
      </c>
      <c r="C38" s="15" t="str">
        <f>IFERROR(__xludf.DUMMYFUNCTION("""COMPUTED_VALUE"""),"submerge.digital")</f>
        <v>submerge.digital</v>
      </c>
      <c r="D38" s="15" t="str">
        <f>IFERROR(__xludf.DUMMYFUNCTION("""COMPUTED_VALUE"""),"PRODUCT_PAGE")</f>
        <v>PRODUCT_PAGE</v>
      </c>
      <c r="E38" s="15" t="str">
        <f>IFERROR(__xludf.DUMMYFUNCTION("""COMPUTED_VALUE"""),"CORPORATE")</f>
        <v>CORPORATE</v>
      </c>
      <c r="F38" s="15" t="str">
        <f>IFERROR(__xludf.DUMMYFUNCTION("""COMPUTED_VALUE"""),"Product Page")</f>
        <v>Product Page</v>
      </c>
      <c r="G38" s="15" t="b">
        <f>IFERROR(__xludf.DUMMYFUNCTION("""COMPUTED_VALUE"""),FALSE)</f>
        <v>0</v>
      </c>
      <c r="H38" s="15" t="str">
        <f>IFERROR(__xludf.DUMMYFUNCTION("""COMPUTED_VALUE"""),"Measured")</f>
        <v>Measured</v>
      </c>
      <c r="I38" s="15">
        <f>IFERROR(__xludf.DUMMYFUNCTION("""COMPUTED_VALUE"""),5.0)</f>
        <v>5</v>
      </c>
      <c r="J38" s="15">
        <f>IFERROR(__xludf.DUMMYFUNCTION("""COMPUTED_VALUE"""),0.0)</f>
        <v>0</v>
      </c>
      <c r="K38" s="15">
        <f>IFERROR(__xludf.DUMMYFUNCTION("""COMPUTED_VALUE"""),0.0)</f>
        <v>0</v>
      </c>
    </row>
    <row r="39" ht="15.75" customHeight="1">
      <c r="A39" s="14" t="str">
        <f>IFERROR(__xludf.DUMMYFUNCTION("""COMPUTED_VALUE"""),"https://www.experian.com/business/solutions/marketing-solutions/marketing-measurement-tools")</f>
        <v>https://www.experian.com/business/solutions/marketing-solutions/marketing-measurement-tools</v>
      </c>
      <c r="B39" s="15" t="str">
        <f>IFERROR(__xludf.DUMMYFUNCTION("""COMPUTED_VALUE"""),"Marketing measurement and attribution solutions | Experian")</f>
        <v>Marketing measurement and attribution solutions | Experian</v>
      </c>
      <c r="C39" s="14" t="str">
        <f>IFERROR(__xludf.DUMMYFUNCTION("""COMPUTED_VALUE"""),"experian.com")</f>
        <v>experian.com</v>
      </c>
      <c r="D39" s="15" t="str">
        <f>IFERROR(__xludf.DUMMYFUNCTION("""COMPUTED_VALUE"""),"PRODUCT_PAGE")</f>
        <v>PRODUCT_PAGE</v>
      </c>
      <c r="E39" s="15" t="str">
        <f>IFERROR(__xludf.DUMMYFUNCTION("""COMPUTED_VALUE"""),"CORPORATE")</f>
        <v>CORPORATE</v>
      </c>
      <c r="F39" s="15" t="str">
        <f>IFERROR(__xludf.DUMMYFUNCTION("""COMPUTED_VALUE"""),"Product Page")</f>
        <v>Product Page</v>
      </c>
      <c r="G39" s="15" t="b">
        <f>IFERROR(__xludf.DUMMYFUNCTION("""COMPUTED_VALUE"""),FALSE)</f>
        <v>0</v>
      </c>
      <c r="H39" s="15"/>
      <c r="I39" s="15">
        <f>IFERROR(__xludf.DUMMYFUNCTION("""COMPUTED_VALUE"""),4.0)</f>
        <v>4</v>
      </c>
      <c r="J39" s="15">
        <f>IFERROR(__xludf.DUMMYFUNCTION("""COMPUTED_VALUE"""),0.0)</f>
        <v>0</v>
      </c>
      <c r="K39" s="15">
        <f>IFERROR(__xludf.DUMMYFUNCTION("""COMPUTED_VALUE"""),0.25)</f>
        <v>0.25</v>
      </c>
    </row>
    <row r="40" ht="15.75" customHeight="1">
      <c r="A40" s="14" t="str">
        <f>IFERROR(__xludf.DUMMYFUNCTION("""COMPUTED_VALUE"""),"https://www.impressiondigital.com/about/google-partner-agency/")</f>
        <v>https://www.impressiondigital.com/about/google-partner-agency/</v>
      </c>
      <c r="B40" s="15" t="str">
        <f>IFERROR(__xludf.DUMMYFUNCTION("""COMPUTED_VALUE"""),"Google Premier Partner Agency | Google Partner | Impression")</f>
        <v>Google Premier Partner Agency | Google Partner | Impression</v>
      </c>
      <c r="C40" s="14" t="str">
        <f>IFERROR(__xludf.DUMMYFUNCTION("""COMPUTED_VALUE"""),"impressiondigital.com")</f>
        <v>impressiondigital.com</v>
      </c>
      <c r="D40" s="15" t="str">
        <f>IFERROR(__xludf.DUMMYFUNCTION("""COMPUTED_VALUE"""),"PRODUCT_PAGE")</f>
        <v>PRODUCT_PAGE</v>
      </c>
      <c r="E40" s="15" t="str">
        <f>IFERROR(__xludf.DUMMYFUNCTION("""COMPUTED_VALUE"""),"COMPETITOR")</f>
        <v>COMPETITOR</v>
      </c>
      <c r="F40" s="15" t="str">
        <f>IFERROR(__xludf.DUMMYFUNCTION("""COMPUTED_VALUE"""),"Product Page")</f>
        <v>Product Page</v>
      </c>
      <c r="G40" s="15" t="b">
        <f>IFERROR(__xludf.DUMMYFUNCTION("""COMPUTED_VALUE"""),FALSE)</f>
        <v>0</v>
      </c>
      <c r="H40" s="15" t="str">
        <f>IFERROR(__xludf.DUMMYFUNCTION("""COMPUTED_VALUE"""),"Impression")</f>
        <v>Impression</v>
      </c>
      <c r="I40" s="15">
        <f>IFERROR(__xludf.DUMMYFUNCTION("""COMPUTED_VALUE"""),4.0)</f>
        <v>4</v>
      </c>
      <c r="J40" s="15">
        <f>IFERROR(__xludf.DUMMYFUNCTION("""COMPUTED_VALUE"""),0.0)</f>
        <v>0</v>
      </c>
      <c r="K40" s="15">
        <f>IFERROR(__xludf.DUMMYFUNCTION("""COMPUTED_VALUE"""),0.75)</f>
        <v>0.75</v>
      </c>
    </row>
    <row r="41" ht="15.75" customHeight="1">
      <c r="A41" s="14" t="str">
        <f>IFERROR(__xludf.DUMMYFUNCTION("""COMPUTED_VALUE"""),"https://www.measured.com/incremental-lift-tests/")</f>
        <v>https://www.measured.com/incremental-lift-tests/</v>
      </c>
      <c r="B41" s="15" t="str">
        <f>IFERROR(__xludf.DUMMYFUNCTION("""COMPUTED_VALUE"""),"Measured: Incrementality Testing")</f>
        <v>Measured: Incrementality Testing</v>
      </c>
      <c r="C41" s="14" t="str">
        <f>IFERROR(__xludf.DUMMYFUNCTION("""COMPUTED_VALUE"""),"measured.com")</f>
        <v>measured.com</v>
      </c>
      <c r="D41" s="15" t="str">
        <f>IFERROR(__xludf.DUMMYFUNCTION("""COMPUTED_VALUE"""),"PRODUCT_PAGE")</f>
        <v>PRODUCT_PAGE</v>
      </c>
      <c r="E41" s="15" t="str">
        <f>IFERROR(__xludf.DUMMYFUNCTION("""COMPUTED_VALUE"""),"COMPETITOR")</f>
        <v>COMPETITOR</v>
      </c>
      <c r="F41" s="15" t="str">
        <f>IFERROR(__xludf.DUMMYFUNCTION("""COMPUTED_VALUE"""),"Product Page")</f>
        <v>Product Page</v>
      </c>
      <c r="G41" s="15" t="b">
        <f>IFERROR(__xludf.DUMMYFUNCTION("""COMPUTED_VALUE"""),FALSE)</f>
        <v>0</v>
      </c>
      <c r="H41" s="15" t="str">
        <f>IFERROR(__xludf.DUMMYFUNCTION("""COMPUTED_VALUE"""),"Measured")</f>
        <v>Measured</v>
      </c>
      <c r="I41" s="15">
        <f>IFERROR(__xludf.DUMMYFUNCTION("""COMPUTED_VALUE"""),4.0)</f>
        <v>4</v>
      </c>
      <c r="J41" s="15">
        <f>IFERROR(__xludf.DUMMYFUNCTION("""COMPUTED_VALUE"""),0.0)</f>
        <v>0</v>
      </c>
      <c r="K41" s="15">
        <f>IFERROR(__xludf.DUMMYFUNCTION("""COMPUTED_VALUE"""),0.5)</f>
        <v>0.5</v>
      </c>
    </row>
    <row r="42" ht="15.75" customHeight="1">
      <c r="A42" s="14" t="str">
        <f>IFERROR(__xludf.DUMMYFUNCTION("""COMPUTED_VALUE"""),"https://paramark.com/incrementality-testing")</f>
        <v>https://paramark.com/incrementality-testing</v>
      </c>
      <c r="B42" s="15" t="str">
        <f>IFERROR(__xludf.DUMMYFUNCTION("""COMPUTED_VALUE"""),"Bridge Gaps with Incrementality Testing: Experimentation with Paramark")</f>
        <v>Bridge Gaps with Incrementality Testing: Experimentation with Paramark</v>
      </c>
      <c r="C42" s="14" t="str">
        <f>IFERROR(__xludf.DUMMYFUNCTION("""COMPUTED_VALUE"""),"paramark.com")</f>
        <v>paramark.com</v>
      </c>
      <c r="D42" s="15" t="str">
        <f>IFERROR(__xludf.DUMMYFUNCTION("""COMPUTED_VALUE"""),"PRODUCT_PAGE")</f>
        <v>PRODUCT_PAGE</v>
      </c>
      <c r="E42" s="15" t="str">
        <f>IFERROR(__xludf.DUMMYFUNCTION("""COMPUTED_VALUE"""),"CORPORATE")</f>
        <v>CORPORATE</v>
      </c>
      <c r="F42" s="15" t="str">
        <f>IFERROR(__xludf.DUMMYFUNCTION("""COMPUTED_VALUE"""),"Product Page")</f>
        <v>Product Page</v>
      </c>
      <c r="G42" s="15" t="b">
        <f>IFERROR(__xludf.DUMMYFUNCTION("""COMPUTED_VALUE"""),FALSE)</f>
        <v>0</v>
      </c>
      <c r="H42" s="15" t="str">
        <f>IFERROR(__xludf.DUMMYFUNCTION("""COMPUTED_VALUE"""),"Huge, Haus, Recast")</f>
        <v>Huge, Haus, Recast</v>
      </c>
      <c r="I42" s="15">
        <f>IFERROR(__xludf.DUMMYFUNCTION("""COMPUTED_VALUE"""),4.0)</f>
        <v>4</v>
      </c>
      <c r="J42" s="15">
        <f>IFERROR(__xludf.DUMMYFUNCTION("""COMPUTED_VALUE"""),0.0)</f>
        <v>0</v>
      </c>
      <c r="K42" s="15">
        <f>IFERROR(__xludf.DUMMYFUNCTION("""COMPUTED_VALUE"""),1.0)</f>
        <v>1</v>
      </c>
    </row>
    <row r="43" ht="15.75" customHeight="1">
      <c r="A43" s="14" t="str">
        <f>IFERROR(__xludf.DUMMYFUNCTION("""COMPUTED_VALUE"""),"https://passion.digital/services/ai-search/#:~:text=Make%20sure%20when%20your%20customers%20ask%20a,%E2%9C%93%20Always%2Don%20alignment%3A%20%2D%20%E2%9C%93%20Proven%20performance%3A")</f>
        <v>https://passion.digital/services/ai-search/#:~:text=Make%20sure%20when%20your%20customers%20ask%20a,%E2%9C%93%20Always%2Don%20alignment%3A%20%2D%20%E2%9C%93%20Proven%20performance%3A</v>
      </c>
      <c r="B43" s="15" t="str">
        <f>IFERROR(__xludf.DUMMYFUNCTION("""COMPUTED_VALUE"""),"GEO Agency London | AI SEO Agency | Passion Digital")</f>
        <v>GEO Agency London | AI SEO Agency | Passion Digital</v>
      </c>
      <c r="C43" s="15" t="str">
        <f>IFERROR(__xludf.DUMMYFUNCTION("""COMPUTED_VALUE"""),"passion.digital")</f>
        <v>passion.digital</v>
      </c>
      <c r="D43" s="15" t="str">
        <f>IFERROR(__xludf.DUMMYFUNCTION("""COMPUTED_VALUE"""),"PRODUCT_PAGE")</f>
        <v>PRODUCT_PAGE</v>
      </c>
      <c r="E43" s="15" t="str">
        <f>IFERROR(__xludf.DUMMYFUNCTION("""COMPUTED_VALUE"""),"COMPETITOR")</f>
        <v>COMPETITOR</v>
      </c>
      <c r="F43" s="15" t="str">
        <f>IFERROR(__xludf.DUMMYFUNCTION("""COMPUTED_VALUE"""),"Product Page")</f>
        <v>Product Page</v>
      </c>
      <c r="G43" s="15" t="b">
        <f>IFERROR(__xludf.DUMMYFUNCTION("""COMPUTED_VALUE"""),FALSE)</f>
        <v>0</v>
      </c>
      <c r="H43" s="15" t="str">
        <f>IFERROR(__xludf.DUMMYFUNCTION("""COMPUTED_VALUE"""),"Passion Digital")</f>
        <v>Passion Digital</v>
      </c>
      <c r="I43" s="15">
        <f>IFERROR(__xludf.DUMMYFUNCTION("""COMPUTED_VALUE"""),4.0)</f>
        <v>4</v>
      </c>
      <c r="J43" s="15">
        <f>IFERROR(__xludf.DUMMYFUNCTION("""COMPUTED_VALUE"""),0.0)</f>
        <v>0</v>
      </c>
      <c r="K43" s="15">
        <f>IFERROR(__xludf.DUMMYFUNCTION("""COMPUTED_VALUE"""),3.0)</f>
        <v>3</v>
      </c>
    </row>
    <row r="44" ht="15.75" customHeight="1">
      <c r="A44" s="14" t="str">
        <f>IFERROR(__xludf.DUMMYFUNCTION("""COMPUTED_VALUE"""),"https://riseup.agency/data-analytics/")</f>
        <v>https://riseup.agency/data-analytics/</v>
      </c>
      <c r="B44" s="15" t="str">
        <f>IFERROR(__xludf.DUMMYFUNCTION("""COMPUTED_VALUE"""),"Marketing Analytics Agency | Attribution &amp;amp; GA4 | RiseUp")</f>
        <v>Marketing Analytics Agency | Attribution &amp;amp; GA4 | RiseUp</v>
      </c>
      <c r="C44" s="15" t="str">
        <f>IFERROR(__xludf.DUMMYFUNCTION("""COMPUTED_VALUE"""),"riseup.agency")</f>
        <v>riseup.agency</v>
      </c>
      <c r="D44" s="15" t="str">
        <f>IFERROR(__xludf.DUMMYFUNCTION("""COMPUTED_VALUE"""),"PRODUCT_PAGE")</f>
        <v>PRODUCT_PAGE</v>
      </c>
      <c r="E44" s="15" t="str">
        <f>IFERROR(__xludf.DUMMYFUNCTION("""COMPUTED_VALUE"""),"CORPORATE")</f>
        <v>CORPORATE</v>
      </c>
      <c r="F44" s="15" t="str">
        <f>IFERROR(__xludf.DUMMYFUNCTION("""COMPUTED_VALUE"""),"Product Page")</f>
        <v>Product Page</v>
      </c>
      <c r="G44" s="15" t="b">
        <f>IFERROR(__xludf.DUMMYFUNCTION("""COMPUTED_VALUE"""),FALSE)</f>
        <v>0</v>
      </c>
      <c r="H44" s="15"/>
      <c r="I44" s="15">
        <f>IFERROR(__xludf.DUMMYFUNCTION("""COMPUTED_VALUE"""),4.0)</f>
        <v>4</v>
      </c>
      <c r="J44" s="15">
        <f>IFERROR(__xludf.DUMMYFUNCTION("""COMPUTED_VALUE"""),0.0)</f>
        <v>0</v>
      </c>
      <c r="K44" s="15">
        <f>IFERROR(__xludf.DUMMYFUNCTION("""COMPUTED_VALUE"""),0.5)</f>
        <v>0.5</v>
      </c>
    </row>
    <row r="45" ht="15.75" customHeight="1">
      <c r="A45" s="14" t="str">
        <f>IFERROR(__xludf.DUMMYFUNCTION("""COMPUTED_VALUE"""),"https://www.searchlaboratory.com/google-marketing-platform/")</f>
        <v>https://www.searchlaboratory.com/google-marketing-platform/</v>
      </c>
      <c r="B45" s="15" t="str">
        <f>IFERROR(__xludf.DUMMYFUNCTION("""COMPUTED_VALUE"""),"Google Marketing Platform Partner Agency \| Havas Market UK")</f>
        <v>Google Marketing Platform Partner Agency \| Havas Market UK</v>
      </c>
      <c r="C45" s="14" t="str">
        <f>IFERROR(__xludf.DUMMYFUNCTION("""COMPUTED_VALUE"""),"searchlaboratory.com")</f>
        <v>searchlaboratory.com</v>
      </c>
      <c r="D45" s="15" t="str">
        <f>IFERROR(__xludf.DUMMYFUNCTION("""COMPUTED_VALUE"""),"PRODUCT_PAGE")</f>
        <v>PRODUCT_PAGE</v>
      </c>
      <c r="E45" s="15" t="str">
        <f>IFERROR(__xludf.DUMMYFUNCTION("""COMPUTED_VALUE"""),"CORPORATE")</f>
        <v>CORPORATE</v>
      </c>
      <c r="F45" s="15" t="str">
        <f>IFERROR(__xludf.DUMMYFUNCTION("""COMPUTED_VALUE"""),"Product Page")</f>
        <v>Product Page</v>
      </c>
      <c r="G45" s="15" t="b">
        <f>IFERROR(__xludf.DUMMYFUNCTION("""COMPUTED_VALUE"""),FALSE)</f>
        <v>0</v>
      </c>
      <c r="H45" s="15" t="str">
        <f>IFERROR(__xludf.DUMMYFUNCTION("""COMPUTED_VALUE"""),"Havas Market UK")</f>
        <v>Havas Market UK</v>
      </c>
      <c r="I45" s="15">
        <f>IFERROR(__xludf.DUMMYFUNCTION("""COMPUTED_VALUE"""),4.0)</f>
        <v>4</v>
      </c>
      <c r="J45" s="15">
        <f>IFERROR(__xludf.DUMMYFUNCTION("""COMPUTED_VALUE"""),0.0)</f>
        <v>0</v>
      </c>
      <c r="K45" s="15">
        <f>IFERROR(__xludf.DUMMYFUNCTION("""COMPUTED_VALUE"""),1.0)</f>
        <v>1</v>
      </c>
    </row>
    <row r="46" ht="15.75" customHeight="1">
      <c r="A46" s="14" t="str">
        <f>IFERROR(__xludf.DUMMYFUNCTION("""COMPUTED_VALUE"""),"https://wonderagency.co.uk/services/marketing-analytics/marketing-attribution-analytics/")</f>
        <v>https://wonderagency.co.uk/services/marketing-analytics/marketing-attribution-analytics/</v>
      </c>
      <c r="B46" s="15" t="str">
        <f>IFERROR(__xludf.DUMMYFUNCTION("""COMPUTED_VALUE"""),"Marketing Attribution &amp;amp; Analytics - The Wonder Agency")</f>
        <v>Marketing Attribution &amp;amp; Analytics - The Wonder Agency</v>
      </c>
      <c r="C46" s="14" t="str">
        <f>IFERROR(__xludf.DUMMYFUNCTION("""COMPUTED_VALUE"""),"wonderagency.co.uk")</f>
        <v>wonderagency.co.uk</v>
      </c>
      <c r="D46" s="15" t="str">
        <f>IFERROR(__xludf.DUMMYFUNCTION("""COMPUTED_VALUE"""),"PRODUCT_PAGE")</f>
        <v>PRODUCT_PAGE</v>
      </c>
      <c r="E46" s="15" t="str">
        <f>IFERROR(__xludf.DUMMYFUNCTION("""COMPUTED_VALUE"""),"CORPORATE")</f>
        <v>CORPORATE</v>
      </c>
      <c r="F46" s="15" t="str">
        <f>IFERROR(__xludf.DUMMYFUNCTION("""COMPUTED_VALUE"""),"Product Page")</f>
        <v>Product Page</v>
      </c>
      <c r="G46" s="15" t="b">
        <f>IFERROR(__xludf.DUMMYFUNCTION("""COMPUTED_VALUE"""),FALSE)</f>
        <v>0</v>
      </c>
      <c r="H46" s="15" t="str">
        <f>IFERROR(__xludf.DUMMYFUNCTION("""COMPUTED_VALUE"""),"Found")</f>
        <v>Found</v>
      </c>
      <c r="I46" s="15">
        <f>IFERROR(__xludf.DUMMYFUNCTION("""COMPUTED_VALUE"""),4.0)</f>
        <v>4</v>
      </c>
      <c r="J46" s="15">
        <f>IFERROR(__xludf.DUMMYFUNCTION("""COMPUTED_VALUE"""),0.0)</f>
        <v>0</v>
      </c>
      <c r="K46" s="15">
        <f>IFERROR(__xludf.DUMMYFUNCTION("""COMPUTED_VALUE"""),0.5)</f>
        <v>0.5</v>
      </c>
    </row>
    <row r="47" ht="15.75" customHeight="1">
      <c r="A47" s="14" t="str">
        <f>IFERROR(__xludf.DUMMYFUNCTION("""COMPUTED_VALUE"""),"https://braidr.ai/intelligence/ai-strategy-readiness-consulting/")</f>
        <v>https://braidr.ai/intelligence/ai-strategy-readiness-consulting/</v>
      </c>
      <c r="B47" s="15" t="str">
        <f>IFERROR(__xludf.DUMMYFUNCTION("""COMPUTED_VALUE"""),"AI Strategy Consulting | AI Readiness Consulting | Braidr")</f>
        <v>AI Strategy Consulting | AI Readiness Consulting | Braidr</v>
      </c>
      <c r="C47" s="14" t="str">
        <f>IFERROR(__xludf.DUMMYFUNCTION("""COMPUTED_VALUE"""),"braidr.ai")</f>
        <v>braidr.ai</v>
      </c>
      <c r="D47" s="15" t="str">
        <f>IFERROR(__xludf.DUMMYFUNCTION("""COMPUTED_VALUE"""),"PRODUCT_PAGE")</f>
        <v>PRODUCT_PAGE</v>
      </c>
      <c r="E47" s="15" t="str">
        <f>IFERROR(__xludf.DUMMYFUNCTION("""COMPUTED_VALUE"""),"CORPORATE")</f>
        <v>CORPORATE</v>
      </c>
      <c r="F47" s="15" t="str">
        <f>IFERROR(__xludf.DUMMYFUNCTION("""COMPUTED_VALUE"""),"Product Page")</f>
        <v>Product Page</v>
      </c>
      <c r="G47" s="15" t="b">
        <f>IFERROR(__xludf.DUMMYFUNCTION("""COMPUTED_VALUE"""),FALSE)</f>
        <v>0</v>
      </c>
      <c r="H47" s="15" t="str">
        <f>IFERROR(__xludf.DUMMYFUNCTION("""COMPUTED_VALUE"""),"Momentum, Found")</f>
        <v>Momentum, Found</v>
      </c>
      <c r="I47" s="15">
        <f>IFERROR(__xludf.DUMMYFUNCTION("""COMPUTED_VALUE"""),3.0)</f>
        <v>3</v>
      </c>
      <c r="J47" s="15">
        <f>IFERROR(__xludf.DUMMYFUNCTION("""COMPUTED_VALUE"""),0.0)</f>
        <v>0</v>
      </c>
      <c r="K47" s="15">
        <f>IFERROR(__xludf.DUMMYFUNCTION("""COMPUTED_VALUE"""),1.0)</f>
        <v>1</v>
      </c>
    </row>
    <row r="48" ht="15.75" customHeight="1">
      <c r="A48" s="14" t="str">
        <f>IFERROR(__xludf.DUMMYFUNCTION("""COMPUTED_VALUE"""),"https://business.google.com/en-all/support/become-a-partner/")</f>
        <v>https://business.google.com/en-all/support/become-a-partner/</v>
      </c>
      <c r="B48" s="15" t="str">
        <f>IFERROR(__xludf.DUMMYFUNCTION("""COMPUTED_VALUE"""),"Google Partners Programme: Become a Partner – Google Ads")</f>
        <v>Google Partners Programme: Become a Partner – Google Ads</v>
      </c>
      <c r="C48" s="14" t="str">
        <f>IFERROR(__xludf.DUMMYFUNCTION("""COMPUTED_VALUE"""),"google.com")</f>
        <v>google.com</v>
      </c>
      <c r="D48" s="15" t="str">
        <f>IFERROR(__xludf.DUMMYFUNCTION("""COMPUTED_VALUE"""),"PRODUCT_PAGE")</f>
        <v>PRODUCT_PAGE</v>
      </c>
      <c r="E48" s="15" t="str">
        <f>IFERROR(__xludf.DUMMYFUNCTION("""COMPUTED_VALUE"""),"OTHER")</f>
        <v>OTHER</v>
      </c>
      <c r="F48" s="15" t="str">
        <f>IFERROR(__xludf.DUMMYFUNCTION("""COMPUTED_VALUE"""),"Product Page")</f>
        <v>Product Page</v>
      </c>
      <c r="G48" s="15" t="b">
        <f>IFERROR(__xludf.DUMMYFUNCTION("""COMPUTED_VALUE"""),FALSE)</f>
        <v>0</v>
      </c>
      <c r="H48" s="15" t="str">
        <f>IFERROR(__xludf.DUMMYFUNCTION("""COMPUTED_VALUE"""),"New Engen, Merkle")</f>
        <v>New Engen, Merkle</v>
      </c>
      <c r="I48" s="15">
        <f>IFERROR(__xludf.DUMMYFUNCTION("""COMPUTED_VALUE"""),3.0)</f>
        <v>3</v>
      </c>
      <c r="J48" s="15">
        <f>IFERROR(__xludf.DUMMYFUNCTION("""COMPUTED_VALUE"""),0.0)</f>
        <v>0</v>
      </c>
      <c r="K48" s="15">
        <f>IFERROR(__xludf.DUMMYFUNCTION("""COMPUTED_VALUE"""),0.0)</f>
        <v>0</v>
      </c>
    </row>
    <row r="49" ht="15.75" customHeight="1">
      <c r="A49" s="14" t="str">
        <f>IFERROR(__xludf.DUMMYFUNCTION("""COMPUTED_VALUE"""),"https://www.click.co.uk/services/paid-media/display-advertising/")</f>
        <v>https://www.click.co.uk/services/paid-media/display-advertising/</v>
      </c>
      <c r="B49" s="15" t="str">
        <f>IFERROR(__xludf.DUMMYFUNCTION("""COMPUTED_VALUE"""),"Display Advertising Agency Services | Click Consult")</f>
        <v>Display Advertising Agency Services | Click Consult</v>
      </c>
      <c r="C49" s="14" t="str">
        <f>IFERROR(__xludf.DUMMYFUNCTION("""COMPUTED_VALUE"""),"click.co.uk")</f>
        <v>click.co.uk</v>
      </c>
      <c r="D49" s="15" t="str">
        <f>IFERROR(__xludf.DUMMYFUNCTION("""COMPUTED_VALUE"""),"PRODUCT_PAGE")</f>
        <v>PRODUCT_PAGE</v>
      </c>
      <c r="E49" s="15" t="str">
        <f>IFERROR(__xludf.DUMMYFUNCTION("""COMPUTED_VALUE"""),"CORPORATE")</f>
        <v>CORPORATE</v>
      </c>
      <c r="F49" s="15" t="str">
        <f>IFERROR(__xludf.DUMMYFUNCTION("""COMPUTED_VALUE"""),"Product Page")</f>
        <v>Product Page</v>
      </c>
      <c r="G49" s="15" t="b">
        <f>IFERROR(__xludf.DUMMYFUNCTION("""COMPUTED_VALUE"""),FALSE)</f>
        <v>0</v>
      </c>
      <c r="H49" s="15" t="str">
        <f>IFERROR(__xludf.DUMMYFUNCTION("""COMPUTED_VALUE"""),"Found, Huge")</f>
        <v>Found, Huge</v>
      </c>
      <c r="I49" s="15">
        <f>IFERROR(__xludf.DUMMYFUNCTION("""COMPUTED_VALUE"""),3.0)</f>
        <v>3</v>
      </c>
      <c r="J49" s="15">
        <f>IFERROR(__xludf.DUMMYFUNCTION("""COMPUTED_VALUE"""),0.0)</f>
        <v>0</v>
      </c>
      <c r="K49" s="15">
        <f>IFERROR(__xludf.DUMMYFUNCTION("""COMPUTED_VALUE"""),0.67)</f>
        <v>0.67</v>
      </c>
    </row>
    <row r="50" ht="15.75" customHeight="1">
      <c r="A50" s="14" t="str">
        <f>IFERROR(__xludf.DUMMYFUNCTION("""COMPUTED_VALUE"""),"https://www.deptagency.com/en-dk/partner/google-marketing-platform/")</f>
        <v>https://www.deptagency.com/en-dk/partner/google-marketing-platform/</v>
      </c>
      <c r="B50" s="15" t="str">
        <f>IFERROR(__xludf.DUMMYFUNCTION("""COMPUTED_VALUE"""),"GMP Agency Partner | Reseller | Google Premier Partner - DEPT®")</f>
        <v>GMP Agency Partner | Reseller | Google Premier Partner - DEPT®</v>
      </c>
      <c r="C50" s="14" t="str">
        <f>IFERROR(__xludf.DUMMYFUNCTION("""COMPUTED_VALUE"""),"deptagency.com")</f>
        <v>deptagency.com</v>
      </c>
      <c r="D50" s="15" t="str">
        <f>IFERROR(__xludf.DUMMYFUNCTION("""COMPUTED_VALUE"""),"PRODUCT_PAGE")</f>
        <v>PRODUCT_PAGE</v>
      </c>
      <c r="E50" s="15" t="str">
        <f>IFERROR(__xludf.DUMMYFUNCTION("""COMPUTED_VALUE"""),"COMPETITOR")</f>
        <v>COMPETITOR</v>
      </c>
      <c r="F50" s="15" t="str">
        <f>IFERROR(__xludf.DUMMYFUNCTION("""COMPUTED_VALUE"""),"Product Page")</f>
        <v>Product Page</v>
      </c>
      <c r="G50" s="15" t="b">
        <f>IFERROR(__xludf.DUMMYFUNCTION("""COMPUTED_VALUE"""),FALSE)</f>
        <v>0</v>
      </c>
      <c r="H50" s="15" t="str">
        <f>IFERROR(__xludf.DUMMYFUNCTION("""COMPUTED_VALUE"""),"Dept, Push")</f>
        <v>Dept, Push</v>
      </c>
      <c r="I50" s="15">
        <f>IFERROR(__xludf.DUMMYFUNCTION("""COMPUTED_VALUE"""),3.0)</f>
        <v>3</v>
      </c>
      <c r="J50" s="15">
        <f>IFERROR(__xludf.DUMMYFUNCTION("""COMPUTED_VALUE"""),0.0)</f>
        <v>0</v>
      </c>
      <c r="K50" s="15">
        <f>IFERROR(__xludf.DUMMYFUNCTION("""COMPUTED_VALUE"""),2.67)</f>
        <v>2.67</v>
      </c>
    </row>
    <row r="51" ht="15.75" customHeight="1">
      <c r="A51" s="14" t="str">
        <f>IFERROR(__xludf.DUMMYFUNCTION("""COMPUTED_VALUE"""),"https://www.ey.com/en_uk/services/consulting/artificial-intelligence-consulting-services")</f>
        <v>https://www.ey.com/en_uk/services/consulting/artificial-intelligence-consulting-services</v>
      </c>
      <c r="B51" s="15" t="str">
        <f>IFERROR(__xludf.DUMMYFUNCTION("""COMPUTED_VALUE"""),"Artificial Intelligence Consulting Services | EY - UK")</f>
        <v>Artificial Intelligence Consulting Services | EY - UK</v>
      </c>
      <c r="C51" s="14" t="str">
        <f>IFERROR(__xludf.DUMMYFUNCTION("""COMPUTED_VALUE"""),"ey.com")</f>
        <v>ey.com</v>
      </c>
      <c r="D51" s="15" t="str">
        <f>IFERROR(__xludf.DUMMYFUNCTION("""COMPUTED_VALUE"""),"PRODUCT_PAGE")</f>
        <v>PRODUCT_PAGE</v>
      </c>
      <c r="E51" s="15" t="str">
        <f>IFERROR(__xludf.DUMMYFUNCTION("""COMPUTED_VALUE"""),"COMPETITOR")</f>
        <v>COMPETITOR</v>
      </c>
      <c r="F51" s="15" t="str">
        <f>IFERROR(__xludf.DUMMYFUNCTION("""COMPUTED_VALUE"""),"Product Page")</f>
        <v>Product Page</v>
      </c>
      <c r="G51" s="15" t="b">
        <f>IFERROR(__xludf.DUMMYFUNCTION("""COMPUTED_VALUE"""),FALSE)</f>
        <v>0</v>
      </c>
      <c r="H51" s="15" t="str">
        <f>IFERROR(__xludf.DUMMYFUNCTION("""COMPUTED_VALUE"""),"EY, Found")</f>
        <v>EY, Found</v>
      </c>
      <c r="I51" s="15">
        <f>IFERROR(__xludf.DUMMYFUNCTION("""COMPUTED_VALUE"""),3.0)</f>
        <v>3</v>
      </c>
      <c r="J51" s="15">
        <f>IFERROR(__xludf.DUMMYFUNCTION("""COMPUTED_VALUE"""),0.0)</f>
        <v>0</v>
      </c>
      <c r="K51" s="15">
        <f>IFERROR(__xludf.DUMMYFUNCTION("""COMPUTED_VALUE"""),0.0)</f>
        <v>0</v>
      </c>
    </row>
    <row r="52" ht="15.75" customHeight="1">
      <c r="A52" s="14" t="str">
        <f>IFERROR(__xludf.DUMMYFUNCTION("""COMPUTED_VALUE"""),"https://www.found.co.uk/services/paid-media/")</f>
        <v>https://www.found.co.uk/services/paid-media/</v>
      </c>
      <c r="B52" s="15" t="str">
        <f>IFERROR(__xludf.DUMMYFUNCTION("""COMPUTED_VALUE"""),"Paid Media Agency London \| Award-winning Paid Media Services \| Found")</f>
        <v>Paid Media Agency London \| Award-winning Paid Media Services \| Found</v>
      </c>
      <c r="C52" s="14" t="str">
        <f>IFERROR(__xludf.DUMMYFUNCTION("""COMPUTED_VALUE"""),"found.co.uk")</f>
        <v>found.co.uk</v>
      </c>
      <c r="D52" s="15" t="str">
        <f>IFERROR(__xludf.DUMMYFUNCTION("""COMPUTED_VALUE"""),"PRODUCT_PAGE")</f>
        <v>PRODUCT_PAGE</v>
      </c>
      <c r="E52" s="15" t="str">
        <f>IFERROR(__xludf.DUMMYFUNCTION("""COMPUTED_VALUE"""),"CORPORATE")</f>
        <v>CORPORATE</v>
      </c>
      <c r="F52" s="15" t="str">
        <f>IFERROR(__xludf.DUMMYFUNCTION("""COMPUTED_VALUE"""),"Product Page")</f>
        <v>Product Page</v>
      </c>
      <c r="G52" s="15" t="b">
        <f>IFERROR(__xludf.DUMMYFUNCTION("""COMPUTED_VALUE"""),FALSE)</f>
        <v>0</v>
      </c>
      <c r="H52" s="15" t="str">
        <f>IFERROR(__xludf.DUMMYFUNCTION("""COMPUTED_VALUE"""),"Found")</f>
        <v>Found</v>
      </c>
      <c r="I52" s="15">
        <f>IFERROR(__xludf.DUMMYFUNCTION("""COMPUTED_VALUE"""),3.0)</f>
        <v>3</v>
      </c>
      <c r="J52" s="15">
        <f>IFERROR(__xludf.DUMMYFUNCTION("""COMPUTED_VALUE"""),0.0)</f>
        <v>0</v>
      </c>
      <c r="K52" s="15">
        <f>IFERROR(__xludf.DUMMYFUNCTION("""COMPUTED_VALUE"""),1.0)</f>
        <v>1</v>
      </c>
    </row>
    <row r="53" ht="15.75" customHeight="1">
      <c r="A53" s="14" t="str">
        <f>IFERROR(__xludf.DUMMYFUNCTION("""COMPUTED_VALUE"""),"https://www.found.co.uk/services/paid-media/programmatic/")</f>
        <v>https://www.found.co.uk/services/paid-media/programmatic/</v>
      </c>
      <c r="B53" s="15" t="str">
        <f>IFERROR(__xludf.DUMMYFUNCTION("""COMPUTED_VALUE"""),"Programmatic Advertising Agency London \| Growth-Focused \| Found")</f>
        <v>Programmatic Advertising Agency London \| Growth-Focused \| Found</v>
      </c>
      <c r="C53" s="14" t="str">
        <f>IFERROR(__xludf.DUMMYFUNCTION("""COMPUTED_VALUE"""),"found.co.uk")</f>
        <v>found.co.uk</v>
      </c>
      <c r="D53" s="15" t="str">
        <f>IFERROR(__xludf.DUMMYFUNCTION("""COMPUTED_VALUE"""),"PRODUCT_PAGE")</f>
        <v>PRODUCT_PAGE</v>
      </c>
      <c r="E53" s="15" t="str">
        <f>IFERROR(__xludf.DUMMYFUNCTION("""COMPUTED_VALUE"""),"CORPORATE")</f>
        <v>CORPORATE</v>
      </c>
      <c r="F53" s="15" t="str">
        <f>IFERROR(__xludf.DUMMYFUNCTION("""COMPUTED_VALUE"""),"Product Page")</f>
        <v>Product Page</v>
      </c>
      <c r="G53" s="15" t="b">
        <f>IFERROR(__xludf.DUMMYFUNCTION("""COMPUTED_VALUE"""),FALSE)</f>
        <v>0</v>
      </c>
      <c r="H53" s="15" t="str">
        <f>IFERROR(__xludf.DUMMYFUNCTION("""COMPUTED_VALUE"""),"Found")</f>
        <v>Found</v>
      </c>
      <c r="I53" s="15">
        <f>IFERROR(__xludf.DUMMYFUNCTION("""COMPUTED_VALUE"""),3.0)</f>
        <v>3</v>
      </c>
      <c r="J53" s="15">
        <f>IFERROR(__xludf.DUMMYFUNCTION("""COMPUTED_VALUE"""),0.0)</f>
        <v>0</v>
      </c>
      <c r="K53" s="15">
        <f>IFERROR(__xludf.DUMMYFUNCTION("""COMPUTED_VALUE"""),1.0)</f>
        <v>1</v>
      </c>
    </row>
    <row r="54" ht="15.75" customHeight="1">
      <c r="A54" s="14" t="str">
        <f>IFERROR(__xludf.DUMMYFUNCTION("""COMPUTED_VALUE"""),"https://staging.polarisagency.com/marketing-insights/best-geo-services-uk/")</f>
        <v>https://staging.polarisagency.com/marketing-insights/best-geo-services-uk/</v>
      </c>
      <c r="B54" s="15" t="str">
        <f>IFERROR(__xludf.DUMMYFUNCTION("""COMPUTED_VALUE"""),"The 10 Best GEO Agencies in the UK | Agency Reviews")</f>
        <v>The 10 Best GEO Agencies in the UK | Agency Reviews</v>
      </c>
      <c r="C54" s="14" t="str">
        <f>IFERROR(__xludf.DUMMYFUNCTION("""COMPUTED_VALUE"""),"polarisagency.com")</f>
        <v>polarisagency.com</v>
      </c>
      <c r="D54" s="15" t="str">
        <f>IFERROR(__xludf.DUMMYFUNCTION("""COMPUTED_VALUE"""),"PRODUCT_PAGE")</f>
        <v>PRODUCT_PAGE</v>
      </c>
      <c r="E54" s="15" t="str">
        <f>IFERROR(__xludf.DUMMYFUNCTION("""COMPUTED_VALUE"""),"COMPETITOR")</f>
        <v>COMPETITOR</v>
      </c>
      <c r="F54" s="15" t="str">
        <f>IFERROR(__xludf.DUMMYFUNCTION("""COMPUTED_VALUE"""),"Product Page")</f>
        <v>Product Page</v>
      </c>
      <c r="G54" s="15" t="b">
        <f>IFERROR(__xludf.DUMMYFUNCTION("""COMPUTED_VALUE"""),FALSE)</f>
        <v>0</v>
      </c>
      <c r="H54" s="15" t="str">
        <f>IFERROR(__xludf.DUMMYFUNCTION("""COMPUTED_VALUE"""),"Polaris, Passion Digital, Found, Blue Array, Siege Media, Charle Agency, The SEO Works, Directive Consulting")</f>
        <v>Polaris, Passion Digital, Found, Blue Array, Siege Media, Charle Agency, The SEO Works, Directive Consulting</v>
      </c>
      <c r="I54" s="15">
        <f>IFERROR(__xludf.DUMMYFUNCTION("""COMPUTED_VALUE"""),3.0)</f>
        <v>3</v>
      </c>
      <c r="J54" s="15">
        <f>IFERROR(__xludf.DUMMYFUNCTION("""COMPUTED_VALUE"""),0.0)</f>
        <v>0</v>
      </c>
      <c r="K54" s="15">
        <f>IFERROR(__xludf.DUMMYFUNCTION("""COMPUTED_VALUE"""),0.0)</f>
        <v>0</v>
      </c>
    </row>
    <row r="55" ht="15.75" customHeight="1">
      <c r="A55" s="14" t="str">
        <f>IFERROR(__xludf.DUMMYFUNCTION("""COMPUTED_VALUE"""),"https://www.acxiom.co.uk/data-analytics-strategy/campaign-measurement/")</f>
        <v>https://www.acxiom.co.uk/data-analytics-strategy/campaign-measurement/</v>
      </c>
      <c r="B55" s="15" t="str">
        <f>IFERROR(__xludf.DUMMYFUNCTION("""COMPUTED_VALUE"""),"Measure the Incremental Impact of Your Marketing | Acxiom")</f>
        <v>Measure the Incremental Impact of Your Marketing | Acxiom</v>
      </c>
      <c r="C55" s="14" t="str">
        <f>IFERROR(__xludf.DUMMYFUNCTION("""COMPUTED_VALUE"""),"acxiom.co.uk")</f>
        <v>acxiom.co.uk</v>
      </c>
      <c r="D55" s="15" t="str">
        <f>IFERROR(__xludf.DUMMYFUNCTION("""COMPUTED_VALUE"""),"PRODUCT_PAGE")</f>
        <v>PRODUCT_PAGE</v>
      </c>
      <c r="E55" s="15" t="str">
        <f>IFERROR(__xludf.DUMMYFUNCTION("""COMPUTED_VALUE"""),"CORPORATE")</f>
        <v>CORPORATE</v>
      </c>
      <c r="F55" s="15" t="str">
        <f>IFERROR(__xludf.DUMMYFUNCTION("""COMPUTED_VALUE"""),"Product Page")</f>
        <v>Product Page</v>
      </c>
      <c r="G55" s="15" t="b">
        <f>IFERROR(__xludf.DUMMYFUNCTION("""COMPUTED_VALUE"""),FALSE)</f>
        <v>0</v>
      </c>
      <c r="H55" s="15" t="str">
        <f>IFERROR(__xludf.DUMMYFUNCTION("""COMPUTED_VALUE"""),"Measured")</f>
        <v>Measured</v>
      </c>
      <c r="I55" s="15">
        <f>IFERROR(__xludf.DUMMYFUNCTION("""COMPUTED_VALUE"""),2.0)</f>
        <v>2</v>
      </c>
      <c r="J55" s="15">
        <f>IFERROR(__xludf.DUMMYFUNCTION("""COMPUTED_VALUE"""),0.0)</f>
        <v>0</v>
      </c>
      <c r="K55" s="15">
        <f>IFERROR(__xludf.DUMMYFUNCTION("""COMPUTED_VALUE"""),2.0)</f>
        <v>2</v>
      </c>
    </row>
    <row r="56" ht="15.75" customHeight="1">
      <c r="A56" s="14" t="str">
        <f>IFERROR(__xludf.DUMMYFUNCTION("""COMPUTED_VALUE"""),"https://bird.co.uk/seo/generative-engine-optimisation/")</f>
        <v>https://bird.co.uk/seo/generative-engine-optimisation/</v>
      </c>
      <c r="B56" s="15" t="str">
        <f>IFERROR(__xludf.DUMMYFUNCTION("""COMPUTED_VALUE"""),"Generative Engine Optimisation - GEO Agency UK - Bird Marketing")</f>
        <v>Generative Engine Optimisation - GEO Agency UK - Bird Marketing</v>
      </c>
      <c r="C56" s="14" t="str">
        <f>IFERROR(__xludf.DUMMYFUNCTION("""COMPUTED_VALUE"""),"bird.co.uk")</f>
        <v>bird.co.uk</v>
      </c>
      <c r="D56" s="15" t="str">
        <f>IFERROR(__xludf.DUMMYFUNCTION("""COMPUTED_VALUE"""),"PRODUCT_PAGE")</f>
        <v>PRODUCT_PAGE</v>
      </c>
      <c r="E56" s="15" t="str">
        <f>IFERROR(__xludf.DUMMYFUNCTION("""COMPUTED_VALUE"""),"CORPORATE")</f>
        <v>CORPORATE</v>
      </c>
      <c r="F56" s="15" t="str">
        <f>IFERROR(__xludf.DUMMYFUNCTION("""COMPUTED_VALUE"""),"Product Page")</f>
        <v>Product Page</v>
      </c>
      <c r="G56" s="15" t="b">
        <f>IFERROR(__xludf.DUMMYFUNCTION("""COMPUTED_VALUE"""),FALSE)</f>
        <v>0</v>
      </c>
      <c r="H56" s="15" t="str">
        <f>IFERROR(__xludf.DUMMYFUNCTION("""COMPUTED_VALUE"""),"Bird Marketing")</f>
        <v>Bird Marketing</v>
      </c>
      <c r="I56" s="15">
        <f>IFERROR(__xludf.DUMMYFUNCTION("""COMPUTED_VALUE"""),2.0)</f>
        <v>2</v>
      </c>
      <c r="J56" s="15">
        <f>IFERROR(__xludf.DUMMYFUNCTION("""COMPUTED_VALUE"""),0.0)</f>
        <v>0</v>
      </c>
      <c r="K56" s="15">
        <f>IFERROR(__xludf.DUMMYFUNCTION("""COMPUTED_VALUE"""),2.0)</f>
        <v>2</v>
      </c>
    </row>
    <row r="57" ht="15.75" customHeight="1">
      <c r="A57" s="14" t="str">
        <f>IFERROR(__xludf.DUMMYFUNCTION("""COMPUTED_VALUE"""),"https://bird.co.uk/social-media/")</f>
        <v>https://bird.co.uk/social-media/</v>
      </c>
      <c r="B57" s="15" t="str">
        <f>IFERROR(__xludf.DUMMYFUNCTION("""COMPUTED_VALUE"""),"Top Social Media Agency UK - Award Winning - UK Based")</f>
        <v>Top Social Media Agency UK - Award Winning - UK Based</v>
      </c>
      <c r="C57" s="14" t="str">
        <f>IFERROR(__xludf.DUMMYFUNCTION("""COMPUTED_VALUE"""),"bird.co.uk")</f>
        <v>bird.co.uk</v>
      </c>
      <c r="D57" s="15" t="str">
        <f>IFERROR(__xludf.DUMMYFUNCTION("""COMPUTED_VALUE"""),"PRODUCT_PAGE")</f>
        <v>PRODUCT_PAGE</v>
      </c>
      <c r="E57" s="15" t="str">
        <f>IFERROR(__xludf.DUMMYFUNCTION("""COMPUTED_VALUE"""),"CORPORATE")</f>
        <v>CORPORATE</v>
      </c>
      <c r="F57" s="15" t="str">
        <f>IFERROR(__xludf.DUMMYFUNCTION("""COMPUTED_VALUE"""),"Product Page")</f>
        <v>Product Page</v>
      </c>
      <c r="G57" s="15" t="b">
        <f>IFERROR(__xludf.DUMMYFUNCTION("""COMPUTED_VALUE"""),FALSE)</f>
        <v>0</v>
      </c>
      <c r="H57" s="15" t="str">
        <f>IFERROR(__xludf.DUMMYFUNCTION("""COMPUTED_VALUE"""),"Bird Marketing")</f>
        <v>Bird Marketing</v>
      </c>
      <c r="I57" s="15">
        <f>IFERROR(__xludf.DUMMYFUNCTION("""COMPUTED_VALUE"""),2.0)</f>
        <v>2</v>
      </c>
      <c r="J57" s="15">
        <f>IFERROR(__xludf.DUMMYFUNCTION("""COMPUTED_VALUE"""),0.0)</f>
        <v>0</v>
      </c>
      <c r="K57" s="15">
        <f>IFERROR(__xludf.DUMMYFUNCTION("""COMPUTED_VALUE"""),1.0)</f>
        <v>1</v>
      </c>
    </row>
    <row r="58" ht="15.75" customHeight="1">
      <c r="A58" s="14" t="str">
        <f>IFERROR(__xludf.DUMMYFUNCTION("""COMPUTED_VALUE"""),"https://business.google.com/en-all/support/work-with-a-partner/")</f>
        <v>https://business.google.com/en-all/support/work-with-a-partner/</v>
      </c>
      <c r="B58" s="15" t="str">
        <f>IFERROR(__xludf.DUMMYFUNCTION("""COMPUTED_VALUE"""),"Work with a Google Partner for a Successful Campaign – Google Ads")</f>
        <v>Work with a Google Partner for a Successful Campaign – Google Ads</v>
      </c>
      <c r="C58" s="14" t="str">
        <f>IFERROR(__xludf.DUMMYFUNCTION("""COMPUTED_VALUE"""),"google.com")</f>
        <v>google.com</v>
      </c>
      <c r="D58" s="15" t="str">
        <f>IFERROR(__xludf.DUMMYFUNCTION("""COMPUTED_VALUE"""),"PRODUCT_PAGE")</f>
        <v>PRODUCT_PAGE</v>
      </c>
      <c r="E58" s="15" t="str">
        <f>IFERROR(__xludf.DUMMYFUNCTION("""COMPUTED_VALUE"""),"OTHER")</f>
        <v>OTHER</v>
      </c>
      <c r="F58" s="15" t="str">
        <f>IFERROR(__xludf.DUMMYFUNCTION("""COMPUTED_VALUE"""),"Product Page")</f>
        <v>Product Page</v>
      </c>
      <c r="G58" s="15" t="b">
        <f>IFERROR(__xludf.DUMMYFUNCTION("""COMPUTED_VALUE"""),FALSE)</f>
        <v>0</v>
      </c>
      <c r="H58" s="15" t="str">
        <f>IFERROR(__xludf.DUMMYFUNCTION("""COMPUTED_VALUE"""),"New Engen, Wpromote")</f>
        <v>New Engen, Wpromote</v>
      </c>
      <c r="I58" s="15">
        <f>IFERROR(__xludf.DUMMYFUNCTION("""COMPUTED_VALUE"""),2.0)</f>
        <v>2</v>
      </c>
      <c r="J58" s="15">
        <f>IFERROR(__xludf.DUMMYFUNCTION("""COMPUTED_VALUE"""),0.0)</f>
        <v>0</v>
      </c>
      <c r="K58" s="15">
        <f>IFERROR(__xludf.DUMMYFUNCTION("""COMPUTED_VALUE"""),0.0)</f>
        <v>0</v>
      </c>
    </row>
    <row r="59" ht="15.75" customHeight="1">
      <c r="A59" s="14" t="str">
        <f>IFERROR(__xludf.DUMMYFUNCTION("""COMPUTED_VALUE"""),"https://business.google.com/uk/support/become-a-partner/")</f>
        <v>https://business.google.com/uk/support/become-a-partner/</v>
      </c>
      <c r="B59" s="15" t="str">
        <f>IFERROR(__xludf.DUMMYFUNCTION("""COMPUTED_VALUE"""),"Google Partners Programme: Become a Partner – Google Ads")</f>
        <v>Google Partners Programme: Become a Partner – Google Ads</v>
      </c>
      <c r="C59" s="14" t="str">
        <f>IFERROR(__xludf.DUMMYFUNCTION("""COMPUTED_VALUE"""),"google.com")</f>
        <v>google.com</v>
      </c>
      <c r="D59" s="15" t="str">
        <f>IFERROR(__xludf.DUMMYFUNCTION("""COMPUTED_VALUE"""),"PRODUCT_PAGE")</f>
        <v>PRODUCT_PAGE</v>
      </c>
      <c r="E59" s="15" t="str">
        <f>IFERROR(__xludf.DUMMYFUNCTION("""COMPUTED_VALUE"""),"OTHER")</f>
        <v>OTHER</v>
      </c>
      <c r="F59" s="15" t="str">
        <f>IFERROR(__xludf.DUMMYFUNCTION("""COMPUTED_VALUE"""),"Product Page")</f>
        <v>Product Page</v>
      </c>
      <c r="G59" s="15" t="b">
        <f>IFERROR(__xludf.DUMMYFUNCTION("""COMPUTED_VALUE"""),FALSE)</f>
        <v>0</v>
      </c>
      <c r="H59" s="15" t="str">
        <f>IFERROR(__xludf.DUMMYFUNCTION("""COMPUTED_VALUE"""),"New Engen, Merkle")</f>
        <v>New Engen, Merkle</v>
      </c>
      <c r="I59" s="15">
        <f>IFERROR(__xludf.DUMMYFUNCTION("""COMPUTED_VALUE"""),2.0)</f>
        <v>2</v>
      </c>
      <c r="J59" s="15">
        <f>IFERROR(__xludf.DUMMYFUNCTION("""COMPUTED_VALUE"""),0.0)</f>
        <v>0</v>
      </c>
      <c r="K59" s="15">
        <f>IFERROR(__xludf.DUMMYFUNCTION("""COMPUTED_VALUE"""),1.0)</f>
        <v>1</v>
      </c>
    </row>
    <row r="60" ht="15.75" customHeight="1">
      <c r="A60" s="14" t="str">
        <f>IFERROR(__xludf.DUMMYFUNCTION("""COMPUTED_VALUE"""),"https://byter.com/social-media-advertising/")</f>
        <v>https://byter.com/social-media-advertising/</v>
      </c>
      <c r="B60" s="15" t="str">
        <f>IFERROR(__xludf.DUMMYFUNCTION("""COMPUTED_VALUE"""),"Social Media Advertising | Byter")</f>
        <v>Social Media Advertising | Byter</v>
      </c>
      <c r="C60" s="14" t="str">
        <f>IFERROR(__xludf.DUMMYFUNCTION("""COMPUTED_VALUE"""),"byter.com")</f>
        <v>byter.com</v>
      </c>
      <c r="D60" s="15" t="str">
        <f>IFERROR(__xludf.DUMMYFUNCTION("""COMPUTED_VALUE"""),"PRODUCT_PAGE")</f>
        <v>PRODUCT_PAGE</v>
      </c>
      <c r="E60" s="15" t="str">
        <f>IFERROR(__xludf.DUMMYFUNCTION("""COMPUTED_VALUE"""),"CORPORATE")</f>
        <v>CORPORATE</v>
      </c>
      <c r="F60" s="15" t="str">
        <f>IFERROR(__xludf.DUMMYFUNCTION("""COMPUTED_VALUE"""),"Product Page")</f>
        <v>Product Page</v>
      </c>
      <c r="G60" s="15" t="b">
        <f>IFERROR(__xludf.DUMMYFUNCTION("""COMPUTED_VALUE"""),FALSE)</f>
        <v>0</v>
      </c>
      <c r="H60" s="15"/>
      <c r="I60" s="15">
        <f>IFERROR(__xludf.DUMMYFUNCTION("""COMPUTED_VALUE"""),2.0)</f>
        <v>2</v>
      </c>
      <c r="J60" s="15">
        <f>IFERROR(__xludf.DUMMYFUNCTION("""COMPUTED_VALUE"""),0.0)</f>
        <v>0</v>
      </c>
      <c r="K60" s="15">
        <f>IFERROR(__xludf.DUMMYFUNCTION("""COMPUTED_VALUE"""),0.0)</f>
        <v>0</v>
      </c>
    </row>
    <row r="61" ht="15.75" customHeight="1">
      <c r="A61" s="14" t="str">
        <f>IFERROR(__xludf.DUMMYFUNCTION("""COMPUTED_VALUE"""),"https://www.carrieannsudlow.co.uk/ai-seo-agency/#:~:text=For%20optimisation%20we%20use%20SEMrush%2C%20Ahrefs%20and,always%20invest%20in%20the%20very%20best%20software.")</f>
        <v>https://www.carrieannsudlow.co.uk/ai-seo-agency/#:~:text=For%20optimisation%20we%20use%20SEMrush%2C%20Ahrefs%20and,always%20invest%20in%20the%20very%20best%20software.</v>
      </c>
      <c r="B61" s="15" t="str">
        <f>IFERROR(__xludf.DUMMYFUNCTION("""COMPUTED_VALUE"""),"AI SEO Agency UK | Rank Higher in Google &amp;amp; AI Search")</f>
        <v>AI SEO Agency UK | Rank Higher in Google &amp;amp; AI Search</v>
      </c>
      <c r="C61" s="14" t="str">
        <f>IFERROR(__xludf.DUMMYFUNCTION("""COMPUTED_VALUE"""),"carrieannsudlow.co.uk")</f>
        <v>carrieannsudlow.co.uk</v>
      </c>
      <c r="D61" s="15" t="str">
        <f>IFERROR(__xludf.DUMMYFUNCTION("""COMPUTED_VALUE"""),"PRODUCT_PAGE")</f>
        <v>PRODUCT_PAGE</v>
      </c>
      <c r="E61" s="15" t="str">
        <f>IFERROR(__xludf.DUMMYFUNCTION("""COMPUTED_VALUE"""),"OTHER")</f>
        <v>OTHER</v>
      </c>
      <c r="F61" s="15" t="str">
        <f>IFERROR(__xludf.DUMMYFUNCTION("""COMPUTED_VALUE"""),"Product Page")</f>
        <v>Product Page</v>
      </c>
      <c r="G61" s="15" t="b">
        <f>IFERROR(__xludf.DUMMYFUNCTION("""COMPUTED_VALUE"""),FALSE)</f>
        <v>0</v>
      </c>
      <c r="H61" s="15" t="str">
        <f>IFERROR(__xludf.DUMMYFUNCTION("""COMPUTED_VALUE"""),"Found, Huge, Push")</f>
        <v>Found, Huge, Push</v>
      </c>
      <c r="I61" s="15">
        <f>IFERROR(__xludf.DUMMYFUNCTION("""COMPUTED_VALUE"""),2.0)</f>
        <v>2</v>
      </c>
      <c r="J61" s="15">
        <f>IFERROR(__xludf.DUMMYFUNCTION("""COMPUTED_VALUE"""),0.0)</f>
        <v>0</v>
      </c>
      <c r="K61" s="15">
        <f>IFERROR(__xludf.DUMMYFUNCTION("""COMPUTED_VALUE"""),2.0)</f>
        <v>2</v>
      </c>
    </row>
    <row r="62" ht="15.75" customHeight="1">
      <c r="A62" s="14" t="str">
        <f>IFERROR(__xludf.DUMMYFUNCTION("""COMPUTED_VALUE"""),"https://www.circana.com/liquid-testing")</f>
        <v>https://www.circana.com/liquid-testing</v>
      </c>
      <c r="B62" s="15" t="str">
        <f>IFERROR(__xludf.DUMMYFUNCTION("""COMPUTED_VALUE"""),"Liquid Testing: Self-Serve Incrementality Testing | Circana")</f>
        <v>Liquid Testing: Self-Serve Incrementality Testing | Circana</v>
      </c>
      <c r="C62" s="14" t="str">
        <f>IFERROR(__xludf.DUMMYFUNCTION("""COMPUTED_VALUE"""),"circana.com")</f>
        <v>circana.com</v>
      </c>
      <c r="D62" s="15" t="str">
        <f>IFERROR(__xludf.DUMMYFUNCTION("""COMPUTED_VALUE"""),"PRODUCT_PAGE")</f>
        <v>PRODUCT_PAGE</v>
      </c>
      <c r="E62" s="15" t="str">
        <f>IFERROR(__xludf.DUMMYFUNCTION("""COMPUTED_VALUE"""),"CORPORATE")</f>
        <v>CORPORATE</v>
      </c>
      <c r="F62" s="15" t="str">
        <f>IFERROR(__xludf.DUMMYFUNCTION("""COMPUTED_VALUE"""),"Product Page")</f>
        <v>Product Page</v>
      </c>
      <c r="G62" s="15" t="b">
        <f>IFERROR(__xludf.DUMMYFUNCTION("""COMPUTED_VALUE"""),FALSE)</f>
        <v>0</v>
      </c>
      <c r="H62" s="15"/>
      <c r="I62" s="15">
        <f>IFERROR(__xludf.DUMMYFUNCTION("""COMPUTED_VALUE"""),2.0)</f>
        <v>2</v>
      </c>
      <c r="J62" s="15">
        <f>IFERROR(__xludf.DUMMYFUNCTION("""COMPUTED_VALUE"""),0.0)</f>
        <v>0</v>
      </c>
      <c r="K62" s="15">
        <f>IFERROR(__xludf.DUMMYFUNCTION("""COMPUTED_VALUE"""),0.0)</f>
        <v>0</v>
      </c>
    </row>
    <row r="63" ht="15.75" customHeight="1">
      <c r="A63" s="14" t="str">
        <f>IFERROR(__xludf.DUMMYFUNCTION("""COMPUTED_VALUE"""),"https://cleandigital.co.uk/paid-social")</f>
        <v>https://cleandigital.co.uk/paid-social</v>
      </c>
      <c r="B63" s="15" t="str">
        <f>IFERROR(__xludf.DUMMYFUNCTION("""COMPUTED_VALUE"""),"Paid Social Management Agency | Better Leads &amp;amp; ROAS | Clean Digital")</f>
        <v>Paid Social Management Agency | Better Leads &amp;amp; ROAS | Clean Digital</v>
      </c>
      <c r="C63" s="14" t="str">
        <f>IFERROR(__xludf.DUMMYFUNCTION("""COMPUTED_VALUE"""),"cleandigital.co.uk")</f>
        <v>cleandigital.co.uk</v>
      </c>
      <c r="D63" s="15" t="str">
        <f>IFERROR(__xludf.DUMMYFUNCTION("""COMPUTED_VALUE"""),"PRODUCT_PAGE")</f>
        <v>PRODUCT_PAGE</v>
      </c>
      <c r="E63" s="15" t="str">
        <f>IFERROR(__xludf.DUMMYFUNCTION("""COMPUTED_VALUE"""),"CORPORATE")</f>
        <v>CORPORATE</v>
      </c>
      <c r="F63" s="15" t="str">
        <f>IFERROR(__xludf.DUMMYFUNCTION("""COMPUTED_VALUE"""),"Product Page")</f>
        <v>Product Page</v>
      </c>
      <c r="G63" s="15" t="b">
        <f>IFERROR(__xludf.DUMMYFUNCTION("""COMPUTED_VALUE"""),FALSE)</f>
        <v>0</v>
      </c>
      <c r="H63" s="15" t="str">
        <f>IFERROR(__xludf.DUMMYFUNCTION("""COMPUTED_VALUE"""),"Measured")</f>
        <v>Measured</v>
      </c>
      <c r="I63" s="15">
        <f>IFERROR(__xludf.DUMMYFUNCTION("""COMPUTED_VALUE"""),2.0)</f>
        <v>2</v>
      </c>
      <c r="J63" s="15">
        <f>IFERROR(__xludf.DUMMYFUNCTION("""COMPUTED_VALUE"""),0.0)</f>
        <v>0</v>
      </c>
      <c r="K63" s="15">
        <f>IFERROR(__xludf.DUMMYFUNCTION("""COMPUTED_VALUE"""),1.0)</f>
        <v>1</v>
      </c>
    </row>
    <row r="64" ht="15.75" customHeight="1">
      <c r="A64" s="14" t="str">
        <f>IFERROR(__xludf.DUMMYFUNCTION("""COMPUTED_VALUE"""),"https://www.deptagency.com/partner/google-marketing-platform/")</f>
        <v>https://www.deptagency.com/partner/google-marketing-platform/</v>
      </c>
      <c r="B64" s="15" t="str">
        <f>IFERROR(__xludf.DUMMYFUNCTION("""COMPUTED_VALUE"""),"GMP Agency Partner - Google Premier Partner - DEPT®")</f>
        <v>GMP Agency Partner - Google Premier Partner - DEPT®</v>
      </c>
      <c r="C64" s="14" t="str">
        <f>IFERROR(__xludf.DUMMYFUNCTION("""COMPUTED_VALUE"""),"deptagency.com")</f>
        <v>deptagency.com</v>
      </c>
      <c r="D64" s="15" t="str">
        <f>IFERROR(__xludf.DUMMYFUNCTION("""COMPUTED_VALUE"""),"PRODUCT_PAGE")</f>
        <v>PRODUCT_PAGE</v>
      </c>
      <c r="E64" s="15" t="str">
        <f>IFERROR(__xludf.DUMMYFUNCTION("""COMPUTED_VALUE"""),"COMPETITOR")</f>
        <v>COMPETITOR</v>
      </c>
      <c r="F64" s="15" t="str">
        <f>IFERROR(__xludf.DUMMYFUNCTION("""COMPUTED_VALUE"""),"Product Page")</f>
        <v>Product Page</v>
      </c>
      <c r="G64" s="15" t="b">
        <f>IFERROR(__xludf.DUMMYFUNCTION("""COMPUTED_VALUE"""),FALSE)</f>
        <v>0</v>
      </c>
      <c r="H64" s="15" t="str">
        <f>IFERROR(__xludf.DUMMYFUNCTION("""COMPUTED_VALUE"""),"Dept, Push")</f>
        <v>Dept, Push</v>
      </c>
      <c r="I64" s="15">
        <f>IFERROR(__xludf.DUMMYFUNCTION("""COMPUTED_VALUE"""),2.0)</f>
        <v>2</v>
      </c>
      <c r="J64" s="15">
        <f>IFERROR(__xludf.DUMMYFUNCTION("""COMPUTED_VALUE"""),0.0)</f>
        <v>0</v>
      </c>
      <c r="K64" s="15">
        <f>IFERROR(__xludf.DUMMYFUNCTION("""COMPUTED_VALUE"""),0.5)</f>
        <v>0.5</v>
      </c>
    </row>
    <row r="65" ht="15.75" customHeight="1">
      <c r="A65" s="14" t="str">
        <f>IFERROR(__xludf.DUMMYFUNCTION("""COMPUTED_VALUE"""),"https://www.dpom.co.uk/social-media-advertising/")</f>
        <v>https://www.dpom.co.uk/social-media-advertising/</v>
      </c>
      <c r="B65" s="15" t="str">
        <f>IFERROR(__xludf.DUMMYFUNCTION("""COMPUTED_VALUE"""),"Social Media Advertising Agency | Paid Social UK | DPOM")</f>
        <v>Social Media Advertising Agency | Paid Social UK | DPOM</v>
      </c>
      <c r="C65" s="14" t="str">
        <f>IFERROR(__xludf.DUMMYFUNCTION("""COMPUTED_VALUE"""),"dpom.co.uk")</f>
        <v>dpom.co.uk</v>
      </c>
      <c r="D65" s="15" t="str">
        <f>IFERROR(__xludf.DUMMYFUNCTION("""COMPUTED_VALUE"""),"PRODUCT_PAGE")</f>
        <v>PRODUCT_PAGE</v>
      </c>
      <c r="E65" s="15" t="str">
        <f>IFERROR(__xludf.DUMMYFUNCTION("""COMPUTED_VALUE"""),"CORPORATE")</f>
        <v>CORPORATE</v>
      </c>
      <c r="F65" s="15" t="str">
        <f>IFERROR(__xludf.DUMMYFUNCTION("""COMPUTED_VALUE"""),"Product Page")</f>
        <v>Product Page</v>
      </c>
      <c r="G65" s="15" t="b">
        <f>IFERROR(__xludf.DUMMYFUNCTION("""COMPUTED_VALUE"""),FALSE)</f>
        <v>0</v>
      </c>
      <c r="H65" s="15" t="str">
        <f>IFERROR(__xludf.DUMMYFUNCTION("""COMPUTED_VALUE"""),"Huge, Measured")</f>
        <v>Huge, Measured</v>
      </c>
      <c r="I65" s="15">
        <f>IFERROR(__xludf.DUMMYFUNCTION("""COMPUTED_VALUE"""),2.0)</f>
        <v>2</v>
      </c>
      <c r="J65" s="15">
        <f>IFERROR(__xludf.DUMMYFUNCTION("""COMPUTED_VALUE"""),0.0)</f>
        <v>0</v>
      </c>
      <c r="K65" s="15">
        <f>IFERROR(__xludf.DUMMYFUNCTION("""COMPUTED_VALUE"""),0.5)</f>
        <v>0.5</v>
      </c>
    </row>
    <row r="66" ht="15.75" customHeight="1">
      <c r="A66" s="14" t="str">
        <f>IFERROR(__xludf.DUMMYFUNCTION("""COMPUTED_VALUE"""),"https://ebiquity.com/solutions/grow/testmatch/")</f>
        <v>https://ebiquity.com/solutions/grow/testmatch/</v>
      </c>
      <c r="B66" s="15" t="str">
        <f>IFERROR(__xludf.DUMMYFUNCTION("""COMPUTED_VALUE"""),"TestMatch - Ebiquity")</f>
        <v>TestMatch - Ebiquity</v>
      </c>
      <c r="C66" s="14" t="str">
        <f>IFERROR(__xludf.DUMMYFUNCTION("""COMPUTED_VALUE"""),"ebiquity.com")</f>
        <v>ebiquity.com</v>
      </c>
      <c r="D66" s="15" t="str">
        <f>IFERROR(__xludf.DUMMYFUNCTION("""COMPUTED_VALUE"""),"PRODUCT_PAGE")</f>
        <v>PRODUCT_PAGE</v>
      </c>
      <c r="E66" s="15" t="str">
        <f>IFERROR(__xludf.DUMMYFUNCTION("""COMPUTED_VALUE"""),"COMPETITOR")</f>
        <v>COMPETITOR</v>
      </c>
      <c r="F66" s="15" t="str">
        <f>IFERROR(__xludf.DUMMYFUNCTION("""COMPUTED_VALUE"""),"Product Page")</f>
        <v>Product Page</v>
      </c>
      <c r="G66" s="15" t="b">
        <f>IFERROR(__xludf.DUMMYFUNCTION("""COMPUTED_VALUE"""),FALSE)</f>
        <v>0</v>
      </c>
      <c r="H66" s="15" t="str">
        <f>IFERROR(__xludf.DUMMYFUNCTION("""COMPUTED_VALUE"""),"Ebiquity")</f>
        <v>Ebiquity</v>
      </c>
      <c r="I66" s="15">
        <f>IFERROR(__xludf.DUMMYFUNCTION("""COMPUTED_VALUE"""),2.0)</f>
        <v>2</v>
      </c>
      <c r="J66" s="15">
        <f>IFERROR(__xludf.DUMMYFUNCTION("""COMPUTED_VALUE"""),0.0)</f>
        <v>0</v>
      </c>
      <c r="K66" s="15">
        <f>IFERROR(__xludf.DUMMYFUNCTION("""COMPUTED_VALUE"""),1.5)</f>
        <v>1.5</v>
      </c>
    </row>
    <row r="67" ht="15.75" customHeight="1">
      <c r="A67" s="14" t="str">
        <f>IFERROR(__xludf.DUMMYFUNCTION("""COMPUTED_VALUE"""),"https://www.experian.co.uk/business-products/marketing-campaign-measurement/")</f>
        <v>https://www.experian.co.uk/business-products/marketing-campaign-measurement/</v>
      </c>
      <c r="B67" s="15" t="str">
        <f>IFERROR(__xludf.DUMMYFUNCTION("""COMPUTED_VALUE"""),"Marketing Campaign Measurement | Experian Business")</f>
        <v>Marketing Campaign Measurement | Experian Business</v>
      </c>
      <c r="C67" s="14" t="str">
        <f>IFERROR(__xludf.DUMMYFUNCTION("""COMPUTED_VALUE"""),"experian.co.uk")</f>
        <v>experian.co.uk</v>
      </c>
      <c r="D67" s="15" t="str">
        <f>IFERROR(__xludf.DUMMYFUNCTION("""COMPUTED_VALUE"""),"PRODUCT_PAGE")</f>
        <v>PRODUCT_PAGE</v>
      </c>
      <c r="E67" s="15" t="str">
        <f>IFERROR(__xludf.DUMMYFUNCTION("""COMPUTED_VALUE"""),"CORPORATE")</f>
        <v>CORPORATE</v>
      </c>
      <c r="F67" s="15" t="str">
        <f>IFERROR(__xludf.DUMMYFUNCTION("""COMPUTED_VALUE"""),"Product Page")</f>
        <v>Product Page</v>
      </c>
      <c r="G67" s="15" t="b">
        <f>IFERROR(__xludf.DUMMYFUNCTION("""COMPUTED_VALUE"""),FALSE)</f>
        <v>0</v>
      </c>
      <c r="H67" s="15"/>
      <c r="I67" s="15">
        <f>IFERROR(__xludf.DUMMYFUNCTION("""COMPUTED_VALUE"""),2.0)</f>
        <v>2</v>
      </c>
      <c r="J67" s="15">
        <f>IFERROR(__xludf.DUMMYFUNCTION("""COMPUTED_VALUE"""),0.0)</f>
        <v>0</v>
      </c>
      <c r="K67" s="15">
        <f>IFERROR(__xludf.DUMMYFUNCTION("""COMPUTED_VALUE"""),0.0)</f>
        <v>0</v>
      </c>
    </row>
    <row r="68" ht="15.75" customHeight="1">
      <c r="A68" s="14" t="str">
        <f>IFERROR(__xludf.DUMMYFUNCTION("""COMPUTED_VALUE"""),"https://www.forvio.com/product/geo-lift-tests")</f>
        <v>https://www.forvio.com/product/geo-lift-tests</v>
      </c>
      <c r="B68" s="15" t="str">
        <f>IFERROR(__xludf.DUMMYFUNCTION("""COMPUTED_VALUE"""),"GEO Lift Testing")</f>
        <v>GEO Lift Testing</v>
      </c>
      <c r="C68" s="14" t="str">
        <f>IFERROR(__xludf.DUMMYFUNCTION("""COMPUTED_VALUE"""),"forvio.com")</f>
        <v>forvio.com</v>
      </c>
      <c r="D68" s="15" t="str">
        <f>IFERROR(__xludf.DUMMYFUNCTION("""COMPUTED_VALUE"""),"PRODUCT_PAGE")</f>
        <v>PRODUCT_PAGE</v>
      </c>
      <c r="E68" s="15" t="str">
        <f>IFERROR(__xludf.DUMMYFUNCTION("""COMPUTED_VALUE"""),"CORPORATE")</f>
        <v>CORPORATE</v>
      </c>
      <c r="F68" s="15" t="str">
        <f>IFERROR(__xludf.DUMMYFUNCTION("""COMPUTED_VALUE"""),"Product Page")</f>
        <v>Product Page</v>
      </c>
      <c r="G68" s="15" t="b">
        <f>IFERROR(__xludf.DUMMYFUNCTION("""COMPUTED_VALUE"""),FALSE)</f>
        <v>0</v>
      </c>
      <c r="H68" s="15"/>
      <c r="I68" s="15">
        <f>IFERROR(__xludf.DUMMYFUNCTION("""COMPUTED_VALUE"""),2.0)</f>
        <v>2</v>
      </c>
      <c r="J68" s="15">
        <f>IFERROR(__xludf.DUMMYFUNCTION("""COMPUTED_VALUE"""),0.0)</f>
        <v>0</v>
      </c>
      <c r="K68" s="15">
        <f>IFERROR(__xludf.DUMMYFUNCTION("""COMPUTED_VALUE"""),0.0)</f>
        <v>0</v>
      </c>
    </row>
    <row r="69" ht="15.75" customHeight="1">
      <c r="A69" s="14" t="str">
        <f>IFERROR(__xludf.DUMMYFUNCTION("""COMPUTED_VALUE"""),"https://www.hatchly.co.uk/design-services/creative-production")</f>
        <v>https://www.hatchly.co.uk/design-services/creative-production</v>
      </c>
      <c r="B69" s="15" t="str">
        <f>IFERROR(__xludf.DUMMYFUNCTION("""COMPUTED_VALUE"""),"Creative Production Services for In-House Teams | Hatchly")</f>
        <v>Creative Production Services for In-House Teams | Hatchly</v>
      </c>
      <c r="C69" s="14" t="str">
        <f>IFERROR(__xludf.DUMMYFUNCTION("""COMPUTED_VALUE"""),"hatchly.co.uk")</f>
        <v>hatchly.co.uk</v>
      </c>
      <c r="D69" s="15" t="str">
        <f>IFERROR(__xludf.DUMMYFUNCTION("""COMPUTED_VALUE"""),"PRODUCT_PAGE")</f>
        <v>PRODUCT_PAGE</v>
      </c>
      <c r="E69" s="15" t="str">
        <f>IFERROR(__xludf.DUMMYFUNCTION("""COMPUTED_VALUE"""),"CORPORATE")</f>
        <v>CORPORATE</v>
      </c>
      <c r="F69" s="15" t="str">
        <f>IFERROR(__xludf.DUMMYFUNCTION("""COMPUTED_VALUE"""),"Product Page")</f>
        <v>Product Page</v>
      </c>
      <c r="G69" s="15" t="b">
        <f>IFERROR(__xludf.DUMMYFUNCTION("""COMPUTED_VALUE"""),FALSE)</f>
        <v>0</v>
      </c>
      <c r="H69" s="15"/>
      <c r="I69" s="15">
        <f>IFERROR(__xludf.DUMMYFUNCTION("""COMPUTED_VALUE"""),2.0)</f>
        <v>2</v>
      </c>
      <c r="J69" s="15">
        <f>IFERROR(__xludf.DUMMYFUNCTION("""COMPUTED_VALUE"""),0.0)</f>
        <v>0</v>
      </c>
      <c r="K69" s="15">
        <f>IFERROR(__xludf.DUMMYFUNCTION("""COMPUTED_VALUE"""),0.5)</f>
        <v>0.5</v>
      </c>
    </row>
    <row r="70" ht="15.75" customHeight="1">
      <c r="A70" s="14" t="str">
        <f>IFERROR(__xludf.DUMMYFUNCTION("""COMPUTED_VALUE"""),"https://www.ikigai.je/services/performance-marketing")</f>
        <v>https://www.ikigai.je/services/performance-marketing</v>
      </c>
      <c r="B70" s="15" t="str">
        <f>IFERROR(__xludf.DUMMYFUNCTION("""COMPUTED_VALUE"""),"AI Performance Marketing Agency UK | Paid Media | Ikigai | AI Growth Marketing | ikigai")</f>
        <v>AI Performance Marketing Agency UK | Paid Media | Ikigai | AI Growth Marketing | ikigai</v>
      </c>
      <c r="C70" s="14" t="str">
        <f>IFERROR(__xludf.DUMMYFUNCTION("""COMPUTED_VALUE"""),"ikigai.je")</f>
        <v>ikigai.je</v>
      </c>
      <c r="D70" s="15" t="str">
        <f>IFERROR(__xludf.DUMMYFUNCTION("""COMPUTED_VALUE"""),"PRODUCT_PAGE")</f>
        <v>PRODUCT_PAGE</v>
      </c>
      <c r="E70" s="15" t="str">
        <f>IFERROR(__xludf.DUMMYFUNCTION("""COMPUTED_VALUE"""),"CORPORATE")</f>
        <v>CORPORATE</v>
      </c>
      <c r="F70" s="15" t="str">
        <f>IFERROR(__xludf.DUMMYFUNCTION("""COMPUTED_VALUE"""),"Product Page")</f>
        <v>Product Page</v>
      </c>
      <c r="G70" s="15" t="b">
        <f>IFERROR(__xludf.DUMMYFUNCTION("""COMPUTED_VALUE"""),FALSE)</f>
        <v>0</v>
      </c>
      <c r="H70" s="15" t="str">
        <f>IFERROR(__xludf.DUMMYFUNCTION("""COMPUTED_VALUE"""),"Momentum")</f>
        <v>Momentum</v>
      </c>
      <c r="I70" s="15">
        <f>IFERROR(__xludf.DUMMYFUNCTION("""COMPUTED_VALUE"""),2.0)</f>
        <v>2</v>
      </c>
      <c r="J70" s="15">
        <f>IFERROR(__xludf.DUMMYFUNCTION("""COMPUTED_VALUE"""),0.0)</f>
        <v>0</v>
      </c>
      <c r="K70" s="15">
        <f>IFERROR(__xludf.DUMMYFUNCTION("""COMPUTED_VALUE"""),1.0)</f>
        <v>1</v>
      </c>
    </row>
    <row r="71" ht="15.75" customHeight="1">
      <c r="A71" s="14" t="str">
        <f>IFERROR(__xludf.DUMMYFUNCTION("""COMPUTED_VALUE"""),"https://www.impressiondigital.com/generative-engine-optimisation-agency/")</f>
        <v>https://www.impressiondigital.com/generative-engine-optimisation-agency/</v>
      </c>
      <c r="B71" s="15" t="str">
        <f>IFERROR(__xludf.DUMMYFUNCTION("""COMPUTED_VALUE"""),"Generative Engine Optimisation (GEO) Agency | Impression")</f>
        <v>Generative Engine Optimisation (GEO) Agency | Impression</v>
      </c>
      <c r="C71" s="14" t="str">
        <f>IFERROR(__xludf.DUMMYFUNCTION("""COMPUTED_VALUE"""),"impressiondigital.com")</f>
        <v>impressiondigital.com</v>
      </c>
      <c r="D71" s="15" t="str">
        <f>IFERROR(__xludf.DUMMYFUNCTION("""COMPUTED_VALUE"""),"PRODUCT_PAGE")</f>
        <v>PRODUCT_PAGE</v>
      </c>
      <c r="E71" s="15" t="str">
        <f>IFERROR(__xludf.DUMMYFUNCTION("""COMPUTED_VALUE"""),"COMPETITOR")</f>
        <v>COMPETITOR</v>
      </c>
      <c r="F71" s="15" t="str">
        <f>IFERROR(__xludf.DUMMYFUNCTION("""COMPUTED_VALUE"""),"Product Page")</f>
        <v>Product Page</v>
      </c>
      <c r="G71" s="15" t="b">
        <f>IFERROR(__xludf.DUMMYFUNCTION("""COMPUTED_VALUE"""),FALSE)</f>
        <v>0</v>
      </c>
      <c r="H71" s="15" t="str">
        <f>IFERROR(__xludf.DUMMYFUNCTION("""COMPUTED_VALUE"""),"Impression")</f>
        <v>Impression</v>
      </c>
      <c r="I71" s="15">
        <f>IFERROR(__xludf.DUMMYFUNCTION("""COMPUTED_VALUE"""),2.0)</f>
        <v>2</v>
      </c>
      <c r="J71" s="15">
        <f>IFERROR(__xludf.DUMMYFUNCTION("""COMPUTED_VALUE"""),0.0)</f>
        <v>0</v>
      </c>
      <c r="K71" s="15">
        <f>IFERROR(__xludf.DUMMYFUNCTION("""COMPUTED_VALUE"""),2.0)</f>
        <v>2</v>
      </c>
    </row>
    <row r="72" ht="15.75" customHeight="1">
      <c r="A72" s="14" t="str">
        <f>IFERROR(__xludf.DUMMYFUNCTION("""COMPUTED_VALUE"""),"https://kpmg.com/uk/en/services/ai/trusted-ai-services.html")</f>
        <v>https://kpmg.com/uk/en/services/ai/trusted-ai-services.html</v>
      </c>
      <c r="B72" s="15" t="str">
        <f>IFERROR(__xludf.DUMMYFUNCTION("""COMPUTED_VALUE"""),"KPMG Trusted AI Services | KPMG UK")</f>
        <v>KPMG Trusted AI Services | KPMG UK</v>
      </c>
      <c r="C72" s="14" t="str">
        <f>IFERROR(__xludf.DUMMYFUNCTION("""COMPUTED_VALUE"""),"kpmg.com")</f>
        <v>kpmg.com</v>
      </c>
      <c r="D72" s="15" t="str">
        <f>IFERROR(__xludf.DUMMYFUNCTION("""COMPUTED_VALUE"""),"PRODUCT_PAGE")</f>
        <v>PRODUCT_PAGE</v>
      </c>
      <c r="E72" s="15" t="str">
        <f>IFERROR(__xludf.DUMMYFUNCTION("""COMPUTED_VALUE"""),"CORPORATE")</f>
        <v>CORPORATE</v>
      </c>
      <c r="F72" s="15" t="str">
        <f>IFERROR(__xludf.DUMMYFUNCTION("""COMPUTED_VALUE"""),"Product Page")</f>
        <v>Product Page</v>
      </c>
      <c r="G72" s="15" t="b">
        <f>IFERROR(__xludf.DUMMYFUNCTION("""COMPUTED_VALUE"""),FALSE)</f>
        <v>0</v>
      </c>
      <c r="H72" s="15"/>
      <c r="I72" s="15">
        <f>IFERROR(__xludf.DUMMYFUNCTION("""COMPUTED_VALUE"""),2.0)</f>
        <v>2</v>
      </c>
      <c r="J72" s="15">
        <f>IFERROR(__xludf.DUMMYFUNCTION("""COMPUTED_VALUE"""),0.0)</f>
        <v>0</v>
      </c>
      <c r="K72" s="15">
        <f>IFERROR(__xludf.DUMMYFUNCTION("""COMPUTED_VALUE"""),0.0)</f>
        <v>0</v>
      </c>
    </row>
    <row r="73" ht="15.75" customHeight="1">
      <c r="A73" s="14" t="str">
        <f>IFERROR(__xludf.DUMMYFUNCTION("""COMPUTED_VALUE"""),"https://www.lynchpin.com/attribution/")</f>
        <v>https://www.lynchpin.com/attribution/</v>
      </c>
      <c r="B73" s="15" t="str">
        <f>IFERROR(__xludf.DUMMYFUNCTION("""COMPUTED_VALUE"""),"Attribution - Lynchpin - Independent analytics consultancy")</f>
        <v>Attribution - Lynchpin - Independent analytics consultancy</v>
      </c>
      <c r="C73" s="14" t="str">
        <f>IFERROR(__xludf.DUMMYFUNCTION("""COMPUTED_VALUE"""),"lynchpin.com")</f>
        <v>lynchpin.com</v>
      </c>
      <c r="D73" s="15" t="str">
        <f>IFERROR(__xludf.DUMMYFUNCTION("""COMPUTED_VALUE"""),"PRODUCT_PAGE")</f>
        <v>PRODUCT_PAGE</v>
      </c>
      <c r="E73" s="15" t="str">
        <f>IFERROR(__xludf.DUMMYFUNCTION("""COMPUTED_VALUE"""),"CORPORATE")</f>
        <v>CORPORATE</v>
      </c>
      <c r="F73" s="15" t="str">
        <f>IFERROR(__xludf.DUMMYFUNCTION("""COMPUTED_VALUE"""),"Product Page")</f>
        <v>Product Page</v>
      </c>
      <c r="G73" s="15" t="b">
        <f>IFERROR(__xludf.DUMMYFUNCTION("""COMPUTED_VALUE"""),FALSE)</f>
        <v>0</v>
      </c>
      <c r="H73" s="15"/>
      <c r="I73" s="15">
        <f>IFERROR(__xludf.DUMMYFUNCTION("""COMPUTED_VALUE"""),2.0)</f>
        <v>2</v>
      </c>
      <c r="J73" s="15">
        <f>IFERROR(__xludf.DUMMYFUNCTION("""COMPUTED_VALUE"""),0.0)</f>
        <v>0</v>
      </c>
      <c r="K73" s="15">
        <f>IFERROR(__xludf.DUMMYFUNCTION("""COMPUTED_VALUE"""),1.0)</f>
        <v>1</v>
      </c>
    </row>
    <row r="74" ht="15.75" customHeight="1">
      <c r="A74" s="14" t="str">
        <f>IFERROR(__xludf.DUMMYFUNCTION("""COMPUTED_VALUE"""),"https://www.margen.net/geo-agency-uk/")</f>
        <v>https://www.margen.net/geo-agency-uk/</v>
      </c>
      <c r="B74" s="15" t="str">
        <f>IFERROR(__xludf.DUMMYFUNCTION("""COMPUTED_VALUE"""),"GEO Agency UK: National Generative Engine Optimisation Coverage | MarGen")</f>
        <v>GEO Agency UK: National Generative Engine Optimisation Coverage | MarGen</v>
      </c>
      <c r="C74" s="14" t="str">
        <f>IFERROR(__xludf.DUMMYFUNCTION("""COMPUTED_VALUE"""),"margen.net")</f>
        <v>margen.net</v>
      </c>
      <c r="D74" s="15" t="str">
        <f>IFERROR(__xludf.DUMMYFUNCTION("""COMPUTED_VALUE"""),"PRODUCT_PAGE")</f>
        <v>PRODUCT_PAGE</v>
      </c>
      <c r="E74" s="15" t="str">
        <f>IFERROR(__xludf.DUMMYFUNCTION("""COMPUTED_VALUE"""),"CORPORATE")</f>
        <v>CORPORATE</v>
      </c>
      <c r="F74" s="15" t="str">
        <f>IFERROR(__xludf.DUMMYFUNCTION("""COMPUTED_VALUE"""),"Product Page")</f>
        <v>Product Page</v>
      </c>
      <c r="G74" s="15" t="b">
        <f>IFERROR(__xludf.DUMMYFUNCTION("""COMPUTED_VALUE"""),FALSE)</f>
        <v>0</v>
      </c>
      <c r="H74" s="15"/>
      <c r="I74" s="15">
        <f>IFERROR(__xludf.DUMMYFUNCTION("""COMPUTED_VALUE"""),2.0)</f>
        <v>2</v>
      </c>
      <c r="J74" s="15">
        <f>IFERROR(__xludf.DUMMYFUNCTION("""COMPUTED_VALUE"""),0.0)</f>
        <v>0</v>
      </c>
      <c r="K74" s="15">
        <f>IFERROR(__xludf.DUMMYFUNCTION("""COMPUTED_VALUE"""),0.0)</f>
        <v>0</v>
      </c>
    </row>
    <row r="75" ht="15.75" customHeight="1">
      <c r="A75" s="14" t="str">
        <f>IFERROR(__xludf.DUMMYFUNCTION("""COMPUTED_VALUE"""),"https://www.measured.com/incrementality-testing/")</f>
        <v>https://www.measured.com/incrementality-testing/</v>
      </c>
      <c r="B75" s="15" t="str">
        <f>IFERROR(__xludf.DUMMYFUNCTION("""COMPUTED_VALUE"""),"Measured: Incrementality Testing")</f>
        <v>Measured: Incrementality Testing</v>
      </c>
      <c r="C75" s="14" t="str">
        <f>IFERROR(__xludf.DUMMYFUNCTION("""COMPUTED_VALUE"""),"measured.com")</f>
        <v>measured.com</v>
      </c>
      <c r="D75" s="15" t="str">
        <f>IFERROR(__xludf.DUMMYFUNCTION("""COMPUTED_VALUE"""),"PRODUCT_PAGE")</f>
        <v>PRODUCT_PAGE</v>
      </c>
      <c r="E75" s="15" t="str">
        <f>IFERROR(__xludf.DUMMYFUNCTION("""COMPUTED_VALUE"""),"COMPETITOR")</f>
        <v>COMPETITOR</v>
      </c>
      <c r="F75" s="15" t="str">
        <f>IFERROR(__xludf.DUMMYFUNCTION("""COMPUTED_VALUE"""),"Product Page")</f>
        <v>Product Page</v>
      </c>
      <c r="G75" s="15" t="b">
        <f>IFERROR(__xludf.DUMMYFUNCTION("""COMPUTED_VALUE"""),FALSE)</f>
        <v>0</v>
      </c>
      <c r="H75" s="15" t="str">
        <f>IFERROR(__xludf.DUMMYFUNCTION("""COMPUTED_VALUE"""),"Measured")</f>
        <v>Measured</v>
      </c>
      <c r="I75" s="15">
        <f>IFERROR(__xludf.DUMMYFUNCTION("""COMPUTED_VALUE"""),2.0)</f>
        <v>2</v>
      </c>
      <c r="J75" s="15">
        <f>IFERROR(__xludf.DUMMYFUNCTION("""COMPUTED_VALUE"""),0.0)</f>
        <v>0</v>
      </c>
      <c r="K75" s="15">
        <f>IFERROR(__xludf.DUMMYFUNCTION("""COMPUTED_VALUE"""),0.5)</f>
        <v>0.5</v>
      </c>
    </row>
    <row r="76" ht="15.75" customHeight="1">
      <c r="A76" s="14" t="str">
        <f>IFERROR(__xludf.DUMMYFUNCTION("""COMPUTED_VALUE"""),"https://miramarketing.co.uk/services/paid-social")</f>
        <v>https://miramarketing.co.uk/services/paid-social</v>
      </c>
      <c r="B76" s="15" t="str">
        <f>IFERROR(__xludf.DUMMYFUNCTION("""COMPUTED_VALUE"""),"Paid Social Agency · Meta, TikTok, LinkedIn · Mira Marketing")</f>
        <v>Paid Social Agency · Meta, TikTok, LinkedIn · Mira Marketing</v>
      </c>
      <c r="C76" s="14" t="str">
        <f>IFERROR(__xludf.DUMMYFUNCTION("""COMPUTED_VALUE"""),"miramarketing.co.uk")</f>
        <v>miramarketing.co.uk</v>
      </c>
      <c r="D76" s="15" t="str">
        <f>IFERROR(__xludf.DUMMYFUNCTION("""COMPUTED_VALUE"""),"PRODUCT_PAGE")</f>
        <v>PRODUCT_PAGE</v>
      </c>
      <c r="E76" s="15" t="str">
        <f>IFERROR(__xludf.DUMMYFUNCTION("""COMPUTED_VALUE"""),"CORPORATE")</f>
        <v>CORPORATE</v>
      </c>
      <c r="F76" s="15" t="str">
        <f>IFERROR(__xludf.DUMMYFUNCTION("""COMPUTED_VALUE"""),"Product Page")</f>
        <v>Product Page</v>
      </c>
      <c r="G76" s="15" t="b">
        <f>IFERROR(__xludf.DUMMYFUNCTION("""COMPUTED_VALUE"""),FALSE)</f>
        <v>0</v>
      </c>
      <c r="H76" s="15"/>
      <c r="I76" s="15">
        <f>IFERROR(__xludf.DUMMYFUNCTION("""COMPUTED_VALUE"""),2.0)</f>
        <v>2</v>
      </c>
      <c r="J76" s="15">
        <f>IFERROR(__xludf.DUMMYFUNCTION("""COMPUTED_VALUE"""),0.0)</f>
        <v>0</v>
      </c>
      <c r="K76" s="15">
        <f>IFERROR(__xludf.DUMMYFUNCTION("""COMPUTED_VALUE"""),1.0)</f>
        <v>1</v>
      </c>
    </row>
    <row r="77" ht="15.75" customHeight="1">
      <c r="A77" s="14" t="str">
        <f>IFERROR(__xludf.DUMMYFUNCTION("""COMPUTED_VALUE"""),"https://www.nuundigital.com/services/data-analytics/marketing-analytics-attribution")</f>
        <v>https://www.nuundigital.com/services/data-analytics/marketing-analytics-attribution</v>
      </c>
      <c r="B77" s="15" t="str">
        <f>IFERROR(__xludf.DUMMYFUNCTION("""COMPUTED_VALUE"""),"NUUN Digital | Revenue-accountable partner")</f>
        <v>NUUN Digital | Revenue-accountable partner</v>
      </c>
      <c r="C77" s="14" t="str">
        <f>IFERROR(__xludf.DUMMYFUNCTION("""COMPUTED_VALUE"""),"nuundigital.com")</f>
        <v>nuundigital.com</v>
      </c>
      <c r="D77" s="15" t="str">
        <f>IFERROR(__xludf.DUMMYFUNCTION("""COMPUTED_VALUE"""),"PRODUCT_PAGE")</f>
        <v>PRODUCT_PAGE</v>
      </c>
      <c r="E77" s="15" t="str">
        <f>IFERROR(__xludf.DUMMYFUNCTION("""COMPUTED_VALUE"""),"CORPORATE")</f>
        <v>CORPORATE</v>
      </c>
      <c r="F77" s="15" t="str">
        <f>IFERROR(__xludf.DUMMYFUNCTION("""COMPUTED_VALUE"""),"Product Page")</f>
        <v>Product Page</v>
      </c>
      <c r="G77" s="15" t="b">
        <f>IFERROR(__xludf.DUMMYFUNCTION("""COMPUTED_VALUE"""),FALSE)</f>
        <v>0</v>
      </c>
      <c r="H77" s="15"/>
      <c r="I77" s="15">
        <f>IFERROR(__xludf.DUMMYFUNCTION("""COMPUTED_VALUE"""),2.0)</f>
        <v>2</v>
      </c>
      <c r="J77" s="15">
        <f>IFERROR(__xludf.DUMMYFUNCTION("""COMPUTED_VALUE"""),0.0)</f>
        <v>0</v>
      </c>
      <c r="K77" s="15">
        <f>IFERROR(__xludf.DUMMYFUNCTION("""COMPUTED_VALUE"""),3.0)</f>
        <v>3</v>
      </c>
    </row>
    <row r="78" ht="15.75" customHeight="1">
      <c r="A78" s="14" t="str">
        <f>IFERROR(__xludf.DUMMYFUNCTION("""COMPUTED_VALUE"""),"https://oneday.agency/out-of-home-advertising")</f>
        <v>https://oneday.agency/out-of-home-advertising</v>
      </c>
      <c r="B78" s="15" t="str">
        <f>IFERROR(__xludf.DUMMYFUNCTION("""COMPUTED_VALUE"""),"Out of Home Advertising Agency UK &amp;gt; OOH Marketing and Billboards - One Day")</f>
        <v>Out of Home Advertising Agency UK &amp;gt; OOH Marketing and Billboards - One Day</v>
      </c>
      <c r="C78" s="15" t="str">
        <f>IFERROR(__xludf.DUMMYFUNCTION("""COMPUTED_VALUE"""),"oneday.agency")</f>
        <v>oneday.agency</v>
      </c>
      <c r="D78" s="15" t="str">
        <f>IFERROR(__xludf.DUMMYFUNCTION("""COMPUTED_VALUE"""),"PRODUCT_PAGE")</f>
        <v>PRODUCT_PAGE</v>
      </c>
      <c r="E78" s="15" t="str">
        <f>IFERROR(__xludf.DUMMYFUNCTION("""COMPUTED_VALUE"""),"CORPORATE")</f>
        <v>CORPORATE</v>
      </c>
      <c r="F78" s="15" t="str">
        <f>IFERROR(__xludf.DUMMYFUNCTION("""COMPUTED_VALUE"""),"Product Page")</f>
        <v>Product Page</v>
      </c>
      <c r="G78" s="15" t="b">
        <f>IFERROR(__xludf.DUMMYFUNCTION("""COMPUTED_VALUE"""),FALSE)</f>
        <v>0</v>
      </c>
      <c r="H78" s="15"/>
      <c r="I78" s="15">
        <f>IFERROR(__xludf.DUMMYFUNCTION("""COMPUTED_VALUE"""),2.0)</f>
        <v>2</v>
      </c>
      <c r="J78" s="15">
        <f>IFERROR(__xludf.DUMMYFUNCTION("""COMPUTED_VALUE"""),0.0)</f>
        <v>0</v>
      </c>
      <c r="K78" s="15">
        <f>IFERROR(__xludf.DUMMYFUNCTION("""COMPUTED_VALUE"""),1.0)</f>
        <v>1</v>
      </c>
    </row>
    <row r="79" ht="15.75" customHeight="1">
      <c r="A79" s="14" t="str">
        <f>IFERROR(__xludf.DUMMYFUNCTION("""COMPUTED_VALUE"""),"https://optimisemedia.com/agency-services/")</f>
        <v>https://optimisemedia.com/agency-services/</v>
      </c>
      <c r="B79" s="15" t="str">
        <f>IFERROR(__xludf.DUMMYFUNCTION("""COMPUTED_VALUE"""),"Full-Service Media Agency | Optimise Media")</f>
        <v>Full-Service Media Agency | Optimise Media</v>
      </c>
      <c r="C79" s="14" t="str">
        <f>IFERROR(__xludf.DUMMYFUNCTION("""COMPUTED_VALUE"""),"optimisemedia.com")</f>
        <v>optimisemedia.com</v>
      </c>
      <c r="D79" s="15" t="str">
        <f>IFERROR(__xludf.DUMMYFUNCTION("""COMPUTED_VALUE"""),"PRODUCT_PAGE")</f>
        <v>PRODUCT_PAGE</v>
      </c>
      <c r="E79" s="15" t="str">
        <f>IFERROR(__xludf.DUMMYFUNCTION("""COMPUTED_VALUE"""),"CORPORATE")</f>
        <v>CORPORATE</v>
      </c>
      <c r="F79" s="15" t="str">
        <f>IFERROR(__xludf.DUMMYFUNCTION("""COMPUTED_VALUE"""),"Product Page")</f>
        <v>Product Page</v>
      </c>
      <c r="G79" s="15" t="b">
        <f>IFERROR(__xludf.DUMMYFUNCTION("""COMPUTED_VALUE"""),FALSE)</f>
        <v>0</v>
      </c>
      <c r="H79" s="15"/>
      <c r="I79" s="15">
        <f>IFERROR(__xludf.DUMMYFUNCTION("""COMPUTED_VALUE"""),2.0)</f>
        <v>2</v>
      </c>
      <c r="J79" s="15">
        <f>IFERROR(__xludf.DUMMYFUNCTION("""COMPUTED_VALUE"""),0.0)</f>
        <v>0</v>
      </c>
      <c r="K79" s="15">
        <f>IFERROR(__xludf.DUMMYFUNCTION("""COMPUTED_VALUE"""),0.0)</f>
        <v>0</v>
      </c>
    </row>
    <row r="80" ht="15.75" customHeight="1">
      <c r="A80" s="14" t="str">
        <f>IFERROR(__xludf.DUMMYFUNCTION("""COMPUTED_VALUE"""),"https://prioritypixels.co.uk/about/accreditations/google-partner/")</f>
        <v>https://prioritypixels.co.uk/about/accreditations/google-partner/</v>
      </c>
      <c r="B80" s="15" t="str">
        <f>IFERROR(__xludf.DUMMYFUNCTION("""COMPUTED_VALUE"""),"Google Partner Agency - Certified Google Ads Specialists")</f>
        <v>Google Partner Agency - Certified Google Ads Specialists</v>
      </c>
      <c r="C80" s="14" t="str">
        <f>IFERROR(__xludf.DUMMYFUNCTION("""COMPUTED_VALUE"""),"prioritypixels.co.uk")</f>
        <v>prioritypixels.co.uk</v>
      </c>
      <c r="D80" s="15" t="str">
        <f>IFERROR(__xludf.DUMMYFUNCTION("""COMPUTED_VALUE"""),"PRODUCT_PAGE")</f>
        <v>PRODUCT_PAGE</v>
      </c>
      <c r="E80" s="15" t="str">
        <f>IFERROR(__xludf.DUMMYFUNCTION("""COMPUTED_VALUE"""),"CORPORATE")</f>
        <v>CORPORATE</v>
      </c>
      <c r="F80" s="15" t="str">
        <f>IFERROR(__xludf.DUMMYFUNCTION("""COMPUTED_VALUE"""),"Product Page")</f>
        <v>Product Page</v>
      </c>
      <c r="G80" s="15" t="b">
        <f>IFERROR(__xludf.DUMMYFUNCTION("""COMPUTED_VALUE"""),FALSE)</f>
        <v>0</v>
      </c>
      <c r="H80" s="15" t="str">
        <f>IFERROR(__xludf.DUMMYFUNCTION("""COMPUTED_VALUE"""),"Found")</f>
        <v>Found</v>
      </c>
      <c r="I80" s="15">
        <f>IFERROR(__xludf.DUMMYFUNCTION("""COMPUTED_VALUE"""),2.0)</f>
        <v>2</v>
      </c>
      <c r="J80" s="15">
        <f>IFERROR(__xludf.DUMMYFUNCTION("""COMPUTED_VALUE"""),0.0)</f>
        <v>0</v>
      </c>
      <c r="K80" s="15">
        <f>IFERROR(__xludf.DUMMYFUNCTION("""COMPUTED_VALUE"""),0.0)</f>
        <v>0</v>
      </c>
    </row>
    <row r="81" ht="15.75" customHeight="1">
      <c r="A81" s="14" t="str">
        <f>IFERROR(__xludf.DUMMYFUNCTION("""COMPUTED_VALUE"""),"https://psychemeta.com/paid-socials.html")</f>
        <v>https://psychemeta.com/paid-socials.html</v>
      </c>
      <c r="B81" s="15" t="str">
        <f>IFERROR(__xludf.DUMMYFUNCTION("""COMPUTED_VALUE"""),"Paid Socials | Meta · LinkedIn · TikTok Ad Management | Psychemeta")</f>
        <v>Paid Socials | Meta · LinkedIn · TikTok Ad Management | Psychemeta</v>
      </c>
      <c r="C81" s="14" t="str">
        <f>IFERROR(__xludf.DUMMYFUNCTION("""COMPUTED_VALUE"""),"psychemeta.com")</f>
        <v>psychemeta.com</v>
      </c>
      <c r="D81" s="15" t="str">
        <f>IFERROR(__xludf.DUMMYFUNCTION("""COMPUTED_VALUE"""),"PRODUCT_PAGE")</f>
        <v>PRODUCT_PAGE</v>
      </c>
      <c r="E81" s="15" t="str">
        <f>IFERROR(__xludf.DUMMYFUNCTION("""COMPUTED_VALUE"""),"CORPORATE")</f>
        <v>CORPORATE</v>
      </c>
      <c r="F81" s="15" t="str">
        <f>IFERROR(__xludf.DUMMYFUNCTION("""COMPUTED_VALUE"""),"Product Page")</f>
        <v>Product Page</v>
      </c>
      <c r="G81" s="15" t="b">
        <f>IFERROR(__xludf.DUMMYFUNCTION("""COMPUTED_VALUE"""),FALSE)</f>
        <v>0</v>
      </c>
      <c r="H81" s="15"/>
      <c r="I81" s="15">
        <f>IFERROR(__xludf.DUMMYFUNCTION("""COMPUTED_VALUE"""),2.0)</f>
        <v>2</v>
      </c>
      <c r="J81" s="15">
        <f>IFERROR(__xludf.DUMMYFUNCTION("""COMPUTED_VALUE"""),0.0)</f>
        <v>0</v>
      </c>
      <c r="K81" s="15">
        <f>IFERROR(__xludf.DUMMYFUNCTION("""COMPUTED_VALUE"""),0.0)</f>
        <v>0</v>
      </c>
    </row>
    <row r="82" ht="15.75" customHeight="1">
      <c r="A82" s="14" t="str">
        <f>IFERROR(__xludf.DUMMYFUNCTION("""COMPUTED_VALUE"""),"https://www.tilio.co.uk/ai-search-agency")</f>
        <v>https://www.tilio.co.uk/ai-search-agency</v>
      </c>
      <c r="B82" s="15" t="str">
        <f>IFERROR(__xludf.DUMMYFUNCTION("""COMPUTED_VALUE"""),"UK AI Search Agency | AI Search Optimisation Services | Tilio")</f>
        <v>UK AI Search Agency | AI Search Optimisation Services | Tilio</v>
      </c>
      <c r="C82" s="14" t="str">
        <f>IFERROR(__xludf.DUMMYFUNCTION("""COMPUTED_VALUE"""),"tilio.co.uk")</f>
        <v>tilio.co.uk</v>
      </c>
      <c r="D82" s="15" t="str">
        <f>IFERROR(__xludf.DUMMYFUNCTION("""COMPUTED_VALUE"""),"PRODUCT_PAGE")</f>
        <v>PRODUCT_PAGE</v>
      </c>
      <c r="E82" s="15" t="str">
        <f>IFERROR(__xludf.DUMMYFUNCTION("""COMPUTED_VALUE"""),"COMPETITOR")</f>
        <v>COMPETITOR</v>
      </c>
      <c r="F82" s="15" t="str">
        <f>IFERROR(__xludf.DUMMYFUNCTION("""COMPUTED_VALUE"""),"Product Page")</f>
        <v>Product Page</v>
      </c>
      <c r="G82" s="15" t="b">
        <f>IFERROR(__xludf.DUMMYFUNCTION("""COMPUTED_VALUE"""),FALSE)</f>
        <v>0</v>
      </c>
      <c r="H82" s="15" t="str">
        <f>IFERROR(__xludf.DUMMYFUNCTION("""COMPUTED_VALUE"""),"Tilio, Found, Measured")</f>
        <v>Tilio, Found, Measured</v>
      </c>
      <c r="I82" s="15">
        <f>IFERROR(__xludf.DUMMYFUNCTION("""COMPUTED_VALUE"""),2.0)</f>
        <v>2</v>
      </c>
      <c r="J82" s="15">
        <f>IFERROR(__xludf.DUMMYFUNCTION("""COMPUTED_VALUE"""),0.0)</f>
        <v>0</v>
      </c>
      <c r="K82" s="15">
        <f>IFERROR(__xludf.DUMMYFUNCTION("""COMPUTED_VALUE"""),0.0)</f>
        <v>0</v>
      </c>
    </row>
    <row r="83" ht="15.75" customHeight="1">
      <c r="A83" s="14" t="str">
        <f>IFERROR(__xludf.DUMMYFUNCTION("""COMPUTED_VALUE"""),"https://www.trinitybps.com/ai-consulting")</f>
        <v>https://www.trinitybps.com/ai-consulting</v>
      </c>
      <c r="B83" s="15" t="str">
        <f>IFERROR(__xludf.DUMMYFUNCTION("""COMPUTED_VALUE"""),"AI Adoption Consulting — ARTHA &amp;amp; PRISM | Trinity Bridge PS")</f>
        <v>AI Adoption Consulting — ARTHA &amp;amp; PRISM | Trinity Bridge PS</v>
      </c>
      <c r="C83" s="14" t="str">
        <f>IFERROR(__xludf.DUMMYFUNCTION("""COMPUTED_VALUE"""),"trinitybps.com")</f>
        <v>trinitybps.com</v>
      </c>
      <c r="D83" s="15" t="str">
        <f>IFERROR(__xludf.DUMMYFUNCTION("""COMPUTED_VALUE"""),"PRODUCT_PAGE")</f>
        <v>PRODUCT_PAGE</v>
      </c>
      <c r="E83" s="15" t="str">
        <f>IFERROR(__xludf.DUMMYFUNCTION("""COMPUTED_VALUE"""),"CORPORATE")</f>
        <v>CORPORATE</v>
      </c>
      <c r="F83" s="15" t="str">
        <f>IFERROR(__xludf.DUMMYFUNCTION("""COMPUTED_VALUE"""),"Product Page")</f>
        <v>Product Page</v>
      </c>
      <c r="G83" s="15" t="b">
        <f>IFERROR(__xludf.DUMMYFUNCTION("""COMPUTED_VALUE"""),FALSE)</f>
        <v>0</v>
      </c>
      <c r="H83" s="15" t="str">
        <f>IFERROR(__xludf.DUMMYFUNCTION("""COMPUTED_VALUE"""),"Found")</f>
        <v>Found</v>
      </c>
      <c r="I83" s="15">
        <f>IFERROR(__xludf.DUMMYFUNCTION("""COMPUTED_VALUE"""),2.0)</f>
        <v>2</v>
      </c>
      <c r="J83" s="15">
        <f>IFERROR(__xludf.DUMMYFUNCTION("""COMPUTED_VALUE"""),0.0)</f>
        <v>0</v>
      </c>
      <c r="K83" s="15">
        <f>IFERROR(__xludf.DUMMYFUNCTION("""COMPUTED_VALUE"""),0.5)</f>
        <v>0.5</v>
      </c>
    </row>
    <row r="84" ht="15.75" customHeight="1">
      <c r="A84" s="14" t="str">
        <f>IFERROR(__xludf.DUMMYFUNCTION("""COMPUTED_VALUE"""),"https://www.vayro.co.uk/ai-consulting")</f>
        <v>https://www.vayro.co.uk/ai-consulting</v>
      </c>
      <c r="B84" s="15" t="str">
        <f>IFERROR(__xludf.DUMMYFUNCTION("""COMPUTED_VALUE"""),"AI Consulting for UK Businesses | VAYRO")</f>
        <v>AI Consulting for UK Businesses | VAYRO</v>
      </c>
      <c r="C84" s="14" t="str">
        <f>IFERROR(__xludf.DUMMYFUNCTION("""COMPUTED_VALUE"""),"vayro.co.uk")</f>
        <v>vayro.co.uk</v>
      </c>
      <c r="D84" s="15" t="str">
        <f>IFERROR(__xludf.DUMMYFUNCTION("""COMPUTED_VALUE"""),"PRODUCT_PAGE")</f>
        <v>PRODUCT_PAGE</v>
      </c>
      <c r="E84" s="15" t="str">
        <f>IFERROR(__xludf.DUMMYFUNCTION("""COMPUTED_VALUE"""),"CORPORATE")</f>
        <v>CORPORATE</v>
      </c>
      <c r="F84" s="15" t="str">
        <f>IFERROR(__xludf.DUMMYFUNCTION("""COMPUTED_VALUE"""),"Product Page")</f>
        <v>Product Page</v>
      </c>
      <c r="G84" s="15" t="b">
        <f>IFERROR(__xludf.DUMMYFUNCTION("""COMPUTED_VALUE"""),FALSE)</f>
        <v>0</v>
      </c>
      <c r="H84" s="15"/>
      <c r="I84" s="15">
        <f>IFERROR(__xludf.DUMMYFUNCTION("""COMPUTED_VALUE"""),2.0)</f>
        <v>2</v>
      </c>
      <c r="J84" s="15">
        <f>IFERROR(__xludf.DUMMYFUNCTION("""COMPUTED_VALUE"""),0.0)</f>
        <v>0</v>
      </c>
      <c r="K84" s="15">
        <f>IFERROR(__xludf.DUMMYFUNCTION("""COMPUTED_VALUE"""),0.0)</f>
        <v>0</v>
      </c>
    </row>
    <row r="85" ht="15.75" customHeight="1">
      <c r="A85" s="14" t="str">
        <f>IFERROR(__xludf.DUMMYFUNCTION("""COMPUTED_VALUE"""),"https://visarc.uk/services/digital-marketing-agency/web-analytics-agency/#:~:text=Web%20Analytics%20and%20Product%20Analytics,analytics%20workflows%20like%20software%20engineers")</f>
        <v>https://visarc.uk/services/digital-marketing-agency/web-analytics-agency/#:~:text=Web%20Analytics%20and%20Product%20Analytics,analytics%20workflows%20like%20software%20engineers</v>
      </c>
      <c r="B85" s="15" t="str">
        <f>IFERROR(__xludf.DUMMYFUNCTION("""COMPUTED_VALUE"""),"Web Analytics and Product Analytics Agency UK, Enterprise Solutions | Visarc")</f>
        <v>Web Analytics and Product Analytics Agency UK, Enterprise Solutions | Visarc</v>
      </c>
      <c r="C85" s="14" t="str">
        <f>IFERROR(__xludf.DUMMYFUNCTION("""COMPUTED_VALUE"""),"visarc.uk")</f>
        <v>visarc.uk</v>
      </c>
      <c r="D85" s="15" t="str">
        <f>IFERROR(__xludf.DUMMYFUNCTION("""COMPUTED_VALUE"""),"PRODUCT_PAGE")</f>
        <v>PRODUCT_PAGE</v>
      </c>
      <c r="E85" s="15" t="str">
        <f>IFERROR(__xludf.DUMMYFUNCTION("""COMPUTED_VALUE"""),"CORPORATE")</f>
        <v>CORPORATE</v>
      </c>
      <c r="F85" s="15" t="str">
        <f>IFERROR(__xludf.DUMMYFUNCTION("""COMPUTED_VALUE"""),"Product Page")</f>
        <v>Product Page</v>
      </c>
      <c r="G85" s="15" t="b">
        <f>IFERROR(__xludf.DUMMYFUNCTION("""COMPUTED_VALUE"""),FALSE)</f>
        <v>0</v>
      </c>
      <c r="H85" s="15"/>
      <c r="I85" s="15">
        <f>IFERROR(__xludf.DUMMYFUNCTION("""COMPUTED_VALUE"""),2.0)</f>
        <v>2</v>
      </c>
      <c r="J85" s="15">
        <f>IFERROR(__xludf.DUMMYFUNCTION("""COMPUTED_VALUE"""),0.0)</f>
        <v>0</v>
      </c>
      <c r="K85" s="15">
        <f>IFERROR(__xludf.DUMMYFUNCTION("""COMPUTED_VALUE"""),1.5)</f>
        <v>1.5</v>
      </c>
    </row>
    <row r="86" ht="15.75" customHeight="1">
      <c r="A86" s="14" t="str">
        <f>IFERROR(__xludf.DUMMYFUNCTION("""COMPUTED_VALUE"""),"https://weareagentsofchange.com/services/ai-consultancy/")</f>
        <v>https://weareagentsofchange.com/services/ai-consultancy/</v>
      </c>
      <c r="B86" s="15" t="str">
        <f>IFERROR(__xludf.DUMMYFUNCTION("""COMPUTED_VALUE"""),"AI Consultancy for Marketing Agencies - Agents of Change")</f>
        <v>AI Consultancy for Marketing Agencies - Agents of Change</v>
      </c>
      <c r="C86" s="14" t="str">
        <f>IFERROR(__xludf.DUMMYFUNCTION("""COMPUTED_VALUE"""),"weareagentsofchange.com")</f>
        <v>weareagentsofchange.com</v>
      </c>
      <c r="D86" s="15" t="str">
        <f>IFERROR(__xludf.DUMMYFUNCTION("""COMPUTED_VALUE"""),"PRODUCT_PAGE")</f>
        <v>PRODUCT_PAGE</v>
      </c>
      <c r="E86" s="15" t="str">
        <f>IFERROR(__xludf.DUMMYFUNCTION("""COMPUTED_VALUE"""),"CORPORATE")</f>
        <v>CORPORATE</v>
      </c>
      <c r="F86" s="15" t="str">
        <f>IFERROR(__xludf.DUMMYFUNCTION("""COMPUTED_VALUE"""),"Product Page")</f>
        <v>Product Page</v>
      </c>
      <c r="G86" s="15" t="b">
        <f>IFERROR(__xludf.DUMMYFUNCTION("""COMPUTED_VALUE"""),FALSE)</f>
        <v>0</v>
      </c>
      <c r="H86" s="15" t="str">
        <f>IFERROR(__xludf.DUMMYFUNCTION("""COMPUTED_VALUE"""),"Momentum, Found")</f>
        <v>Momentum, Found</v>
      </c>
      <c r="I86" s="15">
        <f>IFERROR(__xludf.DUMMYFUNCTION("""COMPUTED_VALUE"""),2.0)</f>
        <v>2</v>
      </c>
      <c r="J86" s="15">
        <f>IFERROR(__xludf.DUMMYFUNCTION("""COMPUTED_VALUE"""),0.0)</f>
        <v>0</v>
      </c>
      <c r="K86" s="15">
        <f>IFERROR(__xludf.DUMMYFUNCTION("""COMPUTED_VALUE"""),2.5)</f>
        <v>2.5</v>
      </c>
    </row>
    <row r="87" ht="15.75" customHeight="1">
      <c r="A87" s="14" t="str">
        <f>IFERROR(__xludf.DUMMYFUNCTION("""COMPUTED_VALUE"""),"https://www.xamun.ai/ai-consulting-uk")</f>
        <v>https://www.xamun.ai/ai-consulting-uk</v>
      </c>
      <c r="B87" s="15" t="str">
        <f>IFERROR(__xludf.DUMMYFUNCTION("""COMPUTED_VALUE"""),"AI Consulting UK | AI Transformation Company in London | Xamun")</f>
        <v>AI Consulting UK | AI Transformation Company in London | Xamun</v>
      </c>
      <c r="C87" s="14" t="str">
        <f>IFERROR(__xludf.DUMMYFUNCTION("""COMPUTED_VALUE"""),"xamun.ai")</f>
        <v>xamun.ai</v>
      </c>
      <c r="D87" s="15" t="str">
        <f>IFERROR(__xludf.DUMMYFUNCTION("""COMPUTED_VALUE"""),"PRODUCT_PAGE")</f>
        <v>PRODUCT_PAGE</v>
      </c>
      <c r="E87" s="15" t="str">
        <f>IFERROR(__xludf.DUMMYFUNCTION("""COMPUTED_VALUE"""),"CORPORATE")</f>
        <v>CORPORATE</v>
      </c>
      <c r="F87" s="15" t="str">
        <f>IFERROR(__xludf.DUMMYFUNCTION("""COMPUTED_VALUE"""),"Product Page")</f>
        <v>Product Page</v>
      </c>
      <c r="G87" s="15" t="b">
        <f>IFERROR(__xludf.DUMMYFUNCTION("""COMPUTED_VALUE"""),FALSE)</f>
        <v>0</v>
      </c>
      <c r="H87" s="15" t="str">
        <f>IFERROR(__xludf.DUMMYFUNCTION("""COMPUTED_VALUE"""),"Found, Measured, EY")</f>
        <v>Found, Measured, EY</v>
      </c>
      <c r="I87" s="15">
        <f>IFERROR(__xludf.DUMMYFUNCTION("""COMPUTED_VALUE"""),2.0)</f>
        <v>2</v>
      </c>
      <c r="J87" s="15">
        <f>IFERROR(__xludf.DUMMYFUNCTION("""COMPUTED_VALUE"""),0.0)</f>
        <v>0</v>
      </c>
      <c r="K87" s="15">
        <f>IFERROR(__xludf.DUMMYFUNCTION("""COMPUTED_VALUE"""),0.0)</f>
        <v>0</v>
      </c>
    </row>
    <row r="88" ht="15.75" customHeight="1">
      <c r="A88" s="14" t="str">
        <f>IFERROR(__xludf.DUMMYFUNCTION("""COMPUTED_VALUE"""),"https://www.360strategy.co.uk/ai-consulting-and-governance-scotland-uk")</f>
        <v>https://www.360strategy.co.uk/ai-consulting-and-governance-scotland-uk</v>
      </c>
      <c r="B88" s="15" t="str">
        <f>IFERROR(__xludf.DUMMYFUNCTION("""COMPUTED_VALUE"""),"AI Readiness Audit &amp;amp; Consulting | 360 Strategy")</f>
        <v>AI Readiness Audit &amp;amp; Consulting | 360 Strategy</v>
      </c>
      <c r="C88" s="14" t="str">
        <f>IFERROR(__xludf.DUMMYFUNCTION("""COMPUTED_VALUE"""),"360strategy.co.uk")</f>
        <v>360strategy.co.uk</v>
      </c>
      <c r="D88" s="15" t="str">
        <f>IFERROR(__xludf.DUMMYFUNCTION("""COMPUTED_VALUE"""),"PRODUCT_PAGE")</f>
        <v>PRODUCT_PAGE</v>
      </c>
      <c r="E88" s="15" t="str">
        <f>IFERROR(__xludf.DUMMYFUNCTION("""COMPUTED_VALUE"""),"CORPORATE")</f>
        <v>CORPORATE</v>
      </c>
      <c r="F88" s="15" t="str">
        <f>IFERROR(__xludf.DUMMYFUNCTION("""COMPUTED_VALUE"""),"Product Page")</f>
        <v>Product Page</v>
      </c>
      <c r="G88" s="15" t="b">
        <f>IFERROR(__xludf.DUMMYFUNCTION("""COMPUTED_VALUE"""),FALSE)</f>
        <v>0</v>
      </c>
      <c r="H88" s="15"/>
      <c r="I88" s="15">
        <f>IFERROR(__xludf.DUMMYFUNCTION("""COMPUTED_VALUE"""),1.0)</f>
        <v>1</v>
      </c>
      <c r="J88" s="15">
        <f>IFERROR(__xludf.DUMMYFUNCTION("""COMPUTED_VALUE"""),0.0)</f>
        <v>0</v>
      </c>
      <c r="K88" s="15">
        <f>IFERROR(__xludf.DUMMYFUNCTION("""COMPUTED_VALUE"""),1.0)</f>
        <v>1</v>
      </c>
    </row>
    <row r="89" ht="15.75" customHeight="1">
      <c r="A89" s="14" t="str">
        <f>IFERROR(__xludf.DUMMYFUNCTION("""COMPUTED_VALUE"""),"https://www.ada-digital.co.uk/google-partner")</f>
        <v>https://www.ada-digital.co.uk/google-partner</v>
      </c>
      <c r="B89" s="15" t="str">
        <f>IFERROR(__xludf.DUMMYFUNCTION("""COMPUTED_VALUE"""),"Google Partners | Google Certified Agency")</f>
        <v>Google Partners | Google Certified Agency</v>
      </c>
      <c r="C89" s="14" t="str">
        <f>IFERROR(__xludf.DUMMYFUNCTION("""COMPUTED_VALUE"""),"ada-digital.co.uk")</f>
        <v>ada-digital.co.uk</v>
      </c>
      <c r="D89" s="15" t="str">
        <f>IFERROR(__xludf.DUMMYFUNCTION("""COMPUTED_VALUE"""),"PRODUCT_PAGE")</f>
        <v>PRODUCT_PAGE</v>
      </c>
      <c r="E89" s="15" t="str">
        <f>IFERROR(__xludf.DUMMYFUNCTION("""COMPUTED_VALUE"""),"CORPORATE")</f>
        <v>CORPORATE</v>
      </c>
      <c r="F89" s="15" t="str">
        <f>IFERROR(__xludf.DUMMYFUNCTION("""COMPUTED_VALUE"""),"Product Page")</f>
        <v>Product Page</v>
      </c>
      <c r="G89" s="15" t="b">
        <f>IFERROR(__xludf.DUMMYFUNCTION("""COMPUTED_VALUE"""),FALSE)</f>
        <v>0</v>
      </c>
      <c r="H89" s="15"/>
      <c r="I89" s="15">
        <f>IFERROR(__xludf.DUMMYFUNCTION("""COMPUTED_VALUE"""),1.0)</f>
        <v>1</v>
      </c>
      <c r="J89" s="15">
        <f>IFERROR(__xludf.DUMMYFUNCTION("""COMPUTED_VALUE"""),0.0)</f>
        <v>0</v>
      </c>
      <c r="K89" s="15">
        <f>IFERROR(__xludf.DUMMYFUNCTION("""COMPUTED_VALUE"""),0.0)</f>
        <v>0</v>
      </c>
    </row>
    <row r="90" ht="15.75" customHeight="1">
      <c r="A90" s="14" t="str">
        <f>IFERROR(__xludf.DUMMYFUNCTION("""COMPUTED_VALUE"""),"https://advanttechnology.com/programmatic-agency-london-meet-the-experts/")</f>
        <v>https://advanttechnology.com/programmatic-agency-london-meet-the-experts/</v>
      </c>
      <c r="B90" s="15" t="str">
        <f>IFERROR(__xludf.DUMMYFUNCTION("""COMPUTED_VALUE"""),"Programmatic Agency London: Meet the Experts | Blog")</f>
        <v>Programmatic Agency London: Meet the Experts | Blog</v>
      </c>
      <c r="C90" s="14" t="str">
        <f>IFERROR(__xludf.DUMMYFUNCTION("""COMPUTED_VALUE"""),"advanttechnology.com")</f>
        <v>advanttechnology.com</v>
      </c>
      <c r="D90" s="15" t="str">
        <f>IFERROR(__xludf.DUMMYFUNCTION("""COMPUTED_VALUE"""),"PRODUCT_PAGE")</f>
        <v>PRODUCT_PAGE</v>
      </c>
      <c r="E90" s="15" t="str">
        <f>IFERROR(__xludf.DUMMYFUNCTION("""COMPUTED_VALUE"""),"CORPORATE")</f>
        <v>CORPORATE</v>
      </c>
      <c r="F90" s="15" t="str">
        <f>IFERROR(__xludf.DUMMYFUNCTION("""COMPUTED_VALUE"""),"Product Page")</f>
        <v>Product Page</v>
      </c>
      <c r="G90" s="15" t="b">
        <f>IFERROR(__xludf.DUMMYFUNCTION("""COMPUTED_VALUE"""),FALSE)</f>
        <v>0</v>
      </c>
      <c r="H90" s="15"/>
      <c r="I90" s="15">
        <f>IFERROR(__xludf.DUMMYFUNCTION("""COMPUTED_VALUE"""),1.0)</f>
        <v>1</v>
      </c>
      <c r="J90" s="15">
        <f>IFERROR(__xludf.DUMMYFUNCTION("""COMPUTED_VALUE"""),0.0)</f>
        <v>0</v>
      </c>
      <c r="K90" s="15">
        <f>IFERROR(__xludf.DUMMYFUNCTION("""COMPUTED_VALUE"""),0.0)</f>
        <v>0</v>
      </c>
    </row>
    <row r="91" ht="15.75" customHeight="1">
      <c r="A91" s="14" t="str">
        <f>IFERROR(__xludf.DUMMYFUNCTION("""COMPUTED_VALUE"""),"https://www.agilitytech.ai/ai-consulting-uk")</f>
        <v>https://www.agilitytech.ai/ai-consulting-uk</v>
      </c>
      <c r="B91" s="15" t="str">
        <f>IFERROR(__xludf.DUMMYFUNCTION("""COMPUTED_VALUE"""),"AI Consulting UK \| Agility Tech")</f>
        <v>AI Consulting UK \| Agility Tech</v>
      </c>
      <c r="C91" s="14" t="str">
        <f>IFERROR(__xludf.DUMMYFUNCTION("""COMPUTED_VALUE"""),"agilitytech.ai")</f>
        <v>agilitytech.ai</v>
      </c>
      <c r="D91" s="15" t="str">
        <f>IFERROR(__xludf.DUMMYFUNCTION("""COMPUTED_VALUE"""),"PRODUCT_PAGE")</f>
        <v>PRODUCT_PAGE</v>
      </c>
      <c r="E91" s="15" t="str">
        <f>IFERROR(__xludf.DUMMYFUNCTION("""COMPUTED_VALUE"""),"CORPORATE")</f>
        <v>CORPORATE</v>
      </c>
      <c r="F91" s="15" t="str">
        <f>IFERROR(__xludf.DUMMYFUNCTION("""COMPUTED_VALUE"""),"Product Page")</f>
        <v>Product Page</v>
      </c>
      <c r="G91" s="15" t="b">
        <f>IFERROR(__xludf.DUMMYFUNCTION("""COMPUTED_VALUE"""),FALSE)</f>
        <v>0</v>
      </c>
      <c r="H91" s="15"/>
      <c r="I91" s="15">
        <f>IFERROR(__xludf.DUMMYFUNCTION("""COMPUTED_VALUE"""),1.0)</f>
        <v>1</v>
      </c>
      <c r="J91" s="15">
        <f>IFERROR(__xludf.DUMMYFUNCTION("""COMPUTED_VALUE"""),0.0)</f>
        <v>0</v>
      </c>
      <c r="K91" s="15">
        <f>IFERROR(__xludf.DUMMYFUNCTION("""COMPUTED_VALUE"""),0.0)</f>
        <v>0</v>
      </c>
    </row>
    <row r="92" ht="15.75" customHeight="1">
      <c r="A92" s="14" t="str">
        <f>IFERROR(__xludf.DUMMYFUNCTION("""COMPUTED_VALUE"""),"https://www.applytosupply.digitalmarketplace.service.gov.uk/g-cloud/services/602733690017788")</f>
        <v>https://www.applytosupply.digitalmarketplace.service.gov.uk/g-cloud/services/602733690017788</v>
      </c>
      <c r="B92" s="15" t="str">
        <f>IFERROR(__xludf.DUMMYFUNCTION("""COMPUTED_VALUE"""),"AI Introduction Readiness - Digital Marketplace")</f>
        <v>AI Introduction Readiness - Digital Marketplace</v>
      </c>
      <c r="C92" s="14" t="str">
        <f>IFERROR(__xludf.DUMMYFUNCTION("""COMPUTED_VALUE"""),"service.gov.uk")</f>
        <v>service.gov.uk</v>
      </c>
      <c r="D92" s="15" t="str">
        <f>IFERROR(__xludf.DUMMYFUNCTION("""COMPUTED_VALUE"""),"PRODUCT_PAGE")</f>
        <v>PRODUCT_PAGE</v>
      </c>
      <c r="E92" s="15" t="str">
        <f>IFERROR(__xludf.DUMMYFUNCTION("""COMPUTED_VALUE"""),"INSTITUTIONAL")</f>
        <v>INSTITUTIONAL</v>
      </c>
      <c r="F92" s="15" t="str">
        <f>IFERROR(__xludf.DUMMYFUNCTION("""COMPUTED_VALUE"""),"Product Page")</f>
        <v>Product Page</v>
      </c>
      <c r="G92" s="15" t="b">
        <f>IFERROR(__xludf.DUMMYFUNCTION("""COMPUTED_VALUE"""),FALSE)</f>
        <v>0</v>
      </c>
      <c r="H92" s="15"/>
      <c r="I92" s="15">
        <f>IFERROR(__xludf.DUMMYFUNCTION("""COMPUTED_VALUE"""),1.0)</f>
        <v>1</v>
      </c>
      <c r="J92" s="15">
        <f>IFERROR(__xludf.DUMMYFUNCTION("""COMPUTED_VALUE"""),0.0)</f>
        <v>0</v>
      </c>
      <c r="K92" s="15">
        <f>IFERROR(__xludf.DUMMYFUNCTION("""COMPUTED_VALUE"""),0.0)</f>
        <v>0</v>
      </c>
    </row>
    <row r="93" ht="15.75" customHeight="1">
      <c r="A93" s="14" t="str">
        <f>IFERROR(__xludf.DUMMYFUNCTION("""COMPUTED_VALUE"""),"https://www.applytosupply.digitalmarketplace.service.gov.uk/g-cloud/services/608005596200288")</f>
        <v>https://www.applytosupply.digitalmarketplace.service.gov.uk/g-cloud/services/608005596200288</v>
      </c>
      <c r="B93" s="15" t="str">
        <f>IFERROR(__xludf.DUMMYFUNCTION("""COMPUTED_VALUE"""),"AI Readiness Assessment - Digital Marketplace")</f>
        <v>AI Readiness Assessment - Digital Marketplace</v>
      </c>
      <c r="C93" s="14" t="str">
        <f>IFERROR(__xludf.DUMMYFUNCTION("""COMPUTED_VALUE"""),"service.gov.uk")</f>
        <v>service.gov.uk</v>
      </c>
      <c r="D93" s="15" t="str">
        <f>IFERROR(__xludf.DUMMYFUNCTION("""COMPUTED_VALUE"""),"PRODUCT_PAGE")</f>
        <v>PRODUCT_PAGE</v>
      </c>
      <c r="E93" s="15" t="str">
        <f>IFERROR(__xludf.DUMMYFUNCTION("""COMPUTED_VALUE"""),"INSTITUTIONAL")</f>
        <v>INSTITUTIONAL</v>
      </c>
      <c r="F93" s="15" t="str">
        <f>IFERROR(__xludf.DUMMYFUNCTION("""COMPUTED_VALUE"""),"Product Page")</f>
        <v>Product Page</v>
      </c>
      <c r="G93" s="15" t="b">
        <f>IFERROR(__xludf.DUMMYFUNCTION("""COMPUTED_VALUE"""),FALSE)</f>
        <v>0</v>
      </c>
      <c r="H93" s="15"/>
      <c r="I93" s="15">
        <f>IFERROR(__xludf.DUMMYFUNCTION("""COMPUTED_VALUE"""),1.0)</f>
        <v>1</v>
      </c>
      <c r="J93" s="15">
        <f>IFERROR(__xludf.DUMMYFUNCTION("""COMPUTED_VALUE"""),0.0)</f>
        <v>0</v>
      </c>
      <c r="K93" s="15">
        <f>IFERROR(__xludf.DUMMYFUNCTION("""COMPUTED_VALUE"""),0.0)</f>
        <v>0</v>
      </c>
    </row>
    <row r="94" ht="15.75" customHeight="1">
      <c r="A94" s="14" t="str">
        <f>IFERROR(__xludf.DUMMYFUNCTION("""COMPUTED_VALUE"""),"https://www.artefact.com/blog/unleash-the-power-of-first-party-data-with-a-customer-data-platform/")</f>
        <v>https://www.artefact.com/blog/unleash-the-power-of-first-party-data-with-a-customer-data-platform/</v>
      </c>
      <c r="B94" s="15" t="str">
        <f>IFERROR(__xludf.DUMMYFUNCTION("""COMPUTED_VALUE"""),"Unleash the power of first-party data with a Customer Data Platform - Artefact")</f>
        <v>Unleash the power of first-party data with a Customer Data Platform - Artefact</v>
      </c>
      <c r="C94" s="14" t="str">
        <f>IFERROR(__xludf.DUMMYFUNCTION("""COMPUTED_VALUE"""),"artefact.com")</f>
        <v>artefact.com</v>
      </c>
      <c r="D94" s="15" t="str">
        <f>IFERROR(__xludf.DUMMYFUNCTION("""COMPUTED_VALUE"""),"PRODUCT_PAGE")</f>
        <v>PRODUCT_PAGE</v>
      </c>
      <c r="E94" s="15" t="str">
        <f>IFERROR(__xludf.DUMMYFUNCTION("""COMPUTED_VALUE"""),"COMPETITOR")</f>
        <v>COMPETITOR</v>
      </c>
      <c r="F94" s="15" t="str">
        <f>IFERROR(__xludf.DUMMYFUNCTION("""COMPUTED_VALUE"""),"Product Page")</f>
        <v>Product Page</v>
      </c>
      <c r="G94" s="15" t="b">
        <f>IFERROR(__xludf.DUMMYFUNCTION("""COMPUTED_VALUE"""),FALSE)</f>
        <v>0</v>
      </c>
      <c r="H94" s="15" t="str">
        <f>IFERROR(__xludf.DUMMYFUNCTION("""COMPUTED_VALUE"""),"Artefact, Merkle, Push, Measured, Found")</f>
        <v>Artefact, Merkle, Push, Measured, Found</v>
      </c>
      <c r="I94" s="15">
        <f>IFERROR(__xludf.DUMMYFUNCTION("""COMPUTED_VALUE"""),1.0)</f>
        <v>1</v>
      </c>
      <c r="J94" s="15">
        <f>IFERROR(__xludf.DUMMYFUNCTION("""COMPUTED_VALUE"""),0.0)</f>
        <v>0</v>
      </c>
      <c r="K94" s="15">
        <f>IFERROR(__xludf.DUMMYFUNCTION("""COMPUTED_VALUE"""),1.0)</f>
        <v>1</v>
      </c>
    </row>
    <row r="95" ht="15.75" customHeight="1">
      <c r="A95" s="14" t="str">
        <f>IFERROR(__xludf.DUMMYFUNCTION("""COMPUTED_VALUE"""),"https://www.assertive-media.co.uk/digital-marketing/ppc/")</f>
        <v>https://www.assertive-media.co.uk/digital-marketing/ppc/</v>
      </c>
      <c r="B95" s="15" t="str">
        <f>IFERROR(__xludf.DUMMYFUNCTION("""COMPUTED_VALUE"""),"PPC Services | UK Pay Per Click Management Agency - Assertive | Assertive Media")</f>
        <v>PPC Services | UK Pay Per Click Management Agency - Assertive | Assertive Media</v>
      </c>
      <c r="C95" s="14" t="str">
        <f>IFERROR(__xludf.DUMMYFUNCTION("""COMPUTED_VALUE"""),"assertive-media.co.uk")</f>
        <v>assertive-media.co.uk</v>
      </c>
      <c r="D95" s="15" t="str">
        <f>IFERROR(__xludf.DUMMYFUNCTION("""COMPUTED_VALUE"""),"PRODUCT_PAGE")</f>
        <v>PRODUCT_PAGE</v>
      </c>
      <c r="E95" s="15" t="str">
        <f>IFERROR(__xludf.DUMMYFUNCTION("""COMPUTED_VALUE"""),"CORPORATE")</f>
        <v>CORPORATE</v>
      </c>
      <c r="F95" s="15" t="str">
        <f>IFERROR(__xludf.DUMMYFUNCTION("""COMPUTED_VALUE"""),"Product Page")</f>
        <v>Product Page</v>
      </c>
      <c r="G95" s="15" t="b">
        <f>IFERROR(__xludf.DUMMYFUNCTION("""COMPUTED_VALUE"""),FALSE)</f>
        <v>0</v>
      </c>
      <c r="H95" s="15" t="str">
        <f>IFERROR(__xludf.DUMMYFUNCTION("""COMPUTED_VALUE"""),"Found")</f>
        <v>Found</v>
      </c>
      <c r="I95" s="15">
        <f>IFERROR(__xludf.DUMMYFUNCTION("""COMPUTED_VALUE"""),1.0)</f>
        <v>1</v>
      </c>
      <c r="J95" s="15">
        <f>IFERROR(__xludf.DUMMYFUNCTION("""COMPUTED_VALUE"""),0.0)</f>
        <v>0</v>
      </c>
      <c r="K95" s="15">
        <f>IFERROR(__xludf.DUMMYFUNCTION("""COMPUTED_VALUE"""),0.0)</f>
        <v>0</v>
      </c>
    </row>
    <row r="96" ht="15.75" customHeight="1">
      <c r="A96" s="14" t="str">
        <f>IFERROR(__xludf.DUMMYFUNCTION("""COMPUTED_VALUE"""),"https://www.atigro.com/consulting/ai-integration-strategy/")</f>
        <v>https://www.atigro.com/consulting/ai-integration-strategy/</v>
      </c>
      <c r="B96" s="15" t="str">
        <f>IFERROR(__xludf.DUMMYFUNCTION("""COMPUTED_VALUE"""),"AI Integration Strategy | Atigro")</f>
        <v>AI Integration Strategy | Atigro</v>
      </c>
      <c r="C96" s="14" t="str">
        <f>IFERROR(__xludf.DUMMYFUNCTION("""COMPUTED_VALUE"""),"atigro.com")</f>
        <v>atigro.com</v>
      </c>
      <c r="D96" s="15" t="str">
        <f>IFERROR(__xludf.DUMMYFUNCTION("""COMPUTED_VALUE"""),"PRODUCT_PAGE")</f>
        <v>PRODUCT_PAGE</v>
      </c>
      <c r="E96" s="15" t="str">
        <f>IFERROR(__xludf.DUMMYFUNCTION("""COMPUTED_VALUE"""),"CORPORATE")</f>
        <v>CORPORATE</v>
      </c>
      <c r="F96" s="15" t="str">
        <f>IFERROR(__xludf.DUMMYFUNCTION("""COMPUTED_VALUE"""),"Product Page")</f>
        <v>Product Page</v>
      </c>
      <c r="G96" s="15" t="b">
        <f>IFERROR(__xludf.DUMMYFUNCTION("""COMPUTED_VALUE"""),FALSE)</f>
        <v>0</v>
      </c>
      <c r="H96" s="15" t="str">
        <f>IFERROR(__xludf.DUMMYFUNCTION("""COMPUTED_VALUE"""),"Found")</f>
        <v>Found</v>
      </c>
      <c r="I96" s="15">
        <f>IFERROR(__xludf.DUMMYFUNCTION("""COMPUTED_VALUE"""),1.0)</f>
        <v>1</v>
      </c>
      <c r="J96" s="15">
        <f>IFERROR(__xludf.DUMMYFUNCTION("""COMPUTED_VALUE"""),0.0)</f>
        <v>0</v>
      </c>
      <c r="K96" s="15">
        <f>IFERROR(__xludf.DUMMYFUNCTION("""COMPUTED_VALUE"""),0.0)</f>
        <v>0</v>
      </c>
    </row>
    <row r="97" ht="15.75" customHeight="1">
      <c r="A97" s="14" t="str">
        <f>IFERROR(__xludf.DUMMYFUNCTION("""COMPUTED_VALUE"""),"https://audigent.com/caseStudies/")</f>
        <v>https://audigent.com/caseStudies/</v>
      </c>
      <c r="B97" s="15" t="str">
        <f>IFERROR(__xludf.DUMMYFUNCTION("""COMPUTED_VALUE"""),"Audigent | The Leading Data Activation, Curation and Identity Platform")</f>
        <v>Audigent | The Leading Data Activation, Curation and Identity Platform</v>
      </c>
      <c r="C97" s="14" t="str">
        <f>IFERROR(__xludf.DUMMYFUNCTION("""COMPUTED_VALUE"""),"audigent.com")</f>
        <v>audigent.com</v>
      </c>
      <c r="D97" s="15" t="str">
        <f>IFERROR(__xludf.DUMMYFUNCTION("""COMPUTED_VALUE"""),"PRODUCT_PAGE")</f>
        <v>PRODUCT_PAGE</v>
      </c>
      <c r="E97" s="15" t="str">
        <f>IFERROR(__xludf.DUMMYFUNCTION("""COMPUTED_VALUE"""),"CORPORATE")</f>
        <v>CORPORATE</v>
      </c>
      <c r="F97" s="15" t="str">
        <f>IFERROR(__xludf.DUMMYFUNCTION("""COMPUTED_VALUE"""),"Product Page")</f>
        <v>Product Page</v>
      </c>
      <c r="G97" s="15" t="b">
        <f>IFERROR(__xludf.DUMMYFUNCTION("""COMPUTED_VALUE"""),FALSE)</f>
        <v>0</v>
      </c>
      <c r="H97" s="15"/>
      <c r="I97" s="15">
        <f>IFERROR(__xludf.DUMMYFUNCTION("""COMPUTED_VALUE"""),1.0)</f>
        <v>1</v>
      </c>
      <c r="J97" s="15">
        <f>IFERROR(__xludf.DUMMYFUNCTION("""COMPUTED_VALUE"""),0.0)</f>
        <v>0</v>
      </c>
      <c r="K97" s="15">
        <f>IFERROR(__xludf.DUMMYFUNCTION("""COMPUTED_VALUE"""),0.0)</f>
        <v>0</v>
      </c>
    </row>
    <row r="98" ht="15.75" customHeight="1">
      <c r="A98" s="14" t="str">
        <f>IFERROR(__xludf.DUMMYFUNCTION("""COMPUTED_VALUE"""),"https://bark.london/services/data-science/attribution-modelling/")</f>
        <v>https://bark.london/services/data-science/attribution-modelling/</v>
      </c>
      <c r="B98" s="15" t="str">
        <f>IFERROR(__xludf.DUMMYFUNCTION("""COMPUTED_VALUE"""),"Attribution Modelling Agency — BARK")</f>
        <v>Attribution Modelling Agency — BARK</v>
      </c>
      <c r="C98" s="15" t="str">
        <f>IFERROR(__xludf.DUMMYFUNCTION("""COMPUTED_VALUE"""),"bark.london")</f>
        <v>bark.london</v>
      </c>
      <c r="D98" s="15" t="str">
        <f>IFERROR(__xludf.DUMMYFUNCTION("""COMPUTED_VALUE"""),"PRODUCT_PAGE")</f>
        <v>PRODUCT_PAGE</v>
      </c>
      <c r="E98" s="15" t="str">
        <f>IFERROR(__xludf.DUMMYFUNCTION("""COMPUTED_VALUE"""),"COMPETITOR")</f>
        <v>COMPETITOR</v>
      </c>
      <c r="F98" s="15" t="str">
        <f>IFERROR(__xludf.DUMMYFUNCTION("""COMPUTED_VALUE"""),"Product Page")</f>
        <v>Product Page</v>
      </c>
      <c r="G98" s="15" t="b">
        <f>IFERROR(__xludf.DUMMYFUNCTION("""COMPUTED_VALUE"""),FALSE)</f>
        <v>0</v>
      </c>
      <c r="H98" s="15" t="str">
        <f>IFERROR(__xludf.DUMMYFUNCTION("""COMPUTED_VALUE"""),"Bark London")</f>
        <v>Bark London</v>
      </c>
      <c r="I98" s="15">
        <f>IFERROR(__xludf.DUMMYFUNCTION("""COMPUTED_VALUE"""),1.0)</f>
        <v>1</v>
      </c>
      <c r="J98" s="15">
        <f>IFERROR(__xludf.DUMMYFUNCTION("""COMPUTED_VALUE"""),0.0)</f>
        <v>0</v>
      </c>
      <c r="K98" s="15">
        <f>IFERROR(__xludf.DUMMYFUNCTION("""COMPUTED_VALUE"""),1.0)</f>
        <v>1</v>
      </c>
    </row>
    <row r="99" ht="15.75" customHeight="1">
      <c r="A99" s="14" t="str">
        <f>IFERROR(__xludf.DUMMYFUNCTION("""COMPUTED_VALUE"""),"https://bark.london/services/paid-media/paid-social/")</f>
        <v>https://bark.london/services/paid-media/paid-social/</v>
      </c>
      <c r="B99" s="15" t="str">
        <f>IFERROR(__xludf.DUMMYFUNCTION("""COMPUTED_VALUE"""),"Paid Social Agency London — BARK")</f>
        <v>Paid Social Agency London — BARK</v>
      </c>
      <c r="C99" s="15" t="str">
        <f>IFERROR(__xludf.DUMMYFUNCTION("""COMPUTED_VALUE"""),"bark.london")</f>
        <v>bark.london</v>
      </c>
      <c r="D99" s="15" t="str">
        <f>IFERROR(__xludf.DUMMYFUNCTION("""COMPUTED_VALUE"""),"PRODUCT_PAGE")</f>
        <v>PRODUCT_PAGE</v>
      </c>
      <c r="E99" s="15" t="str">
        <f>IFERROR(__xludf.DUMMYFUNCTION("""COMPUTED_VALUE"""),"COMPETITOR")</f>
        <v>COMPETITOR</v>
      </c>
      <c r="F99" s="15" t="str">
        <f>IFERROR(__xludf.DUMMYFUNCTION("""COMPUTED_VALUE"""),"Product Page")</f>
        <v>Product Page</v>
      </c>
      <c r="G99" s="15" t="b">
        <f>IFERROR(__xludf.DUMMYFUNCTION("""COMPUTED_VALUE"""),FALSE)</f>
        <v>0</v>
      </c>
      <c r="H99" s="15" t="str">
        <f>IFERROR(__xludf.DUMMYFUNCTION("""COMPUTED_VALUE"""),"Bark London, Impression")</f>
        <v>Bark London, Impression</v>
      </c>
      <c r="I99" s="15">
        <f>IFERROR(__xludf.DUMMYFUNCTION("""COMPUTED_VALUE"""),1.0)</f>
        <v>1</v>
      </c>
      <c r="J99" s="15">
        <f>IFERROR(__xludf.DUMMYFUNCTION("""COMPUTED_VALUE"""),0.0)</f>
        <v>0</v>
      </c>
      <c r="K99" s="15">
        <f>IFERROR(__xludf.DUMMYFUNCTION("""COMPUTED_VALUE"""),1.0)</f>
        <v>1</v>
      </c>
    </row>
    <row r="100" ht="15.75" customHeight="1">
      <c r="A100" s="14" t="str">
        <f>IFERROR(__xludf.DUMMYFUNCTION("""COMPUTED_VALUE"""),"https://bcn.co.uk/resources/ai-consultants/")</f>
        <v>https://bcn.co.uk/resources/ai-consultants/</v>
      </c>
      <c r="B100" s="15" t="str">
        <f>IFERROR(__xludf.DUMMYFUNCTION("""COMPUTED_VALUE"""),"AI Consultants - BCN")</f>
        <v>AI Consultants - BCN</v>
      </c>
      <c r="C100" s="14" t="str">
        <f>IFERROR(__xludf.DUMMYFUNCTION("""COMPUTED_VALUE"""),"bcn.co.uk")</f>
        <v>bcn.co.uk</v>
      </c>
      <c r="D100" s="15" t="str">
        <f>IFERROR(__xludf.DUMMYFUNCTION("""COMPUTED_VALUE"""),"PRODUCT_PAGE")</f>
        <v>PRODUCT_PAGE</v>
      </c>
      <c r="E100" s="15" t="str">
        <f>IFERROR(__xludf.DUMMYFUNCTION("""COMPUTED_VALUE"""),"CORPORATE")</f>
        <v>CORPORATE</v>
      </c>
      <c r="F100" s="15" t="str">
        <f>IFERROR(__xludf.DUMMYFUNCTION("""COMPUTED_VALUE"""),"Product Page")</f>
        <v>Product Page</v>
      </c>
      <c r="G100" s="15" t="b">
        <f>IFERROR(__xludf.DUMMYFUNCTION("""COMPUTED_VALUE"""),FALSE)</f>
        <v>0</v>
      </c>
      <c r="H100" s="15" t="str">
        <f>IFERROR(__xludf.DUMMYFUNCTION("""COMPUTED_VALUE"""),"Momentum")</f>
        <v>Momentum</v>
      </c>
      <c r="I100" s="15">
        <f>IFERROR(__xludf.DUMMYFUNCTION("""COMPUTED_VALUE"""),1.0)</f>
        <v>1</v>
      </c>
      <c r="J100" s="15">
        <f>IFERROR(__xludf.DUMMYFUNCTION("""COMPUTED_VALUE"""),0.0)</f>
        <v>0</v>
      </c>
      <c r="K100" s="15">
        <f>IFERROR(__xludf.DUMMYFUNCTION("""COMPUTED_VALUE"""),0.0)</f>
        <v>0</v>
      </c>
    </row>
    <row r="101" ht="15.75" customHeight="1">
      <c r="A101" s="14" t="str">
        <f>IFERROR(__xludf.DUMMYFUNCTION("""COMPUTED_VALUE"""),"https://bhavpro.com/ai-seo-agency/")</f>
        <v>https://bhavpro.com/ai-seo-agency/</v>
      </c>
      <c r="B101" s="15" t="str">
        <f>IFERROR(__xludf.DUMMYFUNCTION("""COMPUTED_VALUE"""),"AI SEO Agency UK | AI SEO, AEO &amp;amp; GEO Services")</f>
        <v>AI SEO Agency UK | AI SEO, AEO &amp;amp; GEO Services</v>
      </c>
      <c r="C101" s="14" t="str">
        <f>IFERROR(__xludf.DUMMYFUNCTION("""COMPUTED_VALUE"""),"bhavpro.com")</f>
        <v>bhavpro.com</v>
      </c>
      <c r="D101" s="15" t="str">
        <f>IFERROR(__xludf.DUMMYFUNCTION("""COMPUTED_VALUE"""),"PRODUCT_PAGE")</f>
        <v>PRODUCT_PAGE</v>
      </c>
      <c r="E101" s="15" t="str">
        <f>IFERROR(__xludf.DUMMYFUNCTION("""COMPUTED_VALUE"""),"OTHER")</f>
        <v>OTHER</v>
      </c>
      <c r="F101" s="15" t="str">
        <f>IFERROR(__xludf.DUMMYFUNCTION("""COMPUTED_VALUE"""),"Product Page")</f>
        <v>Product Page</v>
      </c>
      <c r="G101" s="15" t="b">
        <f>IFERROR(__xludf.DUMMYFUNCTION("""COMPUTED_VALUE"""),FALSE)</f>
        <v>0</v>
      </c>
      <c r="H101" s="15" t="str">
        <f>IFERROR(__xludf.DUMMYFUNCTION("""COMPUTED_VALUE"""),"Huge, 9AM")</f>
        <v>Huge, 9AM</v>
      </c>
      <c r="I101" s="15">
        <f>IFERROR(__xludf.DUMMYFUNCTION("""COMPUTED_VALUE"""),1.0)</f>
        <v>1</v>
      </c>
      <c r="J101" s="15">
        <f>IFERROR(__xludf.DUMMYFUNCTION("""COMPUTED_VALUE"""),0.0)</f>
        <v>0</v>
      </c>
      <c r="K101" s="15">
        <f>IFERROR(__xludf.DUMMYFUNCTION("""COMPUTED_VALUE"""),1.0)</f>
        <v>1</v>
      </c>
    </row>
    <row r="102" ht="15.75" customHeight="1">
      <c r="A102" s="14" t="str">
        <f>IFERROR(__xludf.DUMMYFUNCTION("""COMPUTED_VALUE"""),"https://bind.media/services/paid-media")</f>
        <v>https://bind.media/services/paid-media</v>
      </c>
      <c r="B102" s="15" t="str">
        <f>IFERROR(__xludf.DUMMYFUNCTION("""COMPUTED_VALUE"""),"Paid Media Agency | Bind Media")</f>
        <v>Paid Media Agency | Bind Media</v>
      </c>
      <c r="C102" s="15" t="str">
        <f>IFERROR(__xludf.DUMMYFUNCTION("""COMPUTED_VALUE"""),"bind.media")</f>
        <v>bind.media</v>
      </c>
      <c r="D102" s="15" t="str">
        <f>IFERROR(__xludf.DUMMYFUNCTION("""COMPUTED_VALUE"""),"PRODUCT_PAGE")</f>
        <v>PRODUCT_PAGE</v>
      </c>
      <c r="E102" s="15" t="str">
        <f>IFERROR(__xludf.DUMMYFUNCTION("""COMPUTED_VALUE"""),"COMPETITOR")</f>
        <v>COMPETITOR</v>
      </c>
      <c r="F102" s="15" t="str">
        <f>IFERROR(__xludf.DUMMYFUNCTION("""COMPUTED_VALUE"""),"Product Page")</f>
        <v>Product Page</v>
      </c>
      <c r="G102" s="15" t="b">
        <f>IFERROR(__xludf.DUMMYFUNCTION("""COMPUTED_VALUE"""),FALSE)</f>
        <v>0</v>
      </c>
      <c r="H102" s="15" t="str">
        <f>IFERROR(__xludf.DUMMYFUNCTION("""COMPUTED_VALUE"""),"Bind Media")</f>
        <v>Bind Media</v>
      </c>
      <c r="I102" s="15">
        <f>IFERROR(__xludf.DUMMYFUNCTION("""COMPUTED_VALUE"""),1.0)</f>
        <v>1</v>
      </c>
      <c r="J102" s="15">
        <f>IFERROR(__xludf.DUMMYFUNCTION("""COMPUTED_VALUE"""),0.0)</f>
        <v>0</v>
      </c>
      <c r="K102" s="15">
        <f>IFERROR(__xludf.DUMMYFUNCTION("""COMPUTED_VALUE"""),0.0)</f>
        <v>0</v>
      </c>
    </row>
    <row r="103" ht="15.75" customHeight="1">
      <c r="A103" s="14" t="str">
        <f>IFERROR(__xludf.DUMMYFUNCTION("""COMPUTED_VALUE"""),"https://bird.co.uk/enterprise/")</f>
        <v>https://bird.co.uk/enterprise/</v>
      </c>
      <c r="B103" s="15" t="str">
        <f>IFERROR(__xludf.DUMMYFUNCTION("""COMPUTED_VALUE"""),"Enterprise Digital Marketing Agency UK - Bird Marketing")</f>
        <v>Enterprise Digital Marketing Agency UK - Bird Marketing</v>
      </c>
      <c r="C103" s="14" t="str">
        <f>IFERROR(__xludf.DUMMYFUNCTION("""COMPUTED_VALUE"""),"bird.co.uk")</f>
        <v>bird.co.uk</v>
      </c>
      <c r="D103" s="15" t="str">
        <f>IFERROR(__xludf.DUMMYFUNCTION("""COMPUTED_VALUE"""),"PRODUCT_PAGE")</f>
        <v>PRODUCT_PAGE</v>
      </c>
      <c r="E103" s="15" t="str">
        <f>IFERROR(__xludf.DUMMYFUNCTION("""COMPUTED_VALUE"""),"CORPORATE")</f>
        <v>CORPORATE</v>
      </c>
      <c r="F103" s="15" t="str">
        <f>IFERROR(__xludf.DUMMYFUNCTION("""COMPUTED_VALUE"""),"Product Page")</f>
        <v>Product Page</v>
      </c>
      <c r="G103" s="15" t="b">
        <f>IFERROR(__xludf.DUMMYFUNCTION("""COMPUTED_VALUE"""),FALSE)</f>
        <v>0</v>
      </c>
      <c r="H103" s="15" t="str">
        <f>IFERROR(__xludf.DUMMYFUNCTION("""COMPUTED_VALUE"""),"Bird Marketing")</f>
        <v>Bird Marketing</v>
      </c>
      <c r="I103" s="15">
        <f>IFERROR(__xludf.DUMMYFUNCTION("""COMPUTED_VALUE"""),1.0)</f>
        <v>1</v>
      </c>
      <c r="J103" s="15">
        <f>IFERROR(__xludf.DUMMYFUNCTION("""COMPUTED_VALUE"""),0.0)</f>
        <v>0</v>
      </c>
      <c r="K103" s="15">
        <f>IFERROR(__xludf.DUMMYFUNCTION("""COMPUTED_VALUE"""),1.0)</f>
        <v>1</v>
      </c>
    </row>
    <row r="104" ht="15.75" customHeight="1">
      <c r="A104" s="14" t="str">
        <f>IFERROR(__xludf.DUMMYFUNCTION("""COMPUTED_VALUE"""),"https://www.bluefrontier.co.uk/digital-marketing/seo")</f>
        <v>https://www.bluefrontier.co.uk/digital-marketing/seo</v>
      </c>
      <c r="B104" s="15" t="str">
        <f>IFERROR(__xludf.DUMMYFUNCTION("""COMPUTED_VALUE"""),"SEO Agency | Search Engine Optimisation Services | UK")</f>
        <v>SEO Agency | Search Engine Optimisation Services | UK</v>
      </c>
      <c r="C104" s="14" t="str">
        <f>IFERROR(__xludf.DUMMYFUNCTION("""COMPUTED_VALUE"""),"bluefrontier.co.uk")</f>
        <v>bluefrontier.co.uk</v>
      </c>
      <c r="D104" s="15" t="str">
        <f>IFERROR(__xludf.DUMMYFUNCTION("""COMPUTED_VALUE"""),"PRODUCT_PAGE")</f>
        <v>PRODUCT_PAGE</v>
      </c>
      <c r="E104" s="15" t="str">
        <f>IFERROR(__xludf.DUMMYFUNCTION("""COMPUTED_VALUE"""),"CORPORATE")</f>
        <v>CORPORATE</v>
      </c>
      <c r="F104" s="15" t="str">
        <f>IFERROR(__xludf.DUMMYFUNCTION("""COMPUTED_VALUE"""),"Product Page")</f>
        <v>Product Page</v>
      </c>
      <c r="G104" s="15" t="b">
        <f>IFERROR(__xludf.DUMMYFUNCTION("""COMPUTED_VALUE"""),FALSE)</f>
        <v>0</v>
      </c>
      <c r="H104" s="15"/>
      <c r="I104" s="15">
        <f>IFERROR(__xludf.DUMMYFUNCTION("""COMPUTED_VALUE"""),1.0)</f>
        <v>1</v>
      </c>
      <c r="J104" s="15">
        <f>IFERROR(__xludf.DUMMYFUNCTION("""COMPUTED_VALUE"""),0.0)</f>
        <v>0</v>
      </c>
      <c r="K104" s="15">
        <f>IFERROR(__xludf.DUMMYFUNCTION("""COMPUTED_VALUE"""),2.0)</f>
        <v>2</v>
      </c>
    </row>
    <row r="105" ht="15.75" customHeight="1">
      <c r="A105" s="14" t="str">
        <f>IFERROR(__xludf.DUMMYFUNCTION("""COMPUTED_VALUE"""),"https://brandnation.co.uk/paid-media-agency/")</f>
        <v>https://brandnation.co.uk/paid-media-agency/</v>
      </c>
      <c r="B105" s="15" t="str">
        <f>IFERROR(__xludf.DUMMYFUNCTION("""COMPUTED_VALUE"""),"Paid Media Agency | Brandnation London: Creativity. Multiplied.")</f>
        <v>Paid Media Agency | Brandnation London: Creativity. Multiplied.</v>
      </c>
      <c r="C105" s="14" t="str">
        <f>IFERROR(__xludf.DUMMYFUNCTION("""COMPUTED_VALUE"""),"brandnation.co.uk")</f>
        <v>brandnation.co.uk</v>
      </c>
      <c r="D105" s="15" t="str">
        <f>IFERROR(__xludf.DUMMYFUNCTION("""COMPUTED_VALUE"""),"PRODUCT_PAGE")</f>
        <v>PRODUCT_PAGE</v>
      </c>
      <c r="E105" s="15" t="str">
        <f>IFERROR(__xludf.DUMMYFUNCTION("""COMPUTED_VALUE"""),"CORPORATE")</f>
        <v>CORPORATE</v>
      </c>
      <c r="F105" s="15" t="str">
        <f>IFERROR(__xludf.DUMMYFUNCTION("""COMPUTED_VALUE"""),"Product Page")</f>
        <v>Product Page</v>
      </c>
      <c r="G105" s="15" t="b">
        <f>IFERROR(__xludf.DUMMYFUNCTION("""COMPUTED_VALUE"""),FALSE)</f>
        <v>0</v>
      </c>
      <c r="H105" s="15"/>
      <c r="I105" s="15">
        <f>IFERROR(__xludf.DUMMYFUNCTION("""COMPUTED_VALUE"""),1.0)</f>
        <v>1</v>
      </c>
      <c r="J105" s="15">
        <f>IFERROR(__xludf.DUMMYFUNCTION("""COMPUTED_VALUE"""),0.0)</f>
        <v>0</v>
      </c>
      <c r="K105" s="15">
        <f>IFERROR(__xludf.DUMMYFUNCTION("""COMPUTED_VALUE"""),0.0)</f>
        <v>0</v>
      </c>
    </row>
    <row r="106" ht="15.75" customHeight="1">
      <c r="A106" s="14" t="str">
        <f>IFERROR(__xludf.DUMMYFUNCTION("""COMPUTED_VALUE"""),"https://www.brightnetwork.co.uk/graduate-jobs/ekimetrics/data-science-marketing-effectiveness-summer-internship-london-2026")</f>
        <v>https://www.brightnetwork.co.uk/graduate-jobs/ekimetrics/data-science-marketing-effectiveness-summer-internship-london-2026</v>
      </c>
      <c r="B106" s="15" t="str">
        <f>IFERROR(__xludf.DUMMYFUNCTION("""COMPUTED_VALUE"""),"Data Science &amp;amp; Marketing Effectiveness Summer Internship 2026 - Ekimetrics | Bright Network")</f>
        <v>Data Science &amp;amp; Marketing Effectiveness Summer Internship 2026 - Ekimetrics | Bright Network</v>
      </c>
      <c r="C106" s="14" t="str">
        <f>IFERROR(__xludf.DUMMYFUNCTION("""COMPUTED_VALUE"""),"brightnetwork.co.uk")</f>
        <v>brightnetwork.co.uk</v>
      </c>
      <c r="D106" s="15" t="str">
        <f>IFERROR(__xludf.DUMMYFUNCTION("""COMPUTED_VALUE"""),"PRODUCT_PAGE")</f>
        <v>PRODUCT_PAGE</v>
      </c>
      <c r="E106" s="15" t="str">
        <f>IFERROR(__xludf.DUMMYFUNCTION("""COMPUTED_VALUE"""),"INSTITUTIONAL")</f>
        <v>INSTITUTIONAL</v>
      </c>
      <c r="F106" s="15" t="str">
        <f>IFERROR(__xludf.DUMMYFUNCTION("""COMPUTED_VALUE"""),"Product Page")</f>
        <v>Product Page</v>
      </c>
      <c r="G106" s="15" t="b">
        <f>IFERROR(__xludf.DUMMYFUNCTION("""COMPUTED_VALUE"""),FALSE)</f>
        <v>0</v>
      </c>
      <c r="H106" s="15" t="str">
        <f>IFERROR(__xludf.DUMMYFUNCTION("""COMPUTED_VALUE"""),"Ekimetrics")</f>
        <v>Ekimetrics</v>
      </c>
      <c r="I106" s="15">
        <f>IFERROR(__xludf.DUMMYFUNCTION("""COMPUTED_VALUE"""),1.0)</f>
        <v>1</v>
      </c>
      <c r="J106" s="15">
        <f>IFERROR(__xludf.DUMMYFUNCTION("""COMPUTED_VALUE"""),0.0)</f>
        <v>0</v>
      </c>
      <c r="K106" s="15">
        <f>IFERROR(__xludf.DUMMYFUNCTION("""COMPUTED_VALUE"""),0.0)</f>
        <v>0</v>
      </c>
    </row>
    <row r="107" ht="15.75" customHeight="1">
      <c r="A107" s="14" t="str">
        <f>IFERROR(__xludf.DUMMYFUNCTION("""COMPUTED_VALUE"""),"https://www.buriedagency.com/services/geo")</f>
        <v>https://www.buriedagency.com/services/geo</v>
      </c>
      <c r="B107" s="15" t="str">
        <f>IFERROR(__xludf.DUMMYFUNCTION("""COMPUTED_VALUE"""),"GEO Agency: Generative Engine Optimisation Services | BURIED")</f>
        <v>GEO Agency: Generative Engine Optimisation Services | BURIED</v>
      </c>
      <c r="C107" s="14" t="str">
        <f>IFERROR(__xludf.DUMMYFUNCTION("""COMPUTED_VALUE"""),"buriedagency.com")</f>
        <v>buriedagency.com</v>
      </c>
      <c r="D107" s="15" t="str">
        <f>IFERROR(__xludf.DUMMYFUNCTION("""COMPUTED_VALUE"""),"PRODUCT_PAGE")</f>
        <v>PRODUCT_PAGE</v>
      </c>
      <c r="E107" s="15" t="str">
        <f>IFERROR(__xludf.DUMMYFUNCTION("""COMPUTED_VALUE"""),"COMPETITOR")</f>
        <v>COMPETITOR</v>
      </c>
      <c r="F107" s="15" t="str">
        <f>IFERROR(__xludf.DUMMYFUNCTION("""COMPUTED_VALUE"""),"Product Page")</f>
        <v>Product Page</v>
      </c>
      <c r="G107" s="15" t="b">
        <f>IFERROR(__xludf.DUMMYFUNCTION("""COMPUTED_VALUE"""),FALSE)</f>
        <v>0</v>
      </c>
      <c r="H107" s="15" t="str">
        <f>IFERROR(__xludf.DUMMYFUNCTION("""COMPUTED_VALUE"""),"Buried Agency, Measured, Huge, Impression")</f>
        <v>Buried Agency, Measured, Huge, Impression</v>
      </c>
      <c r="I107" s="15">
        <f>IFERROR(__xludf.DUMMYFUNCTION("""COMPUTED_VALUE"""),1.0)</f>
        <v>1</v>
      </c>
      <c r="J107" s="15">
        <f>IFERROR(__xludf.DUMMYFUNCTION("""COMPUTED_VALUE"""),0.0)</f>
        <v>0</v>
      </c>
      <c r="K107" s="15">
        <f>IFERROR(__xludf.DUMMYFUNCTION("""COMPUTED_VALUE"""),1.0)</f>
        <v>1</v>
      </c>
    </row>
    <row r="108" ht="15.75" customHeight="1">
      <c r="A108" s="14" t="str">
        <f>IFERROR(__xludf.DUMMYFUNCTION("""COMPUTED_VALUE"""),"https://business.yell.com/features/paid-media/display/")</f>
        <v>https://business.yell.com/features/paid-media/display/</v>
      </c>
      <c r="B108" s="15" t="str">
        <f>IFERROR(__xludf.DUMMYFUNCTION("""COMPUTED_VALUE"""),"Expertly Managed Display Advertising Campaigns for Growth")</f>
        <v>Expertly Managed Display Advertising Campaigns for Growth</v>
      </c>
      <c r="C108" s="14" t="str">
        <f>IFERROR(__xludf.DUMMYFUNCTION("""COMPUTED_VALUE"""),"yell.com")</f>
        <v>yell.com</v>
      </c>
      <c r="D108" s="15" t="str">
        <f>IFERROR(__xludf.DUMMYFUNCTION("""COMPUTED_VALUE"""),"PRODUCT_PAGE")</f>
        <v>PRODUCT_PAGE</v>
      </c>
      <c r="E108" s="15" t="str">
        <f>IFERROR(__xludf.DUMMYFUNCTION("""COMPUTED_VALUE"""),"REFERENCE")</f>
        <v>REFERENCE</v>
      </c>
      <c r="F108" s="15" t="str">
        <f>IFERROR(__xludf.DUMMYFUNCTION("""COMPUTED_VALUE"""),"Product Page")</f>
        <v>Product Page</v>
      </c>
      <c r="G108" s="15" t="b">
        <f>IFERROR(__xludf.DUMMYFUNCTION("""COMPUTED_VALUE"""),FALSE)</f>
        <v>0</v>
      </c>
      <c r="H108" s="15" t="str">
        <f>IFERROR(__xludf.DUMMYFUNCTION("""COMPUTED_VALUE"""),"Impression, Found")</f>
        <v>Impression, Found</v>
      </c>
      <c r="I108" s="15">
        <f>IFERROR(__xludf.DUMMYFUNCTION("""COMPUTED_VALUE"""),1.0)</f>
        <v>1</v>
      </c>
      <c r="J108" s="15">
        <f>IFERROR(__xludf.DUMMYFUNCTION("""COMPUTED_VALUE"""),0.0)</f>
        <v>0</v>
      </c>
      <c r="K108" s="15">
        <f>IFERROR(__xludf.DUMMYFUNCTION("""COMPUTED_VALUE"""),0.0)</f>
        <v>0</v>
      </c>
    </row>
    <row r="109" ht="15.75" customHeight="1">
      <c r="A109" s="14" t="str">
        <f>IFERROR(__xludf.DUMMYFUNCTION("""COMPUTED_VALUE"""),"https://www.cigen.io/services/ai-adoption-strategy-consulting")</f>
        <v>https://www.cigen.io/services/ai-adoption-strategy-consulting</v>
      </c>
      <c r="B109" s="15" t="str">
        <f>IFERROR(__xludf.DUMMYFUNCTION("""COMPUTED_VALUE"""),"AI Strategy Consulting &amp;amp; Adoption Roadmap Services")</f>
        <v>AI Strategy Consulting &amp;amp; Adoption Roadmap Services</v>
      </c>
      <c r="C109" s="14" t="str">
        <f>IFERROR(__xludf.DUMMYFUNCTION("""COMPUTED_VALUE"""),"cigen.io")</f>
        <v>cigen.io</v>
      </c>
      <c r="D109" s="15" t="str">
        <f>IFERROR(__xludf.DUMMYFUNCTION("""COMPUTED_VALUE"""),"PRODUCT_PAGE")</f>
        <v>PRODUCT_PAGE</v>
      </c>
      <c r="E109" s="15" t="str">
        <f>IFERROR(__xludf.DUMMYFUNCTION("""COMPUTED_VALUE"""),"CORPORATE")</f>
        <v>CORPORATE</v>
      </c>
      <c r="F109" s="15" t="str">
        <f>IFERROR(__xludf.DUMMYFUNCTION("""COMPUTED_VALUE"""),"Product Page")</f>
        <v>Product Page</v>
      </c>
      <c r="G109" s="15" t="b">
        <f>IFERROR(__xludf.DUMMYFUNCTION("""COMPUTED_VALUE"""),FALSE)</f>
        <v>0</v>
      </c>
      <c r="H109" s="15"/>
      <c r="I109" s="15">
        <f>IFERROR(__xludf.DUMMYFUNCTION("""COMPUTED_VALUE"""),1.0)</f>
        <v>1</v>
      </c>
      <c r="J109" s="15">
        <f>IFERROR(__xludf.DUMMYFUNCTION("""COMPUTED_VALUE"""),0.0)</f>
        <v>0</v>
      </c>
      <c r="K109" s="15">
        <f>IFERROR(__xludf.DUMMYFUNCTION("""COMPUTED_VALUE"""),0.0)</f>
        <v>0</v>
      </c>
    </row>
    <row r="110" ht="15.75" customHeight="1">
      <c r="A110" s="14" t="str">
        <f>IFERROR(__xludf.DUMMYFUNCTION("""COMPUTED_VALUE"""),"https://clickmarketing.co.uk/answer-engine-optimisation/")</f>
        <v>https://clickmarketing.co.uk/answer-engine-optimisation/</v>
      </c>
      <c r="B110" s="15" t="str">
        <f>IFERROR(__xludf.DUMMYFUNCTION("""COMPUTED_VALUE"""),"Answer Engine Optimisation (AEO) | Click Marketing UK")</f>
        <v>Answer Engine Optimisation (AEO) | Click Marketing UK</v>
      </c>
      <c r="C110" s="14" t="str">
        <f>IFERROR(__xludf.DUMMYFUNCTION("""COMPUTED_VALUE"""),"clickmarketing.co.uk")</f>
        <v>clickmarketing.co.uk</v>
      </c>
      <c r="D110" s="15" t="str">
        <f>IFERROR(__xludf.DUMMYFUNCTION("""COMPUTED_VALUE"""),"PRODUCT_PAGE")</f>
        <v>PRODUCT_PAGE</v>
      </c>
      <c r="E110" s="15" t="str">
        <f>IFERROR(__xludf.DUMMYFUNCTION("""COMPUTED_VALUE"""),"CORPORATE")</f>
        <v>CORPORATE</v>
      </c>
      <c r="F110" s="15" t="str">
        <f>IFERROR(__xludf.DUMMYFUNCTION("""COMPUTED_VALUE"""),"Product Page")</f>
        <v>Product Page</v>
      </c>
      <c r="G110" s="15" t="b">
        <f>IFERROR(__xludf.DUMMYFUNCTION("""COMPUTED_VALUE"""),FALSE)</f>
        <v>0</v>
      </c>
      <c r="H110" s="15" t="str">
        <f>IFERROR(__xludf.DUMMYFUNCTION("""COMPUTED_VALUE"""),"Found")</f>
        <v>Found</v>
      </c>
      <c r="I110" s="15">
        <f>IFERROR(__xludf.DUMMYFUNCTION("""COMPUTED_VALUE"""),1.0)</f>
        <v>1</v>
      </c>
      <c r="J110" s="15">
        <f>IFERROR(__xludf.DUMMYFUNCTION("""COMPUTED_VALUE"""),0.0)</f>
        <v>0</v>
      </c>
      <c r="K110" s="15">
        <f>IFERROR(__xludf.DUMMYFUNCTION("""COMPUTED_VALUE"""),1.0)</f>
        <v>1</v>
      </c>
    </row>
    <row r="111" ht="15.75" customHeight="1">
      <c r="A111" s="14" t="str">
        <f>IFERROR(__xludf.DUMMYFUNCTION("""COMPUTED_VALUE"""),"https://www.clickslice.co.uk/generative-engine-optimisation-geo-services/")</f>
        <v>https://www.clickslice.co.uk/generative-engine-optimisation-geo-services/</v>
      </c>
      <c r="B111" s="15" t="str">
        <f>IFERROR(__xludf.DUMMYFUNCTION("""COMPUTED_VALUE"""),"Generative Engine Optimisation (GEO) – Dominate AI Search")</f>
        <v>Generative Engine Optimisation (GEO) – Dominate AI Search</v>
      </c>
      <c r="C111" s="14" t="str">
        <f>IFERROR(__xludf.DUMMYFUNCTION("""COMPUTED_VALUE"""),"clickslice.co.uk")</f>
        <v>clickslice.co.uk</v>
      </c>
      <c r="D111" s="15" t="str">
        <f>IFERROR(__xludf.DUMMYFUNCTION("""COMPUTED_VALUE"""),"PRODUCT_PAGE")</f>
        <v>PRODUCT_PAGE</v>
      </c>
      <c r="E111" s="15" t="str">
        <f>IFERROR(__xludf.DUMMYFUNCTION("""COMPUTED_VALUE"""),"COMPETITOR")</f>
        <v>COMPETITOR</v>
      </c>
      <c r="F111" s="15" t="str">
        <f>IFERROR(__xludf.DUMMYFUNCTION("""COMPUTED_VALUE"""),"Product Page")</f>
        <v>Product Page</v>
      </c>
      <c r="G111" s="15" t="b">
        <f>IFERROR(__xludf.DUMMYFUNCTION("""COMPUTED_VALUE"""),FALSE)</f>
        <v>0</v>
      </c>
      <c r="H111" s="15" t="str">
        <f>IFERROR(__xludf.DUMMYFUNCTION("""COMPUTED_VALUE"""),"ClickSlice")</f>
        <v>ClickSlice</v>
      </c>
      <c r="I111" s="15">
        <f>IFERROR(__xludf.DUMMYFUNCTION("""COMPUTED_VALUE"""),1.0)</f>
        <v>1</v>
      </c>
      <c r="J111" s="15">
        <f>IFERROR(__xludf.DUMMYFUNCTION("""COMPUTED_VALUE"""),0.0)</f>
        <v>0</v>
      </c>
      <c r="K111" s="15">
        <f>IFERROR(__xludf.DUMMYFUNCTION("""COMPUTED_VALUE"""),0.0)</f>
        <v>0</v>
      </c>
    </row>
    <row r="112" ht="15.75" customHeight="1">
      <c r="A112" s="14" t="str">
        <f>IFERROR(__xludf.DUMMYFUNCTION("""COMPUTED_VALUE"""),"https://www.clickslice.co.uk/local-seo-services-london/")</f>
        <v>https://www.clickslice.co.uk/local-seo-services-london/</v>
      </c>
      <c r="B112" s="15" t="str">
        <f>IFERROR(__xludf.DUMMYFUNCTION("""COMPUTED_VALUE"""),"Local SEO Services London | UK Company | ClickSlice - ClickSlice")</f>
        <v>Local SEO Services London | UK Company | ClickSlice - ClickSlice</v>
      </c>
      <c r="C112" s="14" t="str">
        <f>IFERROR(__xludf.DUMMYFUNCTION("""COMPUTED_VALUE"""),"clickslice.co.uk")</f>
        <v>clickslice.co.uk</v>
      </c>
      <c r="D112" s="15" t="str">
        <f>IFERROR(__xludf.DUMMYFUNCTION("""COMPUTED_VALUE"""),"PRODUCT_PAGE")</f>
        <v>PRODUCT_PAGE</v>
      </c>
      <c r="E112" s="15" t="str">
        <f>IFERROR(__xludf.DUMMYFUNCTION("""COMPUTED_VALUE"""),"COMPETITOR")</f>
        <v>COMPETITOR</v>
      </c>
      <c r="F112" s="15" t="str">
        <f>IFERROR(__xludf.DUMMYFUNCTION("""COMPUTED_VALUE"""),"Product Page")</f>
        <v>Product Page</v>
      </c>
      <c r="G112" s="15" t="b">
        <f>IFERROR(__xludf.DUMMYFUNCTION("""COMPUTED_VALUE"""),FALSE)</f>
        <v>0</v>
      </c>
      <c r="H112" s="15" t="str">
        <f>IFERROR(__xludf.DUMMYFUNCTION("""COMPUTED_VALUE"""),"ClickSlice, Huge")</f>
        <v>ClickSlice, Huge</v>
      </c>
      <c r="I112" s="15">
        <f>IFERROR(__xludf.DUMMYFUNCTION("""COMPUTED_VALUE"""),1.0)</f>
        <v>1</v>
      </c>
      <c r="J112" s="15">
        <f>IFERROR(__xludf.DUMMYFUNCTION("""COMPUTED_VALUE"""),0.0)</f>
        <v>0</v>
      </c>
      <c r="K112" s="15">
        <f>IFERROR(__xludf.DUMMYFUNCTION("""COMPUTED_VALUE"""),1.0)</f>
        <v>1</v>
      </c>
    </row>
    <row r="113" ht="15.75" customHeight="1">
      <c r="A113" s="14" t="str">
        <f>IFERROR(__xludf.DUMMYFUNCTION("""COMPUTED_VALUE"""),"https://connective3.com/services/paid-media/google-premier-partners/")</f>
        <v>https://connective3.com/services/paid-media/google-premier-partners/</v>
      </c>
      <c r="B113" s="15" t="str">
        <f>IFERROR(__xludf.DUMMYFUNCTION("""COMPUTED_VALUE"""),"Google Premier Partner Agency | Connective3")</f>
        <v>Google Premier Partner Agency | Connective3</v>
      </c>
      <c r="C113" s="14" t="str">
        <f>IFERROR(__xludf.DUMMYFUNCTION("""COMPUTED_VALUE"""),"connective3.com")</f>
        <v>connective3.com</v>
      </c>
      <c r="D113" s="15" t="str">
        <f>IFERROR(__xludf.DUMMYFUNCTION("""COMPUTED_VALUE"""),"PRODUCT_PAGE")</f>
        <v>PRODUCT_PAGE</v>
      </c>
      <c r="E113" s="15" t="str">
        <f>IFERROR(__xludf.DUMMYFUNCTION("""COMPUTED_VALUE"""),"CORPORATE")</f>
        <v>CORPORATE</v>
      </c>
      <c r="F113" s="15" t="str">
        <f>IFERROR(__xludf.DUMMYFUNCTION("""COMPUTED_VALUE"""),"Product Page")</f>
        <v>Product Page</v>
      </c>
      <c r="G113" s="15" t="b">
        <f>IFERROR(__xludf.DUMMYFUNCTION("""COMPUTED_VALUE"""),FALSE)</f>
        <v>0</v>
      </c>
      <c r="H113" s="15"/>
      <c r="I113" s="15">
        <f>IFERROR(__xludf.DUMMYFUNCTION("""COMPUTED_VALUE"""),1.0)</f>
        <v>1</v>
      </c>
      <c r="J113" s="15">
        <f>IFERROR(__xludf.DUMMYFUNCTION("""COMPUTED_VALUE"""),0.0)</f>
        <v>0</v>
      </c>
      <c r="K113" s="15">
        <f>IFERROR(__xludf.DUMMYFUNCTION("""COMPUTED_VALUE"""),0.0)</f>
        <v>0</v>
      </c>
    </row>
    <row r="114" ht="15.75" customHeight="1">
      <c r="A114" s="14" t="str">
        <f>IFERROR(__xludf.DUMMYFUNCTION("""COMPUTED_VALUE"""),"https://corsactech.com/cloud-migration-service-providers")</f>
        <v>https://corsactech.com/cloud-migration-service-providers</v>
      </c>
      <c r="B114" s="15" t="str">
        <f>IFERROR(__xludf.DUMMYFUNCTION("""COMPUTED_VALUE"""),"Best 22 Cloud Migration Service Providers to Watch in 2026")</f>
        <v>Best 22 Cloud Migration Service Providers to Watch in 2026</v>
      </c>
      <c r="C114" s="14" t="str">
        <f>IFERROR(__xludf.DUMMYFUNCTION("""COMPUTED_VALUE"""),"corsactech.com")</f>
        <v>corsactech.com</v>
      </c>
      <c r="D114" s="15" t="str">
        <f>IFERROR(__xludf.DUMMYFUNCTION("""COMPUTED_VALUE"""),"PRODUCT_PAGE")</f>
        <v>PRODUCT_PAGE</v>
      </c>
      <c r="E114" s="15" t="str">
        <f>IFERROR(__xludf.DUMMYFUNCTION("""COMPUTED_VALUE"""),"CORPORATE")</f>
        <v>CORPORATE</v>
      </c>
      <c r="F114" s="15" t="str">
        <f>IFERROR(__xludf.DUMMYFUNCTION("""COMPUTED_VALUE"""),"Product Page")</f>
        <v>Product Page</v>
      </c>
      <c r="G114" s="15" t="b">
        <f>IFERROR(__xludf.DUMMYFUNCTION("""COMPUTED_VALUE"""),FALSE)</f>
        <v>0</v>
      </c>
      <c r="H114" s="15"/>
      <c r="I114" s="15">
        <f>IFERROR(__xludf.DUMMYFUNCTION("""COMPUTED_VALUE"""),1.0)</f>
        <v>1</v>
      </c>
      <c r="J114" s="15">
        <f>IFERROR(__xludf.DUMMYFUNCTION("""COMPUTED_VALUE"""),0.0)</f>
        <v>0</v>
      </c>
      <c r="K114" s="15">
        <f>IFERROR(__xludf.DUMMYFUNCTION("""COMPUTED_VALUE"""),0.0)</f>
        <v>0</v>
      </c>
    </row>
    <row r="115" ht="15.75" customHeight="1">
      <c r="A115" s="14" t="str">
        <f>IFERROR(__xludf.DUMMYFUNCTION("""COMPUTED_VALUE"""),"https://croud.com/en-gb/services/audience-suite/analytics/attributiongeni/")</f>
        <v>https://croud.com/en-gb/services/audience-suite/analytics/attributiongeni/</v>
      </c>
      <c r="B115" s="15" t="str">
        <f>IFERROR(__xludf.DUMMYFUNCTION("""COMPUTED_VALUE"""),"AttributionGeni | Croud UK")</f>
        <v>AttributionGeni | Croud UK</v>
      </c>
      <c r="C115" s="14" t="str">
        <f>IFERROR(__xludf.DUMMYFUNCTION("""COMPUTED_VALUE"""),"croud.com")</f>
        <v>croud.com</v>
      </c>
      <c r="D115" s="15" t="str">
        <f>IFERROR(__xludf.DUMMYFUNCTION("""COMPUTED_VALUE"""),"PRODUCT_PAGE")</f>
        <v>PRODUCT_PAGE</v>
      </c>
      <c r="E115" s="15" t="str">
        <f>IFERROR(__xludf.DUMMYFUNCTION("""COMPUTED_VALUE"""),"COMPETITOR")</f>
        <v>COMPETITOR</v>
      </c>
      <c r="F115" s="15" t="str">
        <f>IFERROR(__xludf.DUMMYFUNCTION("""COMPUTED_VALUE"""),"Product Page")</f>
        <v>Product Page</v>
      </c>
      <c r="G115" s="15" t="b">
        <f>IFERROR(__xludf.DUMMYFUNCTION("""COMPUTED_VALUE"""),FALSE)</f>
        <v>0</v>
      </c>
      <c r="H115" s="15" t="str">
        <f>IFERROR(__xludf.DUMMYFUNCTION("""COMPUTED_VALUE"""),"Croud, Impression, Measured")</f>
        <v>Croud, Impression, Measured</v>
      </c>
      <c r="I115" s="15">
        <f>IFERROR(__xludf.DUMMYFUNCTION("""COMPUTED_VALUE"""),1.0)</f>
        <v>1</v>
      </c>
      <c r="J115" s="15">
        <f>IFERROR(__xludf.DUMMYFUNCTION("""COMPUTED_VALUE"""),0.0)</f>
        <v>0</v>
      </c>
      <c r="K115" s="15">
        <f>IFERROR(__xludf.DUMMYFUNCTION("""COMPUTED_VALUE"""),1.0)</f>
        <v>1</v>
      </c>
    </row>
    <row r="116" ht="15.75" customHeight="1">
      <c r="A116" s="14" t="str">
        <f>IFERROR(__xludf.DUMMYFUNCTION("""COMPUTED_VALUE"""),"https://www.decisionfoundry.com/marketing-measurement-analytics-services/")</f>
        <v>https://www.decisionfoundry.com/marketing-measurement-analytics-services/</v>
      </c>
      <c r="B116" s="15" t="str">
        <f>IFERROR(__xludf.DUMMYFUNCTION("""COMPUTED_VALUE"""),"Marketing Measurement Analytics Services")</f>
        <v>Marketing Measurement Analytics Services</v>
      </c>
      <c r="C116" s="14" t="str">
        <f>IFERROR(__xludf.DUMMYFUNCTION("""COMPUTED_VALUE"""),"decisionfoundry.com")</f>
        <v>decisionfoundry.com</v>
      </c>
      <c r="D116" s="15" t="str">
        <f>IFERROR(__xludf.DUMMYFUNCTION("""COMPUTED_VALUE"""),"PRODUCT_PAGE")</f>
        <v>PRODUCT_PAGE</v>
      </c>
      <c r="E116" s="15" t="str">
        <f>IFERROR(__xludf.DUMMYFUNCTION("""COMPUTED_VALUE"""),"CORPORATE")</f>
        <v>CORPORATE</v>
      </c>
      <c r="F116" s="15" t="str">
        <f>IFERROR(__xludf.DUMMYFUNCTION("""COMPUTED_VALUE"""),"Product Page")</f>
        <v>Product Page</v>
      </c>
      <c r="G116" s="15" t="b">
        <f>IFERROR(__xludf.DUMMYFUNCTION("""COMPUTED_VALUE"""),FALSE)</f>
        <v>0</v>
      </c>
      <c r="H116" s="15" t="str">
        <f>IFERROR(__xludf.DUMMYFUNCTION("""COMPUTED_VALUE"""),"Impression")</f>
        <v>Impression</v>
      </c>
      <c r="I116" s="15">
        <f>IFERROR(__xludf.DUMMYFUNCTION("""COMPUTED_VALUE"""),1.0)</f>
        <v>1</v>
      </c>
      <c r="J116" s="15">
        <f>IFERROR(__xludf.DUMMYFUNCTION("""COMPUTED_VALUE"""),0.0)</f>
        <v>0</v>
      </c>
      <c r="K116" s="15">
        <f>IFERROR(__xludf.DUMMYFUNCTION("""COMPUTED_VALUE"""),3.0)</f>
        <v>3</v>
      </c>
    </row>
    <row r="117" ht="15.75" customHeight="1">
      <c r="A117" s="14" t="str">
        <f>IFERROR(__xludf.DUMMYFUNCTION("""COMPUTED_VALUE"""),"https://ecimediamanagement.com/media-performance-consulting")</f>
        <v>https://ecimediamanagement.com/media-performance-consulting</v>
      </c>
      <c r="B117" s="15" t="str">
        <f>IFERROR(__xludf.DUMMYFUNCTION("""COMPUTED_VALUE"""),"Media performance consulting for better ROI | ECI Media Management")</f>
        <v>Media performance consulting for better ROI | ECI Media Management</v>
      </c>
      <c r="C117" s="14" t="str">
        <f>IFERROR(__xludf.DUMMYFUNCTION("""COMPUTED_VALUE"""),"ecimediamanagement.com")</f>
        <v>ecimediamanagement.com</v>
      </c>
      <c r="D117" s="15" t="str">
        <f>IFERROR(__xludf.DUMMYFUNCTION("""COMPUTED_VALUE"""),"PRODUCT_PAGE")</f>
        <v>PRODUCT_PAGE</v>
      </c>
      <c r="E117" s="15" t="str">
        <f>IFERROR(__xludf.DUMMYFUNCTION("""COMPUTED_VALUE"""),"CORPORATE")</f>
        <v>CORPORATE</v>
      </c>
      <c r="F117" s="15" t="str">
        <f>IFERROR(__xludf.DUMMYFUNCTION("""COMPUTED_VALUE"""),"Product Page")</f>
        <v>Product Page</v>
      </c>
      <c r="G117" s="15" t="b">
        <f>IFERROR(__xludf.DUMMYFUNCTION("""COMPUTED_VALUE"""),FALSE)</f>
        <v>0</v>
      </c>
      <c r="H117" s="15"/>
      <c r="I117" s="15">
        <f>IFERROR(__xludf.DUMMYFUNCTION("""COMPUTED_VALUE"""),1.0)</f>
        <v>1</v>
      </c>
      <c r="J117" s="15">
        <f>IFERROR(__xludf.DUMMYFUNCTION("""COMPUTED_VALUE"""),0.0)</f>
        <v>0</v>
      </c>
      <c r="K117" s="15">
        <f>IFERROR(__xludf.DUMMYFUNCTION("""COMPUTED_VALUE"""),3.0)</f>
        <v>3</v>
      </c>
    </row>
    <row r="118" ht="15.75" customHeight="1">
      <c r="A118" s="14" t="str">
        <f>IFERROR(__xludf.DUMMYFUNCTION("""COMPUTED_VALUE"""),"https://ecimediamanagement.com/tv-ctv-audits")</f>
        <v>https://ecimediamanagement.com/tv-ctv-audits</v>
      </c>
      <c r="B118" s="15" t="str">
        <f>IFERROR(__xludf.DUMMYFUNCTION("""COMPUTED_VALUE"""),"TV &amp;amp; CTV audit services | ECI Media Management")</f>
        <v>TV &amp;amp; CTV audit services | ECI Media Management</v>
      </c>
      <c r="C118" s="14" t="str">
        <f>IFERROR(__xludf.DUMMYFUNCTION("""COMPUTED_VALUE"""),"ecimediamanagement.com")</f>
        <v>ecimediamanagement.com</v>
      </c>
      <c r="D118" s="15" t="str">
        <f>IFERROR(__xludf.DUMMYFUNCTION("""COMPUTED_VALUE"""),"PRODUCT_PAGE")</f>
        <v>PRODUCT_PAGE</v>
      </c>
      <c r="E118" s="15" t="str">
        <f>IFERROR(__xludf.DUMMYFUNCTION("""COMPUTED_VALUE"""),"CORPORATE")</f>
        <v>CORPORATE</v>
      </c>
      <c r="F118" s="15" t="str">
        <f>IFERROR(__xludf.DUMMYFUNCTION("""COMPUTED_VALUE"""),"Product Page")</f>
        <v>Product Page</v>
      </c>
      <c r="G118" s="15" t="b">
        <f>IFERROR(__xludf.DUMMYFUNCTION("""COMPUTED_VALUE"""),FALSE)</f>
        <v>0</v>
      </c>
      <c r="H118" s="15" t="str">
        <f>IFERROR(__xludf.DUMMYFUNCTION("""COMPUTED_VALUE"""),"Measured, Impression")</f>
        <v>Measured, Impression</v>
      </c>
      <c r="I118" s="15">
        <f>IFERROR(__xludf.DUMMYFUNCTION("""COMPUTED_VALUE"""),1.0)</f>
        <v>1</v>
      </c>
      <c r="J118" s="15">
        <f>IFERROR(__xludf.DUMMYFUNCTION("""COMPUTED_VALUE"""),0.0)</f>
        <v>0</v>
      </c>
      <c r="K118" s="15">
        <f>IFERROR(__xludf.DUMMYFUNCTION("""COMPUTED_VALUE"""),0.0)</f>
        <v>0</v>
      </c>
    </row>
    <row r="119" ht="15.75" customHeight="1">
      <c r="A119" s="14" t="str">
        <f>IFERROR(__xludf.DUMMYFUNCTION("""COMPUTED_VALUE"""),"https://www.finnpartners.com/uk/service/digital-marketing/")</f>
        <v>https://www.finnpartners.com/uk/service/digital-marketing/</v>
      </c>
      <c r="B119" s="15" t="str">
        <f>IFERROR(__xludf.DUMMYFUNCTION("""COMPUTED_VALUE"""),"Digital Agency London | UK Marketing Services - FINN Partners")</f>
        <v>Digital Agency London | UK Marketing Services - FINN Partners</v>
      </c>
      <c r="C119" s="14" t="str">
        <f>IFERROR(__xludf.DUMMYFUNCTION("""COMPUTED_VALUE"""),"finnpartners.com")</f>
        <v>finnpartners.com</v>
      </c>
      <c r="D119" s="15" t="str">
        <f>IFERROR(__xludf.DUMMYFUNCTION("""COMPUTED_VALUE"""),"PRODUCT_PAGE")</f>
        <v>PRODUCT_PAGE</v>
      </c>
      <c r="E119" s="15" t="str">
        <f>IFERROR(__xludf.DUMMYFUNCTION("""COMPUTED_VALUE"""),"CORPORATE")</f>
        <v>CORPORATE</v>
      </c>
      <c r="F119" s="15" t="str">
        <f>IFERROR(__xludf.DUMMYFUNCTION("""COMPUTED_VALUE"""),"Product Page")</f>
        <v>Product Page</v>
      </c>
      <c r="G119" s="15" t="b">
        <f>IFERROR(__xludf.DUMMYFUNCTION("""COMPUTED_VALUE"""),FALSE)</f>
        <v>0</v>
      </c>
      <c r="H119" s="15" t="str">
        <f>IFERROR(__xludf.DUMMYFUNCTION("""COMPUTED_VALUE"""),"Measured")</f>
        <v>Measured</v>
      </c>
      <c r="I119" s="15">
        <f>IFERROR(__xludf.DUMMYFUNCTION("""COMPUTED_VALUE"""),1.0)</f>
        <v>1</v>
      </c>
      <c r="J119" s="15">
        <f>IFERROR(__xludf.DUMMYFUNCTION("""COMPUTED_VALUE"""),0.0)</f>
        <v>0</v>
      </c>
      <c r="K119" s="15">
        <f>IFERROR(__xludf.DUMMYFUNCTION("""COMPUTED_VALUE"""),1.0)</f>
        <v>1</v>
      </c>
    </row>
    <row r="120" ht="15.75" customHeight="1">
      <c r="A120" s="14" t="str">
        <f>IFERROR(__xludf.DUMMYFUNCTION("""COMPUTED_VALUE"""),"https://firstmotion.com/generative-engine-optimisation-agency")</f>
        <v>https://firstmotion.com/generative-engine-optimisation-agency</v>
      </c>
      <c r="B120" s="15" t="str">
        <f>IFERROR(__xludf.DUMMYFUNCTION("""COMPUTED_VALUE"""),"GEO &amp;amp; AI Search Agency for B2B SaaS | FirstMotion")</f>
        <v>GEO &amp;amp; AI Search Agency for B2B SaaS | FirstMotion</v>
      </c>
      <c r="C120" s="14" t="str">
        <f>IFERROR(__xludf.DUMMYFUNCTION("""COMPUTED_VALUE"""),"firstmotion.com")</f>
        <v>firstmotion.com</v>
      </c>
      <c r="D120" s="15" t="str">
        <f>IFERROR(__xludf.DUMMYFUNCTION("""COMPUTED_VALUE"""),"PRODUCT_PAGE")</f>
        <v>PRODUCT_PAGE</v>
      </c>
      <c r="E120" s="15" t="str">
        <f>IFERROR(__xludf.DUMMYFUNCTION("""COMPUTED_VALUE"""),"COMPETITOR")</f>
        <v>COMPETITOR</v>
      </c>
      <c r="F120" s="15" t="str">
        <f>IFERROR(__xludf.DUMMYFUNCTION("""COMPUTED_VALUE"""),"Product Page")</f>
        <v>Product Page</v>
      </c>
      <c r="G120" s="15" t="b">
        <f>IFERROR(__xludf.DUMMYFUNCTION("""COMPUTED_VALUE"""),FALSE)</f>
        <v>0</v>
      </c>
      <c r="H120" s="15" t="str">
        <f>IFERROR(__xludf.DUMMYFUNCTION("""COMPUTED_VALUE"""),"FirstMotion")</f>
        <v>FirstMotion</v>
      </c>
      <c r="I120" s="15">
        <f>IFERROR(__xludf.DUMMYFUNCTION("""COMPUTED_VALUE"""),1.0)</f>
        <v>1</v>
      </c>
      <c r="J120" s="15">
        <f>IFERROR(__xludf.DUMMYFUNCTION("""COMPUTED_VALUE"""),0.0)</f>
        <v>0</v>
      </c>
      <c r="K120" s="15">
        <f>IFERROR(__xludf.DUMMYFUNCTION("""COMPUTED_VALUE"""),0.0)</f>
        <v>0</v>
      </c>
    </row>
    <row r="121" ht="15.75" customHeight="1">
      <c r="A121" s="14" t="str">
        <f>IFERROR(__xludf.DUMMYFUNCTION("""COMPUTED_VALUE"""),"https://www.found.co.uk/services/content-marketing/")</f>
        <v>https://www.found.co.uk/services/content-marketing/</v>
      </c>
      <c r="B121" s="15" t="str">
        <f>IFERROR(__xludf.DUMMYFUNCTION("""COMPUTED_VALUE"""),"Content Marketing Agency London, UK \| Digital Content Services \| Found")</f>
        <v>Content Marketing Agency London, UK \| Digital Content Services \| Found</v>
      </c>
      <c r="C121" s="14" t="str">
        <f>IFERROR(__xludf.DUMMYFUNCTION("""COMPUTED_VALUE"""),"found.co.uk")</f>
        <v>found.co.uk</v>
      </c>
      <c r="D121" s="15" t="str">
        <f>IFERROR(__xludf.DUMMYFUNCTION("""COMPUTED_VALUE"""),"PRODUCT_PAGE")</f>
        <v>PRODUCT_PAGE</v>
      </c>
      <c r="E121" s="15" t="str">
        <f>IFERROR(__xludf.DUMMYFUNCTION("""COMPUTED_VALUE"""),"CORPORATE")</f>
        <v>CORPORATE</v>
      </c>
      <c r="F121" s="15" t="str">
        <f>IFERROR(__xludf.DUMMYFUNCTION("""COMPUTED_VALUE"""),"Product Page")</f>
        <v>Product Page</v>
      </c>
      <c r="G121" s="15" t="b">
        <f>IFERROR(__xludf.DUMMYFUNCTION("""COMPUTED_VALUE"""),FALSE)</f>
        <v>0</v>
      </c>
      <c r="H121" s="15" t="str">
        <f>IFERROR(__xludf.DUMMYFUNCTION("""COMPUTED_VALUE"""),"Found, Push")</f>
        <v>Found, Push</v>
      </c>
      <c r="I121" s="15">
        <f>IFERROR(__xludf.DUMMYFUNCTION("""COMPUTED_VALUE"""),1.0)</f>
        <v>1</v>
      </c>
      <c r="J121" s="15">
        <f>IFERROR(__xludf.DUMMYFUNCTION("""COMPUTED_VALUE"""),0.0)</f>
        <v>0</v>
      </c>
      <c r="K121" s="15">
        <f>IFERROR(__xludf.DUMMYFUNCTION("""COMPUTED_VALUE"""),1.0)</f>
        <v>1</v>
      </c>
    </row>
    <row r="122" ht="15.75" customHeight="1">
      <c r="A122" s="14" t="str">
        <f>IFERROR(__xludf.DUMMYFUNCTION("""COMPUTED_VALUE"""),"https://www.found.co.uk/services/paid-media/ppc/")</f>
        <v>https://www.found.co.uk/services/paid-media/ppc/</v>
      </c>
      <c r="B122" s="15" t="str">
        <f>IFERROR(__xludf.DUMMYFUNCTION("""COMPUTED_VALUE"""),"PPC Agency London \| Standout PPC Agency of the Year 2026 \| Found")</f>
        <v>PPC Agency London \| Standout PPC Agency of the Year 2026 \| Found</v>
      </c>
      <c r="C122" s="14" t="str">
        <f>IFERROR(__xludf.DUMMYFUNCTION("""COMPUTED_VALUE"""),"found.co.uk")</f>
        <v>found.co.uk</v>
      </c>
      <c r="D122" s="15" t="str">
        <f>IFERROR(__xludf.DUMMYFUNCTION("""COMPUTED_VALUE"""),"PRODUCT_PAGE")</f>
        <v>PRODUCT_PAGE</v>
      </c>
      <c r="E122" s="15" t="str">
        <f>IFERROR(__xludf.DUMMYFUNCTION("""COMPUTED_VALUE"""),"CORPORATE")</f>
        <v>CORPORATE</v>
      </c>
      <c r="F122" s="15" t="str">
        <f>IFERROR(__xludf.DUMMYFUNCTION("""COMPUTED_VALUE"""),"Product Page")</f>
        <v>Product Page</v>
      </c>
      <c r="G122" s="15" t="b">
        <f>IFERROR(__xludf.DUMMYFUNCTION("""COMPUTED_VALUE"""),FALSE)</f>
        <v>0</v>
      </c>
      <c r="H122" s="15" t="str">
        <f>IFERROR(__xludf.DUMMYFUNCTION("""COMPUTED_VALUE"""),"Found")</f>
        <v>Found</v>
      </c>
      <c r="I122" s="15">
        <f>IFERROR(__xludf.DUMMYFUNCTION("""COMPUTED_VALUE"""),1.0)</f>
        <v>1</v>
      </c>
      <c r="J122" s="15">
        <f>IFERROR(__xludf.DUMMYFUNCTION("""COMPUTED_VALUE"""),0.0)</f>
        <v>0</v>
      </c>
      <c r="K122" s="15">
        <f>IFERROR(__xludf.DUMMYFUNCTION("""COMPUTED_VALUE"""),0.0)</f>
        <v>0</v>
      </c>
    </row>
    <row r="123" ht="15.75" customHeight="1">
      <c r="A123" s="14" t="str">
        <f>IFERROR(__xludf.DUMMYFUNCTION("""COMPUTED_VALUE"""),"https://www.found.co.uk/services/paid-media/ppc/ppc-consultancy/")</f>
        <v>https://www.found.co.uk/services/paid-media/ppc/ppc-consultancy/</v>
      </c>
      <c r="B123" s="15" t="str">
        <f>IFERROR(__xludf.DUMMYFUNCTION("""COMPUTED_VALUE"""),"PPC Consultancy Agency \| PPC Consultancy Services UK \| Found")</f>
        <v>PPC Consultancy Agency \| PPC Consultancy Services UK \| Found</v>
      </c>
      <c r="C123" s="14" t="str">
        <f>IFERROR(__xludf.DUMMYFUNCTION("""COMPUTED_VALUE"""),"found.co.uk")</f>
        <v>found.co.uk</v>
      </c>
      <c r="D123" s="15" t="str">
        <f>IFERROR(__xludf.DUMMYFUNCTION("""COMPUTED_VALUE"""),"PRODUCT_PAGE")</f>
        <v>PRODUCT_PAGE</v>
      </c>
      <c r="E123" s="15" t="str">
        <f>IFERROR(__xludf.DUMMYFUNCTION("""COMPUTED_VALUE"""),"CORPORATE")</f>
        <v>CORPORATE</v>
      </c>
      <c r="F123" s="15" t="str">
        <f>IFERROR(__xludf.DUMMYFUNCTION("""COMPUTED_VALUE"""),"Product Page")</f>
        <v>Product Page</v>
      </c>
      <c r="G123" s="15" t="b">
        <f>IFERROR(__xludf.DUMMYFUNCTION("""COMPUTED_VALUE"""),FALSE)</f>
        <v>0</v>
      </c>
      <c r="H123" s="15" t="str">
        <f>IFERROR(__xludf.DUMMYFUNCTION("""COMPUTED_VALUE"""),"Found")</f>
        <v>Found</v>
      </c>
      <c r="I123" s="15">
        <f>IFERROR(__xludf.DUMMYFUNCTION("""COMPUTED_VALUE"""),1.0)</f>
        <v>1</v>
      </c>
      <c r="J123" s="15">
        <f>IFERROR(__xludf.DUMMYFUNCTION("""COMPUTED_VALUE"""),0.0)</f>
        <v>0</v>
      </c>
      <c r="K123" s="15">
        <f>IFERROR(__xludf.DUMMYFUNCTION("""COMPUTED_VALUE"""),2.0)</f>
        <v>2</v>
      </c>
    </row>
    <row r="124" ht="15.75" customHeight="1">
      <c r="A124" s="14" t="str">
        <f>IFERROR(__xludf.DUMMYFUNCTION("""COMPUTED_VALUE"""),"https://foundersworkshop.com/feeds/service/ai-adoption-readiness-consulting-enterprises")</f>
        <v>https://foundersworkshop.com/feeds/service/ai-adoption-readiness-consulting-enterprises</v>
      </c>
      <c r="B124" s="15" t="str">
        <f>IFERROR(__xludf.DUMMYFUNCTION("""COMPUTED_VALUE"""),"AI Adoption &amp;amp; Readiness Consulting for Enterprises – Since 2008")</f>
        <v>AI Adoption &amp;amp; Readiness Consulting for Enterprises – Since 2008</v>
      </c>
      <c r="C124" s="14" t="str">
        <f>IFERROR(__xludf.DUMMYFUNCTION("""COMPUTED_VALUE"""),"foundersworkshop.com")</f>
        <v>foundersworkshop.com</v>
      </c>
      <c r="D124" s="15" t="str">
        <f>IFERROR(__xludf.DUMMYFUNCTION("""COMPUTED_VALUE"""),"PRODUCT_PAGE")</f>
        <v>PRODUCT_PAGE</v>
      </c>
      <c r="E124" s="15" t="str">
        <f>IFERROR(__xludf.DUMMYFUNCTION("""COMPUTED_VALUE"""),"CORPORATE")</f>
        <v>CORPORATE</v>
      </c>
      <c r="F124" s="15" t="str">
        <f>IFERROR(__xludf.DUMMYFUNCTION("""COMPUTED_VALUE"""),"Product Page")</f>
        <v>Product Page</v>
      </c>
      <c r="G124" s="15" t="b">
        <f>IFERROR(__xludf.DUMMYFUNCTION("""COMPUTED_VALUE"""),FALSE)</f>
        <v>0</v>
      </c>
      <c r="H124" s="15"/>
      <c r="I124" s="15">
        <f>IFERROR(__xludf.DUMMYFUNCTION("""COMPUTED_VALUE"""),1.0)</f>
        <v>1</v>
      </c>
      <c r="J124" s="15">
        <f>IFERROR(__xludf.DUMMYFUNCTION("""COMPUTED_VALUE"""),0.0)</f>
        <v>0</v>
      </c>
      <c r="K124" s="15">
        <f>IFERROR(__xludf.DUMMYFUNCTION("""COMPUTED_VALUE"""),0.0)</f>
        <v>0</v>
      </c>
    </row>
    <row r="125" ht="15.75" customHeight="1">
      <c r="A125" s="14" t="str">
        <f>IFERROR(__xludf.DUMMYFUNCTION("""COMPUTED_VALUE"""),"https://www.gambitagency.co.uk/services/paid-search-agency")</f>
        <v>https://www.gambitagency.co.uk/services/paid-search-agency</v>
      </c>
      <c r="B125" s="15" t="str">
        <f>IFERROR(__xludf.DUMMYFUNCTION("""COMPUTED_VALUE"""),"UK Paid Search Agency Experts - Gambit Agency")</f>
        <v>UK Paid Search Agency Experts - Gambit Agency</v>
      </c>
      <c r="C125" s="14" t="str">
        <f>IFERROR(__xludf.DUMMYFUNCTION("""COMPUTED_VALUE"""),"gambitagency.co.uk")</f>
        <v>gambitagency.co.uk</v>
      </c>
      <c r="D125" s="15" t="str">
        <f>IFERROR(__xludf.DUMMYFUNCTION("""COMPUTED_VALUE"""),"PRODUCT_PAGE")</f>
        <v>PRODUCT_PAGE</v>
      </c>
      <c r="E125" s="15" t="str">
        <f>IFERROR(__xludf.DUMMYFUNCTION("""COMPUTED_VALUE"""),"CORPORATE")</f>
        <v>CORPORATE</v>
      </c>
      <c r="F125" s="15" t="str">
        <f>IFERROR(__xludf.DUMMYFUNCTION("""COMPUTED_VALUE"""),"Product Page")</f>
        <v>Product Page</v>
      </c>
      <c r="G125" s="15" t="b">
        <f>IFERROR(__xludf.DUMMYFUNCTION("""COMPUTED_VALUE"""),FALSE)</f>
        <v>0</v>
      </c>
      <c r="H125" s="15"/>
      <c r="I125" s="15">
        <f>IFERROR(__xludf.DUMMYFUNCTION("""COMPUTED_VALUE"""),1.0)</f>
        <v>1</v>
      </c>
      <c r="J125" s="15">
        <f>IFERROR(__xludf.DUMMYFUNCTION("""COMPUTED_VALUE"""),0.0)</f>
        <v>0</v>
      </c>
      <c r="K125" s="15">
        <f>IFERROR(__xludf.DUMMYFUNCTION("""COMPUTED_VALUE"""),1.0)</f>
        <v>1</v>
      </c>
    </row>
    <row r="126" ht="15.75" customHeight="1">
      <c r="A126" s="14" t="str">
        <f>IFERROR(__xludf.DUMMYFUNCTION("""COMPUTED_VALUE"""),"https://get-found.co.uk/services/aeo-agency")</f>
        <v>https://get-found.co.uk/services/aeo-agency</v>
      </c>
      <c r="B126" s="15" t="str">
        <f>IFERROR(__xludf.DUMMYFUNCTION("""COMPUTED_VALUE"""),"AEO Agency UK | Answer Engine Optimisation | Get-Found")</f>
        <v>AEO Agency UK | Answer Engine Optimisation | Get-Found</v>
      </c>
      <c r="C126" s="14" t="str">
        <f>IFERROR(__xludf.DUMMYFUNCTION("""COMPUTED_VALUE"""),"get-found.co.uk")</f>
        <v>get-found.co.uk</v>
      </c>
      <c r="D126" s="15" t="str">
        <f>IFERROR(__xludf.DUMMYFUNCTION("""COMPUTED_VALUE"""),"PRODUCT_PAGE")</f>
        <v>PRODUCT_PAGE</v>
      </c>
      <c r="E126" s="15" t="str">
        <f>IFERROR(__xludf.DUMMYFUNCTION("""COMPUTED_VALUE"""),"CORPORATE")</f>
        <v>CORPORATE</v>
      </c>
      <c r="F126" s="15" t="str">
        <f>IFERROR(__xludf.DUMMYFUNCTION("""COMPUTED_VALUE"""),"Product Page")</f>
        <v>Product Page</v>
      </c>
      <c r="G126" s="15" t="b">
        <f>IFERROR(__xludf.DUMMYFUNCTION("""COMPUTED_VALUE"""),FALSE)</f>
        <v>0</v>
      </c>
      <c r="H126" s="15" t="str">
        <f>IFERROR(__xludf.DUMMYFUNCTION("""COMPUTED_VALUE"""),"Found")</f>
        <v>Found</v>
      </c>
      <c r="I126" s="15">
        <f>IFERROR(__xludf.DUMMYFUNCTION("""COMPUTED_VALUE"""),1.0)</f>
        <v>1</v>
      </c>
      <c r="J126" s="15">
        <f>IFERROR(__xludf.DUMMYFUNCTION("""COMPUTED_VALUE"""),0.0)</f>
        <v>0</v>
      </c>
      <c r="K126" s="15">
        <f>IFERROR(__xludf.DUMMYFUNCTION("""COMPUTED_VALUE"""),1.0)</f>
        <v>1</v>
      </c>
    </row>
    <row r="127" ht="15.75" customHeight="1">
      <c r="A127" s="14" t="str">
        <f>IFERROR(__xludf.DUMMYFUNCTION("""COMPUTED_VALUE"""),"https://growthcurve.co/agency/digital-marketing-agency/best-growth-marketing-agencies#:~:text=Growthcurve%20gives%20you%20a%20complete,more%20shipped%20and%20fewer%20handoffs.")</f>
        <v>https://growthcurve.co/agency/digital-marketing-agency/best-growth-marketing-agencies#:~:text=Growthcurve%20gives%20you%20a%20complete,more%20shipped%20and%20fewer%20handoffs.</v>
      </c>
      <c r="B127" s="15" t="str">
        <f>IFERROR(__xludf.DUMMYFUNCTION("""COMPUTED_VALUE"""),"Best Growth Marketing Agencies | Growthcurve")</f>
        <v>Best Growth Marketing Agencies | Growthcurve</v>
      </c>
      <c r="C127" s="14" t="str">
        <f>IFERROR(__xludf.DUMMYFUNCTION("""COMPUTED_VALUE"""),"growthcurve.co")</f>
        <v>growthcurve.co</v>
      </c>
      <c r="D127" s="15" t="str">
        <f>IFERROR(__xludf.DUMMYFUNCTION("""COMPUTED_VALUE"""),"PRODUCT_PAGE")</f>
        <v>PRODUCT_PAGE</v>
      </c>
      <c r="E127" s="15" t="str">
        <f>IFERROR(__xludf.DUMMYFUNCTION("""COMPUTED_VALUE"""),"CORPORATE")</f>
        <v>CORPORATE</v>
      </c>
      <c r="F127" s="15" t="str">
        <f>IFERROR(__xludf.DUMMYFUNCTION("""COMPUTED_VALUE"""),"Product Page")</f>
        <v>Product Page</v>
      </c>
      <c r="G127" s="15" t="b">
        <f>IFERROR(__xludf.DUMMYFUNCTION("""COMPUTED_VALUE"""),FALSE)</f>
        <v>0</v>
      </c>
      <c r="H127" s="15" t="str">
        <f>IFERROR(__xludf.DUMMYFUNCTION("""COMPUTED_VALUE"""),"Found, Push")</f>
        <v>Found, Push</v>
      </c>
      <c r="I127" s="15">
        <f>IFERROR(__xludf.DUMMYFUNCTION("""COMPUTED_VALUE"""),1.0)</f>
        <v>1</v>
      </c>
      <c r="J127" s="15">
        <f>IFERROR(__xludf.DUMMYFUNCTION("""COMPUTED_VALUE"""),0.0)</f>
        <v>0</v>
      </c>
      <c r="K127" s="15">
        <f>IFERROR(__xludf.DUMMYFUNCTION("""COMPUTED_VALUE"""),1.0)</f>
        <v>1</v>
      </c>
    </row>
    <row r="128" ht="15.75" customHeight="1">
      <c r="A128" s="14" t="str">
        <f>IFERROR(__xludf.DUMMYFUNCTION("""COMPUTED_VALUE"""),"https://hallam.agency/analytics/")</f>
        <v>https://hallam.agency/analytics/</v>
      </c>
      <c r="B128" s="15" t="str">
        <f>IFERROR(__xludf.DUMMYFUNCTION("""COMPUTED_VALUE"""),"Web Analytics Agency | B2B Marketing Analytics | Hallam")</f>
        <v>Web Analytics Agency | B2B Marketing Analytics | Hallam</v>
      </c>
      <c r="C128" s="15" t="str">
        <f>IFERROR(__xludf.DUMMYFUNCTION("""COMPUTED_VALUE"""),"hallam.agency")</f>
        <v>hallam.agency</v>
      </c>
      <c r="D128" s="15" t="str">
        <f>IFERROR(__xludf.DUMMYFUNCTION("""COMPUTED_VALUE"""),"PRODUCT_PAGE")</f>
        <v>PRODUCT_PAGE</v>
      </c>
      <c r="E128" s="15" t="str">
        <f>IFERROR(__xludf.DUMMYFUNCTION("""COMPUTED_VALUE"""),"COMPETITOR")</f>
        <v>COMPETITOR</v>
      </c>
      <c r="F128" s="15" t="str">
        <f>IFERROR(__xludf.DUMMYFUNCTION("""COMPUTED_VALUE"""),"Product Page")</f>
        <v>Product Page</v>
      </c>
      <c r="G128" s="15" t="b">
        <f>IFERROR(__xludf.DUMMYFUNCTION("""COMPUTED_VALUE"""),FALSE)</f>
        <v>0</v>
      </c>
      <c r="H128" s="15" t="str">
        <f>IFERROR(__xludf.DUMMYFUNCTION("""COMPUTED_VALUE"""),"Hallam, Momentum, Measured")</f>
        <v>Hallam, Momentum, Measured</v>
      </c>
      <c r="I128" s="15">
        <f>IFERROR(__xludf.DUMMYFUNCTION("""COMPUTED_VALUE"""),1.0)</f>
        <v>1</v>
      </c>
      <c r="J128" s="15">
        <f>IFERROR(__xludf.DUMMYFUNCTION("""COMPUTED_VALUE"""),0.0)</f>
        <v>0</v>
      </c>
      <c r="K128" s="15">
        <f>IFERROR(__xludf.DUMMYFUNCTION("""COMPUTED_VALUE"""),1.0)</f>
        <v>1</v>
      </c>
    </row>
    <row r="129" ht="15.75" customHeight="1">
      <c r="A129" s="14" t="str">
        <f>IFERROR(__xludf.DUMMYFUNCTION("""COMPUTED_VALUE"""),"https://hallam.agency/media-planning/")</f>
        <v>https://hallam.agency/media-planning/</v>
      </c>
      <c r="B129" s="15" t="str">
        <f>IFERROR(__xludf.DUMMYFUNCTION("""COMPUTED_VALUE"""),"Media Planning Agency | Media Planning for B2B | Hallam")</f>
        <v>Media Planning Agency | Media Planning for B2B | Hallam</v>
      </c>
      <c r="C129" s="15" t="str">
        <f>IFERROR(__xludf.DUMMYFUNCTION("""COMPUTED_VALUE"""),"hallam.agency")</f>
        <v>hallam.agency</v>
      </c>
      <c r="D129" s="15" t="str">
        <f>IFERROR(__xludf.DUMMYFUNCTION("""COMPUTED_VALUE"""),"PRODUCT_PAGE")</f>
        <v>PRODUCT_PAGE</v>
      </c>
      <c r="E129" s="15" t="str">
        <f>IFERROR(__xludf.DUMMYFUNCTION("""COMPUTED_VALUE"""),"COMPETITOR")</f>
        <v>COMPETITOR</v>
      </c>
      <c r="F129" s="15" t="str">
        <f>IFERROR(__xludf.DUMMYFUNCTION("""COMPUTED_VALUE"""),"Product Page")</f>
        <v>Product Page</v>
      </c>
      <c r="G129" s="15" t="b">
        <f>IFERROR(__xludf.DUMMYFUNCTION("""COMPUTED_VALUE"""),FALSE)</f>
        <v>0</v>
      </c>
      <c r="H129" s="15" t="str">
        <f>IFERROR(__xludf.DUMMYFUNCTION("""COMPUTED_VALUE"""),"Hallam")</f>
        <v>Hallam</v>
      </c>
      <c r="I129" s="15">
        <f>IFERROR(__xludf.DUMMYFUNCTION("""COMPUTED_VALUE"""),1.0)</f>
        <v>1</v>
      </c>
      <c r="J129" s="15">
        <f>IFERROR(__xludf.DUMMYFUNCTION("""COMPUTED_VALUE"""),0.0)</f>
        <v>0</v>
      </c>
      <c r="K129" s="15">
        <f>IFERROR(__xludf.DUMMYFUNCTION("""COMPUTED_VALUE"""),0.0)</f>
        <v>0</v>
      </c>
    </row>
    <row r="130" ht="15.75" customHeight="1">
      <c r="A130" s="14" t="str">
        <f>IFERROR(__xludf.DUMMYFUNCTION("""COMPUTED_VALUE"""),"https://www.havasmarket.co.uk/paid-search/")</f>
        <v>https://www.havasmarket.co.uk/paid-search/</v>
      </c>
      <c r="B130" s="15" t="str">
        <f>IFERROR(__xludf.DUMMYFUNCTION("""COMPUTED_VALUE"""),"PPC &amp;amp; Paid Search Agency | Havas Market")</f>
        <v>PPC &amp;amp; Paid Search Agency | Havas Market</v>
      </c>
      <c r="C130" s="14" t="str">
        <f>IFERROR(__xludf.DUMMYFUNCTION("""COMPUTED_VALUE"""),"havasmarket.co.uk")</f>
        <v>havasmarket.co.uk</v>
      </c>
      <c r="D130" s="15" t="str">
        <f>IFERROR(__xludf.DUMMYFUNCTION("""COMPUTED_VALUE"""),"PRODUCT_PAGE")</f>
        <v>PRODUCT_PAGE</v>
      </c>
      <c r="E130" s="15" t="str">
        <f>IFERROR(__xludf.DUMMYFUNCTION("""COMPUTED_VALUE"""),"COMPETITOR")</f>
        <v>COMPETITOR</v>
      </c>
      <c r="F130" s="15" t="str">
        <f>IFERROR(__xludf.DUMMYFUNCTION("""COMPUTED_VALUE"""),"Product Page")</f>
        <v>Product Page</v>
      </c>
      <c r="G130" s="15" t="b">
        <f>IFERROR(__xludf.DUMMYFUNCTION("""COMPUTED_VALUE"""),FALSE)</f>
        <v>0</v>
      </c>
      <c r="H130" s="15" t="str">
        <f>IFERROR(__xludf.DUMMYFUNCTION("""COMPUTED_VALUE"""),"Havas Market UK")</f>
        <v>Havas Market UK</v>
      </c>
      <c r="I130" s="15">
        <f>IFERROR(__xludf.DUMMYFUNCTION("""COMPUTED_VALUE"""),1.0)</f>
        <v>1</v>
      </c>
      <c r="J130" s="15">
        <f>IFERROR(__xludf.DUMMYFUNCTION("""COMPUTED_VALUE"""),0.0)</f>
        <v>0</v>
      </c>
      <c r="K130" s="15">
        <f>IFERROR(__xludf.DUMMYFUNCTION("""COMPUTED_VALUE"""),0.0)</f>
        <v>0</v>
      </c>
    </row>
    <row r="131" ht="15.75" customHeight="1">
      <c r="A131" s="14" t="str">
        <f>IFERROR(__xludf.DUMMYFUNCTION("""COMPUTED_VALUE"""),"https://ink-digital.co.uk/services/paid-media/paid-social/")</f>
        <v>https://ink-digital.co.uk/services/paid-media/paid-social/</v>
      </c>
      <c r="B131" s="15" t="str">
        <f>IFERROR(__xludf.DUMMYFUNCTION("""COMPUTED_VALUE"""),"Paid Social Agency &amp;amp; Management Services | Ink Digital")</f>
        <v>Paid Social Agency &amp;amp; Management Services | Ink Digital</v>
      </c>
      <c r="C131" s="14" t="str">
        <f>IFERROR(__xludf.DUMMYFUNCTION("""COMPUTED_VALUE"""),"ink-digital.co.uk")</f>
        <v>ink-digital.co.uk</v>
      </c>
      <c r="D131" s="15" t="str">
        <f>IFERROR(__xludf.DUMMYFUNCTION("""COMPUTED_VALUE"""),"PRODUCT_PAGE")</f>
        <v>PRODUCT_PAGE</v>
      </c>
      <c r="E131" s="15" t="str">
        <f>IFERROR(__xludf.DUMMYFUNCTION("""COMPUTED_VALUE"""),"CORPORATE")</f>
        <v>CORPORATE</v>
      </c>
      <c r="F131" s="15" t="str">
        <f>IFERROR(__xludf.DUMMYFUNCTION("""COMPUTED_VALUE"""),"Product Page")</f>
        <v>Product Page</v>
      </c>
      <c r="G131" s="15" t="b">
        <f>IFERROR(__xludf.DUMMYFUNCTION("""COMPUTED_VALUE"""),FALSE)</f>
        <v>0</v>
      </c>
      <c r="H131" s="15" t="str">
        <f>IFERROR(__xludf.DUMMYFUNCTION("""COMPUTED_VALUE"""),"Momentum")</f>
        <v>Momentum</v>
      </c>
      <c r="I131" s="15">
        <f>IFERROR(__xludf.DUMMYFUNCTION("""COMPUTED_VALUE"""),1.0)</f>
        <v>1</v>
      </c>
      <c r="J131" s="15">
        <f>IFERROR(__xludf.DUMMYFUNCTION("""COMPUTED_VALUE"""),0.0)</f>
        <v>0</v>
      </c>
      <c r="K131" s="15">
        <f>IFERROR(__xludf.DUMMYFUNCTION("""COMPUTED_VALUE"""),0.0)</f>
        <v>0</v>
      </c>
    </row>
    <row r="132" ht="15.75" customHeight="1">
      <c r="A132" s="14" t="str">
        <f>IFERROR(__xludf.DUMMYFUNCTION("""COMPUTED_VALUE"""),"https://www.iprospect.com/en-gb/services/paid-social-services")</f>
        <v>https://www.iprospect.com/en-gb/services/paid-social-services</v>
      </c>
      <c r="B132" s="15" t="str">
        <f>IFERROR(__xludf.DUMMYFUNCTION("""COMPUTED_VALUE"""),"Paid Social Media | Paid Social Media Agency | iProspect")</f>
        <v>Paid Social Media | Paid Social Media Agency | iProspect</v>
      </c>
      <c r="C132" s="14" t="str">
        <f>IFERROR(__xludf.DUMMYFUNCTION("""COMPUTED_VALUE"""),"iprospect.com")</f>
        <v>iprospect.com</v>
      </c>
      <c r="D132" s="15" t="str">
        <f>IFERROR(__xludf.DUMMYFUNCTION("""COMPUTED_VALUE"""),"PRODUCT_PAGE")</f>
        <v>PRODUCT_PAGE</v>
      </c>
      <c r="E132" s="15" t="str">
        <f>IFERROR(__xludf.DUMMYFUNCTION("""COMPUTED_VALUE"""),"CORPORATE")</f>
        <v>CORPORATE</v>
      </c>
      <c r="F132" s="15" t="str">
        <f>IFERROR(__xludf.DUMMYFUNCTION("""COMPUTED_VALUE"""),"Product Page")</f>
        <v>Product Page</v>
      </c>
      <c r="G132" s="15" t="b">
        <f>IFERROR(__xludf.DUMMYFUNCTION("""COMPUTED_VALUE"""),FALSE)</f>
        <v>0</v>
      </c>
      <c r="H132" s="15" t="str">
        <f>IFERROR(__xludf.DUMMYFUNCTION("""COMPUTED_VALUE"""),"Dentsu")</f>
        <v>Dentsu</v>
      </c>
      <c r="I132" s="15">
        <f>IFERROR(__xludf.DUMMYFUNCTION("""COMPUTED_VALUE"""),1.0)</f>
        <v>1</v>
      </c>
      <c r="J132" s="15">
        <f>IFERROR(__xludf.DUMMYFUNCTION("""COMPUTED_VALUE"""),0.0)</f>
        <v>0</v>
      </c>
      <c r="K132" s="15">
        <f>IFERROR(__xludf.DUMMYFUNCTION("""COMPUTED_VALUE"""),0.0)</f>
        <v>0</v>
      </c>
    </row>
    <row r="133" ht="15.75" customHeight="1">
      <c r="A133" s="14" t="str">
        <f>IFERROR(__xludf.DUMMYFUNCTION("""COMPUTED_VALUE"""),"https://www.kiwop.com/en/marketing-attribution")</f>
        <v>https://www.kiwop.com/en/marketing-attribution</v>
      </c>
      <c r="B133" s="15" t="str">
        <f>IFERROR(__xludf.DUMMYFUNCTION("""COMPUTED_VALUE"""),"Marketing Attribution &amp;amp; MMM | Measure True ROI | Kiwop")</f>
        <v>Marketing Attribution &amp;amp; MMM | Measure True ROI | Kiwop</v>
      </c>
      <c r="C133" s="14" t="str">
        <f>IFERROR(__xludf.DUMMYFUNCTION("""COMPUTED_VALUE"""),"kiwop.com")</f>
        <v>kiwop.com</v>
      </c>
      <c r="D133" s="15" t="str">
        <f>IFERROR(__xludf.DUMMYFUNCTION("""COMPUTED_VALUE"""),"PRODUCT_PAGE")</f>
        <v>PRODUCT_PAGE</v>
      </c>
      <c r="E133" s="15" t="str">
        <f>IFERROR(__xludf.DUMMYFUNCTION("""COMPUTED_VALUE"""),"CORPORATE")</f>
        <v>CORPORATE</v>
      </c>
      <c r="F133" s="15" t="str">
        <f>IFERROR(__xludf.DUMMYFUNCTION("""COMPUTED_VALUE"""),"Product Page")</f>
        <v>Product Page</v>
      </c>
      <c r="G133" s="15" t="b">
        <f>IFERROR(__xludf.DUMMYFUNCTION("""COMPUTED_VALUE"""),FALSE)</f>
        <v>0</v>
      </c>
      <c r="H133" s="15" t="str">
        <f>IFERROR(__xludf.DUMMYFUNCTION("""COMPUTED_VALUE"""),"Rockerbox, Northbeam, Measured")</f>
        <v>Rockerbox, Northbeam, Measured</v>
      </c>
      <c r="I133" s="15">
        <f>IFERROR(__xludf.DUMMYFUNCTION("""COMPUTED_VALUE"""),1.0)</f>
        <v>1</v>
      </c>
      <c r="J133" s="15">
        <f>IFERROR(__xludf.DUMMYFUNCTION("""COMPUTED_VALUE"""),0.0)</f>
        <v>0</v>
      </c>
      <c r="K133" s="15">
        <f>IFERROR(__xludf.DUMMYFUNCTION("""COMPUTED_VALUE"""),0.0)</f>
        <v>0</v>
      </c>
    </row>
    <row r="134" ht="15.75" customHeight="1">
      <c r="A134" s="14" t="str">
        <f>IFERROR(__xludf.DUMMYFUNCTION("""COMPUTED_VALUE"""),"https://localiq.co.uk/digital-marketing-services/seo/ai-search")</f>
        <v>https://localiq.co.uk/digital-marketing-services/seo/ai-search</v>
      </c>
      <c r="B134" s="15" t="str">
        <f>IFERROR(__xludf.DUMMYFUNCTION("""COMPUTED_VALUE"""),"Boost your visibility across traditional and AI-driven search with SEO services from LOCALiQ.")</f>
        <v>Boost your visibility across traditional and AI-driven search with SEO services from LOCALiQ.</v>
      </c>
      <c r="C134" s="14" t="str">
        <f>IFERROR(__xludf.DUMMYFUNCTION("""COMPUTED_VALUE"""),"localiq.co.uk")</f>
        <v>localiq.co.uk</v>
      </c>
      <c r="D134" s="15" t="str">
        <f>IFERROR(__xludf.DUMMYFUNCTION("""COMPUTED_VALUE"""),"PRODUCT_PAGE")</f>
        <v>PRODUCT_PAGE</v>
      </c>
      <c r="E134" s="15" t="str">
        <f>IFERROR(__xludf.DUMMYFUNCTION("""COMPUTED_VALUE"""),"CORPORATE")</f>
        <v>CORPORATE</v>
      </c>
      <c r="F134" s="15" t="str">
        <f>IFERROR(__xludf.DUMMYFUNCTION("""COMPUTED_VALUE"""),"Product Page")</f>
        <v>Product Page</v>
      </c>
      <c r="G134" s="15" t="b">
        <f>IFERROR(__xludf.DUMMYFUNCTION("""COMPUTED_VALUE"""),FALSE)</f>
        <v>0</v>
      </c>
      <c r="H134" s="15" t="str">
        <f>IFERROR(__xludf.DUMMYFUNCTION("""COMPUTED_VALUE"""),"LOCALiQ, Huge, Measured")</f>
        <v>LOCALiQ, Huge, Measured</v>
      </c>
      <c r="I134" s="15">
        <f>IFERROR(__xludf.DUMMYFUNCTION("""COMPUTED_VALUE"""),1.0)</f>
        <v>1</v>
      </c>
      <c r="J134" s="15">
        <f>IFERROR(__xludf.DUMMYFUNCTION("""COMPUTED_VALUE"""),0.0)</f>
        <v>0</v>
      </c>
      <c r="K134" s="15">
        <f>IFERROR(__xludf.DUMMYFUNCTION("""COMPUTED_VALUE"""),0.0)</f>
        <v>0</v>
      </c>
    </row>
    <row r="135" ht="15.75" customHeight="1">
      <c r="A135" s="14" t="str">
        <f>IFERROR(__xludf.DUMMYFUNCTION("""COMPUTED_VALUE"""),"https://www.loomdigital.co.uk/paid-search-ppc/google-ads/")</f>
        <v>https://www.loomdigital.co.uk/paid-search-ppc/google-ads/</v>
      </c>
      <c r="B135" s="15" t="str">
        <f>IFERROR(__xludf.DUMMYFUNCTION("""COMPUTED_VALUE"""),"Google Ads Management | Google Partner | Loom")</f>
        <v>Google Ads Management | Google Partner | Loom</v>
      </c>
      <c r="C135" s="14" t="str">
        <f>IFERROR(__xludf.DUMMYFUNCTION("""COMPUTED_VALUE"""),"loomdigital.co.uk")</f>
        <v>loomdigital.co.uk</v>
      </c>
      <c r="D135" s="15" t="str">
        <f>IFERROR(__xludf.DUMMYFUNCTION("""COMPUTED_VALUE"""),"PRODUCT_PAGE")</f>
        <v>PRODUCT_PAGE</v>
      </c>
      <c r="E135" s="15" t="str">
        <f>IFERROR(__xludf.DUMMYFUNCTION("""COMPUTED_VALUE"""),"CORPORATE")</f>
        <v>CORPORATE</v>
      </c>
      <c r="F135" s="15" t="str">
        <f>IFERROR(__xludf.DUMMYFUNCTION("""COMPUTED_VALUE"""),"Product Page")</f>
        <v>Product Page</v>
      </c>
      <c r="G135" s="15" t="b">
        <f>IFERROR(__xludf.DUMMYFUNCTION("""COMPUTED_VALUE"""),FALSE)</f>
        <v>0</v>
      </c>
      <c r="H135" s="15"/>
      <c r="I135" s="15">
        <f>IFERROR(__xludf.DUMMYFUNCTION("""COMPUTED_VALUE"""),1.0)</f>
        <v>1</v>
      </c>
      <c r="J135" s="15">
        <f>IFERROR(__xludf.DUMMYFUNCTION("""COMPUTED_VALUE"""),0.0)</f>
        <v>0</v>
      </c>
      <c r="K135" s="15">
        <f>IFERROR(__xludf.DUMMYFUNCTION("""COMPUTED_VALUE"""),0.0)</f>
        <v>0</v>
      </c>
    </row>
    <row r="136" ht="15.75" customHeight="1">
      <c r="A136" s="14" t="str">
        <f>IFERROR(__xludf.DUMMYFUNCTION("""COMPUTED_VALUE"""),"https://www.lynchpin.com/services/digital-analytics/adobe-analytics-and-target-support/")</f>
        <v>https://www.lynchpin.com/services/digital-analytics/adobe-analytics-and-target-support/</v>
      </c>
      <c r="B136" s="15" t="str">
        <f>IFERROR(__xludf.DUMMYFUNCTION("""COMPUTED_VALUE"""),"Adobe Analytics Consulting - Lynchpin - Independent analytics consultancy")</f>
        <v>Adobe Analytics Consulting - Lynchpin - Independent analytics consultancy</v>
      </c>
      <c r="C136" s="14" t="str">
        <f>IFERROR(__xludf.DUMMYFUNCTION("""COMPUTED_VALUE"""),"lynchpin.com")</f>
        <v>lynchpin.com</v>
      </c>
      <c r="D136" s="15" t="str">
        <f>IFERROR(__xludf.DUMMYFUNCTION("""COMPUTED_VALUE"""),"PRODUCT_PAGE")</f>
        <v>PRODUCT_PAGE</v>
      </c>
      <c r="E136" s="15" t="str">
        <f>IFERROR(__xludf.DUMMYFUNCTION("""COMPUTED_VALUE"""),"CORPORATE")</f>
        <v>CORPORATE</v>
      </c>
      <c r="F136" s="15" t="str">
        <f>IFERROR(__xludf.DUMMYFUNCTION("""COMPUTED_VALUE"""),"Product Page")</f>
        <v>Product Page</v>
      </c>
      <c r="G136" s="15" t="b">
        <f>IFERROR(__xludf.DUMMYFUNCTION("""COMPUTED_VALUE"""),FALSE)</f>
        <v>0</v>
      </c>
      <c r="H136" s="15" t="str">
        <f>IFERROR(__xludf.DUMMYFUNCTION("""COMPUTED_VALUE"""),"Measured")</f>
        <v>Measured</v>
      </c>
      <c r="I136" s="15">
        <f>IFERROR(__xludf.DUMMYFUNCTION("""COMPUTED_VALUE"""),1.0)</f>
        <v>1</v>
      </c>
      <c r="J136" s="15">
        <f>IFERROR(__xludf.DUMMYFUNCTION("""COMPUTED_VALUE"""),0.0)</f>
        <v>0</v>
      </c>
      <c r="K136" s="15">
        <f>IFERROR(__xludf.DUMMYFUNCTION("""COMPUTED_VALUE"""),0.0)</f>
        <v>0</v>
      </c>
    </row>
    <row r="137" ht="15.75" customHeight="1">
      <c r="A137" s="14" t="str">
        <f>IFERROR(__xludf.DUMMYFUNCTION("""COMPUTED_VALUE"""),"https://www.margen.net/ai-seo-agency-uk/")</f>
        <v>https://www.margen.net/ai-seo-agency-uk/</v>
      </c>
      <c r="B137" s="15" t="str">
        <f>IFERROR(__xludf.DUMMYFUNCTION("""COMPUTED_VALUE"""),"AI SEO Agency UK | Get Cited by ChatGPT, Perplexity &amp;amp; Google AI | MarGen")</f>
        <v>AI SEO Agency UK | Get Cited by ChatGPT, Perplexity &amp;amp; Google AI | MarGen</v>
      </c>
      <c r="C137" s="14" t="str">
        <f>IFERROR(__xludf.DUMMYFUNCTION("""COMPUTED_VALUE"""),"margen.net")</f>
        <v>margen.net</v>
      </c>
      <c r="D137" s="15" t="str">
        <f>IFERROR(__xludf.DUMMYFUNCTION("""COMPUTED_VALUE"""),"PRODUCT_PAGE")</f>
        <v>PRODUCT_PAGE</v>
      </c>
      <c r="E137" s="15" t="str">
        <f>IFERROR(__xludf.DUMMYFUNCTION("""COMPUTED_VALUE"""),"CORPORATE")</f>
        <v>CORPORATE</v>
      </c>
      <c r="F137" s="15" t="str">
        <f>IFERROR(__xludf.DUMMYFUNCTION("""COMPUTED_VALUE"""),"Product Page")</f>
        <v>Product Page</v>
      </c>
      <c r="G137" s="15" t="b">
        <f>IFERROR(__xludf.DUMMYFUNCTION("""COMPUTED_VALUE"""),FALSE)</f>
        <v>0</v>
      </c>
      <c r="H137" s="15" t="str">
        <f>IFERROR(__xludf.DUMMYFUNCTION("""COMPUTED_VALUE"""),"Found")</f>
        <v>Found</v>
      </c>
      <c r="I137" s="15">
        <f>IFERROR(__xludf.DUMMYFUNCTION("""COMPUTED_VALUE"""),1.0)</f>
        <v>1</v>
      </c>
      <c r="J137" s="15">
        <f>IFERROR(__xludf.DUMMYFUNCTION("""COMPUTED_VALUE"""),0.0)</f>
        <v>0</v>
      </c>
      <c r="K137" s="15">
        <f>IFERROR(__xludf.DUMMYFUNCTION("""COMPUTED_VALUE"""),0.0)</f>
        <v>0</v>
      </c>
    </row>
    <row r="138" ht="15.75" customHeight="1">
      <c r="A138" s="14" t="str">
        <f>IFERROR(__xludf.DUMMYFUNCTION("""COMPUTED_VALUE"""),"https://marketri.com/ai-marketing-consulting/")</f>
        <v>https://marketri.com/ai-marketing-consulting/</v>
      </c>
      <c r="B138" s="15" t="str">
        <f>IFERROR(__xludf.DUMMYFUNCTION("""COMPUTED_VALUE"""),"AI Consulting for Sales &amp; Marketing Teams \| Marketri")</f>
        <v>AI Consulting for Sales &amp; Marketing Teams \| Marketri</v>
      </c>
      <c r="C138" s="14" t="str">
        <f>IFERROR(__xludf.DUMMYFUNCTION("""COMPUTED_VALUE"""),"marketri.com")</f>
        <v>marketri.com</v>
      </c>
      <c r="D138" s="15" t="str">
        <f>IFERROR(__xludf.DUMMYFUNCTION("""COMPUTED_VALUE"""),"PRODUCT_PAGE")</f>
        <v>PRODUCT_PAGE</v>
      </c>
      <c r="E138" s="15" t="str">
        <f>IFERROR(__xludf.DUMMYFUNCTION("""COMPUTED_VALUE"""),"CORPORATE")</f>
        <v>CORPORATE</v>
      </c>
      <c r="F138" s="15" t="str">
        <f>IFERROR(__xludf.DUMMYFUNCTION("""COMPUTED_VALUE"""),"Product Page")</f>
        <v>Product Page</v>
      </c>
      <c r="G138" s="15" t="b">
        <f>IFERROR(__xludf.DUMMYFUNCTION("""COMPUTED_VALUE"""),FALSE)</f>
        <v>0</v>
      </c>
      <c r="H138" s="15" t="str">
        <f>IFERROR(__xludf.DUMMYFUNCTION("""COMPUTED_VALUE"""),"Huge, Disrupt Marketing")</f>
        <v>Huge, Disrupt Marketing</v>
      </c>
      <c r="I138" s="15">
        <f>IFERROR(__xludf.DUMMYFUNCTION("""COMPUTED_VALUE"""),1.0)</f>
        <v>1</v>
      </c>
      <c r="J138" s="15">
        <f>IFERROR(__xludf.DUMMYFUNCTION("""COMPUTED_VALUE"""),0.0)</f>
        <v>0</v>
      </c>
      <c r="K138" s="15">
        <f>IFERROR(__xludf.DUMMYFUNCTION("""COMPUTED_VALUE"""),0.0)</f>
        <v>0</v>
      </c>
    </row>
    <row r="139" ht="15.75" customHeight="1">
      <c r="A139" s="14" t="str">
        <f>IFERROR(__xludf.DUMMYFUNCTION("""COMPUTED_VALUE"""),"https://www.mcsaatchiperformance.com/what-we-do/display/")</f>
        <v>https://www.mcsaatchiperformance.com/what-we-do/display/</v>
      </c>
      <c r="B139" s="15" t="str">
        <f>IFERROR(__xludf.DUMMYFUNCTION("""COMPUTED_VALUE"""),"Display Advertising Agency | M+C Saatchi Performance")</f>
        <v>Display Advertising Agency | M+C Saatchi Performance</v>
      </c>
      <c r="C139" s="14" t="str">
        <f>IFERROR(__xludf.DUMMYFUNCTION("""COMPUTED_VALUE"""),"mcsaatchiperformance.com")</f>
        <v>mcsaatchiperformance.com</v>
      </c>
      <c r="D139" s="15" t="str">
        <f>IFERROR(__xludf.DUMMYFUNCTION("""COMPUTED_VALUE"""),"PRODUCT_PAGE")</f>
        <v>PRODUCT_PAGE</v>
      </c>
      <c r="E139" s="15" t="str">
        <f>IFERROR(__xludf.DUMMYFUNCTION("""COMPUTED_VALUE"""),"CORPORATE")</f>
        <v>CORPORATE</v>
      </c>
      <c r="F139" s="15" t="str">
        <f>IFERROR(__xludf.DUMMYFUNCTION("""COMPUTED_VALUE"""),"Product Page")</f>
        <v>Product Page</v>
      </c>
      <c r="G139" s="15" t="b">
        <f>IFERROR(__xludf.DUMMYFUNCTION("""COMPUTED_VALUE"""),FALSE)</f>
        <v>0</v>
      </c>
      <c r="H139" s="15"/>
      <c r="I139" s="15">
        <f>IFERROR(__xludf.DUMMYFUNCTION("""COMPUTED_VALUE"""),1.0)</f>
        <v>1</v>
      </c>
      <c r="J139" s="15">
        <f>IFERROR(__xludf.DUMMYFUNCTION("""COMPUTED_VALUE"""),0.0)</f>
        <v>0</v>
      </c>
      <c r="K139" s="15">
        <f>IFERROR(__xludf.DUMMYFUNCTION("""COMPUTED_VALUE"""),3.0)</f>
        <v>3</v>
      </c>
    </row>
    <row r="140" ht="15.75" customHeight="1">
      <c r="A140" s="14" t="str">
        <f>IFERROR(__xludf.DUMMYFUNCTION("""COMPUTED_VALUE"""),"https://www.mediaperformance.co.uk/what-we-do/cro/")</f>
        <v>https://www.mediaperformance.co.uk/what-we-do/cro/</v>
      </c>
      <c r="B140" s="15" t="str">
        <f>IFERROR(__xludf.DUMMYFUNCTION("""COMPUTED_VALUE"""),"Conversion Rate Optimisation - Media Performance")</f>
        <v>Conversion Rate Optimisation - Media Performance</v>
      </c>
      <c r="C140" s="14" t="str">
        <f>IFERROR(__xludf.DUMMYFUNCTION("""COMPUTED_VALUE"""),"mediaperformance.co.uk")</f>
        <v>mediaperformance.co.uk</v>
      </c>
      <c r="D140" s="15" t="str">
        <f>IFERROR(__xludf.DUMMYFUNCTION("""COMPUTED_VALUE"""),"PRODUCT_PAGE")</f>
        <v>PRODUCT_PAGE</v>
      </c>
      <c r="E140" s="15" t="str">
        <f>IFERROR(__xludf.DUMMYFUNCTION("""COMPUTED_VALUE"""),"CORPORATE")</f>
        <v>CORPORATE</v>
      </c>
      <c r="F140" s="15" t="str">
        <f>IFERROR(__xludf.DUMMYFUNCTION("""COMPUTED_VALUE"""),"Product Page")</f>
        <v>Product Page</v>
      </c>
      <c r="G140" s="15" t="b">
        <f>IFERROR(__xludf.DUMMYFUNCTION("""COMPUTED_VALUE"""),FALSE)</f>
        <v>0</v>
      </c>
      <c r="H140" s="15"/>
      <c r="I140" s="15">
        <f>IFERROR(__xludf.DUMMYFUNCTION("""COMPUTED_VALUE"""),1.0)</f>
        <v>1</v>
      </c>
      <c r="J140" s="15">
        <f>IFERROR(__xludf.DUMMYFUNCTION("""COMPUTED_VALUE"""),0.0)</f>
        <v>0</v>
      </c>
      <c r="K140" s="15">
        <f>IFERROR(__xludf.DUMMYFUNCTION("""COMPUTED_VALUE"""),0.0)</f>
        <v>0</v>
      </c>
    </row>
    <row r="141" ht="15.75" customHeight="1">
      <c r="A141" s="14" t="str">
        <f>IFERROR(__xludf.DUMMYFUNCTION("""COMPUTED_VALUE"""),"https://www.mediaperformance.co.uk/what-we-do/measurement-attribution-strategy/")</f>
        <v>https://www.mediaperformance.co.uk/what-we-do/measurement-attribution-strategy/</v>
      </c>
      <c r="B141" s="15" t="str">
        <f>IFERROR(__xludf.DUMMYFUNCTION("""COMPUTED_VALUE"""),"Measurement and Attribution Strategy - Media Performance")</f>
        <v>Measurement and Attribution Strategy - Media Performance</v>
      </c>
      <c r="C141" s="14" t="str">
        <f>IFERROR(__xludf.DUMMYFUNCTION("""COMPUTED_VALUE"""),"mediaperformance.co.uk")</f>
        <v>mediaperformance.co.uk</v>
      </c>
      <c r="D141" s="15" t="str">
        <f>IFERROR(__xludf.DUMMYFUNCTION("""COMPUTED_VALUE"""),"PRODUCT_PAGE")</f>
        <v>PRODUCT_PAGE</v>
      </c>
      <c r="E141" s="15" t="str">
        <f>IFERROR(__xludf.DUMMYFUNCTION("""COMPUTED_VALUE"""),"CORPORATE")</f>
        <v>CORPORATE</v>
      </c>
      <c r="F141" s="15" t="str">
        <f>IFERROR(__xludf.DUMMYFUNCTION("""COMPUTED_VALUE"""),"Product Page")</f>
        <v>Product Page</v>
      </c>
      <c r="G141" s="15" t="b">
        <f>IFERROR(__xludf.DUMMYFUNCTION("""COMPUTED_VALUE"""),FALSE)</f>
        <v>0</v>
      </c>
      <c r="H141" s="15" t="str">
        <f>IFERROR(__xludf.DUMMYFUNCTION("""COMPUTED_VALUE"""),"Measured")</f>
        <v>Measured</v>
      </c>
      <c r="I141" s="15">
        <f>IFERROR(__xludf.DUMMYFUNCTION("""COMPUTED_VALUE"""),1.0)</f>
        <v>1</v>
      </c>
      <c r="J141" s="15">
        <f>IFERROR(__xludf.DUMMYFUNCTION("""COMPUTED_VALUE"""),0.0)</f>
        <v>0</v>
      </c>
      <c r="K141" s="15">
        <f>IFERROR(__xludf.DUMMYFUNCTION("""COMPUTED_VALUE"""),1.0)</f>
        <v>1</v>
      </c>
    </row>
    <row r="142" ht="15.75" customHeight="1">
      <c r="A142" s="14" t="str">
        <f>IFERROR(__xludf.DUMMYFUNCTION("""COMPUTED_VALUE"""),"https://www.mint.ai/agentic-ai")</f>
        <v>https://www.mint.ai/agentic-ai</v>
      </c>
      <c r="B142" s="15" t="str">
        <f>IFERROR(__xludf.DUMMYFUNCTION("""COMPUTED_VALUE"""),"Agentic AI")</f>
        <v>Agentic AI</v>
      </c>
      <c r="C142" s="14" t="str">
        <f>IFERROR(__xludf.DUMMYFUNCTION("""COMPUTED_VALUE"""),"mint.ai")</f>
        <v>mint.ai</v>
      </c>
      <c r="D142" s="15" t="str">
        <f>IFERROR(__xludf.DUMMYFUNCTION("""COMPUTED_VALUE"""),"PRODUCT_PAGE")</f>
        <v>PRODUCT_PAGE</v>
      </c>
      <c r="E142" s="15" t="str">
        <f>IFERROR(__xludf.DUMMYFUNCTION("""COMPUTED_VALUE"""),"CORPORATE")</f>
        <v>CORPORATE</v>
      </c>
      <c r="F142" s="15" t="str">
        <f>IFERROR(__xludf.DUMMYFUNCTION("""COMPUTED_VALUE"""),"Product Page")</f>
        <v>Product Page</v>
      </c>
      <c r="G142" s="15" t="b">
        <f>IFERROR(__xludf.DUMMYFUNCTION("""COMPUTED_VALUE"""),FALSE)</f>
        <v>0</v>
      </c>
      <c r="H142" s="15"/>
      <c r="I142" s="15">
        <f>IFERROR(__xludf.DUMMYFUNCTION("""COMPUTED_VALUE"""),1.0)</f>
        <v>1</v>
      </c>
      <c r="J142" s="15">
        <f>IFERROR(__xludf.DUMMYFUNCTION("""COMPUTED_VALUE"""),0.0)</f>
        <v>0</v>
      </c>
      <c r="K142" s="15">
        <f>IFERROR(__xludf.DUMMYFUNCTION("""COMPUTED_VALUE"""),1.0)</f>
        <v>1</v>
      </c>
    </row>
    <row r="143" ht="15.75" customHeight="1">
      <c r="A143" s="14" t="str">
        <f>IFERROR(__xludf.DUMMYFUNCTION("""COMPUTED_VALUE"""),"https://mma.com/solutions/unified-marketing-measurement/")</f>
        <v>https://mma.com/solutions/unified-marketing-measurement/</v>
      </c>
      <c r="B143" s="15" t="str">
        <f>IFERROR(__xludf.DUMMYFUNCTION("""COMPUTED_VALUE"""),"Unified Marketing Measurement Solutions | Ipsos MMA")</f>
        <v>Unified Marketing Measurement Solutions | Ipsos MMA</v>
      </c>
      <c r="C143" s="14" t="str">
        <f>IFERROR(__xludf.DUMMYFUNCTION("""COMPUTED_VALUE"""),"mma.com")</f>
        <v>mma.com</v>
      </c>
      <c r="D143" s="15" t="str">
        <f>IFERROR(__xludf.DUMMYFUNCTION("""COMPUTED_VALUE"""),"PRODUCT_PAGE")</f>
        <v>PRODUCT_PAGE</v>
      </c>
      <c r="E143" s="15" t="str">
        <f>IFERROR(__xludf.DUMMYFUNCTION("""COMPUTED_VALUE"""),"CORPORATE")</f>
        <v>CORPORATE</v>
      </c>
      <c r="F143" s="15" t="str">
        <f>IFERROR(__xludf.DUMMYFUNCTION("""COMPUTED_VALUE"""),"Product Page")</f>
        <v>Product Page</v>
      </c>
      <c r="G143" s="15" t="b">
        <f>IFERROR(__xludf.DUMMYFUNCTION("""COMPUTED_VALUE"""),FALSE)</f>
        <v>0</v>
      </c>
      <c r="H143" s="15" t="str">
        <f>IFERROR(__xludf.DUMMYFUNCTION("""COMPUTED_VALUE"""),"Measured")</f>
        <v>Measured</v>
      </c>
      <c r="I143" s="15">
        <f>IFERROR(__xludf.DUMMYFUNCTION("""COMPUTED_VALUE"""),1.0)</f>
        <v>1</v>
      </c>
      <c r="J143" s="15">
        <f>IFERROR(__xludf.DUMMYFUNCTION("""COMPUTED_VALUE"""),0.0)</f>
        <v>0</v>
      </c>
      <c r="K143" s="15">
        <f>IFERROR(__xludf.DUMMYFUNCTION("""COMPUTED_VALUE"""),1.0)</f>
        <v>1</v>
      </c>
    </row>
    <row r="144" ht="15.75" customHeight="1">
      <c r="A144" s="14" t="str">
        <f>IFERROR(__xludf.DUMMYFUNCTION("""COMPUTED_VALUE"""),"https://www.monks.com/partners/google-marketing-platform")</f>
        <v>https://www.monks.com/partners/google-marketing-platform</v>
      </c>
      <c r="B144" s="15" t="str">
        <f>IFERROR(__xludf.DUMMYFUNCTION("""COMPUTED_VALUE"""),"Google Marketing Platform | Partnerships | Monks")</f>
        <v>Google Marketing Platform | Partnerships | Monks</v>
      </c>
      <c r="C144" s="14" t="str">
        <f>IFERROR(__xludf.DUMMYFUNCTION("""COMPUTED_VALUE"""),"monks.com")</f>
        <v>monks.com</v>
      </c>
      <c r="D144" s="15" t="str">
        <f>IFERROR(__xludf.DUMMYFUNCTION("""COMPUTED_VALUE"""),"PRODUCT_PAGE")</f>
        <v>PRODUCT_PAGE</v>
      </c>
      <c r="E144" s="15" t="str">
        <f>IFERROR(__xludf.DUMMYFUNCTION("""COMPUTED_VALUE"""),"COMPETITOR")</f>
        <v>COMPETITOR</v>
      </c>
      <c r="F144" s="15" t="str">
        <f>IFERROR(__xludf.DUMMYFUNCTION("""COMPUTED_VALUE"""),"Product Page")</f>
        <v>Product Page</v>
      </c>
      <c r="G144" s="15" t="b">
        <f>IFERROR(__xludf.DUMMYFUNCTION("""COMPUTED_VALUE"""),FALSE)</f>
        <v>0</v>
      </c>
      <c r="H144" s="15" t="str">
        <f>IFERROR(__xludf.DUMMYFUNCTION("""COMPUTED_VALUE"""),"Monks, Momentum")</f>
        <v>Monks, Momentum</v>
      </c>
      <c r="I144" s="15">
        <f>IFERROR(__xludf.DUMMYFUNCTION("""COMPUTED_VALUE"""),1.0)</f>
        <v>1</v>
      </c>
      <c r="J144" s="15">
        <f>IFERROR(__xludf.DUMMYFUNCTION("""COMPUTED_VALUE"""),0.0)</f>
        <v>0</v>
      </c>
      <c r="K144" s="15">
        <f>IFERROR(__xludf.DUMMYFUNCTION("""COMPUTED_VALUE"""),0.0)</f>
        <v>0</v>
      </c>
    </row>
    <row r="145" ht="15.75" customHeight="1">
      <c r="A145" s="14" t="str">
        <f>IFERROR(__xludf.DUMMYFUNCTION("""COMPUTED_VALUE"""),"https://mrs.digital/ppc/healthcare-ppc-agency/")</f>
        <v>https://mrs.digital/ppc/healthcare-ppc-agency/</v>
      </c>
      <c r="B145" s="15" t="str">
        <f>IFERROR(__xludf.DUMMYFUNCTION("""COMPUTED_VALUE"""),"PPC Services for Healthcare - MRS Digital")</f>
        <v>PPC Services for Healthcare - MRS Digital</v>
      </c>
      <c r="C145" s="15" t="str">
        <f>IFERROR(__xludf.DUMMYFUNCTION("""COMPUTED_VALUE"""),"mrs.digital")</f>
        <v>mrs.digital</v>
      </c>
      <c r="D145" s="15" t="str">
        <f>IFERROR(__xludf.DUMMYFUNCTION("""COMPUTED_VALUE"""),"PRODUCT_PAGE")</f>
        <v>PRODUCT_PAGE</v>
      </c>
      <c r="E145" s="15" t="str">
        <f>IFERROR(__xludf.DUMMYFUNCTION("""COMPUTED_VALUE"""),"CORPORATE")</f>
        <v>CORPORATE</v>
      </c>
      <c r="F145" s="15" t="str">
        <f>IFERROR(__xludf.DUMMYFUNCTION("""COMPUTED_VALUE"""),"Product Page")</f>
        <v>Product Page</v>
      </c>
      <c r="G145" s="15" t="b">
        <f>IFERROR(__xludf.DUMMYFUNCTION("""COMPUTED_VALUE"""),FALSE)</f>
        <v>0</v>
      </c>
      <c r="H145" s="15"/>
      <c r="I145" s="15">
        <f>IFERROR(__xludf.DUMMYFUNCTION("""COMPUTED_VALUE"""),1.0)</f>
        <v>1</v>
      </c>
      <c r="J145" s="15">
        <f>IFERROR(__xludf.DUMMYFUNCTION("""COMPUTED_VALUE"""),0.0)</f>
        <v>0</v>
      </c>
      <c r="K145" s="15">
        <f>IFERROR(__xludf.DUMMYFUNCTION("""COMPUTED_VALUE"""),1.0)</f>
        <v>1</v>
      </c>
    </row>
    <row r="146" ht="15.75" customHeight="1">
      <c r="A146" s="14" t="str">
        <f>IFERROR(__xludf.DUMMYFUNCTION("""COMPUTED_VALUE"""),"https://neuraladx.com/best-perplexity-optimisation-agency-uk/")</f>
        <v>https://neuraladx.com/best-perplexity-optimisation-agency-uk/</v>
      </c>
      <c r="B146" s="15" t="str">
        <f>IFERROR(__xludf.DUMMYFUNCTION("""COMPUTED_VALUE"""),"Best Perplexity Optimisation Agency UK | NeuralAdX Ltd")</f>
        <v>Best Perplexity Optimisation Agency UK | NeuralAdX Ltd</v>
      </c>
      <c r="C146" s="14" t="str">
        <f>IFERROR(__xludf.DUMMYFUNCTION("""COMPUTED_VALUE"""),"neuraladx.com")</f>
        <v>neuraladx.com</v>
      </c>
      <c r="D146" s="15" t="str">
        <f>IFERROR(__xludf.DUMMYFUNCTION("""COMPUTED_VALUE"""),"PRODUCT_PAGE")</f>
        <v>PRODUCT_PAGE</v>
      </c>
      <c r="E146" s="15" t="str">
        <f>IFERROR(__xludf.DUMMYFUNCTION("""COMPUTED_VALUE"""),"UGC")</f>
        <v>UGC</v>
      </c>
      <c r="F146" s="15" t="str">
        <f>IFERROR(__xludf.DUMMYFUNCTION("""COMPUTED_VALUE"""),"Product Page")</f>
        <v>Product Page</v>
      </c>
      <c r="G146" s="15" t="b">
        <f>IFERROR(__xludf.DUMMYFUNCTION("""COMPUTED_VALUE"""),FALSE)</f>
        <v>0</v>
      </c>
      <c r="H146" s="15" t="str">
        <f>IFERROR(__xludf.DUMMYFUNCTION("""COMPUTED_VALUE"""),"Found, Measured, Screaming Frog, Impression, Hallam, Brainlabs")</f>
        <v>Found, Measured, Screaming Frog, Impression, Hallam, Brainlabs</v>
      </c>
      <c r="I146" s="15">
        <f>IFERROR(__xludf.DUMMYFUNCTION("""COMPUTED_VALUE"""),1.0)</f>
        <v>1</v>
      </c>
      <c r="J146" s="15">
        <f>IFERROR(__xludf.DUMMYFUNCTION("""COMPUTED_VALUE"""),0.0)</f>
        <v>0</v>
      </c>
      <c r="K146" s="15">
        <f>IFERROR(__xludf.DUMMYFUNCTION("""COMPUTED_VALUE"""),0.0)</f>
        <v>0</v>
      </c>
    </row>
    <row r="147" ht="15.75" customHeight="1">
      <c r="A147" s="14" t="str">
        <f>IFERROR(__xludf.DUMMYFUNCTION("""COMPUTED_VALUE"""),"https://nexacognition.com/ai-strategy-consulting")</f>
        <v>https://nexacognition.com/ai-strategy-consulting</v>
      </c>
      <c r="B147" s="15" t="str">
        <f>IFERROR(__xludf.DUMMYFUNCTION("""COMPUTED_VALUE"""),"AI Strategy Consulting UK | AI Roadmaps, Transformation &amp;amp; ROI-Driven Adoption")</f>
        <v>AI Strategy Consulting UK | AI Roadmaps, Transformation &amp;amp; ROI-Driven Adoption</v>
      </c>
      <c r="C147" s="14" t="str">
        <f>IFERROR(__xludf.DUMMYFUNCTION("""COMPUTED_VALUE"""),"nexacognition.com")</f>
        <v>nexacognition.com</v>
      </c>
      <c r="D147" s="15" t="str">
        <f>IFERROR(__xludf.DUMMYFUNCTION("""COMPUTED_VALUE"""),"PRODUCT_PAGE")</f>
        <v>PRODUCT_PAGE</v>
      </c>
      <c r="E147" s="15" t="str">
        <f>IFERROR(__xludf.DUMMYFUNCTION("""COMPUTED_VALUE"""),"CORPORATE")</f>
        <v>CORPORATE</v>
      </c>
      <c r="F147" s="15" t="str">
        <f>IFERROR(__xludf.DUMMYFUNCTION("""COMPUTED_VALUE"""),"Product Page")</f>
        <v>Product Page</v>
      </c>
      <c r="G147" s="15" t="b">
        <f>IFERROR(__xludf.DUMMYFUNCTION("""COMPUTED_VALUE"""),FALSE)</f>
        <v>0</v>
      </c>
      <c r="H147" s="15"/>
      <c r="I147" s="15">
        <f>IFERROR(__xludf.DUMMYFUNCTION("""COMPUTED_VALUE"""),1.0)</f>
        <v>1</v>
      </c>
      <c r="J147" s="15">
        <f>IFERROR(__xludf.DUMMYFUNCTION("""COMPUTED_VALUE"""),0.0)</f>
        <v>0</v>
      </c>
      <c r="K147" s="15">
        <f>IFERROR(__xludf.DUMMYFUNCTION("""COMPUTED_VALUE"""),5.0)</f>
        <v>5</v>
      </c>
    </row>
    <row r="148" ht="15.75" customHeight="1">
      <c r="A148" s="14" t="str">
        <f>IFERROR(__xludf.DUMMYFUNCTION("""COMPUTED_VALUE"""),"https://opace.agency/services/artificial-intelligence/ai-strategy-consulting/")</f>
        <v>https://opace.agency/services/artificial-intelligence/ai-strategy-consulting/</v>
      </c>
      <c r="B148" s="15" t="str">
        <f>IFERROR(__xludf.DUMMYFUNCTION("""COMPUTED_VALUE"""),"AI Strategy Consulting | AI Consultancy Services UK")</f>
        <v>AI Strategy Consulting | AI Consultancy Services UK</v>
      </c>
      <c r="C148" s="15" t="str">
        <f>IFERROR(__xludf.DUMMYFUNCTION("""COMPUTED_VALUE"""),"opace.agency")</f>
        <v>opace.agency</v>
      </c>
      <c r="D148" s="15" t="str">
        <f>IFERROR(__xludf.DUMMYFUNCTION("""COMPUTED_VALUE"""),"PRODUCT_PAGE")</f>
        <v>PRODUCT_PAGE</v>
      </c>
      <c r="E148" s="15" t="str">
        <f>IFERROR(__xludf.DUMMYFUNCTION("""COMPUTED_VALUE"""),"CORPORATE")</f>
        <v>CORPORATE</v>
      </c>
      <c r="F148" s="15" t="str">
        <f>IFERROR(__xludf.DUMMYFUNCTION("""COMPUTED_VALUE"""),"Product Page")</f>
        <v>Product Page</v>
      </c>
      <c r="G148" s="15" t="b">
        <f>IFERROR(__xludf.DUMMYFUNCTION("""COMPUTED_VALUE"""),FALSE)</f>
        <v>0</v>
      </c>
      <c r="H148" s="15"/>
      <c r="I148" s="15">
        <f>IFERROR(__xludf.DUMMYFUNCTION("""COMPUTED_VALUE"""),1.0)</f>
        <v>1</v>
      </c>
      <c r="J148" s="15">
        <f>IFERROR(__xludf.DUMMYFUNCTION("""COMPUTED_VALUE"""),0.0)</f>
        <v>0</v>
      </c>
      <c r="K148" s="15">
        <f>IFERROR(__xludf.DUMMYFUNCTION("""COMPUTED_VALUE"""),3.0)</f>
        <v>3</v>
      </c>
    </row>
    <row r="149" ht="15.75" customHeight="1">
      <c r="A149" s="14" t="str">
        <f>IFERROR(__xludf.DUMMYFUNCTION("""COMPUTED_VALUE"""),"https://www.opinosis-analytics.com/ai-consulting-in-united-kingdom/")</f>
        <v>https://www.opinosis-analytics.com/ai-consulting-in-united-kingdom/</v>
      </c>
      <c r="B149" s="15" t="str">
        <f>IFERROR(__xludf.DUMMYFUNCTION("""COMPUTED_VALUE"""),"AI Consulting Company in United Kingdom | UK | Machine Learning Consulting | Generative AI")</f>
        <v>AI Consulting Company in United Kingdom | UK | Machine Learning Consulting | Generative AI</v>
      </c>
      <c r="C149" s="14" t="str">
        <f>IFERROR(__xludf.DUMMYFUNCTION("""COMPUTED_VALUE"""),"opinosis-analytics.com")</f>
        <v>opinosis-analytics.com</v>
      </c>
      <c r="D149" s="15" t="str">
        <f>IFERROR(__xludf.DUMMYFUNCTION("""COMPUTED_VALUE"""),"PRODUCT_PAGE")</f>
        <v>PRODUCT_PAGE</v>
      </c>
      <c r="E149" s="15" t="str">
        <f>IFERROR(__xludf.DUMMYFUNCTION("""COMPUTED_VALUE"""),"CORPORATE")</f>
        <v>CORPORATE</v>
      </c>
      <c r="F149" s="15" t="str">
        <f>IFERROR(__xludf.DUMMYFUNCTION("""COMPUTED_VALUE"""),"Product Page")</f>
        <v>Product Page</v>
      </c>
      <c r="G149" s="15" t="b">
        <f>IFERROR(__xludf.DUMMYFUNCTION("""COMPUTED_VALUE"""),FALSE)</f>
        <v>0</v>
      </c>
      <c r="H149" s="15" t="str">
        <f>IFERROR(__xludf.DUMMYFUNCTION("""COMPUTED_VALUE"""),"Found")</f>
        <v>Found</v>
      </c>
      <c r="I149" s="15">
        <f>IFERROR(__xludf.DUMMYFUNCTION("""COMPUTED_VALUE"""),1.0)</f>
        <v>1</v>
      </c>
      <c r="J149" s="15">
        <f>IFERROR(__xludf.DUMMYFUNCTION("""COMPUTED_VALUE"""),0.0)</f>
        <v>0</v>
      </c>
      <c r="K149" s="15">
        <f>IFERROR(__xludf.DUMMYFUNCTION("""COMPUTED_VALUE"""),0.0)</f>
        <v>0</v>
      </c>
    </row>
    <row r="150" ht="15.75" customHeight="1">
      <c r="A150" s="14" t="str">
        <f>IFERROR(__xludf.DUMMYFUNCTION("""COMPUTED_VALUE"""),"https://www.ourdigitalteam.com/google-partner-agency/")</f>
        <v>https://www.ourdigitalteam.com/google-partner-agency/</v>
      </c>
      <c r="B150" s="15" t="str">
        <f>IFERROR(__xludf.DUMMYFUNCTION("""COMPUTED_VALUE"""),"Google partner agency - Our Digital Team")</f>
        <v>Google partner agency - Our Digital Team</v>
      </c>
      <c r="C150" s="14" t="str">
        <f>IFERROR(__xludf.DUMMYFUNCTION("""COMPUTED_VALUE"""),"ourdigitalteam.com")</f>
        <v>ourdigitalteam.com</v>
      </c>
      <c r="D150" s="15" t="str">
        <f>IFERROR(__xludf.DUMMYFUNCTION("""COMPUTED_VALUE"""),"PRODUCT_PAGE")</f>
        <v>PRODUCT_PAGE</v>
      </c>
      <c r="E150" s="15" t="str">
        <f>IFERROR(__xludf.DUMMYFUNCTION("""COMPUTED_VALUE"""),"CORPORATE")</f>
        <v>CORPORATE</v>
      </c>
      <c r="F150" s="15" t="str">
        <f>IFERROR(__xludf.DUMMYFUNCTION("""COMPUTED_VALUE"""),"Product Page")</f>
        <v>Product Page</v>
      </c>
      <c r="G150" s="15" t="b">
        <f>IFERROR(__xludf.DUMMYFUNCTION("""COMPUTED_VALUE"""),FALSE)</f>
        <v>0</v>
      </c>
      <c r="H150" s="15"/>
      <c r="I150" s="15">
        <f>IFERROR(__xludf.DUMMYFUNCTION("""COMPUTED_VALUE"""),1.0)</f>
        <v>1</v>
      </c>
      <c r="J150" s="15">
        <f>IFERROR(__xludf.DUMMYFUNCTION("""COMPUTED_VALUE"""),0.0)</f>
        <v>0</v>
      </c>
      <c r="K150" s="15">
        <f>IFERROR(__xludf.DUMMYFUNCTION("""COMPUTED_VALUE"""),0.0)</f>
        <v>0</v>
      </c>
    </row>
    <row r="151" ht="15.75" customHeight="1">
      <c r="A151" s="14" t="str">
        <f>IFERROR(__xludf.DUMMYFUNCTION("""COMPUTED_VALUE"""),"https://www.panorama-consulting.com/services/ai-readiness-and-enablement-service-offering/")</f>
        <v>https://www.panorama-consulting.com/services/ai-readiness-and-enablement-service-offering/</v>
      </c>
      <c r="B151" s="15" t="str">
        <f>IFERROR(__xludf.DUMMYFUNCTION("""COMPUTED_VALUE"""),"AI Readiness &amp;amp; Integration Service | Generatiive AI Consulting")</f>
        <v>AI Readiness &amp;amp; Integration Service | Generatiive AI Consulting</v>
      </c>
      <c r="C151" s="14" t="str">
        <f>IFERROR(__xludf.DUMMYFUNCTION("""COMPUTED_VALUE"""),"panorama-consulting.com")</f>
        <v>panorama-consulting.com</v>
      </c>
      <c r="D151" s="15" t="str">
        <f>IFERROR(__xludf.DUMMYFUNCTION("""COMPUTED_VALUE"""),"PRODUCT_PAGE")</f>
        <v>PRODUCT_PAGE</v>
      </c>
      <c r="E151" s="15" t="str">
        <f>IFERROR(__xludf.DUMMYFUNCTION("""COMPUTED_VALUE"""),"CORPORATE")</f>
        <v>CORPORATE</v>
      </c>
      <c r="F151" s="15" t="str">
        <f>IFERROR(__xludf.DUMMYFUNCTION("""COMPUTED_VALUE"""),"Product Page")</f>
        <v>Product Page</v>
      </c>
      <c r="G151" s="15" t="b">
        <f>IFERROR(__xludf.DUMMYFUNCTION("""COMPUTED_VALUE"""),FALSE)</f>
        <v>0</v>
      </c>
      <c r="H151" s="15" t="str">
        <f>IFERROR(__xludf.DUMMYFUNCTION("""COMPUTED_VALUE"""),"Found")</f>
        <v>Found</v>
      </c>
      <c r="I151" s="15">
        <f>IFERROR(__xludf.DUMMYFUNCTION("""COMPUTED_VALUE"""),1.0)</f>
        <v>1</v>
      </c>
      <c r="J151" s="15">
        <f>IFERROR(__xludf.DUMMYFUNCTION("""COMPUTED_VALUE"""),0.0)</f>
        <v>0</v>
      </c>
      <c r="K151" s="15">
        <f>IFERROR(__xludf.DUMMYFUNCTION("""COMPUTED_VALUE"""),0.0)</f>
        <v>0</v>
      </c>
    </row>
    <row r="152" ht="15.75" customHeight="1">
      <c r="A152" s="14" t="str">
        <f>IFERROR(__xludf.DUMMYFUNCTION("""COMPUTED_VALUE"""),"https://www.panovistamarketing.com/blog/ai-local-seo-agency")</f>
        <v>https://www.panovistamarketing.com/blog/ai-local-seo-agency</v>
      </c>
      <c r="B152" s="15" t="str">
        <f>IFERROR(__xludf.DUMMYFUNCTION("""COMPUTED_VALUE"""),"AI Local SEO Agency | Forensic AI Search Optimization")</f>
        <v>AI Local SEO Agency | Forensic AI Search Optimization</v>
      </c>
      <c r="C152" s="14" t="str">
        <f>IFERROR(__xludf.DUMMYFUNCTION("""COMPUTED_VALUE"""),"panovistamarketing.com")</f>
        <v>panovistamarketing.com</v>
      </c>
      <c r="D152" s="15" t="str">
        <f>IFERROR(__xludf.DUMMYFUNCTION("""COMPUTED_VALUE"""),"PRODUCT_PAGE")</f>
        <v>PRODUCT_PAGE</v>
      </c>
      <c r="E152" s="15" t="str">
        <f>IFERROR(__xludf.DUMMYFUNCTION("""COMPUTED_VALUE"""),"CORPORATE")</f>
        <v>CORPORATE</v>
      </c>
      <c r="F152" s="15" t="str">
        <f>IFERROR(__xludf.DUMMYFUNCTION("""COMPUTED_VALUE"""),"Product Page")</f>
        <v>Product Page</v>
      </c>
      <c r="G152" s="15" t="b">
        <f>IFERROR(__xludf.DUMMYFUNCTION("""COMPUTED_VALUE"""),FALSE)</f>
        <v>0</v>
      </c>
      <c r="H152" s="15" t="str">
        <f>IFERROR(__xludf.DUMMYFUNCTION("""COMPUTED_VALUE"""),"Panovista Marketing, Found")</f>
        <v>Panovista Marketing, Found</v>
      </c>
      <c r="I152" s="15">
        <f>IFERROR(__xludf.DUMMYFUNCTION("""COMPUTED_VALUE"""),1.0)</f>
        <v>1</v>
      </c>
      <c r="J152" s="15">
        <f>IFERROR(__xludf.DUMMYFUNCTION("""COMPUTED_VALUE"""),0.0)</f>
        <v>0</v>
      </c>
      <c r="K152" s="15">
        <f>IFERROR(__xludf.DUMMYFUNCTION("""COMPUTED_VALUE"""),0.0)</f>
        <v>0</v>
      </c>
    </row>
    <row r="153" ht="15.75" customHeight="1">
      <c r="A153" s="14" t="str">
        <f>IFERROR(__xludf.DUMMYFUNCTION("""COMPUTED_VALUE"""),"https://www.panovistamarketing.com/blog/best-seo-company-uk")</f>
        <v>https://www.panovistamarketing.com/blog/best-seo-company-uk</v>
      </c>
      <c r="B153" s="15" t="str">
        <f>IFERROR(__xludf.DUMMYFUNCTION("""COMPUTED_VALUE"""),"Best Local SEO Company UK | Panovista")</f>
        <v>Best Local SEO Company UK | Panovista</v>
      </c>
      <c r="C153" s="14" t="str">
        <f>IFERROR(__xludf.DUMMYFUNCTION("""COMPUTED_VALUE"""),"panovistamarketing.com")</f>
        <v>panovistamarketing.com</v>
      </c>
      <c r="D153" s="15" t="str">
        <f>IFERROR(__xludf.DUMMYFUNCTION("""COMPUTED_VALUE"""),"PRODUCT_PAGE")</f>
        <v>PRODUCT_PAGE</v>
      </c>
      <c r="E153" s="15" t="str">
        <f>IFERROR(__xludf.DUMMYFUNCTION("""COMPUTED_VALUE"""),"CORPORATE")</f>
        <v>CORPORATE</v>
      </c>
      <c r="F153" s="15" t="str">
        <f>IFERROR(__xludf.DUMMYFUNCTION("""COMPUTED_VALUE"""),"Product Page")</f>
        <v>Product Page</v>
      </c>
      <c r="G153" s="15" t="b">
        <f>IFERROR(__xludf.DUMMYFUNCTION("""COMPUTED_VALUE"""),FALSE)</f>
        <v>0</v>
      </c>
      <c r="H153" s="15" t="str">
        <f>IFERROR(__xludf.DUMMYFUNCTION("""COMPUTED_VALUE"""),"Panovista Marketing, Whitehat, Measured, Huge, Found")</f>
        <v>Panovista Marketing, Whitehat, Measured, Huge, Found</v>
      </c>
      <c r="I153" s="15">
        <f>IFERROR(__xludf.DUMMYFUNCTION("""COMPUTED_VALUE"""),1.0)</f>
        <v>1</v>
      </c>
      <c r="J153" s="15">
        <f>IFERROR(__xludf.DUMMYFUNCTION("""COMPUTED_VALUE"""),0.0)</f>
        <v>0</v>
      </c>
      <c r="K153" s="15">
        <f>IFERROR(__xludf.DUMMYFUNCTION("""COMPUTED_VALUE"""),1.0)</f>
        <v>1</v>
      </c>
    </row>
    <row r="154" ht="15.75" customHeight="1">
      <c r="A154" s="14" t="str">
        <f>IFERROR(__xludf.DUMMYFUNCTION("""COMPUTED_VALUE"""),"https://pearllemonleads.com/lead-generation-for-apartment-locators/")</f>
        <v>https://pearllemonleads.com/lead-generation-for-apartment-locators/</v>
      </c>
      <c r="B154" s="15" t="str">
        <f>IFERROR(__xludf.DUMMYFUNCTION("""COMPUTED_VALUE"""),"Reliable Lead Generation Services for Apartment Locators UK")</f>
        <v>Reliable Lead Generation Services for Apartment Locators UK</v>
      </c>
      <c r="C154" s="14" t="str">
        <f>IFERROR(__xludf.DUMMYFUNCTION("""COMPUTED_VALUE"""),"pearllemonleads.com")</f>
        <v>pearllemonleads.com</v>
      </c>
      <c r="D154" s="15" t="str">
        <f>IFERROR(__xludf.DUMMYFUNCTION("""COMPUTED_VALUE"""),"PRODUCT_PAGE")</f>
        <v>PRODUCT_PAGE</v>
      </c>
      <c r="E154" s="15" t="str">
        <f>IFERROR(__xludf.DUMMYFUNCTION("""COMPUTED_VALUE"""),"CORPORATE")</f>
        <v>CORPORATE</v>
      </c>
      <c r="F154" s="15" t="str">
        <f>IFERROR(__xludf.DUMMYFUNCTION("""COMPUTED_VALUE"""),"Product Page")</f>
        <v>Product Page</v>
      </c>
      <c r="G154" s="15" t="b">
        <f>IFERROR(__xludf.DUMMYFUNCTION("""COMPUTED_VALUE"""),FALSE)</f>
        <v>0</v>
      </c>
      <c r="H154" s="15"/>
      <c r="I154" s="15">
        <f>IFERROR(__xludf.DUMMYFUNCTION("""COMPUTED_VALUE"""),1.0)</f>
        <v>1</v>
      </c>
      <c r="J154" s="15">
        <f>IFERROR(__xludf.DUMMYFUNCTION("""COMPUTED_VALUE"""),0.0)</f>
        <v>0</v>
      </c>
      <c r="K154" s="15">
        <f>IFERROR(__xludf.DUMMYFUNCTION("""COMPUTED_VALUE"""),1.0)</f>
        <v>1</v>
      </c>
    </row>
    <row r="155" ht="15.75" customHeight="1">
      <c r="A155" s="14" t="str">
        <f>IFERROR(__xludf.DUMMYFUNCTION("""COMPUTED_VALUE"""),"https://www.polarisagency.com/marketing-insights/best-demand-gen-agencies-b2b-uk/")</f>
        <v>https://www.polarisagency.com/marketing-insights/best-demand-gen-agencies-b2b-uk/</v>
      </c>
      <c r="B155" s="15" t="str">
        <f>IFERROR(__xludf.DUMMYFUNCTION("""COMPUTED_VALUE"""),"The Top 8 Demand Generation Agencies for Businesses in the UK")</f>
        <v>The Top 8 Demand Generation Agencies for Businesses in the UK</v>
      </c>
      <c r="C155" s="14" t="str">
        <f>IFERROR(__xludf.DUMMYFUNCTION("""COMPUTED_VALUE"""),"polarisagency.com")</f>
        <v>polarisagency.com</v>
      </c>
      <c r="D155" s="15" t="str">
        <f>IFERROR(__xludf.DUMMYFUNCTION("""COMPUTED_VALUE"""),"PRODUCT_PAGE")</f>
        <v>PRODUCT_PAGE</v>
      </c>
      <c r="E155" s="15" t="str">
        <f>IFERROR(__xludf.DUMMYFUNCTION("""COMPUTED_VALUE"""),"COMPETITOR")</f>
        <v>COMPETITOR</v>
      </c>
      <c r="F155" s="15" t="str">
        <f>IFERROR(__xludf.DUMMYFUNCTION("""COMPUTED_VALUE"""),"Product Page")</f>
        <v>Product Page</v>
      </c>
      <c r="G155" s="15" t="b">
        <f>IFERROR(__xludf.DUMMYFUNCTION("""COMPUTED_VALUE"""),FALSE)</f>
        <v>0</v>
      </c>
      <c r="H155" s="15" t="str">
        <f>IFERROR(__xludf.DUMMYFUNCTION("""COMPUTED_VALUE"""),"Polaris, Gripped, Transmission, Impression, Measured, Directive Consulting, The SEO Works, Found, Push")</f>
        <v>Polaris, Gripped, Transmission, Impression, Measured, Directive Consulting, The SEO Works, Found, Push</v>
      </c>
      <c r="I155" s="15">
        <f>IFERROR(__xludf.DUMMYFUNCTION("""COMPUTED_VALUE"""),1.0)</f>
        <v>1</v>
      </c>
      <c r="J155" s="15">
        <f>IFERROR(__xludf.DUMMYFUNCTION("""COMPUTED_VALUE"""),0.0)</f>
        <v>0</v>
      </c>
      <c r="K155" s="15">
        <f>IFERROR(__xludf.DUMMYFUNCTION("""COMPUTED_VALUE"""),2.0)</f>
        <v>2</v>
      </c>
    </row>
    <row r="156" ht="15.75" customHeight="1">
      <c r="A156" s="14" t="str">
        <f>IFERROR(__xludf.DUMMYFUNCTION("""COMPUTED_VALUE"""),"https://ppcgeeks.co.uk/ecommerce-ppc/")</f>
        <v>https://ppcgeeks.co.uk/ecommerce-ppc/</v>
      </c>
      <c r="B156" s="15" t="str">
        <f>IFERROR(__xludf.DUMMYFUNCTION("""COMPUTED_VALUE"""),"eCommerce PPC: The Best in The Business - PPC Geeks")</f>
        <v>eCommerce PPC: The Best in The Business - PPC Geeks</v>
      </c>
      <c r="C156" s="14" t="str">
        <f>IFERROR(__xludf.DUMMYFUNCTION("""COMPUTED_VALUE"""),"ppcgeeks.co.uk")</f>
        <v>ppcgeeks.co.uk</v>
      </c>
      <c r="D156" s="15" t="str">
        <f>IFERROR(__xludf.DUMMYFUNCTION("""COMPUTED_VALUE"""),"PRODUCT_PAGE")</f>
        <v>PRODUCT_PAGE</v>
      </c>
      <c r="E156" s="15" t="str">
        <f>IFERROR(__xludf.DUMMYFUNCTION("""COMPUTED_VALUE"""),"COMPETITOR")</f>
        <v>COMPETITOR</v>
      </c>
      <c r="F156" s="15" t="str">
        <f>IFERROR(__xludf.DUMMYFUNCTION("""COMPUTED_VALUE"""),"Product Page")</f>
        <v>Product Page</v>
      </c>
      <c r="G156" s="15" t="b">
        <f>IFERROR(__xludf.DUMMYFUNCTION("""COMPUTED_VALUE"""),FALSE)</f>
        <v>0</v>
      </c>
      <c r="H156" s="15" t="str">
        <f>IFERROR(__xludf.DUMMYFUNCTION("""COMPUTED_VALUE"""),"PPC Geeks, Momentum")</f>
        <v>PPC Geeks, Momentum</v>
      </c>
      <c r="I156" s="15">
        <f>IFERROR(__xludf.DUMMYFUNCTION("""COMPUTED_VALUE"""),1.0)</f>
        <v>1</v>
      </c>
      <c r="J156" s="15">
        <f>IFERROR(__xludf.DUMMYFUNCTION("""COMPUTED_VALUE"""),0.0)</f>
        <v>0</v>
      </c>
      <c r="K156" s="15">
        <f>IFERROR(__xludf.DUMMYFUNCTION("""COMPUTED_VALUE"""),1.0)</f>
        <v>1</v>
      </c>
    </row>
    <row r="157" ht="15.75" customHeight="1">
      <c r="A157" s="14" t="str">
        <f>IFERROR(__xludf.DUMMYFUNCTION("""COMPUTED_VALUE"""),"https://prioritypixels.co.uk/about/google-partner/")</f>
        <v>https://prioritypixels.co.uk/about/google-partner/</v>
      </c>
      <c r="B157" s="15" t="str">
        <f>IFERROR(__xludf.DUMMYFUNCTION("""COMPUTED_VALUE"""),"Google Partner Agency - Certified Google Ads Specialists")</f>
        <v>Google Partner Agency - Certified Google Ads Specialists</v>
      </c>
      <c r="C157" s="14" t="str">
        <f>IFERROR(__xludf.DUMMYFUNCTION("""COMPUTED_VALUE"""),"prioritypixels.co.uk")</f>
        <v>prioritypixels.co.uk</v>
      </c>
      <c r="D157" s="15" t="str">
        <f>IFERROR(__xludf.DUMMYFUNCTION("""COMPUTED_VALUE"""),"PRODUCT_PAGE")</f>
        <v>PRODUCT_PAGE</v>
      </c>
      <c r="E157" s="15" t="str">
        <f>IFERROR(__xludf.DUMMYFUNCTION("""COMPUTED_VALUE"""),"CORPORATE")</f>
        <v>CORPORATE</v>
      </c>
      <c r="F157" s="15" t="str">
        <f>IFERROR(__xludf.DUMMYFUNCTION("""COMPUTED_VALUE"""),"Product Page")</f>
        <v>Product Page</v>
      </c>
      <c r="G157" s="15" t="b">
        <f>IFERROR(__xludf.DUMMYFUNCTION("""COMPUTED_VALUE"""),FALSE)</f>
        <v>0</v>
      </c>
      <c r="H157" s="15" t="str">
        <f>IFERROR(__xludf.DUMMYFUNCTION("""COMPUTED_VALUE"""),"Found")</f>
        <v>Found</v>
      </c>
      <c r="I157" s="15">
        <f>IFERROR(__xludf.DUMMYFUNCTION("""COMPUTED_VALUE"""),1.0)</f>
        <v>1</v>
      </c>
      <c r="J157" s="15">
        <f>IFERROR(__xludf.DUMMYFUNCTION("""COMPUTED_VALUE"""),0.0)</f>
        <v>0</v>
      </c>
      <c r="K157" s="15">
        <f>IFERROR(__xludf.DUMMYFUNCTION("""COMPUTED_VALUE"""),0.0)</f>
        <v>0</v>
      </c>
    </row>
    <row r="158" ht="15.75" customHeight="1">
      <c r="A158" s="14" t="str">
        <f>IFERROR(__xludf.DUMMYFUNCTION("""COMPUTED_VALUE"""),"https://www.propeller.co.uk/luxury-marketing-agency")</f>
        <v>https://www.propeller.co.uk/luxury-marketing-agency</v>
      </c>
      <c r="B158" s="15" t="str">
        <f>IFERROR(__xludf.DUMMYFUNCTION("""COMPUTED_VALUE"""),"Luxury Marketing Agency | Targeting UHNWIs | Propeller Digital")</f>
        <v>Luxury Marketing Agency | Targeting UHNWIs | Propeller Digital</v>
      </c>
      <c r="C158" s="14" t="str">
        <f>IFERROR(__xludf.DUMMYFUNCTION("""COMPUTED_VALUE"""),"propeller.co.uk")</f>
        <v>propeller.co.uk</v>
      </c>
      <c r="D158" s="15" t="str">
        <f>IFERROR(__xludf.DUMMYFUNCTION("""COMPUTED_VALUE"""),"PRODUCT_PAGE")</f>
        <v>PRODUCT_PAGE</v>
      </c>
      <c r="E158" s="15" t="str">
        <f>IFERROR(__xludf.DUMMYFUNCTION("""COMPUTED_VALUE"""),"CORPORATE")</f>
        <v>CORPORATE</v>
      </c>
      <c r="F158" s="15" t="str">
        <f>IFERROR(__xludf.DUMMYFUNCTION("""COMPUTED_VALUE"""),"Product Page")</f>
        <v>Product Page</v>
      </c>
      <c r="G158" s="15" t="b">
        <f>IFERROR(__xludf.DUMMYFUNCTION("""COMPUTED_VALUE"""),FALSE)</f>
        <v>0</v>
      </c>
      <c r="H158" s="15" t="str">
        <f>IFERROR(__xludf.DUMMYFUNCTION("""COMPUTED_VALUE"""),"Propeller")</f>
        <v>Propeller</v>
      </c>
      <c r="I158" s="15">
        <f>IFERROR(__xludf.DUMMYFUNCTION("""COMPUTED_VALUE"""),1.0)</f>
        <v>1</v>
      </c>
      <c r="J158" s="15">
        <f>IFERROR(__xludf.DUMMYFUNCTION("""COMPUTED_VALUE"""),0.0)</f>
        <v>0</v>
      </c>
      <c r="K158" s="15">
        <f>IFERROR(__xludf.DUMMYFUNCTION("""COMPUTED_VALUE"""),1.0)</f>
        <v>1</v>
      </c>
    </row>
    <row r="159" ht="15.75" customHeight="1">
      <c r="A159" s="14" t="str">
        <f>IFERROR(__xludf.DUMMYFUNCTION("""COMPUTED_VALUE"""),"https://www.pushgroup.co.uk/google-ads-adwords-google-ppc-management-agency-london")</f>
        <v>https://www.pushgroup.co.uk/google-ads-adwords-google-ppc-management-agency-london</v>
      </c>
      <c r="B159" s="15" t="str">
        <f>IFERROR(__xludf.DUMMYFUNCTION("""COMPUTED_VALUE"""),"Google Ads and PPC Management Agency in London | PUSH")</f>
        <v>Google Ads and PPC Management Agency in London | PUSH</v>
      </c>
      <c r="C159" s="14" t="str">
        <f>IFERROR(__xludf.DUMMYFUNCTION("""COMPUTED_VALUE"""),"pushgroup.co.uk")</f>
        <v>pushgroup.co.uk</v>
      </c>
      <c r="D159" s="15" t="str">
        <f>IFERROR(__xludf.DUMMYFUNCTION("""COMPUTED_VALUE"""),"PRODUCT_PAGE")</f>
        <v>PRODUCT_PAGE</v>
      </c>
      <c r="E159" s="15" t="str">
        <f>IFERROR(__xludf.DUMMYFUNCTION("""COMPUTED_VALUE"""),"COMPETITOR")</f>
        <v>COMPETITOR</v>
      </c>
      <c r="F159" s="15" t="str">
        <f>IFERROR(__xludf.DUMMYFUNCTION("""COMPUTED_VALUE"""),"Product Page")</f>
        <v>Product Page</v>
      </c>
      <c r="G159" s="15" t="b">
        <f>IFERROR(__xludf.DUMMYFUNCTION("""COMPUTED_VALUE"""),FALSE)</f>
        <v>0</v>
      </c>
      <c r="H159" s="15" t="str">
        <f>IFERROR(__xludf.DUMMYFUNCTION("""COMPUTED_VALUE"""),"Push, Push Group")</f>
        <v>Push, Push Group</v>
      </c>
      <c r="I159" s="15">
        <f>IFERROR(__xludf.DUMMYFUNCTION("""COMPUTED_VALUE"""),1.0)</f>
        <v>1</v>
      </c>
      <c r="J159" s="15">
        <f>IFERROR(__xludf.DUMMYFUNCTION("""COMPUTED_VALUE"""),0.0)</f>
        <v>0</v>
      </c>
      <c r="K159" s="15">
        <f>IFERROR(__xludf.DUMMYFUNCTION("""COMPUTED_VALUE"""),1.0)</f>
        <v>1</v>
      </c>
    </row>
    <row r="160" ht="15.75" customHeight="1">
      <c r="A160" s="14" t="str">
        <f>IFERROR(__xludf.DUMMYFUNCTION("""COMPUTED_VALUE"""),"https://www.q5partners.com/where-we-work/media/")</f>
        <v>https://www.q5partners.com/where-we-work/media/</v>
      </c>
      <c r="B160" s="15" t="str">
        <f>IFERROR(__xludf.DUMMYFUNCTION("""COMPUTED_VALUE"""),"Media Business Consulting | Q5")</f>
        <v>Media Business Consulting | Q5</v>
      </c>
      <c r="C160" s="14" t="str">
        <f>IFERROR(__xludf.DUMMYFUNCTION("""COMPUTED_VALUE"""),"q5partners.com")</f>
        <v>q5partners.com</v>
      </c>
      <c r="D160" s="15" t="str">
        <f>IFERROR(__xludf.DUMMYFUNCTION("""COMPUTED_VALUE"""),"PRODUCT_PAGE")</f>
        <v>PRODUCT_PAGE</v>
      </c>
      <c r="E160" s="15" t="str">
        <f>IFERROR(__xludf.DUMMYFUNCTION("""COMPUTED_VALUE"""),"CORPORATE")</f>
        <v>CORPORATE</v>
      </c>
      <c r="F160" s="15" t="str">
        <f>IFERROR(__xludf.DUMMYFUNCTION("""COMPUTED_VALUE"""),"Product Page")</f>
        <v>Product Page</v>
      </c>
      <c r="G160" s="15" t="b">
        <f>IFERROR(__xludf.DUMMYFUNCTION("""COMPUTED_VALUE"""),FALSE)</f>
        <v>0</v>
      </c>
      <c r="H160" s="15"/>
      <c r="I160" s="15">
        <f>IFERROR(__xludf.DUMMYFUNCTION("""COMPUTED_VALUE"""),1.0)</f>
        <v>1</v>
      </c>
      <c r="J160" s="15">
        <f>IFERROR(__xludf.DUMMYFUNCTION("""COMPUTED_VALUE"""),0.0)</f>
        <v>0</v>
      </c>
      <c r="K160" s="15">
        <f>IFERROR(__xludf.DUMMYFUNCTION("""COMPUTED_VALUE"""),0.0)</f>
        <v>0</v>
      </c>
    </row>
    <row r="161" ht="15.75" customHeight="1">
      <c r="A161" s="14" t="str">
        <f>IFERROR(__xludf.DUMMYFUNCTION("""COMPUTED_VALUE"""),"https://queryclick.com/analytics-insights-attribution/")</f>
        <v>https://queryclick.com/analytics-insights-attribution/</v>
      </c>
      <c r="B161" s="15" t="str">
        <f>IFERROR(__xludf.DUMMYFUNCTION("""COMPUTED_VALUE"""),"Analytics Insights &amp;amp; Attribution - QueryClick")</f>
        <v>Analytics Insights &amp;amp; Attribution - QueryClick</v>
      </c>
      <c r="C161" s="14" t="str">
        <f>IFERROR(__xludf.DUMMYFUNCTION("""COMPUTED_VALUE"""),"queryclick.com")</f>
        <v>queryclick.com</v>
      </c>
      <c r="D161" s="15" t="str">
        <f>IFERROR(__xludf.DUMMYFUNCTION("""COMPUTED_VALUE"""),"PRODUCT_PAGE")</f>
        <v>PRODUCT_PAGE</v>
      </c>
      <c r="E161" s="15" t="str">
        <f>IFERROR(__xludf.DUMMYFUNCTION("""COMPUTED_VALUE"""),"COMPETITOR")</f>
        <v>COMPETITOR</v>
      </c>
      <c r="F161" s="15" t="str">
        <f>IFERROR(__xludf.DUMMYFUNCTION("""COMPUTED_VALUE"""),"Product Page")</f>
        <v>Product Page</v>
      </c>
      <c r="G161" s="15" t="b">
        <f>IFERROR(__xludf.DUMMYFUNCTION("""COMPUTED_VALUE"""),FALSE)</f>
        <v>0</v>
      </c>
      <c r="H161" s="15" t="str">
        <f>IFERROR(__xludf.DUMMYFUNCTION("""COMPUTED_VALUE"""),"QueryClick")</f>
        <v>QueryClick</v>
      </c>
      <c r="I161" s="15">
        <f>IFERROR(__xludf.DUMMYFUNCTION("""COMPUTED_VALUE"""),1.0)</f>
        <v>1</v>
      </c>
      <c r="J161" s="15">
        <f>IFERROR(__xludf.DUMMYFUNCTION("""COMPUTED_VALUE"""),0.0)</f>
        <v>0</v>
      </c>
      <c r="K161" s="15">
        <f>IFERROR(__xludf.DUMMYFUNCTION("""COMPUTED_VALUE"""),1.0)</f>
        <v>1</v>
      </c>
    </row>
    <row r="162" ht="15.75" customHeight="1">
      <c r="A162" s="14" t="str">
        <f>IFERROR(__xludf.DUMMYFUNCTION("""COMPUTED_VALUE"""),"https://www.reflectdigital.co.uk/paid-social")</f>
        <v>https://www.reflectdigital.co.uk/paid-social</v>
      </c>
      <c r="B162" s="15" t="str">
        <f>IFERROR(__xludf.DUMMYFUNCTION("""COMPUTED_VALUE"""),"Paid Social Agency ▷ Next-Level Paid Social Media Services in London &amp;amp; Kent")</f>
        <v>Paid Social Agency ▷ Next-Level Paid Social Media Services in London &amp;amp; Kent</v>
      </c>
      <c r="C162" s="14" t="str">
        <f>IFERROR(__xludf.DUMMYFUNCTION("""COMPUTED_VALUE"""),"reflectdigital.co.uk")</f>
        <v>reflectdigital.co.uk</v>
      </c>
      <c r="D162" s="15" t="str">
        <f>IFERROR(__xludf.DUMMYFUNCTION("""COMPUTED_VALUE"""),"PRODUCT_PAGE")</f>
        <v>PRODUCT_PAGE</v>
      </c>
      <c r="E162" s="15" t="str">
        <f>IFERROR(__xludf.DUMMYFUNCTION("""COMPUTED_VALUE"""),"CORPORATE")</f>
        <v>CORPORATE</v>
      </c>
      <c r="F162" s="15" t="str">
        <f>IFERROR(__xludf.DUMMYFUNCTION("""COMPUTED_VALUE"""),"Product Page")</f>
        <v>Product Page</v>
      </c>
      <c r="G162" s="15" t="b">
        <f>IFERROR(__xludf.DUMMYFUNCTION("""COMPUTED_VALUE"""),FALSE)</f>
        <v>0</v>
      </c>
      <c r="H162" s="15" t="str">
        <f>IFERROR(__xludf.DUMMYFUNCTION("""COMPUTED_VALUE"""),"Huge")</f>
        <v>Huge</v>
      </c>
      <c r="I162" s="15">
        <f>IFERROR(__xludf.DUMMYFUNCTION("""COMPUTED_VALUE"""),1.0)</f>
        <v>1</v>
      </c>
      <c r="J162" s="15">
        <f>IFERROR(__xludf.DUMMYFUNCTION("""COMPUTED_VALUE"""),0.0)</f>
        <v>0</v>
      </c>
      <c r="K162" s="15">
        <f>IFERROR(__xludf.DUMMYFUNCTION("""COMPUTED_VALUE"""),0.0)</f>
        <v>0</v>
      </c>
    </row>
    <row r="163" ht="15.75" customHeight="1">
      <c r="A163" s="14" t="str">
        <f>IFERROR(__xludf.DUMMYFUNCTION("""COMPUTED_VALUE"""),"https://www.repindia.com/performace/performance-marketing-agency-in-uk")</f>
        <v>https://www.repindia.com/performace/performance-marketing-agency-in-uk</v>
      </c>
      <c r="B163" s="15" t="str">
        <f>IFERROR(__xludf.DUMMYFUNCTION("""COMPUTED_VALUE"""),"Performance Marketing Company/Agency in UK | Performance Marketing Services")</f>
        <v>Performance Marketing Company/Agency in UK | Performance Marketing Services</v>
      </c>
      <c r="C163" s="14" t="str">
        <f>IFERROR(__xludf.DUMMYFUNCTION("""COMPUTED_VALUE"""),"repindia.com")</f>
        <v>repindia.com</v>
      </c>
      <c r="D163" s="15" t="str">
        <f>IFERROR(__xludf.DUMMYFUNCTION("""COMPUTED_VALUE"""),"PRODUCT_PAGE")</f>
        <v>PRODUCT_PAGE</v>
      </c>
      <c r="E163" s="15" t="str">
        <f>IFERROR(__xludf.DUMMYFUNCTION("""COMPUTED_VALUE"""),"CORPORATE")</f>
        <v>CORPORATE</v>
      </c>
      <c r="F163" s="15" t="str">
        <f>IFERROR(__xludf.DUMMYFUNCTION("""COMPUTED_VALUE"""),"Product Page")</f>
        <v>Product Page</v>
      </c>
      <c r="G163" s="15" t="b">
        <f>IFERROR(__xludf.DUMMYFUNCTION("""COMPUTED_VALUE"""),FALSE)</f>
        <v>0</v>
      </c>
      <c r="H163" s="15"/>
      <c r="I163" s="15">
        <f>IFERROR(__xludf.DUMMYFUNCTION("""COMPUTED_VALUE"""),1.0)</f>
        <v>1</v>
      </c>
      <c r="J163" s="15">
        <f>IFERROR(__xludf.DUMMYFUNCTION("""COMPUTED_VALUE"""),0.0)</f>
        <v>0</v>
      </c>
      <c r="K163" s="15">
        <f>IFERROR(__xludf.DUMMYFUNCTION("""COMPUTED_VALUE"""),0.0)</f>
        <v>0</v>
      </c>
    </row>
    <row r="164" ht="15.75" customHeight="1">
      <c r="A164" s="14" t="str">
        <f>IFERROR(__xludf.DUMMYFUNCTION("""COMPUTED_VALUE"""),"https://www.rockerbox.com/testing")</f>
        <v>https://www.rockerbox.com/testing</v>
      </c>
      <c r="B164" s="15" t="str">
        <f>IFERROR(__xludf.DUMMYFUNCTION("""COMPUTED_VALUE"""),"Unlock Incrementality with Rockerbox Testing for Data-Backed Decisions | Rockerbox")</f>
        <v>Unlock Incrementality with Rockerbox Testing for Data-Backed Decisions | Rockerbox</v>
      </c>
      <c r="C164" s="14" t="str">
        <f>IFERROR(__xludf.DUMMYFUNCTION("""COMPUTED_VALUE"""),"rockerbox.com")</f>
        <v>rockerbox.com</v>
      </c>
      <c r="D164" s="15" t="str">
        <f>IFERROR(__xludf.DUMMYFUNCTION("""COMPUTED_VALUE"""),"PRODUCT_PAGE")</f>
        <v>PRODUCT_PAGE</v>
      </c>
      <c r="E164" s="15" t="str">
        <f>IFERROR(__xludf.DUMMYFUNCTION("""COMPUTED_VALUE"""),"COMPETITOR")</f>
        <v>COMPETITOR</v>
      </c>
      <c r="F164" s="15" t="str">
        <f>IFERROR(__xludf.DUMMYFUNCTION("""COMPUTED_VALUE"""),"Product Page")</f>
        <v>Product Page</v>
      </c>
      <c r="G164" s="15" t="b">
        <f>IFERROR(__xludf.DUMMYFUNCTION("""COMPUTED_VALUE"""),FALSE)</f>
        <v>0</v>
      </c>
      <c r="H164" s="15" t="str">
        <f>IFERROR(__xludf.DUMMYFUNCTION("""COMPUTED_VALUE"""),"Rockerbox")</f>
        <v>Rockerbox</v>
      </c>
      <c r="I164" s="15">
        <f>IFERROR(__xludf.DUMMYFUNCTION("""COMPUTED_VALUE"""),1.0)</f>
        <v>1</v>
      </c>
      <c r="J164" s="15">
        <f>IFERROR(__xludf.DUMMYFUNCTION("""COMPUTED_VALUE"""),0.0)</f>
        <v>0</v>
      </c>
      <c r="K164" s="15">
        <f>IFERROR(__xludf.DUMMYFUNCTION("""COMPUTED_VALUE"""),5.0)</f>
        <v>5</v>
      </c>
    </row>
    <row r="165" ht="15.75" customHeight="1">
      <c r="A165" s="14" t="str">
        <f>IFERROR(__xludf.DUMMYFUNCTION("""COMPUTED_VALUE"""),"https://scaleforte.co.uk/paid-social-services/")</f>
        <v>https://scaleforte.co.uk/paid-social-services/</v>
      </c>
      <c r="B165" s="15" t="str">
        <f>IFERROR(__xludf.DUMMYFUNCTION("""COMPUTED_VALUE"""),"Scaleforte: Paid Social Services | Hire Social Media Experts")</f>
        <v>Scaleforte: Paid Social Services | Hire Social Media Experts</v>
      </c>
      <c r="C165" s="14" t="str">
        <f>IFERROR(__xludf.DUMMYFUNCTION("""COMPUTED_VALUE"""),"scaleforte.co.uk")</f>
        <v>scaleforte.co.uk</v>
      </c>
      <c r="D165" s="15" t="str">
        <f>IFERROR(__xludf.DUMMYFUNCTION("""COMPUTED_VALUE"""),"PRODUCT_PAGE")</f>
        <v>PRODUCT_PAGE</v>
      </c>
      <c r="E165" s="15" t="str">
        <f>IFERROR(__xludf.DUMMYFUNCTION("""COMPUTED_VALUE"""),"CORPORATE")</f>
        <v>CORPORATE</v>
      </c>
      <c r="F165" s="15" t="str">
        <f>IFERROR(__xludf.DUMMYFUNCTION("""COMPUTED_VALUE"""),"Product Page")</f>
        <v>Product Page</v>
      </c>
      <c r="G165" s="15" t="b">
        <f>IFERROR(__xludf.DUMMYFUNCTION("""COMPUTED_VALUE"""),FALSE)</f>
        <v>0</v>
      </c>
      <c r="H165" s="15"/>
      <c r="I165" s="15">
        <f>IFERROR(__xludf.DUMMYFUNCTION("""COMPUTED_VALUE"""),1.0)</f>
        <v>1</v>
      </c>
      <c r="J165" s="15">
        <f>IFERROR(__xludf.DUMMYFUNCTION("""COMPUTED_VALUE"""),0.0)</f>
        <v>0</v>
      </c>
      <c r="K165" s="15">
        <f>IFERROR(__xludf.DUMMYFUNCTION("""COMPUTED_VALUE"""),0.0)</f>
        <v>0</v>
      </c>
    </row>
    <row r="166" ht="15.75" customHeight="1">
      <c r="A166" s="14" t="str">
        <f>IFERROR(__xludf.DUMMYFUNCTION("""COMPUTED_VALUE"""),"https://solvid.co.uk/services/geo-ai-seo/")</f>
        <v>https://solvid.co.uk/services/geo-ai-seo/</v>
      </c>
      <c r="B166" s="15" t="str">
        <f>IFERROR(__xludf.DUMMYFUNCTION("""COMPUTED_VALUE"""),"Generative Engine Optimisation and AI SEO Services | Solvid")</f>
        <v>Generative Engine Optimisation and AI SEO Services | Solvid</v>
      </c>
      <c r="C166" s="14" t="str">
        <f>IFERROR(__xludf.DUMMYFUNCTION("""COMPUTED_VALUE"""),"solvid.co.uk")</f>
        <v>solvid.co.uk</v>
      </c>
      <c r="D166" s="15" t="str">
        <f>IFERROR(__xludf.DUMMYFUNCTION("""COMPUTED_VALUE"""),"PRODUCT_PAGE")</f>
        <v>PRODUCT_PAGE</v>
      </c>
      <c r="E166" s="15" t="str">
        <f>IFERROR(__xludf.DUMMYFUNCTION("""COMPUTED_VALUE"""),"CORPORATE")</f>
        <v>CORPORATE</v>
      </c>
      <c r="F166" s="15" t="str">
        <f>IFERROR(__xludf.DUMMYFUNCTION("""COMPUTED_VALUE"""),"Product Page")</f>
        <v>Product Page</v>
      </c>
      <c r="G166" s="15" t="b">
        <f>IFERROR(__xludf.DUMMYFUNCTION("""COMPUTED_VALUE"""),FALSE)</f>
        <v>0</v>
      </c>
      <c r="H166" s="15" t="str">
        <f>IFERROR(__xludf.DUMMYFUNCTION("""COMPUTED_VALUE"""),"Push")</f>
        <v>Push</v>
      </c>
      <c r="I166" s="15">
        <f>IFERROR(__xludf.DUMMYFUNCTION("""COMPUTED_VALUE"""),1.0)</f>
        <v>1</v>
      </c>
      <c r="J166" s="15">
        <f>IFERROR(__xludf.DUMMYFUNCTION("""COMPUTED_VALUE"""),0.0)</f>
        <v>0</v>
      </c>
      <c r="K166" s="15">
        <f>IFERROR(__xludf.DUMMYFUNCTION("""COMPUTED_VALUE"""),1.0)</f>
        <v>1</v>
      </c>
    </row>
    <row r="167" ht="15.75" customHeight="1">
      <c r="A167" s="14" t="str">
        <f>IFERROR(__xludf.DUMMYFUNCTION("""COMPUTED_VALUE"""),"https://spaceandtime.co.uk/media/programmatic-agency")</f>
        <v>https://spaceandtime.co.uk/media/programmatic-agency</v>
      </c>
      <c r="B167" s="15" t="str">
        <f>IFERROR(__xludf.DUMMYFUNCTION("""COMPUTED_VALUE"""),"Our Programmatic Expertise Covers Online Display to CTV, DOOH - Space &amp;amp; Time")</f>
        <v>Our Programmatic Expertise Covers Online Display to CTV, DOOH - Space &amp;amp; Time</v>
      </c>
      <c r="C167" s="14" t="str">
        <f>IFERROR(__xludf.DUMMYFUNCTION("""COMPUTED_VALUE"""),"spaceandtime.co.uk")</f>
        <v>spaceandtime.co.uk</v>
      </c>
      <c r="D167" s="15" t="str">
        <f>IFERROR(__xludf.DUMMYFUNCTION("""COMPUTED_VALUE"""),"PRODUCT_PAGE")</f>
        <v>PRODUCT_PAGE</v>
      </c>
      <c r="E167" s="15" t="str">
        <f>IFERROR(__xludf.DUMMYFUNCTION("""COMPUTED_VALUE"""),"CORPORATE")</f>
        <v>CORPORATE</v>
      </c>
      <c r="F167" s="15" t="str">
        <f>IFERROR(__xludf.DUMMYFUNCTION("""COMPUTED_VALUE"""),"Product Page")</f>
        <v>Product Page</v>
      </c>
      <c r="G167" s="15" t="b">
        <f>IFERROR(__xludf.DUMMYFUNCTION("""COMPUTED_VALUE"""),FALSE)</f>
        <v>0</v>
      </c>
      <c r="H167" s="15" t="str">
        <f>IFERROR(__xludf.DUMMYFUNCTION("""COMPUTED_VALUE"""),"EY")</f>
        <v>EY</v>
      </c>
      <c r="I167" s="15">
        <f>IFERROR(__xludf.DUMMYFUNCTION("""COMPUTED_VALUE"""),1.0)</f>
        <v>1</v>
      </c>
      <c r="J167" s="15">
        <f>IFERROR(__xludf.DUMMYFUNCTION("""COMPUTED_VALUE"""),0.0)</f>
        <v>0</v>
      </c>
      <c r="K167" s="15">
        <f>IFERROR(__xludf.DUMMYFUNCTION("""COMPUTED_VALUE"""),0.0)</f>
        <v>0</v>
      </c>
    </row>
    <row r="168" ht="15.75" customHeight="1">
      <c r="A168" s="14" t="str">
        <f>IFERROR(__xludf.DUMMYFUNCTION("""COMPUTED_VALUE"""),"https://www.sqdigital.co.uk/geo-agency/#:~:text=Source%20and%20signal%20mapping%3A%20We,video%20content%20in%20technical%20searches.")</f>
        <v>https://www.sqdigital.co.uk/geo-agency/#:~:text=Source%20and%20signal%20mapping%3A%20We,video%20content%20in%20technical%20searches.</v>
      </c>
      <c r="B168" s="15" t="str">
        <f>IFERROR(__xludf.DUMMYFUNCTION("""COMPUTED_VALUE"""),"AI/GEO/LLM Search Visibility Services | SQ Digital")</f>
        <v>AI/GEO/LLM Search Visibility Services | SQ Digital</v>
      </c>
      <c r="C168" s="14" t="str">
        <f>IFERROR(__xludf.DUMMYFUNCTION("""COMPUTED_VALUE"""),"sqdigital.co.uk")</f>
        <v>sqdigital.co.uk</v>
      </c>
      <c r="D168" s="15" t="str">
        <f>IFERROR(__xludf.DUMMYFUNCTION("""COMPUTED_VALUE"""),"PRODUCT_PAGE")</f>
        <v>PRODUCT_PAGE</v>
      </c>
      <c r="E168" s="15" t="str">
        <f>IFERROR(__xludf.DUMMYFUNCTION("""COMPUTED_VALUE"""),"CORPORATE")</f>
        <v>CORPORATE</v>
      </c>
      <c r="F168" s="15" t="str">
        <f>IFERROR(__xludf.DUMMYFUNCTION("""COMPUTED_VALUE"""),"Product Page")</f>
        <v>Product Page</v>
      </c>
      <c r="G168" s="15" t="b">
        <f>IFERROR(__xludf.DUMMYFUNCTION("""COMPUTED_VALUE"""),FALSE)</f>
        <v>0</v>
      </c>
      <c r="H168" s="15" t="str">
        <f>IFERROR(__xludf.DUMMYFUNCTION("""COMPUTED_VALUE"""),"Transmission")</f>
        <v>Transmission</v>
      </c>
      <c r="I168" s="15">
        <f>IFERROR(__xludf.DUMMYFUNCTION("""COMPUTED_VALUE"""),1.0)</f>
        <v>1</v>
      </c>
      <c r="J168" s="15">
        <f>IFERROR(__xludf.DUMMYFUNCTION("""COMPUTED_VALUE"""),0.0)</f>
        <v>0</v>
      </c>
      <c r="K168" s="15">
        <f>IFERROR(__xludf.DUMMYFUNCTION("""COMPUTED_VALUE"""),1.0)</f>
        <v>1</v>
      </c>
    </row>
    <row r="169" ht="15.75" customHeight="1">
      <c r="A169" s="14" t="str">
        <f>IFERROR(__xludf.DUMMYFUNCTION("""COMPUTED_VALUE"""),"https://www.synapgrowth.agency/paid-social-marketing-agency-uk/")</f>
        <v>https://www.synapgrowth.agency/paid-social-marketing-agency-uk/</v>
      </c>
      <c r="B169" s="15" t="str">
        <f>IFERROR(__xludf.DUMMYFUNCTION("""COMPUTED_VALUE"""),"Paid Social Media Agency London | Meta, TikTok, LinkedIn | Synap Growth")</f>
        <v>Paid Social Media Agency London | Meta, TikTok, LinkedIn | Synap Growth</v>
      </c>
      <c r="C169" s="15" t="str">
        <f>IFERROR(__xludf.DUMMYFUNCTION("""COMPUTED_VALUE"""),"synapgrowth.agency")</f>
        <v>synapgrowth.agency</v>
      </c>
      <c r="D169" s="15" t="str">
        <f>IFERROR(__xludf.DUMMYFUNCTION("""COMPUTED_VALUE"""),"PRODUCT_PAGE")</f>
        <v>PRODUCT_PAGE</v>
      </c>
      <c r="E169" s="15" t="str">
        <f>IFERROR(__xludf.DUMMYFUNCTION("""COMPUTED_VALUE"""),"CORPORATE")</f>
        <v>CORPORATE</v>
      </c>
      <c r="F169" s="15" t="str">
        <f>IFERROR(__xludf.DUMMYFUNCTION("""COMPUTED_VALUE"""),"Product Page")</f>
        <v>Product Page</v>
      </c>
      <c r="G169" s="15" t="b">
        <f>IFERROR(__xludf.DUMMYFUNCTION("""COMPUTED_VALUE"""),FALSE)</f>
        <v>0</v>
      </c>
      <c r="H169" s="15"/>
      <c r="I169" s="15">
        <f>IFERROR(__xludf.DUMMYFUNCTION("""COMPUTED_VALUE"""),1.0)</f>
        <v>1</v>
      </c>
      <c r="J169" s="15">
        <f>IFERROR(__xludf.DUMMYFUNCTION("""COMPUTED_VALUE"""),0.0)</f>
        <v>0</v>
      </c>
      <c r="K169" s="15">
        <f>IFERROR(__xludf.DUMMYFUNCTION("""COMPUTED_VALUE"""),3.0)</f>
        <v>3</v>
      </c>
    </row>
    <row r="170" ht="15.75" customHeight="1">
      <c r="A170" s="14" t="str">
        <f>IFERROR(__xludf.DUMMYFUNCTION("""COMPUTED_VALUE"""),"https://www.taylorherring.com/about-us/")</f>
        <v>https://www.taylorherring.com/about-us/</v>
      </c>
      <c r="B170" s="15" t="str">
        <f>IFERROR(__xludf.DUMMYFUNCTION("""COMPUTED_VALUE"""),"About Us | Taylor Herring")</f>
        <v>About Us | Taylor Herring</v>
      </c>
      <c r="C170" s="14" t="str">
        <f>IFERROR(__xludf.DUMMYFUNCTION("""COMPUTED_VALUE"""),"taylorherring.com")</f>
        <v>taylorherring.com</v>
      </c>
      <c r="D170" s="15" t="str">
        <f>IFERROR(__xludf.DUMMYFUNCTION("""COMPUTED_VALUE"""),"PRODUCT_PAGE")</f>
        <v>PRODUCT_PAGE</v>
      </c>
      <c r="E170" s="15" t="str">
        <f>IFERROR(__xludf.DUMMYFUNCTION("""COMPUTED_VALUE"""),"CORPORATE")</f>
        <v>CORPORATE</v>
      </c>
      <c r="F170" s="15" t="str">
        <f>IFERROR(__xludf.DUMMYFUNCTION("""COMPUTED_VALUE"""),"Product Page")</f>
        <v>Product Page</v>
      </c>
      <c r="G170" s="15" t="b">
        <f>IFERROR(__xludf.DUMMYFUNCTION("""COMPUTED_VALUE"""),FALSE)</f>
        <v>0</v>
      </c>
      <c r="H170" s="15" t="str">
        <f>IFERROR(__xludf.DUMMYFUNCTION("""COMPUTED_VALUE"""),"Huge")</f>
        <v>Huge</v>
      </c>
      <c r="I170" s="15">
        <f>IFERROR(__xludf.DUMMYFUNCTION("""COMPUTED_VALUE"""),1.0)</f>
        <v>1</v>
      </c>
      <c r="J170" s="15">
        <f>IFERROR(__xludf.DUMMYFUNCTION("""COMPUTED_VALUE"""),0.0)</f>
        <v>0</v>
      </c>
      <c r="K170" s="15">
        <f>IFERROR(__xludf.DUMMYFUNCTION("""COMPUTED_VALUE"""),0.0)</f>
        <v>0</v>
      </c>
    </row>
    <row r="171" ht="15.75" customHeight="1">
      <c r="A171" s="14" t="str">
        <f>IFERROR(__xludf.DUMMYFUNCTION("""COMPUTED_VALUE"""),"https://technologyarch.com/it-consulting/ai-adoption/")</f>
        <v>https://technologyarch.com/it-consulting/ai-adoption/</v>
      </c>
      <c r="B171" s="15" t="str">
        <f>IFERROR(__xludf.DUMMYFUNCTION("""COMPUTED_VALUE"""),"AI Adoption Consulting in Minneapolis, Green Bay &amp;amp; Denver")</f>
        <v>AI Adoption Consulting in Minneapolis, Green Bay &amp;amp; Denver</v>
      </c>
      <c r="C171" s="14" t="str">
        <f>IFERROR(__xludf.DUMMYFUNCTION("""COMPUTED_VALUE"""),"technologyarch.com")</f>
        <v>technologyarch.com</v>
      </c>
      <c r="D171" s="15" t="str">
        <f>IFERROR(__xludf.DUMMYFUNCTION("""COMPUTED_VALUE"""),"PRODUCT_PAGE")</f>
        <v>PRODUCT_PAGE</v>
      </c>
      <c r="E171" s="15" t="str">
        <f>IFERROR(__xludf.DUMMYFUNCTION("""COMPUTED_VALUE"""),"CORPORATE")</f>
        <v>CORPORATE</v>
      </c>
      <c r="F171" s="15" t="str">
        <f>IFERROR(__xludf.DUMMYFUNCTION("""COMPUTED_VALUE"""),"Product Page")</f>
        <v>Product Page</v>
      </c>
      <c r="G171" s="15" t="b">
        <f>IFERROR(__xludf.DUMMYFUNCTION("""COMPUTED_VALUE"""),FALSE)</f>
        <v>0</v>
      </c>
      <c r="H171" s="15"/>
      <c r="I171" s="15">
        <f>IFERROR(__xludf.DUMMYFUNCTION("""COMPUTED_VALUE"""),1.0)</f>
        <v>1</v>
      </c>
      <c r="J171" s="15">
        <f>IFERROR(__xludf.DUMMYFUNCTION("""COMPUTED_VALUE"""),0.0)</f>
        <v>0</v>
      </c>
      <c r="K171" s="15">
        <f>IFERROR(__xludf.DUMMYFUNCTION("""COMPUTED_VALUE"""),0.0)</f>
        <v>0</v>
      </c>
    </row>
    <row r="172" ht="15.75" customHeight="1">
      <c r="A172" s="14" t="str">
        <f>IFERROR(__xludf.DUMMYFUNCTION("""COMPUTED_VALUE"""),"https://www.thelaneagency.com/media/paid-social/")</f>
        <v>https://www.thelaneagency.com/media/paid-social/</v>
      </c>
      <c r="B172" s="15" t="str">
        <f>IFERROR(__xludf.DUMMYFUNCTION("""COMPUTED_VALUE"""),"Paid Social Agency Edinburgh – Boost Reach &amp;amp; Engagement")</f>
        <v>Paid Social Agency Edinburgh – Boost Reach &amp;amp; Engagement</v>
      </c>
      <c r="C172" s="14" t="str">
        <f>IFERROR(__xludf.DUMMYFUNCTION("""COMPUTED_VALUE"""),"thelaneagency.com")</f>
        <v>thelaneagency.com</v>
      </c>
      <c r="D172" s="15" t="str">
        <f>IFERROR(__xludf.DUMMYFUNCTION("""COMPUTED_VALUE"""),"PRODUCT_PAGE")</f>
        <v>PRODUCT_PAGE</v>
      </c>
      <c r="E172" s="15" t="str">
        <f>IFERROR(__xludf.DUMMYFUNCTION("""COMPUTED_VALUE"""),"CORPORATE")</f>
        <v>CORPORATE</v>
      </c>
      <c r="F172" s="15" t="str">
        <f>IFERROR(__xludf.DUMMYFUNCTION("""COMPUTED_VALUE"""),"Product Page")</f>
        <v>Product Page</v>
      </c>
      <c r="G172" s="15" t="b">
        <f>IFERROR(__xludf.DUMMYFUNCTION("""COMPUTED_VALUE"""),FALSE)</f>
        <v>0</v>
      </c>
      <c r="H172" s="15"/>
      <c r="I172" s="15">
        <f>IFERROR(__xludf.DUMMYFUNCTION("""COMPUTED_VALUE"""),1.0)</f>
        <v>1</v>
      </c>
      <c r="J172" s="15">
        <f>IFERROR(__xludf.DUMMYFUNCTION("""COMPUTED_VALUE"""),0.0)</f>
        <v>0</v>
      </c>
      <c r="K172" s="15">
        <f>IFERROR(__xludf.DUMMYFUNCTION("""COMPUTED_VALUE"""),1.0)</f>
        <v>1</v>
      </c>
    </row>
    <row r="173" ht="15.75" customHeight="1">
      <c r="A173" s="14" t="str">
        <f>IFERROR(__xludf.DUMMYFUNCTION("""COMPUTED_VALUE"""),"https://thriveagency.com/london-digital-marketing-agency/")</f>
        <v>https://thriveagency.com/london-digital-marketing-agency/</v>
      </c>
      <c r="B173" s="15" t="str">
        <f>IFERROR(__xludf.DUMMYFUNCTION("""COMPUTED_VALUE"""),"London Digital Marketing Agency | Best Online Marketing Services")</f>
        <v>London Digital Marketing Agency | Best Online Marketing Services</v>
      </c>
      <c r="C173" s="14" t="str">
        <f>IFERROR(__xludf.DUMMYFUNCTION("""COMPUTED_VALUE"""),"thriveagency.com")</f>
        <v>thriveagency.com</v>
      </c>
      <c r="D173" s="15" t="str">
        <f>IFERROR(__xludf.DUMMYFUNCTION("""COMPUTED_VALUE"""),"PRODUCT_PAGE")</f>
        <v>PRODUCT_PAGE</v>
      </c>
      <c r="E173" s="15" t="str">
        <f>IFERROR(__xludf.DUMMYFUNCTION("""COMPUTED_VALUE"""),"CORPORATE")</f>
        <v>CORPORATE</v>
      </c>
      <c r="F173" s="15" t="str">
        <f>IFERROR(__xludf.DUMMYFUNCTION("""COMPUTED_VALUE"""),"Product Page")</f>
        <v>Product Page</v>
      </c>
      <c r="G173" s="15" t="b">
        <f>IFERROR(__xludf.DUMMYFUNCTION("""COMPUTED_VALUE"""),FALSE)</f>
        <v>0</v>
      </c>
      <c r="H173" s="15"/>
      <c r="I173" s="15">
        <f>IFERROR(__xludf.DUMMYFUNCTION("""COMPUTED_VALUE"""),1.0)</f>
        <v>1</v>
      </c>
      <c r="J173" s="15">
        <f>IFERROR(__xludf.DUMMYFUNCTION("""COMPUTED_VALUE"""),0.0)</f>
        <v>0</v>
      </c>
      <c r="K173" s="15">
        <f>IFERROR(__xludf.DUMMYFUNCTION("""COMPUTED_VALUE"""),1.0)</f>
        <v>1</v>
      </c>
    </row>
    <row r="174" ht="15.75" customHeight="1">
      <c r="A174" s="14" t="str">
        <f>IFERROR(__xludf.DUMMYFUNCTION("""COMPUTED_VALUE"""),"https://tillison.co.uk/about/google-premier-partner/")</f>
        <v>https://tillison.co.uk/about/google-premier-partner/</v>
      </c>
      <c r="B174" s="15" t="str">
        <f>IFERROR(__xludf.DUMMYFUNCTION("""COMPUTED_VALUE"""),"Google Premier Partner Agency - Tillison Consulting")</f>
        <v>Google Premier Partner Agency - Tillison Consulting</v>
      </c>
      <c r="C174" s="14" t="str">
        <f>IFERROR(__xludf.DUMMYFUNCTION("""COMPUTED_VALUE"""),"tillison.co.uk")</f>
        <v>tillison.co.uk</v>
      </c>
      <c r="D174" s="15" t="str">
        <f>IFERROR(__xludf.DUMMYFUNCTION("""COMPUTED_VALUE"""),"PRODUCT_PAGE")</f>
        <v>PRODUCT_PAGE</v>
      </c>
      <c r="E174" s="15" t="str">
        <f>IFERROR(__xludf.DUMMYFUNCTION("""COMPUTED_VALUE"""),"CORPORATE")</f>
        <v>CORPORATE</v>
      </c>
      <c r="F174" s="15" t="str">
        <f>IFERROR(__xludf.DUMMYFUNCTION("""COMPUTED_VALUE"""),"Product Page")</f>
        <v>Product Page</v>
      </c>
      <c r="G174" s="15" t="b">
        <f>IFERROR(__xludf.DUMMYFUNCTION("""COMPUTED_VALUE"""),FALSE)</f>
        <v>0</v>
      </c>
      <c r="H174" s="15" t="str">
        <f>IFERROR(__xludf.DUMMYFUNCTION("""COMPUTED_VALUE"""),"Huge")</f>
        <v>Huge</v>
      </c>
      <c r="I174" s="15">
        <f>IFERROR(__xludf.DUMMYFUNCTION("""COMPUTED_VALUE"""),1.0)</f>
        <v>1</v>
      </c>
      <c r="J174" s="15">
        <f>IFERROR(__xludf.DUMMYFUNCTION("""COMPUTED_VALUE"""),0.0)</f>
        <v>0</v>
      </c>
      <c r="K174" s="15">
        <f>IFERROR(__xludf.DUMMYFUNCTION("""COMPUTED_VALUE"""),0.0)</f>
        <v>0</v>
      </c>
    </row>
    <row r="175" ht="15.75" customHeight="1">
      <c r="A175" s="14" t="str">
        <f>IFERROR(__xludf.DUMMYFUNCTION("""COMPUTED_VALUE"""),"https://www.unusualgroup.com/consulting/ai-transformation")</f>
        <v>https://www.unusualgroup.com/consulting/ai-transformation</v>
      </c>
      <c r="B175" s="15" t="str">
        <f>IFERROR(__xludf.DUMMYFUNCTION("""COMPUTED_VALUE"""),"Artificial Intelligence Consulting &amp;amp; AI Strategy | Unusual Group")</f>
        <v>Artificial Intelligence Consulting &amp;amp; AI Strategy | Unusual Group</v>
      </c>
      <c r="C175" s="14" t="str">
        <f>IFERROR(__xludf.DUMMYFUNCTION("""COMPUTED_VALUE"""),"unusualgroup.com")</f>
        <v>unusualgroup.com</v>
      </c>
      <c r="D175" s="15" t="str">
        <f>IFERROR(__xludf.DUMMYFUNCTION("""COMPUTED_VALUE"""),"PRODUCT_PAGE")</f>
        <v>PRODUCT_PAGE</v>
      </c>
      <c r="E175" s="15" t="str">
        <f>IFERROR(__xludf.DUMMYFUNCTION("""COMPUTED_VALUE"""),"CORPORATE")</f>
        <v>CORPORATE</v>
      </c>
      <c r="F175" s="15" t="str">
        <f>IFERROR(__xludf.DUMMYFUNCTION("""COMPUTED_VALUE"""),"Product Page")</f>
        <v>Product Page</v>
      </c>
      <c r="G175" s="15" t="b">
        <f>IFERROR(__xludf.DUMMYFUNCTION("""COMPUTED_VALUE"""),FALSE)</f>
        <v>0</v>
      </c>
      <c r="H175" s="15"/>
      <c r="I175" s="15">
        <f>IFERROR(__xludf.DUMMYFUNCTION("""COMPUTED_VALUE"""),1.0)</f>
        <v>1</v>
      </c>
      <c r="J175" s="15">
        <f>IFERROR(__xludf.DUMMYFUNCTION("""COMPUTED_VALUE"""),0.0)</f>
        <v>0</v>
      </c>
      <c r="K175" s="15">
        <f>IFERROR(__xludf.DUMMYFUNCTION("""COMPUTED_VALUE"""),1.0)</f>
        <v>1</v>
      </c>
    </row>
    <row r="176" ht="15.75" customHeight="1">
      <c r="A176" s="14" t="str">
        <f>IFERROR(__xludf.DUMMYFUNCTION("""COMPUTED_VALUE"""),"https://urbanmedia.co.uk/display-advertising-agency/")</f>
        <v>https://urbanmedia.co.uk/display-advertising-agency/</v>
      </c>
      <c r="B176" s="15" t="str">
        <f>IFERROR(__xludf.DUMMYFUNCTION("""COMPUTED_VALUE"""),"Display Advertising Agency - Urban Media")</f>
        <v>Display Advertising Agency - Urban Media</v>
      </c>
      <c r="C176" s="14" t="str">
        <f>IFERROR(__xludf.DUMMYFUNCTION("""COMPUTED_VALUE"""),"urbanmedia.co.uk")</f>
        <v>urbanmedia.co.uk</v>
      </c>
      <c r="D176" s="15" t="str">
        <f>IFERROR(__xludf.DUMMYFUNCTION("""COMPUTED_VALUE"""),"PRODUCT_PAGE")</f>
        <v>PRODUCT_PAGE</v>
      </c>
      <c r="E176" s="15" t="str">
        <f>IFERROR(__xludf.DUMMYFUNCTION("""COMPUTED_VALUE"""),"CORPORATE")</f>
        <v>CORPORATE</v>
      </c>
      <c r="F176" s="15" t="str">
        <f>IFERROR(__xludf.DUMMYFUNCTION("""COMPUTED_VALUE"""),"Product Page")</f>
        <v>Product Page</v>
      </c>
      <c r="G176" s="15" t="b">
        <f>IFERROR(__xludf.DUMMYFUNCTION("""COMPUTED_VALUE"""),FALSE)</f>
        <v>0</v>
      </c>
      <c r="H176" s="15" t="str">
        <f>IFERROR(__xludf.DUMMYFUNCTION("""COMPUTED_VALUE"""),"Measured")</f>
        <v>Measured</v>
      </c>
      <c r="I176" s="15">
        <f>IFERROR(__xludf.DUMMYFUNCTION("""COMPUTED_VALUE"""),1.0)</f>
        <v>1</v>
      </c>
      <c r="J176" s="15">
        <f>IFERROR(__xludf.DUMMYFUNCTION("""COMPUTED_VALUE"""),0.0)</f>
        <v>0</v>
      </c>
      <c r="K176" s="15">
        <f>IFERROR(__xludf.DUMMYFUNCTION("""COMPUTED_VALUE"""),4.0)</f>
        <v>4</v>
      </c>
    </row>
    <row r="177" ht="15.75" customHeight="1">
      <c r="A177" s="14" t="str">
        <f>IFERROR(__xludf.DUMMYFUNCTION("""COMPUTED_VALUE"""),"https://verdtek.com/ai-adoption/")</f>
        <v>https://verdtek.com/ai-adoption/</v>
      </c>
      <c r="B177" s="15" t="str">
        <f>IFERROR(__xludf.DUMMYFUNCTION("""COMPUTED_VALUE"""),"AI Adoption - Verdtek")</f>
        <v>AI Adoption - Verdtek</v>
      </c>
      <c r="C177" s="14" t="str">
        <f>IFERROR(__xludf.DUMMYFUNCTION("""COMPUTED_VALUE"""),"verdtek.com")</f>
        <v>verdtek.com</v>
      </c>
      <c r="D177" s="15" t="str">
        <f>IFERROR(__xludf.DUMMYFUNCTION("""COMPUTED_VALUE"""),"PRODUCT_PAGE")</f>
        <v>PRODUCT_PAGE</v>
      </c>
      <c r="E177" s="15" t="str">
        <f>IFERROR(__xludf.DUMMYFUNCTION("""COMPUTED_VALUE"""),"CORPORATE")</f>
        <v>CORPORATE</v>
      </c>
      <c r="F177" s="15" t="str">
        <f>IFERROR(__xludf.DUMMYFUNCTION("""COMPUTED_VALUE"""),"Product Page")</f>
        <v>Product Page</v>
      </c>
      <c r="G177" s="15" t="b">
        <f>IFERROR(__xludf.DUMMYFUNCTION("""COMPUTED_VALUE"""),FALSE)</f>
        <v>0</v>
      </c>
      <c r="H177" s="15" t="str">
        <f>IFERROR(__xludf.DUMMYFUNCTION("""COMPUTED_VALUE"""),"Push")</f>
        <v>Push</v>
      </c>
      <c r="I177" s="15">
        <f>IFERROR(__xludf.DUMMYFUNCTION("""COMPUTED_VALUE"""),1.0)</f>
        <v>1</v>
      </c>
      <c r="J177" s="15">
        <f>IFERROR(__xludf.DUMMYFUNCTION("""COMPUTED_VALUE"""),0.0)</f>
        <v>0</v>
      </c>
      <c r="K177" s="15">
        <f>IFERROR(__xludf.DUMMYFUNCTION("""COMPUTED_VALUE"""),0.0)</f>
        <v>0</v>
      </c>
    </row>
    <row r="178" ht="15.75" customHeight="1">
      <c r="A178" s="14" t="str">
        <f>IFERROR(__xludf.DUMMYFUNCTION("""COMPUTED_VALUE"""),"https://www.wagada.co.uk/ai-marketing-agency/")</f>
        <v>https://www.wagada.co.uk/ai-marketing-agency/</v>
      </c>
      <c r="B178" s="15" t="str">
        <f>IFERROR(__xludf.DUMMYFUNCTION("""COMPUTED_VALUE"""),"AI Marketing Agency | Wagada Digital")</f>
        <v>AI Marketing Agency | Wagada Digital</v>
      </c>
      <c r="C178" s="14" t="str">
        <f>IFERROR(__xludf.DUMMYFUNCTION("""COMPUTED_VALUE"""),"wagada.co.uk")</f>
        <v>wagada.co.uk</v>
      </c>
      <c r="D178" s="15" t="str">
        <f>IFERROR(__xludf.DUMMYFUNCTION("""COMPUTED_VALUE"""),"PRODUCT_PAGE")</f>
        <v>PRODUCT_PAGE</v>
      </c>
      <c r="E178" s="15" t="str">
        <f>IFERROR(__xludf.DUMMYFUNCTION("""COMPUTED_VALUE"""),"OTHER")</f>
        <v>OTHER</v>
      </c>
      <c r="F178" s="15" t="str">
        <f>IFERROR(__xludf.DUMMYFUNCTION("""COMPUTED_VALUE"""),"Product Page")</f>
        <v>Product Page</v>
      </c>
      <c r="G178" s="15" t="b">
        <f>IFERROR(__xludf.DUMMYFUNCTION("""COMPUTED_VALUE"""),FALSE)</f>
        <v>0</v>
      </c>
      <c r="H178" s="15"/>
      <c r="I178" s="15">
        <f>IFERROR(__xludf.DUMMYFUNCTION("""COMPUTED_VALUE"""),1.0)</f>
        <v>1</v>
      </c>
      <c r="J178" s="15">
        <f>IFERROR(__xludf.DUMMYFUNCTION("""COMPUTED_VALUE"""),0.0)</f>
        <v>0</v>
      </c>
      <c r="K178" s="15">
        <f>IFERROR(__xludf.DUMMYFUNCTION("""COMPUTED_VALUE"""),1.0)</f>
        <v>1</v>
      </c>
    </row>
    <row r="179" ht="15.75" customHeight="1">
      <c r="A179" s="14" t="str">
        <f>IFERROR(__xludf.DUMMYFUNCTION("""COMPUTED_VALUE"""),"https://www.walkeragency.co.uk/creative-agency")</f>
        <v>https://www.walkeragency.co.uk/creative-agency</v>
      </c>
      <c r="B179" s="15" t="str">
        <f>IFERROR(__xludf.DUMMYFUNCTION("""COMPUTED_VALUE"""),"Creative Agency")</f>
        <v>Creative Agency</v>
      </c>
      <c r="C179" s="14" t="str">
        <f>IFERROR(__xludf.DUMMYFUNCTION("""COMPUTED_VALUE"""),"walkeragency.co.uk")</f>
        <v>walkeragency.co.uk</v>
      </c>
      <c r="D179" s="15" t="str">
        <f>IFERROR(__xludf.DUMMYFUNCTION("""COMPUTED_VALUE"""),"PRODUCT_PAGE")</f>
        <v>PRODUCT_PAGE</v>
      </c>
      <c r="E179" s="15" t="str">
        <f>IFERROR(__xludf.DUMMYFUNCTION("""COMPUTED_VALUE"""),"CORPORATE")</f>
        <v>CORPORATE</v>
      </c>
      <c r="F179" s="15" t="str">
        <f>IFERROR(__xludf.DUMMYFUNCTION("""COMPUTED_VALUE"""),"Product Page")</f>
        <v>Product Page</v>
      </c>
      <c r="G179" s="15" t="b">
        <f>IFERROR(__xludf.DUMMYFUNCTION("""COMPUTED_VALUE"""),FALSE)</f>
        <v>0</v>
      </c>
      <c r="H179" s="15" t="str">
        <f>IFERROR(__xludf.DUMMYFUNCTION("""COMPUTED_VALUE"""),"Found")</f>
        <v>Found</v>
      </c>
      <c r="I179" s="15">
        <f>IFERROR(__xludf.DUMMYFUNCTION("""COMPUTED_VALUE"""),1.0)</f>
        <v>1</v>
      </c>
      <c r="J179" s="15">
        <f>IFERROR(__xludf.DUMMYFUNCTION("""COMPUTED_VALUE"""),0.0)</f>
        <v>0</v>
      </c>
      <c r="K179" s="15">
        <f>IFERROR(__xludf.DUMMYFUNCTION("""COMPUTED_VALUE"""),0.0)</f>
        <v>0</v>
      </c>
    </row>
    <row r="180" ht="15.75" customHeight="1">
      <c r="A180" s="14" t="str">
        <f>IFERROR(__xludf.DUMMYFUNCTION("""COMPUTED_VALUE"""),"https://www.wearetenet.com/uk/growth/ai-seo-services")</f>
        <v>https://www.wearetenet.com/uk/growth/ai-seo-services</v>
      </c>
      <c r="B180" s="15" t="str">
        <f>IFERROR(__xludf.DUMMYFUNCTION("""COMPUTED_VALUE"""),"AI SEO Services London, UK | Best AI SEO Agency")</f>
        <v>AI SEO Services London, UK | Best AI SEO Agency</v>
      </c>
      <c r="C180" s="14" t="str">
        <f>IFERROR(__xludf.DUMMYFUNCTION("""COMPUTED_VALUE"""),"wearetenet.com")</f>
        <v>wearetenet.com</v>
      </c>
      <c r="D180" s="15" t="str">
        <f>IFERROR(__xludf.DUMMYFUNCTION("""COMPUTED_VALUE"""),"PRODUCT_PAGE")</f>
        <v>PRODUCT_PAGE</v>
      </c>
      <c r="E180" s="15" t="str">
        <f>IFERROR(__xludf.DUMMYFUNCTION("""COMPUTED_VALUE"""),"CORPORATE")</f>
        <v>CORPORATE</v>
      </c>
      <c r="F180" s="15" t="str">
        <f>IFERROR(__xludf.DUMMYFUNCTION("""COMPUTED_VALUE"""),"Product Page")</f>
        <v>Product Page</v>
      </c>
      <c r="G180" s="15" t="b">
        <f>IFERROR(__xludf.DUMMYFUNCTION("""COMPUTED_VALUE"""),FALSE)</f>
        <v>0</v>
      </c>
      <c r="H180" s="15" t="str">
        <f>IFERROR(__xludf.DUMMYFUNCTION("""COMPUTED_VALUE"""),"Ogilvy, Screaming Frog")</f>
        <v>Ogilvy, Screaming Frog</v>
      </c>
      <c r="I180" s="15">
        <f>IFERROR(__xludf.DUMMYFUNCTION("""COMPUTED_VALUE"""),1.0)</f>
        <v>1</v>
      </c>
      <c r="J180" s="15">
        <f>IFERROR(__xludf.DUMMYFUNCTION("""COMPUTED_VALUE"""),0.0)</f>
        <v>0</v>
      </c>
      <c r="K180" s="15">
        <f>IFERROR(__xludf.DUMMYFUNCTION("""COMPUTED_VALUE"""),0.0)</f>
        <v>0</v>
      </c>
    </row>
    <row r="181" ht="15.75" customHeight="1">
      <c r="A181" s="14" t="str">
        <f>IFERROR(__xludf.DUMMYFUNCTION("""COMPUTED_VALUE"""),"https://www.welcometothejungle.com/en/companies/ekimetrics/jobs/marketing-commercial-intern-6-months_london")</f>
        <v>https://www.welcometothejungle.com/en/companies/ekimetrics/jobs/marketing-commercial-intern-6-months_london</v>
      </c>
      <c r="B181" s="15" t="str">
        <f>IFERROR(__xludf.DUMMYFUNCTION("""COMPUTED_VALUE"""),"Marketing &amp;amp; Commercial Intern, 6 months – Ekimetrics – Internship in London")</f>
        <v>Marketing &amp;amp; Commercial Intern, 6 months – Ekimetrics – Internship in London</v>
      </c>
      <c r="C181" s="14" t="str">
        <f>IFERROR(__xludf.DUMMYFUNCTION("""COMPUTED_VALUE"""),"welcometothejungle.com")</f>
        <v>welcometothejungle.com</v>
      </c>
      <c r="D181" s="15" t="str">
        <f>IFERROR(__xludf.DUMMYFUNCTION("""COMPUTED_VALUE"""),"PRODUCT_PAGE")</f>
        <v>PRODUCT_PAGE</v>
      </c>
      <c r="E181" s="15" t="str">
        <f>IFERROR(__xludf.DUMMYFUNCTION("""COMPUTED_VALUE"""),"CORPORATE")</f>
        <v>CORPORATE</v>
      </c>
      <c r="F181" s="15" t="str">
        <f>IFERROR(__xludf.DUMMYFUNCTION("""COMPUTED_VALUE"""),"Product Page")</f>
        <v>Product Page</v>
      </c>
      <c r="G181" s="15" t="b">
        <f>IFERROR(__xludf.DUMMYFUNCTION("""COMPUTED_VALUE"""),FALSE)</f>
        <v>0</v>
      </c>
      <c r="H181" s="15" t="str">
        <f>IFERROR(__xludf.DUMMYFUNCTION("""COMPUTED_VALUE"""),"Ekimetrics, Transmission")</f>
        <v>Ekimetrics, Transmission</v>
      </c>
      <c r="I181" s="15">
        <f>IFERROR(__xludf.DUMMYFUNCTION("""COMPUTED_VALUE"""),1.0)</f>
        <v>1</v>
      </c>
      <c r="J181" s="15">
        <f>IFERROR(__xludf.DUMMYFUNCTION("""COMPUTED_VALUE"""),0.0)</f>
        <v>0</v>
      </c>
      <c r="K181" s="15">
        <f>IFERROR(__xludf.DUMMYFUNCTION("""COMPUTED_VALUE"""),1.0)</f>
        <v>1</v>
      </c>
    </row>
    <row r="182" ht="15.75" customHeight="1">
      <c r="A182" s="14" t="str">
        <f>IFERROR(__xludf.DUMMYFUNCTION("""COMPUTED_VALUE"""),"https://www.wested.org/support/ai-readiness-and-integration/")</f>
        <v>https://www.wested.org/support/ai-readiness-and-integration/</v>
      </c>
      <c r="B182" s="15" t="str">
        <f>IFERROR(__xludf.DUMMYFUNCTION("""COMPUTED_VALUE"""),"AI Readiness and Integration&amp;nbsp; – WestEd")</f>
        <v>AI Readiness and Integration&amp;nbsp; – WestEd</v>
      </c>
      <c r="C182" s="14" t="str">
        <f>IFERROR(__xludf.DUMMYFUNCTION("""COMPUTED_VALUE"""),"wested.org")</f>
        <v>wested.org</v>
      </c>
      <c r="D182" s="15" t="str">
        <f>IFERROR(__xludf.DUMMYFUNCTION("""COMPUTED_VALUE"""),"PRODUCT_PAGE")</f>
        <v>PRODUCT_PAGE</v>
      </c>
      <c r="E182" s="15" t="str">
        <f>IFERROR(__xludf.DUMMYFUNCTION("""COMPUTED_VALUE"""),"INSTITUTIONAL")</f>
        <v>INSTITUTIONAL</v>
      </c>
      <c r="F182" s="15" t="str">
        <f>IFERROR(__xludf.DUMMYFUNCTION("""COMPUTED_VALUE"""),"Product Page")</f>
        <v>Product Page</v>
      </c>
      <c r="G182" s="15" t="b">
        <f>IFERROR(__xludf.DUMMYFUNCTION("""COMPUTED_VALUE"""),FALSE)</f>
        <v>0</v>
      </c>
      <c r="H182" s="15"/>
      <c r="I182" s="15">
        <f>IFERROR(__xludf.DUMMYFUNCTION("""COMPUTED_VALUE"""),1.0)</f>
        <v>1</v>
      </c>
      <c r="J182" s="15">
        <f>IFERROR(__xludf.DUMMYFUNCTION("""COMPUTED_VALUE"""),0.0)</f>
        <v>0</v>
      </c>
      <c r="K182" s="15">
        <f>IFERROR(__xludf.DUMMYFUNCTION("""COMPUTED_VALUE"""),2.0)</f>
        <v>2</v>
      </c>
    </row>
    <row r="183" ht="15.75" customHeight="1">
      <c r="A183" s="14" t="str">
        <f>IFERROR(__xludf.DUMMYFUNCTION("""COMPUTED_VALUE"""),"https://www.xanthosdigital.com/services/digital-marketing/paid-social")</f>
        <v>https://www.xanthosdigital.com/services/digital-marketing/paid-social</v>
      </c>
      <c r="B183" s="15" t="str">
        <f>IFERROR(__xludf.DUMMYFUNCTION("""COMPUTED_VALUE"""),"Paid Social Agency Cambridge | Paid Social Media Management Services UK")</f>
        <v>Paid Social Agency Cambridge | Paid Social Media Management Services UK</v>
      </c>
      <c r="C183" s="14" t="str">
        <f>IFERROR(__xludf.DUMMYFUNCTION("""COMPUTED_VALUE"""),"xanthosdigital.com")</f>
        <v>xanthosdigital.com</v>
      </c>
      <c r="D183" s="15" t="str">
        <f>IFERROR(__xludf.DUMMYFUNCTION("""COMPUTED_VALUE"""),"PRODUCT_PAGE")</f>
        <v>PRODUCT_PAGE</v>
      </c>
      <c r="E183" s="15" t="str">
        <f>IFERROR(__xludf.DUMMYFUNCTION("""COMPUTED_VALUE"""),"CORPORATE")</f>
        <v>CORPORATE</v>
      </c>
      <c r="F183" s="15" t="str">
        <f>IFERROR(__xludf.DUMMYFUNCTION("""COMPUTED_VALUE"""),"Product Page")</f>
        <v>Product Page</v>
      </c>
      <c r="G183" s="15" t="b">
        <f>IFERROR(__xludf.DUMMYFUNCTION("""COMPUTED_VALUE"""),FALSE)</f>
        <v>0</v>
      </c>
      <c r="H183" s="15"/>
      <c r="I183" s="15">
        <f>IFERROR(__xludf.DUMMYFUNCTION("""COMPUTED_VALUE"""),1.0)</f>
        <v>1</v>
      </c>
      <c r="J183" s="15">
        <f>IFERROR(__xludf.DUMMYFUNCTION("""COMPUTED_VALUE"""),0.0)</f>
        <v>0</v>
      </c>
      <c r="K183" s="15">
        <f>IFERROR(__xludf.DUMMYFUNCTION("""COMPUTED_VALUE"""),0.0)</f>
        <v>0</v>
      </c>
    </row>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location=":~:text=Whether%20you're%20looking%20to,Media%20Group%20local%20news%20sites." ref="A3"/>
    <hyperlink r:id="rId3" ref="C3"/>
    <hyperlink r:id="rId4" ref="A4"/>
    <hyperlink r:id="rId5" ref="C4"/>
    <hyperlink r:id="rId6" ref="A5"/>
    <hyperlink r:id="rId7" ref="C5"/>
    <hyperlink r:id="rId8" ref="A6"/>
    <hyperlink r:id="rId9" ref="C6"/>
    <hyperlink r:id="rId10" location=":~:text=This%20gap%20is%20where%20specialist,revenue%2C%20not%20just%20productivity%20metrics." ref="A7"/>
    <hyperlink r:id="rId11" ref="C7"/>
    <hyperlink r:id="rId12" ref="A8"/>
    <hyperlink r:id="rId13" ref="C8"/>
    <hyperlink r:id="rId14" location=":~:text=1.,is%20not%20the%20same%20thing."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A39"/>
    <hyperlink r:id="rId74" ref="C39"/>
    <hyperlink r:id="rId75" ref="A40"/>
    <hyperlink r:id="rId76" ref="C40"/>
    <hyperlink r:id="rId77" ref="A41"/>
    <hyperlink r:id="rId78" ref="C41"/>
    <hyperlink r:id="rId79" ref="A42"/>
    <hyperlink r:id="rId80" ref="C42"/>
    <hyperlink r:id="rId81" location=":~:text=Make%20sure%20when%20your%20customers%20ask%20a,%E2%9C%93%20Always%2Don%20alignment%3A%20%2D%20%E2%9C%93%20Proven%20performance%3A" ref="A43"/>
    <hyperlink r:id="rId82" ref="A44"/>
    <hyperlink r:id="rId83" ref="A45"/>
    <hyperlink r:id="rId84" ref="C45"/>
    <hyperlink r:id="rId85" ref="A46"/>
    <hyperlink r:id="rId86" ref="C46"/>
    <hyperlink r:id="rId87" ref="A47"/>
    <hyperlink r:id="rId88" ref="C47"/>
    <hyperlink r:id="rId89" ref="A48"/>
    <hyperlink r:id="rId90" ref="C48"/>
    <hyperlink r:id="rId91" ref="A49"/>
    <hyperlink r:id="rId92" ref="C49"/>
    <hyperlink r:id="rId93" ref="A50"/>
    <hyperlink r:id="rId94" ref="C50"/>
    <hyperlink r:id="rId95" ref="A51"/>
    <hyperlink r:id="rId96" ref="C51"/>
    <hyperlink r:id="rId97" ref="A52"/>
    <hyperlink r:id="rId98" ref="C52"/>
    <hyperlink r:id="rId99" ref="A53"/>
    <hyperlink r:id="rId100" ref="C53"/>
    <hyperlink r:id="rId101" ref="A54"/>
    <hyperlink r:id="rId102" ref="C54"/>
    <hyperlink r:id="rId103" ref="A55"/>
    <hyperlink r:id="rId104" ref="C55"/>
    <hyperlink r:id="rId105" ref="A56"/>
    <hyperlink r:id="rId106" ref="C56"/>
    <hyperlink r:id="rId107" ref="A57"/>
    <hyperlink r:id="rId108" ref="C57"/>
    <hyperlink r:id="rId109" ref="A58"/>
    <hyperlink r:id="rId110" ref="C58"/>
    <hyperlink r:id="rId111" ref="A59"/>
    <hyperlink r:id="rId112" ref="C59"/>
    <hyperlink r:id="rId113" ref="A60"/>
    <hyperlink r:id="rId114" ref="C60"/>
    <hyperlink r:id="rId115" location=":~:text=For%20optimisation%20we%20use%20SEMrush%2C%20Ahrefs%20and,always%20invest%20in%20the%20very%20best%20software."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 r:id="rId145" ref="A76"/>
    <hyperlink r:id="rId146" ref="C76"/>
    <hyperlink r:id="rId147" ref="A77"/>
    <hyperlink r:id="rId148" ref="C77"/>
    <hyperlink r:id="rId149" ref="A78"/>
    <hyperlink r:id="rId150" ref="A79"/>
    <hyperlink r:id="rId151" ref="C79"/>
    <hyperlink r:id="rId152" ref="A80"/>
    <hyperlink r:id="rId153" ref="C80"/>
    <hyperlink r:id="rId154" ref="A81"/>
    <hyperlink r:id="rId155" ref="C81"/>
    <hyperlink r:id="rId156" ref="A82"/>
    <hyperlink r:id="rId157" ref="C82"/>
    <hyperlink r:id="rId158" ref="A83"/>
    <hyperlink r:id="rId159" ref="C83"/>
    <hyperlink r:id="rId160" ref="A84"/>
    <hyperlink r:id="rId161" ref="C84"/>
    <hyperlink r:id="rId162" location=":~:text=Web%20Analytics%20and%20Product%20Analytics,analytics%20workflows%20like%20software%20engineers" ref="A85"/>
    <hyperlink r:id="rId163" ref="C85"/>
    <hyperlink r:id="rId164" ref="A86"/>
    <hyperlink r:id="rId165" ref="C86"/>
    <hyperlink r:id="rId166" ref="A87"/>
    <hyperlink r:id="rId167" ref="C87"/>
    <hyperlink r:id="rId168" ref="A88"/>
    <hyperlink r:id="rId169" ref="C88"/>
    <hyperlink r:id="rId170" ref="A89"/>
    <hyperlink r:id="rId171" ref="C89"/>
    <hyperlink r:id="rId172" ref="A90"/>
    <hyperlink r:id="rId173" ref="C90"/>
    <hyperlink r:id="rId174" ref="A91"/>
    <hyperlink r:id="rId175" ref="C91"/>
    <hyperlink r:id="rId176" ref="A92"/>
    <hyperlink r:id="rId177" ref="C92"/>
    <hyperlink r:id="rId178" ref="A93"/>
    <hyperlink r:id="rId179" ref="C93"/>
    <hyperlink r:id="rId180" ref="A94"/>
    <hyperlink r:id="rId181" ref="C94"/>
    <hyperlink r:id="rId182" ref="A95"/>
    <hyperlink r:id="rId183" ref="C95"/>
    <hyperlink r:id="rId184" ref="A96"/>
    <hyperlink r:id="rId185" ref="C96"/>
    <hyperlink r:id="rId186" ref="A97"/>
    <hyperlink r:id="rId187" ref="C97"/>
    <hyperlink r:id="rId188" ref="A98"/>
    <hyperlink r:id="rId189" ref="A99"/>
    <hyperlink r:id="rId190" ref="A100"/>
    <hyperlink r:id="rId191" ref="C100"/>
    <hyperlink r:id="rId192" ref="A101"/>
    <hyperlink r:id="rId193" ref="C101"/>
    <hyperlink r:id="rId194" ref="A102"/>
    <hyperlink r:id="rId195" ref="A103"/>
    <hyperlink r:id="rId196" ref="C103"/>
    <hyperlink r:id="rId197" ref="A104"/>
    <hyperlink r:id="rId198" ref="C104"/>
    <hyperlink r:id="rId199" ref="A105"/>
    <hyperlink r:id="rId200" ref="C105"/>
    <hyperlink r:id="rId201" ref="A106"/>
    <hyperlink r:id="rId202" ref="C106"/>
    <hyperlink r:id="rId203" ref="A107"/>
    <hyperlink r:id="rId204" ref="C107"/>
    <hyperlink r:id="rId205" ref="A108"/>
    <hyperlink r:id="rId206" ref="C108"/>
    <hyperlink r:id="rId207" ref="A109"/>
    <hyperlink r:id="rId208" ref="C109"/>
    <hyperlink r:id="rId209" ref="A110"/>
    <hyperlink r:id="rId210" ref="C110"/>
    <hyperlink r:id="rId211" ref="A111"/>
    <hyperlink r:id="rId212" ref="C111"/>
    <hyperlink r:id="rId213" ref="A112"/>
    <hyperlink r:id="rId214" ref="C112"/>
    <hyperlink r:id="rId215" ref="A113"/>
    <hyperlink r:id="rId216" ref="C113"/>
    <hyperlink r:id="rId217" ref="A114"/>
    <hyperlink r:id="rId218" ref="C114"/>
    <hyperlink r:id="rId219" ref="A115"/>
    <hyperlink r:id="rId220" ref="C115"/>
    <hyperlink r:id="rId221" ref="A116"/>
    <hyperlink r:id="rId222" ref="C116"/>
    <hyperlink r:id="rId223" ref="A117"/>
    <hyperlink r:id="rId224" ref="C117"/>
    <hyperlink r:id="rId225" ref="A118"/>
    <hyperlink r:id="rId226" ref="C118"/>
    <hyperlink r:id="rId227" ref="A119"/>
    <hyperlink r:id="rId228" ref="C119"/>
    <hyperlink r:id="rId229" ref="A120"/>
    <hyperlink r:id="rId230" ref="C120"/>
    <hyperlink r:id="rId231" ref="A121"/>
    <hyperlink r:id="rId232" ref="C121"/>
    <hyperlink r:id="rId233" ref="A122"/>
    <hyperlink r:id="rId234" ref="C122"/>
    <hyperlink r:id="rId235" ref="A123"/>
    <hyperlink r:id="rId236" ref="C123"/>
    <hyperlink r:id="rId237" ref="A124"/>
    <hyperlink r:id="rId238" ref="C124"/>
    <hyperlink r:id="rId239" ref="A125"/>
    <hyperlink r:id="rId240" ref="C125"/>
    <hyperlink r:id="rId241" ref="A126"/>
    <hyperlink r:id="rId242" ref="C126"/>
    <hyperlink r:id="rId243" location=":~:text=Growthcurve%20gives%20you%20a%20complete,more%20shipped%20and%20fewer%20handoffs." ref="A127"/>
    <hyperlink r:id="rId244" ref="C127"/>
    <hyperlink r:id="rId245" ref="A128"/>
    <hyperlink r:id="rId246" ref="A129"/>
    <hyperlink r:id="rId247" ref="A130"/>
    <hyperlink r:id="rId248" ref="C130"/>
    <hyperlink r:id="rId249" ref="A131"/>
    <hyperlink r:id="rId250" ref="C131"/>
    <hyperlink r:id="rId251" ref="A132"/>
    <hyperlink r:id="rId252" ref="C132"/>
    <hyperlink r:id="rId253" ref="A133"/>
    <hyperlink r:id="rId254" ref="C133"/>
    <hyperlink r:id="rId255" ref="A134"/>
    <hyperlink r:id="rId256" ref="C134"/>
    <hyperlink r:id="rId257" ref="A135"/>
    <hyperlink r:id="rId258" ref="C135"/>
    <hyperlink r:id="rId259" ref="A136"/>
    <hyperlink r:id="rId260" ref="C136"/>
    <hyperlink r:id="rId261" ref="A137"/>
    <hyperlink r:id="rId262" ref="C137"/>
    <hyperlink r:id="rId263" ref="A138"/>
    <hyperlink r:id="rId264" ref="C138"/>
    <hyperlink r:id="rId265" ref="A139"/>
    <hyperlink r:id="rId266" ref="C139"/>
    <hyperlink r:id="rId267" ref="A140"/>
    <hyperlink r:id="rId268" ref="C140"/>
    <hyperlink r:id="rId269" ref="A141"/>
    <hyperlink r:id="rId270" ref="C141"/>
    <hyperlink r:id="rId271" ref="A142"/>
    <hyperlink r:id="rId272" ref="C142"/>
    <hyperlink r:id="rId273" ref="A143"/>
    <hyperlink r:id="rId274" ref="C143"/>
    <hyperlink r:id="rId275" ref="A144"/>
    <hyperlink r:id="rId276" ref="C144"/>
    <hyperlink r:id="rId277" ref="A145"/>
    <hyperlink r:id="rId278" ref="A146"/>
    <hyperlink r:id="rId279" ref="C146"/>
    <hyperlink r:id="rId280" ref="A147"/>
    <hyperlink r:id="rId281" ref="C147"/>
    <hyperlink r:id="rId282" ref="A148"/>
    <hyperlink r:id="rId283" ref="A149"/>
    <hyperlink r:id="rId284" ref="C149"/>
    <hyperlink r:id="rId285" ref="A150"/>
    <hyperlink r:id="rId286" ref="C150"/>
    <hyperlink r:id="rId287" ref="A151"/>
    <hyperlink r:id="rId288" ref="C151"/>
    <hyperlink r:id="rId289" ref="A152"/>
    <hyperlink r:id="rId290" ref="C152"/>
    <hyperlink r:id="rId291" ref="A153"/>
    <hyperlink r:id="rId292" ref="C153"/>
    <hyperlink r:id="rId293" ref="A154"/>
    <hyperlink r:id="rId294" ref="C154"/>
    <hyperlink r:id="rId295" ref="A155"/>
    <hyperlink r:id="rId296" ref="C155"/>
    <hyperlink r:id="rId297" ref="A156"/>
    <hyperlink r:id="rId298" ref="C156"/>
    <hyperlink r:id="rId299" ref="A157"/>
    <hyperlink r:id="rId300" ref="C157"/>
    <hyperlink r:id="rId301" ref="A158"/>
    <hyperlink r:id="rId302" ref="C158"/>
    <hyperlink r:id="rId303" ref="A159"/>
    <hyperlink r:id="rId304" ref="C159"/>
    <hyperlink r:id="rId305" ref="A160"/>
    <hyperlink r:id="rId306" ref="C160"/>
    <hyperlink r:id="rId307" ref="A161"/>
    <hyperlink r:id="rId308" ref="C161"/>
    <hyperlink r:id="rId309" ref="A162"/>
    <hyperlink r:id="rId310" ref="C162"/>
    <hyperlink r:id="rId311" ref="A163"/>
    <hyperlink r:id="rId312" ref="C163"/>
    <hyperlink r:id="rId313" ref="A164"/>
    <hyperlink r:id="rId314" ref="C164"/>
    <hyperlink r:id="rId315" ref="A165"/>
    <hyperlink r:id="rId316" ref="C165"/>
    <hyperlink r:id="rId317" ref="A166"/>
    <hyperlink r:id="rId318" ref="C166"/>
    <hyperlink r:id="rId319" ref="A167"/>
    <hyperlink r:id="rId320" ref="C167"/>
    <hyperlink r:id="rId321" location=":~:text=Source%20and%20signal%20mapping%3A%20We,video%20content%20in%20technical%20searches." ref="A168"/>
    <hyperlink r:id="rId322" ref="C168"/>
    <hyperlink r:id="rId323" ref="A169"/>
    <hyperlink r:id="rId324" ref="A170"/>
    <hyperlink r:id="rId325" ref="C170"/>
    <hyperlink r:id="rId326" ref="A171"/>
    <hyperlink r:id="rId327" ref="C171"/>
    <hyperlink r:id="rId328" ref="A172"/>
    <hyperlink r:id="rId329" ref="C172"/>
    <hyperlink r:id="rId330" ref="A173"/>
    <hyperlink r:id="rId331" ref="C173"/>
    <hyperlink r:id="rId332" ref="A174"/>
    <hyperlink r:id="rId333" ref="C174"/>
    <hyperlink r:id="rId334" ref="A175"/>
    <hyperlink r:id="rId335" ref="C175"/>
    <hyperlink r:id="rId336" ref="A176"/>
    <hyperlink r:id="rId337" ref="C176"/>
    <hyperlink r:id="rId338" ref="A177"/>
    <hyperlink r:id="rId339" ref="C177"/>
    <hyperlink r:id="rId340" ref="A178"/>
    <hyperlink r:id="rId341" ref="C178"/>
    <hyperlink r:id="rId342" ref="A179"/>
    <hyperlink r:id="rId343" ref="C179"/>
    <hyperlink r:id="rId344" ref="A180"/>
    <hyperlink r:id="rId345" ref="C180"/>
    <hyperlink r:id="rId346" ref="A181"/>
    <hyperlink r:id="rId347" ref="C181"/>
    <hyperlink r:id="rId348" ref="A182"/>
    <hyperlink r:id="rId349" ref="C182"/>
    <hyperlink r:id="rId350" ref="A183"/>
    <hyperlink r:id="rId351" ref="C183"/>
  </hyperlinks>
  <drawing r:id="rId35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0"/>
  <cols>
    <col customWidth="1" min="1" max="1" width="82.63"/>
    <col customWidth="1" min="2" max="2" width="29.63"/>
    <col customWidth="1" min="3" max="6" width="12.63"/>
  </cols>
  <sheetData>
    <row r="1" ht="15.75" customHeight="1">
      <c r="A1" s="3" t="s">
        <v>9</v>
      </c>
      <c r="B1" s="3" t="s">
        <v>11</v>
      </c>
      <c r="C1" s="3" t="s">
        <v>0</v>
      </c>
      <c r="D1" s="3" t="s">
        <v>12</v>
      </c>
      <c r="E1" s="3" t="s">
        <v>13</v>
      </c>
      <c r="F1" s="3" t="s">
        <v>1</v>
      </c>
      <c r="G1" s="3" t="s">
        <v>14</v>
      </c>
      <c r="H1" s="3" t="s">
        <v>2</v>
      </c>
      <c r="I1" s="3" t="s">
        <v>3</v>
      </c>
      <c r="J1" s="3" t="s">
        <v>15</v>
      </c>
      <c r="K1" s="7" t="s">
        <v>7</v>
      </c>
      <c r="L1" s="8"/>
      <c r="M1" s="8"/>
      <c r="N1" s="9"/>
      <c r="O1" s="9"/>
      <c r="P1" s="9"/>
      <c r="Q1" s="9"/>
      <c r="R1" s="9"/>
      <c r="S1" s="9"/>
      <c r="T1" s="9"/>
      <c r="U1" s="9"/>
      <c r="V1" s="9"/>
      <c r="W1" s="9"/>
      <c r="X1" s="9"/>
      <c r="Y1" s="9"/>
      <c r="Z1" s="9"/>
    </row>
    <row r="2" ht="15.75" customHeight="1">
      <c r="A2" s="14" t="str">
        <f>IFERROR(__xludf.DUMMYFUNCTION("IFERROR(
  FILTER(
    'PEEC - URLs - All'!A2:K1000,
    LOWER(TRIM(TO_TEXT('PEEC - URLs - All'!D2:D1000)))=""profile""
  ),
  """"
)"),"https://sunnypatel.co.uk/blog/best-aeo-agencies/")</f>
        <v>https://sunnypatel.co.uk/blog/best-aeo-agencies/</v>
      </c>
      <c r="B2" s="15" t="str">
        <f>IFERROR(__xludf.DUMMYFUNCTION("""COMPUTED_VALUE"""),"Best AEO Agencies UK 2026 — AI Search &amp;amp; GEO Specialists | Sunny Patel")</f>
        <v>Best AEO Agencies UK 2026 — AI Search &amp;amp; GEO Specialists | Sunny Patel</v>
      </c>
      <c r="C2" s="14" t="str">
        <f>IFERROR(__xludf.DUMMYFUNCTION("""COMPUTED_VALUE"""),"sunnypatel.co.uk")</f>
        <v>sunnypatel.co.uk</v>
      </c>
      <c r="D2" s="15" t="str">
        <f>IFERROR(__xludf.DUMMYFUNCTION("""COMPUTED_VALUE"""),"PROFILE")</f>
        <v>PROFILE</v>
      </c>
      <c r="E2" s="15" t="str">
        <f>IFERROR(__xludf.DUMMYFUNCTION("""COMPUTED_VALUE"""),"CORPORATE")</f>
        <v>CORPORATE</v>
      </c>
      <c r="F2" s="15" t="str">
        <f>IFERROR(__xludf.DUMMYFUNCTION("""COMPUTED_VALUE"""),"Profile")</f>
        <v>Profile</v>
      </c>
      <c r="G2" s="15" t="b">
        <f>IFERROR(__xludf.DUMMYFUNCTION("""COMPUTED_VALUE"""),FALSE)</f>
        <v>0</v>
      </c>
      <c r="H2" s="15" t="str">
        <f>IFERROR(__xludf.DUMMYFUNCTION("""COMPUTED_VALUE"""),"Rise at Seven, Builtvisible, Impression, The SEO Works")</f>
        <v>Rise at Seven, Builtvisible, Impression, The SEO Works</v>
      </c>
      <c r="I2" s="15">
        <f>IFERROR(__xludf.DUMMYFUNCTION("""COMPUTED_VALUE"""),34.0)</f>
        <v>34</v>
      </c>
      <c r="J2" s="15">
        <f>IFERROR(__xludf.DUMMYFUNCTION("""COMPUTED_VALUE"""),0.03)</f>
        <v>0.03</v>
      </c>
      <c r="K2" s="15">
        <f>IFERROR(__xludf.DUMMYFUNCTION("""COMPUTED_VALUE"""),0.38)</f>
        <v>0.38</v>
      </c>
    </row>
    <row r="3" ht="15.75" customHeight="1">
      <c r="A3" s="14" t="str">
        <f>IFERROR(__xludf.DUMMYFUNCTION("""COMPUTED_VALUE"""),"https://digitalagencynetwork.com/agencies/uk/geo/")</f>
        <v>https://digitalagencynetwork.com/agencies/uk/geo/</v>
      </c>
      <c r="B3" s="15" t="str">
        <f>IFERROR(__xludf.DUMMYFUNCTION("""COMPUTED_VALUE"""),"Top GEO Agencies in UK for Generative Engine Optimization (2026)")</f>
        <v>Top GEO Agencies in UK for Generative Engine Optimization (2026)</v>
      </c>
      <c r="C3" s="14" t="str">
        <f>IFERROR(__xludf.DUMMYFUNCTION("""COMPUTED_VALUE"""),"digitalagencynetwork.com")</f>
        <v>digitalagencynetwork.com</v>
      </c>
      <c r="D3" s="15" t="str">
        <f>IFERROR(__xludf.DUMMYFUNCTION("""COMPUTED_VALUE"""),"PROFILE")</f>
        <v>PROFILE</v>
      </c>
      <c r="E3" s="15" t="str">
        <f>IFERROR(__xludf.DUMMYFUNCTION("""COMPUTED_VALUE"""),"REFERENCE")</f>
        <v>REFERENCE</v>
      </c>
      <c r="F3" s="15" t="str">
        <f>IFERROR(__xludf.DUMMYFUNCTION("""COMPUTED_VALUE"""),"Profile")</f>
        <v>Profile</v>
      </c>
      <c r="G3" s="15" t="b">
        <f>IFERROR(__xludf.DUMMYFUNCTION("""COMPUTED_VALUE"""),FALSE)</f>
        <v>0</v>
      </c>
      <c r="H3" s="15" t="str">
        <f>IFERROR(__xludf.DUMMYFUNCTION("""COMPUTED_VALUE"""),"Favoured, Measured, Found, Propeller, Anicca Digital, The SEO Works, Bird Marketing, GA Agency, ROAST, FirstMotion")</f>
        <v>Favoured, Measured, Found, Propeller, Anicca Digital, The SEO Works, Bird Marketing, GA Agency, ROAST, FirstMotion</v>
      </c>
      <c r="I3" s="15">
        <f>IFERROR(__xludf.DUMMYFUNCTION("""COMPUTED_VALUE"""),23.0)</f>
        <v>23</v>
      </c>
      <c r="J3" s="15">
        <f>IFERROR(__xludf.DUMMYFUNCTION("""COMPUTED_VALUE"""),0.02)</f>
        <v>0.02</v>
      </c>
      <c r="K3" s="15">
        <f>IFERROR(__xludf.DUMMYFUNCTION("""COMPUTED_VALUE"""),0.43)</f>
        <v>0.43</v>
      </c>
    </row>
    <row r="4" ht="15.75" customHeight="1">
      <c r="A4" s="14" t="str">
        <f>IFERROR(__xludf.DUMMYFUNCTION("""COMPUTED_VALUE"""),"https://edisonmoment.com/agency/best/performance-marketing-agency-united-kingdom")</f>
        <v>https://edisonmoment.com/agency/best/performance-marketing-agency-united-kingdom</v>
      </c>
      <c r="B4" s="15" t="str">
        <f>IFERROR(__xludf.DUMMYFUNCTION("""COMPUTED_VALUE"""),"Performance Marketing Agency in the UK | Edison Moment")</f>
        <v>Performance Marketing Agency in the UK | Edison Moment</v>
      </c>
      <c r="C4" s="14" t="str">
        <f>IFERROR(__xludf.DUMMYFUNCTION("""COMPUTED_VALUE"""),"edisonmoment.com")</f>
        <v>edisonmoment.com</v>
      </c>
      <c r="D4" s="15" t="str">
        <f>IFERROR(__xludf.DUMMYFUNCTION("""COMPUTED_VALUE"""),"PROFILE")</f>
        <v>PROFILE</v>
      </c>
      <c r="E4" s="15" t="str">
        <f>IFERROR(__xludf.DUMMYFUNCTION("""COMPUTED_VALUE"""),"CORPORATE")</f>
        <v>CORPORATE</v>
      </c>
      <c r="F4" s="15" t="str">
        <f>IFERROR(__xludf.DUMMYFUNCTION("""COMPUTED_VALUE"""),"Profile")</f>
        <v>Profile</v>
      </c>
      <c r="G4" s="15" t="b">
        <f>IFERROR(__xludf.DUMMYFUNCTION("""COMPUTED_VALUE"""),FALSE)</f>
        <v>0</v>
      </c>
      <c r="H4" s="15" t="str">
        <f>IFERROR(__xludf.DUMMYFUNCTION("""COMPUTED_VALUE"""),"Measured")</f>
        <v>Measured</v>
      </c>
      <c r="I4" s="15">
        <f>IFERROR(__xludf.DUMMYFUNCTION("""COMPUTED_VALUE"""),20.0)</f>
        <v>20</v>
      </c>
      <c r="J4" s="15">
        <f>IFERROR(__xludf.DUMMYFUNCTION("""COMPUTED_VALUE"""),0.02)</f>
        <v>0.02</v>
      </c>
      <c r="K4" s="15">
        <f>IFERROR(__xludf.DUMMYFUNCTION("""COMPUTED_VALUE"""),0.75)</f>
        <v>0.75</v>
      </c>
    </row>
    <row r="5" ht="15.75" customHeight="1">
      <c r="A5" s="14" t="str">
        <f>IFERROR(__xludf.DUMMYFUNCTION("""COMPUTED_VALUE"""),"https://techbehemoths.com/companies/marketing-analytics/united-kingdom")</f>
        <v>https://techbehemoths.com/companies/marketing-analytics/united-kingdom</v>
      </c>
      <c r="B5" s="15" t="str">
        <f>IFERROR(__xludf.DUMMYFUNCTION("""COMPUTED_VALUE"""),"Top 20+ Marketing analytics Companies in United Kingdom (2026) - TechBehemoths")</f>
        <v>Top 20+ Marketing analytics Companies in United Kingdom (2026) - TechBehemoths</v>
      </c>
      <c r="C5" s="14" t="str">
        <f>IFERROR(__xludf.DUMMYFUNCTION("""COMPUTED_VALUE"""),"techbehemoths.com")</f>
        <v>techbehemoths.com</v>
      </c>
      <c r="D5" s="15" t="str">
        <f>IFERROR(__xludf.DUMMYFUNCTION("""COMPUTED_VALUE"""),"PROFILE")</f>
        <v>PROFILE</v>
      </c>
      <c r="E5" s="15" t="str">
        <f>IFERROR(__xludf.DUMMYFUNCTION("""COMPUTED_VALUE"""),"REFERENCE")</f>
        <v>REFERENCE</v>
      </c>
      <c r="F5" s="15" t="str">
        <f>IFERROR(__xludf.DUMMYFUNCTION("""COMPUTED_VALUE"""),"Profile")</f>
        <v>Profile</v>
      </c>
      <c r="G5" s="15" t="b">
        <f>IFERROR(__xludf.DUMMYFUNCTION("""COMPUTED_VALUE"""),FALSE)</f>
        <v>0</v>
      </c>
      <c r="H5" s="15" t="str">
        <f>IFERROR(__xludf.DUMMYFUNCTION("""COMPUTED_VALUE"""),"Found")</f>
        <v>Found</v>
      </c>
      <c r="I5" s="15">
        <f>IFERROR(__xludf.DUMMYFUNCTION("""COMPUTED_VALUE"""),18.0)</f>
        <v>18</v>
      </c>
      <c r="J5" s="15">
        <f>IFERROR(__xludf.DUMMYFUNCTION("""COMPUTED_VALUE"""),0.02)</f>
        <v>0.02</v>
      </c>
      <c r="K5" s="15">
        <f>IFERROR(__xludf.DUMMYFUNCTION("""COMPUTED_VALUE"""),0.06)</f>
        <v>0.06</v>
      </c>
    </row>
    <row r="6" ht="15.75" customHeight="1">
      <c r="A6" s="14" t="str">
        <f>IFERROR(__xludf.DUMMYFUNCTION("""COMPUTED_VALUE"""),"https://digitalagencynetwork.com/agencies/london/geo/")</f>
        <v>https://digitalagencynetwork.com/agencies/london/geo/</v>
      </c>
      <c r="B6" s="15" t="str">
        <f>IFERROR(__xludf.DUMMYFUNCTION("""COMPUTED_VALUE"""),"Top GEO Agencies in London for Generative Engine Optimization (2026)")</f>
        <v>Top GEO Agencies in London for Generative Engine Optimization (2026)</v>
      </c>
      <c r="C6" s="14" t="str">
        <f>IFERROR(__xludf.DUMMYFUNCTION("""COMPUTED_VALUE"""),"digitalagencynetwork.com")</f>
        <v>digitalagencynetwork.com</v>
      </c>
      <c r="D6" s="15" t="str">
        <f>IFERROR(__xludf.DUMMYFUNCTION("""COMPUTED_VALUE"""),"PROFILE")</f>
        <v>PROFILE</v>
      </c>
      <c r="E6" s="15" t="str">
        <f>IFERROR(__xludf.DUMMYFUNCTION("""COMPUTED_VALUE"""),"REFERENCE")</f>
        <v>REFERENCE</v>
      </c>
      <c r="F6" s="15" t="str">
        <f>IFERROR(__xludf.DUMMYFUNCTION("""COMPUTED_VALUE"""),"Profile")</f>
        <v>Profile</v>
      </c>
      <c r="G6" s="15" t="b">
        <f>IFERROR(__xludf.DUMMYFUNCTION("""COMPUTED_VALUE"""),FALSE)</f>
        <v>0</v>
      </c>
      <c r="H6" s="15" t="str">
        <f>IFERROR(__xludf.DUMMYFUNCTION("""COMPUTED_VALUE"""),"Favoured, Measured, Propeller, FirstMotion, Found, Bird Marketing, ROAST, GA Agency")</f>
        <v>Favoured, Measured, Propeller, FirstMotion, Found, Bird Marketing, ROAST, GA Agency</v>
      </c>
      <c r="I6" s="15">
        <f>IFERROR(__xludf.DUMMYFUNCTION("""COMPUTED_VALUE"""),11.0)</f>
        <v>11</v>
      </c>
      <c r="J6" s="15">
        <f>IFERROR(__xludf.DUMMYFUNCTION("""COMPUTED_VALUE"""),0.01)</f>
        <v>0.01</v>
      </c>
      <c r="K6" s="15">
        <f>IFERROR(__xludf.DUMMYFUNCTION("""COMPUTED_VALUE"""),0.18)</f>
        <v>0.18</v>
      </c>
    </row>
    <row r="7" ht="15.75" customHeight="1">
      <c r="A7" s="14" t="str">
        <f>IFERROR(__xludf.DUMMYFUNCTION("""COMPUTED_VALUE"""),"https://agencies.semrush.com/list/display-advertising/london-city/mid-business/")</f>
        <v>https://agencies.semrush.com/list/display-advertising/london-city/mid-business/</v>
      </c>
      <c r="B7" s="15" t="str">
        <f>IFERROR(__xludf.DUMMYFUNCTION("""COMPUTED_VALUE"""),"Best Display Ads Agencies for Mid Business in London 2026 | Semrush")</f>
        <v>Best Display Ads Agencies for Mid Business in London 2026 | Semrush</v>
      </c>
      <c r="C7" s="14" t="str">
        <f>IFERROR(__xludf.DUMMYFUNCTION("""COMPUTED_VALUE"""),"semrush.com")</f>
        <v>semrush.com</v>
      </c>
      <c r="D7" s="15" t="str">
        <f>IFERROR(__xludf.DUMMYFUNCTION("""COMPUTED_VALUE"""),"PROFILE")</f>
        <v>PROFILE</v>
      </c>
      <c r="E7" s="15" t="str">
        <f>IFERROR(__xludf.DUMMYFUNCTION("""COMPUTED_VALUE"""),"CORPORATE")</f>
        <v>CORPORATE</v>
      </c>
      <c r="F7" s="15" t="str">
        <f>IFERROR(__xludf.DUMMYFUNCTION("""COMPUTED_VALUE"""),"Profile")</f>
        <v>Profile</v>
      </c>
      <c r="G7" s="15" t="b">
        <f>IFERROR(__xludf.DUMMYFUNCTION("""COMPUTED_VALUE"""),FALSE)</f>
        <v>0</v>
      </c>
      <c r="H7" s="15" t="str">
        <f>IFERROR(__xludf.DUMMYFUNCTION("""COMPUTED_VALUE"""),"Passion Digital, The SEO Works, ROAST, Found")</f>
        <v>Passion Digital, The SEO Works, ROAST, Found</v>
      </c>
      <c r="I7" s="15">
        <f>IFERROR(__xludf.DUMMYFUNCTION("""COMPUTED_VALUE"""),10.0)</f>
        <v>10</v>
      </c>
      <c r="J7" s="15">
        <f>IFERROR(__xludf.DUMMYFUNCTION("""COMPUTED_VALUE"""),0.01)</f>
        <v>0.01</v>
      </c>
      <c r="K7" s="15">
        <f>IFERROR(__xludf.DUMMYFUNCTION("""COMPUTED_VALUE"""),0.0)</f>
        <v>0</v>
      </c>
    </row>
    <row r="8" ht="15.75" customHeight="1">
      <c r="A8" s="14" t="str">
        <f>IFERROR(__xludf.DUMMYFUNCTION("""COMPUTED_VALUE"""),"https://agencies.semrush.com/list/advertising/united-kingdom/")</f>
        <v>https://agencies.semrush.com/list/advertising/united-kingdom/</v>
      </c>
      <c r="B8" s="15" t="str">
        <f>IFERROR(__xludf.DUMMYFUNCTION("""COMPUTED_VALUE"""),"Best Advertising Agencies in United Kingdom 2026 | Semrush")</f>
        <v>Best Advertising Agencies in United Kingdom 2026 | Semrush</v>
      </c>
      <c r="C8" s="14" t="str">
        <f>IFERROR(__xludf.DUMMYFUNCTION("""COMPUTED_VALUE"""),"semrush.com")</f>
        <v>semrush.com</v>
      </c>
      <c r="D8" s="15" t="str">
        <f>IFERROR(__xludf.DUMMYFUNCTION("""COMPUTED_VALUE"""),"PROFILE")</f>
        <v>PROFILE</v>
      </c>
      <c r="E8" s="15" t="str">
        <f>IFERROR(__xludf.DUMMYFUNCTION("""COMPUTED_VALUE"""),"CORPORATE")</f>
        <v>CORPORATE</v>
      </c>
      <c r="F8" s="15" t="str">
        <f>IFERROR(__xludf.DUMMYFUNCTION("""COMPUTED_VALUE"""),"Profile")</f>
        <v>Profile</v>
      </c>
      <c r="G8" s="15" t="b">
        <f>IFERROR(__xludf.DUMMYFUNCTION("""COMPUTED_VALUE"""),FALSE)</f>
        <v>0</v>
      </c>
      <c r="H8" s="15" t="str">
        <f>IFERROR(__xludf.DUMMYFUNCTION("""COMPUTED_VALUE"""),"Found, Impression, Click Intelligence, Passion Digital, Soap Media")</f>
        <v>Found, Impression, Click Intelligence, Passion Digital, Soap Media</v>
      </c>
      <c r="I8" s="15">
        <f>IFERROR(__xludf.DUMMYFUNCTION("""COMPUTED_VALUE"""),8.0)</f>
        <v>8</v>
      </c>
      <c r="J8" s="15">
        <f>IFERROR(__xludf.DUMMYFUNCTION("""COMPUTED_VALUE"""),0.01)</f>
        <v>0.01</v>
      </c>
      <c r="K8" s="15">
        <f>IFERROR(__xludf.DUMMYFUNCTION("""COMPUTED_VALUE"""),0.38)</f>
        <v>0.38</v>
      </c>
    </row>
    <row r="9" ht="15.75" customHeight="1">
      <c r="A9" s="14" t="str">
        <f>IFERROR(__xludf.DUMMYFUNCTION("""COMPUTED_VALUE"""),"https://www.sortlist.com/attribution-marketing")</f>
        <v>https://www.sortlist.com/attribution-marketing</v>
      </c>
      <c r="B9" s="15" t="str">
        <f>IFERROR(__xludf.DUMMYFUNCTION("""COMPUTED_VALUE"""),"The 100 Best Attribution Marketing Agencies - 2026 Reviews")</f>
        <v>The 100 Best Attribution Marketing Agencies - 2026 Reviews</v>
      </c>
      <c r="C9" s="14" t="str">
        <f>IFERROR(__xludf.DUMMYFUNCTION("""COMPUTED_VALUE"""),"sortlist.com")</f>
        <v>sortlist.com</v>
      </c>
      <c r="D9" s="15" t="str">
        <f>IFERROR(__xludf.DUMMYFUNCTION("""COMPUTED_VALUE"""),"PROFILE")</f>
        <v>PROFILE</v>
      </c>
      <c r="E9" s="15" t="str">
        <f>IFERROR(__xludf.DUMMYFUNCTION("""COMPUTED_VALUE"""),"CORPORATE")</f>
        <v>CORPORATE</v>
      </c>
      <c r="F9" s="15" t="str">
        <f>IFERROR(__xludf.DUMMYFUNCTION("""COMPUTED_VALUE"""),"Profile")</f>
        <v>Profile</v>
      </c>
      <c r="G9" s="15" t="b">
        <f>IFERROR(__xludf.DUMMYFUNCTION("""COMPUTED_VALUE"""),FALSE)</f>
        <v>0</v>
      </c>
      <c r="H9" s="15" t="str">
        <f>IFERROR(__xludf.DUMMYFUNCTION("""COMPUTED_VALUE"""),"Impression, Push, Triple Whale, Northbeam, WPP")</f>
        <v>Impression, Push, Triple Whale, Northbeam, WPP</v>
      </c>
      <c r="I9" s="15">
        <f>IFERROR(__xludf.DUMMYFUNCTION("""COMPUTED_VALUE"""),8.0)</f>
        <v>8</v>
      </c>
      <c r="J9" s="15">
        <f>IFERROR(__xludf.DUMMYFUNCTION("""COMPUTED_VALUE"""),0.01)</f>
        <v>0.01</v>
      </c>
      <c r="K9" s="15">
        <f>IFERROR(__xludf.DUMMYFUNCTION("""COMPUTED_VALUE"""),0.0)</f>
        <v>0</v>
      </c>
    </row>
    <row r="10" ht="15.75" customHeight="1">
      <c r="A10" s="14" t="str">
        <f>IFERROR(__xludf.DUMMYFUNCTION("""COMPUTED_VALUE"""),"https://techbehemoths.com/companies/google-ads/united-kingdom")</f>
        <v>https://techbehemoths.com/companies/google-ads/united-kingdom</v>
      </c>
      <c r="B10" s="15" t="str">
        <f>IFERROR(__xludf.DUMMYFUNCTION("""COMPUTED_VALUE"""),"Top 20+ Google Ads Agencies in United Kingdom (2026) - TechBehemoths")</f>
        <v>Top 20+ Google Ads Agencies in United Kingdom (2026) - TechBehemoths</v>
      </c>
      <c r="C10" s="14" t="str">
        <f>IFERROR(__xludf.DUMMYFUNCTION("""COMPUTED_VALUE"""),"techbehemoths.com")</f>
        <v>techbehemoths.com</v>
      </c>
      <c r="D10" s="15" t="str">
        <f>IFERROR(__xludf.DUMMYFUNCTION("""COMPUTED_VALUE"""),"PROFILE")</f>
        <v>PROFILE</v>
      </c>
      <c r="E10" s="15" t="str">
        <f>IFERROR(__xludf.DUMMYFUNCTION("""COMPUTED_VALUE"""),"REFERENCE")</f>
        <v>REFERENCE</v>
      </c>
      <c r="F10" s="15" t="str">
        <f>IFERROR(__xludf.DUMMYFUNCTION("""COMPUTED_VALUE"""),"Profile")</f>
        <v>Profile</v>
      </c>
      <c r="G10" s="15" t="b">
        <f>IFERROR(__xludf.DUMMYFUNCTION("""COMPUTED_VALUE"""),FALSE)</f>
        <v>0</v>
      </c>
      <c r="H10" s="15" t="str">
        <f>IFERROR(__xludf.DUMMYFUNCTION("""COMPUTED_VALUE"""),"Found, Bird Marketing, Soap Media, The SEO Works, Disruptive Advertising, Impression")</f>
        <v>Found, Bird Marketing, Soap Media, The SEO Works, Disruptive Advertising, Impression</v>
      </c>
      <c r="I10" s="15">
        <f>IFERROR(__xludf.DUMMYFUNCTION("""COMPUTED_VALUE"""),8.0)</f>
        <v>8</v>
      </c>
      <c r="J10" s="15">
        <f>IFERROR(__xludf.DUMMYFUNCTION("""COMPUTED_VALUE"""),0.01)</f>
        <v>0.01</v>
      </c>
      <c r="K10" s="15">
        <f>IFERROR(__xludf.DUMMYFUNCTION("""COMPUTED_VALUE"""),0.0)</f>
        <v>0</v>
      </c>
    </row>
    <row r="11" ht="15.75" customHeight="1">
      <c r="A11" s="14" t="str">
        <f>IFERROR(__xludf.DUMMYFUNCTION("""COMPUTED_VALUE"""),"https://www.google.com/intl/en_GB/ads/publisher/partners/find-a-partner/")</f>
        <v>https://www.google.com/intl/en_GB/ads/publisher/partners/find-a-partner/</v>
      </c>
      <c r="B11" s="15" t="str">
        <f>IFERROR(__xludf.DUMMYFUNCTION("""COMPUTED_VALUE"""),"Find a Publishing Partner")</f>
        <v>Find a Publishing Partner</v>
      </c>
      <c r="C11" s="14" t="str">
        <f>IFERROR(__xludf.DUMMYFUNCTION("""COMPUTED_VALUE"""),"google.com")</f>
        <v>google.com</v>
      </c>
      <c r="D11" s="15" t="str">
        <f>IFERROR(__xludf.DUMMYFUNCTION("""COMPUTED_VALUE"""),"PROFILE")</f>
        <v>PROFILE</v>
      </c>
      <c r="E11" s="15" t="str">
        <f>IFERROR(__xludf.DUMMYFUNCTION("""COMPUTED_VALUE"""),"OTHER")</f>
        <v>OTHER</v>
      </c>
      <c r="F11" s="15" t="str">
        <f>IFERROR(__xludf.DUMMYFUNCTION("""COMPUTED_VALUE"""),"Profile")</f>
        <v>Profile</v>
      </c>
      <c r="G11" s="15" t="b">
        <f>IFERROR(__xludf.DUMMYFUNCTION("""COMPUTED_VALUE"""),FALSE)</f>
        <v>0</v>
      </c>
      <c r="H11" s="15" t="str">
        <f>IFERROR(__xludf.DUMMYFUNCTION("""COMPUTED_VALUE"""),"Found")</f>
        <v>Found</v>
      </c>
      <c r="I11" s="15">
        <f>IFERROR(__xludf.DUMMYFUNCTION("""COMPUTED_VALUE"""),7.0)</f>
        <v>7</v>
      </c>
      <c r="J11" s="15">
        <f>IFERROR(__xludf.DUMMYFUNCTION("""COMPUTED_VALUE"""),0.01)</f>
        <v>0.01</v>
      </c>
      <c r="K11" s="15">
        <f>IFERROR(__xludf.DUMMYFUNCTION("""COMPUTED_VALUE"""),0.0)</f>
        <v>0</v>
      </c>
    </row>
    <row r="12" ht="15.75" customHeight="1">
      <c r="A12" s="14" t="str">
        <f>IFERROR(__xludf.DUMMYFUNCTION("""COMPUTED_VALUE"""),"https://www.innovationvisual.com/about/partnerships/google/")</f>
        <v>https://www.innovationvisual.com/about/partnerships/google/</v>
      </c>
      <c r="B12" s="15" t="str">
        <f>IFERROR(__xludf.DUMMYFUNCTION("""COMPUTED_VALUE"""),"UK Google Agency Partner | Specialist Expertise on Google Ads")</f>
        <v>UK Google Agency Partner | Specialist Expertise on Google Ads</v>
      </c>
      <c r="C12" s="14" t="str">
        <f>IFERROR(__xludf.DUMMYFUNCTION("""COMPUTED_VALUE"""),"innovationvisual.com")</f>
        <v>innovationvisual.com</v>
      </c>
      <c r="D12" s="15" t="str">
        <f>IFERROR(__xludf.DUMMYFUNCTION("""COMPUTED_VALUE"""),"PROFILE")</f>
        <v>PROFILE</v>
      </c>
      <c r="E12" s="15" t="str">
        <f>IFERROR(__xludf.DUMMYFUNCTION("""COMPUTED_VALUE"""),"CORPORATE")</f>
        <v>CORPORATE</v>
      </c>
      <c r="F12" s="15" t="str">
        <f>IFERROR(__xludf.DUMMYFUNCTION("""COMPUTED_VALUE"""),"Profile")</f>
        <v>Profile</v>
      </c>
      <c r="G12" s="15" t="b">
        <f>IFERROR(__xludf.DUMMYFUNCTION("""COMPUTED_VALUE"""),FALSE)</f>
        <v>0</v>
      </c>
      <c r="H12" s="15"/>
      <c r="I12" s="15">
        <f>IFERROR(__xludf.DUMMYFUNCTION("""COMPUTED_VALUE"""),7.0)</f>
        <v>7</v>
      </c>
      <c r="J12" s="15">
        <f>IFERROR(__xludf.DUMMYFUNCTION("""COMPUTED_VALUE"""),0.01)</f>
        <v>0.01</v>
      </c>
      <c r="K12" s="15">
        <f>IFERROR(__xludf.DUMMYFUNCTION("""COMPUTED_VALUE"""),0.29)</f>
        <v>0.29</v>
      </c>
    </row>
    <row r="13" ht="15.75" customHeight="1">
      <c r="A13" s="14" t="str">
        <f>IFERROR(__xludf.DUMMYFUNCTION("""COMPUTED_VALUE"""),"https://selectedfirms.co/companies/aeo-companies")</f>
        <v>https://selectedfirms.co/companies/aeo-companies</v>
      </c>
      <c r="B13" s="15" t="str">
        <f>IFERROR(__xludf.DUMMYFUNCTION("""COMPUTED_VALUE"""),"Top AEO Companies Companies (2026) — SelectedFirms")</f>
        <v>Top AEO Companies Companies (2026) — SelectedFirms</v>
      </c>
      <c r="C13" s="14" t="str">
        <f>IFERROR(__xludf.DUMMYFUNCTION("""COMPUTED_VALUE"""),"selectedfirms.co")</f>
        <v>selectedfirms.co</v>
      </c>
      <c r="D13" s="15" t="str">
        <f>IFERROR(__xludf.DUMMYFUNCTION("""COMPUTED_VALUE"""),"PROFILE")</f>
        <v>PROFILE</v>
      </c>
      <c r="E13" s="15" t="str">
        <f>IFERROR(__xludf.DUMMYFUNCTION("""COMPUTED_VALUE"""),"CORPORATE")</f>
        <v>CORPORATE</v>
      </c>
      <c r="F13" s="15" t="str">
        <f>IFERROR(__xludf.DUMMYFUNCTION("""COMPUTED_VALUE"""),"Profile")</f>
        <v>Profile</v>
      </c>
      <c r="G13" s="15" t="b">
        <f>IFERROR(__xludf.DUMMYFUNCTION("""COMPUTED_VALUE"""),FALSE)</f>
        <v>0</v>
      </c>
      <c r="H13" s="15" t="str">
        <f>IFERROR(__xludf.DUMMYFUNCTION("""COMPUTED_VALUE"""),"Found, Momentum, Impression, Whitehat, 9AM")</f>
        <v>Found, Momentum, Impression, Whitehat, 9AM</v>
      </c>
      <c r="I13" s="15">
        <f>IFERROR(__xludf.DUMMYFUNCTION("""COMPUTED_VALUE"""),7.0)</f>
        <v>7</v>
      </c>
      <c r="J13" s="15">
        <f>IFERROR(__xludf.DUMMYFUNCTION("""COMPUTED_VALUE"""),0.01)</f>
        <v>0.01</v>
      </c>
      <c r="K13" s="15">
        <f>IFERROR(__xludf.DUMMYFUNCTION("""COMPUTED_VALUE"""),0.0)</f>
        <v>0</v>
      </c>
    </row>
    <row r="14" ht="15.75" customHeight="1">
      <c r="A14" s="14" t="str">
        <f>IFERROR(__xludf.DUMMYFUNCTION("""COMPUTED_VALUE"""),"https://www.creativecircle.co.uk/rankings")</f>
        <v>https://www.creativecircle.co.uk/rankings</v>
      </c>
      <c r="B14" s="15" t="str">
        <f>IFERROR(__xludf.DUMMYFUNCTION("""COMPUTED_VALUE"""),"Creative Circle Rankings | Creative Circle")</f>
        <v>Creative Circle Rankings | Creative Circle</v>
      </c>
      <c r="C14" s="14" t="str">
        <f>IFERROR(__xludf.DUMMYFUNCTION("""COMPUTED_VALUE"""),"creativecircle.co.uk")</f>
        <v>creativecircle.co.uk</v>
      </c>
      <c r="D14" s="15" t="str">
        <f>IFERROR(__xludf.DUMMYFUNCTION("""COMPUTED_VALUE"""),"PROFILE")</f>
        <v>PROFILE</v>
      </c>
      <c r="E14" s="15" t="str">
        <f>IFERROR(__xludf.DUMMYFUNCTION("""COMPUTED_VALUE"""),"INSTITUTIONAL")</f>
        <v>INSTITUTIONAL</v>
      </c>
      <c r="F14" s="15" t="str">
        <f>IFERROR(__xludf.DUMMYFUNCTION("""COMPUTED_VALUE"""),"Profile")</f>
        <v>Profile</v>
      </c>
      <c r="G14" s="15" t="b">
        <f>IFERROR(__xludf.DUMMYFUNCTION("""COMPUTED_VALUE"""),FALSE)</f>
        <v>0</v>
      </c>
      <c r="H14" s="15" t="str">
        <f>IFERROR(__xludf.DUMMYFUNCTION("""COMPUTED_VALUE"""),"Uncommon Creative Studio, BBH London, Saatchi &amp; Saatchi, VCCP")</f>
        <v>Uncommon Creative Studio, BBH London, Saatchi &amp; Saatchi, VCCP</v>
      </c>
      <c r="I14" s="15">
        <f>IFERROR(__xludf.DUMMYFUNCTION("""COMPUTED_VALUE"""),5.0)</f>
        <v>5</v>
      </c>
      <c r="J14" s="15">
        <f>IFERROR(__xludf.DUMMYFUNCTION("""COMPUTED_VALUE"""),0.0)</f>
        <v>0</v>
      </c>
      <c r="K14" s="15">
        <f>IFERROR(__xludf.DUMMYFUNCTION("""COMPUTED_VALUE"""),0.8)</f>
        <v>0.8</v>
      </c>
    </row>
    <row r="15" ht="15.75" customHeight="1">
      <c r="A15" s="14" t="str">
        <f>IFERROR(__xludf.DUMMYFUNCTION("""COMPUTED_VALUE"""),"https://sunnypatel.co.uk/blog/top-geo-agencies/#:~:text=Rise%20at%20Seven%3A%20Best%20for,to%20earn%20national%20press%20coverage.")</f>
        <v>https://sunnypatel.co.uk/blog/top-geo-agencies/#:~:text=Rise%20at%20Seven%3A%20Best%20for,to%20earn%20national%20press%20coverage.</v>
      </c>
      <c r="B15" s="15" t="str">
        <f>IFERROR(__xludf.DUMMYFUNCTION("""COMPUTED_VALUE"""),"Top GEO Agencies UK 2026: Generative Engine Specialists | Sunny Patel")</f>
        <v>Top GEO Agencies UK 2026: Generative Engine Specialists | Sunny Patel</v>
      </c>
      <c r="C15" s="14" t="str">
        <f>IFERROR(__xludf.DUMMYFUNCTION("""COMPUTED_VALUE"""),"sunnypatel.co.uk")</f>
        <v>sunnypatel.co.uk</v>
      </c>
      <c r="D15" s="15" t="str">
        <f>IFERROR(__xludf.DUMMYFUNCTION("""COMPUTED_VALUE"""),"PROFILE")</f>
        <v>PROFILE</v>
      </c>
      <c r="E15" s="15" t="str">
        <f>IFERROR(__xludf.DUMMYFUNCTION("""COMPUTED_VALUE"""),"CORPORATE")</f>
        <v>CORPORATE</v>
      </c>
      <c r="F15" s="15" t="str">
        <f>IFERROR(__xludf.DUMMYFUNCTION("""COMPUTED_VALUE"""),"Profile")</f>
        <v>Profile</v>
      </c>
      <c r="G15" s="15" t="b">
        <f>IFERROR(__xludf.DUMMYFUNCTION("""COMPUTED_VALUE"""),FALSE)</f>
        <v>0</v>
      </c>
      <c r="H15" s="15" t="str">
        <f>IFERROR(__xludf.DUMMYFUNCTION("""COMPUTED_VALUE"""),"Rise at Seven, Builtvisible, Impression, Measured")</f>
        <v>Rise at Seven, Builtvisible, Impression, Measured</v>
      </c>
      <c r="I15" s="15">
        <f>IFERROR(__xludf.DUMMYFUNCTION("""COMPUTED_VALUE"""),5.0)</f>
        <v>5</v>
      </c>
      <c r="J15" s="15">
        <f>IFERROR(__xludf.DUMMYFUNCTION("""COMPUTED_VALUE"""),0.0)</f>
        <v>0</v>
      </c>
      <c r="K15" s="15">
        <f>IFERROR(__xludf.DUMMYFUNCTION("""COMPUTED_VALUE"""),1.6)</f>
        <v>1.6</v>
      </c>
    </row>
    <row r="16" ht="15.75" customHeight="1">
      <c r="A16" s="14" t="str">
        <f>IFERROR(__xludf.DUMMYFUNCTION("""COMPUTED_VALUE"""),"https://www.found.co.uk/about-us/awards/")</f>
        <v>https://www.found.co.uk/about-us/awards/</v>
      </c>
      <c r="B16" s="15" t="str">
        <f>IFERROR(__xludf.DUMMYFUNCTION("""COMPUTED_VALUE"""),"Digital Marketing Awards &amp;amp; Accreditations | Found")</f>
        <v>Digital Marketing Awards &amp;amp; Accreditations | Found</v>
      </c>
      <c r="C16" s="14" t="str">
        <f>IFERROR(__xludf.DUMMYFUNCTION("""COMPUTED_VALUE"""),"found.co.uk")</f>
        <v>found.co.uk</v>
      </c>
      <c r="D16" s="15" t="str">
        <f>IFERROR(__xludf.DUMMYFUNCTION("""COMPUTED_VALUE"""),"PROFILE")</f>
        <v>PROFILE</v>
      </c>
      <c r="E16" s="15" t="str">
        <f>IFERROR(__xludf.DUMMYFUNCTION("""COMPUTED_VALUE"""),"CORPORATE")</f>
        <v>CORPORATE</v>
      </c>
      <c r="F16" s="15" t="str">
        <f>IFERROR(__xludf.DUMMYFUNCTION("""COMPUTED_VALUE"""),"Profile")</f>
        <v>Profile</v>
      </c>
      <c r="G16" s="15" t="b">
        <f>IFERROR(__xludf.DUMMYFUNCTION("""COMPUTED_VALUE"""),FALSE)</f>
        <v>0</v>
      </c>
      <c r="H16" s="15" t="str">
        <f>IFERROR(__xludf.DUMMYFUNCTION("""COMPUTED_VALUE"""),"Found")</f>
        <v>Found</v>
      </c>
      <c r="I16" s="15">
        <f>IFERROR(__xludf.DUMMYFUNCTION("""COMPUTED_VALUE"""),4.0)</f>
        <v>4</v>
      </c>
      <c r="J16" s="15">
        <f>IFERROR(__xludf.DUMMYFUNCTION("""COMPUTED_VALUE"""),0.0)</f>
        <v>0</v>
      </c>
      <c r="K16" s="15">
        <f>IFERROR(__xludf.DUMMYFUNCTION("""COMPUTED_VALUE"""),0.0)</f>
        <v>0</v>
      </c>
    </row>
    <row r="17" ht="15.75" customHeight="1">
      <c r="A17" s="14" t="str">
        <f>IFERROR(__xludf.DUMMYFUNCTION("""COMPUTED_VALUE"""),"https://www.getapp.co.uk/software/103447/agency-analytics")</f>
        <v>https://www.getapp.co.uk/software/103447/agency-analytics</v>
      </c>
      <c r="B17" s="15" t="str">
        <f>IFERROR(__xludf.DUMMYFUNCTION("""COMPUTED_VALUE"""),"AgencyAnalytics Reviews, Prices &amp; Ratings \| GetApp UK 2026")</f>
        <v>AgencyAnalytics Reviews, Prices &amp; Ratings \| GetApp UK 2026</v>
      </c>
      <c r="C17" s="14" t="str">
        <f>IFERROR(__xludf.DUMMYFUNCTION("""COMPUTED_VALUE"""),"getapp.co.uk")</f>
        <v>getapp.co.uk</v>
      </c>
      <c r="D17" s="15" t="str">
        <f>IFERROR(__xludf.DUMMYFUNCTION("""COMPUTED_VALUE"""),"PROFILE")</f>
        <v>PROFILE</v>
      </c>
      <c r="E17" s="15" t="str">
        <f>IFERROR(__xludf.DUMMYFUNCTION("""COMPUTED_VALUE"""),"REFERENCE")</f>
        <v>REFERENCE</v>
      </c>
      <c r="F17" s="15" t="str">
        <f>IFERROR(__xludf.DUMMYFUNCTION("""COMPUTED_VALUE"""),"Profile")</f>
        <v>Profile</v>
      </c>
      <c r="G17" s="15" t="b">
        <f>IFERROR(__xludf.DUMMYFUNCTION("""COMPUTED_VALUE"""),FALSE)</f>
        <v>0</v>
      </c>
      <c r="H17" s="15" t="str">
        <f>IFERROR(__xludf.DUMMYFUNCTION("""COMPUTED_VALUE"""),"Huge, Found")</f>
        <v>Huge, Found</v>
      </c>
      <c r="I17" s="15">
        <f>IFERROR(__xludf.DUMMYFUNCTION("""COMPUTED_VALUE"""),4.0)</f>
        <v>4</v>
      </c>
      <c r="J17" s="15">
        <f>IFERROR(__xludf.DUMMYFUNCTION("""COMPUTED_VALUE"""),0.0)</f>
        <v>0</v>
      </c>
      <c r="K17" s="15">
        <f>IFERROR(__xludf.DUMMYFUNCTION("""COMPUTED_VALUE"""),0.0)</f>
        <v>0</v>
      </c>
    </row>
    <row r="18" ht="15.75" customHeight="1">
      <c r="A18" s="14" t="str">
        <f>IFERROR(__xludf.DUMMYFUNCTION("""COMPUTED_VALUE"""),"https://www.adtrak.co.uk/services/ai-digital-marketing-agency")</f>
        <v>https://www.adtrak.co.uk/services/ai-digital-marketing-agency</v>
      </c>
      <c r="B18" s="15" t="str">
        <f>IFERROR(__xludf.DUMMYFUNCTION("""COMPUTED_VALUE"""),"AI Digital Marketing Agency | Adtrak")</f>
        <v>AI Digital Marketing Agency | Adtrak</v>
      </c>
      <c r="C18" s="14" t="str">
        <f>IFERROR(__xludf.DUMMYFUNCTION("""COMPUTED_VALUE"""),"adtrak.co.uk")</f>
        <v>adtrak.co.uk</v>
      </c>
      <c r="D18" s="15" t="str">
        <f>IFERROR(__xludf.DUMMYFUNCTION("""COMPUTED_VALUE"""),"PROFILE")</f>
        <v>PROFILE</v>
      </c>
      <c r="E18" s="15" t="str">
        <f>IFERROR(__xludf.DUMMYFUNCTION("""COMPUTED_VALUE"""),"CORPORATE")</f>
        <v>CORPORATE</v>
      </c>
      <c r="F18" s="15" t="str">
        <f>IFERROR(__xludf.DUMMYFUNCTION("""COMPUTED_VALUE"""),"Profile")</f>
        <v>Profile</v>
      </c>
      <c r="G18" s="15" t="b">
        <f>IFERROR(__xludf.DUMMYFUNCTION("""COMPUTED_VALUE"""),FALSE)</f>
        <v>0</v>
      </c>
      <c r="H18" s="15"/>
      <c r="I18" s="15">
        <f>IFERROR(__xludf.DUMMYFUNCTION("""COMPUTED_VALUE"""),3.0)</f>
        <v>3</v>
      </c>
      <c r="J18" s="15">
        <f>IFERROR(__xludf.DUMMYFUNCTION("""COMPUTED_VALUE"""),0.0)</f>
        <v>0</v>
      </c>
      <c r="K18" s="15">
        <f>IFERROR(__xludf.DUMMYFUNCTION("""COMPUTED_VALUE"""),1.0)</f>
        <v>1</v>
      </c>
    </row>
    <row r="19" ht="15.75" customHeight="1">
      <c r="A19" s="14" t="str">
        <f>IFERROR(__xludf.DUMMYFUNCTION("""COMPUTED_VALUE"""),"https://edisonmoment.com/agency/best/digital-marketing-agency-united-kingdom")</f>
        <v>https://edisonmoment.com/agency/best/digital-marketing-agency-united-kingdom</v>
      </c>
      <c r="B19" s="15" t="str">
        <f>IFERROR(__xludf.DUMMYFUNCTION("""COMPUTED_VALUE"""),"Digital Marketing Agency in the UK | Edison Moment")</f>
        <v>Digital Marketing Agency in the UK | Edison Moment</v>
      </c>
      <c r="C19" s="14" t="str">
        <f>IFERROR(__xludf.DUMMYFUNCTION("""COMPUTED_VALUE"""),"edisonmoment.com")</f>
        <v>edisonmoment.com</v>
      </c>
      <c r="D19" s="15" t="str">
        <f>IFERROR(__xludf.DUMMYFUNCTION("""COMPUTED_VALUE"""),"PROFILE")</f>
        <v>PROFILE</v>
      </c>
      <c r="E19" s="15" t="str">
        <f>IFERROR(__xludf.DUMMYFUNCTION("""COMPUTED_VALUE"""),"CORPORATE")</f>
        <v>CORPORATE</v>
      </c>
      <c r="F19" s="15" t="str">
        <f>IFERROR(__xludf.DUMMYFUNCTION("""COMPUTED_VALUE"""),"Profile")</f>
        <v>Profile</v>
      </c>
      <c r="G19" s="15" t="b">
        <f>IFERROR(__xludf.DUMMYFUNCTION("""COMPUTED_VALUE"""),FALSE)</f>
        <v>0</v>
      </c>
      <c r="H19" s="15" t="str">
        <f>IFERROR(__xludf.DUMMYFUNCTION("""COMPUTED_VALUE"""),"Measured")</f>
        <v>Measured</v>
      </c>
      <c r="I19" s="15">
        <f>IFERROR(__xludf.DUMMYFUNCTION("""COMPUTED_VALUE"""),3.0)</f>
        <v>3</v>
      </c>
      <c r="J19" s="15">
        <f>IFERROR(__xludf.DUMMYFUNCTION("""COMPUTED_VALUE"""),0.0)</f>
        <v>0</v>
      </c>
      <c r="K19" s="15">
        <f>IFERROR(__xludf.DUMMYFUNCTION("""COMPUTED_VALUE"""),0.0)</f>
        <v>0</v>
      </c>
    </row>
    <row r="20" ht="15.75" customHeight="1">
      <c r="A20" s="14" t="str">
        <f>IFERROR(__xludf.DUMMYFUNCTION("""COMPUTED_VALUE"""),"https://www.marketingagencyindex.com/uk/services/programmatic")</f>
        <v>https://www.marketingagencyindex.com/uk/services/programmatic</v>
      </c>
      <c r="B20" s="15" t="str">
        <f>IFERROR(__xludf.DUMMYFUNCTION("""COMPUTED_VALUE"""),"Best Programmatic Agencies in the UK | Agency Index")</f>
        <v>Best Programmatic Agencies in the UK | Agency Index</v>
      </c>
      <c r="C20" s="14" t="str">
        <f>IFERROR(__xludf.DUMMYFUNCTION("""COMPUTED_VALUE"""),"marketingagencyindex.com")</f>
        <v>marketingagencyindex.com</v>
      </c>
      <c r="D20" s="15" t="str">
        <f>IFERROR(__xludf.DUMMYFUNCTION("""COMPUTED_VALUE"""),"PROFILE")</f>
        <v>PROFILE</v>
      </c>
      <c r="E20" s="15" t="str">
        <f>IFERROR(__xludf.DUMMYFUNCTION("""COMPUTED_VALUE"""),"UGC")</f>
        <v>UGC</v>
      </c>
      <c r="F20" s="15" t="str">
        <f>IFERROR(__xludf.DUMMYFUNCTION("""COMPUTED_VALUE"""),"Profile")</f>
        <v>Profile</v>
      </c>
      <c r="G20" s="15" t="b">
        <f>IFERROR(__xludf.DUMMYFUNCTION("""COMPUTED_VALUE"""),FALSE)</f>
        <v>0</v>
      </c>
      <c r="H20" s="15" t="str">
        <f>IFERROR(__xludf.DUMMYFUNCTION("""COMPUTED_VALUE"""),"Found, Measured, Propellernet, Saatchi &amp; Saatchi, Jellyfish, Brandtech, GroupM, Omnicom, Dentsu, Push")</f>
        <v>Found, Measured, Propellernet, Saatchi &amp; Saatchi, Jellyfish, Brandtech, GroupM, Omnicom, Dentsu, Push</v>
      </c>
      <c r="I20" s="15">
        <f>IFERROR(__xludf.DUMMYFUNCTION("""COMPUTED_VALUE"""),3.0)</f>
        <v>3</v>
      </c>
      <c r="J20" s="15">
        <f>IFERROR(__xludf.DUMMYFUNCTION("""COMPUTED_VALUE"""),0.0)</f>
        <v>0</v>
      </c>
      <c r="K20" s="15">
        <f>IFERROR(__xludf.DUMMYFUNCTION("""COMPUTED_VALUE"""),1.0)</f>
        <v>1</v>
      </c>
    </row>
    <row r="21" ht="15.75" customHeight="1">
      <c r="A21" s="14" t="str">
        <f>IFERROR(__xludf.DUMMYFUNCTION("""COMPUTED_VALUE"""),"https://segmentstream.com/glossary/incrementality-testing")</f>
        <v>https://segmentstream.com/glossary/incrementality-testing</v>
      </c>
      <c r="B21" s="15" t="str">
        <f>IFERROR(__xludf.DUMMYFUNCTION("""COMPUTED_VALUE"""),"What Is Incrementality Testing? — SegmentStream")</f>
        <v>What Is Incrementality Testing? — SegmentStream</v>
      </c>
      <c r="C21" s="14" t="str">
        <f>IFERROR(__xludf.DUMMYFUNCTION("""COMPUTED_VALUE"""),"segmentstream.com")</f>
        <v>segmentstream.com</v>
      </c>
      <c r="D21" s="15" t="str">
        <f>IFERROR(__xludf.DUMMYFUNCTION("""COMPUTED_VALUE"""),"PROFILE")</f>
        <v>PROFILE</v>
      </c>
      <c r="E21" s="15" t="str">
        <f>IFERROR(__xludf.DUMMYFUNCTION("""COMPUTED_VALUE"""),"COMPETITOR")</f>
        <v>COMPETITOR</v>
      </c>
      <c r="F21" s="15" t="str">
        <f>IFERROR(__xludf.DUMMYFUNCTION("""COMPUTED_VALUE"""),"Profile")</f>
        <v>Profile</v>
      </c>
      <c r="G21" s="15" t="b">
        <f>IFERROR(__xludf.DUMMYFUNCTION("""COMPUTED_VALUE"""),FALSE)</f>
        <v>0</v>
      </c>
      <c r="H21" s="15" t="str">
        <f>IFERROR(__xludf.DUMMYFUNCTION("""COMPUTED_VALUE"""),"SegmentStream, Measured, Found")</f>
        <v>SegmentStream, Measured, Found</v>
      </c>
      <c r="I21" s="15">
        <f>IFERROR(__xludf.DUMMYFUNCTION("""COMPUTED_VALUE"""),3.0)</f>
        <v>3</v>
      </c>
      <c r="J21" s="15">
        <f>IFERROR(__xludf.DUMMYFUNCTION("""COMPUTED_VALUE"""),0.0)</f>
        <v>0</v>
      </c>
      <c r="K21" s="15">
        <f>IFERROR(__xludf.DUMMYFUNCTION("""COMPUTED_VALUE"""),1.0)</f>
        <v>1</v>
      </c>
    </row>
    <row r="22" ht="15.75" customHeight="1">
      <c r="A22" s="14" t="str">
        <f>IFERROR(__xludf.DUMMYFUNCTION("""COMPUTED_VALUE"""),"https://aiblmedia.com/ai-enablement-directory/")</f>
        <v>https://aiblmedia.com/ai-enablement-directory/</v>
      </c>
      <c r="B22" s="15" t="str">
        <f>IFERROR(__xludf.DUMMYFUNCTION("""COMPUTED_VALUE"""),"AI Enablement Directory | 50+ Verified UK AI Partners | aibl")</f>
        <v>AI Enablement Directory | 50+ Verified UK AI Partners | aibl</v>
      </c>
      <c r="C22" s="14" t="str">
        <f>IFERROR(__xludf.DUMMYFUNCTION("""COMPUTED_VALUE"""),"aiblmedia.com")</f>
        <v>aiblmedia.com</v>
      </c>
      <c r="D22" s="15" t="str">
        <f>IFERROR(__xludf.DUMMYFUNCTION("""COMPUTED_VALUE"""),"PROFILE")</f>
        <v>PROFILE</v>
      </c>
      <c r="E22" s="15" t="str">
        <f>IFERROR(__xludf.DUMMYFUNCTION("""COMPUTED_VALUE"""),"EDITORIAL")</f>
        <v>EDITORIAL</v>
      </c>
      <c r="F22" s="15" t="str">
        <f>IFERROR(__xludf.DUMMYFUNCTION("""COMPUTED_VALUE"""),"Profile")</f>
        <v>Profile</v>
      </c>
      <c r="G22" s="15" t="b">
        <f>IFERROR(__xludf.DUMMYFUNCTION("""COMPUTED_VALUE"""),FALSE)</f>
        <v>0</v>
      </c>
      <c r="H22" s="15" t="str">
        <f>IFERROR(__xludf.DUMMYFUNCTION("""COMPUTED_VALUE"""),"Found, Jellyfish")</f>
        <v>Found, Jellyfish</v>
      </c>
      <c r="I22" s="15">
        <f>IFERROR(__xludf.DUMMYFUNCTION("""COMPUTED_VALUE"""),2.0)</f>
        <v>2</v>
      </c>
      <c r="J22" s="15">
        <f>IFERROR(__xludf.DUMMYFUNCTION("""COMPUTED_VALUE"""),0.0)</f>
        <v>0</v>
      </c>
      <c r="K22" s="15">
        <f>IFERROR(__xludf.DUMMYFUNCTION("""COMPUTED_VALUE"""),1.5)</f>
        <v>1.5</v>
      </c>
    </row>
    <row r="23" ht="15.75" customHeight="1">
      <c r="A23" s="14" t="str">
        <f>IFERROR(__xludf.DUMMYFUNCTION("""COMPUTED_VALUE"""),"https://clutch.co/agencies/market-research/shopper-marketing/uk")</f>
        <v>https://clutch.co/agencies/market-research/shopper-marketing/uk</v>
      </c>
      <c r="B23" s="15" t="str">
        <f>IFERROR(__xludf.DUMMYFUNCTION("""COMPUTED_VALUE"""),"Top Shopper Marketing Agencies in the United Kingdom - Jul 2026 Rankings | Clutch.co")</f>
        <v>Top Shopper Marketing Agencies in the United Kingdom - Jul 2026 Rankings | Clutch.co</v>
      </c>
      <c r="C23" s="14" t="str">
        <f>IFERROR(__xludf.DUMMYFUNCTION("""COMPUTED_VALUE"""),"clutch.co")</f>
        <v>clutch.co</v>
      </c>
      <c r="D23" s="15" t="str">
        <f>IFERROR(__xludf.DUMMYFUNCTION("""COMPUTED_VALUE"""),"PROFILE")</f>
        <v>PROFILE</v>
      </c>
      <c r="E23" s="15" t="str">
        <f>IFERROR(__xludf.DUMMYFUNCTION("""COMPUTED_VALUE"""),"CORPORATE")</f>
        <v>CORPORATE</v>
      </c>
      <c r="F23" s="15" t="str">
        <f>IFERROR(__xludf.DUMMYFUNCTION("""COMPUTED_VALUE"""),"Profile")</f>
        <v>Profile</v>
      </c>
      <c r="G23" s="15" t="b">
        <f>IFERROR(__xludf.DUMMYFUNCTION("""COMPUTED_VALUE"""),FALSE)</f>
        <v>0</v>
      </c>
      <c r="H23" s="15"/>
      <c r="I23" s="15">
        <f>IFERROR(__xludf.DUMMYFUNCTION("""COMPUTED_VALUE"""),2.0)</f>
        <v>2</v>
      </c>
      <c r="J23" s="15">
        <f>IFERROR(__xludf.DUMMYFUNCTION("""COMPUTED_VALUE"""),0.0)</f>
        <v>0</v>
      </c>
      <c r="K23" s="15">
        <f>IFERROR(__xludf.DUMMYFUNCTION("""COMPUTED_VALUE"""),0.0)</f>
        <v>0</v>
      </c>
    </row>
    <row r="24" ht="15.75" customHeight="1">
      <c r="A24" s="14" t="str">
        <f>IFERROR(__xludf.DUMMYFUNCTION("""COMPUTED_VALUE"""),"https://clutch.co/agencies/social-media-marketing/influencer/uk")</f>
        <v>https://clutch.co/agencies/social-media-marketing/influencer/uk</v>
      </c>
      <c r="B24" s="15" t="str">
        <f>IFERROR(__xludf.DUMMYFUNCTION("""COMPUTED_VALUE"""),"Top Influencer Advertising Agencies in the United Kingdom - Jul 2026 Rankings \| Clutch.co")</f>
        <v>Top Influencer Advertising Agencies in the United Kingdom - Jul 2026 Rankings \| Clutch.co</v>
      </c>
      <c r="C24" s="14" t="str">
        <f>IFERROR(__xludf.DUMMYFUNCTION("""COMPUTED_VALUE"""),"clutch.co")</f>
        <v>clutch.co</v>
      </c>
      <c r="D24" s="15" t="str">
        <f>IFERROR(__xludf.DUMMYFUNCTION("""COMPUTED_VALUE"""),"PROFILE")</f>
        <v>PROFILE</v>
      </c>
      <c r="E24" s="15" t="str">
        <f>IFERROR(__xludf.DUMMYFUNCTION("""COMPUTED_VALUE"""),"CORPORATE")</f>
        <v>CORPORATE</v>
      </c>
      <c r="F24" s="15" t="str">
        <f>IFERROR(__xludf.DUMMYFUNCTION("""COMPUTED_VALUE"""),"Profile")</f>
        <v>Profile</v>
      </c>
      <c r="G24" s="15" t="b">
        <f>IFERROR(__xludf.DUMMYFUNCTION("""COMPUTED_VALUE"""),FALSE)</f>
        <v>0</v>
      </c>
      <c r="H24" s="15" t="str">
        <f>IFERROR(__xludf.DUMMYFUNCTION("""COMPUTED_VALUE"""),"Ninja Promo, Favoured, Found, Momentum, Propeller, Impression")</f>
        <v>Ninja Promo, Favoured, Found, Momentum, Propeller, Impression</v>
      </c>
      <c r="I24" s="15">
        <f>IFERROR(__xludf.DUMMYFUNCTION("""COMPUTED_VALUE"""),2.0)</f>
        <v>2</v>
      </c>
      <c r="J24" s="15">
        <f>IFERROR(__xludf.DUMMYFUNCTION("""COMPUTED_VALUE"""),0.0)</f>
        <v>0</v>
      </c>
      <c r="K24" s="15">
        <f>IFERROR(__xludf.DUMMYFUNCTION("""COMPUTED_VALUE"""),0.0)</f>
        <v>0</v>
      </c>
    </row>
    <row r="25" ht="15.75" customHeight="1">
      <c r="A25" s="14" t="str">
        <f>IFERROR(__xludf.DUMMYFUNCTION("""COMPUTED_VALUE"""),"https://digitalagencynetwork.com/agencies/usa/ai-marketing/")</f>
        <v>https://digitalagencynetwork.com/agencies/usa/ai-marketing/</v>
      </c>
      <c r="B25" s="15" t="str">
        <f>IFERROR(__xludf.DUMMYFUNCTION("""COMPUTED_VALUE"""),"Top AI Marketing Agencies in USA (2026)")</f>
        <v>Top AI Marketing Agencies in USA (2026)</v>
      </c>
      <c r="C25" s="14" t="str">
        <f>IFERROR(__xludf.DUMMYFUNCTION("""COMPUTED_VALUE"""),"digitalagencynetwork.com")</f>
        <v>digitalagencynetwork.com</v>
      </c>
      <c r="D25" s="15" t="str">
        <f>IFERROR(__xludf.DUMMYFUNCTION("""COMPUTED_VALUE"""),"PROFILE")</f>
        <v>PROFILE</v>
      </c>
      <c r="E25" s="15" t="str">
        <f>IFERROR(__xludf.DUMMYFUNCTION("""COMPUTED_VALUE"""),"REFERENCE")</f>
        <v>REFERENCE</v>
      </c>
      <c r="F25" s="15" t="str">
        <f>IFERROR(__xludf.DUMMYFUNCTION("""COMPUTED_VALUE"""),"Profile")</f>
        <v>Profile</v>
      </c>
      <c r="G25" s="15" t="b">
        <f>IFERROR(__xludf.DUMMYFUNCTION("""COMPUTED_VALUE"""),FALSE)</f>
        <v>0</v>
      </c>
      <c r="H25" s="15" t="str">
        <f>IFERROR(__xludf.DUMMYFUNCTION("""COMPUTED_VALUE"""),"Favoured, NoGood, Ignite Visibility, Propeller, Ninja Promo, Bird Marketing, ROAST, Found, Impression")</f>
        <v>Favoured, NoGood, Ignite Visibility, Propeller, Ninja Promo, Bird Marketing, ROAST, Found, Impression</v>
      </c>
      <c r="I25" s="15">
        <f>IFERROR(__xludf.DUMMYFUNCTION("""COMPUTED_VALUE"""),2.0)</f>
        <v>2</v>
      </c>
      <c r="J25" s="15">
        <f>IFERROR(__xludf.DUMMYFUNCTION("""COMPUTED_VALUE"""),0.0)</f>
        <v>0</v>
      </c>
      <c r="K25" s="15">
        <f>IFERROR(__xludf.DUMMYFUNCTION("""COMPUTED_VALUE"""),0.0)</f>
        <v>0</v>
      </c>
    </row>
    <row r="26" ht="15.75" customHeight="1">
      <c r="A26" s="14" t="str">
        <f>IFERROR(__xludf.DUMMYFUNCTION("""COMPUTED_VALUE"""),"https://www.elevenmiles.com/sandbox-home")</f>
        <v>https://www.elevenmiles.com/sandbox-home</v>
      </c>
      <c r="B26" s="15" t="str">
        <f>IFERROR(__xludf.DUMMYFUNCTION("""COMPUTED_VALUE"""),"Sandbox (home) — GAIN Creative Studios")</f>
        <v>Sandbox (home) — GAIN Creative Studios</v>
      </c>
      <c r="C26" s="14" t="str">
        <f>IFERROR(__xludf.DUMMYFUNCTION("""COMPUTED_VALUE"""),"elevenmiles.com")</f>
        <v>elevenmiles.com</v>
      </c>
      <c r="D26" s="15" t="str">
        <f>IFERROR(__xludf.DUMMYFUNCTION("""COMPUTED_VALUE"""),"PROFILE")</f>
        <v>PROFILE</v>
      </c>
      <c r="E26" s="15" t="str">
        <f>IFERROR(__xludf.DUMMYFUNCTION("""COMPUTED_VALUE"""),"CORPORATE")</f>
        <v>CORPORATE</v>
      </c>
      <c r="F26" s="15" t="str">
        <f>IFERROR(__xludf.DUMMYFUNCTION("""COMPUTED_VALUE"""),"Profile")</f>
        <v>Profile</v>
      </c>
      <c r="G26" s="15" t="b">
        <f>IFERROR(__xludf.DUMMYFUNCTION("""COMPUTED_VALUE"""),FALSE)</f>
        <v>0</v>
      </c>
      <c r="H26" s="15" t="str">
        <f>IFERROR(__xludf.DUMMYFUNCTION("""COMPUTED_VALUE"""),"Push")</f>
        <v>Push</v>
      </c>
      <c r="I26" s="15">
        <f>IFERROR(__xludf.DUMMYFUNCTION("""COMPUTED_VALUE"""),2.0)</f>
        <v>2</v>
      </c>
      <c r="J26" s="15">
        <f>IFERROR(__xludf.DUMMYFUNCTION("""COMPUTED_VALUE"""),0.0)</f>
        <v>0</v>
      </c>
      <c r="K26" s="15">
        <f>IFERROR(__xludf.DUMMYFUNCTION("""COMPUTED_VALUE"""),0.0)</f>
        <v>0</v>
      </c>
    </row>
    <row r="27" ht="15.75" customHeight="1">
      <c r="A27" s="14" t="str">
        <f>IFERROR(__xludf.DUMMYFUNCTION("""COMPUTED_VALUE"""),"https://figarodigital.co.uk/companies/queryclick/")</f>
        <v>https://figarodigital.co.uk/companies/queryclick/</v>
      </c>
      <c r="B27" s="15" t="str">
        <f>IFERROR(__xludf.DUMMYFUNCTION("""COMPUTED_VALUE"""),"QueryClick - Figaro Digital")</f>
        <v>QueryClick - Figaro Digital</v>
      </c>
      <c r="C27" s="14" t="str">
        <f>IFERROR(__xludf.DUMMYFUNCTION("""COMPUTED_VALUE"""),"figarodigital.co.uk")</f>
        <v>figarodigital.co.uk</v>
      </c>
      <c r="D27" s="15" t="str">
        <f>IFERROR(__xludf.DUMMYFUNCTION("""COMPUTED_VALUE"""),"PROFILE")</f>
        <v>PROFILE</v>
      </c>
      <c r="E27" s="15" t="str">
        <f>IFERROR(__xludf.DUMMYFUNCTION("""COMPUTED_VALUE"""),"CORPORATE")</f>
        <v>CORPORATE</v>
      </c>
      <c r="F27" s="15" t="str">
        <f>IFERROR(__xludf.DUMMYFUNCTION("""COMPUTED_VALUE"""),"Profile")</f>
        <v>Profile</v>
      </c>
      <c r="G27" s="15" t="b">
        <f>IFERROR(__xludf.DUMMYFUNCTION("""COMPUTED_VALUE"""),FALSE)</f>
        <v>0</v>
      </c>
      <c r="H27" s="15" t="str">
        <f>IFERROR(__xludf.DUMMYFUNCTION("""COMPUTED_VALUE"""),"QueryClick")</f>
        <v>QueryClick</v>
      </c>
      <c r="I27" s="15">
        <f>IFERROR(__xludf.DUMMYFUNCTION("""COMPUTED_VALUE"""),2.0)</f>
        <v>2</v>
      </c>
      <c r="J27" s="15">
        <f>IFERROR(__xludf.DUMMYFUNCTION("""COMPUTED_VALUE"""),0.0)</f>
        <v>0</v>
      </c>
      <c r="K27" s="15">
        <f>IFERROR(__xludf.DUMMYFUNCTION("""COMPUTED_VALUE"""),1.5)</f>
        <v>1.5</v>
      </c>
    </row>
    <row r="28" ht="15.75" customHeight="1">
      <c r="A28" s="14" t="str">
        <f>IFERROR(__xludf.DUMMYFUNCTION("""COMPUTED_VALUE"""),"https://www.goodfirms.co/directory/country/top-digital-marketing-companies/advertising-ppc/uk?sort_by=reviews")</f>
        <v>https://www.goodfirms.co/directory/country/top-digital-marketing-companies/advertising-ppc/uk?sort_by=reviews</v>
      </c>
      <c r="B28" s="15" t="str">
        <f>IFERROR(__xludf.DUMMYFUNCTION("""COMPUTED_VALUE"""),"Top PPC Agencies in the UK - 2026 Reviews | Goodfirms")</f>
        <v>Top PPC Agencies in the UK - 2026 Reviews | Goodfirms</v>
      </c>
      <c r="C28" s="14" t="str">
        <f>IFERROR(__xludf.DUMMYFUNCTION("""COMPUTED_VALUE"""),"goodfirms.co")</f>
        <v>goodfirms.co</v>
      </c>
      <c r="D28" s="15" t="str">
        <f>IFERROR(__xludf.DUMMYFUNCTION("""COMPUTED_VALUE"""),"PROFILE")</f>
        <v>PROFILE</v>
      </c>
      <c r="E28" s="15" t="str">
        <f>IFERROR(__xludf.DUMMYFUNCTION("""COMPUTED_VALUE"""),"UGC")</f>
        <v>UGC</v>
      </c>
      <c r="F28" s="15" t="str">
        <f>IFERROR(__xludf.DUMMYFUNCTION("""COMPUTED_VALUE"""),"Profile")</f>
        <v>Profile</v>
      </c>
      <c r="G28" s="15" t="b">
        <f>IFERROR(__xludf.DUMMYFUNCTION("""COMPUTED_VALUE"""),FALSE)</f>
        <v>0</v>
      </c>
      <c r="H28" s="15" t="str">
        <f>IFERROR(__xludf.DUMMYFUNCTION("""COMPUTED_VALUE"""),"Bird Marketing, WebFX, Found")</f>
        <v>Bird Marketing, WebFX, Found</v>
      </c>
      <c r="I28" s="15">
        <f>IFERROR(__xludf.DUMMYFUNCTION("""COMPUTED_VALUE"""),2.0)</f>
        <v>2</v>
      </c>
      <c r="J28" s="15">
        <f>IFERROR(__xludf.DUMMYFUNCTION("""COMPUTED_VALUE"""),0.0)</f>
        <v>0</v>
      </c>
      <c r="K28" s="15">
        <f>IFERROR(__xludf.DUMMYFUNCTION("""COMPUTED_VALUE"""),0.0)</f>
        <v>0</v>
      </c>
    </row>
    <row r="29" ht="15.75" customHeight="1">
      <c r="A29" s="14" t="str">
        <f>IFERROR(__xludf.DUMMYFUNCTION("""COMPUTED_VALUE"""),"https://www.marketingagencyindex.com/uk/ownership-model/network/wpp")</f>
        <v>https://www.marketingagencyindex.com/uk/ownership-model/network/wpp</v>
      </c>
      <c r="B29" s="15" t="str">
        <f>IFERROR(__xludf.DUMMYFUNCTION("""COMPUTED_VALUE"""),"WPP marketing agencies in the UK - AgencyIndex")</f>
        <v>WPP marketing agencies in the UK - AgencyIndex</v>
      </c>
      <c r="C29" s="14" t="str">
        <f>IFERROR(__xludf.DUMMYFUNCTION("""COMPUTED_VALUE"""),"marketingagencyindex.com")</f>
        <v>marketingagencyindex.com</v>
      </c>
      <c r="D29" s="15" t="str">
        <f>IFERROR(__xludf.DUMMYFUNCTION("""COMPUTED_VALUE"""),"PROFILE")</f>
        <v>PROFILE</v>
      </c>
      <c r="E29" s="15" t="str">
        <f>IFERROR(__xludf.DUMMYFUNCTION("""COMPUTED_VALUE"""),"UGC")</f>
        <v>UGC</v>
      </c>
      <c r="F29" s="15" t="str">
        <f>IFERROR(__xludf.DUMMYFUNCTION("""COMPUTED_VALUE"""),"Profile")</f>
        <v>Profile</v>
      </c>
      <c r="G29" s="15" t="b">
        <f>IFERROR(__xludf.DUMMYFUNCTION("""COMPUTED_VALUE"""),FALSE)</f>
        <v>0</v>
      </c>
      <c r="H29" s="15" t="str">
        <f>IFERROR(__xludf.DUMMYFUNCTION("""COMPUTED_VALUE"""),"WPP, Ogilvy, AKQA, GroupM, Publicis Groupe, Omnicom, Brandtech")</f>
        <v>WPP, Ogilvy, AKQA, GroupM, Publicis Groupe, Omnicom, Brandtech</v>
      </c>
      <c r="I29" s="15">
        <f>IFERROR(__xludf.DUMMYFUNCTION("""COMPUTED_VALUE"""),2.0)</f>
        <v>2</v>
      </c>
      <c r="J29" s="15">
        <f>IFERROR(__xludf.DUMMYFUNCTION("""COMPUTED_VALUE"""),0.0)</f>
        <v>0</v>
      </c>
      <c r="K29" s="15">
        <f>IFERROR(__xludf.DUMMYFUNCTION("""COMPUTED_VALUE"""),0.0)</f>
        <v>0</v>
      </c>
    </row>
    <row r="30" ht="15.75" customHeight="1">
      <c r="A30" s="14" t="str">
        <f>IFERROR(__xludf.DUMMYFUNCTION("""COMPUTED_VALUE"""),"https://www.sortlist.co.uk/s/programmatic-advertising/united-kingdom-gb")</f>
        <v>https://www.sortlist.co.uk/s/programmatic-advertising/united-kingdom-gb</v>
      </c>
      <c r="B30" s="15" t="str">
        <f>IFERROR(__xludf.DUMMYFUNCTION("""COMPUTED_VALUE"""),"100+ Top Programmatic Advertising Companies in the UK - 2026 Reviews")</f>
        <v>100+ Top Programmatic Advertising Companies in the UK - 2026 Reviews</v>
      </c>
      <c r="C30" s="14" t="str">
        <f>IFERROR(__xludf.DUMMYFUNCTION("""COMPUTED_VALUE"""),"sortlist.co.uk")</f>
        <v>sortlist.co.uk</v>
      </c>
      <c r="D30" s="15" t="str">
        <f>IFERROR(__xludf.DUMMYFUNCTION("""COMPUTED_VALUE"""),"PROFILE")</f>
        <v>PROFILE</v>
      </c>
      <c r="E30" s="15" t="str">
        <f>IFERROR(__xludf.DUMMYFUNCTION("""COMPUTED_VALUE"""),"REFERENCE")</f>
        <v>REFERENCE</v>
      </c>
      <c r="F30" s="15" t="str">
        <f>IFERROR(__xludf.DUMMYFUNCTION("""COMPUTED_VALUE"""),"Profile")</f>
        <v>Profile</v>
      </c>
      <c r="G30" s="15" t="b">
        <f>IFERROR(__xludf.DUMMYFUNCTION("""COMPUTED_VALUE"""),FALSE)</f>
        <v>0</v>
      </c>
      <c r="H30" s="15" t="str">
        <f>IFERROR(__xludf.DUMMYFUNCTION("""COMPUTED_VALUE"""),"Push, Triple Whale, Northbeam, Momentum, M3.agency, Impression")</f>
        <v>Push, Triple Whale, Northbeam, Momentum, M3.agency, Impression</v>
      </c>
      <c r="I30" s="15">
        <f>IFERROR(__xludf.DUMMYFUNCTION("""COMPUTED_VALUE"""),2.0)</f>
        <v>2</v>
      </c>
      <c r="J30" s="15">
        <f>IFERROR(__xludf.DUMMYFUNCTION("""COMPUTED_VALUE"""),0.0)</f>
        <v>0</v>
      </c>
      <c r="K30" s="15">
        <f>IFERROR(__xludf.DUMMYFUNCTION("""COMPUTED_VALUE"""),0.0)</f>
        <v>0</v>
      </c>
    </row>
    <row r="31" ht="15.75" customHeight="1">
      <c r="A31" s="14" t="str">
        <f>IFERROR(__xludf.DUMMYFUNCTION("""COMPUTED_VALUE"""),"https://uk.linkedin.com/company/lynchpin-analytics-ltd")</f>
        <v>https://uk.linkedin.com/company/lynchpin-analytics-ltd</v>
      </c>
      <c r="B31" s="15" t="str">
        <f>IFERROR(__xludf.DUMMYFUNCTION("""COMPUTED_VALUE"""),"Lynchpin | LinkedIn")</f>
        <v>Lynchpin | LinkedIn</v>
      </c>
      <c r="C31" s="14" t="str">
        <f>IFERROR(__xludf.DUMMYFUNCTION("""COMPUTED_VALUE"""),"linkedin.com")</f>
        <v>linkedin.com</v>
      </c>
      <c r="D31" s="15" t="str">
        <f>IFERROR(__xludf.DUMMYFUNCTION("""COMPUTED_VALUE"""),"PROFILE")</f>
        <v>PROFILE</v>
      </c>
      <c r="E31" s="15" t="str">
        <f>IFERROR(__xludf.DUMMYFUNCTION("""COMPUTED_VALUE"""),"UGC")</f>
        <v>UGC</v>
      </c>
      <c r="F31" s="15" t="str">
        <f>IFERROR(__xludf.DUMMYFUNCTION("""COMPUTED_VALUE"""),"Profile")</f>
        <v>Profile</v>
      </c>
      <c r="G31" s="15" t="b">
        <f>IFERROR(__xludf.DUMMYFUNCTION("""COMPUTED_VALUE"""),FALSE)</f>
        <v>0</v>
      </c>
      <c r="H31" s="15"/>
      <c r="I31" s="15">
        <f>IFERROR(__xludf.DUMMYFUNCTION("""COMPUTED_VALUE"""),2.0)</f>
        <v>2</v>
      </c>
      <c r="J31" s="15">
        <f>IFERROR(__xludf.DUMMYFUNCTION("""COMPUTED_VALUE"""),0.0)</f>
        <v>0</v>
      </c>
      <c r="K31" s="15">
        <f>IFERROR(__xludf.DUMMYFUNCTION("""COMPUTED_VALUE"""),1.0)</f>
        <v>1</v>
      </c>
    </row>
    <row r="32" ht="15.75" customHeight="1">
      <c r="A32" s="14" t="str">
        <f>IFERROR(__xludf.DUMMYFUNCTION("""COMPUTED_VALUE"""),"https://uk.linkedin.com/company/queryclick")</f>
        <v>https://uk.linkedin.com/company/queryclick</v>
      </c>
      <c r="B32" s="15" t="str">
        <f>IFERROR(__xludf.DUMMYFUNCTION("""COMPUTED_VALUE"""),"QueryClick | LinkedIn")</f>
        <v>QueryClick | LinkedIn</v>
      </c>
      <c r="C32" s="14" t="str">
        <f>IFERROR(__xludf.DUMMYFUNCTION("""COMPUTED_VALUE"""),"linkedin.com")</f>
        <v>linkedin.com</v>
      </c>
      <c r="D32" s="15" t="str">
        <f>IFERROR(__xludf.DUMMYFUNCTION("""COMPUTED_VALUE"""),"PROFILE")</f>
        <v>PROFILE</v>
      </c>
      <c r="E32" s="15" t="str">
        <f>IFERROR(__xludf.DUMMYFUNCTION("""COMPUTED_VALUE"""),"UGC")</f>
        <v>UGC</v>
      </c>
      <c r="F32" s="15" t="str">
        <f>IFERROR(__xludf.DUMMYFUNCTION("""COMPUTED_VALUE"""),"Profile")</f>
        <v>Profile</v>
      </c>
      <c r="G32" s="15" t="b">
        <f>IFERROR(__xludf.DUMMYFUNCTION("""COMPUTED_VALUE"""),FALSE)</f>
        <v>0</v>
      </c>
      <c r="H32" s="15" t="str">
        <f>IFERROR(__xludf.DUMMYFUNCTION("""COMPUTED_VALUE"""),"QueryClick")</f>
        <v>QueryClick</v>
      </c>
      <c r="I32" s="15">
        <f>IFERROR(__xludf.DUMMYFUNCTION("""COMPUTED_VALUE"""),2.0)</f>
        <v>2</v>
      </c>
      <c r="J32" s="15">
        <f>IFERROR(__xludf.DUMMYFUNCTION("""COMPUTED_VALUE"""),0.0)</f>
        <v>0</v>
      </c>
      <c r="K32" s="15">
        <f>IFERROR(__xludf.DUMMYFUNCTION("""COMPUTED_VALUE"""),1.0)</f>
        <v>1</v>
      </c>
    </row>
    <row r="33" ht="15.75" customHeight="1">
      <c r="A33" s="14" t="str">
        <f>IFERROR(__xludf.DUMMYFUNCTION("""COMPUTED_VALUE"""),"https://adassoc.org.uk/creative-leaders/")</f>
        <v>https://adassoc.org.uk/creative-leaders/</v>
      </c>
      <c r="B33" s="15" t="str">
        <f>IFERROR(__xludf.DUMMYFUNCTION("""COMPUTED_VALUE"""),"UK Creative Leaders - Advertising Association")</f>
        <v>UK Creative Leaders - Advertising Association</v>
      </c>
      <c r="C33" s="14" t="str">
        <f>IFERROR(__xludf.DUMMYFUNCTION("""COMPUTED_VALUE"""),"adassoc.org.uk")</f>
        <v>adassoc.org.uk</v>
      </c>
      <c r="D33" s="15" t="str">
        <f>IFERROR(__xludf.DUMMYFUNCTION("""COMPUTED_VALUE"""),"PROFILE")</f>
        <v>PROFILE</v>
      </c>
      <c r="E33" s="15" t="str">
        <f>IFERROR(__xludf.DUMMYFUNCTION("""COMPUTED_VALUE"""),"INSTITUTIONAL")</f>
        <v>INSTITUTIONAL</v>
      </c>
      <c r="F33" s="15" t="str">
        <f>IFERROR(__xludf.DUMMYFUNCTION("""COMPUTED_VALUE"""),"Profile")</f>
        <v>Profile</v>
      </c>
      <c r="G33" s="15" t="b">
        <f>IFERROR(__xludf.DUMMYFUNCTION("""COMPUTED_VALUE"""),FALSE)</f>
        <v>0</v>
      </c>
      <c r="H33" s="15" t="str">
        <f>IFERROR(__xludf.DUMMYFUNCTION("""COMPUTED_VALUE"""),"Kantar, Ogilvy, Huge, Saatchi &amp; Saatchi, Found, Omnicom, Adam&amp;eveDDB, Lucky Generals, AMV BBDO, BBH London, Dentsu, AKQA, WPP, Uncommon Creative Studio, Jellyfish, VCCP, Publicis Groupe, Monks")</f>
        <v>Kantar, Ogilvy, Huge, Saatchi &amp; Saatchi, Found, Omnicom, Adam&amp;eveDDB, Lucky Generals, AMV BBDO, BBH London, Dentsu, AKQA, WPP, Uncommon Creative Studio, Jellyfish, VCCP, Publicis Groupe, Monks</v>
      </c>
      <c r="I33" s="15">
        <f>IFERROR(__xludf.DUMMYFUNCTION("""COMPUTED_VALUE"""),1.0)</f>
        <v>1</v>
      </c>
      <c r="J33" s="15">
        <f>IFERROR(__xludf.DUMMYFUNCTION("""COMPUTED_VALUE"""),0.0)</f>
        <v>0</v>
      </c>
      <c r="K33" s="15">
        <f>IFERROR(__xludf.DUMMYFUNCTION("""COMPUTED_VALUE"""),1.0)</f>
        <v>1</v>
      </c>
    </row>
    <row r="34" ht="15.75" customHeight="1">
      <c r="A34" s="14" t="str">
        <f>IFERROR(__xludf.DUMMYFUNCTION("""COMPUTED_VALUE"""),"https://www.advance-adtech.com/people")</f>
        <v>https://www.advance-adtech.com/people</v>
      </c>
      <c r="B34" s="15" t="str">
        <f>IFERROR(__xludf.DUMMYFUNCTION("""COMPUTED_VALUE"""),"Advance Adtech | Marketing Measurement &amp;amp; Analytics Agency UK (MMM, Attribution, Incrementality) experts — ADVANCE")</f>
        <v>Advance Adtech | Marketing Measurement &amp;amp; Analytics Agency UK (MMM, Attribution, Incrementality) experts — ADVANCE</v>
      </c>
      <c r="C34" s="14" t="str">
        <f>IFERROR(__xludf.DUMMYFUNCTION("""COMPUTED_VALUE"""),"advance-adtech.com")</f>
        <v>advance-adtech.com</v>
      </c>
      <c r="D34" s="15" t="str">
        <f>IFERROR(__xludf.DUMMYFUNCTION("""COMPUTED_VALUE"""),"PROFILE")</f>
        <v>PROFILE</v>
      </c>
      <c r="E34" s="15" t="str">
        <f>IFERROR(__xludf.DUMMYFUNCTION("""COMPUTED_VALUE"""),"CORPORATE")</f>
        <v>CORPORATE</v>
      </c>
      <c r="F34" s="15" t="str">
        <f>IFERROR(__xludf.DUMMYFUNCTION("""COMPUTED_VALUE"""),"Profile")</f>
        <v>Profile</v>
      </c>
      <c r="G34" s="15" t="b">
        <f>IFERROR(__xludf.DUMMYFUNCTION("""COMPUTED_VALUE"""),FALSE)</f>
        <v>0</v>
      </c>
      <c r="H34" s="15" t="str">
        <f>IFERROR(__xludf.DUMMYFUNCTION("""COMPUTED_VALUE"""),"WPP")</f>
        <v>WPP</v>
      </c>
      <c r="I34" s="15">
        <f>IFERROR(__xludf.DUMMYFUNCTION("""COMPUTED_VALUE"""),1.0)</f>
        <v>1</v>
      </c>
      <c r="J34" s="15">
        <f>IFERROR(__xludf.DUMMYFUNCTION("""COMPUTED_VALUE"""),0.0)</f>
        <v>0</v>
      </c>
      <c r="K34" s="15">
        <f>IFERROR(__xludf.DUMMYFUNCTION("""COMPUTED_VALUE"""),1.0)</f>
        <v>1</v>
      </c>
    </row>
    <row r="35" ht="15.75" customHeight="1">
      <c r="A35" s="14" t="str">
        <f>IFERROR(__xludf.DUMMYFUNCTION("""COMPUTED_VALUE"""),"https://agencies.semrush.com/list/machine-learning-and-ai/london-city/")</f>
        <v>https://agencies.semrush.com/list/machine-learning-and-ai/london-city/</v>
      </c>
      <c r="B35" s="15" t="str">
        <f>IFERROR(__xludf.DUMMYFUNCTION("""COMPUTED_VALUE"""),"Best Machine Learning and AI Services in London 2026 | Semrush")</f>
        <v>Best Machine Learning and AI Services in London 2026 | Semrush</v>
      </c>
      <c r="C35" s="14" t="str">
        <f>IFERROR(__xludf.DUMMYFUNCTION("""COMPUTED_VALUE"""),"semrush.com")</f>
        <v>semrush.com</v>
      </c>
      <c r="D35" s="15" t="str">
        <f>IFERROR(__xludf.DUMMYFUNCTION("""COMPUTED_VALUE"""),"PROFILE")</f>
        <v>PROFILE</v>
      </c>
      <c r="E35" s="15" t="str">
        <f>IFERROR(__xludf.DUMMYFUNCTION("""COMPUTED_VALUE"""),"CORPORATE")</f>
        <v>CORPORATE</v>
      </c>
      <c r="F35" s="15" t="str">
        <f>IFERROR(__xludf.DUMMYFUNCTION("""COMPUTED_VALUE"""),"Profile")</f>
        <v>Profile</v>
      </c>
      <c r="G35" s="15" t="b">
        <f>IFERROR(__xludf.DUMMYFUNCTION("""COMPUTED_VALUE"""),FALSE)</f>
        <v>0</v>
      </c>
      <c r="H35" s="15" t="str">
        <f>IFERROR(__xludf.DUMMYFUNCTION("""COMPUTED_VALUE"""),"The SEO Works, Found, Measured")</f>
        <v>The SEO Works, Found, Measured</v>
      </c>
      <c r="I35" s="15">
        <f>IFERROR(__xludf.DUMMYFUNCTION("""COMPUTED_VALUE"""),1.0)</f>
        <v>1</v>
      </c>
      <c r="J35" s="15">
        <f>IFERROR(__xludf.DUMMYFUNCTION("""COMPUTED_VALUE"""),0.0)</f>
        <v>0</v>
      </c>
      <c r="K35" s="15">
        <f>IFERROR(__xludf.DUMMYFUNCTION("""COMPUTED_VALUE"""),0.0)</f>
        <v>0</v>
      </c>
    </row>
    <row r="36" ht="15.75" customHeight="1">
      <c r="A36" s="14" t="str">
        <f>IFERROR(__xludf.DUMMYFUNCTION("""COMPUTED_VALUE"""),"https://agencybyagency.com/atlas/")</f>
        <v>https://agencybyagency.com/atlas/</v>
      </c>
      <c r="B36" s="15" t="str">
        <f>IFERROR(__xludf.DUMMYFUNCTION("""COMPUTED_VALUE"""),"The Agency by Agency Atlas 2026")</f>
        <v>The Agency by Agency Atlas 2026</v>
      </c>
      <c r="C36" s="14" t="str">
        <f>IFERROR(__xludf.DUMMYFUNCTION("""COMPUTED_VALUE"""),"agencybyagency.com")</f>
        <v>agencybyagency.com</v>
      </c>
      <c r="D36" s="15" t="str">
        <f>IFERROR(__xludf.DUMMYFUNCTION("""COMPUTED_VALUE"""),"PROFILE")</f>
        <v>PROFILE</v>
      </c>
      <c r="E36" s="15" t="str">
        <f>IFERROR(__xludf.DUMMYFUNCTION("""COMPUTED_VALUE"""),"EDITORIAL")</f>
        <v>EDITORIAL</v>
      </c>
      <c r="F36" s="15" t="str">
        <f>IFERROR(__xludf.DUMMYFUNCTION("""COMPUTED_VALUE"""),"Profile")</f>
        <v>Profile</v>
      </c>
      <c r="G36" s="15" t="b">
        <f>IFERROR(__xludf.DUMMYFUNCTION("""COMPUTED_VALUE"""),FALSE)</f>
        <v>0</v>
      </c>
      <c r="H36" s="15"/>
      <c r="I36" s="15">
        <f>IFERROR(__xludf.DUMMYFUNCTION("""COMPUTED_VALUE"""),1.0)</f>
        <v>1</v>
      </c>
      <c r="J36" s="15">
        <f>IFERROR(__xludf.DUMMYFUNCTION("""COMPUTED_VALUE"""),0.0)</f>
        <v>0</v>
      </c>
      <c r="K36" s="15">
        <f>IFERROR(__xludf.DUMMYFUNCTION("""COMPUTED_VALUE"""),1.0)</f>
        <v>1</v>
      </c>
    </row>
    <row r="37" ht="15.75" customHeight="1">
      <c r="A37" s="14" t="str">
        <f>IFERROR(__xludf.DUMMYFUNCTION("""COMPUTED_VALUE"""),"https://agencysort.com/agencies")</f>
        <v>https://agencysort.com/agencies</v>
      </c>
      <c r="B37" s="15" t="str">
        <f>IFERROR(__xludf.DUMMYFUNCTION("""COMPUTED_VALUE"""),"Browse Marketing Agencies | AgencySort | AgencySort")</f>
        <v>Browse Marketing Agencies | AgencySort | AgencySort</v>
      </c>
      <c r="C37" s="14" t="str">
        <f>IFERROR(__xludf.DUMMYFUNCTION("""COMPUTED_VALUE"""),"agencysort.com")</f>
        <v>agencysort.com</v>
      </c>
      <c r="D37" s="15" t="str">
        <f>IFERROR(__xludf.DUMMYFUNCTION("""COMPUTED_VALUE"""),"PROFILE")</f>
        <v>PROFILE</v>
      </c>
      <c r="E37" s="15" t="str">
        <f>IFERROR(__xludf.DUMMYFUNCTION("""COMPUTED_VALUE"""),"CORPORATE")</f>
        <v>CORPORATE</v>
      </c>
      <c r="F37" s="15" t="str">
        <f>IFERROR(__xludf.DUMMYFUNCTION("""COMPUTED_VALUE"""),"Profile")</f>
        <v>Profile</v>
      </c>
      <c r="G37" s="15" t="b">
        <f>IFERROR(__xludf.DUMMYFUNCTION("""COMPUTED_VALUE"""),FALSE)</f>
        <v>0</v>
      </c>
      <c r="H37" s="15" t="str">
        <f>IFERROR(__xludf.DUMMYFUNCTION("""COMPUTED_VALUE"""),"Found, Anicca Digital, Artefact, Bird Marketing, Brainlabs, Builtvisible, Favoured, FirstMotion, GA Agency, Hallam, Impression, Koozai, PPC Geeks, Propeller, Screaming Frog, The SEO Works, VCCP")</f>
        <v>Found, Anicca Digital, Artefact, Bird Marketing, Brainlabs, Builtvisible, Favoured, FirstMotion, GA Agency, Hallam, Impression, Koozai, PPC Geeks, Propeller, Screaming Frog, The SEO Works, VCCP</v>
      </c>
      <c r="I37" s="15">
        <f>IFERROR(__xludf.DUMMYFUNCTION("""COMPUTED_VALUE"""),1.0)</f>
        <v>1</v>
      </c>
      <c r="J37" s="15">
        <f>IFERROR(__xludf.DUMMYFUNCTION("""COMPUTED_VALUE"""),0.0)</f>
        <v>0</v>
      </c>
      <c r="K37" s="15">
        <f>IFERROR(__xludf.DUMMYFUNCTION("""COMPUTED_VALUE"""),0.0)</f>
        <v>0</v>
      </c>
    </row>
    <row r="38" ht="15.75" customHeight="1">
      <c r="A38" s="14" t="str">
        <f>IFERROR(__xludf.DUMMYFUNCTION("""COMPUTED_VALUE"""),"https://www.cbinsights.com/esp/enterprise-tech/marketing-&amp;-ad-tech/marketing-attribution")</f>
        <v>https://www.cbinsights.com/esp/enterprise-tech/marketing-&amp;-ad-tech/marketing-attribution</v>
      </c>
      <c r="B38" s="15" t="str">
        <f>IFERROR(__xludf.DUMMYFUNCTION("""COMPUTED_VALUE"""),"Marketing Attribution - ESP on CB Insights")</f>
        <v>Marketing Attribution - ESP on CB Insights</v>
      </c>
      <c r="C38" s="14" t="str">
        <f>IFERROR(__xludf.DUMMYFUNCTION("""COMPUTED_VALUE"""),"cbinsights.com")</f>
        <v>cbinsights.com</v>
      </c>
      <c r="D38" s="15" t="str">
        <f>IFERROR(__xludf.DUMMYFUNCTION("""COMPUTED_VALUE"""),"PROFILE")</f>
        <v>PROFILE</v>
      </c>
      <c r="E38" s="15" t="str">
        <f>IFERROR(__xludf.DUMMYFUNCTION("""COMPUTED_VALUE"""),"CORPORATE")</f>
        <v>CORPORATE</v>
      </c>
      <c r="F38" s="15" t="str">
        <f>IFERROR(__xludf.DUMMYFUNCTION("""COMPUTED_VALUE"""),"Profile")</f>
        <v>Profile</v>
      </c>
      <c r="G38" s="15" t="b">
        <f>IFERROR(__xludf.DUMMYFUNCTION("""COMPUTED_VALUE"""),FALSE)</f>
        <v>0</v>
      </c>
      <c r="H38" s="15" t="str">
        <f>IFERROR(__xludf.DUMMYFUNCTION("""COMPUTED_VALUE"""),"Measured, Northbeam, Rockerbox")</f>
        <v>Measured, Northbeam, Rockerbox</v>
      </c>
      <c r="I38" s="15">
        <f>IFERROR(__xludf.DUMMYFUNCTION("""COMPUTED_VALUE"""),1.0)</f>
        <v>1</v>
      </c>
      <c r="J38" s="15">
        <f>IFERROR(__xludf.DUMMYFUNCTION("""COMPUTED_VALUE"""),0.0)</f>
        <v>0</v>
      </c>
      <c r="K38" s="15">
        <f>IFERROR(__xludf.DUMMYFUNCTION("""COMPUTED_VALUE"""),0.0)</f>
        <v>0</v>
      </c>
    </row>
    <row r="39" ht="15.75" customHeight="1">
      <c r="A39" s="14" t="str">
        <f>IFERROR(__xludf.DUMMYFUNCTION("""COMPUTED_VALUE"""),"https://www.chaosdesign.com/who-we-are/")</f>
        <v>https://www.chaosdesign.com/who-we-are/</v>
      </c>
      <c r="B39" s="15" t="str">
        <f>IFERROR(__xludf.DUMMYFUNCTION("""COMPUTED_VALUE"""),"Who We Are | Award Winning Agency | Chaos")</f>
        <v>Who We Are | Award Winning Agency | Chaos</v>
      </c>
      <c r="C39" s="14" t="str">
        <f>IFERROR(__xludf.DUMMYFUNCTION("""COMPUTED_VALUE"""),"chaosdesign.com")</f>
        <v>chaosdesign.com</v>
      </c>
      <c r="D39" s="15" t="str">
        <f>IFERROR(__xludf.DUMMYFUNCTION("""COMPUTED_VALUE"""),"PROFILE")</f>
        <v>PROFILE</v>
      </c>
      <c r="E39" s="15" t="str">
        <f>IFERROR(__xludf.DUMMYFUNCTION("""COMPUTED_VALUE"""),"CORPORATE")</f>
        <v>CORPORATE</v>
      </c>
      <c r="F39" s="15" t="str">
        <f>IFERROR(__xludf.DUMMYFUNCTION("""COMPUTED_VALUE"""),"Profile")</f>
        <v>Profile</v>
      </c>
      <c r="G39" s="15" t="b">
        <f>IFERROR(__xludf.DUMMYFUNCTION("""COMPUTED_VALUE"""),FALSE)</f>
        <v>0</v>
      </c>
      <c r="H39" s="15" t="str">
        <f>IFERROR(__xludf.DUMMYFUNCTION("""COMPUTED_VALUE"""),"Found")</f>
        <v>Found</v>
      </c>
      <c r="I39" s="15">
        <f>IFERROR(__xludf.DUMMYFUNCTION("""COMPUTED_VALUE"""),1.0)</f>
        <v>1</v>
      </c>
      <c r="J39" s="15">
        <f>IFERROR(__xludf.DUMMYFUNCTION("""COMPUTED_VALUE"""),0.0)</f>
        <v>0</v>
      </c>
      <c r="K39" s="15">
        <f>IFERROR(__xludf.DUMMYFUNCTION("""COMPUTED_VALUE"""),0.0)</f>
        <v>0</v>
      </c>
    </row>
    <row r="40" ht="15.75" customHeight="1">
      <c r="A40" s="14" t="str">
        <f>IFERROR(__xludf.DUMMYFUNCTION("""COMPUTED_VALUE"""),"https://clutch.co/agencies/ppc/display%3Fpage%3D0")</f>
        <v>https://clutch.co/agencies/ppc/display%3Fpage%3D0</v>
      </c>
      <c r="B40" s="15" t="str">
        <f>IFERROR(__xludf.DUMMYFUNCTION("""COMPUTED_VALUE"""),"Top Display Advertising Agencies - Jul 2026 Rankings | Clutch.co")</f>
        <v>Top Display Advertising Agencies - Jul 2026 Rankings | Clutch.co</v>
      </c>
      <c r="C40" s="14" t="str">
        <f>IFERROR(__xludf.DUMMYFUNCTION("""COMPUTED_VALUE"""),"clutch.co")</f>
        <v>clutch.co</v>
      </c>
      <c r="D40" s="15" t="str">
        <f>IFERROR(__xludf.DUMMYFUNCTION("""COMPUTED_VALUE"""),"PROFILE")</f>
        <v>PROFILE</v>
      </c>
      <c r="E40" s="15" t="str">
        <f>IFERROR(__xludf.DUMMYFUNCTION("""COMPUTED_VALUE"""),"CORPORATE")</f>
        <v>CORPORATE</v>
      </c>
      <c r="F40" s="15" t="str">
        <f>IFERROR(__xludf.DUMMYFUNCTION("""COMPUTED_VALUE"""),"Profile")</f>
        <v>Profile</v>
      </c>
      <c r="G40" s="15" t="b">
        <f>IFERROR(__xludf.DUMMYFUNCTION("""COMPUTED_VALUE"""),FALSE)</f>
        <v>0</v>
      </c>
      <c r="H40" s="15" t="str">
        <f>IFERROR(__xludf.DUMMYFUNCTION("""COMPUTED_VALUE"""),"Ninja Promo, Soap Media, Found, Impression, Huge, The SEO Works, GA Agency")</f>
        <v>Ninja Promo, Soap Media, Found, Impression, Huge, The SEO Works, GA Agency</v>
      </c>
      <c r="I40" s="15">
        <f>IFERROR(__xludf.DUMMYFUNCTION("""COMPUTED_VALUE"""),1.0)</f>
        <v>1</v>
      </c>
      <c r="J40" s="15">
        <f>IFERROR(__xludf.DUMMYFUNCTION("""COMPUTED_VALUE"""),0.0)</f>
        <v>0</v>
      </c>
      <c r="K40" s="15">
        <f>IFERROR(__xludf.DUMMYFUNCTION("""COMPUTED_VALUE"""),0.0)</f>
        <v>0</v>
      </c>
    </row>
    <row r="41" ht="15.75" customHeight="1">
      <c r="A41" s="14" t="str">
        <f>IFERROR(__xludf.DUMMYFUNCTION("""COMPUTED_VALUE"""),"https://www.creativebrief.com/agency/zeal-1/info")</f>
        <v>https://www.creativebrief.com/agency/zeal-1/info</v>
      </c>
      <c r="B41" s="15" t="str">
        <f>IFERROR(__xludf.DUMMYFUNCTION("""COMPUTED_VALUE"""),"About ZEAL | Creativebrief | Stay Connected")</f>
        <v>About ZEAL | Creativebrief | Stay Connected</v>
      </c>
      <c r="C41" s="14" t="str">
        <f>IFERROR(__xludf.DUMMYFUNCTION("""COMPUTED_VALUE"""),"creativebrief.com")</f>
        <v>creativebrief.com</v>
      </c>
      <c r="D41" s="15" t="str">
        <f>IFERROR(__xludf.DUMMYFUNCTION("""COMPUTED_VALUE"""),"PROFILE")</f>
        <v>PROFILE</v>
      </c>
      <c r="E41" s="15" t="str">
        <f>IFERROR(__xludf.DUMMYFUNCTION("""COMPUTED_VALUE"""),"CORPORATE")</f>
        <v>CORPORATE</v>
      </c>
      <c r="F41" s="15" t="str">
        <f>IFERROR(__xludf.DUMMYFUNCTION("""COMPUTED_VALUE"""),"Profile")</f>
        <v>Profile</v>
      </c>
      <c r="G41" s="15" t="b">
        <f>IFERROR(__xludf.DUMMYFUNCTION("""COMPUTED_VALUE"""),FALSE)</f>
        <v>0</v>
      </c>
      <c r="H41" s="15"/>
      <c r="I41" s="15">
        <f>IFERROR(__xludf.DUMMYFUNCTION("""COMPUTED_VALUE"""),1.0)</f>
        <v>1</v>
      </c>
      <c r="J41" s="15">
        <f>IFERROR(__xludf.DUMMYFUNCTION("""COMPUTED_VALUE"""),0.0)</f>
        <v>0</v>
      </c>
      <c r="K41" s="15">
        <f>IFERROR(__xludf.DUMMYFUNCTION("""COMPUTED_VALUE"""),0.0)</f>
        <v>0</v>
      </c>
    </row>
    <row r="42" ht="15.75" customHeight="1">
      <c r="A42" s="14" t="str">
        <f>IFERROR(__xludf.DUMMYFUNCTION("""COMPUTED_VALUE"""),"https://www.decipher.agency/about")</f>
        <v>https://www.decipher.agency/about</v>
      </c>
      <c r="B42" s="15" t="str">
        <f>IFERROR(__xludf.DUMMYFUNCTION("""COMPUTED_VALUE"""),"About decipher. | Your AI Search Optimisation Experts")</f>
        <v>About decipher. | Your AI Search Optimisation Experts</v>
      </c>
      <c r="C42" s="15" t="str">
        <f>IFERROR(__xludf.DUMMYFUNCTION("""COMPUTED_VALUE"""),"decipher.agency")</f>
        <v>decipher.agency</v>
      </c>
      <c r="D42" s="15" t="str">
        <f>IFERROR(__xludf.DUMMYFUNCTION("""COMPUTED_VALUE"""),"PROFILE")</f>
        <v>PROFILE</v>
      </c>
      <c r="E42" s="15" t="str">
        <f>IFERROR(__xludf.DUMMYFUNCTION("""COMPUTED_VALUE"""),"CORPORATE")</f>
        <v>CORPORATE</v>
      </c>
      <c r="F42" s="15" t="str">
        <f>IFERROR(__xludf.DUMMYFUNCTION("""COMPUTED_VALUE"""),"Profile")</f>
        <v>Profile</v>
      </c>
      <c r="G42" s="15" t="b">
        <f>IFERROR(__xludf.DUMMYFUNCTION("""COMPUTED_VALUE"""),FALSE)</f>
        <v>0</v>
      </c>
      <c r="H42" s="15" t="str">
        <f>IFERROR(__xludf.DUMMYFUNCTION("""COMPUTED_VALUE"""),"Momentum")</f>
        <v>Momentum</v>
      </c>
      <c r="I42" s="15">
        <f>IFERROR(__xludf.DUMMYFUNCTION("""COMPUTED_VALUE"""),1.0)</f>
        <v>1</v>
      </c>
      <c r="J42" s="15">
        <f>IFERROR(__xludf.DUMMYFUNCTION("""COMPUTED_VALUE"""),0.0)</f>
        <v>0</v>
      </c>
      <c r="K42" s="15">
        <f>IFERROR(__xludf.DUMMYFUNCTION("""COMPUTED_VALUE"""),0.0)</f>
        <v>0</v>
      </c>
    </row>
    <row r="43" ht="15.75" customHeight="1">
      <c r="A43" s="14" t="str">
        <f>IFERROR(__xludf.DUMMYFUNCTION("""COMPUTED_VALUE"""),"https://www.designrush.com/agency/profile/the-good-marketer")</f>
        <v>https://www.designrush.com/agency/profile/the-good-marketer</v>
      </c>
      <c r="B43" s="15" t="str">
        <f>IFERROR(__xludf.DUMMYFUNCTION("""COMPUTED_VALUE"""),"The Good Marketer Reviews | View Portfolios | DesignRush")</f>
        <v>The Good Marketer Reviews | View Portfolios | DesignRush</v>
      </c>
      <c r="C43" s="14" t="str">
        <f>IFERROR(__xludf.DUMMYFUNCTION("""COMPUTED_VALUE"""),"designrush.com")</f>
        <v>designrush.com</v>
      </c>
      <c r="D43" s="15" t="str">
        <f>IFERROR(__xludf.DUMMYFUNCTION("""COMPUTED_VALUE"""),"PROFILE")</f>
        <v>PROFILE</v>
      </c>
      <c r="E43" s="15" t="str">
        <f>IFERROR(__xludf.DUMMYFUNCTION("""COMPUTED_VALUE"""),"CORPORATE")</f>
        <v>CORPORATE</v>
      </c>
      <c r="F43" s="15" t="str">
        <f>IFERROR(__xludf.DUMMYFUNCTION("""COMPUTED_VALUE"""),"Profile")</f>
        <v>Profile</v>
      </c>
      <c r="G43" s="15" t="b">
        <f>IFERROR(__xludf.DUMMYFUNCTION("""COMPUTED_VALUE"""),FALSE)</f>
        <v>0</v>
      </c>
      <c r="H43" s="15" t="str">
        <f>IFERROR(__xludf.DUMMYFUNCTION("""COMPUTED_VALUE"""),"The Good Marketer, WebFX, Found")</f>
        <v>The Good Marketer, WebFX, Found</v>
      </c>
      <c r="I43" s="15">
        <f>IFERROR(__xludf.DUMMYFUNCTION("""COMPUTED_VALUE"""),1.0)</f>
        <v>1</v>
      </c>
      <c r="J43" s="15">
        <f>IFERROR(__xludf.DUMMYFUNCTION("""COMPUTED_VALUE"""),0.0)</f>
        <v>0</v>
      </c>
      <c r="K43" s="15">
        <f>IFERROR(__xludf.DUMMYFUNCTION("""COMPUTED_VALUE"""),1.0)</f>
        <v>1</v>
      </c>
    </row>
    <row r="44" ht="15.75" customHeight="1">
      <c r="A44" s="14" t="str">
        <f>IFERROR(__xludf.DUMMYFUNCTION("""COMPUTED_VALUE"""),"https://digitalagencynetwork.com/agency/ga-agency/")</f>
        <v>https://digitalagencynetwork.com/agency/ga-agency/</v>
      </c>
      <c r="B44" s="15" t="str">
        <f>IFERROR(__xludf.DUMMYFUNCTION("""COMPUTED_VALUE"""),"GA Agency Reviews (2026) | Digital Agency Network")</f>
        <v>GA Agency Reviews (2026) | Digital Agency Network</v>
      </c>
      <c r="C44" s="14" t="str">
        <f>IFERROR(__xludf.DUMMYFUNCTION("""COMPUTED_VALUE"""),"digitalagencynetwork.com")</f>
        <v>digitalagencynetwork.com</v>
      </c>
      <c r="D44" s="15" t="str">
        <f>IFERROR(__xludf.DUMMYFUNCTION("""COMPUTED_VALUE"""),"PROFILE")</f>
        <v>PROFILE</v>
      </c>
      <c r="E44" s="15" t="str">
        <f>IFERROR(__xludf.DUMMYFUNCTION("""COMPUTED_VALUE"""),"REFERENCE")</f>
        <v>REFERENCE</v>
      </c>
      <c r="F44" s="15" t="str">
        <f>IFERROR(__xludf.DUMMYFUNCTION("""COMPUTED_VALUE"""),"Profile")</f>
        <v>Profile</v>
      </c>
      <c r="G44" s="15" t="b">
        <f>IFERROR(__xludf.DUMMYFUNCTION("""COMPUTED_VALUE"""),FALSE)</f>
        <v>0</v>
      </c>
      <c r="H44" s="15" t="str">
        <f>IFERROR(__xludf.DUMMYFUNCTION("""COMPUTED_VALUE"""),"Favoured, GA Agency")</f>
        <v>Favoured, GA Agency</v>
      </c>
      <c r="I44" s="15">
        <f>IFERROR(__xludf.DUMMYFUNCTION("""COMPUTED_VALUE"""),1.0)</f>
        <v>1</v>
      </c>
      <c r="J44" s="15">
        <f>IFERROR(__xludf.DUMMYFUNCTION("""COMPUTED_VALUE"""),0.0)</f>
        <v>0</v>
      </c>
      <c r="K44" s="15">
        <f>IFERROR(__xludf.DUMMYFUNCTION("""COMPUTED_VALUE"""),0.0)</f>
        <v>0</v>
      </c>
    </row>
    <row r="45" ht="15.75" customHeight="1">
      <c r="A45" s="14" t="str">
        <f>IFERROR(__xludf.DUMMYFUNCTION("""COMPUTED_VALUE"""),"https://digitalagencynetwork.com/agency/jaywing/")</f>
        <v>https://digitalagencynetwork.com/agency/jaywing/</v>
      </c>
      <c r="B45" s="15" t="str">
        <f>IFERROR(__xludf.DUMMYFUNCTION("""COMPUTED_VALUE"""),"Jaywing Agency Reviews (2026) | Digital Agency Network")</f>
        <v>Jaywing Agency Reviews (2026) | Digital Agency Network</v>
      </c>
      <c r="C45" s="14" t="str">
        <f>IFERROR(__xludf.DUMMYFUNCTION("""COMPUTED_VALUE"""),"digitalagencynetwork.com")</f>
        <v>digitalagencynetwork.com</v>
      </c>
      <c r="D45" s="15" t="str">
        <f>IFERROR(__xludf.DUMMYFUNCTION("""COMPUTED_VALUE"""),"PROFILE")</f>
        <v>PROFILE</v>
      </c>
      <c r="E45" s="15" t="str">
        <f>IFERROR(__xludf.DUMMYFUNCTION("""COMPUTED_VALUE"""),"REFERENCE")</f>
        <v>REFERENCE</v>
      </c>
      <c r="F45" s="15" t="str">
        <f>IFERROR(__xludf.DUMMYFUNCTION("""COMPUTED_VALUE"""),"Profile")</f>
        <v>Profile</v>
      </c>
      <c r="G45" s="15" t="b">
        <f>IFERROR(__xludf.DUMMYFUNCTION("""COMPUTED_VALUE"""),FALSE)</f>
        <v>0</v>
      </c>
      <c r="H45" s="15" t="str">
        <f>IFERROR(__xludf.DUMMYFUNCTION("""COMPUTED_VALUE"""),"Favoured")</f>
        <v>Favoured</v>
      </c>
      <c r="I45" s="15">
        <f>IFERROR(__xludf.DUMMYFUNCTION("""COMPUTED_VALUE"""),1.0)</f>
        <v>1</v>
      </c>
      <c r="J45" s="15">
        <f>IFERROR(__xludf.DUMMYFUNCTION("""COMPUTED_VALUE"""),0.0)</f>
        <v>0</v>
      </c>
      <c r="K45" s="15">
        <f>IFERROR(__xludf.DUMMYFUNCTION("""COMPUTED_VALUE"""),0.0)</f>
        <v>0</v>
      </c>
    </row>
    <row r="46" ht="15.75" customHeight="1">
      <c r="A46" s="14" t="str">
        <f>IFERROR(__xludf.DUMMYFUNCTION("""COMPUTED_VALUE"""),"https://www.gartner.com/reviews/market/global-digital-marketing-agencies")</f>
        <v>https://www.gartner.com/reviews/market/global-digital-marketing-agencies</v>
      </c>
      <c r="B46" s="15" t="str">
        <f>IFERROR(__xludf.DUMMYFUNCTION("""COMPUTED_VALUE"""),"Best Global Digital Marketing Agencies Reviews 2026 | Gartner Peer Insights")</f>
        <v>Best Global Digital Marketing Agencies Reviews 2026 | Gartner Peer Insights</v>
      </c>
      <c r="C46" s="14" t="str">
        <f>IFERROR(__xludf.DUMMYFUNCTION("""COMPUTED_VALUE"""),"gartner.com")</f>
        <v>gartner.com</v>
      </c>
      <c r="D46" s="15" t="str">
        <f>IFERROR(__xludf.DUMMYFUNCTION("""COMPUTED_VALUE"""),"PROFILE")</f>
        <v>PROFILE</v>
      </c>
      <c r="E46" s="15" t="str">
        <f>IFERROR(__xludf.DUMMYFUNCTION("""COMPUTED_VALUE"""),"CORPORATE")</f>
        <v>CORPORATE</v>
      </c>
      <c r="F46" s="15" t="str">
        <f>IFERROR(__xludf.DUMMYFUNCTION("""COMPUTED_VALUE"""),"Profile")</f>
        <v>Profile</v>
      </c>
      <c r="G46" s="15" t="b">
        <f>IFERROR(__xludf.DUMMYFUNCTION("""COMPUTED_VALUE"""),FALSE)</f>
        <v>0</v>
      </c>
      <c r="H46" s="15" t="str">
        <f>IFERROR(__xludf.DUMMYFUNCTION("""COMPUTED_VALUE"""),"Accenture Song, Deloitte Digital, Huge, Merkle, AKQA, Ogilvy, iCrossing, Bird Marketing")</f>
        <v>Accenture Song, Deloitte Digital, Huge, Merkle, AKQA, Ogilvy, iCrossing, Bird Marketing</v>
      </c>
      <c r="I46" s="15">
        <f>IFERROR(__xludf.DUMMYFUNCTION("""COMPUTED_VALUE"""),1.0)</f>
        <v>1</v>
      </c>
      <c r="J46" s="15">
        <f>IFERROR(__xludf.DUMMYFUNCTION("""COMPUTED_VALUE"""),0.0)</f>
        <v>0</v>
      </c>
      <c r="K46" s="15">
        <f>IFERROR(__xludf.DUMMYFUNCTION("""COMPUTED_VALUE"""),1.0)</f>
        <v>1</v>
      </c>
    </row>
    <row r="47" ht="15.75" customHeight="1">
      <c r="A47" s="14" t="str">
        <f>IFERROR(__xludf.DUMMYFUNCTION("""COMPUTED_VALUE"""),"https://www.gartner.com/reviews/market/global-digital-marketing-agencies/vendor/r-ga/product/r-ga-global-digital-marketing-services?marketSeoName=global-digital-marketing-agencies&amp;productSeoName=r-ga-global-digital-marketing-services&amp;vendorSeoName=r-ga")</f>
        <v>https://www.gartner.com/reviews/market/global-digital-marketing-agencies/vendor/r-ga/product/r-ga-global-digital-marketing-services?marketSeoName=global-digital-marketing-agencies&amp;productSeoName=r-ga-global-digital-marketing-services&amp;vendorSeoName=r-ga</v>
      </c>
      <c r="B47" s="15" t="str">
        <f>IFERROR(__xludf.DUMMYFUNCTION("""COMPUTED_VALUE"""),"R/GA Global Digital Marketing Services Reviews &amp; Ratings 2026 \| Gartner Peer Insights")</f>
        <v>R/GA Global Digital Marketing Services Reviews &amp; Ratings 2026 \| Gartner Peer Insights</v>
      </c>
      <c r="C47" s="14" t="str">
        <f>IFERROR(__xludf.DUMMYFUNCTION("""COMPUTED_VALUE"""),"gartner.com")</f>
        <v>gartner.com</v>
      </c>
      <c r="D47" s="15" t="str">
        <f>IFERROR(__xludf.DUMMYFUNCTION("""COMPUTED_VALUE"""),"PROFILE")</f>
        <v>PROFILE</v>
      </c>
      <c r="E47" s="15" t="str">
        <f>IFERROR(__xludf.DUMMYFUNCTION("""COMPUTED_VALUE"""),"CORPORATE")</f>
        <v>CORPORATE</v>
      </c>
      <c r="F47" s="15" t="str">
        <f>IFERROR(__xludf.DUMMYFUNCTION("""COMPUTED_VALUE"""),"Profile")</f>
        <v>Profile</v>
      </c>
      <c r="G47" s="15" t="b">
        <f>IFERROR(__xludf.DUMMYFUNCTION("""COMPUTED_VALUE"""),FALSE)</f>
        <v>0</v>
      </c>
      <c r="H47" s="15" t="str">
        <f>IFERROR(__xludf.DUMMYFUNCTION("""COMPUTED_VALUE"""),"Accenture Song")</f>
        <v>Accenture Song</v>
      </c>
      <c r="I47" s="15">
        <f>IFERROR(__xludf.DUMMYFUNCTION("""COMPUTED_VALUE"""),1.0)</f>
        <v>1</v>
      </c>
      <c r="J47" s="15">
        <f>IFERROR(__xludf.DUMMYFUNCTION("""COMPUTED_VALUE"""),0.0)</f>
        <v>0</v>
      </c>
      <c r="K47" s="15">
        <f>IFERROR(__xludf.DUMMYFUNCTION("""COMPUTED_VALUE"""),0.0)</f>
        <v>0</v>
      </c>
    </row>
    <row r="48" ht="15.75" customHeight="1">
      <c r="A48" s="14" t="str">
        <f>IFERROR(__xludf.DUMMYFUNCTION("""COMPUTED_VALUE"""),"https://www.goodfirms.co/advertising-companies/creative")</f>
        <v>https://www.goodfirms.co/advertising-companies/creative</v>
      </c>
      <c r="B48" s="15" t="str">
        <f>IFERROR(__xludf.DUMMYFUNCTION("""COMPUTED_VALUE"""),"Top Creative Agencies - 2026 Reviews | Goodfirms")</f>
        <v>Top Creative Agencies - 2026 Reviews | Goodfirms</v>
      </c>
      <c r="C48" s="14" t="str">
        <f>IFERROR(__xludf.DUMMYFUNCTION("""COMPUTED_VALUE"""),"goodfirms.co")</f>
        <v>goodfirms.co</v>
      </c>
      <c r="D48" s="15" t="str">
        <f>IFERROR(__xludf.DUMMYFUNCTION("""COMPUTED_VALUE"""),"PROFILE")</f>
        <v>PROFILE</v>
      </c>
      <c r="E48" s="15" t="str">
        <f>IFERROR(__xludf.DUMMYFUNCTION("""COMPUTED_VALUE"""),"UGC")</f>
        <v>UGC</v>
      </c>
      <c r="F48" s="15" t="str">
        <f>IFERROR(__xludf.DUMMYFUNCTION("""COMPUTED_VALUE"""),"Profile")</f>
        <v>Profile</v>
      </c>
      <c r="G48" s="15" t="b">
        <f>IFERROR(__xludf.DUMMYFUNCTION("""COMPUTED_VALUE"""),FALSE)</f>
        <v>0</v>
      </c>
      <c r="H48" s="15" t="str">
        <f>IFERROR(__xludf.DUMMYFUNCTION("""COMPUTED_VALUE"""),"Found, Daydream")</f>
        <v>Found, Daydream</v>
      </c>
      <c r="I48" s="15">
        <f>IFERROR(__xludf.DUMMYFUNCTION("""COMPUTED_VALUE"""),1.0)</f>
        <v>1</v>
      </c>
      <c r="J48" s="15">
        <f>IFERROR(__xludf.DUMMYFUNCTION("""COMPUTED_VALUE"""),0.0)</f>
        <v>0</v>
      </c>
      <c r="K48" s="15">
        <f>IFERROR(__xludf.DUMMYFUNCTION("""COMPUTED_VALUE"""),0.0)</f>
        <v>0</v>
      </c>
    </row>
    <row r="49" ht="15.75" customHeight="1">
      <c r="A49" s="14" t="str">
        <f>IFERROR(__xludf.DUMMYFUNCTION("""COMPUTED_VALUE"""),"https://www.goodfirms.co/advertising-companies/creative/uk?sort_by=reviews")</f>
        <v>https://www.goodfirms.co/advertising-companies/creative/uk?sort_by=reviews</v>
      </c>
      <c r="B49" s="15" t="str">
        <f>IFERROR(__xludf.DUMMYFUNCTION("""COMPUTED_VALUE"""),"Top Creative Agencies in the United Kingdom - 2026 Reviews | Goodfirms")</f>
        <v>Top Creative Agencies in the United Kingdom - 2026 Reviews | Goodfirms</v>
      </c>
      <c r="C49" s="14" t="str">
        <f>IFERROR(__xludf.DUMMYFUNCTION("""COMPUTED_VALUE"""),"goodfirms.co")</f>
        <v>goodfirms.co</v>
      </c>
      <c r="D49" s="15" t="str">
        <f>IFERROR(__xludf.DUMMYFUNCTION("""COMPUTED_VALUE"""),"PROFILE")</f>
        <v>PROFILE</v>
      </c>
      <c r="E49" s="15" t="str">
        <f>IFERROR(__xludf.DUMMYFUNCTION("""COMPUTED_VALUE"""),"UGC")</f>
        <v>UGC</v>
      </c>
      <c r="F49" s="15" t="str">
        <f>IFERROR(__xludf.DUMMYFUNCTION("""COMPUTED_VALUE"""),"Profile")</f>
        <v>Profile</v>
      </c>
      <c r="G49" s="15" t="b">
        <f>IFERROR(__xludf.DUMMYFUNCTION("""COMPUTED_VALUE"""),FALSE)</f>
        <v>0</v>
      </c>
      <c r="H49" s="15" t="str">
        <f>IFERROR(__xludf.DUMMYFUNCTION("""COMPUTED_VALUE"""),"Impression, Found")</f>
        <v>Impression, Found</v>
      </c>
      <c r="I49" s="15">
        <f>IFERROR(__xludf.DUMMYFUNCTION("""COMPUTED_VALUE"""),1.0)</f>
        <v>1</v>
      </c>
      <c r="J49" s="15">
        <f>IFERROR(__xludf.DUMMYFUNCTION("""COMPUTED_VALUE"""),0.0)</f>
        <v>0</v>
      </c>
      <c r="K49" s="15">
        <f>IFERROR(__xludf.DUMMYFUNCTION("""COMPUTED_VALUE"""),0.0)</f>
        <v>0</v>
      </c>
    </row>
    <row r="50" ht="15.75" customHeight="1">
      <c r="A50" s="14" t="str">
        <f>IFERROR(__xludf.DUMMYFUNCTION("""COMPUTED_VALUE"""),"https://grapefruitseo.london/as-featured-on/")</f>
        <v>https://grapefruitseo.london/as-featured-on/</v>
      </c>
      <c r="B50" s="15" t="str">
        <f>IFERROR(__xludf.DUMMYFUNCTION("""COMPUTED_VALUE"""),"As Featured On - Grapefruit Digital SEO Agency")</f>
        <v>As Featured On - Grapefruit Digital SEO Agency</v>
      </c>
      <c r="C50" s="15" t="str">
        <f>IFERROR(__xludf.DUMMYFUNCTION("""COMPUTED_VALUE"""),"grapefruitseo.london")</f>
        <v>grapefruitseo.london</v>
      </c>
      <c r="D50" s="15" t="str">
        <f>IFERROR(__xludf.DUMMYFUNCTION("""COMPUTED_VALUE"""),"PROFILE")</f>
        <v>PROFILE</v>
      </c>
      <c r="E50" s="15" t="str">
        <f>IFERROR(__xludf.DUMMYFUNCTION("""COMPUTED_VALUE"""),"CORPORATE")</f>
        <v>CORPORATE</v>
      </c>
      <c r="F50" s="15" t="str">
        <f>IFERROR(__xludf.DUMMYFUNCTION("""COMPUTED_VALUE"""),"Profile")</f>
        <v>Profile</v>
      </c>
      <c r="G50" s="15" t="b">
        <f>IFERROR(__xludf.DUMMYFUNCTION("""COMPUTED_VALUE"""),FALSE)</f>
        <v>0</v>
      </c>
      <c r="H50" s="15"/>
      <c r="I50" s="15">
        <f>IFERROR(__xludf.DUMMYFUNCTION("""COMPUTED_VALUE"""),1.0)</f>
        <v>1</v>
      </c>
      <c r="J50" s="15">
        <f>IFERROR(__xludf.DUMMYFUNCTION("""COMPUTED_VALUE"""),0.0)</f>
        <v>0</v>
      </c>
      <c r="K50" s="15">
        <f>IFERROR(__xludf.DUMMYFUNCTION("""COMPUTED_VALUE"""),1.0)</f>
        <v>1</v>
      </c>
    </row>
    <row r="51" ht="15.75" customHeight="1">
      <c r="A51" s="14" t="str">
        <f>IFERROR(__xludf.DUMMYFUNCTION("""COMPUTED_VALUE"""),"https://lbbonline.com/companies/amv-bbdo/about")</f>
        <v>https://lbbonline.com/companies/amv-bbdo/about</v>
      </c>
      <c r="B51" s="15"/>
      <c r="C51" s="14" t="str">
        <f>IFERROR(__xludf.DUMMYFUNCTION("""COMPUTED_VALUE"""),"lbbonline.com")</f>
        <v>lbbonline.com</v>
      </c>
      <c r="D51" s="15" t="str">
        <f>IFERROR(__xludf.DUMMYFUNCTION("""COMPUTED_VALUE"""),"PROFILE")</f>
        <v>PROFILE</v>
      </c>
      <c r="E51" s="15" t="str">
        <f>IFERROR(__xludf.DUMMYFUNCTION("""COMPUTED_VALUE"""),"REFERENCE")</f>
        <v>REFERENCE</v>
      </c>
      <c r="F51" s="15" t="str">
        <f>IFERROR(__xludf.DUMMYFUNCTION("""COMPUTED_VALUE"""),"Profile")</f>
        <v>Profile</v>
      </c>
      <c r="G51" s="15" t="b">
        <f>IFERROR(__xludf.DUMMYFUNCTION("""COMPUTED_VALUE"""),FALSE)</f>
        <v>0</v>
      </c>
      <c r="H51" s="15" t="str">
        <f>IFERROR(__xludf.DUMMYFUNCTION("""COMPUTED_VALUE"""),"AMV BBDO, Huge, Omnicom")</f>
        <v>AMV BBDO, Huge, Omnicom</v>
      </c>
      <c r="I51" s="15">
        <f>IFERROR(__xludf.DUMMYFUNCTION("""COMPUTED_VALUE"""),1.0)</f>
        <v>1</v>
      </c>
      <c r="J51" s="15">
        <f>IFERROR(__xludf.DUMMYFUNCTION("""COMPUTED_VALUE"""),0.0)</f>
        <v>0</v>
      </c>
      <c r="K51" s="15">
        <f>IFERROR(__xludf.DUMMYFUNCTION("""COMPUTED_VALUE"""),0.0)</f>
        <v>0</v>
      </c>
    </row>
    <row r="52" ht="15.75" customHeight="1">
      <c r="A52" s="14" t="str">
        <f>IFERROR(__xludf.DUMMYFUNCTION("""COMPUTED_VALUE"""),"https://www.marketingagencyindex.com/uk/ownership-model/network")</f>
        <v>https://www.marketingagencyindex.com/uk/ownership-model/network</v>
      </c>
      <c r="B52" s="15" t="str">
        <f>IFERROR(__xludf.DUMMYFUNCTION("""COMPUTED_VALUE"""),"Best Network Agencies in the UK | Agency Index")</f>
        <v>Best Network Agencies in the UK | Agency Index</v>
      </c>
      <c r="C52" s="14" t="str">
        <f>IFERROR(__xludf.DUMMYFUNCTION("""COMPUTED_VALUE"""),"marketingagencyindex.com")</f>
        <v>marketingagencyindex.com</v>
      </c>
      <c r="D52" s="15" t="str">
        <f>IFERROR(__xludf.DUMMYFUNCTION("""COMPUTED_VALUE"""),"PROFILE")</f>
        <v>PROFILE</v>
      </c>
      <c r="E52" s="15" t="str">
        <f>IFERROR(__xludf.DUMMYFUNCTION("""COMPUTED_VALUE"""),"UGC")</f>
        <v>UGC</v>
      </c>
      <c r="F52" s="15" t="str">
        <f>IFERROR(__xludf.DUMMYFUNCTION("""COMPUTED_VALUE"""),"Profile")</f>
        <v>Profile</v>
      </c>
      <c r="G52" s="15" t="b">
        <f>IFERROR(__xludf.DUMMYFUNCTION("""COMPUTED_VALUE"""),FALSE)</f>
        <v>0</v>
      </c>
      <c r="H52" s="15" t="str">
        <f>IFERROR(__xludf.DUMMYFUNCTION("""COMPUTED_VALUE"""),"WPP, Omnicom, Dentsu, Croud, Ogilvy, AKQA, GroupM, Publicis Groupe, Saatchi &amp; Saatchi, BBH London, Epsilon, Merkle, VCCP, Found, Push")</f>
        <v>WPP, Omnicom, Dentsu, Croud, Ogilvy, AKQA, GroupM, Publicis Groupe, Saatchi &amp; Saatchi, BBH London, Epsilon, Merkle, VCCP, Found, Push</v>
      </c>
      <c r="I52" s="15">
        <f>IFERROR(__xludf.DUMMYFUNCTION("""COMPUTED_VALUE"""),1.0)</f>
        <v>1</v>
      </c>
      <c r="J52" s="15">
        <f>IFERROR(__xludf.DUMMYFUNCTION("""COMPUTED_VALUE"""),0.0)</f>
        <v>0</v>
      </c>
      <c r="K52" s="15">
        <f>IFERROR(__xludf.DUMMYFUNCTION("""COMPUTED_VALUE"""),2.0)</f>
        <v>2</v>
      </c>
    </row>
    <row r="53" ht="15.75" customHeight="1">
      <c r="A53" s="14" t="str">
        <f>IFERROR(__xludf.DUMMYFUNCTION("""COMPUTED_VALUE"""),"https://www.mcsaatchiperformance.com/london/#:~:text=Launched%20in%202006%20as%20one,full%2Dservice%20performance%20media%20agency.")</f>
        <v>https://www.mcsaatchiperformance.com/london/#:~:text=Launched%20in%202006%20as%20one,full%2Dservice%20performance%20media%20agency.</v>
      </c>
      <c r="B53" s="15" t="str">
        <f>IFERROR(__xludf.DUMMYFUNCTION("""COMPUTED_VALUE"""),"Performance Marketing Agency London | M+C Saatchi")</f>
        <v>Performance Marketing Agency London | M+C Saatchi</v>
      </c>
      <c r="C53" s="14" t="str">
        <f>IFERROR(__xludf.DUMMYFUNCTION("""COMPUTED_VALUE"""),"mcsaatchiperformance.com")</f>
        <v>mcsaatchiperformance.com</v>
      </c>
      <c r="D53" s="15" t="str">
        <f>IFERROR(__xludf.DUMMYFUNCTION("""COMPUTED_VALUE"""),"PROFILE")</f>
        <v>PROFILE</v>
      </c>
      <c r="E53" s="15" t="str">
        <f>IFERROR(__xludf.DUMMYFUNCTION("""COMPUTED_VALUE"""),"CORPORATE")</f>
        <v>CORPORATE</v>
      </c>
      <c r="F53" s="15" t="str">
        <f>IFERROR(__xludf.DUMMYFUNCTION("""COMPUTED_VALUE"""),"Profile")</f>
        <v>Profile</v>
      </c>
      <c r="G53" s="15" t="b">
        <f>IFERROR(__xludf.DUMMYFUNCTION("""COMPUTED_VALUE"""),FALSE)</f>
        <v>0</v>
      </c>
      <c r="H53" s="15"/>
      <c r="I53" s="15">
        <f>IFERROR(__xludf.DUMMYFUNCTION("""COMPUTED_VALUE"""),1.0)</f>
        <v>1</v>
      </c>
      <c r="J53" s="15">
        <f>IFERROR(__xludf.DUMMYFUNCTION("""COMPUTED_VALUE"""),0.0)</f>
        <v>0</v>
      </c>
      <c r="K53" s="15">
        <f>IFERROR(__xludf.DUMMYFUNCTION("""COMPUTED_VALUE"""),1.0)</f>
        <v>1</v>
      </c>
    </row>
    <row r="54" ht="15.75" customHeight="1">
      <c r="A54" s="14" t="str">
        <f>IFERROR(__xludf.DUMMYFUNCTION("""COMPUTED_VALUE"""),"https://www.mobileappdaily.com/directory/digital-marketing-companies/uk")</f>
        <v>https://www.mobileappdaily.com/directory/digital-marketing-companies/uk</v>
      </c>
      <c r="B54" s="15" t="str">
        <f>IFERROR(__xludf.DUMMYFUNCTION("""COMPUTED_VALUE"""),"Top Digital Marketing Agencies in the UK - 2026 Reviews | MobileAppDaily")</f>
        <v>Top Digital Marketing Agencies in the UK - 2026 Reviews | MobileAppDaily</v>
      </c>
      <c r="C54" s="14" t="str">
        <f>IFERROR(__xludf.DUMMYFUNCTION("""COMPUTED_VALUE"""),"mobileappdaily.com")</f>
        <v>mobileappdaily.com</v>
      </c>
      <c r="D54" s="15" t="str">
        <f>IFERROR(__xludf.DUMMYFUNCTION("""COMPUTED_VALUE"""),"PROFILE")</f>
        <v>PROFILE</v>
      </c>
      <c r="E54" s="15" t="str">
        <f>IFERROR(__xludf.DUMMYFUNCTION("""COMPUTED_VALUE"""),"EDITORIAL")</f>
        <v>EDITORIAL</v>
      </c>
      <c r="F54" s="15" t="str">
        <f>IFERROR(__xludf.DUMMYFUNCTION("""COMPUTED_VALUE"""),"Profile")</f>
        <v>Profile</v>
      </c>
      <c r="G54" s="15" t="b">
        <f>IFERROR(__xludf.DUMMYFUNCTION("""COMPUTED_VALUE"""),FALSE)</f>
        <v>0</v>
      </c>
      <c r="H54" s="15" t="str">
        <f>IFERROR(__xludf.DUMMYFUNCTION("""COMPUTED_VALUE"""),"Favoured, WebFX, PwC, Bird Marketing, The SEO Works, Blue Array, ClickSlice, Impression, ROAST")</f>
        <v>Favoured, WebFX, PwC, Bird Marketing, The SEO Works, Blue Array, ClickSlice, Impression, ROAST</v>
      </c>
      <c r="I54" s="15">
        <f>IFERROR(__xludf.DUMMYFUNCTION("""COMPUTED_VALUE"""),1.0)</f>
        <v>1</v>
      </c>
      <c r="J54" s="15">
        <f>IFERROR(__xludf.DUMMYFUNCTION("""COMPUTED_VALUE"""),0.0)</f>
        <v>0</v>
      </c>
      <c r="K54" s="15">
        <f>IFERROR(__xludf.DUMMYFUNCTION("""COMPUTED_VALUE"""),0.0)</f>
        <v>0</v>
      </c>
    </row>
    <row r="55" ht="15.75" customHeight="1">
      <c r="A55" s="14" t="str">
        <f>IFERROR(__xludf.DUMMYFUNCTION("""COMPUTED_VALUE"""),"https://www.monks.com/google-partnership")</f>
        <v>https://www.monks.com/google-partnership</v>
      </c>
      <c r="B55" s="15" t="str">
        <f>IFERROR(__xludf.DUMMYFUNCTION("""COMPUTED_VALUE"""),"Google-Certified Partner Agency | GMP, Google Cloud, and Media")</f>
        <v>Google-Certified Partner Agency | GMP, Google Cloud, and Media</v>
      </c>
      <c r="C55" s="14" t="str">
        <f>IFERROR(__xludf.DUMMYFUNCTION("""COMPUTED_VALUE"""),"monks.com")</f>
        <v>monks.com</v>
      </c>
      <c r="D55" s="15" t="str">
        <f>IFERROR(__xludf.DUMMYFUNCTION("""COMPUTED_VALUE"""),"PROFILE")</f>
        <v>PROFILE</v>
      </c>
      <c r="E55" s="15" t="str">
        <f>IFERROR(__xludf.DUMMYFUNCTION("""COMPUTED_VALUE"""),"COMPETITOR")</f>
        <v>COMPETITOR</v>
      </c>
      <c r="F55" s="15" t="str">
        <f>IFERROR(__xludf.DUMMYFUNCTION("""COMPUTED_VALUE"""),"Profile")</f>
        <v>Profile</v>
      </c>
      <c r="G55" s="15" t="b">
        <f>IFERROR(__xludf.DUMMYFUNCTION("""COMPUTED_VALUE"""),FALSE)</f>
        <v>0</v>
      </c>
      <c r="H55" s="15" t="str">
        <f>IFERROR(__xludf.DUMMYFUNCTION("""COMPUTED_VALUE"""),"Monks")</f>
        <v>Monks</v>
      </c>
      <c r="I55" s="15">
        <f>IFERROR(__xludf.DUMMYFUNCTION("""COMPUTED_VALUE"""),1.0)</f>
        <v>1</v>
      </c>
      <c r="J55" s="15">
        <f>IFERROR(__xludf.DUMMYFUNCTION("""COMPUTED_VALUE"""),0.0)</f>
        <v>0</v>
      </c>
      <c r="K55" s="15">
        <f>IFERROR(__xludf.DUMMYFUNCTION("""COMPUTED_VALUE"""),2.0)</f>
        <v>2</v>
      </c>
    </row>
    <row r="56" ht="15.75" customHeight="1">
      <c r="A56" s="14" t="str">
        <f>IFERROR(__xludf.DUMMYFUNCTION("""COMPUTED_VALUE"""),"https://neuraladx.com/about-neuraladx-ltd-what-we-do/")</f>
        <v>https://neuraladx.com/about-neuraladx-ltd-what-we-do/</v>
      </c>
      <c r="B56" s="15" t="str">
        <f>IFERROR(__xludf.DUMMYFUNCTION("""COMPUTED_VALUE"""),"About NeuralAdX Ltd")</f>
        <v>About NeuralAdX Ltd</v>
      </c>
      <c r="C56" s="14" t="str">
        <f>IFERROR(__xludf.DUMMYFUNCTION("""COMPUTED_VALUE"""),"neuraladx.com")</f>
        <v>neuraladx.com</v>
      </c>
      <c r="D56" s="15" t="str">
        <f>IFERROR(__xludf.DUMMYFUNCTION("""COMPUTED_VALUE"""),"PROFILE")</f>
        <v>PROFILE</v>
      </c>
      <c r="E56" s="15" t="str">
        <f>IFERROR(__xludf.DUMMYFUNCTION("""COMPUTED_VALUE"""),"UGC")</f>
        <v>UGC</v>
      </c>
      <c r="F56" s="15" t="str">
        <f>IFERROR(__xludf.DUMMYFUNCTION("""COMPUTED_VALUE"""),"Profile")</f>
        <v>Profile</v>
      </c>
      <c r="G56" s="15" t="b">
        <f>IFERROR(__xludf.DUMMYFUNCTION("""COMPUTED_VALUE"""),FALSE)</f>
        <v>0</v>
      </c>
      <c r="H56" s="15" t="str">
        <f>IFERROR(__xludf.DUMMYFUNCTION("""COMPUTED_VALUE"""),"Found, Measured")</f>
        <v>Found, Measured</v>
      </c>
      <c r="I56" s="15">
        <f>IFERROR(__xludf.DUMMYFUNCTION("""COMPUTED_VALUE"""),1.0)</f>
        <v>1</v>
      </c>
      <c r="J56" s="15">
        <f>IFERROR(__xludf.DUMMYFUNCTION("""COMPUTED_VALUE"""),0.0)</f>
        <v>0</v>
      </c>
      <c r="K56" s="15">
        <f>IFERROR(__xludf.DUMMYFUNCTION("""COMPUTED_VALUE"""),0.0)</f>
        <v>0</v>
      </c>
    </row>
    <row r="57" ht="15.75" customHeight="1">
      <c r="A57" s="14" t="str">
        <f>IFERROR(__xludf.DUMMYFUNCTION("""COMPUTED_VALUE"""),"https://www.ogilvy.com/about")</f>
        <v>https://www.ogilvy.com/about</v>
      </c>
      <c r="B57" s="15" t="str">
        <f>IFERROR(__xludf.DUMMYFUNCTION("""COMPUTED_VALUE"""),"About | Ogilvy")</f>
        <v>About | Ogilvy</v>
      </c>
      <c r="C57" s="14" t="str">
        <f>IFERROR(__xludf.DUMMYFUNCTION("""COMPUTED_VALUE"""),"ogilvy.com")</f>
        <v>ogilvy.com</v>
      </c>
      <c r="D57" s="15" t="str">
        <f>IFERROR(__xludf.DUMMYFUNCTION("""COMPUTED_VALUE"""),"PROFILE")</f>
        <v>PROFILE</v>
      </c>
      <c r="E57" s="15" t="str">
        <f>IFERROR(__xludf.DUMMYFUNCTION("""COMPUTED_VALUE"""),"COMPETITOR")</f>
        <v>COMPETITOR</v>
      </c>
      <c r="F57" s="15" t="str">
        <f>IFERROR(__xludf.DUMMYFUNCTION("""COMPUTED_VALUE"""),"Profile")</f>
        <v>Profile</v>
      </c>
      <c r="G57" s="15" t="b">
        <f>IFERROR(__xludf.DUMMYFUNCTION("""COMPUTED_VALUE"""),FALSE)</f>
        <v>0</v>
      </c>
      <c r="H57" s="15" t="str">
        <f>IFERROR(__xludf.DUMMYFUNCTION("""COMPUTED_VALUE"""),"Ogilvy, WPP, Publicis Groupe, Saatchi &amp; Saatchi, Dentsu, Omnicom, Found")</f>
        <v>Ogilvy, WPP, Publicis Groupe, Saatchi &amp; Saatchi, Dentsu, Omnicom, Found</v>
      </c>
      <c r="I57" s="15">
        <f>IFERROR(__xludf.DUMMYFUNCTION("""COMPUTED_VALUE"""),1.0)</f>
        <v>1</v>
      </c>
      <c r="J57" s="15">
        <f>IFERROR(__xludf.DUMMYFUNCTION("""COMPUTED_VALUE"""),0.0)</f>
        <v>0</v>
      </c>
      <c r="K57" s="15">
        <f>IFERROR(__xludf.DUMMYFUNCTION("""COMPUTED_VALUE"""),0.0)</f>
        <v>0</v>
      </c>
    </row>
    <row r="58" ht="15.75" customHeight="1">
      <c r="A58" s="14" t="str">
        <f>IFERROR(__xludf.DUMMYFUNCTION("""COMPUTED_VALUE"""),"https://pinpoint-media.global/about")</f>
        <v>https://pinpoint-media.global/about</v>
      </c>
      <c r="B58" s="15" t="str">
        <f>IFERROR(__xludf.DUMMYFUNCTION("""COMPUTED_VALUE"""),"About | PinPoint Media | Performance Creative &amp;amp; Paid Media Agency")</f>
        <v>About | PinPoint Media | Performance Creative &amp;amp; Paid Media Agency</v>
      </c>
      <c r="C58" s="15" t="str">
        <f>IFERROR(__xludf.DUMMYFUNCTION("""COMPUTED_VALUE"""),"pinpoint-media.global")</f>
        <v>pinpoint-media.global</v>
      </c>
      <c r="D58" s="15" t="str">
        <f>IFERROR(__xludf.DUMMYFUNCTION("""COMPUTED_VALUE"""),"PROFILE")</f>
        <v>PROFILE</v>
      </c>
      <c r="E58" s="15" t="str">
        <f>IFERROR(__xludf.DUMMYFUNCTION("""COMPUTED_VALUE"""),"COMPETITOR")</f>
        <v>COMPETITOR</v>
      </c>
      <c r="F58" s="15" t="str">
        <f>IFERROR(__xludf.DUMMYFUNCTION("""COMPUTED_VALUE"""),"Profile")</f>
        <v>Profile</v>
      </c>
      <c r="G58" s="15" t="b">
        <f>IFERROR(__xludf.DUMMYFUNCTION("""COMPUTED_VALUE"""),FALSE)</f>
        <v>0</v>
      </c>
      <c r="H58" s="15" t="str">
        <f>IFERROR(__xludf.DUMMYFUNCTION("""COMPUTED_VALUE"""),"PinPoint Media, Push")</f>
        <v>PinPoint Media, Push</v>
      </c>
      <c r="I58" s="15">
        <f>IFERROR(__xludf.DUMMYFUNCTION("""COMPUTED_VALUE"""),1.0)</f>
        <v>1</v>
      </c>
      <c r="J58" s="15">
        <f>IFERROR(__xludf.DUMMYFUNCTION("""COMPUTED_VALUE"""),0.0)</f>
        <v>0</v>
      </c>
      <c r="K58" s="15">
        <f>IFERROR(__xludf.DUMMYFUNCTION("""COMPUTED_VALUE"""),0.0)</f>
        <v>0</v>
      </c>
    </row>
    <row r="59" ht="15.75" customHeight="1">
      <c r="A59" s="14" t="str">
        <f>IFERROR(__xludf.DUMMYFUNCTION("""COMPUTED_VALUE"""),"https://www.provokemedia.com/events-awards/agencies-of-the-year/the-best-agencies-in-emea-2026/the-70-best-agencies-in-the-uk/hope-glory")</f>
        <v>https://www.provokemedia.com/events-awards/agencies-of-the-year/the-best-agencies-in-emea-2026/the-70-best-agencies-in-the-uk/hope-glory</v>
      </c>
      <c r="B59" s="15"/>
      <c r="C59" s="14" t="str">
        <f>IFERROR(__xludf.DUMMYFUNCTION("""COMPUTED_VALUE"""),"provokemedia.com")</f>
        <v>provokemedia.com</v>
      </c>
      <c r="D59" s="15" t="str">
        <f>IFERROR(__xludf.DUMMYFUNCTION("""COMPUTED_VALUE"""),"PROFILE")</f>
        <v>PROFILE</v>
      </c>
      <c r="E59" s="15" t="str">
        <f>IFERROR(__xludf.DUMMYFUNCTION("""COMPUTED_VALUE"""),"CORPORATE")</f>
        <v>CORPORATE</v>
      </c>
      <c r="F59" s="15" t="str">
        <f>IFERROR(__xludf.DUMMYFUNCTION("""COMPUTED_VALUE"""),"Profile")</f>
        <v>Profile</v>
      </c>
      <c r="G59" s="15" t="b">
        <f>IFERROR(__xludf.DUMMYFUNCTION("""COMPUTED_VALUE"""),FALSE)</f>
        <v>0</v>
      </c>
      <c r="H59" s="15" t="str">
        <f>IFERROR(__xludf.DUMMYFUNCTION("""COMPUTED_VALUE"""),"Ogilvy, Omnicom, Manifest Group, Propeller, VCCP")</f>
        <v>Ogilvy, Omnicom, Manifest Group, Propeller, VCCP</v>
      </c>
      <c r="I59" s="15">
        <f>IFERROR(__xludf.DUMMYFUNCTION("""COMPUTED_VALUE"""),1.0)</f>
        <v>1</v>
      </c>
      <c r="J59" s="15">
        <f>IFERROR(__xludf.DUMMYFUNCTION("""COMPUTED_VALUE"""),0.0)</f>
        <v>0</v>
      </c>
      <c r="K59" s="15">
        <f>IFERROR(__xludf.DUMMYFUNCTION("""COMPUTED_VALUE"""),2.0)</f>
        <v>2</v>
      </c>
    </row>
    <row r="60" ht="15.75" customHeight="1">
      <c r="A60" s="14" t="str">
        <f>IFERROR(__xludf.DUMMYFUNCTION("""COMPUTED_VALUE"""),"https://www.provokemedia.com/events-awards/agencies-of-the-year/the-best-agencies-in-emea-2026/the-70-best-agencies-in-the-uk/pangolin")</f>
        <v>https://www.provokemedia.com/events-awards/agencies-of-the-year/the-best-agencies-in-emea-2026/the-70-best-agencies-in-the-uk/pangolin</v>
      </c>
      <c r="B60" s="15"/>
      <c r="C60" s="14" t="str">
        <f>IFERROR(__xludf.DUMMYFUNCTION("""COMPUTED_VALUE"""),"provokemedia.com")</f>
        <v>provokemedia.com</v>
      </c>
      <c r="D60" s="15" t="str">
        <f>IFERROR(__xludf.DUMMYFUNCTION("""COMPUTED_VALUE"""),"PROFILE")</f>
        <v>PROFILE</v>
      </c>
      <c r="E60" s="15" t="str">
        <f>IFERROR(__xludf.DUMMYFUNCTION("""COMPUTED_VALUE"""),"CORPORATE")</f>
        <v>CORPORATE</v>
      </c>
      <c r="F60" s="15" t="str">
        <f>IFERROR(__xludf.DUMMYFUNCTION("""COMPUTED_VALUE"""),"Profile")</f>
        <v>Profile</v>
      </c>
      <c r="G60" s="15" t="b">
        <f>IFERROR(__xludf.DUMMYFUNCTION("""COMPUTED_VALUE"""),FALSE)</f>
        <v>0</v>
      </c>
      <c r="H60" s="15" t="str">
        <f>IFERROR(__xludf.DUMMYFUNCTION("""COMPUTED_VALUE"""),"Momentum, Ogilvy, Omnicom, Manifest Group, Propeller, VCCP")</f>
        <v>Momentum, Ogilvy, Omnicom, Manifest Group, Propeller, VCCP</v>
      </c>
      <c r="I60" s="15">
        <f>IFERROR(__xludf.DUMMYFUNCTION("""COMPUTED_VALUE"""),1.0)</f>
        <v>1</v>
      </c>
      <c r="J60" s="15">
        <f>IFERROR(__xludf.DUMMYFUNCTION("""COMPUTED_VALUE"""),0.0)</f>
        <v>0</v>
      </c>
      <c r="K60" s="15">
        <f>IFERROR(__xludf.DUMMYFUNCTION("""COMPUTED_VALUE"""),0.0)</f>
        <v>0</v>
      </c>
    </row>
    <row r="61" ht="15.75" customHeight="1">
      <c r="A61" s="14" t="str">
        <f>IFERROR(__xludf.DUMMYFUNCTION("""COMPUTED_VALUE"""),"https://www.publicisgroupeuk.com/what-we-do/production/")</f>
        <v>https://www.publicisgroupeuk.com/what-we-do/production/</v>
      </c>
      <c r="B61" s="15" t="str">
        <f>IFERROR(__xludf.DUMMYFUNCTION("""COMPUTED_VALUE"""),"Production - Publicis Groupe")</f>
        <v>Production - Publicis Groupe</v>
      </c>
      <c r="C61" s="14" t="str">
        <f>IFERROR(__xludf.DUMMYFUNCTION("""COMPUTED_VALUE"""),"publicisgroupeuk.com")</f>
        <v>publicisgroupeuk.com</v>
      </c>
      <c r="D61" s="15" t="str">
        <f>IFERROR(__xludf.DUMMYFUNCTION("""COMPUTED_VALUE"""),"PROFILE")</f>
        <v>PROFILE</v>
      </c>
      <c r="E61" s="15" t="str">
        <f>IFERROR(__xludf.DUMMYFUNCTION("""COMPUTED_VALUE"""),"COMPETITOR")</f>
        <v>COMPETITOR</v>
      </c>
      <c r="F61" s="15" t="str">
        <f>IFERROR(__xludf.DUMMYFUNCTION("""COMPUTED_VALUE"""),"Profile")</f>
        <v>Profile</v>
      </c>
      <c r="G61" s="15" t="b">
        <f>IFERROR(__xludf.DUMMYFUNCTION("""COMPUTED_VALUE"""),FALSE)</f>
        <v>0</v>
      </c>
      <c r="H61" s="15" t="str">
        <f>IFERROR(__xludf.DUMMYFUNCTION("""COMPUTED_VALUE"""),"Publicis Groupe")</f>
        <v>Publicis Groupe</v>
      </c>
      <c r="I61" s="15">
        <f>IFERROR(__xludf.DUMMYFUNCTION("""COMPUTED_VALUE"""),1.0)</f>
        <v>1</v>
      </c>
      <c r="J61" s="15">
        <f>IFERROR(__xludf.DUMMYFUNCTION("""COMPUTED_VALUE"""),0.0)</f>
        <v>0</v>
      </c>
      <c r="K61" s="15">
        <f>IFERROR(__xludf.DUMMYFUNCTION("""COMPUTED_VALUE"""),2.0)</f>
        <v>2</v>
      </c>
    </row>
    <row r="62" ht="15.75" customHeight="1">
      <c r="A62" s="14" t="str">
        <f>IFERROR(__xludf.DUMMYFUNCTION("""COMPUTED_VALUE"""),"https://queryclick.com/about-queryclick/")</f>
        <v>https://queryclick.com/about-queryclick/</v>
      </c>
      <c r="B62" s="15" t="str">
        <f>IFERROR(__xludf.DUMMYFUNCTION("""COMPUTED_VALUE"""),"QueryClick: Our History &amp;amp; Values - QueryClick")</f>
        <v>QueryClick: Our History &amp;amp; Values - QueryClick</v>
      </c>
      <c r="C62" s="14" t="str">
        <f>IFERROR(__xludf.DUMMYFUNCTION("""COMPUTED_VALUE"""),"queryclick.com")</f>
        <v>queryclick.com</v>
      </c>
      <c r="D62" s="15" t="str">
        <f>IFERROR(__xludf.DUMMYFUNCTION("""COMPUTED_VALUE"""),"PROFILE")</f>
        <v>PROFILE</v>
      </c>
      <c r="E62" s="15" t="str">
        <f>IFERROR(__xludf.DUMMYFUNCTION("""COMPUTED_VALUE"""),"COMPETITOR")</f>
        <v>COMPETITOR</v>
      </c>
      <c r="F62" s="15" t="str">
        <f>IFERROR(__xludf.DUMMYFUNCTION("""COMPUTED_VALUE"""),"Profile")</f>
        <v>Profile</v>
      </c>
      <c r="G62" s="15" t="b">
        <f>IFERROR(__xludf.DUMMYFUNCTION("""COMPUTED_VALUE"""),FALSE)</f>
        <v>0</v>
      </c>
      <c r="H62" s="15" t="str">
        <f>IFERROR(__xludf.DUMMYFUNCTION("""COMPUTED_VALUE"""),"QueryClick, Momentum, Disrupt Marketing")</f>
        <v>QueryClick, Momentum, Disrupt Marketing</v>
      </c>
      <c r="I62" s="15">
        <f>IFERROR(__xludf.DUMMYFUNCTION("""COMPUTED_VALUE"""),1.0)</f>
        <v>1</v>
      </c>
      <c r="J62" s="15">
        <f>IFERROR(__xludf.DUMMYFUNCTION("""COMPUTED_VALUE"""),0.0)</f>
        <v>0</v>
      </c>
      <c r="K62" s="15">
        <f>IFERROR(__xludf.DUMMYFUNCTION("""COMPUTED_VALUE"""),1.0)</f>
        <v>1</v>
      </c>
    </row>
    <row r="63" ht="15.75" customHeight="1">
      <c r="A63" s="14" t="str">
        <f>IFERROR(__xludf.DUMMYFUNCTION("""COMPUTED_VALUE"""),"https://s360digital.com/about/careers/")</f>
        <v>https://s360digital.com/about/careers/</v>
      </c>
      <c r="B63" s="15" t="str">
        <f>IFERROR(__xludf.DUMMYFUNCTION("""COMPUTED_VALUE"""),"Careers at s360 | s360")</f>
        <v>Careers at s360 | s360</v>
      </c>
      <c r="C63" s="14" t="str">
        <f>IFERROR(__xludf.DUMMYFUNCTION("""COMPUTED_VALUE"""),"s360digital.com")</f>
        <v>s360digital.com</v>
      </c>
      <c r="D63" s="15" t="str">
        <f>IFERROR(__xludf.DUMMYFUNCTION("""COMPUTED_VALUE"""),"PROFILE")</f>
        <v>PROFILE</v>
      </c>
      <c r="E63" s="15" t="str">
        <f>IFERROR(__xludf.DUMMYFUNCTION("""COMPUTED_VALUE"""),"CORPORATE")</f>
        <v>CORPORATE</v>
      </c>
      <c r="F63" s="15" t="str">
        <f>IFERROR(__xludf.DUMMYFUNCTION("""COMPUTED_VALUE"""),"Profile")</f>
        <v>Profile</v>
      </c>
      <c r="G63" s="15" t="b">
        <f>IFERROR(__xludf.DUMMYFUNCTION("""COMPUTED_VALUE"""),FALSE)</f>
        <v>0</v>
      </c>
      <c r="H63" s="15" t="str">
        <f>IFERROR(__xludf.DUMMYFUNCTION("""COMPUTED_VALUE"""),"Screaming Frog")</f>
        <v>Screaming Frog</v>
      </c>
      <c r="I63" s="15">
        <f>IFERROR(__xludf.DUMMYFUNCTION("""COMPUTED_VALUE"""),1.0)</f>
        <v>1</v>
      </c>
      <c r="J63" s="15">
        <f>IFERROR(__xludf.DUMMYFUNCTION("""COMPUTED_VALUE"""),0.0)</f>
        <v>0</v>
      </c>
      <c r="K63" s="15">
        <f>IFERROR(__xludf.DUMMYFUNCTION("""COMPUTED_VALUE"""),1.0)</f>
        <v>1</v>
      </c>
    </row>
    <row r="64" ht="15.75" customHeight="1">
      <c r="A64" s="14" t="str">
        <f>IFERROR(__xludf.DUMMYFUNCTION("""COMPUTED_VALUE"""),"https://saleshive.com/vendors/ruler-analytics")</f>
        <v>https://saleshive.com/vendors/ruler-analytics</v>
      </c>
      <c r="B64" s="15" t="str">
        <f>IFERROR(__xludf.DUMMYFUNCTION("""COMPUTED_VALUE"""),"Ruler Analytics Review 2026: Pricing, Features, Pros &amp;amp; Cons | SalesHive")</f>
        <v>Ruler Analytics Review 2026: Pricing, Features, Pros &amp;amp; Cons | SalesHive</v>
      </c>
      <c r="C64" s="14" t="str">
        <f>IFERROR(__xludf.DUMMYFUNCTION("""COMPUTED_VALUE"""),"saleshive.com")</f>
        <v>saleshive.com</v>
      </c>
      <c r="D64" s="15" t="str">
        <f>IFERROR(__xludf.DUMMYFUNCTION("""COMPUTED_VALUE"""),"PROFILE")</f>
        <v>PROFILE</v>
      </c>
      <c r="E64" s="15" t="str">
        <f>IFERROR(__xludf.DUMMYFUNCTION("""COMPUTED_VALUE"""),"CORPORATE")</f>
        <v>CORPORATE</v>
      </c>
      <c r="F64" s="15" t="str">
        <f>IFERROR(__xludf.DUMMYFUNCTION("""COMPUTED_VALUE"""),"Profile")</f>
        <v>Profile</v>
      </c>
      <c r="G64" s="15" t="b">
        <f>IFERROR(__xludf.DUMMYFUNCTION("""COMPUTED_VALUE"""),FALSE)</f>
        <v>0</v>
      </c>
      <c r="H64" s="15" t="str">
        <f>IFERROR(__xludf.DUMMYFUNCTION("""COMPUTED_VALUE"""),"Ruler Analytics, Impression, Push")</f>
        <v>Ruler Analytics, Impression, Push</v>
      </c>
      <c r="I64" s="15">
        <f>IFERROR(__xludf.DUMMYFUNCTION("""COMPUTED_VALUE"""),1.0)</f>
        <v>1</v>
      </c>
      <c r="J64" s="15">
        <f>IFERROR(__xludf.DUMMYFUNCTION("""COMPUTED_VALUE"""),0.0)</f>
        <v>0</v>
      </c>
      <c r="K64" s="15">
        <f>IFERROR(__xludf.DUMMYFUNCTION("""COMPUTED_VALUE"""),0.0)</f>
        <v>0</v>
      </c>
    </row>
    <row r="65" ht="15.75" customHeight="1">
      <c r="A65" s="14" t="str">
        <f>IFERROR(__xludf.DUMMYFUNCTION("""COMPUTED_VALUE"""),"https://www.signaldepth.com/about/")</f>
        <v>https://www.signaldepth.com/about/</v>
      </c>
      <c r="B65" s="15" t="str">
        <f>IFERROR(__xludf.DUMMYFUNCTION("""COMPUTED_VALUE"""),"About Signal Depth - Signal Depth")</f>
        <v>About Signal Depth - Signal Depth</v>
      </c>
      <c r="C65" s="14" t="str">
        <f>IFERROR(__xludf.DUMMYFUNCTION("""COMPUTED_VALUE"""),"signaldepth.com")</f>
        <v>signaldepth.com</v>
      </c>
      <c r="D65" s="15" t="str">
        <f>IFERROR(__xludf.DUMMYFUNCTION("""COMPUTED_VALUE"""),"PROFILE")</f>
        <v>PROFILE</v>
      </c>
      <c r="E65" s="15" t="str">
        <f>IFERROR(__xludf.DUMMYFUNCTION("""COMPUTED_VALUE"""),"CORPORATE")</f>
        <v>CORPORATE</v>
      </c>
      <c r="F65" s="15" t="str">
        <f>IFERROR(__xludf.DUMMYFUNCTION("""COMPUTED_VALUE"""),"Profile")</f>
        <v>Profile</v>
      </c>
      <c r="G65" s="15" t="b">
        <f>IFERROR(__xludf.DUMMYFUNCTION("""COMPUTED_VALUE"""),FALSE)</f>
        <v>0</v>
      </c>
      <c r="H65" s="15"/>
      <c r="I65" s="15">
        <f>IFERROR(__xludf.DUMMYFUNCTION("""COMPUTED_VALUE"""),1.0)</f>
        <v>1</v>
      </c>
      <c r="J65" s="15">
        <f>IFERROR(__xludf.DUMMYFUNCTION("""COMPUTED_VALUE"""),0.0)</f>
        <v>0</v>
      </c>
      <c r="K65" s="15">
        <f>IFERROR(__xludf.DUMMYFUNCTION("""COMPUTED_VALUE"""),0.0)</f>
        <v>0</v>
      </c>
    </row>
    <row r="66" ht="15.75" customHeight="1">
      <c r="A66" s="14" t="str">
        <f>IFERROR(__xludf.DUMMYFUNCTION("""COMPUTED_VALUE"""),"https://www.sortlist.co.uk/advertising/england-england-gb")</f>
        <v>https://www.sortlist.co.uk/advertising/england-england-gb</v>
      </c>
      <c r="B66" s="15" t="str">
        <f>IFERROR(__xludf.DUMMYFUNCTION("""COMPUTED_VALUE"""),"The 10 Best Advertising Agencies in England - 2026 Reviews")</f>
        <v>The 10 Best Advertising Agencies in England - 2026 Reviews</v>
      </c>
      <c r="C66" s="14" t="str">
        <f>IFERROR(__xludf.DUMMYFUNCTION("""COMPUTED_VALUE"""),"sortlist.co.uk")</f>
        <v>sortlist.co.uk</v>
      </c>
      <c r="D66" s="15" t="str">
        <f>IFERROR(__xludf.DUMMYFUNCTION("""COMPUTED_VALUE"""),"PROFILE")</f>
        <v>PROFILE</v>
      </c>
      <c r="E66" s="15" t="str">
        <f>IFERROR(__xludf.DUMMYFUNCTION("""COMPUTED_VALUE"""),"REFERENCE")</f>
        <v>REFERENCE</v>
      </c>
      <c r="F66" s="15" t="str">
        <f>IFERROR(__xludf.DUMMYFUNCTION("""COMPUTED_VALUE"""),"Profile")</f>
        <v>Profile</v>
      </c>
      <c r="G66" s="15" t="b">
        <f>IFERROR(__xludf.DUMMYFUNCTION("""COMPUTED_VALUE"""),FALSE)</f>
        <v>0</v>
      </c>
      <c r="H66" s="15" t="str">
        <f>IFERROR(__xludf.DUMMYFUNCTION("""COMPUTED_VALUE"""),"Momentum, M3.agency, McKinsey &amp; Company, Ninja Promo")</f>
        <v>Momentum, M3.agency, McKinsey &amp; Company, Ninja Promo</v>
      </c>
      <c r="I66" s="15">
        <f>IFERROR(__xludf.DUMMYFUNCTION("""COMPUTED_VALUE"""),1.0)</f>
        <v>1</v>
      </c>
      <c r="J66" s="15">
        <f>IFERROR(__xludf.DUMMYFUNCTION("""COMPUTED_VALUE"""),0.0)</f>
        <v>0</v>
      </c>
      <c r="K66" s="15">
        <f>IFERROR(__xludf.DUMMYFUNCTION("""COMPUTED_VALUE"""),1.0)</f>
        <v>1</v>
      </c>
    </row>
    <row r="67" ht="15.75" customHeight="1">
      <c r="A67" s="14" t="str">
        <f>IFERROR(__xludf.DUMMYFUNCTION("""COMPUTED_VALUE"""),"https://www.sugarnova.com/digital-marketing-agency")</f>
        <v>https://www.sugarnova.com/digital-marketing-agency</v>
      </c>
      <c r="B67" s="15" t="str">
        <f>IFERROR(__xludf.DUMMYFUNCTION("""COMPUTED_VALUE"""),"Digital Marketing Agency UK for DTC &amp;amp; eCommerce | SugarNova")</f>
        <v>Digital Marketing Agency UK for DTC &amp;amp; eCommerce | SugarNova</v>
      </c>
      <c r="C67" s="14" t="str">
        <f>IFERROR(__xludf.DUMMYFUNCTION("""COMPUTED_VALUE"""),"sugarnova.com")</f>
        <v>sugarnova.com</v>
      </c>
      <c r="D67" s="15" t="str">
        <f>IFERROR(__xludf.DUMMYFUNCTION("""COMPUTED_VALUE"""),"PROFILE")</f>
        <v>PROFILE</v>
      </c>
      <c r="E67" s="15" t="str">
        <f>IFERROR(__xludf.DUMMYFUNCTION("""COMPUTED_VALUE"""),"CORPORATE")</f>
        <v>CORPORATE</v>
      </c>
      <c r="F67" s="15" t="str">
        <f>IFERROR(__xludf.DUMMYFUNCTION("""COMPUTED_VALUE"""),"Profile")</f>
        <v>Profile</v>
      </c>
      <c r="G67" s="15" t="b">
        <f>IFERROR(__xludf.DUMMYFUNCTION("""COMPUTED_VALUE"""),FALSE)</f>
        <v>0</v>
      </c>
      <c r="H67" s="15"/>
      <c r="I67" s="15">
        <f>IFERROR(__xludf.DUMMYFUNCTION("""COMPUTED_VALUE"""),1.0)</f>
        <v>1</v>
      </c>
      <c r="J67" s="15">
        <f>IFERROR(__xludf.DUMMYFUNCTION("""COMPUTED_VALUE"""),0.0)</f>
        <v>0</v>
      </c>
      <c r="K67" s="15">
        <f>IFERROR(__xludf.DUMMYFUNCTION("""COMPUTED_VALUE"""),1.0)</f>
        <v>1</v>
      </c>
    </row>
    <row r="68" ht="15.75" customHeight="1">
      <c r="A68" s="14" t="str">
        <f>IFERROR(__xludf.DUMMYFUNCTION("""COMPUTED_VALUE"""),"https://techbehemoths.com/companies/advertising/united-kingdom")</f>
        <v>https://techbehemoths.com/companies/advertising/united-kingdom</v>
      </c>
      <c r="B68" s="15" t="str">
        <f>IFERROR(__xludf.DUMMYFUNCTION("""COMPUTED_VALUE"""),"Top 20+ Advertising Agencies in United Kingdom (2026) - TechBehemoths")</f>
        <v>Top 20+ Advertising Agencies in United Kingdom (2026) - TechBehemoths</v>
      </c>
      <c r="C68" s="14" t="str">
        <f>IFERROR(__xludf.DUMMYFUNCTION("""COMPUTED_VALUE"""),"techbehemoths.com")</f>
        <v>techbehemoths.com</v>
      </c>
      <c r="D68" s="15" t="str">
        <f>IFERROR(__xludf.DUMMYFUNCTION("""COMPUTED_VALUE"""),"PROFILE")</f>
        <v>PROFILE</v>
      </c>
      <c r="E68" s="15" t="str">
        <f>IFERROR(__xludf.DUMMYFUNCTION("""COMPUTED_VALUE"""),"REFERENCE")</f>
        <v>REFERENCE</v>
      </c>
      <c r="F68" s="15" t="str">
        <f>IFERROR(__xludf.DUMMYFUNCTION("""COMPUTED_VALUE"""),"Profile")</f>
        <v>Profile</v>
      </c>
      <c r="G68" s="15" t="b">
        <f>IFERROR(__xludf.DUMMYFUNCTION("""COMPUTED_VALUE"""),FALSE)</f>
        <v>0</v>
      </c>
      <c r="H68" s="15" t="str">
        <f>IFERROR(__xludf.DUMMYFUNCTION("""COMPUTED_VALUE"""),"Found, The SEO Works")</f>
        <v>Found, The SEO Works</v>
      </c>
      <c r="I68" s="15">
        <f>IFERROR(__xludf.DUMMYFUNCTION("""COMPUTED_VALUE"""),1.0)</f>
        <v>1</v>
      </c>
      <c r="J68" s="15">
        <f>IFERROR(__xludf.DUMMYFUNCTION("""COMPUTED_VALUE"""),0.0)</f>
        <v>0</v>
      </c>
      <c r="K68" s="15">
        <f>IFERROR(__xludf.DUMMYFUNCTION("""COMPUTED_VALUE"""),1.0)</f>
        <v>1</v>
      </c>
    </row>
    <row r="69" ht="15.75" customHeight="1">
      <c r="A69" s="14" t="str">
        <f>IFERROR(__xludf.DUMMYFUNCTION("""COMPUTED_VALUE"""),"https://www.theatdb.com/companies/amv-bbdo")</f>
        <v>https://www.theatdb.com/companies/amv-bbdo</v>
      </c>
      <c r="B69" s="15" t="str">
        <f>IFERROR(__xludf.DUMMYFUNCTION("""COMPUTED_VALUE"""),"AMV BBDO — Creative Advertising Agency | ATDb")</f>
        <v>AMV BBDO — Creative Advertising Agency | ATDb</v>
      </c>
      <c r="C69" s="14" t="str">
        <f>IFERROR(__xludf.DUMMYFUNCTION("""COMPUTED_VALUE"""),"theatdb.com")</f>
        <v>theatdb.com</v>
      </c>
      <c r="D69" s="15" t="str">
        <f>IFERROR(__xludf.DUMMYFUNCTION("""COMPUTED_VALUE"""),"PROFILE")</f>
        <v>PROFILE</v>
      </c>
      <c r="E69" s="15" t="str">
        <f>IFERROR(__xludf.DUMMYFUNCTION("""COMPUTED_VALUE"""),"REFERENCE")</f>
        <v>REFERENCE</v>
      </c>
      <c r="F69" s="15" t="str">
        <f>IFERROR(__xludf.DUMMYFUNCTION("""COMPUTED_VALUE"""),"Profile")</f>
        <v>Profile</v>
      </c>
      <c r="G69" s="15" t="b">
        <f>IFERROR(__xludf.DUMMYFUNCTION("""COMPUTED_VALUE"""),FALSE)</f>
        <v>0</v>
      </c>
      <c r="H69" s="15" t="str">
        <f>IFERROR(__xludf.DUMMYFUNCTION("""COMPUTED_VALUE"""),"AMV BBDO, Omnicom, Dentsu")</f>
        <v>AMV BBDO, Omnicom, Dentsu</v>
      </c>
      <c r="I69" s="15">
        <f>IFERROR(__xludf.DUMMYFUNCTION("""COMPUTED_VALUE"""),1.0)</f>
        <v>1</v>
      </c>
      <c r="J69" s="15">
        <f>IFERROR(__xludf.DUMMYFUNCTION("""COMPUTED_VALUE"""),0.0)</f>
        <v>0</v>
      </c>
      <c r="K69" s="15">
        <f>IFERROR(__xludf.DUMMYFUNCTION("""COMPUTED_VALUE"""),2.0)</f>
        <v>2</v>
      </c>
    </row>
    <row r="70" ht="15.75" customHeight="1">
      <c r="A70" s="14" t="str">
        <f>IFERROR(__xludf.DUMMYFUNCTION("""COMPUTED_VALUE"""),"https://themartechsummit.com/sponsors/ekimetrics/")</f>
        <v>https://themartechsummit.com/sponsors/ekimetrics/</v>
      </c>
      <c r="B70" s="15" t="str">
        <f>IFERROR(__xludf.DUMMYFUNCTION("""COMPUTED_VALUE"""),"Ekimetrics. - The MarTech Summit Sponsor")</f>
        <v>Ekimetrics. - The MarTech Summit Sponsor</v>
      </c>
      <c r="C70" s="14" t="str">
        <f>IFERROR(__xludf.DUMMYFUNCTION("""COMPUTED_VALUE"""),"themartechsummit.com")</f>
        <v>themartechsummit.com</v>
      </c>
      <c r="D70" s="15" t="str">
        <f>IFERROR(__xludf.DUMMYFUNCTION("""COMPUTED_VALUE"""),"PROFILE")</f>
        <v>PROFILE</v>
      </c>
      <c r="E70" s="15" t="str">
        <f>IFERROR(__xludf.DUMMYFUNCTION("""COMPUTED_VALUE"""),"CORPORATE")</f>
        <v>CORPORATE</v>
      </c>
      <c r="F70" s="15" t="str">
        <f>IFERROR(__xludf.DUMMYFUNCTION("""COMPUTED_VALUE"""),"Profile")</f>
        <v>Profile</v>
      </c>
      <c r="G70" s="15" t="b">
        <f>IFERROR(__xludf.DUMMYFUNCTION("""COMPUTED_VALUE"""),FALSE)</f>
        <v>0</v>
      </c>
      <c r="H70" s="15" t="str">
        <f>IFERROR(__xludf.DUMMYFUNCTION("""COMPUTED_VALUE"""),"Ekimetrics")</f>
        <v>Ekimetrics</v>
      </c>
      <c r="I70" s="15">
        <f>IFERROR(__xludf.DUMMYFUNCTION("""COMPUTED_VALUE"""),1.0)</f>
        <v>1</v>
      </c>
      <c r="J70" s="15">
        <f>IFERROR(__xludf.DUMMYFUNCTION("""COMPUTED_VALUE"""),0.0)</f>
        <v>0</v>
      </c>
      <c r="K70" s="15">
        <f>IFERROR(__xludf.DUMMYFUNCTION("""COMPUTED_VALUE"""),1.0)</f>
        <v>1</v>
      </c>
    </row>
    <row r="71" ht="15.75" customHeight="1">
      <c r="A71" s="14" t="str">
        <f>IFERROR(__xludf.DUMMYFUNCTION("""COMPUTED_VALUE"""),"https://uk.linkedin.com/company/ruleranalytics")</f>
        <v>https://uk.linkedin.com/company/ruleranalytics</v>
      </c>
      <c r="B71" s="15" t="str">
        <f>IFERROR(__xludf.DUMMYFUNCTION("""COMPUTED_VALUE"""),"Ruler Analytics | LinkedIn")</f>
        <v>Ruler Analytics | LinkedIn</v>
      </c>
      <c r="C71" s="14" t="str">
        <f>IFERROR(__xludf.DUMMYFUNCTION("""COMPUTED_VALUE"""),"linkedin.com")</f>
        <v>linkedin.com</v>
      </c>
      <c r="D71" s="15" t="str">
        <f>IFERROR(__xludf.DUMMYFUNCTION("""COMPUTED_VALUE"""),"PROFILE")</f>
        <v>PROFILE</v>
      </c>
      <c r="E71" s="15" t="str">
        <f>IFERROR(__xludf.DUMMYFUNCTION("""COMPUTED_VALUE"""),"UGC")</f>
        <v>UGC</v>
      </c>
      <c r="F71" s="15" t="str">
        <f>IFERROR(__xludf.DUMMYFUNCTION("""COMPUTED_VALUE"""),"Profile")</f>
        <v>Profile</v>
      </c>
      <c r="G71" s="15" t="b">
        <f>IFERROR(__xludf.DUMMYFUNCTION("""COMPUTED_VALUE"""),FALSE)</f>
        <v>0</v>
      </c>
      <c r="H71" s="15" t="str">
        <f>IFERROR(__xludf.DUMMYFUNCTION("""COMPUTED_VALUE"""),"Ruler Analytics, Impression, Found, Measured, Cometly, Rockerbox, Triple Whale")</f>
        <v>Ruler Analytics, Impression, Found, Measured, Cometly, Rockerbox, Triple Whale</v>
      </c>
      <c r="I71" s="15">
        <f>IFERROR(__xludf.DUMMYFUNCTION("""COMPUTED_VALUE"""),1.0)</f>
        <v>1</v>
      </c>
      <c r="J71" s="15">
        <f>IFERROR(__xludf.DUMMYFUNCTION("""COMPUTED_VALUE"""),0.0)</f>
        <v>0</v>
      </c>
      <c r="K71" s="15">
        <f>IFERROR(__xludf.DUMMYFUNCTION("""COMPUTED_VALUE"""),0.0)</f>
        <v>0</v>
      </c>
    </row>
    <row r="72" ht="15.75" customHeight="1">
      <c r="A72" s="14" t="str">
        <f>IFERROR(__xludf.DUMMYFUNCTION("""COMPUTED_VALUE"""),"https://uk.linkedin.com/company/the-social-shepherd")</f>
        <v>https://uk.linkedin.com/company/the-social-shepherd</v>
      </c>
      <c r="B72" s="15" t="str">
        <f>IFERROR(__xludf.DUMMYFUNCTION("""COMPUTED_VALUE"""),"The Social Shepherd | LinkedIn")</f>
        <v>The Social Shepherd | LinkedIn</v>
      </c>
      <c r="C72" s="14" t="str">
        <f>IFERROR(__xludf.DUMMYFUNCTION("""COMPUTED_VALUE"""),"linkedin.com")</f>
        <v>linkedin.com</v>
      </c>
      <c r="D72" s="15" t="str">
        <f>IFERROR(__xludf.DUMMYFUNCTION("""COMPUTED_VALUE"""),"PROFILE")</f>
        <v>PROFILE</v>
      </c>
      <c r="E72" s="15" t="str">
        <f>IFERROR(__xludf.DUMMYFUNCTION("""COMPUTED_VALUE"""),"UGC")</f>
        <v>UGC</v>
      </c>
      <c r="F72" s="15" t="str">
        <f>IFERROR(__xludf.DUMMYFUNCTION("""COMPUTED_VALUE"""),"Profile")</f>
        <v>Profile</v>
      </c>
      <c r="G72" s="15" t="b">
        <f>IFERROR(__xludf.DUMMYFUNCTION("""COMPUTED_VALUE"""),FALSE)</f>
        <v>0</v>
      </c>
      <c r="H72" s="15" t="str">
        <f>IFERROR(__xludf.DUMMYFUNCTION("""COMPUTED_VALUE"""),"The Social Shepherd, Huge, We Are Social, Born Social")</f>
        <v>The Social Shepherd, Huge, We Are Social, Born Social</v>
      </c>
      <c r="I72" s="15">
        <f>IFERROR(__xludf.DUMMYFUNCTION("""COMPUTED_VALUE"""),1.0)</f>
        <v>1</v>
      </c>
      <c r="J72" s="15">
        <f>IFERROR(__xludf.DUMMYFUNCTION("""COMPUTED_VALUE"""),0.0)</f>
        <v>0</v>
      </c>
      <c r="K72" s="15">
        <f>IFERROR(__xludf.DUMMYFUNCTION("""COMPUTED_VALUE"""),1.0)</f>
        <v>1</v>
      </c>
    </row>
    <row r="73" ht="15.75" customHeight="1">
      <c r="A73" s="14" t="str">
        <f>IFERROR(__xludf.DUMMYFUNCTION("""COMPUTED_VALUE"""),"https://wishu.io/top-10-creative-agencies-in-the-uk/")</f>
        <v>https://wishu.io/top-10-creative-agencies-in-the-uk/</v>
      </c>
      <c r="B73" s="15" t="str">
        <f>IFERROR(__xludf.DUMMYFUNCTION("""COMPUTED_VALUE"""),"The Insane Founder – Your guide to the latest news from the creator economy. Informative, witty, and everything you need to understand the world of creators.")</f>
        <v>The Insane Founder – Your guide to the latest news from the creator economy. Informative, witty, and everything you need to understand the world of creators.</v>
      </c>
      <c r="C73" s="14" t="str">
        <f>IFERROR(__xludf.DUMMYFUNCTION("""COMPUTED_VALUE"""),"wishu.io")</f>
        <v>wishu.io</v>
      </c>
      <c r="D73" s="15" t="str">
        <f>IFERROR(__xludf.DUMMYFUNCTION("""COMPUTED_VALUE"""),"PROFILE")</f>
        <v>PROFILE</v>
      </c>
      <c r="E73" s="15" t="str">
        <f>IFERROR(__xludf.DUMMYFUNCTION("""COMPUTED_VALUE"""),"EDITORIAL")</f>
        <v>EDITORIAL</v>
      </c>
      <c r="F73" s="15" t="str">
        <f>IFERROR(__xludf.DUMMYFUNCTION("""COMPUTED_VALUE"""),"Profile")</f>
        <v>Profile</v>
      </c>
      <c r="G73" s="15" t="b">
        <f>IFERROR(__xludf.DUMMYFUNCTION("""COMPUTED_VALUE"""),FALSE)</f>
        <v>0</v>
      </c>
      <c r="H73" s="15"/>
      <c r="I73" s="15">
        <f>IFERROR(__xludf.DUMMYFUNCTION("""COMPUTED_VALUE"""),1.0)</f>
        <v>1</v>
      </c>
      <c r="J73" s="15">
        <f>IFERROR(__xludf.DUMMYFUNCTION("""COMPUTED_VALUE"""),0.0)</f>
        <v>0</v>
      </c>
      <c r="K73" s="15">
        <f>IFERROR(__xludf.DUMMYFUNCTION("""COMPUTED_VALUE"""),2.0)</f>
        <v>2</v>
      </c>
    </row>
    <row r="74" ht="15.75" customHeight="1">
      <c r="A74" s="14" t="str">
        <f>IFERROR(__xludf.DUMMYFUNCTION("""COMPUTED_VALUE"""),"https://www.wpp.com/en/about/our-company")</f>
        <v>https://www.wpp.com/en/about/our-company</v>
      </c>
      <c r="B74" s="15" t="str">
        <f>IFERROR(__xludf.DUMMYFUNCTION("""COMPUTED_VALUE"""),"Our company | WPP")</f>
        <v>Our company | WPP</v>
      </c>
      <c r="C74" s="14" t="str">
        <f>IFERROR(__xludf.DUMMYFUNCTION("""COMPUTED_VALUE"""),"wpp.com")</f>
        <v>wpp.com</v>
      </c>
      <c r="D74" s="15" t="str">
        <f>IFERROR(__xludf.DUMMYFUNCTION("""COMPUTED_VALUE"""),"PROFILE")</f>
        <v>PROFILE</v>
      </c>
      <c r="E74" s="15" t="str">
        <f>IFERROR(__xludf.DUMMYFUNCTION("""COMPUTED_VALUE"""),"COMPETITOR")</f>
        <v>COMPETITOR</v>
      </c>
      <c r="F74" s="15" t="str">
        <f>IFERROR(__xludf.DUMMYFUNCTION("""COMPUTED_VALUE"""),"Profile")</f>
        <v>Profile</v>
      </c>
      <c r="G74" s="15" t="b">
        <f>IFERROR(__xludf.DUMMYFUNCTION("""COMPUTED_VALUE"""),FALSE)</f>
        <v>0</v>
      </c>
      <c r="H74" s="15" t="str">
        <f>IFERROR(__xludf.DUMMYFUNCTION("""COMPUTED_VALUE"""),"WPP, Ogilvy, AKQA")</f>
        <v>WPP, Ogilvy, AKQA</v>
      </c>
      <c r="I74" s="15">
        <f>IFERROR(__xludf.DUMMYFUNCTION("""COMPUTED_VALUE"""),1.0)</f>
        <v>1</v>
      </c>
      <c r="J74" s="15">
        <f>IFERROR(__xludf.DUMMYFUNCTION("""COMPUTED_VALUE"""),0.0)</f>
        <v>0</v>
      </c>
      <c r="K74" s="15">
        <f>IFERROR(__xludf.DUMMYFUNCTION("""COMPUTED_VALUE"""),0.0)</f>
        <v>0</v>
      </c>
    </row>
    <row r="75" ht="15.75" customHeight="1">
      <c r="A75" s="14" t="str">
        <f>IFERROR(__xludf.DUMMYFUNCTION("""COMPUTED_VALUE"""),"https://www.wpp.com/en/news/2026/03/wpp-claims-top-spot-on-warc-creative-100-for-fourth-consecutive-year")</f>
        <v>https://www.wpp.com/en/news/2026/03/wpp-claims-top-spot-on-warc-creative-100-for-fourth-consecutive-year</v>
      </c>
      <c r="B75" s="15" t="str">
        <f>IFERROR(__xludf.DUMMYFUNCTION("""COMPUTED_VALUE"""),"WPP claims top spot on WARC Creative 100 for fourth consecutive year | WPP")</f>
        <v>WPP claims top spot on WARC Creative 100 for fourth consecutive year | WPP</v>
      </c>
      <c r="C75" s="14" t="str">
        <f>IFERROR(__xludf.DUMMYFUNCTION("""COMPUTED_VALUE"""),"wpp.com")</f>
        <v>wpp.com</v>
      </c>
      <c r="D75" s="15" t="str">
        <f>IFERROR(__xludf.DUMMYFUNCTION("""COMPUTED_VALUE"""),"PROFILE")</f>
        <v>PROFILE</v>
      </c>
      <c r="E75" s="15" t="str">
        <f>IFERROR(__xludf.DUMMYFUNCTION("""COMPUTED_VALUE"""),"COMPETITOR")</f>
        <v>COMPETITOR</v>
      </c>
      <c r="F75" s="15" t="str">
        <f>IFERROR(__xludf.DUMMYFUNCTION("""COMPUTED_VALUE"""),"Profile")</f>
        <v>Profile</v>
      </c>
      <c r="G75" s="15" t="b">
        <f>IFERROR(__xludf.DUMMYFUNCTION("""COMPUTED_VALUE"""),FALSE)</f>
        <v>0</v>
      </c>
      <c r="H75" s="15" t="str">
        <f>IFERROR(__xludf.DUMMYFUNCTION("""COMPUTED_VALUE"""),"WPP, Ogilvy, AKQA")</f>
        <v>WPP, Ogilvy, AKQA</v>
      </c>
      <c r="I75" s="15">
        <f>IFERROR(__xludf.DUMMYFUNCTION("""COMPUTED_VALUE"""),1.0)</f>
        <v>1</v>
      </c>
      <c r="J75" s="15">
        <f>IFERROR(__xludf.DUMMYFUNCTION("""COMPUTED_VALUE"""),0.0)</f>
        <v>0</v>
      </c>
      <c r="K75" s="15">
        <f>IFERROR(__xludf.DUMMYFUNCTION("""COMPUTED_VALUE"""),0.0)</f>
        <v>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02"/>
  <hyperlinks>
    <hyperlink r:id="rId1" ref="C2"/>
    <hyperlink r:id="rId2" ref="A3"/>
    <hyperlink r:id="rId3" ref="C3"/>
    <hyperlink r:id="rId4" ref="A4"/>
    <hyperlink r:id="rId5" ref="C4"/>
    <hyperlink r:id="rId6" ref="A5"/>
    <hyperlink r:id="rId7" ref="C5"/>
    <hyperlink r:id="rId8" ref="A6"/>
    <hyperlink r:id="rId9" ref="C6"/>
    <hyperlink r:id="rId10" ref="A7"/>
    <hyperlink r:id="rId11" ref="C7"/>
    <hyperlink r:id="rId12" ref="A8"/>
    <hyperlink r:id="rId13" ref="C8"/>
    <hyperlink r:id="rId14" ref="A9"/>
    <hyperlink r:id="rId15" ref="C9"/>
    <hyperlink r:id="rId16" ref="A10"/>
    <hyperlink r:id="rId17" ref="C10"/>
    <hyperlink r:id="rId18" ref="A11"/>
    <hyperlink r:id="rId19" ref="C11"/>
    <hyperlink r:id="rId20" ref="A12"/>
    <hyperlink r:id="rId21" ref="C12"/>
    <hyperlink r:id="rId22" ref="A13"/>
    <hyperlink r:id="rId23" ref="C13"/>
    <hyperlink r:id="rId24" ref="A14"/>
    <hyperlink r:id="rId25" ref="C14"/>
    <hyperlink r:id="rId26" location=":~:text=Rise%20at%20Seven%3A%20Best%20for,to%20earn%20national%20press%20coverage." ref="A15"/>
    <hyperlink r:id="rId27" ref="C15"/>
    <hyperlink r:id="rId28" ref="A16"/>
    <hyperlink r:id="rId29" ref="C16"/>
    <hyperlink r:id="rId30" ref="A17"/>
    <hyperlink r:id="rId31" ref="C17"/>
    <hyperlink r:id="rId32" ref="A18"/>
    <hyperlink r:id="rId33" ref="C18"/>
    <hyperlink r:id="rId34" ref="A19"/>
    <hyperlink r:id="rId35" ref="C19"/>
    <hyperlink r:id="rId36" ref="A20"/>
    <hyperlink r:id="rId37" ref="C20"/>
    <hyperlink r:id="rId38" ref="A21"/>
    <hyperlink r:id="rId39" ref="C21"/>
    <hyperlink r:id="rId40" ref="A22"/>
    <hyperlink r:id="rId41" ref="C22"/>
    <hyperlink r:id="rId42" ref="A23"/>
    <hyperlink r:id="rId43" ref="C23"/>
    <hyperlink r:id="rId44" ref="A24"/>
    <hyperlink r:id="rId45" ref="C24"/>
    <hyperlink r:id="rId46" ref="A25"/>
    <hyperlink r:id="rId47" ref="C25"/>
    <hyperlink r:id="rId48" ref="A26"/>
    <hyperlink r:id="rId49" ref="C26"/>
    <hyperlink r:id="rId50" ref="A27"/>
    <hyperlink r:id="rId51" ref="C27"/>
    <hyperlink r:id="rId52" ref="A28"/>
    <hyperlink r:id="rId53" ref="C28"/>
    <hyperlink r:id="rId54" ref="A29"/>
    <hyperlink r:id="rId55" ref="C29"/>
    <hyperlink r:id="rId56" ref="A30"/>
    <hyperlink r:id="rId57" ref="C30"/>
    <hyperlink r:id="rId58" ref="A31"/>
    <hyperlink r:id="rId59" ref="C31"/>
    <hyperlink r:id="rId60" ref="A32"/>
    <hyperlink r:id="rId61" ref="C32"/>
    <hyperlink r:id="rId62" ref="A33"/>
    <hyperlink r:id="rId63" ref="C33"/>
    <hyperlink r:id="rId64" ref="A34"/>
    <hyperlink r:id="rId65" ref="C34"/>
    <hyperlink r:id="rId66" ref="A35"/>
    <hyperlink r:id="rId67" ref="C35"/>
    <hyperlink r:id="rId68" ref="A36"/>
    <hyperlink r:id="rId69" ref="C36"/>
    <hyperlink r:id="rId70" ref="A37"/>
    <hyperlink r:id="rId71" ref="C37"/>
    <hyperlink r:id="rId72" ref="A38"/>
    <hyperlink r:id="rId73" ref="C38"/>
    <hyperlink r:id="rId74" ref="A39"/>
    <hyperlink r:id="rId75" ref="C39"/>
    <hyperlink r:id="rId76" ref="A40"/>
    <hyperlink r:id="rId77" ref="C40"/>
    <hyperlink r:id="rId78" ref="A41"/>
    <hyperlink r:id="rId79" ref="C41"/>
    <hyperlink r:id="rId80" ref="A42"/>
    <hyperlink r:id="rId81" ref="A43"/>
    <hyperlink r:id="rId82" ref="C43"/>
    <hyperlink r:id="rId83" ref="A44"/>
    <hyperlink r:id="rId84" ref="C44"/>
    <hyperlink r:id="rId85" ref="A45"/>
    <hyperlink r:id="rId86" ref="C45"/>
    <hyperlink r:id="rId87" ref="A46"/>
    <hyperlink r:id="rId88" ref="C46"/>
    <hyperlink r:id="rId89" ref="A47"/>
    <hyperlink r:id="rId90" ref="C47"/>
    <hyperlink r:id="rId91" ref="A48"/>
    <hyperlink r:id="rId92" ref="C48"/>
    <hyperlink r:id="rId93" ref="A49"/>
    <hyperlink r:id="rId94" ref="C49"/>
    <hyperlink r:id="rId95" ref="A50"/>
    <hyperlink r:id="rId96" ref="A51"/>
    <hyperlink r:id="rId97" ref="C51"/>
    <hyperlink r:id="rId98" ref="A52"/>
    <hyperlink r:id="rId99" ref="C52"/>
    <hyperlink r:id="rId100" location=":~:text=Launched%20in%202006%20as%20one,full%2Dservice%20performance%20media%20agency." ref="A53"/>
    <hyperlink r:id="rId101" ref="C53"/>
    <hyperlink r:id="rId102" ref="A54"/>
    <hyperlink r:id="rId103" ref="C54"/>
    <hyperlink r:id="rId104" ref="A55"/>
    <hyperlink r:id="rId105" ref="C55"/>
    <hyperlink r:id="rId106" ref="A56"/>
    <hyperlink r:id="rId107" ref="C56"/>
    <hyperlink r:id="rId108" ref="A57"/>
    <hyperlink r:id="rId109" ref="C57"/>
    <hyperlink r:id="rId110" ref="A58"/>
    <hyperlink r:id="rId111" ref="A59"/>
    <hyperlink r:id="rId112" ref="C59"/>
    <hyperlink r:id="rId113" ref="A60"/>
    <hyperlink r:id="rId114" ref="C60"/>
    <hyperlink r:id="rId115" ref="A61"/>
    <hyperlink r:id="rId116" ref="C61"/>
    <hyperlink r:id="rId117" ref="A62"/>
    <hyperlink r:id="rId118" ref="C62"/>
    <hyperlink r:id="rId119" ref="A63"/>
    <hyperlink r:id="rId120" ref="C63"/>
    <hyperlink r:id="rId121" ref="A64"/>
    <hyperlink r:id="rId122" ref="C64"/>
    <hyperlink r:id="rId123" ref="A65"/>
    <hyperlink r:id="rId124" ref="C65"/>
    <hyperlink r:id="rId125" ref="A66"/>
    <hyperlink r:id="rId126" ref="C66"/>
    <hyperlink r:id="rId127" ref="A67"/>
    <hyperlink r:id="rId128" ref="C67"/>
    <hyperlink r:id="rId129" ref="A68"/>
    <hyperlink r:id="rId130" ref="C68"/>
    <hyperlink r:id="rId131" ref="A69"/>
    <hyperlink r:id="rId132" ref="C69"/>
    <hyperlink r:id="rId133" ref="A70"/>
    <hyperlink r:id="rId134" ref="C70"/>
    <hyperlink r:id="rId135" ref="A71"/>
    <hyperlink r:id="rId136" ref="C71"/>
    <hyperlink r:id="rId137" ref="A72"/>
    <hyperlink r:id="rId138" ref="C72"/>
    <hyperlink r:id="rId139" ref="A73"/>
    <hyperlink r:id="rId140" ref="C73"/>
    <hyperlink r:id="rId141" ref="A74"/>
    <hyperlink r:id="rId142" ref="C74"/>
    <hyperlink r:id="rId143" ref="A75"/>
    <hyperlink r:id="rId144" ref="C75"/>
  </hyperlinks>
  <drawing r:id="rId145"/>
</worksheet>
</file>